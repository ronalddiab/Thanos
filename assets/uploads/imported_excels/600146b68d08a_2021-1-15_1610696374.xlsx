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defaultThemeVersion="124226"/>
  <bookViews>
    <workbookView xWindow="-2316" yWindow="696" windowWidth="12768" windowHeight="12732"/>
  </bookViews>
  <sheets>
    <sheet name="TOTAL" sheetId="5" r:id="rId1"/>
    <sheet name="Submetering" sheetId="7" r:id="rId2"/>
    <sheet name="FS Budapest" sheetId="6" r:id="rId3"/>
  </sheets>
  <externalReferences>
    <externalReference r:id="rId4"/>
  </externalReferences>
  <calcPr calcId="125725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5"/>
  <c r="G35"/>
  <c r="H35"/>
  <c r="J35"/>
  <c r="K35"/>
  <c r="L35"/>
  <c r="E35"/>
  <c r="H30" i="7" l="1"/>
  <c r="H29"/>
  <c r="I29" i="5" s="1"/>
  <c r="H28" i="7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2"/>
  <c r="R2"/>
  <c r="Q3"/>
  <c r="Q5"/>
  <c r="G6"/>
  <c r="Q7"/>
  <c r="S8"/>
  <c r="R8"/>
  <c r="Q9"/>
  <c r="Q11"/>
  <c r="R11"/>
  <c r="Q13"/>
  <c r="R13"/>
  <c r="G14"/>
  <c r="Q15"/>
  <c r="R16"/>
  <c r="Q17"/>
  <c r="R17"/>
  <c r="Q19"/>
  <c r="R19"/>
  <c r="Q21"/>
  <c r="R21"/>
  <c r="G22"/>
  <c r="Q23"/>
  <c r="R23"/>
  <c r="R24"/>
  <c r="Q25"/>
  <c r="Q26"/>
  <c r="Q27"/>
  <c r="S28"/>
  <c r="Q29"/>
  <c r="R29"/>
  <c r="S30"/>
  <c r="R30"/>
  <c r="Q2"/>
  <c r="Z29"/>
  <c r="Z28"/>
  <c r="R25"/>
  <c r="Z18"/>
  <c r="Z11"/>
  <c r="R10"/>
  <c r="Q8"/>
  <c r="Q6"/>
  <c r="R3"/>
  <c r="Z2"/>
  <c r="R15"/>
  <c r="Q10"/>
  <c r="R9"/>
  <c r="AF3"/>
  <c r="K3" i="5" s="1"/>
  <c r="AG3" i="7"/>
  <c r="L3" i="5" s="1"/>
  <c r="AF4" i="7"/>
  <c r="K4" i="5" s="1"/>
  <c r="AG4" i="7"/>
  <c r="L4" i="5" s="1"/>
  <c r="AF5" i="7"/>
  <c r="K5" i="5" s="1"/>
  <c r="AG5" i="7"/>
  <c r="L5" i="5" s="1"/>
  <c r="AF6" i="7"/>
  <c r="K6" i="5" s="1"/>
  <c r="AG6" i="7"/>
  <c r="L6" i="5" s="1"/>
  <c r="AF7" i="7"/>
  <c r="K7" i="5" s="1"/>
  <c r="AG7" i="7"/>
  <c r="L7" i="5" s="1"/>
  <c r="AF8" i="7"/>
  <c r="K8" i="5" s="1"/>
  <c r="AG8" i="7"/>
  <c r="L8" i="5" s="1"/>
  <c r="AF9" i="7"/>
  <c r="K9" i="5" s="1"/>
  <c r="AG9" i="7"/>
  <c r="L9" i="5" s="1"/>
  <c r="AF10" i="7"/>
  <c r="K10" i="5" s="1"/>
  <c r="AG10" i="7"/>
  <c r="L10" i="5" s="1"/>
  <c r="AF11" i="7"/>
  <c r="K11" i="5" s="1"/>
  <c r="AG11" i="7"/>
  <c r="L11" i="5" s="1"/>
  <c r="AF12" i="7"/>
  <c r="K12" i="5" s="1"/>
  <c r="AG12" i="7"/>
  <c r="L12" i="5" s="1"/>
  <c r="AF13" i="7"/>
  <c r="K13" i="5" s="1"/>
  <c r="AG13" i="7"/>
  <c r="L13" i="5" s="1"/>
  <c r="AF14" i="7"/>
  <c r="K14" i="5" s="1"/>
  <c r="AG14" i="7"/>
  <c r="L14" i="5" s="1"/>
  <c r="AF15" i="7"/>
  <c r="K15" i="5" s="1"/>
  <c r="AG15" i="7"/>
  <c r="L15" i="5" s="1"/>
  <c r="AF16" i="7"/>
  <c r="K16" i="5" s="1"/>
  <c r="AG16" i="7"/>
  <c r="L16" i="5" s="1"/>
  <c r="AF17" i="7"/>
  <c r="K17" i="5" s="1"/>
  <c r="AG17" i="7"/>
  <c r="L17" i="5" s="1"/>
  <c r="AF18" i="7"/>
  <c r="K18" i="5" s="1"/>
  <c r="AG18" i="7"/>
  <c r="L18" i="5" s="1"/>
  <c r="AF19" i="7"/>
  <c r="K19" i="5" s="1"/>
  <c r="AG19" i="7"/>
  <c r="L19" i="5" s="1"/>
  <c r="AF20" i="7"/>
  <c r="K20" i="5" s="1"/>
  <c r="AG20" i="7"/>
  <c r="L20" i="5" s="1"/>
  <c r="AF21" i="7"/>
  <c r="K21" i="5" s="1"/>
  <c r="AG21" i="7"/>
  <c r="L21" i="5" s="1"/>
  <c r="AF22" i="7"/>
  <c r="K22" i="5" s="1"/>
  <c r="AG22" i="7"/>
  <c r="L22" i="5" s="1"/>
  <c r="AF23" i="7"/>
  <c r="K23" i="5" s="1"/>
  <c r="AG23" i="7"/>
  <c r="L23" i="5" s="1"/>
  <c r="AF24" i="7"/>
  <c r="K24" i="5" s="1"/>
  <c r="AG24" i="7"/>
  <c r="L24" i="5" s="1"/>
  <c r="AF25" i="7"/>
  <c r="K25" i="5" s="1"/>
  <c r="AG25" i="7"/>
  <c r="L25" i="5"/>
  <c r="AF26" i="7"/>
  <c r="K26" i="5"/>
  <c r="AG26" i="7"/>
  <c r="L26" i="5"/>
  <c r="AF27" i="7"/>
  <c r="K27" i="5"/>
  <c r="AG27" i="7"/>
  <c r="L27" i="5"/>
  <c r="AF28" i="7"/>
  <c r="K28" i="5"/>
  <c r="AG28" i="7"/>
  <c r="L28" i="5"/>
  <c r="AF29" i="7"/>
  <c r="K29" i="5"/>
  <c r="AG29" i="7"/>
  <c r="L29" i="5"/>
  <c r="AF30" i="7"/>
  <c r="K30" i="5"/>
  <c r="AG30" i="7"/>
  <c r="L30" i="5"/>
  <c r="AG2" i="7"/>
  <c r="L2" i="5"/>
  <c r="AF2" i="7"/>
  <c r="K2" i="5"/>
  <c r="X3" i="7"/>
  <c r="Y3"/>
  <c r="E3" i="5" s="1"/>
  <c r="AB3" i="7"/>
  <c r="AD3"/>
  <c r="AE3"/>
  <c r="X4"/>
  <c r="Y4"/>
  <c r="AB4"/>
  <c r="AD4"/>
  <c r="AE4"/>
  <c r="X5"/>
  <c r="Y5"/>
  <c r="AB5"/>
  <c r="AD5"/>
  <c r="AE5"/>
  <c r="X6"/>
  <c r="Y6"/>
  <c r="AB6"/>
  <c r="AD6"/>
  <c r="AE6"/>
  <c r="X7"/>
  <c r="Y7"/>
  <c r="E7" i="5" s="1"/>
  <c r="AB7" i="7"/>
  <c r="AD7"/>
  <c r="AE7"/>
  <c r="X8"/>
  <c r="Y8"/>
  <c r="AB8"/>
  <c r="AD8"/>
  <c r="AE8"/>
  <c r="X9"/>
  <c r="Y9"/>
  <c r="AB9"/>
  <c r="AD9"/>
  <c r="AE9"/>
  <c r="X10"/>
  <c r="Y10"/>
  <c r="AB10"/>
  <c r="AD10"/>
  <c r="AE10"/>
  <c r="X11"/>
  <c r="Y11"/>
  <c r="AB11"/>
  <c r="AD11"/>
  <c r="AE11"/>
  <c r="X12"/>
  <c r="Y12"/>
  <c r="AB12"/>
  <c r="AD12"/>
  <c r="AE12"/>
  <c r="X13"/>
  <c r="Y13"/>
  <c r="AB13"/>
  <c r="AD13"/>
  <c r="AE13"/>
  <c r="X14"/>
  <c r="Y14"/>
  <c r="AB14"/>
  <c r="AD14"/>
  <c r="AE14"/>
  <c r="X15"/>
  <c r="Y15"/>
  <c r="AB15"/>
  <c r="AD15"/>
  <c r="AE15"/>
  <c r="X16"/>
  <c r="Y16"/>
  <c r="AB16"/>
  <c r="AD16"/>
  <c r="AE16"/>
  <c r="X17"/>
  <c r="Y17"/>
  <c r="AB17"/>
  <c r="AD17"/>
  <c r="AE17"/>
  <c r="X18"/>
  <c r="Y18"/>
  <c r="AB18"/>
  <c r="AD18"/>
  <c r="AE18"/>
  <c r="X19"/>
  <c r="Y19"/>
  <c r="AB19"/>
  <c r="AD19"/>
  <c r="AE19"/>
  <c r="X20"/>
  <c r="Y20"/>
  <c r="AB20"/>
  <c r="AD20"/>
  <c r="AE20"/>
  <c r="X21"/>
  <c r="Y21"/>
  <c r="AB21"/>
  <c r="AD21"/>
  <c r="AE21"/>
  <c r="X22"/>
  <c r="Y22"/>
  <c r="AB22"/>
  <c r="AD22"/>
  <c r="AE22"/>
  <c r="X23"/>
  <c r="Y23"/>
  <c r="AB23"/>
  <c r="AD23"/>
  <c r="AE23"/>
  <c r="X24"/>
  <c r="Y24"/>
  <c r="AB24"/>
  <c r="AD24"/>
  <c r="AE24"/>
  <c r="X25"/>
  <c r="Y25"/>
  <c r="AB25"/>
  <c r="AD25"/>
  <c r="AE25"/>
  <c r="X26"/>
  <c r="Y26"/>
  <c r="AB26"/>
  <c r="AD26"/>
  <c r="AE26"/>
  <c r="X27"/>
  <c r="Y27"/>
  <c r="AB27"/>
  <c r="AD27"/>
  <c r="AE27"/>
  <c r="X28"/>
  <c r="Y28"/>
  <c r="AB28"/>
  <c r="AD28"/>
  <c r="AE28"/>
  <c r="X29"/>
  <c r="Y29"/>
  <c r="AB29"/>
  <c r="AD29"/>
  <c r="AE29"/>
  <c r="X30"/>
  <c r="Y30"/>
  <c r="AB30"/>
  <c r="AD30"/>
  <c r="AE30"/>
  <c r="AE2"/>
  <c r="AD2"/>
  <c r="AB2"/>
  <c r="Y2"/>
  <c r="X2"/>
  <c r="M3"/>
  <c r="N3"/>
  <c r="O3"/>
  <c r="P3"/>
  <c r="T3"/>
  <c r="U3"/>
  <c r="V3"/>
  <c r="W3"/>
  <c r="M4"/>
  <c r="N4"/>
  <c r="O4"/>
  <c r="P4"/>
  <c r="Q4"/>
  <c r="R4"/>
  <c r="T4"/>
  <c r="U4"/>
  <c r="V4"/>
  <c r="W4"/>
  <c r="M5"/>
  <c r="N5"/>
  <c r="O5"/>
  <c r="P5"/>
  <c r="R5"/>
  <c r="T5"/>
  <c r="U5"/>
  <c r="V5"/>
  <c r="W5"/>
  <c r="M6"/>
  <c r="N6"/>
  <c r="O6"/>
  <c r="P6"/>
  <c r="R6"/>
  <c r="T6"/>
  <c r="U6"/>
  <c r="V6"/>
  <c r="W6"/>
  <c r="M7"/>
  <c r="N7"/>
  <c r="O7"/>
  <c r="P7"/>
  <c r="R7"/>
  <c r="T7"/>
  <c r="U7"/>
  <c r="G7" i="5" s="1"/>
  <c r="V7" i="7"/>
  <c r="W7"/>
  <c r="M8"/>
  <c r="N8"/>
  <c r="O8"/>
  <c r="P8"/>
  <c r="T8"/>
  <c r="U8"/>
  <c r="V8"/>
  <c r="W8"/>
  <c r="M9"/>
  <c r="N9"/>
  <c r="O9"/>
  <c r="P9"/>
  <c r="T9"/>
  <c r="U9"/>
  <c r="V9"/>
  <c r="W9"/>
  <c r="M10"/>
  <c r="N10"/>
  <c r="O10"/>
  <c r="P10"/>
  <c r="T10"/>
  <c r="U10"/>
  <c r="G10" i="5" s="1"/>
  <c r="V10" i="7"/>
  <c r="W10"/>
  <c r="M11"/>
  <c r="N11"/>
  <c r="O11"/>
  <c r="P11"/>
  <c r="T11"/>
  <c r="U11"/>
  <c r="G11" i="5" s="1"/>
  <c r="V11" i="7"/>
  <c r="W11"/>
  <c r="M12"/>
  <c r="N12"/>
  <c r="O12"/>
  <c r="P12"/>
  <c r="Q12"/>
  <c r="R12"/>
  <c r="T12"/>
  <c r="U12"/>
  <c r="V12"/>
  <c r="W12"/>
  <c r="M13"/>
  <c r="N13"/>
  <c r="O13"/>
  <c r="P13"/>
  <c r="T13"/>
  <c r="U13"/>
  <c r="V13"/>
  <c r="W13"/>
  <c r="M14"/>
  <c r="N14"/>
  <c r="O14"/>
  <c r="P14"/>
  <c r="Q14"/>
  <c r="R14"/>
  <c r="T14"/>
  <c r="U14"/>
  <c r="V14"/>
  <c r="W14"/>
  <c r="M15"/>
  <c r="N15"/>
  <c r="O15"/>
  <c r="P15"/>
  <c r="T15"/>
  <c r="U15"/>
  <c r="V15"/>
  <c r="W15"/>
  <c r="M16"/>
  <c r="N16"/>
  <c r="O16"/>
  <c r="P16"/>
  <c r="Q16"/>
  <c r="T16"/>
  <c r="U16"/>
  <c r="V16"/>
  <c r="W16"/>
  <c r="M17"/>
  <c r="N17"/>
  <c r="O17"/>
  <c r="P17"/>
  <c r="T17"/>
  <c r="U17"/>
  <c r="V17"/>
  <c r="W17"/>
  <c r="M18"/>
  <c r="N18"/>
  <c r="O18"/>
  <c r="P18"/>
  <c r="Q18"/>
  <c r="R18"/>
  <c r="T18"/>
  <c r="U18"/>
  <c r="V18"/>
  <c r="W18"/>
  <c r="M19"/>
  <c r="N19"/>
  <c r="O19"/>
  <c r="P19"/>
  <c r="T19"/>
  <c r="U19"/>
  <c r="V19"/>
  <c r="W19"/>
  <c r="M20"/>
  <c r="N20"/>
  <c r="O20"/>
  <c r="P20"/>
  <c r="Q20"/>
  <c r="R20"/>
  <c r="T20"/>
  <c r="U20"/>
  <c r="V20"/>
  <c r="W20"/>
  <c r="M21"/>
  <c r="N21"/>
  <c r="O21"/>
  <c r="P21"/>
  <c r="T21"/>
  <c r="U21"/>
  <c r="V21"/>
  <c r="W21"/>
  <c r="M22"/>
  <c r="N22"/>
  <c r="O22"/>
  <c r="P22"/>
  <c r="Q22"/>
  <c r="R22"/>
  <c r="T22"/>
  <c r="U22"/>
  <c r="V22"/>
  <c r="W22"/>
  <c r="M23"/>
  <c r="N23"/>
  <c r="O23"/>
  <c r="P23"/>
  <c r="T23"/>
  <c r="U23"/>
  <c r="V23"/>
  <c r="W23"/>
  <c r="M24"/>
  <c r="N24"/>
  <c r="O24"/>
  <c r="P24"/>
  <c r="Q24"/>
  <c r="T24"/>
  <c r="U24"/>
  <c r="V24"/>
  <c r="W24"/>
  <c r="M25"/>
  <c r="N25"/>
  <c r="O25"/>
  <c r="P25"/>
  <c r="T25"/>
  <c r="U25"/>
  <c r="V25"/>
  <c r="W25"/>
  <c r="M26"/>
  <c r="N26"/>
  <c r="O26"/>
  <c r="P26"/>
  <c r="R26"/>
  <c r="T26"/>
  <c r="U26"/>
  <c r="V26"/>
  <c r="W26"/>
  <c r="M27"/>
  <c r="N27"/>
  <c r="O27"/>
  <c r="P27"/>
  <c r="R27"/>
  <c r="T27"/>
  <c r="U27"/>
  <c r="V27"/>
  <c r="W27"/>
  <c r="M28"/>
  <c r="N28"/>
  <c r="O28"/>
  <c r="P28"/>
  <c r="Q28"/>
  <c r="R28"/>
  <c r="T28"/>
  <c r="U28"/>
  <c r="V28"/>
  <c r="W28"/>
  <c r="M29"/>
  <c r="N29"/>
  <c r="O29"/>
  <c r="P29"/>
  <c r="T29"/>
  <c r="U29"/>
  <c r="V29"/>
  <c r="W29"/>
  <c r="M30"/>
  <c r="N30"/>
  <c r="O30"/>
  <c r="P30"/>
  <c r="Q30"/>
  <c r="T30"/>
  <c r="U30"/>
  <c r="V30"/>
  <c r="W30"/>
  <c r="V2"/>
  <c r="W2"/>
  <c r="U2"/>
  <c r="T2"/>
  <c r="P2"/>
  <c r="O2"/>
  <c r="N2"/>
  <c r="M2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2"/>
  <c r="G3"/>
  <c r="G4"/>
  <c r="G8"/>
  <c r="G12"/>
  <c r="G13"/>
  <c r="G16"/>
  <c r="G30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2"/>
  <c r="E3"/>
  <c r="E4"/>
  <c r="E5"/>
  <c r="E6"/>
  <c r="I6" i="5" s="1"/>
  <c r="E7" i="7"/>
  <c r="E8"/>
  <c r="I8" i="5" s="1"/>
  <c r="E9" i="7"/>
  <c r="E10"/>
  <c r="E11"/>
  <c r="E12"/>
  <c r="I12" i="5" s="1"/>
  <c r="E13" i="7"/>
  <c r="E14"/>
  <c r="E15"/>
  <c r="I15" i="5" s="1"/>
  <c r="E16" i="7"/>
  <c r="I16" i="5" s="1"/>
  <c r="E17" i="7"/>
  <c r="E18"/>
  <c r="I18" i="5" s="1"/>
  <c r="E19" i="7"/>
  <c r="I19" i="5" s="1"/>
  <c r="E20" i="7"/>
  <c r="E21"/>
  <c r="I21" i="5"/>
  <c r="E22" i="7"/>
  <c r="E23"/>
  <c r="I23" i="5" s="1"/>
  <c r="E24" i="7"/>
  <c r="I24" i="5" s="1"/>
  <c r="E25" i="7"/>
  <c r="E26"/>
  <c r="I26" i="5"/>
  <c r="E27" i="7"/>
  <c r="I27" i="5"/>
  <c r="E28" i="7"/>
  <c r="I28" i="5"/>
  <c r="E29" i="7"/>
  <c r="E30"/>
  <c r="I30" i="5" s="1"/>
  <c r="E2" i="7"/>
  <c r="B3"/>
  <c r="B4" s="1"/>
  <c r="B5"/>
  <c r="B6" s="1"/>
  <c r="B7"/>
  <c r="B8" s="1"/>
  <c r="B9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J3" i="5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B3"/>
  <c r="B4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G26"/>
  <c r="G9"/>
  <c r="E6"/>
  <c r="E26"/>
  <c r="E25"/>
  <c r="E22"/>
  <c r="E17"/>
  <c r="E16"/>
  <c r="E14"/>
  <c r="G23" i="7"/>
  <c r="AA13"/>
  <c r="E28" i="5"/>
  <c r="G16"/>
  <c r="Z30" i="7"/>
  <c r="Z20"/>
  <c r="E29" i="5"/>
  <c r="AC20" i="7"/>
  <c r="G8" i="5"/>
  <c r="E19"/>
  <c r="E2"/>
  <c r="G4"/>
  <c r="G2" i="7"/>
  <c r="G20"/>
  <c r="G15"/>
  <c r="G18"/>
  <c r="Z7"/>
  <c r="G26"/>
  <c r="G12" i="5"/>
  <c r="AA10" i="7"/>
  <c r="AA12"/>
  <c r="AA25"/>
  <c r="AA23"/>
  <c r="AC25"/>
  <c r="Z5"/>
  <c r="AA5"/>
  <c r="AA22"/>
  <c r="AC22"/>
  <c r="Z22"/>
  <c r="AA8"/>
  <c r="Z8"/>
  <c r="Z19"/>
  <c r="AA19"/>
  <c r="AC24"/>
  <c r="AA29"/>
  <c r="AA3"/>
  <c r="Z3"/>
  <c r="AC7"/>
  <c r="Z10"/>
  <c r="AA16"/>
  <c r="Z16"/>
  <c r="Z13"/>
  <c r="AA4"/>
  <c r="Z4"/>
  <c r="AC18"/>
  <c r="AA21"/>
  <c r="Z21"/>
  <c r="Z9"/>
  <c r="AA9"/>
  <c r="AA15"/>
  <c r="Z15"/>
  <c r="AA28"/>
  <c r="Z17"/>
  <c r="AA17"/>
  <c r="AA6"/>
  <c r="Z6"/>
  <c r="Z12"/>
  <c r="Z25"/>
  <c r="Z23"/>
  <c r="Z24"/>
  <c r="AA7"/>
  <c r="AA24"/>
  <c r="G15" i="5"/>
  <c r="G13"/>
  <c r="G28"/>
  <c r="G17" i="7"/>
  <c r="G28"/>
  <c r="G24"/>
  <c r="S22"/>
  <c r="S18"/>
  <c r="S16"/>
  <c r="S10"/>
  <c r="S4"/>
  <c r="S2"/>
  <c r="S14"/>
  <c r="S12"/>
  <c r="S6"/>
  <c r="S25"/>
  <c r="S23"/>
  <c r="S15"/>
  <c r="S29"/>
  <c r="S27"/>
  <c r="S21"/>
  <c r="S19"/>
  <c r="S17"/>
  <c r="S26"/>
  <c r="S13"/>
  <c r="S11"/>
  <c r="S9"/>
  <c r="S7"/>
  <c r="S24"/>
  <c r="S5"/>
  <c r="S3"/>
  <c r="S20"/>
  <c r="I20" i="5"/>
  <c r="I10"/>
  <c r="G27" i="7"/>
  <c r="G9"/>
  <c r="I14" i="5"/>
  <c r="G29" i="7"/>
  <c r="I3" i="5"/>
  <c r="G19" i="7"/>
  <c r="I22" i="5"/>
  <c r="I11"/>
  <c r="I4"/>
  <c r="G21" i="7"/>
  <c r="I2" i="5"/>
  <c r="G5" i="7"/>
  <c r="AC2"/>
  <c r="AC4"/>
  <c r="AC16"/>
  <c r="AC27"/>
  <c r="AC3"/>
  <c r="AC14"/>
  <c r="AC15"/>
  <c r="AC21"/>
  <c r="AC10"/>
  <c r="AC26"/>
  <c r="AC13"/>
  <c r="AC19"/>
  <c r="AC6"/>
  <c r="AC29"/>
  <c r="AC8"/>
  <c r="AC5"/>
  <c r="AC12"/>
  <c r="AC28"/>
  <c r="AC17"/>
  <c r="I13" i="5" l="1"/>
  <c r="I9"/>
  <c r="G23"/>
  <c r="G22"/>
  <c r="G27"/>
  <c r="G21"/>
  <c r="G20"/>
  <c r="G5"/>
  <c r="E27"/>
  <c r="E23"/>
  <c r="E11"/>
  <c r="E4"/>
  <c r="E13"/>
  <c r="G6"/>
  <c r="G3"/>
  <c r="E24"/>
  <c r="E20"/>
  <c r="E5"/>
  <c r="G17"/>
  <c r="E30"/>
  <c r="I25"/>
  <c r="I17"/>
  <c r="I7"/>
  <c r="I5"/>
  <c r="I35" s="1"/>
  <c r="G2"/>
  <c r="G30"/>
  <c r="G25"/>
  <c r="G24"/>
  <c r="G19"/>
  <c r="G18"/>
  <c r="G14"/>
  <c r="E21"/>
  <c r="E18"/>
  <c r="E15"/>
  <c r="E12"/>
  <c r="E10"/>
  <c r="E9"/>
  <c r="E8"/>
  <c r="AC30" i="7"/>
  <c r="AA30"/>
  <c r="Z27"/>
  <c r="AA27"/>
  <c r="G11"/>
  <c r="G10"/>
  <c r="G7"/>
  <c r="AC9"/>
  <c r="AA11"/>
  <c r="AA14"/>
  <c r="Z14"/>
  <c r="AA26"/>
  <c r="Z26"/>
  <c r="AC23"/>
  <c r="G29" i="5"/>
  <c r="G25" i="7"/>
  <c r="AA18"/>
  <c r="AA20"/>
  <c r="AA2"/>
  <c r="AC11" l="1"/>
</calcChain>
</file>

<file path=xl/sharedStrings.xml><?xml version="1.0" encoding="utf-8"?>
<sst xmlns="http://schemas.openxmlformats.org/spreadsheetml/2006/main" count="1454" uniqueCount="129">
  <si>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</si>
  <si>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</si>
  <si>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</si>
  <si>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</si>
  <si>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</si>
  <si>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</si>
  <si>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</si>
  <si>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</si>
  <si>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</si>
  <si>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</si>
  <si>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</si>
  <si>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</si>
  <si>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Budapest</t>
  </si>
  <si>
    <t>B074 Nagy - m3</t>
  </si>
  <si>
    <t>B074  Hotel napi+torony-m3</t>
  </si>
  <si>
    <t>B074  Hotel napi-torony -m3</t>
  </si>
  <si>
    <t>B057 Nagy - m3</t>
  </si>
  <si>
    <t>B074 mosoda víz-m3</t>
  </si>
  <si>
    <t>B054 konyha -m3</t>
  </si>
  <si>
    <t>HMV konyha -m3</t>
  </si>
  <si>
    <t>HMV Hotel -m3</t>
  </si>
  <si>
    <t>B 105 Gozakna -m3</t>
  </si>
  <si>
    <t>Boiler C. Water -m3</t>
  </si>
  <si>
    <t>kazan tapviz jobb -m3</t>
  </si>
  <si>
    <t>CT-Spare Water Total -m3</t>
  </si>
  <si>
    <t>SPA   Total -m3</t>
  </si>
  <si>
    <t>Garage Total -m3</t>
  </si>
  <si>
    <t>Steam Total -m3</t>
  </si>
  <si>
    <t>Meter #1 -m3</t>
  </si>
  <si>
    <t>Meter #2-m3</t>
  </si>
  <si>
    <t>Steam Boiler #1 -m3</t>
  </si>
  <si>
    <t>Steam Boiler #2 -m3</t>
  </si>
  <si>
    <t>Elec. Supply 1 - Kwh</t>
  </si>
  <si>
    <t>Elec. Supply 2 - Kwh</t>
  </si>
  <si>
    <t>Hotel Absolute Daily -KWh</t>
  </si>
  <si>
    <t>Hotel Absolut napi fogyasztas-hutok -KWh</t>
  </si>
  <si>
    <t>18 GARAGE -KWh</t>
  </si>
  <si>
    <t>GARAGE + PALACE SUMMA DAYLI - KWh</t>
  </si>
  <si>
    <t>Chiller 1  -KWh</t>
  </si>
  <si>
    <t>Chiller 2  -KWh</t>
  </si>
  <si>
    <t>WATER (Víz)&amp; SEWAGE</t>
  </si>
  <si>
    <t>GAS (Gáz)</t>
  </si>
  <si>
    <t xml:space="preserve">Villany / Electricity  </t>
  </si>
  <si>
    <t>Room Nights</t>
  </si>
  <si>
    <t>1. supply water</t>
  </si>
  <si>
    <t>hotel</t>
  </si>
  <si>
    <t>2.supply</t>
  </si>
  <si>
    <t>laundry</t>
  </si>
  <si>
    <t>kitchen</t>
  </si>
  <si>
    <t>DHW kitchen</t>
  </si>
  <si>
    <t>DHW hotel</t>
  </si>
  <si>
    <t>steam pit</t>
  </si>
  <si>
    <t>boiler cooling</t>
  </si>
  <si>
    <t>left steam supply</t>
  </si>
  <si>
    <t>right steam supply</t>
  </si>
  <si>
    <t>tower</t>
  </si>
  <si>
    <t>pool</t>
  </si>
  <si>
    <t>jacuzzi</t>
  </si>
  <si>
    <t>1.garage supply</t>
  </si>
  <si>
    <t>2.garage supply</t>
  </si>
  <si>
    <t>1.gas supply</t>
  </si>
  <si>
    <t>2.gas supply</t>
  </si>
  <si>
    <t>steam boiler 1</t>
  </si>
  <si>
    <t>steam boiler 2</t>
  </si>
  <si>
    <t>Elec supply1.</t>
  </si>
  <si>
    <t>Elec supply2.</t>
  </si>
  <si>
    <t>garage</t>
  </si>
  <si>
    <t>chiller1</t>
  </si>
  <si>
    <t>chiller2</t>
  </si>
  <si>
    <t>B074 Nagy</t>
  </si>
  <si>
    <t>B074 Szálloda</t>
  </si>
  <si>
    <t>B074  szálloda napi+torony</t>
  </si>
  <si>
    <t>B074  szálloda napi-torony</t>
  </si>
  <si>
    <t>B057 Nagy</t>
  </si>
  <si>
    <t>B074 mosoda víz</t>
  </si>
  <si>
    <t>B074 mosoda víz napi</t>
  </si>
  <si>
    <t>B054 konyha</t>
  </si>
  <si>
    <t>B054 konyha napi</t>
  </si>
  <si>
    <t>HMV konyha</t>
  </si>
  <si>
    <t>ösz</t>
  </si>
  <si>
    <t>HMV szálloda</t>
  </si>
  <si>
    <t>B 105 Gőzakna</t>
  </si>
  <si>
    <t>/Pit/ Gőzakna össz</t>
  </si>
  <si>
    <t>Kazán hűtővíz</t>
  </si>
  <si>
    <t>Kazán hűtővíz össz</t>
  </si>
  <si>
    <t>kazán tápvíz ball</t>
  </si>
  <si>
    <t>kazán tápvíz jobb</t>
  </si>
  <si>
    <t>kazán tápvíz  össz</t>
  </si>
  <si>
    <t>CT-PÓTVÍZ</t>
  </si>
  <si>
    <t>CT-PÓTVÍZ össz</t>
  </si>
  <si>
    <t>Úszó medence</t>
  </si>
  <si>
    <t>Jakuczi medence</t>
  </si>
  <si>
    <t>SPA   össz</t>
  </si>
  <si>
    <t>Garázs kicsi</t>
  </si>
  <si>
    <t>Garázs nagy</t>
  </si>
  <si>
    <t>garázs össz</t>
  </si>
  <si>
    <t>Gőz össz.</t>
  </si>
  <si>
    <t>össz:</t>
  </si>
  <si>
    <t>[össz]</t>
  </si>
  <si>
    <t>Tervezett</t>
  </si>
  <si>
    <t>Megvalósult</t>
  </si>
  <si>
    <t>1 mérő</t>
  </si>
  <si>
    <t>1-es mérő napi fogy.</t>
  </si>
  <si>
    <t>2 mérő</t>
  </si>
  <si>
    <t>2-es mérő napi fogy.</t>
  </si>
  <si>
    <t>Gőzkazán 1</t>
  </si>
  <si>
    <t>Gőzkazán 2</t>
  </si>
  <si>
    <t>8.2</t>
  </si>
  <si>
    <t>1-es mérő napifogy.</t>
  </si>
  <si>
    <t>2-es mérő napifogy.</t>
  </si>
  <si>
    <t>8.2 össz</t>
  </si>
  <si>
    <t>ÉJSZAKAI INPULZUS       [8.2 össz]</t>
  </si>
  <si>
    <t>ÉJSZAKAI FOGYASZTÁS  KWh</t>
  </si>
  <si>
    <t>8.3 össz</t>
  </si>
  <si>
    <t>NAPPALI       INPULZUS        [8.3 össz]</t>
  </si>
  <si>
    <t>NAPPALI  FOGYASZTÁS KWh</t>
  </si>
  <si>
    <t>hotel absolut napi fogyasztás               KWh</t>
  </si>
  <si>
    <t>hotel absolut napi fogyasztás-hütők               KWh</t>
  </si>
  <si>
    <t>18 GARAGE</t>
  </si>
  <si>
    <t>GARAGE NAPI  FOGYASZTÁS KWh</t>
  </si>
  <si>
    <r>
      <t xml:space="preserve">GARAGE + PALACE     </t>
    </r>
    <r>
      <rPr>
        <b/>
        <sz val="14"/>
        <color indexed="10"/>
        <rFont val="Arial"/>
        <family val="2"/>
        <charset val="238"/>
      </rPr>
      <t>SUMMA DAYLI</t>
    </r>
    <r>
      <rPr>
        <b/>
        <sz val="14"/>
        <rFont val="Arial"/>
        <family val="2"/>
        <charset val="238"/>
      </rPr>
      <t xml:space="preserve">                              KWh</t>
    </r>
  </si>
  <si>
    <t xml:space="preserve">HŰTŐ 1 </t>
  </si>
  <si>
    <t>HŰTŐ 1 NAPI</t>
  </si>
  <si>
    <t>HŰTŐ 2</t>
  </si>
  <si>
    <t>HŰTŐ 2 NAPI</t>
  </si>
  <si>
    <t>HŰTŐ 1+2 NAPI</t>
  </si>
  <si>
    <t># Guests</t>
  </si>
  <si>
    <t> </t>
  </si>
  <si>
    <t>31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</si>
</sst>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,##0.00\ _F_t"/>
  </numFmts>
  <fonts count="36">
    <font>
      <sz val="11"/>
      <color theme="1"/>
      <name val="Calibri"/>
      <family val="2"/>
      <scheme val="minor"/>
    </font>
    <font>
      <b/>
      <sz val="14"/>
      <name val="Arial"/>
      <family val="2"/>
      <charset val="238"/>
    </font>
    <font>
      <b/>
      <sz val="14"/>
      <color indexed="10"/>
      <name val="Arial"/>
      <family val="2"/>
      <charset val="238"/>
    </font>
    <font>
      <sz val="14"/>
      <color indexed="8"/>
      <name val="Calibri"/>
      <family val="2"/>
    </font>
    <font>
      <b/>
      <sz val="14"/>
      <color indexed="21"/>
      <name val="Arial"/>
      <family val="2"/>
      <charset val="238"/>
    </font>
    <font>
      <b/>
      <sz val="14"/>
      <color indexed="57"/>
      <name val="Arial"/>
      <family val="2"/>
      <charset val="238"/>
    </font>
    <font>
      <b/>
      <sz val="14"/>
      <color indexed="14"/>
      <name val="Arial"/>
      <family val="2"/>
      <charset val="238"/>
    </font>
    <font>
      <b/>
      <sz val="14"/>
      <color indexed="48"/>
      <name val="Arial"/>
      <family val="2"/>
      <charset val="238"/>
    </font>
    <font>
      <sz val="14"/>
      <name val="Arial"/>
      <family val="2"/>
      <charset val="238"/>
    </font>
    <font>
      <sz val="14"/>
      <color indexed="21"/>
      <name val="Calibri"/>
      <family val="2"/>
    </font>
    <font>
      <sz val="14"/>
      <color indexed="10"/>
      <name val="Calibri"/>
      <family val="2"/>
    </font>
    <font>
      <sz val="14"/>
      <name val="Arial"/>
      <family val="2"/>
    </font>
    <font>
      <b/>
      <sz val="16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FF0000"/>
      <name val="Calibri"/>
      <family val="2"/>
    </font>
    <font>
      <sz val="14"/>
      <color rgb="FFD7253E"/>
      <name val="Arial"/>
      <family val="2"/>
      <charset val="238"/>
    </font>
    <font>
      <sz val="14"/>
      <color rgb="FF3366FF"/>
      <name val="Arial"/>
      <family val="2"/>
      <charset val="238"/>
    </font>
    <font>
      <sz val="14"/>
      <color rgb="FF000000"/>
      <name val="Arial"/>
      <family val="2"/>
      <charset val="238"/>
    </font>
    <font>
      <b/>
      <sz val="14"/>
      <name val="Arial"/>
      <family val="2"/>
    </font>
    <font>
      <sz val="14"/>
      <color rgb="FF339966"/>
      <name val="Arial"/>
      <family val="2"/>
      <charset val="238"/>
    </font>
    <font>
      <sz val="14"/>
      <color rgb="FFFF00FF"/>
      <name val="Arial"/>
      <family val="2"/>
      <charset val="238"/>
    </font>
    <font>
      <b/>
      <sz val="14"/>
      <color rgb="FF3366FF"/>
      <name val="Arial"/>
      <family val="2"/>
      <charset val="238"/>
    </font>
    <font>
      <b/>
      <sz val="14"/>
      <color rgb="FF000000"/>
      <name val="Arial"/>
      <family val="2"/>
      <charset val="238"/>
    </font>
    <font>
      <sz val="14"/>
      <color rgb="FF000000"/>
      <name val="Calibri"/>
      <family val="2"/>
    </font>
    <font>
      <sz val="14"/>
      <color rgb="FF008080"/>
      <name val="Arial"/>
      <family val="2"/>
      <charset val="238"/>
    </font>
    <font>
      <sz val="14"/>
      <color rgb="FF000000"/>
      <name val="Arial Narrow"/>
      <family val="2"/>
      <charset val="238"/>
    </font>
    <font>
      <b/>
      <sz val="14"/>
      <color rgb="FF000000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CCFF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60B5CC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A0D2E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FF0F5"/>
        <bgColor rgb="FF000000"/>
      </patternFill>
    </fill>
    <fill>
      <patternFill patternType="solid">
        <fgColor rgb="FFD7253E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D1DD81"/>
        <bgColor rgb="FF000000"/>
      </patternFill>
    </fill>
    <fill>
      <patternFill patternType="solid">
        <fgColor rgb="FFA5D17E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C4E2C5"/>
        <bgColor rgb="FF000000"/>
      </patternFill>
    </fill>
    <fill>
      <patternFill patternType="solid">
        <fgColor rgb="FFF1B797"/>
        <bgColor rgb="FF000000"/>
      </patternFill>
    </fill>
    <fill>
      <patternFill patternType="solid">
        <fgColor rgb="FF00B0F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7">
    <xf numFmtId="0" fontId="0" fillId="0" borderId="0" xfId="0"/>
    <xf numFmtId="0" fontId="13" fillId="0" borderId="0" xfId="0" applyFont="1"/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3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center" vertical="top" wrapText="1"/>
    </xf>
    <xf numFmtId="1" fontId="17" fillId="0" borderId="0" xfId="0" applyNumberFormat="1" applyFont="1" applyAlignment="1">
      <alignment horizontal="center"/>
    </xf>
    <xf numFmtId="0" fontId="18" fillId="0" borderId="1" xfId="0" applyFont="1" applyBorder="1" applyAlignment="1">
      <alignment horizontal="center" vertical="top"/>
    </xf>
    <xf numFmtId="0" fontId="14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20" fillId="0" borderId="0" xfId="0" applyFont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 wrapText="1"/>
    </xf>
    <xf numFmtId="0" fontId="1" fillId="6" borderId="4" xfId="0" applyNumberFormat="1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quotePrefix="1" applyFont="1" applyFill="1" applyBorder="1" applyAlignment="1">
      <alignment horizontal="center" vertical="center" wrapText="1"/>
    </xf>
    <xf numFmtId="2" fontId="1" fillId="10" borderId="4" xfId="0" quotePrefix="1" applyNumberFormat="1" applyFont="1" applyFill="1" applyBorder="1" applyAlignment="1">
      <alignment horizontal="center" vertical="center" wrapText="1"/>
    </xf>
    <xf numFmtId="2" fontId="1" fillId="10" borderId="4" xfId="0" applyNumberFormat="1" applyFont="1" applyFill="1" applyBorder="1" applyAlignment="1">
      <alignment horizontal="center" vertical="center" wrapText="1"/>
    </xf>
    <xf numFmtId="0" fontId="1" fillId="0" borderId="4" xfId="0" quotePrefix="1" applyFont="1" applyFill="1" applyBorder="1" applyAlignment="1">
      <alignment horizontal="center" vertical="center" wrapText="1"/>
    </xf>
    <xf numFmtId="165" fontId="2" fillId="2" borderId="4" xfId="0" quotePrefix="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5" borderId="4" xfId="0" applyNumberFormat="1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13" borderId="0" xfId="0" applyFont="1" applyFill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right"/>
    </xf>
    <xf numFmtId="165" fontId="1" fillId="2" borderId="9" xfId="0" applyNumberFormat="1" applyFont="1" applyFill="1" applyBorder="1" applyAlignment="1">
      <alignment horizontal="center"/>
    </xf>
    <xf numFmtId="2" fontId="1" fillId="2" borderId="9" xfId="0" applyNumberFormat="1" applyFont="1" applyFill="1" applyBorder="1" applyAlignment="1">
      <alignment horizontal="center"/>
    </xf>
    <xf numFmtId="0" fontId="3" fillId="0" borderId="9" xfId="0" applyFont="1" applyBorder="1"/>
    <xf numFmtId="0" fontId="3" fillId="0" borderId="0" xfId="0" applyFont="1"/>
    <xf numFmtId="0" fontId="3" fillId="0" borderId="10" xfId="0" applyFont="1" applyBorder="1" applyAlignment="1"/>
    <xf numFmtId="0" fontId="3" fillId="0" borderId="7" xfId="0" applyFont="1" applyBorder="1" applyAlignment="1"/>
    <xf numFmtId="0" fontId="3" fillId="0" borderId="11" xfId="0" applyFont="1" applyBorder="1" applyAlignment="1"/>
    <xf numFmtId="0" fontId="1" fillId="2" borderId="12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1" fontId="1" fillId="2" borderId="9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2" fontId="1" fillId="10" borderId="17" xfId="0" applyNumberFormat="1" applyFont="1" applyFill="1" applyBorder="1" applyAlignment="1">
      <alignment horizontal="center"/>
    </xf>
    <xf numFmtId="0" fontId="1" fillId="10" borderId="17" xfId="0" applyFont="1" applyFill="1" applyBorder="1" applyAlignment="1">
      <alignment horizontal="center"/>
    </xf>
    <xf numFmtId="0" fontId="3" fillId="10" borderId="17" xfId="0" applyFont="1" applyFill="1" applyBorder="1"/>
    <xf numFmtId="0" fontId="18" fillId="0" borderId="1" xfId="0" applyFont="1" applyBorder="1" applyAlignment="1">
      <alignment horizontal="center" vertical="top" wrapText="1"/>
    </xf>
    <xf numFmtId="0" fontId="13" fillId="0" borderId="0" xfId="0" applyFont="1" applyAlignment="1">
      <alignment wrapText="1"/>
    </xf>
    <xf numFmtId="0" fontId="3" fillId="15" borderId="17" xfId="0" applyFont="1" applyFill="1" applyBorder="1"/>
    <xf numFmtId="0" fontId="1" fillId="15" borderId="4" xfId="0" applyNumberFormat="1" applyFont="1" applyFill="1" applyBorder="1" applyAlignment="1">
      <alignment horizontal="center" vertical="center" wrapText="1"/>
    </xf>
    <xf numFmtId="0" fontId="21" fillId="15" borderId="6" xfId="0" applyNumberFormat="1" applyFont="1" applyFill="1" applyBorder="1" applyAlignment="1">
      <alignment horizontal="center" vertical="center"/>
    </xf>
    <xf numFmtId="164" fontId="14" fillId="0" borderId="0" xfId="0" applyNumberFormat="1" applyFont="1" applyFill="1"/>
    <xf numFmtId="0" fontId="8" fillId="24" borderId="21" xfId="0" applyFont="1" applyFill="1" applyBorder="1" applyAlignment="1">
      <alignment wrapText="1"/>
    </xf>
    <xf numFmtId="0" fontId="22" fillId="22" borderId="21" xfId="0" applyFont="1" applyFill="1" applyBorder="1" applyAlignment="1">
      <alignment wrapText="1"/>
    </xf>
    <xf numFmtId="0" fontId="8" fillId="0" borderId="21" xfId="0" applyFont="1" applyFill="1" applyBorder="1" applyAlignment="1">
      <alignment wrapText="1"/>
    </xf>
    <xf numFmtId="0" fontId="8" fillId="22" borderId="21" xfId="0" applyFont="1" applyFill="1" applyBorder="1" applyAlignment="1">
      <alignment wrapText="1"/>
    </xf>
    <xf numFmtId="0" fontId="8" fillId="16" borderId="23" xfId="0" applyFont="1" applyFill="1" applyBorder="1" applyAlignment="1">
      <alignment wrapText="1"/>
    </xf>
    <xf numFmtId="0" fontId="8" fillId="17" borderId="23" xfId="0" applyFont="1" applyFill="1" applyBorder="1" applyAlignment="1">
      <alignment wrapText="1"/>
    </xf>
    <xf numFmtId="0" fontId="8" fillId="18" borderId="23" xfId="0" applyFont="1" applyFill="1" applyBorder="1" applyAlignment="1">
      <alignment wrapText="1"/>
    </xf>
    <xf numFmtId="0" fontId="8" fillId="19" borderId="23" xfId="0" applyFont="1" applyFill="1" applyBorder="1" applyAlignment="1">
      <alignment wrapText="1"/>
    </xf>
    <xf numFmtId="0" fontId="22" fillId="20" borderId="23" xfId="0" applyFont="1" applyFill="1" applyBorder="1" applyAlignment="1">
      <alignment wrapText="1"/>
    </xf>
    <xf numFmtId="0" fontId="22" fillId="21" borderId="23" xfId="0" applyFont="1" applyFill="1" applyBorder="1" applyAlignment="1">
      <alignment wrapText="1"/>
    </xf>
    <xf numFmtId="0" fontId="24" fillId="18" borderId="23" xfId="0" applyFont="1" applyFill="1" applyBorder="1" applyAlignment="1">
      <alignment wrapText="1"/>
    </xf>
    <xf numFmtId="0" fontId="25" fillId="22" borderId="23" xfId="0" applyFont="1" applyFill="1" applyBorder="1" applyAlignment="1">
      <alignment wrapText="1"/>
    </xf>
    <xf numFmtId="0" fontId="8" fillId="23" borderId="23" xfId="0" applyFont="1" applyFill="1" applyBorder="1" applyAlignment="1">
      <alignment wrapText="1"/>
    </xf>
    <xf numFmtId="0" fontId="26" fillId="0" borderId="23" xfId="0" applyFont="1" applyFill="1" applyBorder="1" applyAlignment="1">
      <alignment wrapText="1"/>
    </xf>
    <xf numFmtId="0" fontId="8" fillId="24" borderId="23" xfId="0" applyFont="1" applyFill="1" applyBorder="1" applyAlignment="1">
      <alignment wrapText="1"/>
    </xf>
    <xf numFmtId="0" fontId="22" fillId="24" borderId="23" xfId="0" applyFont="1" applyFill="1" applyBorder="1" applyAlignment="1">
      <alignment wrapText="1"/>
    </xf>
    <xf numFmtId="0" fontId="22" fillId="22" borderId="23" xfId="0" applyFont="1" applyFill="1" applyBorder="1" applyAlignment="1">
      <alignment wrapText="1"/>
    </xf>
    <xf numFmtId="0" fontId="8" fillId="25" borderId="23" xfId="0" applyFont="1" applyFill="1" applyBorder="1" applyAlignment="1">
      <alignment wrapText="1"/>
    </xf>
    <xf numFmtId="0" fontId="8" fillId="26" borderId="23" xfId="0" applyFont="1" applyFill="1" applyBorder="1" applyAlignment="1">
      <alignment wrapText="1"/>
    </xf>
    <xf numFmtId="0" fontId="8" fillId="0" borderId="23" xfId="0" applyFont="1" applyFill="1" applyBorder="1" applyAlignment="1">
      <alignment wrapText="1"/>
    </xf>
    <xf numFmtId="0" fontId="8" fillId="22" borderId="23" xfId="0" applyFont="1" applyFill="1" applyBorder="1" applyAlignment="1">
      <alignment wrapText="1"/>
    </xf>
    <xf numFmtId="0" fontId="8" fillId="27" borderId="23" xfId="0" applyFont="1" applyFill="1" applyBorder="1" applyAlignment="1">
      <alignment wrapText="1"/>
    </xf>
    <xf numFmtId="0" fontId="8" fillId="28" borderId="23" xfId="0" applyFont="1" applyFill="1" applyBorder="1" applyAlignment="1">
      <alignment wrapText="1"/>
    </xf>
    <xf numFmtId="0" fontId="26" fillId="29" borderId="23" xfId="0" applyFont="1" applyFill="1" applyBorder="1" applyAlignment="1">
      <alignment wrapText="1"/>
    </xf>
    <xf numFmtId="0" fontId="8" fillId="30" borderId="23" xfId="0" applyFont="1" applyFill="1" applyBorder="1" applyAlignment="1">
      <alignment wrapText="1"/>
    </xf>
    <xf numFmtId="0" fontId="22" fillId="19" borderId="18" xfId="0" applyFont="1" applyFill="1" applyBorder="1" applyAlignment="1">
      <alignment wrapText="1"/>
    </xf>
    <xf numFmtId="0" fontId="8" fillId="31" borderId="22" xfId="0" applyFont="1" applyFill="1" applyBorder="1" applyAlignment="1">
      <alignment wrapText="1"/>
    </xf>
    <xf numFmtId="0" fontId="8" fillId="20" borderId="23" xfId="0" applyFont="1" applyFill="1" applyBorder="1" applyAlignment="1">
      <alignment wrapText="1"/>
    </xf>
    <xf numFmtId="0" fontId="8" fillId="32" borderId="23" xfId="0" applyFont="1" applyFill="1" applyBorder="1" applyAlignment="1">
      <alignment wrapText="1"/>
    </xf>
    <xf numFmtId="0" fontId="1" fillId="16" borderId="21" xfId="0" applyFont="1" applyFill="1" applyBorder="1" applyAlignment="1">
      <alignment wrapText="1"/>
    </xf>
    <xf numFmtId="0" fontId="1" fillId="17" borderId="21" xfId="0" applyFont="1" applyFill="1" applyBorder="1" applyAlignment="1">
      <alignment wrapText="1"/>
    </xf>
    <xf numFmtId="0" fontId="1" fillId="20" borderId="21" xfId="0" applyFont="1" applyFill="1" applyBorder="1" applyAlignment="1">
      <alignment wrapText="1"/>
    </xf>
    <xf numFmtId="0" fontId="1" fillId="22" borderId="21" xfId="0" applyFont="1" applyFill="1" applyBorder="1" applyAlignment="1">
      <alignment wrapText="1"/>
    </xf>
    <xf numFmtId="0" fontId="21" fillId="23" borderId="21" xfId="0" applyFont="1" applyFill="1" applyBorder="1" applyAlignment="1">
      <alignment wrapText="1"/>
    </xf>
    <xf numFmtId="0" fontId="30" fillId="22" borderId="21" xfId="0" applyFont="1" applyFill="1" applyBorder="1" applyAlignment="1">
      <alignment wrapText="1"/>
    </xf>
    <xf numFmtId="0" fontId="31" fillId="0" borderId="21" xfId="0" applyFont="1" applyFill="1" applyBorder="1" applyAlignment="1">
      <alignment wrapText="1"/>
    </xf>
    <xf numFmtId="0" fontId="22" fillId="24" borderId="21" xfId="0" applyFont="1" applyFill="1" applyBorder="1" applyAlignment="1">
      <alignment wrapText="1"/>
    </xf>
    <xf numFmtId="0" fontId="1" fillId="28" borderId="21" xfId="0" applyFont="1" applyFill="1" applyBorder="1" applyAlignment="1">
      <alignment wrapText="1"/>
    </xf>
    <xf numFmtId="0" fontId="32" fillId="22" borderId="0" xfId="0" applyFont="1" applyFill="1" applyBorder="1" applyAlignment="1">
      <alignment wrapText="1"/>
    </xf>
    <xf numFmtId="0" fontId="32" fillId="0" borderId="0" xfId="0" applyFont="1" applyFill="1" applyBorder="1" applyAlignment="1">
      <alignment wrapText="1"/>
    </xf>
    <xf numFmtId="0" fontId="1" fillId="16" borderId="23" xfId="0" applyFont="1" applyFill="1" applyBorder="1" applyAlignment="1">
      <alignment wrapText="1"/>
    </xf>
    <xf numFmtId="0" fontId="1" fillId="17" borderId="23" xfId="0" applyFont="1" applyFill="1" applyBorder="1" applyAlignment="1">
      <alignment wrapText="1"/>
    </xf>
    <xf numFmtId="0" fontId="1" fillId="20" borderId="23" xfId="0" applyFont="1" applyFill="1" applyBorder="1" applyAlignment="1">
      <alignment wrapText="1"/>
    </xf>
    <xf numFmtId="0" fontId="1" fillId="23" borderId="23" xfId="0" applyFont="1" applyFill="1" applyBorder="1" applyAlignment="1">
      <alignment wrapText="1"/>
    </xf>
    <xf numFmtId="0" fontId="21" fillId="23" borderId="23" xfId="0" applyFont="1" applyFill="1" applyBorder="1" applyAlignment="1">
      <alignment wrapText="1"/>
    </xf>
    <xf numFmtId="0" fontId="28" fillId="21" borderId="23" xfId="0" applyFont="1" applyFill="1" applyBorder="1" applyAlignment="1">
      <alignment wrapText="1"/>
    </xf>
    <xf numFmtId="0" fontId="28" fillId="20" borderId="23" xfId="0" applyFont="1" applyFill="1" applyBorder="1" applyAlignment="1">
      <alignment wrapText="1"/>
    </xf>
    <xf numFmtId="0" fontId="29" fillId="20" borderId="23" xfId="0" applyFont="1" applyFill="1" applyBorder="1" applyAlignment="1">
      <alignment wrapText="1"/>
    </xf>
    <xf numFmtId="0" fontId="30" fillId="22" borderId="23" xfId="0" applyFont="1" applyFill="1" applyBorder="1" applyAlignment="1">
      <alignment wrapText="1"/>
    </xf>
    <xf numFmtId="0" fontId="31" fillId="0" borderId="23" xfId="0" applyFont="1" applyFill="1" applyBorder="1" applyAlignment="1">
      <alignment wrapText="1"/>
    </xf>
    <xf numFmtId="0" fontId="1" fillId="22" borderId="23" xfId="0" applyFont="1" applyFill="1" applyBorder="1" applyAlignment="1">
      <alignment wrapText="1"/>
    </xf>
    <xf numFmtId="0" fontId="1" fillId="27" borderId="23" xfId="0" applyFont="1" applyFill="1" applyBorder="1" applyAlignment="1">
      <alignment wrapText="1"/>
    </xf>
    <xf numFmtId="0" fontId="32" fillId="0" borderId="25" xfId="0" applyFont="1" applyFill="1" applyBorder="1" applyAlignment="1">
      <alignment wrapText="1"/>
    </xf>
    <xf numFmtId="0" fontId="1" fillId="34" borderId="23" xfId="0" applyFont="1" applyFill="1" applyBorder="1" applyAlignment="1">
      <alignment wrapText="1"/>
    </xf>
    <xf numFmtId="0" fontId="8" fillId="22" borderId="0" xfId="0" applyFont="1" applyFill="1" applyBorder="1" applyAlignment="1">
      <alignment wrapText="1"/>
    </xf>
    <xf numFmtId="0" fontId="26" fillId="0" borderId="0" xfId="0" applyFont="1" applyFill="1" applyBorder="1" applyAlignment="1">
      <alignment wrapText="1"/>
    </xf>
    <xf numFmtId="0" fontId="8" fillId="25" borderId="21" xfId="0" applyFont="1" applyFill="1" applyBorder="1" applyAlignment="1">
      <alignment wrapText="1"/>
    </xf>
    <xf numFmtId="0" fontId="8" fillId="21" borderId="0" xfId="0" applyFont="1" applyFill="1" applyBorder="1" applyAlignment="1">
      <alignment wrapText="1"/>
    </xf>
    <xf numFmtId="0" fontId="21" fillId="20" borderId="23" xfId="0" applyFont="1" applyFill="1" applyBorder="1" applyAlignment="1">
      <alignment wrapText="1"/>
    </xf>
    <xf numFmtId="0" fontId="33" fillId="20" borderId="23" xfId="0" applyFont="1" applyFill="1" applyBorder="1" applyAlignment="1">
      <alignment wrapText="1"/>
    </xf>
    <xf numFmtId="0" fontId="28" fillId="35" borderId="23" xfId="0" applyFont="1" applyFill="1" applyBorder="1" applyAlignment="1">
      <alignment wrapText="1"/>
    </xf>
    <xf numFmtId="0" fontId="21" fillId="22" borderId="23" xfId="0" applyFont="1" applyFill="1" applyBorder="1" applyAlignment="1">
      <alignment wrapText="1"/>
    </xf>
    <xf numFmtId="0" fontId="1" fillId="36" borderId="23" xfId="0" applyFont="1" applyFill="1" applyBorder="1" applyAlignment="1">
      <alignment wrapText="1"/>
    </xf>
    <xf numFmtId="0" fontId="31" fillId="37" borderId="23" xfId="0" applyFont="1" applyFill="1" applyBorder="1" applyAlignment="1">
      <alignment wrapText="1"/>
    </xf>
    <xf numFmtId="0" fontId="1" fillId="0" borderId="22" xfId="0" applyFont="1" applyFill="1" applyBorder="1" applyAlignment="1">
      <alignment wrapText="1"/>
    </xf>
    <xf numFmtId="0" fontId="1" fillId="21" borderId="26" xfId="0" applyFont="1" applyFill="1" applyBorder="1" applyAlignment="1">
      <alignment wrapText="1"/>
    </xf>
    <xf numFmtId="0" fontId="27" fillId="38" borderId="6" xfId="0" applyFont="1" applyFill="1" applyBorder="1" applyAlignment="1">
      <alignment wrapText="1"/>
    </xf>
    <xf numFmtId="0" fontId="8" fillId="22" borderId="14" xfId="0" applyFont="1" applyFill="1" applyBorder="1" applyAlignment="1">
      <alignment wrapText="1"/>
    </xf>
    <xf numFmtId="0" fontId="8" fillId="0" borderId="0" xfId="0" applyFont="1" applyFill="1" applyBorder="1" applyAlignment="1">
      <alignment wrapText="1"/>
    </xf>
    <xf numFmtId="0" fontId="1" fillId="33" borderId="21" xfId="0" applyFont="1" applyFill="1" applyBorder="1" applyAlignment="1">
      <alignment wrapText="1"/>
    </xf>
    <xf numFmtId="0" fontId="1" fillId="33" borderId="23" xfId="0" applyFont="1" applyFill="1" applyBorder="1" applyAlignment="1">
      <alignment wrapText="1"/>
    </xf>
    <xf numFmtId="0" fontId="21" fillId="18" borderId="23" xfId="0" applyFont="1" applyFill="1" applyBorder="1" applyAlignment="1">
      <alignment wrapText="1"/>
    </xf>
    <xf numFmtId="0" fontId="22" fillId="18" borderId="23" xfId="0" applyFont="1" applyFill="1" applyBorder="1" applyAlignment="1">
      <alignment wrapText="1"/>
    </xf>
    <xf numFmtId="0" fontId="8" fillId="33" borderId="23" xfId="0" applyFont="1" applyFill="1" applyBorder="1" applyAlignment="1">
      <alignment wrapText="1"/>
    </xf>
    <xf numFmtId="0" fontId="28" fillId="33" borderId="23" xfId="0" applyFont="1" applyFill="1" applyBorder="1" applyAlignment="1">
      <alignment wrapText="1"/>
    </xf>
    <xf numFmtId="0" fontId="22" fillId="33" borderId="23" xfId="0" applyFont="1" applyFill="1" applyBorder="1" applyAlignment="1">
      <alignment wrapText="1"/>
    </xf>
    <xf numFmtId="0" fontId="1" fillId="28" borderId="23" xfId="0" applyFont="1" applyFill="1" applyBorder="1" applyAlignment="1">
      <alignment wrapText="1"/>
    </xf>
    <xf numFmtId="0" fontId="31" fillId="0" borderId="23" xfId="0" quotePrefix="1" applyFont="1" applyFill="1" applyBorder="1" applyAlignment="1">
      <alignment wrapText="1"/>
    </xf>
    <xf numFmtId="0" fontId="1" fillId="30" borderId="23" xfId="0" applyFont="1" applyFill="1" applyBorder="1" applyAlignment="1">
      <alignment wrapText="1"/>
    </xf>
    <xf numFmtId="0" fontId="1" fillId="31" borderId="29" xfId="0" applyFont="1" applyFill="1" applyBorder="1" applyAlignment="1">
      <alignment wrapText="1"/>
    </xf>
    <xf numFmtId="0" fontId="1" fillId="16" borderId="27" xfId="0" applyFont="1" applyFill="1" applyBorder="1" applyAlignment="1">
      <alignment wrapText="1"/>
    </xf>
    <xf numFmtId="0" fontId="1" fillId="16" borderId="30" xfId="0" applyFont="1" applyFill="1" applyBorder="1" applyAlignment="1">
      <alignment wrapText="1"/>
    </xf>
    <xf numFmtId="0" fontId="1" fillId="20" borderId="30" xfId="0" applyFont="1" applyFill="1" applyBorder="1" applyAlignment="1">
      <alignment wrapText="1"/>
    </xf>
    <xf numFmtId="0" fontId="1" fillId="33" borderId="30" xfId="0" applyFont="1" applyFill="1" applyBorder="1" applyAlignment="1">
      <alignment wrapText="1"/>
    </xf>
    <xf numFmtId="0" fontId="8" fillId="20" borderId="30" xfId="0" applyFont="1" applyFill="1" applyBorder="1" applyAlignment="1">
      <alignment wrapText="1"/>
    </xf>
    <xf numFmtId="0" fontId="28" fillId="33" borderId="30" xfId="0" applyFont="1" applyFill="1" applyBorder="1" applyAlignment="1">
      <alignment wrapText="1"/>
    </xf>
    <xf numFmtId="0" fontId="29" fillId="20" borderId="30" xfId="0" applyFont="1" applyFill="1" applyBorder="1" applyAlignment="1">
      <alignment wrapText="1"/>
    </xf>
    <xf numFmtId="0" fontId="8" fillId="24" borderId="27" xfId="0" applyFont="1" applyFill="1" applyBorder="1" applyAlignment="1">
      <alignment wrapText="1"/>
    </xf>
    <xf numFmtId="0" fontId="1" fillId="34" borderId="27" xfId="0" applyFont="1" applyFill="1" applyBorder="1" applyAlignment="1">
      <alignment wrapText="1"/>
    </xf>
    <xf numFmtId="0" fontId="32" fillId="27" borderId="29" xfId="0" applyFont="1" applyFill="1" applyBorder="1" applyAlignment="1">
      <alignment wrapText="1"/>
    </xf>
    <xf numFmtId="0" fontId="32" fillId="23" borderId="28" xfId="0" applyFont="1" applyFill="1" applyBorder="1" applyAlignment="1">
      <alignment wrapText="1"/>
    </xf>
    <xf numFmtId="0" fontId="28" fillId="22" borderId="21" xfId="0" applyFont="1" applyFill="1" applyBorder="1" applyAlignment="1">
      <alignment wrapText="1"/>
    </xf>
    <xf numFmtId="0" fontId="29" fillId="22" borderId="21" xfId="0" applyFont="1" applyFill="1" applyBorder="1" applyAlignment="1">
      <alignment wrapText="1"/>
    </xf>
    <xf numFmtId="0" fontId="22" fillId="0" borderId="21" xfId="0" applyFont="1" applyFill="1" applyBorder="1" applyAlignment="1">
      <alignment wrapText="1"/>
    </xf>
    <xf numFmtId="0" fontId="31" fillId="29" borderId="21" xfId="0" applyFont="1" applyFill="1" applyBorder="1" applyAlignment="1">
      <alignment wrapText="1"/>
    </xf>
    <xf numFmtId="0" fontId="1" fillId="0" borderId="24" xfId="0" applyFont="1" applyFill="1" applyBorder="1" applyAlignment="1">
      <alignment wrapText="1"/>
    </xf>
    <xf numFmtId="0" fontId="1" fillId="20" borderId="6" xfId="0" applyFont="1" applyFill="1" applyBorder="1" applyAlignment="1">
      <alignment wrapText="1"/>
    </xf>
    <xf numFmtId="0" fontId="12" fillId="30" borderId="21" xfId="0" applyFont="1" applyFill="1" applyBorder="1" applyAlignment="1">
      <alignment wrapText="1"/>
    </xf>
    <xf numFmtId="0" fontId="28" fillId="22" borderId="23" xfId="0" applyFont="1" applyFill="1" applyBorder="1" applyAlignment="1">
      <alignment wrapText="1"/>
    </xf>
    <xf numFmtId="0" fontId="22" fillId="0" borderId="23" xfId="0" applyFont="1" applyFill="1" applyBorder="1" applyAlignment="1">
      <alignment wrapText="1"/>
    </xf>
    <xf numFmtId="0" fontId="29" fillId="22" borderId="23" xfId="0" applyFont="1" applyFill="1" applyBorder="1" applyAlignment="1">
      <alignment wrapText="1"/>
    </xf>
    <xf numFmtId="0" fontId="31" fillId="29" borderId="23" xfId="0" applyFont="1" applyFill="1" applyBorder="1" applyAlignment="1">
      <alignment wrapText="1"/>
    </xf>
    <xf numFmtId="0" fontId="12" fillId="30" borderId="23" xfId="0" applyFont="1" applyFill="1" applyBorder="1" applyAlignment="1">
      <alignment wrapText="1"/>
    </xf>
    <xf numFmtId="0" fontId="28" fillId="0" borderId="23" xfId="0" applyFont="1" applyFill="1" applyBorder="1" applyAlignment="1">
      <alignment wrapText="1"/>
    </xf>
    <xf numFmtId="0" fontId="1" fillId="40" borderId="24" xfId="0" applyFont="1" applyFill="1" applyBorder="1" applyAlignment="1">
      <alignment wrapText="1"/>
    </xf>
    <xf numFmtId="0" fontId="21" fillId="17" borderId="21" xfId="0" applyFont="1" applyFill="1" applyBorder="1" applyAlignment="1">
      <alignment wrapText="1"/>
    </xf>
    <xf numFmtId="0" fontId="1" fillId="32" borderId="21" xfId="0" applyFont="1" applyFill="1" applyBorder="1" applyAlignment="1">
      <alignment wrapText="1"/>
    </xf>
    <xf numFmtId="0" fontId="21" fillId="32" borderId="21" xfId="0" applyFont="1" applyFill="1" applyBorder="1" applyAlignment="1">
      <alignment wrapText="1"/>
    </xf>
    <xf numFmtId="0" fontId="1" fillId="23" borderId="21" xfId="0" applyFont="1" applyFill="1" applyBorder="1" applyAlignment="1">
      <alignment wrapText="1"/>
    </xf>
    <xf numFmtId="0" fontId="28" fillId="20" borderId="21" xfId="0" applyFont="1" applyFill="1" applyBorder="1" applyAlignment="1">
      <alignment wrapText="1"/>
    </xf>
    <xf numFmtId="0" fontId="22" fillId="32" borderId="21" xfId="0" applyFont="1" applyFill="1" applyBorder="1" applyAlignment="1">
      <alignment wrapText="1"/>
    </xf>
    <xf numFmtId="0" fontId="28" fillId="33" borderId="21" xfId="0" applyFont="1" applyFill="1" applyBorder="1" applyAlignment="1">
      <alignment wrapText="1"/>
    </xf>
    <xf numFmtId="0" fontId="22" fillId="33" borderId="21" xfId="0" applyFont="1" applyFill="1" applyBorder="1" applyAlignment="1">
      <alignment wrapText="1"/>
    </xf>
    <xf numFmtId="0" fontId="8" fillId="20" borderId="21" xfId="0" applyFont="1" applyFill="1" applyBorder="1" applyAlignment="1">
      <alignment wrapText="1"/>
    </xf>
    <xf numFmtId="0" fontId="22" fillId="20" borderId="21" xfId="0" applyFont="1" applyFill="1" applyBorder="1" applyAlignment="1">
      <alignment wrapText="1"/>
    </xf>
    <xf numFmtId="0" fontId="22" fillId="41" borderId="21" xfId="0" applyFont="1" applyFill="1" applyBorder="1" applyAlignment="1">
      <alignment wrapText="1"/>
    </xf>
    <xf numFmtId="0" fontId="29" fillId="20" borderId="21" xfId="0" applyFont="1" applyFill="1" applyBorder="1" applyAlignment="1">
      <alignment wrapText="1"/>
    </xf>
    <xf numFmtId="0" fontId="28" fillId="21" borderId="21" xfId="0" applyFont="1" applyFill="1" applyBorder="1" applyAlignment="1">
      <alignment wrapText="1"/>
    </xf>
    <xf numFmtId="0" fontId="22" fillId="21" borderId="21" xfId="0" applyFont="1" applyFill="1" applyBorder="1" applyAlignment="1">
      <alignment wrapText="1"/>
    </xf>
    <xf numFmtId="0" fontId="8" fillId="27" borderId="21" xfId="0" applyFont="1" applyFill="1" applyBorder="1" applyAlignment="1">
      <alignment wrapText="1"/>
    </xf>
    <xf numFmtId="0" fontId="22" fillId="26" borderId="21" xfId="0" applyFont="1" applyFill="1" applyBorder="1" applyAlignment="1">
      <alignment wrapText="1"/>
    </xf>
    <xf numFmtId="0" fontId="1" fillId="27" borderId="21" xfId="0" applyFont="1" applyFill="1" applyBorder="1" applyAlignment="1">
      <alignment wrapText="1"/>
    </xf>
    <xf numFmtId="0" fontId="1" fillId="24" borderId="21" xfId="0" applyFont="1" applyFill="1" applyBorder="1" applyAlignment="1">
      <alignment wrapText="1"/>
    </xf>
    <xf numFmtId="0" fontId="1" fillId="34" borderId="31" xfId="0" applyFont="1" applyFill="1" applyBorder="1" applyAlignment="1">
      <alignment wrapText="1"/>
    </xf>
    <xf numFmtId="0" fontId="34" fillId="42" borderId="6" xfId="0" applyFont="1" applyFill="1" applyBorder="1" applyAlignment="1">
      <alignment wrapText="1"/>
    </xf>
    <xf numFmtId="0" fontId="8" fillId="21" borderId="21" xfId="0" applyFont="1" applyFill="1" applyBorder="1" applyAlignment="1">
      <alignment wrapText="1"/>
    </xf>
    <xf numFmtId="0" fontId="8" fillId="23" borderId="21" xfId="0" applyFont="1" applyFill="1" applyBorder="1" applyAlignment="1">
      <alignment wrapText="1"/>
    </xf>
    <xf numFmtId="0" fontId="32" fillId="34" borderId="0" xfId="0" applyFont="1" applyFill="1" applyBorder="1" applyAlignment="1">
      <alignment wrapText="1"/>
    </xf>
    <xf numFmtId="0" fontId="35" fillId="21" borderId="21" xfId="0" applyFont="1" applyFill="1" applyBorder="1" applyAlignment="1">
      <alignment wrapText="1"/>
    </xf>
    <xf numFmtId="0" fontId="35" fillId="21" borderId="23" xfId="0" applyFont="1" applyFill="1" applyBorder="1" applyAlignment="1">
      <alignment wrapText="1"/>
    </xf>
    <xf numFmtId="0" fontId="31" fillId="21" borderId="23" xfId="0" applyFont="1" applyFill="1" applyBorder="1" applyAlignment="1">
      <alignment wrapText="1"/>
    </xf>
    <xf numFmtId="0" fontId="1" fillId="23" borderId="27" xfId="0" applyFont="1" applyFill="1" applyBorder="1" applyAlignment="1">
      <alignment wrapText="1"/>
    </xf>
    <xf numFmtId="0" fontId="11" fillId="39" borderId="6" xfId="0" applyFont="1" applyFill="1" applyBorder="1" applyAlignment="1">
      <alignment wrapText="1"/>
    </xf>
    <xf numFmtId="0" fontId="8" fillId="0" borderId="25" xfId="0" applyFont="1" applyFill="1" applyBorder="1" applyAlignment="1">
      <alignment wrapText="1"/>
    </xf>
    <xf numFmtId="0" fontId="1" fillId="20" borderId="25" xfId="0" applyFont="1" applyFill="1" applyBorder="1" applyAlignment="1">
      <alignment wrapText="1"/>
    </xf>
    <xf numFmtId="0" fontId="1" fillId="30" borderId="25" xfId="0" applyFont="1" applyFill="1" applyBorder="1" applyAlignment="1">
      <alignment wrapText="1"/>
    </xf>
    <xf numFmtId="0" fontId="8" fillId="0" borderId="6" xfId="0" applyFont="1" applyFill="1" applyBorder="1" applyAlignment="1">
      <alignment wrapText="1"/>
    </xf>
    <xf numFmtId="0" fontId="1" fillId="3" borderId="32" xfId="0" applyFont="1" applyFill="1" applyBorder="1" applyAlignment="1">
      <alignment horizontal="center" vertical="center" wrapText="1"/>
    </xf>
    <xf numFmtId="0" fontId="1" fillId="18" borderId="6" xfId="0" applyFont="1" applyFill="1" applyBorder="1" applyAlignment="1">
      <alignment wrapText="1"/>
    </xf>
    <xf numFmtId="0" fontId="3" fillId="43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/>
    <xf numFmtId="0" fontId="3" fillId="9" borderId="14" xfId="0" applyFont="1" applyFill="1" applyBorder="1" applyAlignment="1"/>
    <xf numFmtId="0" fontId="1" fillId="10" borderId="19" xfId="0" applyFont="1" applyFill="1" applyBorder="1" applyAlignment="1">
      <alignment horizontal="center"/>
    </xf>
    <xf numFmtId="0" fontId="3" fillId="10" borderId="17" xfId="0" applyFont="1" applyFill="1" applyBorder="1" applyAlignment="1"/>
    <xf numFmtId="0" fontId="3" fillId="10" borderId="20" xfId="0" applyFont="1" applyFill="1" applyBorder="1" applyAlignmen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%20-%20FS%20Budapest%20_HEP%20Daily_January%202020%20-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FS Budapest"/>
    </sheetNames>
    <sheetDataSet>
      <sheetData sheetId="0" refreshError="1"/>
      <sheetData sheetId="1" refreshError="1"/>
      <sheetData sheetId="2">
        <row r="4">
          <cell r="H4">
            <v>121783</v>
          </cell>
        </row>
        <row r="5">
          <cell r="H5">
            <v>121869</v>
          </cell>
        </row>
        <row r="6">
          <cell r="H6">
            <v>121955</v>
          </cell>
        </row>
        <row r="7">
          <cell r="H7">
            <v>122016</v>
          </cell>
        </row>
        <row r="8">
          <cell r="H8">
            <v>122080</v>
          </cell>
        </row>
        <row r="9">
          <cell r="H9">
            <v>122151</v>
          </cell>
        </row>
        <row r="10">
          <cell r="H10">
            <v>122208</v>
          </cell>
        </row>
        <row r="11">
          <cell r="H11">
            <v>122270</v>
          </cell>
        </row>
        <row r="12">
          <cell r="H12">
            <v>122316</v>
          </cell>
        </row>
        <row r="13">
          <cell r="H13">
            <v>122374</v>
          </cell>
        </row>
        <row r="14">
          <cell r="H14">
            <v>122430</v>
          </cell>
        </row>
        <row r="15">
          <cell r="H15">
            <v>122484</v>
          </cell>
        </row>
        <row r="16">
          <cell r="H16">
            <v>122531</v>
          </cell>
        </row>
        <row r="17">
          <cell r="H17">
            <v>122594</v>
          </cell>
        </row>
        <row r="18">
          <cell r="H18">
            <v>122666</v>
          </cell>
        </row>
        <row r="19">
          <cell r="H19">
            <v>122722</v>
          </cell>
        </row>
        <row r="20">
          <cell r="H20">
            <v>122778</v>
          </cell>
        </row>
        <row r="21">
          <cell r="H21">
            <v>122847</v>
          </cell>
        </row>
        <row r="22">
          <cell r="H22">
            <v>122920</v>
          </cell>
        </row>
        <row r="23">
          <cell r="H23">
            <v>122987</v>
          </cell>
        </row>
        <row r="24">
          <cell r="H24">
            <v>123060</v>
          </cell>
        </row>
        <row r="25">
          <cell r="H25">
            <v>123124</v>
          </cell>
        </row>
        <row r="26">
          <cell r="H26">
            <v>123183</v>
          </cell>
        </row>
        <row r="27">
          <cell r="H27">
            <v>123239</v>
          </cell>
        </row>
        <row r="28">
          <cell r="H28">
            <v>123288</v>
          </cell>
        </row>
        <row r="29">
          <cell r="H29">
            <v>123350</v>
          </cell>
        </row>
        <row r="30">
          <cell r="H30">
            <v>123396</v>
          </cell>
        </row>
        <row r="31">
          <cell r="H31">
            <v>123491</v>
          </cell>
        </row>
        <row r="32">
          <cell r="H32">
            <v>123609</v>
          </cell>
        </row>
        <row r="33">
          <cell r="H33">
            <v>123736</v>
          </cell>
        </row>
      </sheetData>
    </sheetDataSet>
  </externalBook>
</externalLink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/>
  </sheetPr>
  <dimension ref="A1:L35"/>
  <sheetViews>
    <sheetView tabSelected="1" topLeftCell="A9" zoomScaleNormal="100" workbookViewId="0">
      <selection activeCell="I35" sqref="I35"/>
    </sheetView>
  </sheetViews>
  <sheetFormatPr defaultColWidth="11.5546875" defaultRowHeight="14.4"/>
  <cols>
    <col min="1" max="2" width="11.5546875" style="2"/>
    <col min="3" max="3" width="11.5546875" style="11"/>
    <col min="4" max="4" width="13.44140625" style="2" customWidth="1"/>
    <col min="5" max="5" width="13" style="9" customWidth="1"/>
    <col min="6" max="6" width="12.5546875" style="11" customWidth="1"/>
    <col min="7" max="7" width="13" style="4" customWidth="1"/>
    <col min="8" max="8" width="11.5546875" style="11"/>
    <col min="9" max="9" width="11.5546875" style="2"/>
    <col min="10" max="10" width="11.5546875" style="11"/>
    <col min="11" max="11" width="11.5546875" style="2"/>
  </cols>
  <sheetData>
    <row r="1" spans="1:12" s="1" customFormat="1" ht="43.2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79" t="s">
        <v>5</v>
      </c>
      <c r="G1" s="7" t="s">
        <v>6</v>
      </c>
      <c r="H1" s="79" t="s">
        <v>7</v>
      </c>
      <c r="I1" s="6" t="s">
        <v>8</v>
      </c>
      <c r="J1" s="79" t="s">
        <v>9</v>
      </c>
      <c r="K1" s="6" t="s">
        <v>10</v>
      </c>
      <c r="L1" s="6" t="s">
        <v>11</v>
      </c>
    </row>
    <row r="2" spans="1:12" s="14" customFormat="1">
      <c r="A2" s="12" t="s">
        <v>12</v>
      </c>
      <c r="B2" s="12">
        <v>1</v>
      </c>
      <c r="C2" s="3">
        <v>2</v>
      </c>
      <c r="D2" s="12">
        <v>2020</v>
      </c>
      <c r="E2" s="13">
        <f>Submetering!X2+Submetering!Y2</f>
        <v>13551.99999999968</v>
      </c>
      <c r="F2" s="3">
        <v>7.7909227967643713E-2</v>
      </c>
      <c r="G2" s="13">
        <f>Submetering!T2+Submetering!U2</f>
        <v>1364</v>
      </c>
      <c r="H2" s="3">
        <v>0.24162482260951298</v>
      </c>
      <c r="I2" s="13">
        <f>Submetering!E2+Submetering!H2</f>
        <v>86</v>
      </c>
      <c r="J2" s="84">
        <v>1.686569936015061</v>
      </c>
      <c r="K2" s="12">
        <f>Submetering!AF2</f>
        <v>66</v>
      </c>
      <c r="L2" s="12">
        <f>Submetering!AG2</f>
        <v>111</v>
      </c>
    </row>
    <row r="3" spans="1:12" s="16" customFormat="1">
      <c r="A3" s="12" t="s">
        <v>12</v>
      </c>
      <c r="B3" s="15">
        <f>B2+1</f>
        <v>2</v>
      </c>
      <c r="C3" s="3">
        <v>2</v>
      </c>
      <c r="D3" s="12">
        <v>2020</v>
      </c>
      <c r="E3" s="13">
        <f>Submetering!X3+Submetering!Y3</f>
        <v>14607.999999998719</v>
      </c>
      <c r="F3" s="3">
        <v>7.7909227967643713E-2</v>
      </c>
      <c r="G3" s="13">
        <f>Submetering!T3+Submetering!U3</f>
        <v>1753</v>
      </c>
      <c r="H3" s="3">
        <v>0.24162482260951298</v>
      </c>
      <c r="I3" s="13">
        <f>Submetering!E3+Submetering!H3</f>
        <v>86</v>
      </c>
      <c r="J3" s="84">
        <f>J2</f>
        <v>1.686569936015061</v>
      </c>
      <c r="K3" s="12">
        <f>Submetering!AF3</f>
        <v>59</v>
      </c>
      <c r="L3" s="12">
        <f>Submetering!AG3</f>
        <v>81</v>
      </c>
    </row>
    <row r="4" spans="1:12" s="16" customFormat="1">
      <c r="A4" s="12" t="s">
        <v>12</v>
      </c>
      <c r="B4" s="15">
        <f t="shared" ref="B4:B30" si="0">B3+1</f>
        <v>3</v>
      </c>
      <c r="C4" s="3">
        <v>2</v>
      </c>
      <c r="D4" s="12">
        <v>2020</v>
      </c>
      <c r="E4" s="13">
        <f>Submetering!X4+Submetering!Y4</f>
        <v>14167.999999997119</v>
      </c>
      <c r="F4" s="3">
        <v>7.7909227967643713E-2</v>
      </c>
      <c r="G4" s="13">
        <f>Submetering!T4+Submetering!U4</f>
        <v>2207</v>
      </c>
      <c r="H4" s="3">
        <v>0.24162482260951298</v>
      </c>
      <c r="I4" s="13">
        <f>Submetering!E4+Submetering!H4</f>
        <v>61</v>
      </c>
      <c r="J4" s="84">
        <f t="shared" ref="J4:J30" si="1">J3</f>
        <v>1.686569936015061</v>
      </c>
      <c r="K4" s="12">
        <f>Submetering!AF4</f>
        <v>66</v>
      </c>
      <c r="L4" s="12">
        <f>Submetering!AG4</f>
        <v>80</v>
      </c>
    </row>
    <row r="5" spans="1:12" s="16" customFormat="1">
      <c r="A5" s="12" t="s">
        <v>12</v>
      </c>
      <c r="B5" s="15">
        <f t="shared" si="0"/>
        <v>4</v>
      </c>
      <c r="C5" s="3">
        <v>2</v>
      </c>
      <c r="D5" s="12">
        <v>2020</v>
      </c>
      <c r="E5" s="13">
        <f>Submetering!X5+Submetering!Y5</f>
        <v>16104.000000007363</v>
      </c>
      <c r="F5" s="3">
        <v>7.7909227967643713E-2</v>
      </c>
      <c r="G5" s="13">
        <f>Submetering!T5+Submetering!U5</f>
        <v>2493</v>
      </c>
      <c r="H5" s="3">
        <v>0.24162482260951298</v>
      </c>
      <c r="I5" s="13">
        <f>Submetering!E5+Submetering!H5</f>
        <v>64</v>
      </c>
      <c r="J5" s="84">
        <f t="shared" si="1"/>
        <v>1.686569936015061</v>
      </c>
      <c r="K5" s="12">
        <f>Submetering!AF5</f>
        <v>89</v>
      </c>
      <c r="L5" s="12">
        <f>Submetering!AG5</f>
        <v>108</v>
      </c>
    </row>
    <row r="6" spans="1:12" s="16" customFormat="1">
      <c r="A6" s="12" t="s">
        <v>12</v>
      </c>
      <c r="B6" s="15">
        <f t="shared" si="0"/>
        <v>5</v>
      </c>
      <c r="C6" s="3">
        <v>2</v>
      </c>
      <c r="D6" s="12">
        <v>2020</v>
      </c>
      <c r="E6" s="13">
        <f>Submetering!X6+Submetering!Y6</f>
        <v>14695.999999992637</v>
      </c>
      <c r="F6" s="3">
        <v>7.7909227967643713E-2</v>
      </c>
      <c r="G6" s="13">
        <f>Submetering!T6+Submetering!U6</f>
        <v>2717</v>
      </c>
      <c r="H6" s="3">
        <v>0.24162482260951298</v>
      </c>
      <c r="I6" s="13">
        <f>Submetering!E6+Submetering!H6</f>
        <v>71</v>
      </c>
      <c r="J6" s="84">
        <f t="shared" si="1"/>
        <v>1.686569936015061</v>
      </c>
      <c r="K6" s="12">
        <f>Submetering!AF6</f>
        <v>83</v>
      </c>
      <c r="L6" s="12">
        <f>Submetering!AG6</f>
        <v>102</v>
      </c>
    </row>
    <row r="7" spans="1:12" s="16" customFormat="1">
      <c r="A7" s="12" t="s">
        <v>12</v>
      </c>
      <c r="B7" s="15">
        <f t="shared" si="0"/>
        <v>6</v>
      </c>
      <c r="C7" s="3">
        <v>2</v>
      </c>
      <c r="D7" s="12">
        <v>2020</v>
      </c>
      <c r="E7" s="13">
        <f>Submetering!X7+Submetering!Y7</f>
        <v>14036.000000002241</v>
      </c>
      <c r="F7" s="3">
        <v>7.7909227967643713E-2</v>
      </c>
      <c r="G7" s="13">
        <f>Submetering!T7+Submetering!U7</f>
        <v>2697</v>
      </c>
      <c r="H7" s="3">
        <v>0.24162482260951298</v>
      </c>
      <c r="I7" s="13">
        <f>Submetering!E7+Submetering!H7</f>
        <v>57</v>
      </c>
      <c r="J7" s="84">
        <f t="shared" si="1"/>
        <v>1.686569936015061</v>
      </c>
      <c r="K7" s="12">
        <f>Submetering!AF7</f>
        <v>74</v>
      </c>
      <c r="L7" s="12">
        <f>Submetering!AG7</f>
        <v>93</v>
      </c>
    </row>
    <row r="8" spans="1:12" s="16" customFormat="1">
      <c r="A8" s="12" t="s">
        <v>12</v>
      </c>
      <c r="B8" s="15">
        <f t="shared" si="0"/>
        <v>7</v>
      </c>
      <c r="C8" s="3">
        <v>2</v>
      </c>
      <c r="D8" s="12">
        <v>2020</v>
      </c>
      <c r="E8" s="13">
        <f>Submetering!X8+Submetering!Y8</f>
        <v>15311.999999998079</v>
      </c>
      <c r="F8" s="3">
        <v>7.7909227967643713E-2</v>
      </c>
      <c r="G8" s="13">
        <f>Submetering!T8+Submetering!U8</f>
        <v>2294</v>
      </c>
      <c r="H8" s="3">
        <v>0.24162482260951298</v>
      </c>
      <c r="I8" s="13">
        <f>Submetering!E8+Submetering!H8</f>
        <v>62</v>
      </c>
      <c r="J8" s="84">
        <f t="shared" si="1"/>
        <v>1.686569936015061</v>
      </c>
      <c r="K8" s="12">
        <f>Submetering!AF8</f>
        <v>67</v>
      </c>
      <c r="L8" s="12">
        <f>Submetering!AG8</f>
        <v>100</v>
      </c>
    </row>
    <row r="9" spans="1:12" s="16" customFormat="1">
      <c r="A9" s="12" t="s">
        <v>12</v>
      </c>
      <c r="B9" s="15">
        <f t="shared" si="0"/>
        <v>8</v>
      </c>
      <c r="C9" s="3">
        <v>2</v>
      </c>
      <c r="D9" s="12">
        <v>2020</v>
      </c>
      <c r="E9" s="13">
        <f>Submetering!X9+Submetering!Y9</f>
        <v>13772.000000004482</v>
      </c>
      <c r="F9" s="3">
        <v>7.7909227967643713E-2</v>
      </c>
      <c r="G9" s="13">
        <f>Submetering!T9+Submetering!U9</f>
        <v>3004</v>
      </c>
      <c r="H9" s="3">
        <v>0.24162482260951298</v>
      </c>
      <c r="I9" s="13">
        <f>Submetering!E9+Submetering!H9</f>
        <v>46</v>
      </c>
      <c r="J9" s="84">
        <f t="shared" si="1"/>
        <v>1.686569936015061</v>
      </c>
      <c r="K9" s="12">
        <f>Submetering!AF9</f>
        <v>59</v>
      </c>
      <c r="L9" s="12">
        <f>Submetering!AG9</f>
        <v>93</v>
      </c>
    </row>
    <row r="10" spans="1:12" s="16" customFormat="1">
      <c r="A10" s="12" t="s">
        <v>12</v>
      </c>
      <c r="B10" s="15">
        <f t="shared" si="0"/>
        <v>9</v>
      </c>
      <c r="C10" s="3">
        <v>2</v>
      </c>
      <c r="D10" s="12">
        <v>2020</v>
      </c>
      <c r="E10" s="13">
        <f>Submetering!X10+Submetering!Y10</f>
        <v>14651.99999999968</v>
      </c>
      <c r="F10" s="3">
        <v>7.7909227967643713E-2</v>
      </c>
      <c r="G10" s="13">
        <f>Submetering!T10+Submetering!U10</f>
        <v>2610</v>
      </c>
      <c r="H10" s="3">
        <v>0.24162482260951298</v>
      </c>
      <c r="I10" s="13">
        <f>Submetering!E10+Submetering!H10</f>
        <v>58</v>
      </c>
      <c r="J10" s="84">
        <f t="shared" si="1"/>
        <v>1.686569936015061</v>
      </c>
      <c r="K10" s="12">
        <f>Submetering!AF10</f>
        <v>46</v>
      </c>
      <c r="L10" s="12">
        <f>Submetering!AG10</f>
        <v>66</v>
      </c>
    </row>
    <row r="11" spans="1:12" s="16" customFormat="1">
      <c r="A11" s="12" t="s">
        <v>12</v>
      </c>
      <c r="B11" s="15">
        <f t="shared" si="0"/>
        <v>10</v>
      </c>
      <c r="C11" s="3">
        <v>2</v>
      </c>
      <c r="D11" s="12">
        <v>2020</v>
      </c>
      <c r="E11" s="13">
        <f>Submetering!X11+Submetering!Y11</f>
        <v>15180.000000003201</v>
      </c>
      <c r="F11" s="3">
        <v>7.7909227967643713E-2</v>
      </c>
      <c r="G11" s="13">
        <f>Submetering!T11+Submetering!U11</f>
        <v>1999</v>
      </c>
      <c r="H11" s="3">
        <v>0.24162482260951298</v>
      </c>
      <c r="I11" s="13">
        <f>Submetering!E11+Submetering!H11</f>
        <v>56</v>
      </c>
      <c r="J11" s="84">
        <f t="shared" si="1"/>
        <v>1.686569936015061</v>
      </c>
      <c r="K11" s="12">
        <f>Submetering!AF11</f>
        <v>68</v>
      </c>
      <c r="L11" s="12">
        <f>Submetering!AG11</f>
        <v>89</v>
      </c>
    </row>
    <row r="12" spans="1:12" s="16" customFormat="1">
      <c r="A12" s="12" t="s">
        <v>12</v>
      </c>
      <c r="B12" s="15">
        <f t="shared" si="0"/>
        <v>11</v>
      </c>
      <c r="C12" s="3">
        <v>2</v>
      </c>
      <c r="D12" s="12">
        <v>2020</v>
      </c>
      <c r="E12" s="13">
        <f>Submetering!X12+Submetering!Y12</f>
        <v>14519.999999996799</v>
      </c>
      <c r="F12" s="3">
        <v>7.7909227967643713E-2</v>
      </c>
      <c r="G12" s="13">
        <f>Submetering!T12+Submetering!U12</f>
        <v>2341</v>
      </c>
      <c r="H12" s="3">
        <v>0.24162482260951298</v>
      </c>
      <c r="I12" s="13">
        <f>Submetering!E12+Submetering!H12</f>
        <v>83</v>
      </c>
      <c r="J12" s="84">
        <f t="shared" si="1"/>
        <v>1.686569936015061</v>
      </c>
      <c r="K12" s="12">
        <f>Submetering!AF12</f>
        <v>76</v>
      </c>
      <c r="L12" s="12">
        <f>Submetering!AG12</f>
        <v>100</v>
      </c>
    </row>
    <row r="13" spans="1:12" s="16" customFormat="1">
      <c r="A13" s="12" t="s">
        <v>12</v>
      </c>
      <c r="B13" s="15">
        <f t="shared" si="0"/>
        <v>12</v>
      </c>
      <c r="C13" s="3">
        <v>2</v>
      </c>
      <c r="D13" s="12">
        <v>2020</v>
      </c>
      <c r="E13" s="13">
        <f>Submetering!X13+Submetering!Y13</f>
        <v>14563.999999997759</v>
      </c>
      <c r="F13" s="3">
        <v>7.7909227967643713E-2</v>
      </c>
      <c r="G13" s="13">
        <f>Submetering!T13+Submetering!U13</f>
        <v>2548</v>
      </c>
      <c r="H13" s="3">
        <v>0.24162482260951298</v>
      </c>
      <c r="I13" s="13">
        <f>Submetering!E13+Submetering!H13</f>
        <v>116</v>
      </c>
      <c r="J13" s="84">
        <f t="shared" si="1"/>
        <v>1.686569936015061</v>
      </c>
      <c r="K13" s="12">
        <f>Submetering!AF13</f>
        <v>68</v>
      </c>
      <c r="L13" s="12">
        <f>Submetering!AG13</f>
        <v>91</v>
      </c>
    </row>
    <row r="14" spans="1:12" s="16" customFormat="1">
      <c r="A14" s="12" t="s">
        <v>12</v>
      </c>
      <c r="B14" s="15">
        <f t="shared" si="0"/>
        <v>13</v>
      </c>
      <c r="C14" s="3">
        <v>2</v>
      </c>
      <c r="D14" s="12">
        <v>2020</v>
      </c>
      <c r="E14" s="13">
        <f>Submetering!X14+Submetering!Y14</f>
        <v>15400</v>
      </c>
      <c r="F14" s="3">
        <v>7.7909227967643713E-2</v>
      </c>
      <c r="G14" s="13">
        <f>Submetering!T14+Submetering!U14</f>
        <v>1959</v>
      </c>
      <c r="H14" s="3">
        <v>0.24162482260951298</v>
      </c>
      <c r="I14" s="13">
        <f>Submetering!E14+Submetering!H14</f>
        <v>115</v>
      </c>
      <c r="J14" s="84">
        <f t="shared" si="1"/>
        <v>1.686569936015061</v>
      </c>
      <c r="K14" s="12">
        <f>Submetering!AF14</f>
        <v>73</v>
      </c>
      <c r="L14" s="12">
        <f>Submetering!AG14</f>
        <v>102</v>
      </c>
    </row>
    <row r="15" spans="1:12" s="16" customFormat="1">
      <c r="A15" s="12" t="s">
        <v>12</v>
      </c>
      <c r="B15" s="15">
        <f t="shared" si="0"/>
        <v>14</v>
      </c>
      <c r="C15" s="3">
        <v>2</v>
      </c>
      <c r="D15" s="12">
        <v>2020</v>
      </c>
      <c r="E15" s="13">
        <f>Submetering!X15+Submetering!Y15</f>
        <v>15048.00000000032</v>
      </c>
      <c r="F15" s="3">
        <v>7.7909227967643713E-2</v>
      </c>
      <c r="G15" s="13">
        <f>Submetering!T15+Submetering!U15</f>
        <v>2395</v>
      </c>
      <c r="H15" s="3">
        <v>0.24162482260951298</v>
      </c>
      <c r="I15" s="13">
        <f>Submetering!E15+Submetering!H15</f>
        <v>151</v>
      </c>
      <c r="J15" s="84">
        <f t="shared" si="1"/>
        <v>1.686569936015061</v>
      </c>
      <c r="K15" s="12">
        <f>Submetering!AF15</f>
        <v>98</v>
      </c>
      <c r="L15" s="12">
        <f>Submetering!AG15</f>
        <v>160</v>
      </c>
    </row>
    <row r="16" spans="1:12" s="16" customFormat="1">
      <c r="A16" s="12" t="s">
        <v>12</v>
      </c>
      <c r="B16" s="15">
        <f t="shared" si="0"/>
        <v>15</v>
      </c>
      <c r="C16" s="3">
        <v>2</v>
      </c>
      <c r="D16" s="12">
        <v>2020</v>
      </c>
      <c r="E16" s="13">
        <f>Submetering!X16+Submetering!Y16</f>
        <v>15180.000000003201</v>
      </c>
      <c r="F16" s="3">
        <v>7.7909227967643713E-2</v>
      </c>
      <c r="G16" s="13">
        <f>Submetering!T16+Submetering!U16</f>
        <v>2387</v>
      </c>
      <c r="H16" s="3">
        <v>0.24162482260951298</v>
      </c>
      <c r="I16" s="13">
        <f>Submetering!E16+Submetering!H16</f>
        <v>131</v>
      </c>
      <c r="J16" s="84">
        <f t="shared" si="1"/>
        <v>1.686569936015061</v>
      </c>
      <c r="K16" s="12">
        <f>Submetering!AF16</f>
        <v>95</v>
      </c>
      <c r="L16" s="12">
        <f>Submetering!AG16</f>
        <v>162</v>
      </c>
    </row>
    <row r="17" spans="1:12" s="16" customFormat="1">
      <c r="A17" s="12" t="s">
        <v>12</v>
      </c>
      <c r="B17" s="15">
        <f t="shared" si="0"/>
        <v>16</v>
      </c>
      <c r="C17" s="3">
        <v>2</v>
      </c>
      <c r="D17" s="12">
        <v>2020</v>
      </c>
      <c r="E17" s="13">
        <f>Submetering!X17+Submetering!Y17</f>
        <v>14740.000000001601</v>
      </c>
      <c r="F17" s="3">
        <v>7.7909227967643713E-2</v>
      </c>
      <c r="G17" s="13">
        <f>Submetering!T17+Submetering!U17</f>
        <v>1806</v>
      </c>
      <c r="H17" s="3">
        <v>0.24162482260951298</v>
      </c>
      <c r="I17" s="13">
        <f>Submetering!E17+Submetering!H17</f>
        <v>110</v>
      </c>
      <c r="J17" s="84">
        <f t="shared" si="1"/>
        <v>1.686569936015061</v>
      </c>
      <c r="K17" s="12">
        <f>Submetering!AF17</f>
        <v>79</v>
      </c>
      <c r="L17" s="12">
        <f>Submetering!AG17</f>
        <v>115</v>
      </c>
    </row>
    <row r="18" spans="1:12" s="16" customFormat="1">
      <c r="A18" s="12" t="s">
        <v>12</v>
      </c>
      <c r="B18" s="15">
        <f t="shared" si="0"/>
        <v>17</v>
      </c>
      <c r="C18" s="3">
        <v>2</v>
      </c>
      <c r="D18" s="12">
        <v>2020</v>
      </c>
      <c r="E18" s="13">
        <f>Submetering!X18+Submetering!Y18</f>
        <v>16455.99999999904</v>
      </c>
      <c r="F18" s="3">
        <v>7.7909227967643713E-2</v>
      </c>
      <c r="G18" s="13">
        <f>Submetering!T18+Submetering!U18</f>
        <v>2015</v>
      </c>
      <c r="H18" s="3">
        <v>0.24162482260951298</v>
      </c>
      <c r="I18" s="13">
        <f>Submetering!E18+Submetering!H18</f>
        <v>137</v>
      </c>
      <c r="J18" s="84">
        <f t="shared" si="1"/>
        <v>1.686569936015061</v>
      </c>
      <c r="K18" s="12">
        <f>Submetering!AF18</f>
        <v>83</v>
      </c>
      <c r="L18" s="12">
        <f>Submetering!AG18</f>
        <v>116</v>
      </c>
    </row>
    <row r="19" spans="1:12" s="16" customFormat="1">
      <c r="A19" s="12" t="s">
        <v>12</v>
      </c>
      <c r="B19" s="15">
        <f t="shared" si="0"/>
        <v>18</v>
      </c>
      <c r="C19" s="3">
        <v>2</v>
      </c>
      <c r="D19" s="12">
        <v>2020</v>
      </c>
      <c r="E19" s="13">
        <f>Submetering!X19+Submetering!Y19</f>
        <v>12407.999999998719</v>
      </c>
      <c r="F19" s="3">
        <v>7.7909227967643713E-2</v>
      </c>
      <c r="G19" s="13">
        <f>Submetering!T19+Submetering!U19</f>
        <v>2351</v>
      </c>
      <c r="H19" s="3">
        <v>0.24162482260951298</v>
      </c>
      <c r="I19" s="13">
        <f>Submetering!E19+Submetering!H19</f>
        <v>145</v>
      </c>
      <c r="J19" s="84">
        <f t="shared" si="1"/>
        <v>1.686569936015061</v>
      </c>
      <c r="K19" s="12">
        <f>Submetering!AF19</f>
        <v>73</v>
      </c>
      <c r="L19" s="12">
        <f>Submetering!AG19</f>
        <v>104</v>
      </c>
    </row>
    <row r="20" spans="1:12" s="16" customFormat="1">
      <c r="A20" s="12" t="s">
        <v>12</v>
      </c>
      <c r="B20" s="15">
        <f t="shared" si="0"/>
        <v>19</v>
      </c>
      <c r="C20" s="3">
        <v>2</v>
      </c>
      <c r="D20" s="12">
        <v>2020</v>
      </c>
      <c r="E20" s="13">
        <f>Submetering!X20+Submetering!Y20</f>
        <v>17248.00000000032</v>
      </c>
      <c r="F20" s="3">
        <v>7.7909227967643713E-2</v>
      </c>
      <c r="G20" s="13">
        <f>Submetering!T20+Submetering!U20</f>
        <v>2151</v>
      </c>
      <c r="H20" s="3">
        <v>0.24162482260951298</v>
      </c>
      <c r="I20" s="13">
        <f>Submetering!E20+Submetering!H20</f>
        <v>121</v>
      </c>
      <c r="J20" s="84">
        <f t="shared" si="1"/>
        <v>1.686569936015061</v>
      </c>
      <c r="K20" s="12">
        <f>Submetering!AF20</f>
        <v>71</v>
      </c>
      <c r="L20" s="12">
        <f>Submetering!AG20</f>
        <v>103</v>
      </c>
    </row>
    <row r="21" spans="1:12" s="16" customFormat="1">
      <c r="A21" s="12" t="s">
        <v>12</v>
      </c>
      <c r="B21" s="15">
        <f t="shared" si="0"/>
        <v>20</v>
      </c>
      <c r="C21" s="3">
        <v>2</v>
      </c>
      <c r="D21" s="12">
        <v>2020</v>
      </c>
      <c r="E21" s="13">
        <f>Submetering!X21+Submetering!Y21</f>
        <v>14036.000000002241</v>
      </c>
      <c r="F21" s="3">
        <v>7.7909227967643713E-2</v>
      </c>
      <c r="G21" s="13">
        <f>Submetering!T21+Submetering!U21</f>
        <v>2452</v>
      </c>
      <c r="H21" s="3">
        <v>0.24162482260951298</v>
      </c>
      <c r="I21" s="13">
        <f>Submetering!E21+Submetering!H21</f>
        <v>142</v>
      </c>
      <c r="J21" s="84">
        <f t="shared" si="1"/>
        <v>1.686569936015061</v>
      </c>
      <c r="K21" s="12">
        <f>Submetering!AF21</f>
        <v>68</v>
      </c>
      <c r="L21" s="12">
        <f>Submetering!AG21</f>
        <v>106</v>
      </c>
    </row>
    <row r="22" spans="1:12" s="16" customFormat="1">
      <c r="A22" s="12" t="s">
        <v>12</v>
      </c>
      <c r="B22" s="15">
        <f t="shared" si="0"/>
        <v>21</v>
      </c>
      <c r="C22" s="3">
        <v>2</v>
      </c>
      <c r="D22" s="12">
        <v>2020</v>
      </c>
      <c r="E22" s="13">
        <f>Submetering!X22+Submetering!Y22</f>
        <v>15267.999999997119</v>
      </c>
      <c r="F22" s="3">
        <v>7.7909227967643713E-2</v>
      </c>
      <c r="G22" s="13">
        <f>Submetering!T22+Submetering!U22</f>
        <v>2309</v>
      </c>
      <c r="H22" s="3">
        <v>0.24162482260951298</v>
      </c>
      <c r="I22" s="13">
        <f>Submetering!E22+Submetering!H22</f>
        <v>117</v>
      </c>
      <c r="J22" s="84">
        <f t="shared" si="1"/>
        <v>1.686569936015061</v>
      </c>
      <c r="K22" s="12">
        <f>Submetering!AF22</f>
        <v>72</v>
      </c>
      <c r="L22" s="12">
        <f>Submetering!AG22</f>
        <v>121</v>
      </c>
    </row>
    <row r="23" spans="1:12" s="16" customFormat="1">
      <c r="A23" s="12" t="s">
        <v>12</v>
      </c>
      <c r="B23" s="15">
        <f t="shared" si="0"/>
        <v>22</v>
      </c>
      <c r="C23" s="3">
        <v>2</v>
      </c>
      <c r="D23" s="12">
        <v>2020</v>
      </c>
      <c r="E23" s="13">
        <f>Submetering!X23+Submetering!Y23</f>
        <v>14344.00000000096</v>
      </c>
      <c r="F23" s="3">
        <v>7.7909227967643713E-2</v>
      </c>
      <c r="G23" s="13">
        <f>Submetering!T23+Submetering!U23</f>
        <v>2258</v>
      </c>
      <c r="H23" s="3">
        <v>0.24162482260951298</v>
      </c>
      <c r="I23" s="13">
        <f>Submetering!E23+Submetering!H23</f>
        <v>127</v>
      </c>
      <c r="J23" s="84">
        <f t="shared" si="1"/>
        <v>1.686569936015061</v>
      </c>
      <c r="K23" s="12">
        <f>Submetering!AF23</f>
        <v>68</v>
      </c>
      <c r="L23" s="12">
        <f>Submetering!AG23</f>
        <v>120</v>
      </c>
    </row>
    <row r="24" spans="1:12" s="16" customFormat="1">
      <c r="A24" s="12" t="s">
        <v>12</v>
      </c>
      <c r="B24" s="15">
        <f t="shared" si="0"/>
        <v>23</v>
      </c>
      <c r="C24" s="3">
        <v>2</v>
      </c>
      <c r="D24" s="12">
        <v>2020</v>
      </c>
      <c r="E24" s="13">
        <f>Submetering!X24+Submetering!Y24</f>
        <v>14035.999999994237</v>
      </c>
      <c r="F24" s="3">
        <v>7.7909227967643713E-2</v>
      </c>
      <c r="G24" s="13">
        <f>Submetering!T24+Submetering!U24</f>
        <v>1574</v>
      </c>
      <c r="H24" s="3">
        <v>0.24162482260951298</v>
      </c>
      <c r="I24" s="13">
        <f>Submetering!E24+Submetering!H24</f>
        <v>121</v>
      </c>
      <c r="J24" s="84">
        <f t="shared" si="1"/>
        <v>1.686569936015061</v>
      </c>
      <c r="K24" s="12">
        <f>Submetering!AF24</f>
        <v>67</v>
      </c>
      <c r="L24" s="12">
        <f>Submetering!AG24</f>
        <v>100</v>
      </c>
    </row>
    <row r="25" spans="1:12" s="16" customFormat="1">
      <c r="A25" s="12" t="s">
        <v>12</v>
      </c>
      <c r="B25" s="15">
        <f t="shared" si="0"/>
        <v>24</v>
      </c>
      <c r="C25" s="3">
        <v>2</v>
      </c>
      <c r="D25" s="12">
        <v>2020</v>
      </c>
      <c r="E25" s="13">
        <f>Submetering!X25+Submetering!Y25</f>
        <v>14872.000000004482</v>
      </c>
      <c r="F25" s="3">
        <v>7.7909227967643713E-2</v>
      </c>
      <c r="G25" s="13">
        <f>Submetering!T25+Submetering!U25</f>
        <v>2210</v>
      </c>
      <c r="H25" s="3">
        <v>0.24162482260951298</v>
      </c>
      <c r="I25" s="13">
        <f>Submetering!E25+Submetering!H25</f>
        <v>163</v>
      </c>
      <c r="J25" s="84">
        <f t="shared" si="1"/>
        <v>1.686569936015061</v>
      </c>
      <c r="K25" s="12">
        <f>Submetering!AF25</f>
        <v>82</v>
      </c>
      <c r="L25" s="12">
        <f>Submetering!AG25</f>
        <v>112</v>
      </c>
    </row>
    <row r="26" spans="1:12" s="16" customFormat="1">
      <c r="A26" s="12" t="s">
        <v>12</v>
      </c>
      <c r="B26" s="15">
        <f>B25+1</f>
        <v>25</v>
      </c>
      <c r="C26" s="3">
        <v>2</v>
      </c>
      <c r="D26" s="12">
        <v>2020</v>
      </c>
      <c r="E26" s="13">
        <f>Submetering!X26+Submetering!Y26</f>
        <v>12627.999999995518</v>
      </c>
      <c r="F26" s="3">
        <v>7.7909227967643713E-2</v>
      </c>
      <c r="G26" s="13">
        <f>Submetering!T26+Submetering!U26</f>
        <v>1519</v>
      </c>
      <c r="H26" s="3">
        <v>0.24162482260951298</v>
      </c>
      <c r="I26" s="13">
        <f>Submetering!E26+Submetering!H26</f>
        <v>92</v>
      </c>
      <c r="J26" s="84">
        <f t="shared" si="1"/>
        <v>1.686569936015061</v>
      </c>
      <c r="K26" s="12">
        <f>Submetering!AF26</f>
        <v>91</v>
      </c>
      <c r="L26" s="12">
        <f>Submetering!AG26</f>
        <v>121</v>
      </c>
    </row>
    <row r="27" spans="1:12" s="16" customFormat="1">
      <c r="A27" s="12" t="s">
        <v>12</v>
      </c>
      <c r="B27" s="15">
        <f t="shared" si="0"/>
        <v>26</v>
      </c>
      <c r="C27" s="3">
        <v>2</v>
      </c>
      <c r="D27" s="12">
        <v>2020</v>
      </c>
      <c r="E27" s="13">
        <f>Submetering!X27+Submetering!Y27</f>
        <v>16720.000000004802</v>
      </c>
      <c r="F27" s="3">
        <v>7.7909227967643713E-2</v>
      </c>
      <c r="G27" s="13">
        <f>Submetering!T27+Submetering!U27</f>
        <v>2994</v>
      </c>
      <c r="H27" s="3">
        <v>0.24162482260951298</v>
      </c>
      <c r="I27" s="13">
        <f>Submetering!E27+Submetering!H27</f>
        <v>131</v>
      </c>
      <c r="J27" s="84">
        <f t="shared" si="1"/>
        <v>1.686569936015061</v>
      </c>
      <c r="K27" s="12">
        <f>Submetering!AF27</f>
        <v>74</v>
      </c>
      <c r="L27" s="12">
        <f>Submetering!AG27</f>
        <v>102</v>
      </c>
    </row>
    <row r="28" spans="1:12" s="16" customFormat="1">
      <c r="A28" s="12" t="s">
        <v>12</v>
      </c>
      <c r="B28" s="15">
        <f t="shared" si="0"/>
        <v>27</v>
      </c>
      <c r="C28" s="3">
        <v>2</v>
      </c>
      <c r="D28" s="12">
        <v>2020</v>
      </c>
      <c r="E28" s="13">
        <f>Submetering!X28+Submetering!Y28</f>
        <v>13948.00000000032</v>
      </c>
      <c r="F28" s="3">
        <v>7.7909227967643713E-2</v>
      </c>
      <c r="G28" s="13">
        <f>Submetering!T28+Submetering!U28</f>
        <v>2461</v>
      </c>
      <c r="H28" s="3">
        <v>0.24162482260951298</v>
      </c>
      <c r="I28" s="13">
        <f>Submetering!E28+Submetering!H28</f>
        <v>156</v>
      </c>
      <c r="J28" s="84">
        <f t="shared" si="1"/>
        <v>1.686569936015061</v>
      </c>
      <c r="K28" s="12">
        <f>Submetering!AF28</f>
        <v>67</v>
      </c>
      <c r="L28" s="12">
        <f>Submetering!AG28</f>
        <v>99</v>
      </c>
    </row>
    <row r="29" spans="1:12" s="16" customFormat="1">
      <c r="A29" s="12" t="s">
        <v>12</v>
      </c>
      <c r="B29" s="15">
        <f t="shared" si="0"/>
        <v>28</v>
      </c>
      <c r="C29" s="3">
        <v>2</v>
      </c>
      <c r="D29" s="12">
        <v>2020</v>
      </c>
      <c r="E29" s="13">
        <f>Submetering!X29+Submetering!Y29</f>
        <v>14519.999999996799</v>
      </c>
      <c r="F29" s="3">
        <v>7.7909227967643713E-2</v>
      </c>
      <c r="G29" s="13">
        <f>Submetering!T29+Submetering!U29</f>
        <v>2828</v>
      </c>
      <c r="H29" s="3">
        <v>0.24162482260951298</v>
      </c>
      <c r="I29" s="13">
        <f>Submetering!E29+Submetering!H29</f>
        <v>191</v>
      </c>
      <c r="J29" s="84">
        <f t="shared" si="1"/>
        <v>1.686569936015061</v>
      </c>
      <c r="K29" s="12">
        <f>Submetering!AF29</f>
        <v>54</v>
      </c>
      <c r="L29" s="12">
        <f>Submetering!AG29</f>
        <v>89</v>
      </c>
    </row>
    <row r="30" spans="1:12" s="16" customFormat="1">
      <c r="A30" s="12" t="s">
        <v>12</v>
      </c>
      <c r="B30" s="15">
        <f t="shared" si="0"/>
        <v>29</v>
      </c>
      <c r="C30" s="3">
        <v>2</v>
      </c>
      <c r="D30" s="12">
        <v>2020</v>
      </c>
      <c r="E30" s="13">
        <f>Submetering!X30+Submetering!Y30</f>
        <v>13640.000000001601</v>
      </c>
      <c r="F30" s="3">
        <v>7.7909227967643713E-2</v>
      </c>
      <c r="G30" s="13">
        <f>Submetering!T30+Submetering!U30</f>
        <v>2347</v>
      </c>
      <c r="H30" s="3">
        <v>0.24162482260951298</v>
      </c>
      <c r="I30" s="13">
        <f>Submetering!E30+Submetering!H30</f>
        <v>188</v>
      </c>
      <c r="J30" s="84">
        <f t="shared" si="1"/>
        <v>1.686569936015061</v>
      </c>
      <c r="K30" s="12">
        <f>Submetering!AF30</f>
        <v>59</v>
      </c>
      <c r="L30" s="12">
        <f>Submetering!AG30</f>
        <v>99</v>
      </c>
    </row>
    <row r="31" spans="1:12" s="14" customFormat="1">
      <c r="A31" s="12"/>
      <c r="B31" s="15"/>
      <c r="C31" s="3"/>
      <c r="D31" s="12"/>
      <c r="E31" s="13"/>
      <c r="F31" s="3"/>
      <c r="G31" s="13"/>
      <c r="H31" s="3"/>
      <c r="I31" s="13"/>
      <c r="J31" s="84"/>
      <c r="K31" s="12"/>
      <c r="L31" s="12"/>
    </row>
    <row r="32" spans="1:12">
      <c r="A32" s="12"/>
      <c r="B32" s="15"/>
      <c r="C32" s="3"/>
      <c r="D32" s="12"/>
      <c r="E32" s="13"/>
      <c r="F32" s="3"/>
      <c r="G32" s="13"/>
      <c r="H32" s="3"/>
      <c r="I32" s="13"/>
      <c r="J32" s="84"/>
    </row>
    <row r="35" spans="5:12">
      <c r="E35" s="9">
        <f>SUM(E2:E34)</f>
        <v>425655.99999999895</v>
      </c>
      <c r="F35" s="9">
        <f t="shared" ref="F35:L35" si="2">SUM(F2:F34)</f>
        <v>2.2593676110616672</v>
      </c>
      <c r="G35" s="9">
        <f t="shared" si="2"/>
        <v>66043</v>
      </c>
      <c r="H35" s="9">
        <f t="shared" si="2"/>
        <v>7.0071198556758727</v>
      </c>
      <c r="I35" s="9">
        <f t="shared" si="2"/>
        <v>3184</v>
      </c>
      <c r="J35" s="9">
        <f t="shared" si="2"/>
        <v>48.910528144436775</v>
      </c>
      <c r="K35" s="9">
        <f t="shared" si="2"/>
        <v>2095</v>
      </c>
      <c r="L35" s="9">
        <f t="shared" si="2"/>
        <v>3045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3" tint="0.59999389629810485"/>
  </sheetPr>
  <dimension ref="A1:AG57"/>
  <sheetViews>
    <sheetView zoomScale="70" zoomScaleNormal="70" workbookViewId="0">
      <selection activeCell="E42" sqref="E42"/>
    </sheetView>
  </sheetViews>
  <sheetFormatPr defaultColWidth="11.5546875" defaultRowHeight="14.4"/>
  <cols>
    <col min="1" max="2" width="11.5546875" style="2"/>
    <col min="3" max="3" width="11.5546875" style="11"/>
    <col min="4" max="20" width="13.44140625" style="2" customWidth="1"/>
    <col min="21" max="21" width="13" style="9" customWidth="1"/>
    <col min="22" max="22" width="12.5546875" style="2" customWidth="1"/>
    <col min="23" max="27" width="13" style="4" customWidth="1"/>
    <col min="28" max="32" width="11.5546875" style="2"/>
  </cols>
  <sheetData>
    <row r="1" spans="1:33" s="80" customFormat="1" ht="57.6">
      <c r="A1" s="6" t="s">
        <v>0</v>
      </c>
      <c r="B1" s="6" t="s">
        <v>1</v>
      </c>
      <c r="C1" s="79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10</v>
      </c>
      <c r="AG1" s="6" t="s">
        <v>11</v>
      </c>
    </row>
    <row r="2" spans="1:33" s="14" customFormat="1" ht="13.2">
      <c r="A2" s="12" t="s">
        <v>12</v>
      </c>
      <c r="B2" s="12">
        <v>1</v>
      </c>
      <c r="C2" s="3">
        <v>2</v>
      </c>
      <c r="D2" s="12">
        <v>2020</v>
      </c>
      <c r="E2" s="12">
        <f>IF(('FS Budapest'!C5-'FS Budapest'!C4)&lt;0,"0",('FS Budapest'!C5-'FS Budapest'!C4))</f>
        <v>0</v>
      </c>
      <c r="F2" s="12">
        <f>IF(('FS Budapest'!D5-'FS Budapest'!D4)&lt;0,"0",('FS Budapest'!D5-'FS Budapest'!D4))</f>
        <v>66</v>
      </c>
      <c r="G2" s="12">
        <f>IF(('FS Budapest'!E5-'FS Budapest'!Y5)&lt;0,"0",('FS Budapest'!E5-'FS Budapest'!Y5))</f>
        <v>44</v>
      </c>
      <c r="H2" s="12">
        <f>IF(('[1]FS Budapest'!H5-'[1]FS Budapest'!H4)&lt;0,"0",('[1]FS Budapest'!H5-'[1]FS Budapest'!H4))</f>
        <v>86</v>
      </c>
      <c r="I2" s="12">
        <f>IF(('FS Budapest'!I5-'FS Budapest'!I4)&lt;0,"0",('FS Budapest'!I5-'FS Budapest'!I4))</f>
        <v>39</v>
      </c>
      <c r="J2" s="12">
        <f>IF(('FS Budapest'!K5-'FS Budapest'!K4)&lt;0,"0",('FS Budapest'!K5-'FS Budapest'!K4))</f>
        <v>3</v>
      </c>
      <c r="K2" s="12">
        <f>IF(('FS Budapest'!M5-'FS Budapest'!M4)&lt;0,"0",('FS Budapest'!M5-'FS Budapest'!M4))</f>
        <v>6</v>
      </c>
      <c r="L2" s="12">
        <f>IF(('FS Budapest'!O5-'FS Budapest'!O4)&lt;0,"0",('FS Budapest'!O5-'FS Budapest'!O4))</f>
        <v>6</v>
      </c>
      <c r="M2" s="12">
        <f>IF(('FS Budapest'!Q5-'FS Budapest'!Q4)&lt;0,"0",('FS Budapest'!Q5-'FS Budapest'!Q4))</f>
        <v>8</v>
      </c>
      <c r="N2" s="12" t="str">
        <f>IF(('FS Budapest'!S5-'FS Budapest'!S4)&lt;0,"0",('FS Budapest'!S5-'FS Budapest'!S4))</f>
        <v>0</v>
      </c>
      <c r="O2" s="12">
        <f>IF(('FS Budapest'!V5-'FS Budapest'!V4)&lt;0,"0",('FS Budapest'!V5-'FS Budapest'!V4))</f>
        <v>0</v>
      </c>
      <c r="P2" s="12">
        <f>IF(('FS Budapest'!X5-'FS Budapest'!X4)&lt;0,"0",('FS Budapest'!X5-'FS Budapest'!X4))</f>
        <v>22</v>
      </c>
      <c r="Q2" s="12">
        <f>'FS Budapest'!AB5</f>
        <v>2</v>
      </c>
      <c r="R2" s="12">
        <f>'FS Budapest'!AE5</f>
        <v>0</v>
      </c>
      <c r="S2" s="12">
        <f>'FS Budapest'!AF5</f>
        <v>6</v>
      </c>
      <c r="T2" s="12">
        <f>IF(('FS Budapest'!AK5-'FS Budapest'!AK4)&lt;0,"0",('FS Budapest'!AK5-'FS Budapest'!AK4))</f>
        <v>1313</v>
      </c>
      <c r="U2" s="12">
        <f>IF(('FS Budapest'!AM5-'FS Budapest'!AM4)&lt;0,"0",('FS Budapest'!AM5-'FS Budapest'!AM4))</f>
        <v>51</v>
      </c>
      <c r="V2" s="12">
        <f>IF(('FS Budapest'!AO5-'FS Budapest'!AO4)&lt;0,"0",('FS Budapest'!AO5-'FS Budapest'!AO4))</f>
        <v>1019</v>
      </c>
      <c r="W2" s="12">
        <f>IF(('FS Budapest'!AQ5-'FS Budapest'!AQ4)&lt;0,"0",('FS Budapest'!AQ5-'FS Budapest'!AQ4))</f>
        <v>0</v>
      </c>
      <c r="X2" s="12">
        <f>'FS Budapest'!AY5</f>
        <v>0</v>
      </c>
      <c r="Y2" s="12">
        <f>IF(('FS Budapest'!BA5-'FS Budapest'!BA4)&lt;0,"0",('FS Budapest'!BA5-'FS Budapest'!BA4)*4400)</f>
        <v>13551.99999999968</v>
      </c>
      <c r="Z2" s="12">
        <f>'FS Budapest'!BI5</f>
        <v>13551.99999999968</v>
      </c>
      <c r="AA2" s="12">
        <f>'FS Budapest'!BJ5</f>
        <v>-1584.0000000025611</v>
      </c>
      <c r="AB2" s="12">
        <f>IF(('FS Budapest'!BK5-'FS Budapest'!BK4)&lt;0,"0",('FS Budapest'!BK5-'FS Budapest'!BK4)*100)</f>
        <v>638.00000000010186</v>
      </c>
      <c r="AC2" s="12">
        <f>'FS Budapest'!BM5</f>
        <v>14189.999999999782</v>
      </c>
      <c r="AD2" s="12">
        <f>IF(('FS Budapest'!BP5-'FS Budapest'!BP4)&lt;0,"0",('FS Budapest'!BP5-'FS Budapest'!BP4))</f>
        <v>50</v>
      </c>
      <c r="AE2" s="12">
        <f>IF(('FS Budapest'!BR5-'FS Budapest'!BR4)&lt;0,"0",('FS Budapest'!BR5-'FS Budapest'!BR4))</f>
        <v>12</v>
      </c>
      <c r="AF2" s="12">
        <f>'FS Budapest'!BU5</f>
        <v>66</v>
      </c>
      <c r="AG2" s="12">
        <f>'FS Budapest'!BV5</f>
        <v>111</v>
      </c>
    </row>
    <row r="3" spans="1:33" s="16" customFormat="1">
      <c r="A3" s="12" t="s">
        <v>12</v>
      </c>
      <c r="B3" s="15">
        <f>B2+1</f>
        <v>2</v>
      </c>
      <c r="C3" s="3">
        <v>2</v>
      </c>
      <c r="D3" s="12">
        <v>2020</v>
      </c>
      <c r="E3" s="12">
        <f>IF(('FS Budapest'!C6-'FS Budapest'!C5)&lt;0,"0",('FS Budapest'!C6-'FS Budapest'!C5))</f>
        <v>0</v>
      </c>
      <c r="F3" s="12">
        <f>IF(('FS Budapest'!D6-'FS Budapest'!D5)&lt;0,"0",('FS Budapest'!D6-'FS Budapest'!D5))</f>
        <v>54</v>
      </c>
      <c r="G3" s="12">
        <f>IF(('FS Budapest'!E6-'FS Budapest'!Y6)&lt;0,"0",('FS Budapest'!E6-'FS Budapest'!Y6))</f>
        <v>38</v>
      </c>
      <c r="H3" s="12">
        <f>IF(('[1]FS Budapest'!H6-'[1]FS Budapest'!H5)&lt;0,"0",('[1]FS Budapest'!H6-'[1]FS Budapest'!H5))</f>
        <v>86</v>
      </c>
      <c r="I3" s="12">
        <f>IF(('FS Budapest'!I6-'FS Budapest'!I5)&lt;0,"0",('FS Budapest'!I6-'FS Budapest'!I5))</f>
        <v>19</v>
      </c>
      <c r="J3" s="12">
        <f>IF(('FS Budapest'!K6-'FS Budapest'!K5)&lt;0,"0",('FS Budapest'!K6-'FS Budapest'!K5))</f>
        <v>6</v>
      </c>
      <c r="K3" s="12">
        <f>IF(('FS Budapest'!M6-'FS Budapest'!M5)&lt;0,"0",('FS Budapest'!M6-'FS Budapest'!M5))</f>
        <v>6</v>
      </c>
      <c r="L3" s="12">
        <f>IF(('FS Budapest'!O6-'FS Budapest'!O5)&lt;0,"0",('FS Budapest'!O6-'FS Budapest'!O5))</f>
        <v>6</v>
      </c>
      <c r="M3" s="12">
        <f>IF(('FS Budapest'!Q6-'FS Budapest'!Q5)&lt;0,"0",('FS Budapest'!Q6-'FS Budapest'!Q5))</f>
        <v>13</v>
      </c>
      <c r="N3" s="12">
        <f>IF(('FS Budapest'!S6-'FS Budapest'!S5)&lt;0,"0",('FS Budapest'!S6-'FS Budapest'!S5))</f>
        <v>2</v>
      </c>
      <c r="O3" s="12">
        <f>IF(('FS Budapest'!V6-'FS Budapest'!V5)&lt;0,"0",('FS Budapest'!V6-'FS Budapest'!V5))</f>
        <v>0</v>
      </c>
      <c r="P3" s="12">
        <f>IF(('FS Budapest'!X6-'FS Budapest'!X5)&lt;0,"0",('FS Budapest'!X6-'FS Budapest'!X5))</f>
        <v>16</v>
      </c>
      <c r="Q3" s="12">
        <f>'FS Budapest'!AB6</f>
        <v>2</v>
      </c>
      <c r="R3" s="12">
        <f>'FS Budapest'!AE6</f>
        <v>4</v>
      </c>
      <c r="S3" s="12">
        <f>'FS Budapest'!AF6</f>
        <v>23</v>
      </c>
      <c r="T3" s="12">
        <f>IF(('FS Budapest'!AK6-'FS Budapest'!AK5)&lt;0,"0",('FS Budapest'!AK6-'FS Budapest'!AK5))</f>
        <v>1702</v>
      </c>
      <c r="U3" s="12">
        <f>IF(('FS Budapest'!AM6-'FS Budapest'!AM5)&lt;0,"0",('FS Budapest'!AM6-'FS Budapest'!AM5))</f>
        <v>51</v>
      </c>
      <c r="V3" s="12">
        <f>IF(('FS Budapest'!AO6-'FS Budapest'!AO5)&lt;0,"0",('FS Budapest'!AO6-'FS Budapest'!AO5))</f>
        <v>618</v>
      </c>
      <c r="W3" s="12">
        <f>IF(('FS Budapest'!AQ6-'FS Budapest'!AQ5)&lt;0,"0",('FS Budapest'!AQ6-'FS Budapest'!AQ5))</f>
        <v>0</v>
      </c>
      <c r="X3" s="12">
        <f>'FS Budapest'!AY6</f>
        <v>0</v>
      </c>
      <c r="Y3" s="12">
        <f>IF(('FS Budapest'!BA6-'FS Budapest'!BA5)&lt;0,"0",('FS Budapest'!BA6-'FS Budapest'!BA5)*4400)</f>
        <v>14607.999999998719</v>
      </c>
      <c r="Z3" s="12">
        <f>'FS Budapest'!BI6</f>
        <v>14607.999999998719</v>
      </c>
      <c r="AA3" s="12">
        <f>'FS Budapest'!BJ6</f>
        <v>14587.999999998719</v>
      </c>
      <c r="AB3" s="12">
        <f>IF(('FS Budapest'!BK6-'FS Budapest'!BK5)&lt;0,"0",('FS Budapest'!BK6-'FS Budapest'!BK5)*100)</f>
        <v>984.00000000001455</v>
      </c>
      <c r="AC3" s="12">
        <f>'FS Budapest'!BM6</f>
        <v>15591.999999998734</v>
      </c>
      <c r="AD3" s="12">
        <f>IF(('FS Budapest'!BP6-'FS Budapest'!BP5)&lt;0,"0",('FS Budapest'!BP6-'FS Budapest'!BP5))</f>
        <v>9</v>
      </c>
      <c r="AE3" s="12">
        <f>IF(('FS Budapest'!BR6-'FS Budapest'!BR5)&lt;0,"0",('FS Budapest'!BR6-'FS Budapest'!BR5))</f>
        <v>11</v>
      </c>
      <c r="AF3" s="12">
        <f>'FS Budapest'!BU6</f>
        <v>59</v>
      </c>
      <c r="AG3" s="12">
        <f>'FS Budapest'!BV6</f>
        <v>81</v>
      </c>
    </row>
    <row r="4" spans="1:33" s="16" customFormat="1">
      <c r="A4" s="12" t="s">
        <v>12</v>
      </c>
      <c r="B4" s="15">
        <f t="shared" ref="B4:B30" si="0">B3+1</f>
        <v>3</v>
      </c>
      <c r="C4" s="3">
        <v>2</v>
      </c>
      <c r="D4" s="12">
        <v>2020</v>
      </c>
      <c r="E4" s="12">
        <f>IF(('FS Budapest'!C7-'FS Budapest'!C6)&lt;0,"0",('FS Budapest'!C7-'FS Budapest'!C6))</f>
        <v>0</v>
      </c>
      <c r="F4" s="12">
        <f>IF(('FS Budapest'!D7-'FS Budapest'!D6)&lt;0,"0",('FS Budapest'!D7-'FS Budapest'!D6))</f>
        <v>52</v>
      </c>
      <c r="G4" s="12">
        <f>IF(('FS Budapest'!E7-'FS Budapest'!Y7)&lt;0,"0",('FS Budapest'!E7-'FS Budapest'!Y7))</f>
        <v>37</v>
      </c>
      <c r="H4" s="12">
        <f>IF(('[1]FS Budapest'!H7-'[1]FS Budapest'!H6)&lt;0,"0",('[1]FS Budapest'!H7-'[1]FS Budapest'!H6))</f>
        <v>61</v>
      </c>
      <c r="I4" s="12">
        <f>IF(('FS Budapest'!I7-'FS Budapest'!I6)&lt;0,"0",('FS Budapest'!I7-'FS Budapest'!I6))</f>
        <v>5</v>
      </c>
      <c r="J4" s="12">
        <f>IF(('FS Budapest'!K7-'FS Budapest'!K6)&lt;0,"0",('FS Budapest'!K7-'FS Budapest'!K6))</f>
        <v>6</v>
      </c>
      <c r="K4" s="12">
        <f>IF(('FS Budapest'!M7-'FS Budapest'!M6)&lt;0,"0",('FS Budapest'!M7-'FS Budapest'!M6))</f>
        <v>6</v>
      </c>
      <c r="L4" s="12">
        <f>IF(('FS Budapest'!O7-'FS Budapest'!O6)&lt;0,"0",('FS Budapest'!O7-'FS Budapest'!O6))</f>
        <v>6</v>
      </c>
      <c r="M4" s="12">
        <f>IF(('FS Budapest'!Q7-'FS Budapest'!Q6)&lt;0,"0",('FS Budapest'!Q7-'FS Budapest'!Q6))</f>
        <v>16</v>
      </c>
      <c r="N4" s="12">
        <f>IF(('FS Budapest'!S7-'FS Budapest'!S6)&lt;0,"0",('FS Budapest'!S7-'FS Budapest'!S6))</f>
        <v>0</v>
      </c>
      <c r="O4" s="12">
        <f>IF(('FS Budapest'!V7-'FS Budapest'!V6)&lt;0,"0",('FS Budapest'!V7-'FS Budapest'!V6))</f>
        <v>0</v>
      </c>
      <c r="P4" s="12">
        <f>IF(('FS Budapest'!X7-'FS Budapest'!X6)&lt;0,"0",('FS Budapest'!X7-'FS Budapest'!X6))</f>
        <v>15</v>
      </c>
      <c r="Q4" s="12">
        <f>'FS Budapest'!AB7</f>
        <v>2</v>
      </c>
      <c r="R4" s="12">
        <f>'FS Budapest'!AE7</f>
        <v>2</v>
      </c>
      <c r="S4" s="12">
        <f>'FS Budapest'!AF7</f>
        <v>23</v>
      </c>
      <c r="T4" s="12">
        <f>IF(('FS Budapest'!AK7-'FS Budapest'!AK6)&lt;0,"0",('FS Budapest'!AK7-'FS Budapest'!AK6))</f>
        <v>2171</v>
      </c>
      <c r="U4" s="12">
        <f>IF(('FS Budapest'!AM7-'FS Budapest'!AM6)&lt;0,"0",('FS Budapest'!AM7-'FS Budapest'!AM6))</f>
        <v>36</v>
      </c>
      <c r="V4" s="12">
        <f>IF(('FS Budapest'!AO7-'FS Budapest'!AO6)&lt;0,"0",('FS Budapest'!AO7-'FS Budapest'!AO6))</f>
        <v>626</v>
      </c>
      <c r="W4" s="12">
        <f>IF(('FS Budapest'!AQ7-'FS Budapest'!AQ6)&lt;0,"0",('FS Budapest'!AQ7-'FS Budapest'!AQ6))</f>
        <v>0</v>
      </c>
      <c r="X4" s="12">
        <f>'FS Budapest'!AY7</f>
        <v>0</v>
      </c>
      <c r="Y4" s="12">
        <f>IF(('FS Budapest'!BA7-'FS Budapest'!BA6)&lt;0,"0",('FS Budapest'!BA7-'FS Budapest'!BA6)*4400)</f>
        <v>14167.999999997119</v>
      </c>
      <c r="Z4" s="12">
        <f>'FS Budapest'!BI7</f>
        <v>14167.999999997119</v>
      </c>
      <c r="AA4" s="12">
        <f>'FS Budapest'!BJ7</f>
        <v>14137.999999997119</v>
      </c>
      <c r="AB4" s="12">
        <f>IF(('FS Budapest'!BK7-'FS Budapest'!BK6)&lt;0,"0",('FS Budapest'!BK7-'FS Budapest'!BK6)*100)</f>
        <v>1079.9999999999272</v>
      </c>
      <c r="AC4" s="12">
        <f>'FS Budapest'!BM7</f>
        <v>15247.999999997046</v>
      </c>
      <c r="AD4" s="12">
        <f>IF(('FS Budapest'!BP7-'FS Budapest'!BP6)&lt;0,"0",('FS Budapest'!BP7-'FS Budapest'!BP6))</f>
        <v>20</v>
      </c>
      <c r="AE4" s="12">
        <f>IF(('FS Budapest'!BR7-'FS Budapest'!BR6)&lt;0,"0",('FS Budapest'!BR7-'FS Budapest'!BR6))</f>
        <v>10</v>
      </c>
      <c r="AF4" s="12">
        <f>'FS Budapest'!BU7</f>
        <v>66</v>
      </c>
      <c r="AG4" s="12">
        <f>'FS Budapest'!BV7</f>
        <v>80</v>
      </c>
    </row>
    <row r="5" spans="1:33" s="16" customFormat="1">
      <c r="A5" s="12" t="s">
        <v>12</v>
      </c>
      <c r="B5" s="15">
        <f t="shared" si="0"/>
        <v>4</v>
      </c>
      <c r="C5" s="3">
        <v>2</v>
      </c>
      <c r="D5" s="12">
        <v>2020</v>
      </c>
      <c r="E5" s="12">
        <f>IF(('FS Budapest'!C8-'FS Budapest'!C7)&lt;0,"0",('FS Budapest'!C8-'FS Budapest'!C7))</f>
        <v>0</v>
      </c>
      <c r="F5" s="12">
        <f>IF(('FS Budapest'!D8-'FS Budapest'!D7)&lt;0,"0",('FS Budapest'!D8-'FS Budapest'!D7))</f>
        <v>56</v>
      </c>
      <c r="G5" s="12">
        <f>IF(('FS Budapest'!E8-'FS Budapest'!Y8)&lt;0,"0",('FS Budapest'!E8-'FS Budapest'!Y8))</f>
        <v>41</v>
      </c>
      <c r="H5" s="12">
        <f>IF(('[1]FS Budapest'!H8-'[1]FS Budapest'!H7)&lt;0,"0",('[1]FS Budapest'!H8-'[1]FS Budapest'!H7))</f>
        <v>64</v>
      </c>
      <c r="I5" s="12">
        <f>IF(('FS Budapest'!I8-'FS Budapest'!I7)&lt;0,"0",('FS Budapest'!I8-'FS Budapest'!I7))</f>
        <v>25</v>
      </c>
      <c r="J5" s="12">
        <f>IF(('FS Budapest'!K8-'FS Budapest'!K7)&lt;0,"0",('FS Budapest'!K8-'FS Budapest'!K7))</f>
        <v>11</v>
      </c>
      <c r="K5" s="12">
        <f>IF(('FS Budapest'!M8-'FS Budapest'!M7)&lt;0,"0",('FS Budapest'!M8-'FS Budapest'!M7))</f>
        <v>12</v>
      </c>
      <c r="L5" s="12">
        <f>IF(('FS Budapest'!O8-'FS Budapest'!O7)&lt;0,"0",('FS Budapest'!O8-'FS Budapest'!O7))</f>
        <v>4</v>
      </c>
      <c r="M5" s="12">
        <f>IF(('FS Budapest'!Q8-'FS Budapest'!Q7)&lt;0,"0",('FS Budapest'!Q8-'FS Budapest'!Q7))</f>
        <v>3</v>
      </c>
      <c r="N5" s="12">
        <f>IF(('FS Budapest'!S8-'FS Budapest'!S7)&lt;0,"0",('FS Budapest'!S8-'FS Budapest'!S7))</f>
        <v>0</v>
      </c>
      <c r="O5" s="12">
        <f>IF(('FS Budapest'!V8-'FS Budapest'!V7)&lt;0,"0",('FS Budapest'!V8-'FS Budapest'!V7))</f>
        <v>4</v>
      </c>
      <c r="P5" s="12">
        <f>IF(('FS Budapest'!X8-'FS Budapest'!X7)&lt;0,"0",('FS Budapest'!X8-'FS Budapest'!X7))</f>
        <v>15</v>
      </c>
      <c r="Q5" s="12">
        <f>'FS Budapest'!AB8</f>
        <v>2</v>
      </c>
      <c r="R5" s="12">
        <f>'FS Budapest'!AE8</f>
        <v>2</v>
      </c>
      <c r="S5" s="12">
        <f>'FS Budapest'!AF8</f>
        <v>13</v>
      </c>
      <c r="T5" s="12">
        <f>IF(('FS Budapest'!AK8-'FS Budapest'!AK7)&lt;0,"0",('FS Budapest'!AK8-'FS Budapest'!AK7))</f>
        <v>2467</v>
      </c>
      <c r="U5" s="12">
        <f>IF(('FS Budapest'!AM8-'FS Budapest'!AM7)&lt;0,"0",('FS Budapest'!AM8-'FS Budapest'!AM7))</f>
        <v>26</v>
      </c>
      <c r="V5" s="12">
        <f>IF(('FS Budapest'!AO8-'FS Budapest'!AO7)&lt;0,"0",('FS Budapest'!AO8-'FS Budapest'!AO7))</f>
        <v>483</v>
      </c>
      <c r="W5" s="12">
        <f>IF(('FS Budapest'!AQ8-'FS Budapest'!AQ7)&lt;0,"0",('FS Budapest'!AQ8-'FS Budapest'!AQ7))</f>
        <v>86</v>
      </c>
      <c r="X5" s="12">
        <f>'FS Budapest'!AY8</f>
        <v>0</v>
      </c>
      <c r="Y5" s="12">
        <f>IF(('FS Budapest'!BA8-'FS Budapest'!BA7)&lt;0,"0",('FS Budapest'!BA8-'FS Budapest'!BA7)*4400)</f>
        <v>16104.000000007363</v>
      </c>
      <c r="Z5" s="12">
        <f>'FS Budapest'!BI8</f>
        <v>16104.000000007363</v>
      </c>
      <c r="AA5" s="12">
        <f>'FS Budapest'!BJ8</f>
        <v>16073.000000007363</v>
      </c>
      <c r="AB5" s="12">
        <f>IF(('FS Budapest'!BK8-'FS Budapest'!BK7)&lt;0,"0",('FS Budapest'!BK8-'FS Budapest'!BK7)*100)</f>
        <v>1010.0000000002183</v>
      </c>
      <c r="AC5" s="12">
        <f>'FS Budapest'!BM8</f>
        <v>17114.000000007582</v>
      </c>
      <c r="AD5" s="12">
        <f>IF(('FS Budapest'!BP8-'FS Budapest'!BP7)&lt;0,"0",('FS Budapest'!BP8-'FS Budapest'!BP7))</f>
        <v>20</v>
      </c>
      <c r="AE5" s="12">
        <f>IF(('FS Budapest'!BR8-'FS Budapest'!BR7)&lt;0,"0",('FS Budapest'!BR8-'FS Budapest'!BR7))</f>
        <v>11</v>
      </c>
      <c r="AF5" s="12">
        <f>'FS Budapest'!BU8</f>
        <v>89</v>
      </c>
      <c r="AG5" s="12">
        <f>'FS Budapest'!BV8</f>
        <v>108</v>
      </c>
    </row>
    <row r="6" spans="1:33" s="16" customFormat="1">
      <c r="A6" s="12" t="s">
        <v>12</v>
      </c>
      <c r="B6" s="15">
        <f t="shared" si="0"/>
        <v>5</v>
      </c>
      <c r="C6" s="3">
        <v>2</v>
      </c>
      <c r="D6" s="12">
        <v>2020</v>
      </c>
      <c r="E6" s="12">
        <f>IF(('FS Budapest'!C9-'FS Budapest'!C8)&lt;0,"0",('FS Budapest'!C9-'FS Budapest'!C8))</f>
        <v>0</v>
      </c>
      <c r="F6" s="12">
        <f>IF(('FS Budapest'!D9-'FS Budapest'!D8)&lt;0,"0",('FS Budapest'!D9-'FS Budapest'!D8))</f>
        <v>48</v>
      </c>
      <c r="G6" s="12">
        <f>IF(('FS Budapest'!E9-'FS Budapest'!Y9)&lt;0,"0",('FS Budapest'!E9-'FS Budapest'!Y9))</f>
        <v>39</v>
      </c>
      <c r="H6" s="12">
        <f>IF(('[1]FS Budapest'!H9-'[1]FS Budapest'!H8)&lt;0,"0",('[1]FS Budapest'!H9-'[1]FS Budapest'!H8))</f>
        <v>71</v>
      </c>
      <c r="I6" s="12">
        <f>IF(('FS Budapest'!I9-'FS Budapest'!I8)&lt;0,"0",('FS Budapest'!I9-'FS Budapest'!I8))</f>
        <v>19</v>
      </c>
      <c r="J6" s="12">
        <f>IF(('FS Budapest'!K9-'FS Budapest'!K8)&lt;0,"0",('FS Budapest'!K9-'FS Budapest'!K8))</f>
        <v>5</v>
      </c>
      <c r="K6" s="12">
        <f>IF(('FS Budapest'!M9-'FS Budapest'!M8)&lt;0,"0",('FS Budapest'!M9-'FS Budapest'!M8))</f>
        <v>6</v>
      </c>
      <c r="L6" s="12">
        <f>IF(('FS Budapest'!O9-'FS Budapest'!O8)&lt;0,"0",('FS Budapest'!O9-'FS Budapest'!O8))</f>
        <v>5</v>
      </c>
      <c r="M6" s="12">
        <f>IF(('FS Budapest'!Q9-'FS Budapest'!Q8)&lt;0,"0",('FS Budapest'!Q9-'FS Budapest'!Q8))</f>
        <v>1</v>
      </c>
      <c r="N6" s="12">
        <f>IF(('FS Budapest'!S9-'FS Budapest'!S8)&lt;0,"0",('FS Budapest'!S9-'FS Budapest'!S8))</f>
        <v>1</v>
      </c>
      <c r="O6" s="12">
        <f>IF(('FS Budapest'!V9-'FS Budapest'!V8)&lt;0,"0",('FS Budapest'!V9-'FS Budapest'!V8))</f>
        <v>3</v>
      </c>
      <c r="P6" s="12">
        <f>IF(('FS Budapest'!X9-'FS Budapest'!X8)&lt;0,"0",('FS Budapest'!X9-'FS Budapest'!X8))</f>
        <v>9</v>
      </c>
      <c r="Q6" s="12">
        <f>'FS Budapest'!AB9</f>
        <v>1</v>
      </c>
      <c r="R6" s="12">
        <f>'FS Budapest'!AE9</f>
        <v>3</v>
      </c>
      <c r="S6" s="12">
        <f>'FS Budapest'!AF9</f>
        <v>5</v>
      </c>
      <c r="T6" s="12">
        <f>IF(('FS Budapest'!AK9-'FS Budapest'!AK8)&lt;0,"0",('FS Budapest'!AK9-'FS Budapest'!AK8))</f>
        <v>2687</v>
      </c>
      <c r="U6" s="12">
        <f>IF(('FS Budapest'!AM9-'FS Budapest'!AM8)&lt;0,"0",('FS Budapest'!AM9-'FS Budapest'!AM8))</f>
        <v>30</v>
      </c>
      <c r="V6" s="12">
        <f>IF(('FS Budapest'!AO9-'FS Budapest'!AO8)&lt;0,"0",('FS Budapest'!AO9-'FS Budapest'!AO8))</f>
        <v>0</v>
      </c>
      <c r="W6" s="12">
        <f>IF(('FS Budapest'!AQ9-'FS Budapest'!AQ8)&lt;0,"0",('FS Budapest'!AQ9-'FS Budapest'!AQ8))</f>
        <v>510</v>
      </c>
      <c r="X6" s="12">
        <f>'FS Budapest'!AY9</f>
        <v>0</v>
      </c>
      <c r="Y6" s="12">
        <f>IF(('FS Budapest'!BA9-'FS Budapest'!BA8)&lt;0,"0",('FS Budapest'!BA9-'FS Budapest'!BA8)*4400)</f>
        <v>14695.999999992637</v>
      </c>
      <c r="Z6" s="12">
        <f>'FS Budapest'!BI9</f>
        <v>14695.999999992637</v>
      </c>
      <c r="AA6" s="12">
        <f>'FS Budapest'!BJ9</f>
        <v>14663.999999992637</v>
      </c>
      <c r="AB6" s="12">
        <f>IF(('FS Budapest'!BK9-'FS Budapest'!BK8)&lt;0,"0",('FS Budapest'!BK9-'FS Budapest'!BK8)*100)</f>
        <v>1852.9999999998836</v>
      </c>
      <c r="AC6" s="12">
        <f>'FS Budapest'!BM9</f>
        <v>16548.99999999252</v>
      </c>
      <c r="AD6" s="12">
        <f>IF(('FS Budapest'!BP9-'FS Budapest'!BP8)&lt;0,"0",('FS Budapest'!BP9-'FS Budapest'!BP8))</f>
        <v>20</v>
      </c>
      <c r="AE6" s="12">
        <f>IF(('FS Budapest'!BR9-'FS Budapest'!BR8)&lt;0,"0",('FS Budapest'!BR9-'FS Budapest'!BR8))</f>
        <v>12</v>
      </c>
      <c r="AF6" s="12">
        <f>'FS Budapest'!BU9</f>
        <v>83</v>
      </c>
      <c r="AG6" s="12">
        <f>'FS Budapest'!BV9</f>
        <v>102</v>
      </c>
    </row>
    <row r="7" spans="1:33" s="16" customFormat="1">
      <c r="A7" s="12" t="s">
        <v>12</v>
      </c>
      <c r="B7" s="15">
        <f t="shared" si="0"/>
        <v>6</v>
      </c>
      <c r="C7" s="3">
        <v>2</v>
      </c>
      <c r="D7" s="12">
        <v>2020</v>
      </c>
      <c r="E7" s="12">
        <f>IF(('FS Budapest'!C10-'FS Budapest'!C9)&lt;0,"0",('FS Budapest'!C10-'FS Budapest'!C9))</f>
        <v>0</v>
      </c>
      <c r="F7" s="12">
        <f>IF(('FS Budapest'!D10-'FS Budapest'!D9)&lt;0,"0",('FS Budapest'!D10-'FS Budapest'!D9))</f>
        <v>46</v>
      </c>
      <c r="G7" s="12">
        <f>IF(('FS Budapest'!E10-'FS Budapest'!Y10)&lt;0,"0",('FS Budapest'!E10-'FS Budapest'!Y10))</f>
        <v>35</v>
      </c>
      <c r="H7" s="12">
        <f>IF(('[1]FS Budapest'!H10-'[1]FS Budapest'!H9)&lt;0,"0",('[1]FS Budapest'!H10-'[1]FS Budapest'!H9))</f>
        <v>57</v>
      </c>
      <c r="I7" s="12">
        <f>IF(('FS Budapest'!I10-'FS Budapest'!I9)&lt;0,"0",('FS Budapest'!I10-'FS Budapest'!I9))</f>
        <v>19</v>
      </c>
      <c r="J7" s="12">
        <f>IF(('FS Budapest'!K10-'FS Budapest'!K9)&lt;0,"0",('FS Budapest'!K10-'FS Budapest'!K9))</f>
        <v>5</v>
      </c>
      <c r="K7" s="12">
        <f>IF(('FS Budapest'!M10-'FS Budapest'!M9)&lt;0,"0",('FS Budapest'!M10-'FS Budapest'!M9))</f>
        <v>6</v>
      </c>
      <c r="L7" s="12">
        <f>IF(('FS Budapest'!O10-'FS Budapest'!O9)&lt;0,"0",('FS Budapest'!O10-'FS Budapest'!O9))</f>
        <v>5</v>
      </c>
      <c r="M7" s="12">
        <f>IF(('FS Budapest'!Q10-'FS Budapest'!Q9)&lt;0,"0",('FS Budapest'!Q10-'FS Budapest'!Q9))</f>
        <v>1</v>
      </c>
      <c r="N7" s="12">
        <f>IF(('FS Budapest'!S10-'FS Budapest'!S9)&lt;0,"0",('FS Budapest'!S10-'FS Budapest'!S9))</f>
        <v>0</v>
      </c>
      <c r="O7" s="12">
        <f>IF(('FS Budapest'!V10-'FS Budapest'!V9)&lt;0,"0",('FS Budapest'!V10-'FS Budapest'!V9))</f>
        <v>6</v>
      </c>
      <c r="P7" s="12">
        <f>IF(('FS Budapest'!X10-'FS Budapest'!X9)&lt;0,"0",('FS Budapest'!X10-'FS Budapest'!X9))</f>
        <v>11</v>
      </c>
      <c r="Q7" s="12">
        <f>'FS Budapest'!AB10</f>
        <v>1</v>
      </c>
      <c r="R7" s="12">
        <f>'FS Budapest'!AE10</f>
        <v>2</v>
      </c>
      <c r="S7" s="12">
        <f>'FS Budapest'!AF10</f>
        <v>7</v>
      </c>
      <c r="T7" s="12">
        <f>IF(('FS Budapest'!AK10-'FS Budapest'!AK9)&lt;0,"0",('FS Budapest'!AK10-'FS Budapest'!AK9))</f>
        <v>2660</v>
      </c>
      <c r="U7" s="12">
        <f>IF(('FS Budapest'!AM10-'FS Budapest'!AM9)&lt;0,"0",('FS Budapest'!AM10-'FS Budapest'!AM9))</f>
        <v>37</v>
      </c>
      <c r="V7" s="12">
        <f>IF(('FS Budapest'!AO10-'FS Budapest'!AO9)&lt;0,"0",('FS Budapest'!AO10-'FS Budapest'!AO9))</f>
        <v>0</v>
      </c>
      <c r="W7" s="12">
        <f>IF(('FS Budapest'!AQ10-'FS Budapest'!AQ9)&lt;0,"0",('FS Budapest'!AQ10-'FS Budapest'!AQ9))</f>
        <v>468</v>
      </c>
      <c r="X7" s="12">
        <f>'FS Budapest'!AY10</f>
        <v>0</v>
      </c>
      <c r="Y7" s="12">
        <f>IF(('FS Budapest'!BA10-'FS Budapest'!BA9)&lt;0,"0",('FS Budapest'!BA10-'FS Budapest'!BA9)*4400)</f>
        <v>14036.000000002241</v>
      </c>
      <c r="Z7" s="12">
        <f>'FS Budapest'!BI10</f>
        <v>14036.000000002241</v>
      </c>
      <c r="AA7" s="12">
        <f>'FS Budapest'!BJ10</f>
        <v>14004.000000002241</v>
      </c>
      <c r="AB7" s="12">
        <f>IF(('FS Budapest'!BK10-'FS Budapest'!BK9)&lt;0,"0",('FS Budapest'!BK10-'FS Budapest'!BK9)*100)</f>
        <v>1463.0000000001019</v>
      </c>
      <c r="AC7" s="12">
        <f>'FS Budapest'!BM10</f>
        <v>15499.000000002343</v>
      </c>
      <c r="AD7" s="12">
        <f>IF(('FS Budapest'!BP10-'FS Budapest'!BP9)&lt;0,"0",('FS Budapest'!BP10-'FS Budapest'!BP9))</f>
        <v>20</v>
      </c>
      <c r="AE7" s="12">
        <f>IF(('FS Budapest'!BR10-'FS Budapest'!BR9)&lt;0,"0",('FS Budapest'!BR10-'FS Budapest'!BR9))</f>
        <v>12</v>
      </c>
      <c r="AF7" s="12">
        <f>'FS Budapest'!BU10</f>
        <v>74</v>
      </c>
      <c r="AG7" s="12">
        <f>'FS Budapest'!BV10</f>
        <v>93</v>
      </c>
    </row>
    <row r="8" spans="1:33" s="16" customFormat="1">
      <c r="A8" s="12" t="s">
        <v>12</v>
      </c>
      <c r="B8" s="15">
        <f t="shared" si="0"/>
        <v>7</v>
      </c>
      <c r="C8" s="3">
        <v>2</v>
      </c>
      <c r="D8" s="12">
        <v>2020</v>
      </c>
      <c r="E8" s="12">
        <f>IF(('FS Budapest'!C11-'FS Budapest'!C10)&lt;0,"0",('FS Budapest'!C11-'FS Budapest'!C10))</f>
        <v>0</v>
      </c>
      <c r="F8" s="12">
        <f>IF(('FS Budapest'!D11-'FS Budapest'!D10)&lt;0,"0",('FS Budapest'!D11-'FS Budapest'!D10))</f>
        <v>50</v>
      </c>
      <c r="G8" s="12">
        <f>IF(('FS Budapest'!E11-'FS Budapest'!Y11)&lt;0,"0",('FS Budapest'!E11-'FS Budapest'!Y11))</f>
        <v>40</v>
      </c>
      <c r="H8" s="12">
        <f>IF(('[1]FS Budapest'!H11-'[1]FS Budapest'!H10)&lt;0,"0",('[1]FS Budapest'!H11-'[1]FS Budapest'!H10))</f>
        <v>62</v>
      </c>
      <c r="I8" s="12">
        <f>IF(('FS Budapest'!I11-'FS Budapest'!I10)&lt;0,"0",('FS Budapest'!I11-'FS Budapest'!I10))</f>
        <v>3</v>
      </c>
      <c r="J8" s="12">
        <f>IF(('FS Budapest'!K11-'FS Budapest'!K10)&lt;0,"0",('FS Budapest'!K11-'FS Budapest'!K10))</f>
        <v>6</v>
      </c>
      <c r="K8" s="12">
        <f>IF(('FS Budapest'!M11-'FS Budapest'!M10)&lt;0,"0",('FS Budapest'!M11-'FS Budapest'!M10))</f>
        <v>6</v>
      </c>
      <c r="L8" s="12">
        <f>IF(('FS Budapest'!O11-'FS Budapest'!O10)&lt;0,"0",('FS Budapest'!O11-'FS Budapest'!O10))</f>
        <v>6</v>
      </c>
      <c r="M8" s="12">
        <f>IF(('FS Budapest'!Q11-'FS Budapest'!Q10)&lt;0,"0",('FS Budapest'!Q11-'FS Budapest'!Q10))</f>
        <v>0</v>
      </c>
      <c r="N8" s="12">
        <f>IF(('FS Budapest'!S11-'FS Budapest'!S10)&lt;0,"0",('FS Budapest'!S11-'FS Budapest'!S10))</f>
        <v>0</v>
      </c>
      <c r="O8" s="12">
        <f>IF(('FS Budapest'!V11-'FS Budapest'!V10)&lt;0,"0",('FS Budapest'!V11-'FS Budapest'!V10))</f>
        <v>0</v>
      </c>
      <c r="P8" s="12">
        <f>IF(('FS Budapest'!X11-'FS Budapest'!X10)&lt;0,"0",('FS Budapest'!X11-'FS Budapest'!X10))</f>
        <v>10</v>
      </c>
      <c r="Q8" s="12">
        <f>'FS Budapest'!AB11</f>
        <v>2</v>
      </c>
      <c r="R8" s="12">
        <f>'FS Budapest'!AE11</f>
        <v>5</v>
      </c>
      <c r="S8" s="12">
        <f>'FS Budapest'!AF11</f>
        <v>0</v>
      </c>
      <c r="T8" s="12">
        <f>IF(('FS Budapest'!AK11-'FS Budapest'!AK10)&lt;0,"0",('FS Budapest'!AK11-'FS Budapest'!AK10))</f>
        <v>2253</v>
      </c>
      <c r="U8" s="12">
        <f>IF(('FS Budapest'!AM11-'FS Budapest'!AM10)&lt;0,"0",('FS Budapest'!AM11-'FS Budapest'!AM10))</f>
        <v>41</v>
      </c>
      <c r="V8" s="12">
        <f>IF(('FS Budapest'!AO11-'FS Budapest'!AO10)&lt;0,"0",('FS Budapest'!AO11-'FS Budapest'!AO10))</f>
        <v>0</v>
      </c>
      <c r="W8" s="12">
        <f>IF(('FS Budapest'!AQ11-'FS Budapest'!AQ10)&lt;0,"0",('FS Budapest'!AQ11-'FS Budapest'!AQ10))</f>
        <v>78</v>
      </c>
      <c r="X8" s="12">
        <f>'FS Budapest'!AY11</f>
        <v>0</v>
      </c>
      <c r="Y8" s="12">
        <f>IF(('FS Budapest'!BA11-'FS Budapest'!BA10)&lt;0,"0",('FS Budapest'!BA11-'FS Budapest'!BA10)*4400)</f>
        <v>15311.999999998079</v>
      </c>
      <c r="Z8" s="12">
        <f>'FS Budapest'!BI11</f>
        <v>15311.999999998079</v>
      </c>
      <c r="AA8" s="12">
        <f>'FS Budapest'!BJ11</f>
        <v>15279.999999998079</v>
      </c>
      <c r="AB8" s="12">
        <f>IF(('FS Budapest'!BK11-'FS Budapest'!BK10)&lt;0,"0",('FS Budapest'!BK11-'FS Budapest'!BK10)*100)</f>
        <v>1381.9999999999709</v>
      </c>
      <c r="AC8" s="12">
        <f>'FS Budapest'!BM11</f>
        <v>16693.99999999805</v>
      </c>
      <c r="AD8" s="12">
        <f>IF(('FS Budapest'!BP11-'FS Budapest'!BP10)&lt;0,"0",('FS Budapest'!BP11-'FS Budapest'!BP10))</f>
        <v>20</v>
      </c>
      <c r="AE8" s="12">
        <f>IF(('FS Budapest'!BR11-'FS Budapest'!BR10)&lt;0,"0",('FS Budapest'!BR11-'FS Budapest'!BR10))</f>
        <v>12</v>
      </c>
      <c r="AF8" s="12">
        <f>'FS Budapest'!BU11</f>
        <v>67</v>
      </c>
      <c r="AG8" s="12">
        <f>'FS Budapest'!BV11</f>
        <v>100</v>
      </c>
    </row>
    <row r="9" spans="1:33" s="16" customFormat="1">
      <c r="A9" s="12" t="s">
        <v>12</v>
      </c>
      <c r="B9" s="15">
        <f t="shared" si="0"/>
        <v>8</v>
      </c>
      <c r="C9" s="3">
        <v>2</v>
      </c>
      <c r="D9" s="12">
        <v>2020</v>
      </c>
      <c r="E9" s="12">
        <f>IF(('FS Budapest'!C12-'FS Budapest'!C11)&lt;0,"0",('FS Budapest'!C12-'FS Budapest'!C11))</f>
        <v>0</v>
      </c>
      <c r="F9" s="12">
        <f>IF(('FS Budapest'!D12-'FS Budapest'!D11)&lt;0,"0",('FS Budapest'!D12-'FS Budapest'!D11))</f>
        <v>46</v>
      </c>
      <c r="G9" s="12">
        <f>IF(('FS Budapest'!E12-'FS Budapest'!Y12)&lt;0,"0",('FS Budapest'!E12-'FS Budapest'!Y12))</f>
        <v>41</v>
      </c>
      <c r="H9" s="12">
        <f>IF(('[1]FS Budapest'!H12-'[1]FS Budapest'!H11)&lt;0,"0",('[1]FS Budapest'!H12-'[1]FS Budapest'!H11))</f>
        <v>46</v>
      </c>
      <c r="I9" s="12">
        <f>IF(('FS Budapest'!I12-'FS Budapest'!I11)&lt;0,"0",('FS Budapest'!I12-'FS Budapest'!I11))</f>
        <v>25</v>
      </c>
      <c r="J9" s="12">
        <f>IF(('FS Budapest'!K12-'FS Budapest'!K11)&lt;0,"0",('FS Budapest'!K12-'FS Budapest'!K11))</f>
        <v>5</v>
      </c>
      <c r="K9" s="12">
        <f>IF(('FS Budapest'!M12-'FS Budapest'!M11)&lt;0,"0",('FS Budapest'!M12-'FS Budapest'!M11))</f>
        <v>7</v>
      </c>
      <c r="L9" s="12">
        <f>IF(('FS Budapest'!O12-'FS Budapest'!O11)&lt;0,"0",('FS Budapest'!O12-'FS Budapest'!O11))</f>
        <v>7</v>
      </c>
      <c r="M9" s="12">
        <f>IF(('FS Budapest'!Q12-'FS Budapest'!Q11)&lt;0,"0",('FS Budapest'!Q12-'FS Budapest'!Q11))</f>
        <v>6</v>
      </c>
      <c r="N9" s="12">
        <f>IF(('FS Budapest'!S12-'FS Budapest'!S11)&lt;0,"0",('FS Budapest'!S12-'FS Budapest'!S11))</f>
        <v>0</v>
      </c>
      <c r="O9" s="12">
        <f>IF(('FS Budapest'!V12-'FS Budapest'!V11)&lt;0,"0",('FS Budapest'!V12-'FS Budapest'!V11))</f>
        <v>0</v>
      </c>
      <c r="P9" s="12">
        <f>IF(('FS Budapest'!X12-'FS Budapest'!X11)&lt;0,"0",('FS Budapest'!X12-'FS Budapest'!X11))</f>
        <v>5</v>
      </c>
      <c r="Q9" s="12">
        <f>'FS Budapest'!AB12</f>
        <v>3</v>
      </c>
      <c r="R9" s="12">
        <f>'FS Budapest'!AE12</f>
        <v>3</v>
      </c>
      <c r="S9" s="12">
        <f>'FS Budapest'!AF12</f>
        <v>6</v>
      </c>
      <c r="T9" s="12">
        <f>IF(('FS Budapest'!AK12-'FS Budapest'!AK11)&lt;0,"0",('FS Budapest'!AK12-'FS Budapest'!AK11))</f>
        <v>2949</v>
      </c>
      <c r="U9" s="12">
        <f>IF(('FS Budapest'!AM12-'FS Budapest'!AM11)&lt;0,"0",('FS Budapest'!AM12-'FS Budapest'!AM11))</f>
        <v>55</v>
      </c>
      <c r="V9" s="12">
        <f>IF(('FS Budapest'!AO12-'FS Budapest'!AO11)&lt;0,"0",('FS Budapest'!AO12-'FS Budapest'!AO11))</f>
        <v>0</v>
      </c>
      <c r="W9" s="12">
        <f>IF(('FS Budapest'!AQ12-'FS Budapest'!AQ11)&lt;0,"0",('FS Budapest'!AQ12-'FS Budapest'!AQ11))</f>
        <v>495</v>
      </c>
      <c r="X9" s="12">
        <f>'FS Budapest'!AY12</f>
        <v>0</v>
      </c>
      <c r="Y9" s="12">
        <f>IF(('FS Budapest'!BA12-'FS Budapest'!BA11)&lt;0,"0",('FS Budapest'!BA12-'FS Budapest'!BA11)*4400)</f>
        <v>13772.000000004482</v>
      </c>
      <c r="Z9" s="12">
        <f>'FS Budapest'!BI12</f>
        <v>13772.000000004482</v>
      </c>
      <c r="AA9" s="12">
        <f>'FS Budapest'!BJ12</f>
        <v>13740.000000004482</v>
      </c>
      <c r="AB9" s="12">
        <f>IF(('FS Budapest'!BK12-'FS Budapest'!BK11)&lt;0,"0",('FS Budapest'!BK12-'FS Budapest'!BK11)*100)</f>
        <v>1291.9999999998254</v>
      </c>
      <c r="AC9" s="12">
        <f>'FS Budapest'!BM12</f>
        <v>15064.000000004307</v>
      </c>
      <c r="AD9" s="12">
        <f>IF(('FS Budapest'!BP12-'FS Budapest'!BP11)&lt;0,"0",('FS Budapest'!BP12-'FS Budapest'!BP11))</f>
        <v>20</v>
      </c>
      <c r="AE9" s="12">
        <f>IF(('FS Budapest'!BR12-'FS Budapest'!BR11)&lt;0,"0",('FS Budapest'!BR12-'FS Budapest'!BR11))</f>
        <v>12</v>
      </c>
      <c r="AF9" s="12">
        <f>'FS Budapest'!BU12</f>
        <v>59</v>
      </c>
      <c r="AG9" s="12">
        <f>'FS Budapest'!BV12</f>
        <v>93</v>
      </c>
    </row>
    <row r="10" spans="1:33" s="16" customFormat="1">
      <c r="A10" s="12" t="s">
        <v>12</v>
      </c>
      <c r="B10" s="15">
        <f t="shared" si="0"/>
        <v>9</v>
      </c>
      <c r="C10" s="3">
        <v>2</v>
      </c>
      <c r="D10" s="12">
        <v>2020</v>
      </c>
      <c r="E10" s="12">
        <f>IF(('FS Budapest'!C13-'FS Budapest'!C12)&lt;0,"0",('FS Budapest'!C13-'FS Budapest'!C12))</f>
        <v>0</v>
      </c>
      <c r="F10" s="12">
        <f>IF(('FS Budapest'!D13-'FS Budapest'!D12)&lt;0,"0",('FS Budapest'!D13-'FS Budapest'!D12))</f>
        <v>51</v>
      </c>
      <c r="G10" s="12">
        <f>IF(('FS Budapest'!E13-'FS Budapest'!Y13)&lt;0,"0",('FS Budapest'!E13-'FS Budapest'!Y13))</f>
        <v>36</v>
      </c>
      <c r="H10" s="12">
        <f>IF(('[1]FS Budapest'!H13-'[1]FS Budapest'!H12)&lt;0,"0",('[1]FS Budapest'!H13-'[1]FS Budapest'!H12))</f>
        <v>58</v>
      </c>
      <c r="I10" s="12">
        <f>IF(('FS Budapest'!I13-'FS Budapest'!I12)&lt;0,"0",('FS Budapest'!I13-'FS Budapest'!I12))</f>
        <v>18</v>
      </c>
      <c r="J10" s="12">
        <f>IF(('FS Budapest'!K13-'FS Budapest'!K12)&lt;0,"0",('FS Budapest'!K13-'FS Budapest'!K12))</f>
        <v>5</v>
      </c>
      <c r="K10" s="12">
        <f>IF(('FS Budapest'!M13-'FS Budapest'!M12)&lt;0,"0",('FS Budapest'!M13-'FS Budapest'!M12))</f>
        <v>6</v>
      </c>
      <c r="L10" s="12">
        <f>IF(('FS Budapest'!O13-'FS Budapest'!O12)&lt;0,"0",('FS Budapest'!O13-'FS Budapest'!O12))</f>
        <v>5</v>
      </c>
      <c r="M10" s="12">
        <f>IF(('FS Budapest'!Q13-'FS Budapest'!Q12)&lt;0,"0",('FS Budapest'!Q13-'FS Budapest'!Q12))</f>
        <v>4</v>
      </c>
      <c r="N10" s="12">
        <f>IF(('FS Budapest'!S13-'FS Budapest'!S12)&lt;0,"0",('FS Budapest'!S13-'FS Budapest'!S12))</f>
        <v>1</v>
      </c>
      <c r="O10" s="12">
        <f>IF(('FS Budapest'!V13-'FS Budapest'!V12)&lt;0,"0",('FS Budapest'!V13-'FS Budapest'!V12))</f>
        <v>14</v>
      </c>
      <c r="P10" s="12">
        <f>IF(('FS Budapest'!X13-'FS Budapest'!X12)&lt;0,"0",('FS Budapest'!X13-'FS Budapest'!X12))</f>
        <v>15</v>
      </c>
      <c r="Q10" s="12">
        <f>'FS Budapest'!AB13</f>
        <v>2</v>
      </c>
      <c r="R10" s="12">
        <f>'FS Budapest'!AE13</f>
        <v>2</v>
      </c>
      <c r="S10" s="12">
        <f>'FS Budapest'!AF13</f>
        <v>19</v>
      </c>
      <c r="T10" s="12">
        <f>IF(('FS Budapest'!AK13-'FS Budapest'!AK12)&lt;0,"0",('FS Budapest'!AK13-'FS Budapest'!AK12))</f>
        <v>2569</v>
      </c>
      <c r="U10" s="12">
        <f>IF(('FS Budapest'!AM13-'FS Budapest'!AM12)&lt;0,"0",('FS Budapest'!AM13-'FS Budapest'!AM12))</f>
        <v>41</v>
      </c>
      <c r="V10" s="12">
        <f>IF(('FS Budapest'!AO13-'FS Budapest'!AO12)&lt;0,"0",('FS Budapest'!AO13-'FS Budapest'!AO12))</f>
        <v>597</v>
      </c>
      <c r="W10" s="12">
        <f>IF(('FS Budapest'!AQ13-'FS Budapest'!AQ12)&lt;0,"0",('FS Budapest'!AQ13-'FS Budapest'!AQ12))</f>
        <v>4</v>
      </c>
      <c r="X10" s="12">
        <f>'FS Budapest'!AY13</f>
        <v>0</v>
      </c>
      <c r="Y10" s="12">
        <f>IF(('FS Budapest'!BA13-'FS Budapest'!BA12)&lt;0,"0",('FS Budapest'!BA13-'FS Budapest'!BA12)*4400)</f>
        <v>14651.99999999968</v>
      </c>
      <c r="Z10" s="12">
        <f>'FS Budapest'!BI13</f>
        <v>14651.99999999968</v>
      </c>
      <c r="AA10" s="12">
        <f>'FS Budapest'!BJ13</f>
        <v>14619.99999999968</v>
      </c>
      <c r="AB10" s="12">
        <f>IF(('FS Budapest'!BK13-'FS Budapest'!BK12)&lt;0,"0",('FS Budapest'!BK13-'FS Budapest'!BK12)*100)</f>
        <v>1320.0000000000728</v>
      </c>
      <c r="AC10" s="12">
        <f>'FS Budapest'!BM13</f>
        <v>15971.999999999753</v>
      </c>
      <c r="AD10" s="12">
        <f>IF(('FS Budapest'!BP13-'FS Budapest'!BP12)&lt;0,"0",('FS Budapest'!BP13-'FS Budapest'!BP12))</f>
        <v>20</v>
      </c>
      <c r="AE10" s="12">
        <f>IF(('FS Budapest'!BR13-'FS Budapest'!BR12)&lt;0,"0",('FS Budapest'!BR13-'FS Budapest'!BR12))</f>
        <v>12</v>
      </c>
      <c r="AF10" s="12">
        <f>'FS Budapest'!BU13</f>
        <v>46</v>
      </c>
      <c r="AG10" s="12">
        <f>'FS Budapest'!BV13</f>
        <v>66</v>
      </c>
    </row>
    <row r="11" spans="1:33" s="16" customFormat="1">
      <c r="A11" s="12" t="s">
        <v>12</v>
      </c>
      <c r="B11" s="15">
        <f t="shared" si="0"/>
        <v>10</v>
      </c>
      <c r="C11" s="3">
        <v>2</v>
      </c>
      <c r="D11" s="12">
        <v>2020</v>
      </c>
      <c r="E11" s="12">
        <f>IF(('FS Budapest'!C14-'FS Budapest'!C13)&lt;0,"0",('FS Budapest'!C14-'FS Budapest'!C13))</f>
        <v>0</v>
      </c>
      <c r="F11" s="12">
        <f>IF(('FS Budapest'!D14-'FS Budapest'!D13)&lt;0,"0",('FS Budapest'!D14-'FS Budapest'!D13))</f>
        <v>49</v>
      </c>
      <c r="G11" s="12">
        <f>IF(('FS Budapest'!E14-'FS Budapest'!Y14)&lt;0,"0",('FS Budapest'!E14-'FS Budapest'!Y14))</f>
        <v>32</v>
      </c>
      <c r="H11" s="12">
        <f>IF(('[1]FS Budapest'!H14-'[1]FS Budapest'!H13)&lt;0,"0",('[1]FS Budapest'!H14-'[1]FS Budapest'!H13))</f>
        <v>56</v>
      </c>
      <c r="I11" s="12">
        <f>IF(('FS Budapest'!I14-'FS Budapest'!I13)&lt;0,"0",('FS Budapest'!I14-'FS Budapest'!I13))</f>
        <v>20</v>
      </c>
      <c r="J11" s="12">
        <f>IF(('FS Budapest'!K14-'FS Budapest'!K13)&lt;0,"0",('FS Budapest'!K14-'FS Budapest'!K13))</f>
        <v>9</v>
      </c>
      <c r="K11" s="12">
        <f>IF(('FS Budapest'!M14-'FS Budapest'!M13)&lt;0,"0",('FS Budapest'!M14-'FS Budapest'!M13))</f>
        <v>8</v>
      </c>
      <c r="L11" s="12">
        <f>IF(('FS Budapest'!O14-'FS Budapest'!O13)&lt;0,"0",('FS Budapest'!O14-'FS Budapest'!O13))</f>
        <v>5</v>
      </c>
      <c r="M11" s="12">
        <f>IF(('FS Budapest'!Q14-'FS Budapest'!Q13)&lt;0,"0",('FS Budapest'!Q14-'FS Budapest'!Q13))</f>
        <v>4</v>
      </c>
      <c r="N11" s="12">
        <f>IF(('FS Budapest'!S14-'FS Budapest'!S13)&lt;0,"0",('FS Budapest'!S14-'FS Budapest'!S13))</f>
        <v>1</v>
      </c>
      <c r="O11" s="12">
        <f>IF(('FS Budapest'!V14-'FS Budapest'!V13)&lt;0,"0",('FS Budapest'!V14-'FS Budapest'!V13))</f>
        <v>7</v>
      </c>
      <c r="P11" s="12">
        <f>IF(('FS Budapest'!X14-'FS Budapest'!X13)&lt;0,"0",('FS Budapest'!X14-'FS Budapest'!X13))</f>
        <v>17</v>
      </c>
      <c r="Q11" s="12">
        <f>'FS Budapest'!AB14</f>
        <v>0</v>
      </c>
      <c r="R11" s="12">
        <f>'FS Budapest'!AE14</f>
        <v>3</v>
      </c>
      <c r="S11" s="12">
        <f>'FS Budapest'!AF14</f>
        <v>12</v>
      </c>
      <c r="T11" s="12">
        <f>IF(('FS Budapest'!AK14-'FS Budapest'!AK13)&lt;0,"0",('FS Budapest'!AK14-'FS Budapest'!AK13))</f>
        <v>1962</v>
      </c>
      <c r="U11" s="12">
        <f>IF(('FS Budapest'!AM14-'FS Budapest'!AM13)&lt;0,"0",('FS Budapest'!AM14-'FS Budapest'!AM13))</f>
        <v>37</v>
      </c>
      <c r="V11" s="12">
        <f>IF(('FS Budapest'!AO14-'FS Budapest'!AO13)&lt;0,"0",('FS Budapest'!AO14-'FS Budapest'!AO13))</f>
        <v>573</v>
      </c>
      <c r="W11" s="12">
        <f>IF(('FS Budapest'!AQ14-'FS Budapest'!AQ13)&lt;0,"0",('FS Budapest'!AQ14-'FS Budapest'!AQ13))</f>
        <v>0</v>
      </c>
      <c r="X11" s="12">
        <f>'FS Budapest'!AY14</f>
        <v>0</v>
      </c>
      <c r="Y11" s="12">
        <f>IF(('FS Budapest'!BA14-'FS Budapest'!BA13)&lt;0,"0",('FS Budapest'!BA14-'FS Budapest'!BA13)*4400)</f>
        <v>15180.000000003201</v>
      </c>
      <c r="Z11" s="12">
        <f>'FS Budapest'!BI14</f>
        <v>15180.000000003201</v>
      </c>
      <c r="AA11" s="12">
        <f>'FS Budapest'!BJ14</f>
        <v>15148.000000003201</v>
      </c>
      <c r="AB11" s="12">
        <f>IF(('FS Budapest'!BK14-'FS Budapest'!BK13)&lt;0,"0",('FS Budapest'!BK14-'FS Budapest'!BK13)*100)</f>
        <v>1045.0000000000728</v>
      </c>
      <c r="AC11" s="12">
        <f>'FS Budapest'!BM14</f>
        <v>16225.000000003274</v>
      </c>
      <c r="AD11" s="12">
        <f>IF(('FS Budapest'!BP14-'FS Budapest'!BP13)&lt;0,"0",('FS Budapest'!BP14-'FS Budapest'!BP13))</f>
        <v>20</v>
      </c>
      <c r="AE11" s="12">
        <f>IF(('FS Budapest'!BR14-'FS Budapest'!BR13)&lt;0,"0",('FS Budapest'!BR14-'FS Budapest'!BR13))</f>
        <v>12</v>
      </c>
      <c r="AF11" s="12">
        <f>'FS Budapest'!BU14</f>
        <v>68</v>
      </c>
      <c r="AG11" s="12">
        <f>'FS Budapest'!BV14</f>
        <v>89</v>
      </c>
    </row>
    <row r="12" spans="1:33" s="16" customFormat="1">
      <c r="A12" s="12" t="s">
        <v>12</v>
      </c>
      <c r="B12" s="15">
        <f t="shared" si="0"/>
        <v>11</v>
      </c>
      <c r="C12" s="3">
        <v>2</v>
      </c>
      <c r="D12" s="12">
        <v>2020</v>
      </c>
      <c r="E12" s="12">
        <f>IF(('FS Budapest'!C15-'FS Budapest'!C14)&lt;0,"0",('FS Budapest'!C15-'FS Budapest'!C14))</f>
        <v>29</v>
      </c>
      <c r="F12" s="12">
        <f>IF(('FS Budapest'!D15-'FS Budapest'!D14)&lt;0,"0",('FS Budapest'!D15-'FS Budapest'!D14))</f>
        <v>50</v>
      </c>
      <c r="G12" s="12">
        <f>IF(('FS Budapest'!E15-'FS Budapest'!Y15)&lt;0,"0",('FS Budapest'!E15-'FS Budapest'!Y15))</f>
        <v>37</v>
      </c>
      <c r="H12" s="12">
        <f>IF(('[1]FS Budapest'!H15-'[1]FS Budapest'!H14)&lt;0,"0",('[1]FS Budapest'!H15-'[1]FS Budapest'!H14))</f>
        <v>54</v>
      </c>
      <c r="I12" s="12">
        <f>IF(('FS Budapest'!I15-'FS Budapest'!I14)&lt;0,"0",('FS Budapest'!I15-'FS Budapest'!I14))</f>
        <v>18</v>
      </c>
      <c r="J12" s="12">
        <f>IF(('FS Budapest'!K15-'FS Budapest'!K14)&lt;0,"0",('FS Budapest'!K15-'FS Budapest'!K14))</f>
        <v>5</v>
      </c>
      <c r="K12" s="12">
        <f>IF(('FS Budapest'!M15-'FS Budapest'!M14)&lt;0,"0",('FS Budapest'!M15-'FS Budapest'!M14))</f>
        <v>7</v>
      </c>
      <c r="L12" s="12">
        <f>IF(('FS Budapest'!O15-'FS Budapest'!O14)&lt;0,"0",('FS Budapest'!O15-'FS Budapest'!O14))</f>
        <v>5</v>
      </c>
      <c r="M12" s="12">
        <f>IF(('FS Budapest'!Q15-'FS Budapest'!Q14)&lt;0,"0",('FS Budapest'!Q15-'FS Budapest'!Q14))</f>
        <v>2</v>
      </c>
      <c r="N12" s="12">
        <f>IF(('FS Budapest'!S15-'FS Budapest'!S14)&lt;0,"0",('FS Budapest'!S15-'FS Budapest'!S14))</f>
        <v>1</v>
      </c>
      <c r="O12" s="12">
        <f>IF(('FS Budapest'!V15-'FS Budapest'!V14)&lt;0,"0",('FS Budapest'!V15-'FS Budapest'!V14))</f>
        <v>7</v>
      </c>
      <c r="P12" s="12">
        <f>IF(('FS Budapest'!X15-'FS Budapest'!X14)&lt;0,"0",('FS Budapest'!X15-'FS Budapest'!X14))</f>
        <v>13</v>
      </c>
      <c r="Q12" s="12">
        <f>'FS Budapest'!AB15</f>
        <v>2</v>
      </c>
      <c r="R12" s="12">
        <f>'FS Budapest'!AE15</f>
        <v>3</v>
      </c>
      <c r="S12" s="12">
        <f>'FS Budapest'!AF15</f>
        <v>10</v>
      </c>
      <c r="T12" s="12">
        <f>IF(('FS Budapest'!AK15-'FS Budapest'!AK14)&lt;0,"0",('FS Budapest'!AK15-'FS Budapest'!AK14))</f>
        <v>2304</v>
      </c>
      <c r="U12" s="12">
        <f>IF(('FS Budapest'!AM15-'FS Budapest'!AM14)&lt;0,"0",('FS Budapest'!AM15-'FS Budapest'!AM14))</f>
        <v>37</v>
      </c>
      <c r="V12" s="12">
        <f>IF(('FS Budapest'!AO15-'FS Budapest'!AO14)&lt;0,"0",('FS Budapest'!AO15-'FS Budapest'!AO14))</f>
        <v>499</v>
      </c>
      <c r="W12" s="12">
        <f>IF(('FS Budapest'!AQ15-'FS Budapest'!AQ14)&lt;0,"0",('FS Budapest'!AQ15-'FS Budapest'!AQ14))</f>
        <v>0</v>
      </c>
      <c r="X12" s="12">
        <f>'FS Budapest'!AY15</f>
        <v>0</v>
      </c>
      <c r="Y12" s="12">
        <f>IF(('FS Budapest'!BA15-'FS Budapest'!BA14)&lt;0,"0",('FS Budapest'!BA15-'FS Budapest'!BA14)*4400)</f>
        <v>14519.999999996799</v>
      </c>
      <c r="Z12" s="12">
        <f>'FS Budapest'!BI15</f>
        <v>14519.999999996799</v>
      </c>
      <c r="AA12" s="12">
        <f>'FS Budapest'!BJ15</f>
        <v>14487.999999996799</v>
      </c>
      <c r="AB12" s="12">
        <f>IF(('FS Budapest'!BK15-'FS Budapest'!BK14)&lt;0,"0",('FS Budapest'!BK15-'FS Budapest'!BK14)*100)</f>
        <v>900.99999999983993</v>
      </c>
      <c r="AC12" s="12">
        <f>'FS Budapest'!BM15</f>
        <v>15420.999999996639</v>
      </c>
      <c r="AD12" s="12">
        <f>IF(('FS Budapest'!BP15-'FS Budapest'!BP14)&lt;0,"0",('FS Budapest'!BP15-'FS Budapest'!BP14))</f>
        <v>20</v>
      </c>
      <c r="AE12" s="12">
        <f>IF(('FS Budapest'!BR15-'FS Budapest'!BR14)&lt;0,"0",('FS Budapest'!BR15-'FS Budapest'!BR14))</f>
        <v>12</v>
      </c>
      <c r="AF12" s="12">
        <f>'FS Budapest'!BU15</f>
        <v>76</v>
      </c>
      <c r="AG12" s="12">
        <f>'FS Budapest'!BV15</f>
        <v>100</v>
      </c>
    </row>
    <row r="13" spans="1:33" s="16" customFormat="1">
      <c r="A13" s="12" t="s">
        <v>12</v>
      </c>
      <c r="B13" s="15">
        <f t="shared" si="0"/>
        <v>12</v>
      </c>
      <c r="C13" s="3">
        <v>2</v>
      </c>
      <c r="D13" s="12">
        <v>2020</v>
      </c>
      <c r="E13" s="12">
        <f>IF(('FS Budapest'!C16-'FS Budapest'!C15)&lt;0,"0",('FS Budapest'!C16-'FS Budapest'!C15))</f>
        <v>69</v>
      </c>
      <c r="F13" s="12">
        <f>IF(('FS Budapest'!D16-'FS Budapest'!D15)&lt;0,"0",('FS Budapest'!D16-'FS Budapest'!D15))</f>
        <v>58</v>
      </c>
      <c r="G13" s="12">
        <f>IF(('FS Budapest'!E16-'FS Budapest'!Y16)&lt;0,"0",('FS Budapest'!E16-'FS Budapest'!Y16))</f>
        <v>47</v>
      </c>
      <c r="H13" s="12">
        <f>IF(('[1]FS Budapest'!H16-'[1]FS Budapest'!H15)&lt;0,"0",('[1]FS Budapest'!H16-'[1]FS Budapest'!H15))</f>
        <v>47</v>
      </c>
      <c r="I13" s="12">
        <f>IF(('FS Budapest'!I16-'FS Budapest'!I15)&lt;0,"0",('FS Budapest'!I16-'FS Budapest'!I15))</f>
        <v>18</v>
      </c>
      <c r="J13" s="12">
        <f>IF(('FS Budapest'!K16-'FS Budapest'!K15)&lt;0,"0",('FS Budapest'!K16-'FS Budapest'!K15))</f>
        <v>1</v>
      </c>
      <c r="K13" s="12">
        <f>IF(('FS Budapest'!M16-'FS Budapest'!M15)&lt;0,"0",('FS Budapest'!M16-'FS Budapest'!M15))</f>
        <v>8</v>
      </c>
      <c r="L13" s="12">
        <f>IF(('FS Budapest'!O16-'FS Budapest'!O15)&lt;0,"0",('FS Budapest'!O16-'FS Budapest'!O15))</f>
        <v>8</v>
      </c>
      <c r="M13" s="12">
        <f>IF(('FS Budapest'!Q16-'FS Budapest'!Q15)&lt;0,"0",('FS Budapest'!Q16-'FS Budapest'!Q15))</f>
        <v>1</v>
      </c>
      <c r="N13" s="12">
        <f>IF(('FS Budapest'!S16-'FS Budapest'!S15)&lt;0,"0",('FS Budapest'!S16-'FS Budapest'!S15))</f>
        <v>1</v>
      </c>
      <c r="O13" s="12">
        <f>IF(('FS Budapest'!V16-'FS Budapest'!V15)&lt;0,"0",('FS Budapest'!V16-'FS Budapest'!V15))</f>
        <v>6</v>
      </c>
      <c r="P13" s="12">
        <f>IF(('FS Budapest'!X16-'FS Budapest'!X15)&lt;0,"0",('FS Budapest'!X16-'FS Budapest'!X15))</f>
        <v>11</v>
      </c>
      <c r="Q13" s="12">
        <f>'FS Budapest'!AB16</f>
        <v>1</v>
      </c>
      <c r="R13" s="12">
        <f>'FS Budapest'!AE16</f>
        <v>2</v>
      </c>
      <c r="S13" s="12">
        <f>'FS Budapest'!AF16</f>
        <v>8</v>
      </c>
      <c r="T13" s="12">
        <f>IF(('FS Budapest'!AK16-'FS Budapest'!AK15)&lt;0,"0",('FS Budapest'!AK16-'FS Budapest'!AK15))</f>
        <v>2512</v>
      </c>
      <c r="U13" s="12">
        <f>IF(('FS Budapest'!AM16-'FS Budapest'!AM15)&lt;0,"0",('FS Budapest'!AM16-'FS Budapest'!AM15))</f>
        <v>36</v>
      </c>
      <c r="V13" s="12">
        <f>IF(('FS Budapest'!AO16-'FS Budapest'!AO15)&lt;0,"0",('FS Budapest'!AO16-'FS Budapest'!AO15))</f>
        <v>331</v>
      </c>
      <c r="W13" s="12">
        <f>IF(('FS Budapest'!AQ16-'FS Budapest'!AQ15)&lt;0,"0",('FS Budapest'!AQ16-'FS Budapest'!AQ15))</f>
        <v>1129</v>
      </c>
      <c r="X13" s="12">
        <f>'FS Budapest'!AY16</f>
        <v>0</v>
      </c>
      <c r="Y13" s="12">
        <f>IF(('FS Budapest'!BA16-'FS Budapest'!BA15)&lt;0,"0",('FS Budapest'!BA16-'FS Budapest'!BA15)*4400)</f>
        <v>14563.999999997759</v>
      </c>
      <c r="Z13" s="12">
        <f>'FS Budapest'!BI16</f>
        <v>14563.999999997759</v>
      </c>
      <c r="AA13" s="12">
        <f>'FS Budapest'!BJ16</f>
        <v>14533.999999997759</v>
      </c>
      <c r="AB13" s="12">
        <f>IF(('FS Budapest'!BK16-'FS Budapest'!BK15)&lt;0,"0",('FS Budapest'!BK16-'FS Budapest'!BK15)*100)</f>
        <v>918.0000000000291</v>
      </c>
      <c r="AC13" s="12">
        <f>'FS Budapest'!BM16</f>
        <v>15481.999999997788</v>
      </c>
      <c r="AD13" s="12">
        <f>IF(('FS Budapest'!BP16-'FS Budapest'!BP15)&lt;0,"0",('FS Budapest'!BP16-'FS Budapest'!BP15))</f>
        <v>18</v>
      </c>
      <c r="AE13" s="12">
        <f>IF(('FS Budapest'!BR16-'FS Budapest'!BR15)&lt;0,"0",('FS Budapest'!BR16-'FS Budapest'!BR15))</f>
        <v>12</v>
      </c>
      <c r="AF13" s="12">
        <f>'FS Budapest'!BU16</f>
        <v>68</v>
      </c>
      <c r="AG13" s="12">
        <f>'FS Budapest'!BV16</f>
        <v>91</v>
      </c>
    </row>
    <row r="14" spans="1:33" s="16" customFormat="1">
      <c r="A14" s="12" t="s">
        <v>12</v>
      </c>
      <c r="B14" s="15">
        <f t="shared" si="0"/>
        <v>13</v>
      </c>
      <c r="C14" s="3">
        <v>2</v>
      </c>
      <c r="D14" s="12">
        <v>2020</v>
      </c>
      <c r="E14" s="12">
        <f>IF(('FS Budapest'!C17-'FS Budapest'!C16)&lt;0,"0",('FS Budapest'!C17-'FS Budapest'!C16))</f>
        <v>52</v>
      </c>
      <c r="F14" s="12">
        <f>IF(('FS Budapest'!D17-'FS Budapest'!D16)&lt;0,"0",('FS Budapest'!D17-'FS Budapest'!D16))</f>
        <v>53</v>
      </c>
      <c r="G14" s="12">
        <f>IF(('FS Budapest'!E17-'FS Budapest'!Y17)&lt;0,"0",('FS Budapest'!E17-'FS Budapest'!Y17))</f>
        <v>39</v>
      </c>
      <c r="H14" s="12">
        <f>IF(('[1]FS Budapest'!H17-'[1]FS Budapest'!H16)&lt;0,"0",('[1]FS Budapest'!H17-'[1]FS Budapest'!H16))</f>
        <v>63</v>
      </c>
      <c r="I14" s="12">
        <f>IF(('FS Budapest'!I17-'FS Budapest'!I16)&lt;0,"0",('FS Budapest'!I17-'FS Budapest'!I16))</f>
        <v>4</v>
      </c>
      <c r="J14" s="12">
        <f>IF(('FS Budapest'!K17-'FS Budapest'!K16)&lt;0,"0",('FS Budapest'!K17-'FS Budapest'!K16))</f>
        <v>18</v>
      </c>
      <c r="K14" s="12">
        <f>IF(('FS Budapest'!M17-'FS Budapest'!M16)&lt;0,"0",('FS Budapest'!M17-'FS Budapest'!M16))</f>
        <v>6</v>
      </c>
      <c r="L14" s="12">
        <f>IF(('FS Budapest'!O17-'FS Budapest'!O16)&lt;0,"0",('FS Budapest'!O17-'FS Budapest'!O16))</f>
        <v>6</v>
      </c>
      <c r="M14" s="12">
        <f>IF(('FS Budapest'!Q17-'FS Budapest'!Q16)&lt;0,"0",('FS Budapest'!Q17-'FS Budapest'!Q16))</f>
        <v>0</v>
      </c>
      <c r="N14" s="12">
        <f>IF(('FS Budapest'!S17-'FS Budapest'!S16)&lt;0,"0",('FS Budapest'!S17-'FS Budapest'!S16))</f>
        <v>1</v>
      </c>
      <c r="O14" s="12">
        <f>IF(('FS Budapest'!V17-'FS Budapest'!V16)&lt;0,"0",('FS Budapest'!V17-'FS Budapest'!V16))</f>
        <v>1</v>
      </c>
      <c r="P14" s="12">
        <f>IF(('FS Budapest'!X17-'FS Budapest'!X16)&lt;0,"0",('FS Budapest'!X17-'FS Budapest'!X16))</f>
        <v>14</v>
      </c>
      <c r="Q14" s="12">
        <f>'FS Budapest'!AB17</f>
        <v>2</v>
      </c>
      <c r="R14" s="12">
        <f>'FS Budapest'!AE17</f>
        <v>3</v>
      </c>
      <c r="S14" s="12">
        <f>'FS Budapest'!AF17</f>
        <v>2</v>
      </c>
      <c r="T14" s="12">
        <f>IF(('FS Budapest'!AK17-'FS Budapest'!AK16)&lt;0,"0",('FS Budapest'!AK17-'FS Budapest'!AK16))</f>
        <v>1914</v>
      </c>
      <c r="U14" s="12">
        <f>IF(('FS Budapest'!AM17-'FS Budapest'!AM16)&lt;0,"0",('FS Budapest'!AM17-'FS Budapest'!AM16))</f>
        <v>45</v>
      </c>
      <c r="V14" s="12">
        <f>IF(('FS Budapest'!AO17-'FS Budapest'!AO16)&lt;0,"0",('FS Budapest'!AO17-'FS Budapest'!AO16))</f>
        <v>0</v>
      </c>
      <c r="W14" s="12">
        <f>IF(('FS Budapest'!AQ17-'FS Budapest'!AQ16)&lt;0,"0",('FS Budapest'!AQ17-'FS Budapest'!AQ16))</f>
        <v>1083</v>
      </c>
      <c r="X14" s="12">
        <f>'FS Budapest'!AY17</f>
        <v>0</v>
      </c>
      <c r="Y14" s="12">
        <f>IF(('FS Budapest'!BA17-'FS Budapest'!BA16)&lt;0,"0",('FS Budapest'!BA17-'FS Budapest'!BA16)*4400)</f>
        <v>15400</v>
      </c>
      <c r="Z14" s="12">
        <f>'FS Budapest'!BI17</f>
        <v>15400</v>
      </c>
      <c r="AA14" s="12">
        <f>'FS Budapest'!BJ17</f>
        <v>15368</v>
      </c>
      <c r="AB14" s="12">
        <f>IF(('FS Budapest'!BK17-'FS Budapest'!BK16)&lt;0,"0",('FS Budapest'!BK17-'FS Budapest'!BK16)*100)</f>
        <v>970.00000000007276</v>
      </c>
      <c r="AC14" s="12">
        <f>'FS Budapest'!BM17</f>
        <v>16370.000000000073</v>
      </c>
      <c r="AD14" s="12">
        <f>IF(('FS Budapest'!BP17-'FS Budapest'!BP16)&lt;0,"0",('FS Budapest'!BP17-'FS Budapest'!BP16))</f>
        <v>20</v>
      </c>
      <c r="AE14" s="12">
        <f>IF(('FS Budapest'!BR17-'FS Budapest'!BR16)&lt;0,"0",('FS Budapest'!BR17-'FS Budapest'!BR16))</f>
        <v>12</v>
      </c>
      <c r="AF14" s="12">
        <f>'FS Budapest'!BU17</f>
        <v>73</v>
      </c>
      <c r="AG14" s="12">
        <f>'FS Budapest'!BV17</f>
        <v>102</v>
      </c>
    </row>
    <row r="15" spans="1:33" s="16" customFormat="1">
      <c r="A15" s="12" t="s">
        <v>12</v>
      </c>
      <c r="B15" s="15">
        <f t="shared" si="0"/>
        <v>14</v>
      </c>
      <c r="C15" s="3">
        <v>2</v>
      </c>
      <c r="D15" s="12">
        <v>2020</v>
      </c>
      <c r="E15" s="12">
        <f>IF(('FS Budapest'!C18-'FS Budapest'!C17)&lt;0,"0",('FS Budapest'!C18-'FS Budapest'!C17))</f>
        <v>79</v>
      </c>
      <c r="F15" s="12">
        <f>IF(('FS Budapest'!D18-'FS Budapest'!D17)&lt;0,"0",('FS Budapest'!D18-'FS Budapest'!D17))</f>
        <v>64</v>
      </c>
      <c r="G15" s="12">
        <f>IF(('FS Budapest'!E18-'FS Budapest'!Y18)&lt;0,"0",('FS Budapest'!E18-'FS Budapest'!Y18))</f>
        <v>51</v>
      </c>
      <c r="H15" s="12">
        <f>IF(('[1]FS Budapest'!H18-'[1]FS Budapest'!H17)&lt;0,"0",('[1]FS Budapest'!H18-'[1]FS Budapest'!H17))</f>
        <v>72</v>
      </c>
      <c r="I15" s="12">
        <f>IF(('FS Budapest'!I18-'FS Budapest'!I17)&lt;0,"0",('FS Budapest'!I18-'FS Budapest'!I17))</f>
        <v>26</v>
      </c>
      <c r="J15" s="12">
        <f>IF(('FS Budapest'!K18-'FS Budapest'!K17)&lt;0,"0",('FS Budapest'!K18-'FS Budapest'!K17))</f>
        <v>12</v>
      </c>
      <c r="K15" s="12">
        <f>IF(('FS Budapest'!M18-'FS Budapest'!M17)&lt;0,"0",('FS Budapest'!M18-'FS Budapest'!M17))</f>
        <v>7</v>
      </c>
      <c r="L15" s="12">
        <f>IF(('FS Budapest'!O18-'FS Budapest'!O17)&lt;0,"0",('FS Budapest'!O18-'FS Budapest'!O17))</f>
        <v>7</v>
      </c>
      <c r="M15" s="12">
        <f>IF(('FS Budapest'!Q18-'FS Budapest'!Q17)&lt;0,"0",('FS Budapest'!Q18-'FS Budapest'!Q17))</f>
        <v>5</v>
      </c>
      <c r="N15" s="12">
        <f>IF(('FS Budapest'!S18-'FS Budapest'!S17)&lt;0,"0",('FS Budapest'!S18-'FS Budapest'!S17))</f>
        <v>1</v>
      </c>
      <c r="O15" s="12">
        <f>IF(('FS Budapest'!V18-'FS Budapest'!V17)&lt;0,"0",('FS Budapest'!V18-'FS Budapest'!V17))</f>
        <v>8</v>
      </c>
      <c r="P15" s="12">
        <f>IF(('FS Budapest'!X18-'FS Budapest'!X17)&lt;0,"0",('FS Budapest'!X18-'FS Budapest'!X17))</f>
        <v>13</v>
      </c>
      <c r="Q15" s="12">
        <f>'FS Budapest'!AB18</f>
        <v>2</v>
      </c>
      <c r="R15" s="12">
        <f>'FS Budapest'!AE18</f>
        <v>2</v>
      </c>
      <c r="S15" s="12">
        <f>'FS Budapest'!AF18</f>
        <v>14</v>
      </c>
      <c r="T15" s="12">
        <f>IF(('FS Budapest'!AK18-'FS Budapest'!AK17)&lt;0,"0",('FS Budapest'!AK18-'FS Budapest'!AK17))</f>
        <v>2342</v>
      </c>
      <c r="U15" s="12">
        <f>IF(('FS Budapest'!AM18-'FS Budapest'!AM17)&lt;0,"0",('FS Budapest'!AM18-'FS Budapest'!AM17))</f>
        <v>53</v>
      </c>
      <c r="V15" s="12">
        <f>IF(('FS Budapest'!AO18-'FS Budapest'!AO17)&lt;0,"0",('FS Budapest'!AO18-'FS Budapest'!AO17))</f>
        <v>0</v>
      </c>
      <c r="W15" s="12">
        <f>IF(('FS Budapest'!AQ18-'FS Budapest'!AQ17)&lt;0,"0",('FS Budapest'!AQ18-'FS Budapest'!AQ17))</f>
        <v>639</v>
      </c>
      <c r="X15" s="12">
        <f>'FS Budapest'!AY18</f>
        <v>0</v>
      </c>
      <c r="Y15" s="12">
        <f>IF(('FS Budapest'!BA18-'FS Budapest'!BA17)&lt;0,"0",('FS Budapest'!BA18-'FS Budapest'!BA17)*4400)</f>
        <v>15048.00000000032</v>
      </c>
      <c r="Z15" s="12">
        <f>'FS Budapest'!BI18</f>
        <v>15048.00000000032</v>
      </c>
      <c r="AA15" s="12">
        <f>'FS Budapest'!BJ18</f>
        <v>15016.00000000032</v>
      </c>
      <c r="AB15" s="12">
        <f>IF(('FS Budapest'!BK18-'FS Budapest'!BK17)&lt;0,"0",('FS Budapest'!BK18-'FS Budapest'!BK17)*100)</f>
        <v>906.00000000013097</v>
      </c>
      <c r="AC15" s="12">
        <f>'FS Budapest'!BM18</f>
        <v>15954.000000000451</v>
      </c>
      <c r="AD15" s="12">
        <f>IF(('FS Budapest'!BP18-'FS Budapest'!BP17)&lt;0,"0",('FS Budapest'!BP18-'FS Budapest'!BP17))</f>
        <v>20</v>
      </c>
      <c r="AE15" s="12">
        <f>IF(('FS Budapest'!BR18-'FS Budapest'!BR17)&lt;0,"0",('FS Budapest'!BR18-'FS Budapest'!BR17))</f>
        <v>12</v>
      </c>
      <c r="AF15" s="12">
        <f>'FS Budapest'!BU18</f>
        <v>98</v>
      </c>
      <c r="AG15" s="12">
        <f>'FS Budapest'!BV18</f>
        <v>160</v>
      </c>
    </row>
    <row r="16" spans="1:33" s="16" customFormat="1">
      <c r="A16" s="12" t="s">
        <v>12</v>
      </c>
      <c r="B16" s="15">
        <f t="shared" si="0"/>
        <v>15</v>
      </c>
      <c r="C16" s="3">
        <v>2</v>
      </c>
      <c r="D16" s="12">
        <v>2020</v>
      </c>
      <c r="E16" s="12">
        <f>IF(('FS Budapest'!C19-'FS Budapest'!C18)&lt;0,"0",('FS Budapest'!C19-'FS Budapest'!C18))</f>
        <v>75</v>
      </c>
      <c r="F16" s="12">
        <f>IF(('FS Budapest'!D19-'FS Budapest'!D18)&lt;0,"0",('FS Budapest'!D19-'FS Budapest'!D18))</f>
        <v>69</v>
      </c>
      <c r="G16" s="12">
        <f>IF(('FS Budapest'!E19-'FS Budapest'!Y19)&lt;0,"0",('FS Budapest'!E19-'FS Budapest'!Y19))</f>
        <v>54</v>
      </c>
      <c r="H16" s="12">
        <f>IF(('[1]FS Budapest'!H19-'[1]FS Budapest'!H18)&lt;0,"0",('[1]FS Budapest'!H19-'[1]FS Budapest'!H18))</f>
        <v>56</v>
      </c>
      <c r="I16" s="12">
        <f>IF(('FS Budapest'!I19-'FS Budapest'!I18)&lt;0,"0",('FS Budapest'!I19-'FS Budapest'!I18))</f>
        <v>22</v>
      </c>
      <c r="J16" s="12">
        <f>IF(('FS Budapest'!K19-'FS Budapest'!K18)&lt;0,"0",('FS Budapest'!K19-'FS Budapest'!K18))</f>
        <v>10</v>
      </c>
      <c r="K16" s="12">
        <f>IF(('FS Budapest'!M19-'FS Budapest'!M18)&lt;0,"0",('FS Budapest'!M19-'FS Budapest'!M18))</f>
        <v>9</v>
      </c>
      <c r="L16" s="12">
        <f>IF(('FS Budapest'!O19-'FS Budapest'!O18)&lt;0,"0",('FS Budapest'!O19-'FS Budapest'!O18))</f>
        <v>11</v>
      </c>
      <c r="M16" s="12">
        <f>IF(('FS Budapest'!Q19-'FS Budapest'!Q18)&lt;0,"0",('FS Budapest'!Q19-'FS Budapest'!Q18))</f>
        <v>0</v>
      </c>
      <c r="N16" s="12">
        <f>IF(('FS Budapest'!S19-'FS Budapest'!S18)&lt;0,"0",('FS Budapest'!S19-'FS Budapest'!S18))</f>
        <v>1</v>
      </c>
      <c r="O16" s="12">
        <f>IF(('FS Budapest'!V19-'FS Budapest'!V18)&lt;0,"0",('FS Budapest'!V19-'FS Budapest'!V18))</f>
        <v>7</v>
      </c>
      <c r="P16" s="12">
        <f>IF(('FS Budapest'!X19-'FS Budapest'!X18)&lt;0,"0",('FS Budapest'!X19-'FS Budapest'!X18))</f>
        <v>15</v>
      </c>
      <c r="Q16" s="12">
        <f>'FS Budapest'!AB19</f>
        <v>2</v>
      </c>
      <c r="R16" s="12">
        <f>'FS Budapest'!AE19</f>
        <v>4</v>
      </c>
      <c r="S16" s="12">
        <f>'FS Budapest'!AF19</f>
        <v>9</v>
      </c>
      <c r="T16" s="12">
        <f>IF(('FS Budapest'!AK19-'FS Budapest'!AK18)&lt;0,"0",('FS Budapest'!AK19-'FS Budapest'!AK18))</f>
        <v>2337</v>
      </c>
      <c r="U16" s="12">
        <f>IF(('FS Budapest'!AM19-'FS Budapest'!AM18)&lt;0,"0",('FS Budapest'!AM19-'FS Budapest'!AM18))</f>
        <v>50</v>
      </c>
      <c r="V16" s="12">
        <f>IF(('FS Budapest'!AO19-'FS Budapest'!AO18)&lt;0,"0",('FS Budapest'!AO19-'FS Budapest'!AO18))</f>
        <v>0</v>
      </c>
      <c r="W16" s="12">
        <f>IF(('FS Budapest'!AQ19-'FS Budapest'!AQ18)&lt;0,"0",('FS Budapest'!AQ19-'FS Budapest'!AQ18))</f>
        <v>522</v>
      </c>
      <c r="X16" s="12">
        <f>'FS Budapest'!AY19</f>
        <v>0</v>
      </c>
      <c r="Y16" s="12">
        <f>IF(('FS Budapest'!BA19-'FS Budapest'!BA18)&lt;0,"0",('FS Budapest'!BA19-'FS Budapest'!BA18)*4400)</f>
        <v>15180.000000003201</v>
      </c>
      <c r="Z16" s="12">
        <f>'FS Budapest'!BI19</f>
        <v>15180.000000003201</v>
      </c>
      <c r="AA16" s="12">
        <f>'FS Budapest'!BJ19</f>
        <v>15148.000000003201</v>
      </c>
      <c r="AB16" s="12">
        <f>IF(('FS Budapest'!BK19-'FS Budapest'!BK18)&lt;0,"0",('FS Budapest'!BK19-'FS Budapest'!BK18)*100)</f>
        <v>887.99999999973807</v>
      </c>
      <c r="AC16" s="12">
        <f>'FS Budapest'!BM19</f>
        <v>16068.000000002939</v>
      </c>
      <c r="AD16" s="12">
        <f>IF(('FS Budapest'!BP19-'FS Budapest'!BP18)&lt;0,"0",('FS Budapest'!BP19-'FS Budapest'!BP18))</f>
        <v>20</v>
      </c>
      <c r="AE16" s="12">
        <f>IF(('FS Budapest'!BR19-'FS Budapest'!BR18)&lt;0,"0",('FS Budapest'!BR19-'FS Budapest'!BR18))</f>
        <v>12</v>
      </c>
      <c r="AF16" s="12">
        <f>'FS Budapest'!BU19</f>
        <v>95</v>
      </c>
      <c r="AG16" s="12">
        <f>'FS Budapest'!BV19</f>
        <v>162</v>
      </c>
    </row>
    <row r="17" spans="1:33" s="16" customFormat="1">
      <c r="A17" s="12" t="s">
        <v>12</v>
      </c>
      <c r="B17" s="15">
        <f t="shared" si="0"/>
        <v>16</v>
      </c>
      <c r="C17" s="3">
        <v>2</v>
      </c>
      <c r="D17" s="12">
        <v>2020</v>
      </c>
      <c r="E17" s="12">
        <f>IF(('FS Budapest'!C20-'FS Budapest'!C19)&lt;0,"0",('FS Budapest'!C20-'FS Budapest'!C19))</f>
        <v>54</v>
      </c>
      <c r="F17" s="12">
        <f>IF(('FS Budapest'!D20-'FS Budapest'!D19)&lt;0,"0",('FS Budapest'!D20-'FS Budapest'!D19))</f>
        <v>60</v>
      </c>
      <c r="G17" s="12">
        <f>IF(('FS Budapest'!E20-'FS Budapest'!Y20)&lt;0,"0",('FS Budapest'!E20-'FS Budapest'!Y20))</f>
        <v>47</v>
      </c>
      <c r="H17" s="12">
        <f>IF(('[1]FS Budapest'!H20-'[1]FS Budapest'!H19)&lt;0,"0",('[1]FS Budapest'!H20-'[1]FS Budapest'!H19))</f>
        <v>56</v>
      </c>
      <c r="I17" s="12">
        <f>IF(('FS Budapest'!I20-'FS Budapest'!I19)&lt;0,"0",('FS Budapest'!I20-'FS Budapest'!I19))</f>
        <v>3</v>
      </c>
      <c r="J17" s="12">
        <f>IF(('FS Budapest'!K20-'FS Budapest'!K19)&lt;0,"0",('FS Budapest'!K20-'FS Budapest'!K19))</f>
        <v>11</v>
      </c>
      <c r="K17" s="12">
        <f>IF(('FS Budapest'!M20-'FS Budapest'!M19)&lt;0,"0",('FS Budapest'!M20-'FS Budapest'!M19))</f>
        <v>6</v>
      </c>
      <c r="L17" s="12">
        <f>IF(('FS Budapest'!O20-'FS Budapest'!O19)&lt;0,"0",('FS Budapest'!O20-'FS Budapest'!O19))</f>
        <v>8</v>
      </c>
      <c r="M17" s="12">
        <f>IF(('FS Budapest'!Q20-'FS Budapest'!Q19)&lt;0,"0",('FS Budapest'!Q20-'FS Budapest'!Q19))</f>
        <v>0</v>
      </c>
      <c r="N17" s="12">
        <f>IF(('FS Budapest'!S20-'FS Budapest'!S19)&lt;0,"0",('FS Budapest'!S20-'FS Budapest'!S19))</f>
        <v>1</v>
      </c>
      <c r="O17" s="12">
        <f>IF(('FS Budapest'!V20-'FS Budapest'!V19)&lt;0,"0",('FS Budapest'!V20-'FS Budapest'!V19))</f>
        <v>0</v>
      </c>
      <c r="P17" s="12">
        <f>IF(('FS Budapest'!X20-'FS Budapest'!X19)&lt;0,"0",('FS Budapest'!X20-'FS Budapest'!X19))</f>
        <v>13</v>
      </c>
      <c r="Q17" s="12">
        <f>'FS Budapest'!AB20</f>
        <v>2</v>
      </c>
      <c r="R17" s="12">
        <f>'FS Budapest'!AE20</f>
        <v>2</v>
      </c>
      <c r="S17" s="12">
        <f>'FS Budapest'!AF20</f>
        <v>1</v>
      </c>
      <c r="T17" s="12">
        <f>IF(('FS Budapest'!AK20-'FS Budapest'!AK19)&lt;0,"0",('FS Budapest'!AK20-'FS Budapest'!AK19))</f>
        <v>1763</v>
      </c>
      <c r="U17" s="12">
        <f>IF(('FS Budapest'!AM20-'FS Budapest'!AM19)&lt;0,"0",('FS Budapest'!AM20-'FS Budapest'!AM19))</f>
        <v>43</v>
      </c>
      <c r="V17" s="12">
        <f>IF(('FS Budapest'!AO20-'FS Budapest'!AO19)&lt;0,"0",('FS Budapest'!AO20-'FS Budapest'!AO19))</f>
        <v>0</v>
      </c>
      <c r="W17" s="12">
        <f>IF(('FS Budapest'!AQ20-'FS Budapest'!AQ19)&lt;0,"0",('FS Budapest'!AQ20-'FS Budapest'!AQ19))</f>
        <v>78</v>
      </c>
      <c r="X17" s="12">
        <f>'FS Budapest'!AY20</f>
        <v>0</v>
      </c>
      <c r="Y17" s="12">
        <f>IF(('FS Budapest'!BA20-'FS Budapest'!BA19)&lt;0,"0",('FS Budapest'!BA20-'FS Budapest'!BA19)*4400)</f>
        <v>14740.000000001601</v>
      </c>
      <c r="Z17" s="12">
        <f>'FS Budapest'!BI20</f>
        <v>14740.000000001601</v>
      </c>
      <c r="AA17" s="12">
        <f>'FS Budapest'!BJ20</f>
        <v>14709.000000001601</v>
      </c>
      <c r="AB17" s="12">
        <f>IF(('FS Budapest'!BK20-'FS Budapest'!BK19)&lt;0,"0",('FS Budapest'!BK20-'FS Budapest'!BK19)*100)</f>
        <v>851.00000000020373</v>
      </c>
      <c r="AC17" s="12">
        <f>'FS Budapest'!BM20</f>
        <v>15591.000000001804</v>
      </c>
      <c r="AD17" s="12">
        <f>IF(('FS Budapest'!BP20-'FS Budapest'!BP19)&lt;0,"0",('FS Budapest'!BP20-'FS Budapest'!BP19))</f>
        <v>19</v>
      </c>
      <c r="AE17" s="12">
        <f>IF(('FS Budapest'!BR20-'FS Budapest'!BR19)&lt;0,"0",('FS Budapest'!BR20-'FS Budapest'!BR19))</f>
        <v>12</v>
      </c>
      <c r="AF17" s="12">
        <f>'FS Budapest'!BU20</f>
        <v>79</v>
      </c>
      <c r="AG17" s="12">
        <f>'FS Budapest'!BV20</f>
        <v>115</v>
      </c>
    </row>
    <row r="18" spans="1:33" s="16" customFormat="1">
      <c r="A18" s="12" t="s">
        <v>12</v>
      </c>
      <c r="B18" s="15">
        <f t="shared" si="0"/>
        <v>17</v>
      </c>
      <c r="C18" s="3">
        <v>2</v>
      </c>
      <c r="D18" s="12">
        <v>2020</v>
      </c>
      <c r="E18" s="12">
        <f>IF(('FS Budapest'!C21-'FS Budapest'!C20)&lt;0,"0",('FS Budapest'!C21-'FS Budapest'!C20))</f>
        <v>68</v>
      </c>
      <c r="F18" s="12">
        <f>IF(('FS Budapest'!D21-'FS Budapest'!D20)&lt;0,"0",('FS Budapest'!D21-'FS Budapest'!D20))</f>
        <v>53</v>
      </c>
      <c r="G18" s="12">
        <f>IF(('FS Budapest'!E21-'FS Budapest'!Y21)&lt;0,"0",('FS Budapest'!E21-'FS Budapest'!Y21))</f>
        <v>43</v>
      </c>
      <c r="H18" s="12">
        <f>IF(('[1]FS Budapest'!H21-'[1]FS Budapest'!H20)&lt;0,"0",('[1]FS Budapest'!H21-'[1]FS Budapest'!H20))</f>
        <v>69</v>
      </c>
      <c r="I18" s="12">
        <f>IF(('FS Budapest'!I21-'FS Budapest'!I20)&lt;0,"0",('FS Budapest'!I21-'FS Budapest'!I20))</f>
        <v>26</v>
      </c>
      <c r="J18" s="12">
        <f>IF(('FS Budapest'!K21-'FS Budapest'!K20)&lt;0,"0",('FS Budapest'!K21-'FS Budapest'!K20))</f>
        <v>6</v>
      </c>
      <c r="K18" s="12">
        <f>IF(('FS Budapest'!M21-'FS Budapest'!M20)&lt;0,"0",('FS Budapest'!M21-'FS Budapest'!M20))</f>
        <v>5</v>
      </c>
      <c r="L18" s="12">
        <f>IF(('FS Budapest'!O21-'FS Budapest'!O20)&lt;0,"0",('FS Budapest'!O21-'FS Budapest'!O20))</f>
        <v>4</v>
      </c>
      <c r="M18" s="12">
        <f>IF(('FS Budapest'!Q21-'FS Budapest'!Q20)&lt;0,"0",('FS Budapest'!Q21-'FS Budapest'!Q20))</f>
        <v>2</v>
      </c>
      <c r="N18" s="12">
        <f>IF(('FS Budapest'!S21-'FS Budapest'!S20)&lt;0,"0",('FS Budapest'!S21-'FS Budapest'!S20))</f>
        <v>1</v>
      </c>
      <c r="O18" s="12">
        <f>IF(('FS Budapest'!V21-'FS Budapest'!V20)&lt;0,"0",('FS Budapest'!V21-'FS Budapest'!V20))</f>
        <v>8</v>
      </c>
      <c r="P18" s="12">
        <f>IF(('FS Budapest'!X21-'FS Budapest'!X20)&lt;0,"0",('FS Budapest'!X21-'FS Budapest'!X20))</f>
        <v>10</v>
      </c>
      <c r="Q18" s="12">
        <f>'FS Budapest'!AB21</f>
        <v>2</v>
      </c>
      <c r="R18" s="12">
        <f>'FS Budapest'!AE21</f>
        <v>2</v>
      </c>
      <c r="S18" s="12">
        <f>'FS Budapest'!AF21</f>
        <v>11</v>
      </c>
      <c r="T18" s="12">
        <f>IF(('FS Budapest'!AK21-'FS Budapest'!AK20)&lt;0,"0",('FS Budapest'!AK21-'FS Budapest'!AK20))</f>
        <v>1977</v>
      </c>
      <c r="U18" s="12">
        <f>IF(('FS Budapest'!AM21-'FS Budapest'!AM20)&lt;0,"0",('FS Budapest'!AM21-'FS Budapest'!AM20))</f>
        <v>38</v>
      </c>
      <c r="V18" s="12">
        <f>IF(('FS Budapest'!AO21-'FS Budapest'!AO20)&lt;0,"0",('FS Budapest'!AO21-'FS Budapest'!AO20))</f>
        <v>0</v>
      </c>
      <c r="W18" s="12">
        <f>IF(('FS Budapest'!AQ21-'FS Budapest'!AQ20)&lt;0,"0",('FS Budapest'!AQ21-'FS Budapest'!AQ20))</f>
        <v>37</v>
      </c>
      <c r="X18" s="12">
        <f>'FS Budapest'!AY21</f>
        <v>0</v>
      </c>
      <c r="Y18" s="12">
        <f>IF(('FS Budapest'!BA21-'FS Budapest'!BA20)&lt;0,"0",('FS Budapest'!BA21-'FS Budapest'!BA20)*4400)</f>
        <v>16455.99999999904</v>
      </c>
      <c r="Z18" s="12">
        <f>'FS Budapest'!BI21</f>
        <v>16455.99999999904</v>
      </c>
      <c r="AA18" s="12">
        <f>'FS Budapest'!BJ21</f>
        <v>16426.99999999904</v>
      </c>
      <c r="AB18" s="12">
        <f>IF(('FS Budapest'!BK21-'FS Budapest'!BK20)&lt;0,"0",('FS Budapest'!BK21-'FS Budapest'!BK20)*100)</f>
        <v>906.9999999999709</v>
      </c>
      <c r="AC18" s="12">
        <f>'FS Budapest'!BM21</f>
        <v>17362.99999999901</v>
      </c>
      <c r="AD18" s="12">
        <f>IF(('FS Budapest'!BP21-'FS Budapest'!BP20)&lt;0,"0",('FS Budapest'!BP21-'FS Budapest'!BP20))</f>
        <v>17</v>
      </c>
      <c r="AE18" s="12">
        <f>IF(('FS Budapest'!BR21-'FS Budapest'!BR20)&lt;0,"0",('FS Budapest'!BR21-'FS Budapest'!BR20))</f>
        <v>12</v>
      </c>
      <c r="AF18" s="12">
        <f>'FS Budapest'!BU21</f>
        <v>83</v>
      </c>
      <c r="AG18" s="12">
        <f>'FS Budapest'!BV21</f>
        <v>116</v>
      </c>
    </row>
    <row r="19" spans="1:33" s="16" customFormat="1">
      <c r="A19" s="12" t="s">
        <v>12</v>
      </c>
      <c r="B19" s="15">
        <f t="shared" si="0"/>
        <v>18</v>
      </c>
      <c r="C19" s="3">
        <v>2</v>
      </c>
      <c r="D19" s="12">
        <v>2020</v>
      </c>
      <c r="E19" s="12">
        <f>IF(('FS Budapest'!C22-'FS Budapest'!C21)&lt;0,"0",('FS Budapest'!C22-'FS Budapest'!C21))</f>
        <v>72</v>
      </c>
      <c r="F19" s="12">
        <f>IF(('FS Budapest'!D22-'FS Budapest'!D21)&lt;0,"0",('FS Budapest'!D22-'FS Budapest'!D21))</f>
        <v>59</v>
      </c>
      <c r="G19" s="12">
        <f>IF(('FS Budapest'!E22-'FS Budapest'!Y22)&lt;0,"0",('FS Budapest'!E22-'FS Budapest'!Y22))</f>
        <v>38</v>
      </c>
      <c r="H19" s="12">
        <f>IF(('[1]FS Budapest'!H22-'[1]FS Budapest'!H21)&lt;0,"0",('[1]FS Budapest'!H22-'[1]FS Budapest'!H21))</f>
        <v>73</v>
      </c>
      <c r="I19" s="12">
        <f>IF(('FS Budapest'!I22-'FS Budapest'!I21)&lt;0,"0",('FS Budapest'!I22-'FS Budapest'!I21))</f>
        <v>24</v>
      </c>
      <c r="J19" s="12">
        <f>IF(('FS Budapest'!K22-'FS Budapest'!K21)&lt;0,"0",('FS Budapest'!K22-'FS Budapest'!K21))</f>
        <v>6</v>
      </c>
      <c r="K19" s="12">
        <f>IF(('FS Budapest'!M22-'FS Budapest'!M21)&lt;0,"0",('FS Budapest'!M22-'FS Budapest'!M21))</f>
        <v>7</v>
      </c>
      <c r="L19" s="12">
        <f>IF(('FS Budapest'!O22-'FS Budapest'!O21)&lt;0,"0",('FS Budapest'!O22-'FS Budapest'!O21))</f>
        <v>7</v>
      </c>
      <c r="M19" s="12">
        <f>IF(('FS Budapest'!Q22-'FS Budapest'!Q21)&lt;0,"0",('FS Budapest'!Q22-'FS Budapest'!Q21))</f>
        <v>1</v>
      </c>
      <c r="N19" s="12">
        <f>IF(('FS Budapest'!S22-'FS Budapest'!S21)&lt;0,"0",('FS Budapest'!S22-'FS Budapest'!S21))</f>
        <v>1</v>
      </c>
      <c r="O19" s="12">
        <f>IF(('FS Budapest'!V22-'FS Budapest'!V21)&lt;0,"0",('FS Budapest'!V22-'FS Budapest'!V21))</f>
        <v>7</v>
      </c>
      <c r="P19" s="12">
        <f>IF(('FS Budapest'!X22-'FS Budapest'!X21)&lt;0,"0",('FS Budapest'!X22-'FS Budapest'!X21))</f>
        <v>21</v>
      </c>
      <c r="Q19" s="12">
        <f>'FS Budapest'!AB22</f>
        <v>1</v>
      </c>
      <c r="R19" s="12">
        <f>'FS Budapest'!AE22</f>
        <v>4</v>
      </c>
      <c r="S19" s="12">
        <f>'FS Budapest'!AF22</f>
        <v>9</v>
      </c>
      <c r="T19" s="12">
        <f>IF(('FS Budapest'!AK22-'FS Budapest'!AK21)&lt;0,"0",('FS Budapest'!AK22-'FS Budapest'!AK21))</f>
        <v>2302</v>
      </c>
      <c r="U19" s="12">
        <f>IF(('FS Budapest'!AM22-'FS Budapest'!AM21)&lt;0,"0",('FS Budapest'!AM22-'FS Budapest'!AM21))</f>
        <v>49</v>
      </c>
      <c r="V19" s="12">
        <f>IF(('FS Budapest'!AO22-'FS Budapest'!AO21)&lt;0,"0",('FS Budapest'!AO22-'FS Budapest'!AO21))</f>
        <v>0</v>
      </c>
      <c r="W19" s="12">
        <f>IF(('FS Budapest'!AQ22-'FS Budapest'!AQ21)&lt;0,"0",('FS Budapest'!AQ22-'FS Budapest'!AQ21))</f>
        <v>1041</v>
      </c>
      <c r="X19" s="12">
        <f>'FS Budapest'!AY22</f>
        <v>0</v>
      </c>
      <c r="Y19" s="12">
        <f>IF(('FS Budapest'!BA22-'FS Budapest'!BA21)&lt;0,"0",('FS Budapest'!BA22-'FS Budapest'!BA21)*4400)</f>
        <v>12407.999999998719</v>
      </c>
      <c r="Z19" s="12">
        <f>'FS Budapest'!BI22</f>
        <v>12407.999999998719</v>
      </c>
      <c r="AA19" s="12">
        <f>'FS Budapest'!BJ22</f>
        <v>12375.999999998719</v>
      </c>
      <c r="AB19" s="12">
        <f>IF(('FS Budapest'!BK22-'FS Budapest'!BK21)&lt;0,"0",('FS Budapest'!BK22-'FS Budapest'!BK21)*100)</f>
        <v>963.00000000010186</v>
      </c>
      <c r="AC19" s="12">
        <f>'FS Budapest'!BM22</f>
        <v>13370.999999998821</v>
      </c>
      <c r="AD19" s="12">
        <f>IF(('FS Budapest'!BP22-'FS Budapest'!BP21)&lt;0,"0",('FS Budapest'!BP22-'FS Budapest'!BP21))</f>
        <v>20</v>
      </c>
      <c r="AE19" s="12">
        <f>IF(('FS Budapest'!BR22-'FS Budapest'!BR21)&lt;0,"0",('FS Budapest'!BR22-'FS Budapest'!BR21))</f>
        <v>12</v>
      </c>
      <c r="AF19" s="12">
        <f>'FS Budapest'!BU22</f>
        <v>73</v>
      </c>
      <c r="AG19" s="12">
        <f>'FS Budapest'!BV22</f>
        <v>104</v>
      </c>
    </row>
    <row r="20" spans="1:33" s="16" customFormat="1">
      <c r="A20" s="12" t="s">
        <v>12</v>
      </c>
      <c r="B20" s="15">
        <f t="shared" si="0"/>
        <v>19</v>
      </c>
      <c r="C20" s="3">
        <v>2</v>
      </c>
      <c r="D20" s="12">
        <v>2020</v>
      </c>
      <c r="E20" s="12">
        <f>IF(('FS Budapest'!C23-'FS Budapest'!C22)&lt;0,"0",('FS Budapest'!C23-'FS Budapest'!C22))</f>
        <v>54</v>
      </c>
      <c r="F20" s="12">
        <f>IF(('FS Budapest'!D23-'FS Budapest'!D22)&lt;0,"0",('FS Budapest'!D23-'FS Budapest'!D22))</f>
        <v>57</v>
      </c>
      <c r="G20" s="12">
        <f>IF(('FS Budapest'!E23-'FS Budapest'!Y23)&lt;0,"0",('FS Budapest'!E23-'FS Budapest'!Y23))</f>
        <v>47</v>
      </c>
      <c r="H20" s="12">
        <f>IF(('[1]FS Budapest'!H23-'[1]FS Budapest'!H22)&lt;0,"0",('[1]FS Budapest'!H23-'[1]FS Budapest'!H22))</f>
        <v>67</v>
      </c>
      <c r="I20" s="12">
        <f>IF(('FS Budapest'!I23-'FS Budapest'!I22)&lt;0,"0",('FS Budapest'!I23-'FS Budapest'!I22))</f>
        <v>3</v>
      </c>
      <c r="J20" s="12">
        <f>IF(('FS Budapest'!K23-'FS Budapest'!K22)&lt;0,"0",('FS Budapest'!K23-'FS Budapest'!K22))</f>
        <v>7</v>
      </c>
      <c r="K20" s="12">
        <f>IF(('FS Budapest'!M23-'FS Budapest'!M22)&lt;0,"0",('FS Budapest'!M23-'FS Budapest'!M22))</f>
        <v>7</v>
      </c>
      <c r="L20" s="12">
        <f>IF(('FS Budapest'!O23-'FS Budapest'!O22)&lt;0,"0",('FS Budapest'!O23-'FS Budapest'!O22))</f>
        <v>8</v>
      </c>
      <c r="M20" s="12">
        <f>IF(('FS Budapest'!Q23-'FS Budapest'!Q22)&lt;0,"0",('FS Budapest'!Q23-'FS Budapest'!Q22))</f>
        <v>0</v>
      </c>
      <c r="N20" s="12">
        <f>IF(('FS Budapest'!S23-'FS Budapest'!S22)&lt;0,"0",('FS Budapest'!S23-'FS Budapest'!S22))</f>
        <v>1</v>
      </c>
      <c r="O20" s="12">
        <f>IF(('FS Budapest'!V23-'FS Budapest'!V22)&lt;0,"0",('FS Budapest'!V23-'FS Budapest'!V22))</f>
        <v>0</v>
      </c>
      <c r="P20" s="12">
        <f>IF(('FS Budapest'!X23-'FS Budapest'!X22)&lt;0,"0",('FS Budapest'!X23-'FS Budapest'!X22))</f>
        <v>10</v>
      </c>
      <c r="Q20" s="12">
        <f>'FS Budapest'!AB23</f>
        <v>2</v>
      </c>
      <c r="R20" s="12">
        <f>'FS Budapest'!AE23</f>
        <v>2</v>
      </c>
      <c r="S20" s="12">
        <f>'FS Budapest'!AF23</f>
        <v>1</v>
      </c>
      <c r="T20" s="12">
        <f>IF(('FS Budapest'!AK23-'FS Budapest'!AK22)&lt;0,"0",('FS Budapest'!AK23-'FS Budapest'!AK22))</f>
        <v>2094</v>
      </c>
      <c r="U20" s="12">
        <f>IF(('FS Budapest'!AM23-'FS Budapest'!AM22)&lt;0,"0",('FS Budapest'!AM23-'FS Budapest'!AM22))</f>
        <v>57</v>
      </c>
      <c r="V20" s="12">
        <f>IF(('FS Budapest'!AO23-'FS Budapest'!AO22)&lt;0,"0",('FS Budapest'!AO23-'FS Budapest'!AO22))</f>
        <v>0</v>
      </c>
      <c r="W20" s="12">
        <f>IF(('FS Budapest'!AQ23-'FS Budapest'!AQ22)&lt;0,"0",('FS Budapest'!AQ23-'FS Budapest'!AQ22))</f>
        <v>82</v>
      </c>
      <c r="X20" s="12">
        <f>'FS Budapest'!AY23</f>
        <v>0</v>
      </c>
      <c r="Y20" s="12">
        <f>IF(('FS Budapest'!BA23-'FS Budapest'!BA22)&lt;0,"0",('FS Budapest'!BA23-'FS Budapest'!BA22)*4400)</f>
        <v>17248.00000000032</v>
      </c>
      <c r="Z20" s="12">
        <f>'FS Budapest'!BI23</f>
        <v>17248.00000000032</v>
      </c>
      <c r="AA20" s="12">
        <f>'FS Budapest'!BJ23</f>
        <v>17213.00000000032</v>
      </c>
      <c r="AB20" s="12">
        <f>IF(('FS Budapest'!BK23-'FS Budapest'!BK22)&lt;0,"0",('FS Budapest'!BK23-'FS Budapest'!BK22)*100)</f>
        <v>880.99999999976717</v>
      </c>
      <c r="AC20" s="12">
        <f>'FS Budapest'!BM23</f>
        <v>18129.000000000087</v>
      </c>
      <c r="AD20" s="12">
        <f>IF(('FS Budapest'!BP23-'FS Budapest'!BP22)&lt;0,"0",('FS Budapest'!BP23-'FS Budapest'!BP22))</f>
        <v>23</v>
      </c>
      <c r="AE20" s="12">
        <f>IF(('FS Budapest'!BR23-'FS Budapest'!BR22)&lt;0,"0",('FS Budapest'!BR23-'FS Budapest'!BR22))</f>
        <v>12</v>
      </c>
      <c r="AF20" s="12">
        <f>'FS Budapest'!BU23</f>
        <v>71</v>
      </c>
      <c r="AG20" s="12">
        <f>'FS Budapest'!BV23</f>
        <v>103</v>
      </c>
    </row>
    <row r="21" spans="1:33" s="16" customFormat="1">
      <c r="A21" s="12" t="s">
        <v>12</v>
      </c>
      <c r="B21" s="15">
        <f t="shared" si="0"/>
        <v>20</v>
      </c>
      <c r="C21" s="3">
        <v>2</v>
      </c>
      <c r="D21" s="12">
        <v>2020</v>
      </c>
      <c r="E21" s="12">
        <f>IF(('FS Budapest'!C24-'FS Budapest'!C23)&lt;0,"0",('FS Budapest'!C24-'FS Budapest'!C23))</f>
        <v>69</v>
      </c>
      <c r="F21" s="12">
        <f>IF(('FS Budapest'!D24-'FS Budapest'!D23)&lt;0,"0",('FS Budapest'!D24-'FS Budapest'!D23))</f>
        <v>52</v>
      </c>
      <c r="G21" s="12">
        <f>IF(('FS Budapest'!E24-'FS Budapest'!Y24)&lt;0,"0",('FS Budapest'!E24-'FS Budapest'!Y24))</f>
        <v>35</v>
      </c>
      <c r="H21" s="12">
        <f>IF(('[1]FS Budapest'!H24-'[1]FS Budapest'!H23)&lt;0,"0",('[1]FS Budapest'!H24-'[1]FS Budapest'!H23))</f>
        <v>73</v>
      </c>
      <c r="I21" s="12">
        <f>IF(('FS Budapest'!I24-'FS Budapest'!I23)&lt;0,"0",('FS Budapest'!I24-'FS Budapest'!I23))</f>
        <v>22</v>
      </c>
      <c r="J21" s="12">
        <f>IF(('FS Budapest'!K24-'FS Budapest'!K23)&lt;0,"0",('FS Budapest'!K24-'FS Budapest'!K23))</f>
        <v>4</v>
      </c>
      <c r="K21" s="12">
        <f>IF(('FS Budapest'!M24-'FS Budapest'!M23)&lt;0,"0",('FS Budapest'!M24-'FS Budapest'!M23))</f>
        <v>6</v>
      </c>
      <c r="L21" s="12">
        <f>IF(('FS Budapest'!O24-'FS Budapest'!O23)&lt;0,"0",('FS Budapest'!O24-'FS Budapest'!O23))</f>
        <v>0</v>
      </c>
      <c r="M21" s="12">
        <f>IF(('FS Budapest'!Q24-'FS Budapest'!Q23)&lt;0,"0",('FS Budapest'!Q24-'FS Budapest'!Q23))</f>
        <v>5</v>
      </c>
      <c r="N21" s="12">
        <f>IF(('FS Budapest'!S24-'FS Budapest'!S23)&lt;0,"0",('FS Budapest'!S24-'FS Budapest'!S23))</f>
        <v>1</v>
      </c>
      <c r="O21" s="12">
        <f>IF(('FS Budapest'!V24-'FS Budapest'!V23)&lt;0,"0",('FS Budapest'!V24-'FS Budapest'!V23))</f>
        <v>9</v>
      </c>
      <c r="P21" s="12">
        <f>IF(('FS Budapest'!X24-'FS Budapest'!X23)&lt;0,"0",('FS Budapest'!X24-'FS Budapest'!X23))</f>
        <v>17</v>
      </c>
      <c r="Q21" s="12">
        <f>'FS Budapest'!AB24</f>
        <v>2</v>
      </c>
      <c r="R21" s="12">
        <f>'FS Budapest'!AE24</f>
        <v>4</v>
      </c>
      <c r="S21" s="12">
        <f>'FS Budapest'!AF24</f>
        <v>15</v>
      </c>
      <c r="T21" s="12">
        <f>IF(('FS Budapest'!AK24-'FS Budapest'!AK23)&lt;0,"0",('FS Budapest'!AK24-'FS Budapest'!AK23))</f>
        <v>2404</v>
      </c>
      <c r="U21" s="12">
        <f>IF(('FS Budapest'!AM24-'FS Budapest'!AM23)&lt;0,"0",('FS Budapest'!AM24-'FS Budapest'!AM23))</f>
        <v>48</v>
      </c>
      <c r="V21" s="12">
        <f>IF(('FS Budapest'!AO24-'FS Budapest'!AO23)&lt;0,"0",('FS Budapest'!AO24-'FS Budapest'!AO23))</f>
        <v>0</v>
      </c>
      <c r="W21" s="12">
        <f>IF(('FS Budapest'!AQ24-'FS Budapest'!AQ23)&lt;0,"0",('FS Budapest'!AQ24-'FS Budapest'!AQ23))</f>
        <v>658</v>
      </c>
      <c r="X21" s="12">
        <f>'FS Budapest'!AY24</f>
        <v>0</v>
      </c>
      <c r="Y21" s="12">
        <f>IF(('FS Budapest'!BA24-'FS Budapest'!BA23)&lt;0,"0",('FS Budapest'!BA24-'FS Budapest'!BA23)*4400)</f>
        <v>14036.000000002241</v>
      </c>
      <c r="Z21" s="12">
        <f>'FS Budapest'!BI24</f>
        <v>14036.000000002241</v>
      </c>
      <c r="AA21" s="12">
        <f>'FS Budapest'!BJ24</f>
        <v>14004.000000002241</v>
      </c>
      <c r="AB21" s="12">
        <f>IF(('FS Budapest'!BK24-'FS Budapest'!BK23)&lt;0,"0",('FS Budapest'!BK24-'FS Budapest'!BK23)*100)</f>
        <v>1001.0000000002037</v>
      </c>
      <c r="AC21" s="12">
        <f>'FS Budapest'!BM24</f>
        <v>15037.000000002445</v>
      </c>
      <c r="AD21" s="12">
        <f>IF(('FS Budapest'!BP24-'FS Budapest'!BP23)&lt;0,"0",('FS Budapest'!BP24-'FS Budapest'!BP23))</f>
        <v>20</v>
      </c>
      <c r="AE21" s="12">
        <f>IF(('FS Budapest'!BR24-'FS Budapest'!BR23)&lt;0,"0",('FS Budapest'!BR24-'FS Budapest'!BR23))</f>
        <v>12</v>
      </c>
      <c r="AF21" s="12">
        <f>'FS Budapest'!BU24</f>
        <v>68</v>
      </c>
      <c r="AG21" s="12">
        <f>'FS Budapest'!BV24</f>
        <v>106</v>
      </c>
    </row>
    <row r="22" spans="1:33" s="16" customFormat="1">
      <c r="A22" s="12" t="s">
        <v>12</v>
      </c>
      <c r="B22" s="15">
        <f t="shared" si="0"/>
        <v>21</v>
      </c>
      <c r="C22" s="3">
        <v>2</v>
      </c>
      <c r="D22" s="12">
        <v>2020</v>
      </c>
      <c r="E22" s="12">
        <f>IF(('FS Budapest'!C25-'FS Budapest'!C24)&lt;0,"0",('FS Budapest'!C25-'FS Budapest'!C24))</f>
        <v>53</v>
      </c>
      <c r="F22" s="12">
        <f>IF(('FS Budapest'!D25-'FS Budapest'!D24)&lt;0,"0",('FS Budapest'!D25-'FS Budapest'!D24))</f>
        <v>57</v>
      </c>
      <c r="G22" s="12">
        <f>IF(('FS Budapest'!E25-'FS Budapest'!Y25)&lt;0,"0",('FS Budapest'!E25-'FS Budapest'!Y25))</f>
        <v>46</v>
      </c>
      <c r="H22" s="12">
        <f>IF(('[1]FS Budapest'!H25-'[1]FS Budapest'!H24)&lt;0,"0",('[1]FS Budapest'!H25-'[1]FS Budapest'!H24))</f>
        <v>64</v>
      </c>
      <c r="I22" s="12">
        <f>IF(('FS Budapest'!I25-'FS Budapest'!I24)&lt;0,"0",('FS Budapest'!I25-'FS Budapest'!I24))</f>
        <v>3</v>
      </c>
      <c r="J22" s="12">
        <f>IF(('FS Budapest'!K25-'FS Budapest'!K24)&lt;0,"0",('FS Budapest'!K25-'FS Budapest'!K24))</f>
        <v>6</v>
      </c>
      <c r="K22" s="12">
        <f>IF(('FS Budapest'!M25-'FS Budapest'!M24)&lt;0,"0",('FS Budapest'!M25-'FS Budapest'!M24))</f>
        <v>7</v>
      </c>
      <c r="L22" s="12">
        <f>IF(('FS Budapest'!O25-'FS Budapest'!O24)&lt;0,"0",('FS Budapest'!O25-'FS Budapest'!O24))</f>
        <v>6</v>
      </c>
      <c r="M22" s="12">
        <f>IF(('FS Budapest'!Q25-'FS Budapest'!Q24)&lt;0,"0",('FS Budapest'!Q25-'FS Budapest'!Q24))</f>
        <v>0</v>
      </c>
      <c r="N22" s="12">
        <f>IF(('FS Budapest'!S25-'FS Budapest'!S24)&lt;0,"0",('FS Budapest'!S25-'FS Budapest'!S24))</f>
        <v>1</v>
      </c>
      <c r="O22" s="12">
        <f>IF(('FS Budapest'!V25-'FS Budapest'!V24)&lt;0,"0",('FS Budapest'!V25-'FS Budapest'!V24))</f>
        <v>1</v>
      </c>
      <c r="P22" s="12">
        <f>IF(('FS Budapest'!X25-'FS Budapest'!X24)&lt;0,"0",('FS Budapest'!X25-'FS Budapest'!X24))</f>
        <v>11</v>
      </c>
      <c r="Q22" s="12">
        <f>'FS Budapest'!AB25</f>
        <v>2</v>
      </c>
      <c r="R22" s="12">
        <f>'FS Budapest'!AE25</f>
        <v>2</v>
      </c>
      <c r="S22" s="12">
        <f>'FS Budapest'!AF25</f>
        <v>2</v>
      </c>
      <c r="T22" s="12">
        <f>IF(('FS Budapest'!AK25-'FS Budapest'!AK24)&lt;0,"0",('FS Budapest'!AK25-'FS Budapest'!AK24))</f>
        <v>2272</v>
      </c>
      <c r="U22" s="12">
        <f>IF(('FS Budapest'!AM25-'FS Budapest'!AM24)&lt;0,"0",('FS Budapest'!AM25-'FS Budapest'!AM24))</f>
        <v>37</v>
      </c>
      <c r="V22" s="12">
        <f>IF(('FS Budapest'!AO25-'FS Budapest'!AO24)&lt;0,"0",('FS Budapest'!AO25-'FS Budapest'!AO24))</f>
        <v>0</v>
      </c>
      <c r="W22" s="12">
        <f>IF(('FS Budapest'!AQ25-'FS Budapest'!AQ24)&lt;0,"0",('FS Budapest'!AQ25-'FS Budapest'!AQ24))</f>
        <v>85</v>
      </c>
      <c r="X22" s="12">
        <f>'FS Budapest'!AY25</f>
        <v>0</v>
      </c>
      <c r="Y22" s="12">
        <f>IF(('FS Budapest'!BA25-'FS Budapest'!BA24)&lt;0,"0",('FS Budapest'!BA25-'FS Budapest'!BA24)*4400)</f>
        <v>15267.999999997119</v>
      </c>
      <c r="Z22" s="12">
        <f>'FS Budapest'!BI25</f>
        <v>15267.999999997119</v>
      </c>
      <c r="AA22" s="12">
        <f>'FS Budapest'!BJ25</f>
        <v>15235.999999997119</v>
      </c>
      <c r="AB22" s="12">
        <f>IF(('FS Budapest'!BK25-'FS Budapest'!BK24)&lt;0,"0",('FS Budapest'!BK25-'FS Budapest'!BK24)*100)</f>
        <v>980.99999999976717</v>
      </c>
      <c r="AC22" s="12">
        <f>'FS Budapest'!BM25</f>
        <v>16248.999999996886</v>
      </c>
      <c r="AD22" s="12">
        <f>IF(('FS Budapest'!BP25-'FS Budapest'!BP24)&lt;0,"0",('FS Budapest'!BP25-'FS Budapest'!BP24))</f>
        <v>20</v>
      </c>
      <c r="AE22" s="12">
        <f>IF(('FS Budapest'!BR25-'FS Budapest'!BR24)&lt;0,"0",('FS Budapest'!BR25-'FS Budapest'!BR24))</f>
        <v>12</v>
      </c>
      <c r="AF22" s="12">
        <f>'FS Budapest'!BU25</f>
        <v>72</v>
      </c>
      <c r="AG22" s="12">
        <f>'FS Budapest'!BV25</f>
        <v>121</v>
      </c>
    </row>
    <row r="23" spans="1:33" s="16" customFormat="1">
      <c r="A23" s="12" t="s">
        <v>12</v>
      </c>
      <c r="B23" s="15">
        <f t="shared" si="0"/>
        <v>22</v>
      </c>
      <c r="C23" s="3">
        <v>2</v>
      </c>
      <c r="D23" s="12">
        <v>2020</v>
      </c>
      <c r="E23" s="12">
        <f>IF(('FS Budapest'!C26-'FS Budapest'!C25)&lt;0,"0",('FS Budapest'!C26-'FS Budapest'!C25))</f>
        <v>68</v>
      </c>
      <c r="F23" s="12">
        <f>IF(('FS Budapest'!D26-'FS Budapest'!D25)&lt;0,"0",('FS Budapest'!D26-'FS Budapest'!D25))</f>
        <v>60</v>
      </c>
      <c r="G23" s="12">
        <f>IF(('FS Budapest'!E26-'FS Budapest'!Y26)&lt;0,"0",('FS Budapest'!E26-'FS Budapest'!Y26))</f>
        <v>44</v>
      </c>
      <c r="H23" s="12">
        <f>IF(('[1]FS Budapest'!H26-'[1]FS Budapest'!H25)&lt;0,"0",('[1]FS Budapest'!H26-'[1]FS Budapest'!H25))</f>
        <v>59</v>
      </c>
      <c r="I23" s="12">
        <f>IF(('FS Budapest'!I26-'FS Budapest'!I25)&lt;0,"0",('FS Budapest'!I26-'FS Budapest'!I25))</f>
        <v>22</v>
      </c>
      <c r="J23" s="12">
        <f>IF(('FS Budapest'!K26-'FS Budapest'!K25)&lt;0,"0",('FS Budapest'!K26-'FS Budapest'!K25))</f>
        <v>6</v>
      </c>
      <c r="K23" s="12">
        <f>IF(('FS Budapest'!M26-'FS Budapest'!M25)&lt;0,"0",('FS Budapest'!M26-'FS Budapest'!M25))</f>
        <v>6</v>
      </c>
      <c r="L23" s="12">
        <f>IF(('FS Budapest'!O26-'FS Budapest'!O25)&lt;0,"0",('FS Budapest'!O26-'FS Budapest'!O25))</f>
        <v>6</v>
      </c>
      <c r="M23" s="12">
        <f>IF(('FS Budapest'!Q26-'FS Budapest'!Q25)&lt;0,"0",('FS Budapest'!Q26-'FS Budapest'!Q25))</f>
        <v>5</v>
      </c>
      <c r="N23" s="12">
        <f>IF(('FS Budapest'!S26-'FS Budapest'!S25)&lt;0,"0",('FS Budapest'!S26-'FS Budapest'!S25))</f>
        <v>1</v>
      </c>
      <c r="O23" s="12">
        <f>IF(('FS Budapest'!V26-'FS Budapest'!V25)&lt;0,"0",('FS Budapest'!V26-'FS Budapest'!V25))</f>
        <v>7</v>
      </c>
      <c r="P23" s="12">
        <f>IF(('FS Budapest'!X26-'FS Budapest'!X25)&lt;0,"0",('FS Budapest'!X26-'FS Budapest'!X25))</f>
        <v>16</v>
      </c>
      <c r="Q23" s="12">
        <f>'FS Budapest'!AB26</f>
        <v>1</v>
      </c>
      <c r="R23" s="12">
        <f>'FS Budapest'!AE26</f>
        <v>2</v>
      </c>
      <c r="S23" s="12">
        <f>'FS Budapest'!AF26</f>
        <v>13</v>
      </c>
      <c r="T23" s="12">
        <f>IF(('FS Budapest'!AK26-'FS Budapest'!AK25)&lt;0,"0",('FS Budapest'!AK26-'FS Budapest'!AK25))</f>
        <v>2207</v>
      </c>
      <c r="U23" s="12">
        <f>IF(('FS Budapest'!AM26-'FS Budapest'!AM25)&lt;0,"0",('FS Budapest'!AM26-'FS Budapest'!AM25))</f>
        <v>51</v>
      </c>
      <c r="V23" s="12">
        <f>IF(('FS Budapest'!AO26-'FS Budapest'!AO25)&lt;0,"0",('FS Budapest'!AO26-'FS Budapest'!AO25))</f>
        <v>0</v>
      </c>
      <c r="W23" s="12">
        <f>IF(('FS Budapest'!AQ26-'FS Budapest'!AQ25)&lt;0,"0",('FS Budapest'!AQ26-'FS Budapest'!AQ25))</f>
        <v>585</v>
      </c>
      <c r="X23" s="12">
        <f>'FS Budapest'!AY26</f>
        <v>0</v>
      </c>
      <c r="Y23" s="12">
        <f>IF(('FS Budapest'!BA26-'FS Budapest'!BA25)&lt;0,"0",('FS Budapest'!BA26-'FS Budapest'!BA25)*4400)</f>
        <v>14344.00000000096</v>
      </c>
      <c r="Z23" s="12">
        <f>'FS Budapest'!BI26</f>
        <v>14344.00000000096</v>
      </c>
      <c r="AA23" s="12">
        <f>'FS Budapest'!BJ26</f>
        <v>14312.00000000096</v>
      </c>
      <c r="AB23" s="12">
        <f>IF(('FS Budapest'!BK26-'FS Budapest'!BK25)&lt;0,"0",('FS Budapest'!BK26-'FS Budapest'!BK25)*100)</f>
        <v>921.00000000027649</v>
      </c>
      <c r="AC23" s="12">
        <f>'FS Budapest'!BM26</f>
        <v>15265.000000001237</v>
      </c>
      <c r="AD23" s="12">
        <f>IF(('FS Budapest'!BP26-'FS Budapest'!BP25)&lt;0,"0",('FS Budapest'!BP26-'FS Budapest'!BP25))</f>
        <v>20</v>
      </c>
      <c r="AE23" s="12">
        <f>IF(('FS Budapest'!BR26-'FS Budapest'!BR25)&lt;0,"0",('FS Budapest'!BR26-'FS Budapest'!BR25))</f>
        <v>12</v>
      </c>
      <c r="AF23" s="12">
        <f>'FS Budapest'!BU26</f>
        <v>68</v>
      </c>
      <c r="AG23" s="12">
        <f>'FS Budapest'!BV26</f>
        <v>120</v>
      </c>
    </row>
    <row r="24" spans="1:33" s="16" customFormat="1">
      <c r="A24" s="12" t="s">
        <v>12</v>
      </c>
      <c r="B24" s="15">
        <f t="shared" si="0"/>
        <v>23</v>
      </c>
      <c r="C24" s="3">
        <v>2</v>
      </c>
      <c r="D24" s="12">
        <v>2020</v>
      </c>
      <c r="E24" s="12">
        <f>IF(('FS Budapest'!C27-'FS Budapest'!C26)&lt;0,"0",('FS Budapest'!C27-'FS Budapest'!C26))</f>
        <v>65</v>
      </c>
      <c r="F24" s="12">
        <f>IF(('FS Budapest'!D27-'FS Budapest'!D26)&lt;0,"0",('FS Budapest'!D27-'FS Budapest'!D26))</f>
        <v>58</v>
      </c>
      <c r="G24" s="12">
        <f>IF(('FS Budapest'!E27-'FS Budapest'!Y27)&lt;0,"0",('FS Budapest'!E27-'FS Budapest'!Y27))</f>
        <v>40</v>
      </c>
      <c r="H24" s="12">
        <f>IF(('[1]FS Budapest'!H27-'[1]FS Budapest'!H26)&lt;0,"0",('[1]FS Budapest'!H27-'[1]FS Budapest'!H26))</f>
        <v>56</v>
      </c>
      <c r="I24" s="12">
        <f>IF(('FS Budapest'!I27-'FS Budapest'!I26)&lt;0,"0",('FS Budapest'!I27-'FS Budapest'!I26))</f>
        <v>21</v>
      </c>
      <c r="J24" s="12">
        <f>IF(('FS Budapest'!K27-'FS Budapest'!K26)&lt;0,"0",('FS Budapest'!K27-'FS Budapest'!K26))</f>
        <v>6</v>
      </c>
      <c r="K24" s="12">
        <f>IF(('FS Budapest'!M27-'FS Budapest'!M26)&lt;0,"0",('FS Budapest'!M27-'FS Budapest'!M26))</f>
        <v>6</v>
      </c>
      <c r="L24" s="12">
        <f>IF(('FS Budapest'!O27-'FS Budapest'!O26)&lt;0,"0",('FS Budapest'!O27-'FS Budapest'!O26))</f>
        <v>5</v>
      </c>
      <c r="M24" s="12">
        <f>IF(('FS Budapest'!Q27-'FS Budapest'!Q26)&lt;0,"0",('FS Budapest'!Q27-'FS Budapest'!Q26))</f>
        <v>2</v>
      </c>
      <c r="N24" s="12">
        <f>IF(('FS Budapest'!S27-'FS Budapest'!S26)&lt;0,"0",('FS Budapest'!S27-'FS Budapest'!S26))</f>
        <v>1</v>
      </c>
      <c r="O24" s="12">
        <f>IF(('FS Budapest'!V27-'FS Budapest'!V26)&lt;0,"0",('FS Budapest'!V27-'FS Budapest'!V26))</f>
        <v>7</v>
      </c>
      <c r="P24" s="12">
        <f>IF(('FS Budapest'!X27-'FS Budapest'!X26)&lt;0,"0",('FS Budapest'!X27-'FS Budapest'!X26))</f>
        <v>18</v>
      </c>
      <c r="Q24" s="12">
        <f>'FS Budapest'!AB27</f>
        <v>2</v>
      </c>
      <c r="R24" s="12">
        <f>'FS Budapest'!AE27</f>
        <v>3</v>
      </c>
      <c r="S24" s="12">
        <f>'FS Budapest'!AF27</f>
        <v>10</v>
      </c>
      <c r="T24" s="12">
        <f>IF(('FS Budapest'!AK27-'FS Budapest'!AK26)&lt;0,"0",('FS Budapest'!AK27-'FS Budapest'!AK26))</f>
        <v>1529</v>
      </c>
      <c r="U24" s="12">
        <f>IF(('FS Budapest'!AM27-'FS Budapest'!AM26)&lt;0,"0",('FS Budapest'!AM27-'FS Budapest'!AM26))</f>
        <v>45</v>
      </c>
      <c r="V24" s="12">
        <f>IF(('FS Budapest'!AO27-'FS Budapest'!AO26)&lt;0,"0",('FS Budapest'!AO27-'FS Budapest'!AO26))</f>
        <v>0</v>
      </c>
      <c r="W24" s="12">
        <f>IF(('FS Budapest'!AQ27-'FS Budapest'!AQ26)&lt;0,"0",('FS Budapest'!AQ27-'FS Budapest'!AQ26))</f>
        <v>499</v>
      </c>
      <c r="X24" s="12">
        <f>'FS Budapest'!AY27</f>
        <v>0</v>
      </c>
      <c r="Y24" s="12">
        <f>IF(('FS Budapest'!BA27-'FS Budapest'!BA26)&lt;0,"0",('FS Budapest'!BA27-'FS Budapest'!BA26)*4400)</f>
        <v>14035.999999994237</v>
      </c>
      <c r="Z24" s="12">
        <f>'FS Budapest'!BI27</f>
        <v>14035.999999994237</v>
      </c>
      <c r="AA24" s="12">
        <f>'FS Budapest'!BJ27</f>
        <v>14003.999999994237</v>
      </c>
      <c r="AB24" s="12">
        <f>IF(('FS Budapest'!BK27-'FS Budapest'!BK26)&lt;0,"0",('FS Budapest'!BK27-'FS Budapest'!BK26)*100)</f>
        <v>789.99999999978172</v>
      </c>
      <c r="AC24" s="12">
        <f>'FS Budapest'!BM27</f>
        <v>14825.999999994019</v>
      </c>
      <c r="AD24" s="12">
        <f>IF(('FS Budapest'!BP27-'FS Budapest'!BP26)&lt;0,"0",('FS Budapest'!BP27-'FS Budapest'!BP26))</f>
        <v>20</v>
      </c>
      <c r="AE24" s="12">
        <f>IF(('FS Budapest'!BR27-'FS Budapest'!BR26)&lt;0,"0",('FS Budapest'!BR27-'FS Budapest'!BR26))</f>
        <v>12</v>
      </c>
      <c r="AF24" s="12">
        <f>'FS Budapest'!BU27</f>
        <v>67</v>
      </c>
      <c r="AG24" s="12">
        <f>'FS Budapest'!BV27</f>
        <v>100</v>
      </c>
    </row>
    <row r="25" spans="1:33" s="16" customFormat="1">
      <c r="A25" s="12" t="s">
        <v>12</v>
      </c>
      <c r="B25" s="15">
        <f t="shared" si="0"/>
        <v>24</v>
      </c>
      <c r="C25" s="3">
        <v>2</v>
      </c>
      <c r="D25" s="12">
        <v>2020</v>
      </c>
      <c r="E25" s="12">
        <f>IF(('FS Budapest'!C28-'FS Budapest'!C27)&lt;0,"0",('FS Budapest'!C28-'FS Budapest'!C27))</f>
        <v>114</v>
      </c>
      <c r="F25" s="12">
        <f>IF(('FS Budapest'!D28-'FS Budapest'!D27)&lt;0,"0",('FS Budapest'!D28-'FS Budapest'!D27))</f>
        <v>62</v>
      </c>
      <c r="G25" s="12">
        <f>IF(('FS Budapest'!E28-'FS Budapest'!Y28)&lt;0,"0",('FS Budapest'!E28-'FS Budapest'!Y28))</f>
        <v>49</v>
      </c>
      <c r="H25" s="12">
        <f>IF(('[1]FS Budapest'!H28-'[1]FS Budapest'!H27)&lt;0,"0",('[1]FS Budapest'!H28-'[1]FS Budapest'!H27))</f>
        <v>49</v>
      </c>
      <c r="I25" s="12">
        <f>IF(('FS Budapest'!I28-'FS Budapest'!I27)&lt;0,"0",('FS Budapest'!I28-'FS Budapest'!I27))</f>
        <v>5</v>
      </c>
      <c r="J25" s="12">
        <f>IF(('FS Budapest'!K28-'FS Budapest'!K27)&lt;0,"0",('FS Budapest'!K28-'FS Budapest'!K27))</f>
        <v>5</v>
      </c>
      <c r="K25" s="12">
        <f>IF(('FS Budapest'!M28-'FS Budapest'!M27)&lt;0,"0",('FS Budapest'!M28-'FS Budapest'!M27))</f>
        <v>5</v>
      </c>
      <c r="L25" s="12">
        <f>IF(('FS Budapest'!O28-'FS Budapest'!O27)&lt;0,"0",('FS Budapest'!O28-'FS Budapest'!O27))</f>
        <v>5</v>
      </c>
      <c r="M25" s="12">
        <f>IF(('FS Budapest'!Q28-'FS Budapest'!Q27)&lt;0,"0",('FS Budapest'!Q28-'FS Budapest'!Q27))</f>
        <v>10</v>
      </c>
      <c r="N25" s="12">
        <f>IF(('FS Budapest'!S28-'FS Budapest'!S27)&lt;0,"0",('FS Budapest'!S28-'FS Budapest'!S27))</f>
        <v>1</v>
      </c>
      <c r="O25" s="12">
        <f>IF(('FS Budapest'!V28-'FS Budapest'!V27)&lt;0,"0",('FS Budapest'!V28-'FS Budapest'!V27))</f>
        <v>8</v>
      </c>
      <c r="P25" s="12">
        <f>IF(('FS Budapest'!X28-'FS Budapest'!X27)&lt;0,"0",('FS Budapest'!X28-'FS Budapest'!X27))</f>
        <v>13</v>
      </c>
      <c r="Q25" s="12">
        <f>'FS Budapest'!AB28</f>
        <v>2</v>
      </c>
      <c r="R25" s="12">
        <f>'FS Budapest'!AE28</f>
        <v>2</v>
      </c>
      <c r="S25" s="12">
        <f>'FS Budapest'!AF28</f>
        <v>19</v>
      </c>
      <c r="T25" s="12">
        <f>IF(('FS Budapest'!AK28-'FS Budapest'!AK27)&lt;0,"0",('FS Budapest'!AK28-'FS Budapest'!AK27))</f>
        <v>2162</v>
      </c>
      <c r="U25" s="12">
        <f>IF(('FS Budapest'!AM28-'FS Budapest'!AM27)&lt;0,"0",('FS Budapest'!AM28-'FS Budapest'!AM27))</f>
        <v>48</v>
      </c>
      <c r="V25" s="12">
        <f>IF(('FS Budapest'!AO28-'FS Budapest'!AO27)&lt;0,"0",('FS Budapest'!AO28-'FS Budapest'!AO27))</f>
        <v>0</v>
      </c>
      <c r="W25" s="12">
        <f>IF(('FS Budapest'!AQ28-'FS Budapest'!AQ27)&lt;0,"0",('FS Budapest'!AQ28-'FS Budapest'!AQ27))</f>
        <v>621</v>
      </c>
      <c r="X25" s="12">
        <f>'FS Budapest'!AY28</f>
        <v>0</v>
      </c>
      <c r="Y25" s="12">
        <f>IF(('FS Budapest'!BA28-'FS Budapest'!BA27)&lt;0,"0",('FS Budapest'!BA28-'FS Budapest'!BA27)*4400)</f>
        <v>14872.000000004482</v>
      </c>
      <c r="Z25" s="12">
        <f>'FS Budapest'!BI28</f>
        <v>14872.000000004482</v>
      </c>
      <c r="AA25" s="12">
        <f>'FS Budapest'!BJ28</f>
        <v>14842.000000004482</v>
      </c>
      <c r="AB25" s="12">
        <f>IF(('FS Budapest'!BK28-'FS Budapest'!BK27)&lt;0,"0",('FS Budapest'!BK28-'FS Budapest'!BK27)*100)</f>
        <v>831.00000000013097</v>
      </c>
      <c r="AC25" s="12">
        <f>'FS Budapest'!BM28</f>
        <v>15703.000000004613</v>
      </c>
      <c r="AD25" s="12">
        <f>IF(('FS Budapest'!BP28-'FS Budapest'!BP27)&lt;0,"0",('FS Budapest'!BP28-'FS Budapest'!BP27))</f>
        <v>18</v>
      </c>
      <c r="AE25" s="12">
        <f>IF(('FS Budapest'!BR28-'FS Budapest'!BR27)&lt;0,"0",('FS Budapest'!BR28-'FS Budapest'!BR27))</f>
        <v>12</v>
      </c>
      <c r="AF25" s="12">
        <f>'FS Budapest'!BU28</f>
        <v>82</v>
      </c>
      <c r="AG25" s="12">
        <f>'FS Budapest'!BV28</f>
        <v>112</v>
      </c>
    </row>
    <row r="26" spans="1:33" s="16" customFormat="1">
      <c r="A26" s="12" t="s">
        <v>12</v>
      </c>
      <c r="B26" s="15">
        <f>B25+1</f>
        <v>25</v>
      </c>
      <c r="C26" s="3">
        <v>2</v>
      </c>
      <c r="D26" s="12">
        <v>2020</v>
      </c>
      <c r="E26" s="12">
        <f>IF(('FS Budapest'!C29-'FS Budapest'!C28)&lt;0,"0",('FS Budapest'!C29-'FS Budapest'!C28))</f>
        <v>30</v>
      </c>
      <c r="F26" s="12">
        <f>IF(('FS Budapest'!D29-'FS Budapest'!D28)&lt;0,"0",('FS Budapest'!D29-'FS Budapest'!D28))</f>
        <v>55</v>
      </c>
      <c r="G26" s="12">
        <f>IF(('FS Budapest'!E29-'FS Budapest'!Y29)&lt;0,"0",('FS Budapest'!E29-'FS Budapest'!Y29))</f>
        <v>38</v>
      </c>
      <c r="H26" s="12">
        <f>IF(('[1]FS Budapest'!H29-'[1]FS Budapest'!H28)&lt;0,"0",('[1]FS Budapest'!H29-'[1]FS Budapest'!H28))</f>
        <v>62</v>
      </c>
      <c r="I26" s="12">
        <f>IF(('FS Budapest'!I29-'FS Budapest'!I28)&lt;0,"0",('FS Budapest'!I29-'FS Budapest'!I28))</f>
        <v>21</v>
      </c>
      <c r="J26" s="12">
        <f>IF(('FS Budapest'!K29-'FS Budapest'!K28)&lt;0,"0",('FS Budapest'!K29-'FS Budapest'!K28))</f>
        <v>6</v>
      </c>
      <c r="K26" s="12">
        <f>IF(('FS Budapest'!M29-'FS Budapest'!M28)&lt;0,"0",('FS Budapest'!M29-'FS Budapest'!M28))</f>
        <v>7</v>
      </c>
      <c r="L26" s="12">
        <f>IF(('FS Budapest'!O29-'FS Budapest'!O28)&lt;0,"0",('FS Budapest'!O29-'FS Budapest'!O28))</f>
        <v>8</v>
      </c>
      <c r="M26" s="12">
        <f>IF(('FS Budapest'!Q29-'FS Budapest'!Q28)&lt;0,"0",('FS Budapest'!Q29-'FS Budapest'!Q28))</f>
        <v>4</v>
      </c>
      <c r="N26" s="12">
        <f>IF(('FS Budapest'!S29-'FS Budapest'!S28)&lt;0,"0",('FS Budapest'!S29-'FS Budapest'!S28))</f>
        <v>1</v>
      </c>
      <c r="O26" s="12">
        <f>IF(('FS Budapest'!V29-'FS Budapest'!V28)&lt;0,"0",('FS Budapest'!V29-'FS Budapest'!V28))</f>
        <v>7</v>
      </c>
      <c r="P26" s="12">
        <f>IF(('FS Budapest'!X29-'FS Budapest'!X28)&lt;0,"0",('FS Budapest'!X29-'FS Budapest'!X28))</f>
        <v>17</v>
      </c>
      <c r="Q26" s="12">
        <f>'FS Budapest'!AB29</f>
        <v>1</v>
      </c>
      <c r="R26" s="12">
        <f>'FS Budapest'!AE29</f>
        <v>3</v>
      </c>
      <c r="S26" s="12">
        <f>'FS Budapest'!AF29</f>
        <v>12</v>
      </c>
      <c r="T26" s="12">
        <f>IF(('FS Budapest'!AK29-'FS Budapest'!AK28)&lt;0,"0",('FS Budapest'!AK29-'FS Budapest'!AK28))</f>
        <v>1478</v>
      </c>
      <c r="U26" s="12">
        <f>IF(('FS Budapest'!AM29-'FS Budapest'!AM28)&lt;0,"0",('FS Budapest'!AM29-'FS Budapest'!AM28))</f>
        <v>41</v>
      </c>
      <c r="V26" s="12">
        <f>IF(('FS Budapest'!AO29-'FS Budapest'!AO28)&lt;0,"0",('FS Budapest'!AO29-'FS Budapest'!AO28))</f>
        <v>0</v>
      </c>
      <c r="W26" s="12">
        <f>IF(('FS Budapest'!AQ29-'FS Budapest'!AQ28)&lt;0,"0",('FS Budapest'!AQ29-'FS Budapest'!AQ28))</f>
        <v>529</v>
      </c>
      <c r="X26" s="12">
        <f>'FS Budapest'!AY29</f>
        <v>0</v>
      </c>
      <c r="Y26" s="12">
        <f>IF(('FS Budapest'!BA29-'FS Budapest'!BA28)&lt;0,"0",('FS Budapest'!BA29-'FS Budapest'!BA28)*4400)</f>
        <v>12627.999999995518</v>
      </c>
      <c r="Z26" s="12">
        <f>'FS Budapest'!BI29</f>
        <v>12627.999999995518</v>
      </c>
      <c r="AA26" s="12">
        <f>'FS Budapest'!BJ29</f>
        <v>12601.999999995518</v>
      </c>
      <c r="AB26" s="12">
        <f>IF(('FS Budapest'!BK29-'FS Budapest'!BK28)&lt;0,"0",('FS Budapest'!BK29-'FS Budapest'!BK28)*100)</f>
        <v>795.99999999991269</v>
      </c>
      <c r="AC26" s="12">
        <f>'FS Budapest'!BM29</f>
        <v>13423.999999995431</v>
      </c>
      <c r="AD26" s="12">
        <f>IF(('FS Budapest'!BP29-'FS Budapest'!BP28)&lt;0,"0",('FS Budapest'!BP29-'FS Budapest'!BP28))</f>
        <v>14</v>
      </c>
      <c r="AE26" s="12">
        <f>IF(('FS Budapest'!BR29-'FS Budapest'!BR28)&lt;0,"0",('FS Budapest'!BR29-'FS Budapest'!BR28))</f>
        <v>12</v>
      </c>
      <c r="AF26" s="12">
        <f>'FS Budapest'!BU29</f>
        <v>91</v>
      </c>
      <c r="AG26" s="12">
        <f>'FS Budapest'!BV29</f>
        <v>121</v>
      </c>
    </row>
    <row r="27" spans="1:33" s="16" customFormat="1">
      <c r="A27" s="12" t="s">
        <v>12</v>
      </c>
      <c r="B27" s="15">
        <f t="shared" si="0"/>
        <v>26</v>
      </c>
      <c r="C27" s="3">
        <v>2</v>
      </c>
      <c r="D27" s="12">
        <v>2020</v>
      </c>
      <c r="E27" s="12">
        <f>IF(('FS Budapest'!C30-'FS Budapest'!C29)&lt;0,"0",('FS Budapest'!C30-'FS Budapest'!C29))</f>
        <v>85</v>
      </c>
      <c r="F27" s="12">
        <f>IF(('FS Budapest'!D30-'FS Budapest'!D29)&lt;0,"0",('FS Budapest'!D30-'FS Budapest'!D29))</f>
        <v>65</v>
      </c>
      <c r="G27" s="12">
        <f>IF(('FS Budapest'!E30-'FS Budapest'!Y30)&lt;0,"0",('FS Budapest'!E30-'FS Budapest'!Y30))</f>
        <v>46</v>
      </c>
      <c r="H27" s="12">
        <f>IF(('[1]FS Budapest'!H30-'[1]FS Budapest'!H29)&lt;0,"0",('[1]FS Budapest'!H30-'[1]FS Budapest'!H29))</f>
        <v>46</v>
      </c>
      <c r="I27" s="12">
        <f>IF(('FS Budapest'!I30-'FS Budapest'!I29)&lt;0,"0",('FS Budapest'!I30-'FS Budapest'!I29))</f>
        <v>23</v>
      </c>
      <c r="J27" s="12">
        <f>IF(('FS Budapest'!K30-'FS Budapest'!K29)&lt;0,"0",('FS Budapest'!K30-'FS Budapest'!K29))</f>
        <v>7</v>
      </c>
      <c r="K27" s="12">
        <f>IF(('FS Budapest'!M30-'FS Budapest'!M29)&lt;0,"0",('FS Budapest'!M30-'FS Budapest'!M29))</f>
        <v>9</v>
      </c>
      <c r="L27" s="12">
        <f>IF(('FS Budapest'!O30-'FS Budapest'!O29)&lt;0,"0",('FS Budapest'!O30-'FS Budapest'!O29))</f>
        <v>6</v>
      </c>
      <c r="M27" s="12">
        <f>IF(('FS Budapest'!Q30-'FS Budapest'!Q29)&lt;0,"0",('FS Budapest'!Q30-'FS Budapest'!Q29))</f>
        <v>7</v>
      </c>
      <c r="N27" s="12">
        <f>IF(('FS Budapest'!S30-'FS Budapest'!S29)&lt;0,"0",('FS Budapest'!S30-'FS Budapest'!S29))</f>
        <v>1</v>
      </c>
      <c r="O27" s="12">
        <f>IF(('FS Budapest'!V30-'FS Budapest'!V29)&lt;0,"0",('FS Budapest'!V30-'FS Budapest'!V29))</f>
        <v>10</v>
      </c>
      <c r="P27" s="12">
        <f>IF(('FS Budapest'!X30-'FS Budapest'!X29)&lt;0,"0",('FS Budapest'!X30-'FS Budapest'!X29))</f>
        <v>19</v>
      </c>
      <c r="Q27" s="12">
        <f>'FS Budapest'!AB30</f>
        <v>2</v>
      </c>
      <c r="R27" s="12">
        <f>'FS Budapest'!AE30</f>
        <v>1</v>
      </c>
      <c r="S27" s="12">
        <f>'FS Budapest'!AF30</f>
        <v>18</v>
      </c>
      <c r="T27" s="12">
        <f>IF(('FS Budapest'!AK30-'FS Budapest'!AK29)&lt;0,"0",('FS Budapest'!AK30-'FS Budapest'!AK29))</f>
        <v>2953</v>
      </c>
      <c r="U27" s="12">
        <f>IF(('FS Budapest'!AM30-'FS Budapest'!AM29)&lt;0,"0",('FS Budapest'!AM30-'FS Budapest'!AM29))</f>
        <v>41</v>
      </c>
      <c r="V27" s="12">
        <f>IF(('FS Budapest'!AO30-'FS Budapest'!AO29)&lt;0,"0",('FS Budapest'!AO30-'FS Budapest'!AO29))</f>
        <v>0</v>
      </c>
      <c r="W27" s="12">
        <f>IF(('FS Budapest'!AQ30-'FS Budapest'!AQ29)&lt;0,"0",('FS Budapest'!AQ30-'FS Budapest'!AQ29))</f>
        <v>805</v>
      </c>
      <c r="X27" s="12">
        <f>'FS Budapest'!AY30</f>
        <v>0</v>
      </c>
      <c r="Y27" s="12">
        <f>IF(('FS Budapest'!BA30-'FS Budapest'!BA29)&lt;0,"0",('FS Budapest'!BA30-'FS Budapest'!BA29)*4400)</f>
        <v>16720.000000004802</v>
      </c>
      <c r="Z27" s="12">
        <f>'FS Budapest'!BI30</f>
        <v>16720.000000004802</v>
      </c>
      <c r="AA27" s="12">
        <f>'FS Budapest'!BJ30</f>
        <v>16682.000000004802</v>
      </c>
      <c r="AB27" s="12">
        <f>IF(('FS Budapest'!BK30-'FS Budapest'!BK29)&lt;0,"0",('FS Budapest'!BK30-'FS Budapest'!BK29)*100)</f>
        <v>1090.9999999999854</v>
      </c>
      <c r="AC27" s="12">
        <f>'FS Budapest'!BM30</f>
        <v>17811.000000004788</v>
      </c>
      <c r="AD27" s="12">
        <f>IF(('FS Budapest'!BP30-'FS Budapest'!BP29)&lt;0,"0",('FS Budapest'!BP30-'FS Budapest'!BP29))</f>
        <v>26</v>
      </c>
      <c r="AE27" s="12">
        <f>IF(('FS Budapest'!BR30-'FS Budapest'!BR29)&lt;0,"0",('FS Budapest'!BR30-'FS Budapest'!BR29))</f>
        <v>12</v>
      </c>
      <c r="AF27" s="12">
        <f>'FS Budapest'!BU30</f>
        <v>74</v>
      </c>
      <c r="AG27" s="12">
        <f>'FS Budapest'!BV30</f>
        <v>102</v>
      </c>
    </row>
    <row r="28" spans="1:33" s="16" customFormat="1">
      <c r="A28" s="12" t="s">
        <v>12</v>
      </c>
      <c r="B28" s="15">
        <f t="shared" si="0"/>
        <v>27</v>
      </c>
      <c r="C28" s="3">
        <v>2</v>
      </c>
      <c r="D28" s="12">
        <v>2020</v>
      </c>
      <c r="E28" s="12">
        <f>IF(('FS Budapest'!C31-'FS Budapest'!C30)&lt;0,"0",('FS Budapest'!C31-'FS Budapest'!C30))</f>
        <v>61</v>
      </c>
      <c r="F28" s="12">
        <f>IF(('FS Budapest'!D31-'FS Budapest'!D30)&lt;0,"0",('FS Budapest'!D31-'FS Budapest'!D30))</f>
        <v>60</v>
      </c>
      <c r="G28" s="12">
        <f>IF(('FS Budapest'!E31-'FS Budapest'!Y31)&lt;0,"0",('FS Budapest'!E31-'FS Budapest'!Y31))</f>
        <v>48</v>
      </c>
      <c r="H28" s="12">
        <f>IF(('[1]FS Budapest'!H31-'[1]FS Budapest'!H30)&lt;0,"0",('[1]FS Budapest'!H31-'[1]FS Budapest'!H30))</f>
        <v>95</v>
      </c>
      <c r="I28" s="12">
        <f>IF(('FS Budapest'!I31-'FS Budapest'!I30)&lt;0,"0",('FS Budapest'!I31-'FS Budapest'!I30))</f>
        <v>5</v>
      </c>
      <c r="J28" s="12">
        <f>IF(('FS Budapest'!K31-'FS Budapest'!K30)&lt;0,"0",('FS Budapest'!K31-'FS Budapest'!K30))</f>
        <v>6</v>
      </c>
      <c r="K28" s="12">
        <f>IF(('FS Budapest'!M31-'FS Budapest'!M30)&lt;0,"0",('FS Budapest'!M31-'FS Budapest'!M30))</f>
        <v>6</v>
      </c>
      <c r="L28" s="12">
        <f>IF(('FS Budapest'!O31-'FS Budapest'!O30)&lt;0,"0",('FS Budapest'!O31-'FS Budapest'!O30))</f>
        <v>8</v>
      </c>
      <c r="M28" s="12">
        <f>IF(('FS Budapest'!Q31-'FS Budapest'!Q30)&lt;0,"0",('FS Budapest'!Q31-'FS Budapest'!Q30))</f>
        <v>1</v>
      </c>
      <c r="N28" s="12" t="str">
        <f>IF(('FS Budapest'!S31-'FS Budapest'!S30)&lt;0,"0",('FS Budapest'!S31-'FS Budapest'!S30))</f>
        <v>0</v>
      </c>
      <c r="O28" s="12">
        <f>IF(('FS Budapest'!V31-'FS Budapest'!V30)&lt;0,"0",('FS Budapest'!V31-'FS Budapest'!V30))</f>
        <v>5</v>
      </c>
      <c r="P28" s="12">
        <f>IF(('FS Budapest'!X31-'FS Budapest'!X30)&lt;0,"0",('FS Budapest'!X31-'FS Budapest'!X30))</f>
        <v>12</v>
      </c>
      <c r="Q28" s="12">
        <f>'FS Budapest'!AB31</f>
        <v>2</v>
      </c>
      <c r="R28" s="12">
        <f>'FS Budapest'!AE31</f>
        <v>2</v>
      </c>
      <c r="S28" s="12">
        <f>'FS Budapest'!AF31</f>
        <v>4</v>
      </c>
      <c r="T28" s="12">
        <f>IF(('FS Budapest'!AK31-'FS Budapest'!AK30)&lt;0,"0",('FS Budapest'!AK31-'FS Budapest'!AK30))</f>
        <v>2420</v>
      </c>
      <c r="U28" s="12">
        <f>IF(('FS Budapest'!AM31-'FS Budapest'!AM30)&lt;0,"0",('FS Budapest'!AM31-'FS Budapest'!AM30))</f>
        <v>41</v>
      </c>
      <c r="V28" s="12">
        <f>IF(('FS Budapest'!AO31-'FS Budapest'!AO30)&lt;0,"0",('FS Budapest'!AO31-'FS Budapest'!AO30))</f>
        <v>0</v>
      </c>
      <c r="W28" s="12">
        <f>IF(('FS Budapest'!AQ31-'FS Budapest'!AQ30)&lt;0,"0",('FS Budapest'!AQ31-'FS Budapest'!AQ30))</f>
        <v>468</v>
      </c>
      <c r="X28" s="12">
        <f>'FS Budapest'!AY31</f>
        <v>0</v>
      </c>
      <c r="Y28" s="12">
        <f>IF(('FS Budapest'!BA31-'FS Budapest'!BA30)&lt;0,"0",('FS Budapest'!BA31-'FS Budapest'!BA30)*4400)</f>
        <v>13948.00000000032</v>
      </c>
      <c r="Z28" s="12">
        <f>'FS Budapest'!BI31</f>
        <v>13948.00000000032</v>
      </c>
      <c r="AA28" s="12">
        <f>'FS Budapest'!BJ31</f>
        <v>13919.00000000032</v>
      </c>
      <c r="AB28" s="12">
        <f>IF(('FS Budapest'!BK31-'FS Budapest'!BK30)&lt;0,"0",('FS Budapest'!BK31-'FS Budapest'!BK30)*100)</f>
        <v>877.00000000004366</v>
      </c>
      <c r="AC28" s="12">
        <f>'FS Budapest'!BM31</f>
        <v>14825.000000000364</v>
      </c>
      <c r="AD28" s="12">
        <f>IF(('FS Budapest'!BP31-'FS Budapest'!BP30)&lt;0,"0",('FS Budapest'!BP31-'FS Budapest'!BP30))</f>
        <v>20</v>
      </c>
      <c r="AE28" s="12">
        <f>IF(('FS Budapest'!BR31-'FS Budapest'!BR30)&lt;0,"0",('FS Budapest'!BR31-'FS Budapest'!BR30))</f>
        <v>9</v>
      </c>
      <c r="AF28" s="12">
        <f>'FS Budapest'!BU31</f>
        <v>67</v>
      </c>
      <c r="AG28" s="12">
        <f>'FS Budapest'!BV31</f>
        <v>99</v>
      </c>
    </row>
    <row r="29" spans="1:33" s="16" customFormat="1">
      <c r="A29" s="12" t="s">
        <v>12</v>
      </c>
      <c r="B29" s="15">
        <f t="shared" si="0"/>
        <v>28</v>
      </c>
      <c r="C29" s="3">
        <v>2</v>
      </c>
      <c r="D29" s="12">
        <v>2020</v>
      </c>
      <c r="E29" s="12">
        <f>IF(('FS Budapest'!C32-'FS Budapest'!C31)&lt;0,"0",('FS Budapest'!C32-'FS Budapest'!C31))</f>
        <v>73</v>
      </c>
      <c r="F29" s="12">
        <f>IF(('FS Budapest'!D32-'FS Budapest'!D31)&lt;0,"0",('FS Budapest'!D32-'FS Budapest'!D31))</f>
        <v>56</v>
      </c>
      <c r="G29" s="12">
        <f>IF(('FS Budapest'!E32-'FS Budapest'!Y32)&lt;0,"0",('FS Budapest'!E32-'FS Budapest'!Y32))</f>
        <v>45</v>
      </c>
      <c r="H29" s="12">
        <f>IF(('[1]FS Budapest'!H32-'[1]FS Budapest'!H31)&lt;0,"0",('[1]FS Budapest'!H32-'[1]FS Budapest'!H31))</f>
        <v>118</v>
      </c>
      <c r="I29" s="12">
        <f>IF(('FS Budapest'!I32-'FS Budapest'!I31)&lt;0,"0",('FS Budapest'!I32-'FS Budapest'!I31))</f>
        <v>23</v>
      </c>
      <c r="J29" s="12">
        <f>IF(('FS Budapest'!K32-'FS Budapest'!K31)&lt;0,"0",('FS Budapest'!K32-'FS Budapest'!K31))</f>
        <v>7</v>
      </c>
      <c r="K29" s="12">
        <f>IF(('FS Budapest'!M32-'FS Budapest'!M31)&lt;0,"0",('FS Budapest'!M32-'FS Budapest'!M31))</f>
        <v>8</v>
      </c>
      <c r="L29" s="12">
        <f>IF(('FS Budapest'!O32-'FS Budapest'!O31)&lt;0,"0",('FS Budapest'!O32-'FS Budapest'!O31))</f>
        <v>7</v>
      </c>
      <c r="M29" s="12">
        <f>IF(('FS Budapest'!Q32-'FS Budapest'!Q31)&lt;0,"0",('FS Budapest'!Q32-'FS Budapest'!Q31))</f>
        <v>0</v>
      </c>
      <c r="N29" s="12">
        <f>IF(('FS Budapest'!S32-'FS Budapest'!S31)&lt;0,"0",('FS Budapest'!S32-'FS Budapest'!S31))</f>
        <v>1</v>
      </c>
      <c r="O29" s="12">
        <f>IF(('FS Budapest'!V32-'FS Budapest'!V31)&lt;0,"0",('FS Budapest'!V32-'FS Budapest'!V31))</f>
        <v>8</v>
      </c>
      <c r="P29" s="12">
        <f>IF(('FS Budapest'!X32-'FS Budapest'!X31)&lt;0,"0",('FS Budapest'!X32-'FS Budapest'!X31))</f>
        <v>11</v>
      </c>
      <c r="Q29" s="12">
        <f>'FS Budapest'!AB32</f>
        <v>1</v>
      </c>
      <c r="R29" s="12">
        <f>'FS Budapest'!AE32</f>
        <v>3</v>
      </c>
      <c r="S29" s="12">
        <f>'FS Budapest'!AF32</f>
        <v>9</v>
      </c>
      <c r="T29" s="12">
        <f>IF(('FS Budapest'!AK32-'FS Budapest'!AK31)&lt;0,"0",('FS Budapest'!AK32-'FS Budapest'!AK31))</f>
        <v>2783</v>
      </c>
      <c r="U29" s="12">
        <f>IF(('FS Budapest'!AM32-'FS Budapest'!AM31)&lt;0,"0",('FS Budapest'!AM32-'FS Budapest'!AM31))</f>
        <v>45</v>
      </c>
      <c r="V29" s="12">
        <f>IF(('FS Budapest'!AO32-'FS Budapest'!AO31)&lt;0,"0",('FS Budapest'!AO32-'FS Budapest'!AO31))</f>
        <v>0</v>
      </c>
      <c r="W29" s="12">
        <f>IF(('FS Budapest'!AQ32-'FS Budapest'!AQ31)&lt;0,"0",('FS Budapest'!AQ32-'FS Budapest'!AQ31))</f>
        <v>588</v>
      </c>
      <c r="X29" s="12">
        <f>'FS Budapest'!AY32</f>
        <v>0</v>
      </c>
      <c r="Y29" s="12">
        <f>IF(('FS Budapest'!BA32-'FS Budapest'!BA31)&lt;0,"0",('FS Budapest'!BA32-'FS Budapest'!BA31)*4400)</f>
        <v>14519.999999996799</v>
      </c>
      <c r="Z29" s="12">
        <f>'FS Budapest'!BI32</f>
        <v>14519.999999996799</v>
      </c>
      <c r="AA29" s="12">
        <f>'FS Budapest'!BJ32</f>
        <v>14487.999999996799</v>
      </c>
      <c r="AB29" s="12">
        <f>IF(('FS Budapest'!BK32-'FS Budapest'!BK31)&lt;0,"0",('FS Budapest'!BK32-'FS Budapest'!BK31)*100)</f>
        <v>872.00000000011642</v>
      </c>
      <c r="AC29" s="12">
        <f>'FS Budapest'!BM32</f>
        <v>15391.999999996915</v>
      </c>
      <c r="AD29" s="12">
        <f>IF(('FS Budapest'!BP32-'FS Budapest'!BP31)&lt;0,"0",('FS Budapest'!BP32-'FS Budapest'!BP31))</f>
        <v>19</v>
      </c>
      <c r="AE29" s="12">
        <f>IF(('FS Budapest'!BR32-'FS Budapest'!BR31)&lt;0,"0",('FS Budapest'!BR32-'FS Budapest'!BR31))</f>
        <v>13</v>
      </c>
      <c r="AF29" s="12">
        <f>'FS Budapest'!BU32</f>
        <v>54</v>
      </c>
      <c r="AG29" s="12">
        <f>'FS Budapest'!BV32</f>
        <v>89</v>
      </c>
    </row>
    <row r="30" spans="1:33" s="16" customFormat="1">
      <c r="A30" s="12" t="s">
        <v>12</v>
      </c>
      <c r="B30" s="15">
        <f t="shared" si="0"/>
        <v>29</v>
      </c>
      <c r="C30" s="3">
        <v>2</v>
      </c>
      <c r="D30" s="12">
        <v>2020</v>
      </c>
      <c r="E30" s="12">
        <f>IF(('FS Budapest'!C33-'FS Budapest'!C32)&lt;0,"0",('FS Budapest'!C33-'FS Budapest'!C32))</f>
        <v>61</v>
      </c>
      <c r="F30" s="12">
        <f>IF(('FS Budapest'!D33-'FS Budapest'!D32)&lt;0,"0",('FS Budapest'!D33-'FS Budapest'!D32))</f>
        <v>57</v>
      </c>
      <c r="G30" s="12">
        <f>IF(('FS Budapest'!E33-'FS Budapest'!Y33)&lt;0,"0",('FS Budapest'!E33-'FS Budapest'!Y33))</f>
        <v>43</v>
      </c>
      <c r="H30" s="12">
        <f>IF(('[1]FS Budapest'!H33-'[1]FS Budapest'!H32)&lt;0,"0",('[1]FS Budapest'!H33-'[1]FS Budapest'!H32))</f>
        <v>127</v>
      </c>
      <c r="I30" s="12">
        <f>IF(('FS Budapest'!I33-'FS Budapest'!I32)&lt;0,"0",('FS Budapest'!I33-'FS Budapest'!I32))</f>
        <v>9</v>
      </c>
      <c r="J30" s="12">
        <f>IF(('FS Budapest'!K33-'FS Budapest'!K32)&lt;0,"0",('FS Budapest'!K33-'FS Budapest'!K32))</f>
        <v>5</v>
      </c>
      <c r="K30" s="12">
        <f>IF(('FS Budapest'!M33-'FS Budapest'!M32)&lt;0,"0",('FS Budapest'!M33-'FS Budapest'!M32))</f>
        <v>7</v>
      </c>
      <c r="L30" s="12">
        <f>IF(('FS Budapest'!O33-'FS Budapest'!O32)&lt;0,"0",('FS Budapest'!O33-'FS Budapest'!O32))</f>
        <v>5</v>
      </c>
      <c r="M30" s="12">
        <f>IF(('FS Budapest'!Q33-'FS Budapest'!Q32)&lt;0,"0",('FS Budapest'!Q33-'FS Budapest'!Q32))</f>
        <v>3</v>
      </c>
      <c r="N30" s="12">
        <f>IF(('FS Budapest'!S33-'FS Budapest'!S32)&lt;0,"0",('FS Budapest'!S33-'FS Budapest'!S32))</f>
        <v>1</v>
      </c>
      <c r="O30" s="12">
        <f>IF(('FS Budapest'!V33-'FS Budapest'!V32)&lt;0,"0",('FS Budapest'!V33-'FS Budapest'!V32))</f>
        <v>7</v>
      </c>
      <c r="P30" s="12">
        <f>IF(('FS Budapest'!X33-'FS Budapest'!X32)&lt;0,"0",('FS Budapest'!X33-'FS Budapest'!X32))</f>
        <v>14</v>
      </c>
      <c r="Q30" s="12">
        <f>'FS Budapest'!AB33</f>
        <v>2</v>
      </c>
      <c r="R30" s="12">
        <f>'FS Budapest'!AE33</f>
        <v>2</v>
      </c>
      <c r="S30" s="12">
        <f>'FS Budapest'!AF33</f>
        <v>11</v>
      </c>
      <c r="T30" s="12">
        <f>IF(('FS Budapest'!AK33-'FS Budapest'!AK32)&lt;0,"0",('FS Budapest'!AK33-'FS Budapest'!AK32))</f>
        <v>2299</v>
      </c>
      <c r="U30" s="12">
        <f>IF(('FS Budapest'!AM33-'FS Budapest'!AM32)&lt;0,"0",('FS Budapest'!AM33-'FS Budapest'!AM32))</f>
        <v>48</v>
      </c>
      <c r="V30" s="12">
        <f>IF(('FS Budapest'!AO33-'FS Budapest'!AO32)&lt;0,"0",('FS Budapest'!AO33-'FS Budapest'!AO32))</f>
        <v>0</v>
      </c>
      <c r="W30" s="12">
        <f>IF(('FS Budapest'!AQ33-'FS Budapest'!AQ32)&lt;0,"0",('FS Budapest'!AQ33-'FS Budapest'!AQ32))</f>
        <v>542</v>
      </c>
      <c r="X30" s="12">
        <f>'FS Budapest'!AY33</f>
        <v>0</v>
      </c>
      <c r="Y30" s="12">
        <f>IF(('FS Budapest'!BA33-'FS Budapest'!BA32)&lt;0,"0",('FS Budapest'!BA33-'FS Budapest'!BA32)*4400)</f>
        <v>13640.000000001601</v>
      </c>
      <c r="Z30" s="12">
        <f>'FS Budapest'!BI33</f>
        <v>13640.000000001601</v>
      </c>
      <c r="AA30" s="12">
        <f>'FS Budapest'!BJ33</f>
        <v>13610.000000001601</v>
      </c>
      <c r="AB30" s="12">
        <f>IF(('FS Budapest'!BK33-'FS Budapest'!BK32)&lt;0,"0",('FS Budapest'!BK33-'FS Budapest'!BK32)*100)</f>
        <v>798.99999999979627</v>
      </c>
      <c r="AC30" s="12">
        <f>'FS Budapest'!BM33</f>
        <v>14439.000000001397</v>
      </c>
      <c r="AD30" s="12">
        <f>IF(('FS Budapest'!BP33-'FS Budapest'!BP32)&lt;0,"0",('FS Budapest'!BP33-'FS Budapest'!BP32))</f>
        <v>19</v>
      </c>
      <c r="AE30" s="12">
        <f>IF(('FS Budapest'!BR33-'FS Budapest'!BR32)&lt;0,"0",('FS Budapest'!BR33-'FS Budapest'!BR32))</f>
        <v>11</v>
      </c>
      <c r="AF30" s="12">
        <f>'FS Budapest'!BU33</f>
        <v>59</v>
      </c>
      <c r="AG30" s="12">
        <f>'FS Budapest'!BV33</f>
        <v>99</v>
      </c>
    </row>
    <row r="31" spans="1:33" s="14" customFormat="1">
      <c r="A31" s="12"/>
      <c r="B31" s="15"/>
      <c r="C31" s="3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>
      <c r="A32" s="12"/>
      <c r="B32" s="15"/>
      <c r="C32" s="3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4:4">
      <c r="D33" s="12"/>
    </row>
    <row r="34" spans="4:4">
      <c r="D34" s="12"/>
    </row>
    <row r="35" spans="4:4">
      <c r="D35" s="12"/>
    </row>
    <row r="36" spans="4:4">
      <c r="D36" s="12"/>
    </row>
    <row r="37" spans="4:4">
      <c r="D37" s="12"/>
    </row>
    <row r="38" spans="4:4">
      <c r="D38" s="12"/>
    </row>
    <row r="39" spans="4:4">
      <c r="D39" s="12"/>
    </row>
    <row r="40" spans="4:4">
      <c r="D40" s="12"/>
    </row>
    <row r="41" spans="4:4">
      <c r="D41" s="12"/>
    </row>
    <row r="42" spans="4:4">
      <c r="D42" s="12"/>
    </row>
    <row r="43" spans="4:4">
      <c r="D43" s="12"/>
    </row>
    <row r="44" spans="4:4">
      <c r="D44" s="12"/>
    </row>
    <row r="45" spans="4:4">
      <c r="D45" s="12"/>
    </row>
    <row r="46" spans="4:4">
      <c r="D46" s="12"/>
    </row>
    <row r="47" spans="4:4">
      <c r="D47" s="12"/>
    </row>
    <row r="48" spans="4:4">
      <c r="D48" s="12"/>
    </row>
    <row r="49" spans="4:4">
      <c r="D49" s="12"/>
    </row>
    <row r="50" spans="4:4">
      <c r="D50" s="12"/>
    </row>
    <row r="51" spans="4:4">
      <c r="D51" s="12"/>
    </row>
    <row r="52" spans="4:4">
      <c r="D52" s="12"/>
    </row>
    <row r="53" spans="4:4">
      <c r="D53" s="12"/>
    </row>
    <row r="54" spans="4:4">
      <c r="D54" s="12"/>
    </row>
    <row r="55" spans="4:4">
      <c r="D55" s="12"/>
    </row>
    <row r="56" spans="4:4">
      <c r="D56" s="12"/>
    </row>
    <row r="57" spans="4:4">
      <c r="D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IQ36"/>
  <sheetViews>
    <sheetView topLeftCell="I4" zoomScale="55" zoomScaleNormal="55" workbookViewId="0">
      <selection activeCell="BZ18" sqref="BZ18"/>
    </sheetView>
  </sheetViews>
  <sheetFormatPr defaultColWidth="9.109375" defaultRowHeight="18"/>
  <cols>
    <col min="1" max="1" width="4.5546875" style="51" bestFit="1" customWidth="1"/>
    <col min="2" max="2" width="2.6640625" style="18" bestFit="1" customWidth="1"/>
    <col min="3" max="3" width="17.6640625" style="18" bestFit="1" customWidth="1"/>
    <col min="4" max="4" width="20.109375" style="18" customWidth="1"/>
    <col min="5" max="5" width="37.6640625" style="18" bestFit="1" customWidth="1"/>
    <col min="6" max="6" width="37.109375" style="18" bestFit="1" customWidth="1"/>
    <col min="7" max="7" width="10.109375" style="18" bestFit="1" customWidth="1"/>
    <col min="8" max="8" width="15.44140625" style="18" bestFit="1" customWidth="1"/>
    <col min="9" max="9" width="23.77734375" style="18" bestFit="1" customWidth="1"/>
    <col min="10" max="10" width="30.6640625" style="18" bestFit="1" customWidth="1"/>
    <col min="11" max="11" width="18.21875" style="18" bestFit="1" customWidth="1"/>
    <col min="12" max="12" width="25.109375" style="18" bestFit="1" customWidth="1"/>
    <col min="13" max="13" width="17.6640625" style="18" customWidth="1"/>
    <col min="14" max="14" width="6" style="52" customWidth="1"/>
    <col min="15" max="15" width="19" style="53" bestFit="1" customWidth="1"/>
    <col min="16" max="16" width="6" style="52" bestFit="1" customWidth="1"/>
    <col min="17" max="17" width="21" style="54" customWidth="1"/>
    <col min="18" max="18" width="25.6640625" style="18" customWidth="1"/>
    <col min="19" max="19" width="20.44140625" style="18" bestFit="1" customWidth="1"/>
    <col min="20" max="20" width="27.109375" style="18" bestFit="1" customWidth="1"/>
    <col min="21" max="21" width="23.44140625" style="18" bestFit="1" customWidth="1"/>
    <col min="22" max="22" width="24.88671875" style="18" bestFit="1" customWidth="1"/>
    <col min="23" max="23" width="25.44140625" style="18" customWidth="1"/>
    <col min="24" max="24" width="15.44140625" style="18" customWidth="1"/>
    <col min="25" max="25" width="22.109375" style="18" bestFit="1" customWidth="1"/>
    <col min="26" max="26" width="20.109375" style="18" bestFit="1" customWidth="1"/>
    <col min="27" max="27" width="23.77734375" style="18" bestFit="1" customWidth="1"/>
    <col min="28" max="28" width="14.77734375" style="18" bestFit="1" customWidth="1"/>
    <col min="29" max="30" width="18" style="18" bestFit="1" customWidth="1"/>
    <col min="31" max="31" width="16.77734375" style="18" bestFit="1" customWidth="1"/>
    <col min="32" max="32" width="14" style="18" bestFit="1" customWidth="1"/>
    <col min="33" max="33" width="10.109375" style="18" bestFit="1" customWidth="1"/>
    <col min="34" max="34" width="9" style="18" bestFit="1" customWidth="1"/>
    <col min="35" max="35" width="13.21875" style="18" bestFit="1" customWidth="1"/>
    <col min="36" max="36" width="17" style="18" bestFit="1" customWidth="1"/>
    <col min="37" max="37" width="17.109375" style="18" bestFit="1" customWidth="1"/>
    <col min="38" max="38" width="28.44140625" style="18" bestFit="1" customWidth="1"/>
    <col min="39" max="39" width="17.109375" style="18" bestFit="1" customWidth="1"/>
    <col min="40" max="40" width="28.44140625" style="18" bestFit="1" customWidth="1"/>
    <col min="41" max="41" width="18.44140625" style="18" bestFit="1" customWidth="1"/>
    <col min="42" max="42" width="7.33203125" style="18" bestFit="1" customWidth="1"/>
    <col min="43" max="43" width="18.44140625" style="18" bestFit="1" customWidth="1"/>
    <col min="44" max="44" width="7.33203125" style="18" bestFit="1" customWidth="1"/>
    <col min="45" max="45" width="11.6640625" style="18" bestFit="1" customWidth="1"/>
    <col min="46" max="46" width="9" style="18" bestFit="1" customWidth="1"/>
    <col min="47" max="47" width="13.21875" style="18" bestFit="1" customWidth="1"/>
    <col min="48" max="48" width="17" style="18" bestFit="1" customWidth="1"/>
    <col min="49" max="50" width="8.21875" style="18" bestFit="1" customWidth="1"/>
    <col min="51" max="51" width="27.6640625" style="18" bestFit="1" customWidth="1"/>
    <col min="52" max="52" width="5.44140625" style="18" bestFit="1" customWidth="1"/>
    <col min="53" max="53" width="12.44140625" style="18" bestFit="1" customWidth="1"/>
    <col min="54" max="54" width="27.6640625" style="18" bestFit="1" customWidth="1"/>
    <col min="55" max="55" width="11.77734375" style="18" bestFit="1" customWidth="1"/>
    <col min="56" max="56" width="47.33203125" style="18" bestFit="1" customWidth="1"/>
    <col min="57" max="57" width="41.109375" style="18" bestFit="1" customWidth="1"/>
    <col min="58" max="58" width="12.44140625" style="55" bestFit="1" customWidth="1"/>
    <col min="59" max="59" width="52.109375" style="56" bestFit="1" customWidth="1"/>
    <col min="60" max="60" width="39.6640625" style="56" bestFit="1" customWidth="1"/>
    <col min="61" max="61" width="60.44140625" style="18" bestFit="1" customWidth="1"/>
    <col min="62" max="62" width="68.77734375" style="18" bestFit="1" customWidth="1"/>
    <col min="63" max="63" width="16.77734375" style="18" bestFit="1" customWidth="1"/>
    <col min="64" max="64" width="45.6640625" style="18" bestFit="1" customWidth="1"/>
    <col min="65" max="65" width="47.88671875" style="18" bestFit="1" customWidth="1"/>
    <col min="66" max="66" width="13.21875" style="18" bestFit="1" customWidth="1"/>
    <col min="67" max="67" width="16.77734375" style="18" bestFit="1" customWidth="1"/>
    <col min="68" max="68" width="11.6640625" style="18" bestFit="1" customWidth="1"/>
    <col min="69" max="69" width="18.21875" style="18" bestFit="1" customWidth="1"/>
    <col min="70" max="70" width="13.44140625" style="18" bestFit="1" customWidth="1"/>
    <col min="71" max="71" width="18.21875" style="18" bestFit="1" customWidth="1"/>
    <col min="72" max="72" width="21.21875" style="18" bestFit="1" customWidth="1"/>
    <col min="73" max="73" width="18.77734375" style="18" bestFit="1" customWidth="1"/>
    <col min="74" max="74" width="15.44140625" style="18" bestFit="1" customWidth="1"/>
    <col min="75" max="77" width="2.109375" style="18" bestFit="1" customWidth="1"/>
    <col min="78" max="84" width="75.6640625" style="18" customWidth="1"/>
    <col min="85" max="85" width="4.5546875" style="18" bestFit="1" customWidth="1"/>
    <col min="86" max="86" width="3.21875" style="18" bestFit="1" customWidth="1"/>
    <col min="87" max="87" width="2.6640625" style="18" bestFit="1" customWidth="1"/>
    <col min="88" max="142" width="9.109375" style="18"/>
    <col min="143" max="249" width="2.33203125" style="18" bestFit="1" customWidth="1"/>
    <col min="250" max="16384" width="9.109375" style="18"/>
  </cols>
  <sheetData>
    <row r="1" spans="1:251" s="65" customFormat="1" ht="30" customHeight="1">
      <c r="A1" s="57"/>
      <c r="B1" s="228" t="s">
        <v>40</v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30"/>
      <c r="AK1" s="231" t="s">
        <v>41</v>
      </c>
      <c r="AL1" s="232"/>
      <c r="AM1" s="232"/>
      <c r="AN1" s="232"/>
      <c r="AO1" s="232"/>
      <c r="AP1" s="232"/>
      <c r="AQ1" s="232"/>
      <c r="AR1" s="232"/>
      <c r="AS1" s="232"/>
      <c r="AT1" s="232"/>
      <c r="AU1" s="232"/>
      <c r="AV1" s="233"/>
      <c r="AW1" s="234" t="s">
        <v>42</v>
      </c>
      <c r="AX1" s="235"/>
      <c r="AY1" s="235"/>
      <c r="AZ1" s="235"/>
      <c r="BA1" s="235"/>
      <c r="BB1" s="235"/>
      <c r="BC1" s="235"/>
      <c r="BD1" s="235"/>
      <c r="BE1" s="235"/>
      <c r="BF1" s="235"/>
      <c r="BG1" s="235"/>
      <c r="BH1" s="235"/>
      <c r="BI1" s="235"/>
      <c r="BJ1" s="235"/>
      <c r="BK1" s="235"/>
      <c r="BL1" s="235"/>
      <c r="BM1" s="235"/>
      <c r="BN1" s="236"/>
      <c r="BO1" s="76"/>
      <c r="BP1" s="77"/>
      <c r="BQ1" s="77"/>
      <c r="BR1" s="77"/>
      <c r="BS1" s="77"/>
      <c r="BT1" s="78"/>
      <c r="BU1" s="81" t="s">
        <v>43</v>
      </c>
      <c r="BV1" s="81" t="s">
        <v>43</v>
      </c>
    </row>
    <row r="2" spans="1:251" s="65" customFormat="1" ht="30" customHeight="1" thickBot="1">
      <c r="A2" s="57"/>
      <c r="B2" s="66"/>
      <c r="C2" s="67" t="s">
        <v>44</v>
      </c>
      <c r="D2" s="67"/>
      <c r="E2" s="67" t="s">
        <v>45</v>
      </c>
      <c r="F2" s="67"/>
      <c r="G2" s="67"/>
      <c r="H2" s="67" t="s">
        <v>46</v>
      </c>
      <c r="I2" s="67" t="s">
        <v>47</v>
      </c>
      <c r="J2" s="67"/>
      <c r="K2" s="67" t="s">
        <v>48</v>
      </c>
      <c r="L2" s="67"/>
      <c r="M2" s="67" t="s">
        <v>49</v>
      </c>
      <c r="N2" s="67"/>
      <c r="O2" s="67" t="s">
        <v>50</v>
      </c>
      <c r="P2" s="67"/>
      <c r="Q2" s="67" t="s">
        <v>51</v>
      </c>
      <c r="R2" s="67"/>
      <c r="S2" s="67" t="s">
        <v>52</v>
      </c>
      <c r="T2" s="67"/>
      <c r="U2" s="67" t="s">
        <v>53</v>
      </c>
      <c r="V2" s="67" t="s">
        <v>54</v>
      </c>
      <c r="W2" s="67"/>
      <c r="X2" s="67" t="s">
        <v>55</v>
      </c>
      <c r="Y2" s="67"/>
      <c r="Z2" s="67" t="s">
        <v>56</v>
      </c>
      <c r="AA2" s="67" t="s">
        <v>57</v>
      </c>
      <c r="AB2" s="67"/>
      <c r="AC2" s="67" t="s">
        <v>58</v>
      </c>
      <c r="AD2" s="67" t="s">
        <v>59</v>
      </c>
      <c r="AE2" s="67"/>
      <c r="AF2" s="67"/>
      <c r="AG2" s="67"/>
      <c r="AH2" s="68"/>
      <c r="AI2" s="69"/>
      <c r="AJ2" s="17"/>
      <c r="AK2" s="70" t="s">
        <v>60</v>
      </c>
      <c r="AL2" s="70"/>
      <c r="AM2" s="70" t="s">
        <v>61</v>
      </c>
      <c r="AN2" s="70"/>
      <c r="AO2" s="70" t="s">
        <v>62</v>
      </c>
      <c r="AP2" s="70"/>
      <c r="AQ2" s="70" t="s">
        <v>63</v>
      </c>
      <c r="AR2" s="17"/>
      <c r="AS2" s="19"/>
      <c r="AT2" s="19"/>
      <c r="AU2" s="58"/>
      <c r="AV2" s="58"/>
      <c r="AW2" s="225" t="s">
        <v>64</v>
      </c>
      <c r="AX2" s="226"/>
      <c r="AY2" s="227"/>
      <c r="AZ2" s="225" t="s">
        <v>65</v>
      </c>
      <c r="BA2" s="226"/>
      <c r="BB2" s="227"/>
      <c r="BC2" s="59"/>
      <c r="BD2" s="60"/>
      <c r="BE2" s="61"/>
      <c r="BF2" s="62"/>
      <c r="BG2" s="60"/>
      <c r="BH2" s="71"/>
      <c r="BI2" s="72"/>
      <c r="BJ2" s="72"/>
      <c r="BK2" s="73" t="s">
        <v>66</v>
      </c>
      <c r="BL2" s="74"/>
      <c r="BM2" s="59"/>
      <c r="BN2" s="75"/>
      <c r="BO2" s="63"/>
      <c r="BP2" s="60" t="s">
        <v>67</v>
      </c>
      <c r="BQ2" s="60"/>
      <c r="BR2" s="60" t="s">
        <v>68</v>
      </c>
      <c r="BS2" s="60"/>
      <c r="BT2" s="64"/>
    </row>
    <row r="3" spans="1:251" ht="63.75" customHeight="1" thickBot="1">
      <c r="A3" s="20"/>
      <c r="B3" s="21"/>
      <c r="C3" s="22" t="s">
        <v>69</v>
      </c>
      <c r="D3" s="22" t="s">
        <v>70</v>
      </c>
      <c r="E3" s="23" t="s">
        <v>71</v>
      </c>
      <c r="F3" s="23" t="s">
        <v>72</v>
      </c>
      <c r="G3" s="222"/>
      <c r="H3" s="22" t="s">
        <v>73</v>
      </c>
      <c r="I3" s="24" t="s">
        <v>74</v>
      </c>
      <c r="J3" s="24" t="s">
        <v>75</v>
      </c>
      <c r="K3" s="25" t="s">
        <v>76</v>
      </c>
      <c r="L3" s="25" t="s">
        <v>77</v>
      </c>
      <c r="M3" s="25" t="s">
        <v>78</v>
      </c>
      <c r="N3" s="26" t="s">
        <v>79</v>
      </c>
      <c r="O3" s="27" t="s">
        <v>80</v>
      </c>
      <c r="P3" s="28" t="s">
        <v>79</v>
      </c>
      <c r="Q3" s="29" t="s">
        <v>81</v>
      </c>
      <c r="R3" s="30" t="s">
        <v>82</v>
      </c>
      <c r="S3" s="31" t="s">
        <v>83</v>
      </c>
      <c r="T3" s="32" t="s">
        <v>84</v>
      </c>
      <c r="U3" s="33" t="s">
        <v>85</v>
      </c>
      <c r="V3" s="33" t="s">
        <v>86</v>
      </c>
      <c r="W3" s="30" t="s">
        <v>87</v>
      </c>
      <c r="X3" s="31" t="s">
        <v>88</v>
      </c>
      <c r="Y3" s="32" t="s">
        <v>89</v>
      </c>
      <c r="Z3" s="34" t="s">
        <v>90</v>
      </c>
      <c r="AA3" s="35" t="s">
        <v>91</v>
      </c>
      <c r="AB3" s="34" t="s">
        <v>92</v>
      </c>
      <c r="AC3" s="31" t="s">
        <v>93</v>
      </c>
      <c r="AD3" s="31" t="s">
        <v>94</v>
      </c>
      <c r="AE3" s="32" t="s">
        <v>95</v>
      </c>
      <c r="AF3" s="36" t="s">
        <v>96</v>
      </c>
      <c r="AG3" s="37" t="s">
        <v>97</v>
      </c>
      <c r="AH3" s="25" t="s">
        <v>98</v>
      </c>
      <c r="AI3" s="37" t="s">
        <v>99</v>
      </c>
      <c r="AJ3" s="37" t="s">
        <v>100</v>
      </c>
      <c r="AK3" s="38" t="s">
        <v>101</v>
      </c>
      <c r="AL3" s="38" t="s">
        <v>102</v>
      </c>
      <c r="AM3" s="38" t="s">
        <v>103</v>
      </c>
      <c r="AN3" s="38" t="s">
        <v>104</v>
      </c>
      <c r="AO3" s="39" t="s">
        <v>105</v>
      </c>
      <c r="AP3" s="39"/>
      <c r="AQ3" s="39" t="s">
        <v>106</v>
      </c>
      <c r="AR3" s="39"/>
      <c r="AS3" s="39" t="s">
        <v>97</v>
      </c>
      <c r="AT3" s="40" t="s">
        <v>98</v>
      </c>
      <c r="AU3" s="37" t="s">
        <v>99</v>
      </c>
      <c r="AV3" s="37" t="s">
        <v>100</v>
      </c>
      <c r="AW3" s="41" t="s">
        <v>107</v>
      </c>
      <c r="AX3" s="42">
        <v>18</v>
      </c>
      <c r="AY3" s="43" t="s">
        <v>108</v>
      </c>
      <c r="AZ3" s="41" t="s">
        <v>107</v>
      </c>
      <c r="BA3" s="42">
        <v>18</v>
      </c>
      <c r="BB3" s="43" t="s">
        <v>109</v>
      </c>
      <c r="BC3" s="44" t="s">
        <v>110</v>
      </c>
      <c r="BD3" s="39" t="s">
        <v>111</v>
      </c>
      <c r="BE3" s="39" t="s">
        <v>112</v>
      </c>
      <c r="BF3" s="45" t="s">
        <v>113</v>
      </c>
      <c r="BG3" s="46" t="s">
        <v>114</v>
      </c>
      <c r="BH3" s="46" t="s">
        <v>115</v>
      </c>
      <c r="BI3" s="47" t="s">
        <v>116</v>
      </c>
      <c r="BJ3" s="48" t="s">
        <v>117</v>
      </c>
      <c r="BK3" s="39" t="s">
        <v>118</v>
      </c>
      <c r="BL3" s="39" t="s">
        <v>119</v>
      </c>
      <c r="BM3" s="49" t="s">
        <v>120</v>
      </c>
      <c r="BN3" s="37" t="s">
        <v>99</v>
      </c>
      <c r="BO3" s="37" t="s">
        <v>100</v>
      </c>
      <c r="BP3" s="50" t="s">
        <v>121</v>
      </c>
      <c r="BQ3" s="50" t="s">
        <v>122</v>
      </c>
      <c r="BR3" s="50" t="s">
        <v>123</v>
      </c>
      <c r="BS3" s="50" t="s">
        <v>124</v>
      </c>
      <c r="BT3" s="50" t="s">
        <v>125</v>
      </c>
      <c r="BU3" s="82" t="s">
        <v>43</v>
      </c>
      <c r="BV3" s="82" t="s">
        <v>126</v>
      </c>
    </row>
    <row r="4" spans="1:251" s="65" customFormat="1" ht="30" customHeight="1">
      <c r="A4" s="189" t="s">
        <v>128</v>
      </c>
      <c r="B4" s="114"/>
      <c r="C4" s="114">
        <v>68150</v>
      </c>
      <c r="D4" s="114">
        <v>228844</v>
      </c>
      <c r="E4" s="190">
        <v>51</v>
      </c>
      <c r="F4" s="190">
        <v>41</v>
      </c>
      <c r="G4" s="223"/>
      <c r="H4" s="114">
        <v>123918</v>
      </c>
      <c r="I4" s="191">
        <v>76528</v>
      </c>
      <c r="J4" s="192">
        <v>3</v>
      </c>
      <c r="K4" s="193">
        <v>14413</v>
      </c>
      <c r="L4" s="118">
        <v>8</v>
      </c>
      <c r="M4" s="193">
        <v>11722</v>
      </c>
      <c r="N4" s="118">
        <v>7</v>
      </c>
      <c r="O4" s="193">
        <v>21966</v>
      </c>
      <c r="P4" s="118">
        <v>9</v>
      </c>
      <c r="Q4" s="194">
        <v>56779</v>
      </c>
      <c r="R4" s="195">
        <v>0</v>
      </c>
      <c r="S4" s="196">
        <v>25284</v>
      </c>
      <c r="T4" s="197">
        <v>0</v>
      </c>
      <c r="U4" s="198">
        <v>9481</v>
      </c>
      <c r="V4" s="198">
        <v>1465</v>
      </c>
      <c r="W4" s="199">
        <v>0</v>
      </c>
      <c r="X4" s="196">
        <v>32322</v>
      </c>
      <c r="Y4" s="200">
        <v>10</v>
      </c>
      <c r="Z4" s="201">
        <v>7826</v>
      </c>
      <c r="AA4" s="201">
        <v>6953</v>
      </c>
      <c r="AB4" s="199">
        <v>1</v>
      </c>
      <c r="AC4" s="196">
        <v>2145</v>
      </c>
      <c r="AD4" s="202">
        <v>1539</v>
      </c>
      <c r="AE4" s="203">
        <v>4</v>
      </c>
      <c r="AF4" s="119">
        <v>0</v>
      </c>
      <c r="AG4" s="221">
        <v>192068</v>
      </c>
      <c r="AH4" s="154">
        <v>91</v>
      </c>
      <c r="AI4" s="120">
        <v>125</v>
      </c>
      <c r="AJ4" s="120">
        <v>34</v>
      </c>
      <c r="AK4" s="85">
        <v>1574537</v>
      </c>
      <c r="AL4" s="121">
        <v>2270</v>
      </c>
      <c r="AM4" s="85">
        <v>58696</v>
      </c>
      <c r="AN4" s="121">
        <v>46</v>
      </c>
      <c r="AO4" s="88">
        <v>112090</v>
      </c>
      <c r="AP4" s="86">
        <v>78</v>
      </c>
      <c r="AQ4" s="88">
        <v>113195</v>
      </c>
      <c r="AR4" s="86">
        <v>0</v>
      </c>
      <c r="AS4" s="88">
        <v>1635503</v>
      </c>
      <c r="AT4" s="141">
        <v>2316</v>
      </c>
      <c r="AU4" s="120">
        <v>2900</v>
      </c>
      <c r="AV4" s="120">
        <v>584</v>
      </c>
      <c r="AW4" s="204">
        <v>27.49</v>
      </c>
      <c r="AX4" s="204">
        <v>0</v>
      </c>
      <c r="AY4" s="204">
        <v>0</v>
      </c>
      <c r="AZ4" s="204">
        <v>0</v>
      </c>
      <c r="BA4" s="204">
        <v>12614.84</v>
      </c>
      <c r="BB4" s="205">
        <v>15136.000000002241</v>
      </c>
      <c r="BC4" s="87">
        <v>27.49</v>
      </c>
      <c r="BD4" s="88">
        <v>0</v>
      </c>
      <c r="BE4" s="117">
        <v>0</v>
      </c>
      <c r="BF4" s="88">
        <v>12614.84</v>
      </c>
      <c r="BG4" s="87">
        <v>3.4400000000005093</v>
      </c>
      <c r="BH4" s="117">
        <v>15136.000000002241</v>
      </c>
      <c r="BI4" s="206">
        <v>15136.000000002241</v>
      </c>
      <c r="BJ4" s="122">
        <v>15123.000000002241</v>
      </c>
      <c r="BK4" s="117">
        <v>24119.19</v>
      </c>
      <c r="BL4" s="207">
        <v>1488.9999999999418</v>
      </c>
      <c r="BM4" s="179">
        <v>16625.000000002183</v>
      </c>
      <c r="BN4" s="134">
        <v>16000</v>
      </c>
      <c r="BO4" s="120">
        <v>-625.00000000218279</v>
      </c>
      <c r="BP4" s="116">
        <v>2849750</v>
      </c>
      <c r="BQ4" s="116">
        <v>0</v>
      </c>
      <c r="BR4" s="116">
        <v>3823082</v>
      </c>
      <c r="BS4" s="116">
        <v>13</v>
      </c>
      <c r="BT4" s="116">
        <v>13</v>
      </c>
      <c r="BU4" s="208"/>
      <c r="BV4" s="209"/>
      <c r="BW4" s="210"/>
      <c r="BX4" s="210"/>
      <c r="BY4" s="211"/>
      <c r="BZ4" s="124"/>
      <c r="CA4" s="124"/>
      <c r="CB4" s="124"/>
      <c r="CC4" s="124"/>
      <c r="CD4" s="124"/>
      <c r="CE4" s="124"/>
      <c r="CF4" s="124"/>
      <c r="CG4" s="124"/>
      <c r="CH4" s="124"/>
      <c r="CI4" s="124"/>
      <c r="CJ4" s="124"/>
      <c r="CK4" s="124"/>
      <c r="CL4" s="124"/>
      <c r="CM4" s="124"/>
      <c r="CN4" s="124"/>
      <c r="CO4" s="124"/>
      <c r="CP4" s="124"/>
      <c r="CQ4" s="124"/>
      <c r="CR4" s="124"/>
      <c r="CS4" s="124"/>
      <c r="CT4" s="124"/>
      <c r="CU4" s="124"/>
      <c r="CV4" s="124"/>
      <c r="CW4" s="124"/>
      <c r="CX4" s="124"/>
      <c r="CY4" s="124"/>
      <c r="CZ4" s="124"/>
      <c r="DA4" s="124"/>
      <c r="DB4" s="124"/>
      <c r="DC4" s="124"/>
      <c r="DD4" s="124"/>
      <c r="DE4" s="124"/>
      <c r="DF4" s="124"/>
      <c r="DG4" s="124"/>
      <c r="DH4" s="124"/>
      <c r="DI4" s="124"/>
      <c r="DJ4" s="124"/>
      <c r="DK4" s="124"/>
      <c r="DL4" s="124"/>
      <c r="DM4" s="124"/>
      <c r="DN4" s="124"/>
      <c r="DO4" s="124"/>
      <c r="DP4" s="124"/>
      <c r="DQ4" s="124"/>
      <c r="DR4" s="124"/>
      <c r="DS4" s="124"/>
      <c r="DT4" s="124"/>
      <c r="DU4" s="124"/>
      <c r="DV4" s="124"/>
      <c r="DW4" s="124"/>
      <c r="DX4" s="124"/>
      <c r="DY4" s="124"/>
      <c r="DZ4" s="124"/>
      <c r="EA4" s="124"/>
      <c r="EB4" s="124"/>
      <c r="EC4" s="124"/>
      <c r="ED4" s="124"/>
      <c r="EE4" s="124"/>
      <c r="EF4" s="124"/>
      <c r="EG4" s="124"/>
      <c r="EH4" s="124"/>
      <c r="EI4" s="124"/>
      <c r="EJ4" s="124"/>
      <c r="EK4" s="124"/>
      <c r="EL4" s="124"/>
      <c r="EM4" s="124"/>
      <c r="EN4" s="124"/>
      <c r="EO4" s="124"/>
      <c r="EP4" s="124"/>
      <c r="EQ4" s="124"/>
      <c r="ER4" s="124"/>
      <c r="ES4" s="124"/>
      <c r="ET4" s="124"/>
      <c r="EU4" s="124"/>
      <c r="EV4" s="124"/>
      <c r="EW4" s="124"/>
      <c r="EX4" s="124"/>
      <c r="EY4" s="124"/>
      <c r="EZ4" s="124"/>
      <c r="FA4" s="124"/>
      <c r="FB4" s="124"/>
      <c r="FC4" s="124"/>
      <c r="FD4" s="124"/>
      <c r="FE4" s="124"/>
      <c r="FF4" s="124"/>
      <c r="FG4" s="124"/>
      <c r="FH4" s="124"/>
      <c r="FI4" s="124"/>
      <c r="FJ4" s="124"/>
      <c r="FK4" s="124"/>
      <c r="FL4" s="124"/>
      <c r="FM4" s="124"/>
      <c r="FN4" s="124"/>
      <c r="FO4" s="124"/>
      <c r="FP4" s="124"/>
      <c r="FQ4" s="124"/>
      <c r="FR4" s="124"/>
      <c r="FS4" s="124"/>
      <c r="FT4" s="124"/>
      <c r="FU4" s="124"/>
      <c r="FV4" s="124"/>
      <c r="FW4" s="124"/>
      <c r="FX4" s="124"/>
      <c r="FY4" s="124"/>
      <c r="FZ4" s="124"/>
      <c r="GA4" s="124"/>
      <c r="GB4" s="124"/>
      <c r="GC4" s="124"/>
      <c r="GD4" s="124"/>
      <c r="GE4" s="124"/>
      <c r="GF4" s="124"/>
      <c r="GG4" s="124"/>
      <c r="GH4" s="124"/>
      <c r="GI4" s="124"/>
      <c r="GJ4" s="124"/>
      <c r="GK4" s="124"/>
      <c r="GL4" s="124"/>
      <c r="GM4" s="124"/>
      <c r="GN4" s="124"/>
      <c r="GO4" s="124"/>
      <c r="GP4" s="124"/>
      <c r="GQ4" s="124"/>
      <c r="GR4" s="124"/>
      <c r="GS4" s="124"/>
      <c r="GT4" s="212"/>
      <c r="GU4" s="212"/>
      <c r="GV4" s="212"/>
      <c r="GW4" s="212"/>
      <c r="GX4" s="212"/>
      <c r="GY4" s="212"/>
      <c r="GZ4" s="212"/>
      <c r="HA4" s="212"/>
      <c r="HB4" s="212"/>
      <c r="HC4" s="212"/>
      <c r="HD4" s="212"/>
      <c r="HE4" s="212"/>
      <c r="HF4" s="212"/>
      <c r="HG4" s="212"/>
      <c r="HH4" s="212"/>
      <c r="HI4" s="212"/>
      <c r="HJ4" s="212"/>
      <c r="HK4" s="212"/>
      <c r="HL4" s="212"/>
      <c r="HM4" s="212"/>
      <c r="HN4" s="212"/>
      <c r="HO4" s="212"/>
      <c r="HP4" s="212"/>
      <c r="HQ4" s="212"/>
      <c r="HR4" s="212"/>
      <c r="HS4" s="212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4"/>
      <c r="IQ4" s="124"/>
    </row>
    <row r="5" spans="1:251" ht="24.9" customHeight="1">
      <c r="A5" s="180">
        <v>1</v>
      </c>
      <c r="B5" s="114"/>
      <c r="C5" s="114">
        <v>68150</v>
      </c>
      <c r="D5" s="114">
        <v>228910</v>
      </c>
      <c r="E5" s="115">
        <v>66</v>
      </c>
      <c r="F5" s="115">
        <v>15</v>
      </c>
      <c r="G5" s="224"/>
      <c r="H5" s="114">
        <v>124079</v>
      </c>
      <c r="I5" s="114">
        <v>76567</v>
      </c>
      <c r="J5" s="114">
        <v>39</v>
      </c>
      <c r="K5" s="114">
        <v>14416</v>
      </c>
      <c r="L5" s="115">
        <v>3</v>
      </c>
      <c r="M5" s="193">
        <v>11728</v>
      </c>
      <c r="N5" s="118">
        <v>6</v>
      </c>
      <c r="O5" s="193">
        <v>21972</v>
      </c>
      <c r="P5" s="118">
        <v>6</v>
      </c>
      <c r="Q5" s="176">
        <v>56787</v>
      </c>
      <c r="R5" s="178">
        <v>8</v>
      </c>
      <c r="S5" s="176">
        <v>25282</v>
      </c>
      <c r="T5" s="86">
        <v>-2</v>
      </c>
      <c r="U5" s="176">
        <v>9493</v>
      </c>
      <c r="V5" s="88">
        <v>1465</v>
      </c>
      <c r="W5" s="86">
        <v>0</v>
      </c>
      <c r="X5" s="87">
        <v>32344</v>
      </c>
      <c r="Y5" s="86">
        <v>22</v>
      </c>
      <c r="Z5" s="177">
        <v>7827</v>
      </c>
      <c r="AA5" s="177">
        <v>6955</v>
      </c>
      <c r="AB5" s="86">
        <v>2</v>
      </c>
      <c r="AC5" s="88">
        <v>2145</v>
      </c>
      <c r="AD5" s="87">
        <v>1539</v>
      </c>
      <c r="AE5" s="86">
        <v>0</v>
      </c>
      <c r="AF5" s="119">
        <v>6</v>
      </c>
      <c r="AG5" s="218">
        <v>192229</v>
      </c>
      <c r="AH5" s="155">
        <v>161</v>
      </c>
      <c r="AI5" s="120">
        <v>115</v>
      </c>
      <c r="AJ5" s="120">
        <v>-10</v>
      </c>
      <c r="AK5" s="85">
        <v>1575850</v>
      </c>
      <c r="AL5" s="85">
        <v>1313</v>
      </c>
      <c r="AM5" s="85">
        <v>58747</v>
      </c>
      <c r="AN5" s="121">
        <v>51</v>
      </c>
      <c r="AO5" s="88">
        <v>113109</v>
      </c>
      <c r="AP5" s="86">
        <v>1019</v>
      </c>
      <c r="AQ5" s="88">
        <v>113195</v>
      </c>
      <c r="AR5" s="86">
        <v>0</v>
      </c>
      <c r="AS5" s="88">
        <v>1635910</v>
      </c>
      <c r="AT5" s="141">
        <v>1364</v>
      </c>
      <c r="AU5" s="120">
        <v>2400</v>
      </c>
      <c r="AV5" s="120">
        <v>1036</v>
      </c>
      <c r="AW5" s="88">
        <v>27.45</v>
      </c>
      <c r="AX5" s="88">
        <v>0</v>
      </c>
      <c r="AY5" s="88">
        <v>0</v>
      </c>
      <c r="AZ5" s="87"/>
      <c r="BA5" s="88">
        <v>12617.92</v>
      </c>
      <c r="BB5" s="86">
        <v>13551.99999999968</v>
      </c>
      <c r="BC5" s="178">
        <v>27.45</v>
      </c>
      <c r="BD5" s="88">
        <v>0</v>
      </c>
      <c r="BE5" s="117">
        <v>0</v>
      </c>
      <c r="BF5" s="88">
        <v>12617.92</v>
      </c>
      <c r="BG5" s="88">
        <v>3.0799999999999272</v>
      </c>
      <c r="BH5" s="117">
        <v>13551.99999999968</v>
      </c>
      <c r="BI5" s="117">
        <v>13551.99999999968</v>
      </c>
      <c r="BJ5" s="122">
        <v>-1584.0000000025611</v>
      </c>
      <c r="BK5" s="117">
        <v>24125.57</v>
      </c>
      <c r="BL5" s="117">
        <v>638.00000000010186</v>
      </c>
      <c r="BM5" s="179">
        <v>14189.999999999782</v>
      </c>
      <c r="BN5" s="120">
        <v>16000</v>
      </c>
      <c r="BO5" s="120">
        <v>1810.0000000002183</v>
      </c>
      <c r="BP5" s="181">
        <v>2849800</v>
      </c>
      <c r="BQ5" s="117">
        <v>50</v>
      </c>
      <c r="BR5" s="182">
        <v>3823094</v>
      </c>
      <c r="BS5" s="135">
        <v>0</v>
      </c>
      <c r="BT5" s="115">
        <v>50</v>
      </c>
      <c r="BU5" s="124">
        <v>66</v>
      </c>
      <c r="BV5" s="124">
        <v>111</v>
      </c>
      <c r="BW5" s="140"/>
      <c r="BX5" s="140"/>
      <c r="BY5" s="140"/>
      <c r="BZ5" s="140"/>
      <c r="CA5" s="140"/>
      <c r="CB5" s="140"/>
      <c r="CC5" s="140"/>
      <c r="CD5" s="140"/>
      <c r="CE5" s="140"/>
      <c r="CF5" s="140"/>
      <c r="CG5" s="140"/>
      <c r="CH5" s="213">
        <v>0</v>
      </c>
      <c r="CI5" s="124"/>
      <c r="CJ5" s="124"/>
      <c r="CK5" s="124"/>
      <c r="CL5" s="124"/>
      <c r="CM5" s="124"/>
      <c r="CN5" s="124"/>
      <c r="CO5" s="124"/>
      <c r="CP5" s="124"/>
      <c r="CQ5" s="124"/>
      <c r="CR5" s="124"/>
      <c r="CS5" s="124"/>
      <c r="CT5" s="124"/>
      <c r="CU5" s="124"/>
      <c r="CV5" s="124"/>
      <c r="CW5" s="124"/>
      <c r="CX5" s="124"/>
      <c r="CY5" s="124"/>
      <c r="CZ5" s="124"/>
      <c r="DA5" s="124"/>
      <c r="DB5" s="124"/>
      <c r="DC5" s="124"/>
      <c r="DD5" s="124"/>
      <c r="DE5" s="124"/>
      <c r="DF5" s="124"/>
      <c r="DG5" s="124"/>
      <c r="DH5" s="124"/>
      <c r="DI5" s="124"/>
      <c r="DJ5" s="124"/>
      <c r="DK5" s="124"/>
      <c r="DL5" s="124"/>
      <c r="DM5" s="124"/>
      <c r="DN5" s="124"/>
      <c r="DO5" s="124"/>
      <c r="DP5" s="124"/>
      <c r="DQ5" s="124"/>
      <c r="DR5" s="124"/>
      <c r="DS5" s="124"/>
      <c r="DT5" s="124"/>
      <c r="DU5" s="124"/>
      <c r="DV5" s="124"/>
      <c r="DW5" s="124"/>
      <c r="DX5" s="124"/>
      <c r="DY5" s="124"/>
      <c r="DZ5" s="124"/>
      <c r="EA5" s="124"/>
      <c r="EB5" s="124"/>
      <c r="EC5" s="124"/>
      <c r="ED5" s="124"/>
      <c r="EE5" s="124"/>
      <c r="EF5" s="124"/>
      <c r="EG5" s="124"/>
      <c r="EH5" s="124"/>
      <c r="EI5" s="124"/>
      <c r="EJ5" s="124"/>
      <c r="EK5" s="124"/>
      <c r="EL5" s="124"/>
      <c r="EM5" s="124"/>
      <c r="EN5" s="124"/>
      <c r="EO5" s="124"/>
      <c r="EP5" s="124"/>
      <c r="EQ5" s="124"/>
      <c r="ER5" s="124"/>
      <c r="ES5" s="124"/>
      <c r="ET5" s="124"/>
      <c r="EU5" s="124"/>
      <c r="EV5" s="124"/>
      <c r="EW5" s="124"/>
      <c r="EX5" s="124"/>
      <c r="EY5" s="124"/>
      <c r="EZ5" s="124"/>
      <c r="FA5" s="124"/>
      <c r="FB5" s="124"/>
      <c r="FC5" s="124"/>
      <c r="FD5" s="124"/>
      <c r="FE5" s="124"/>
      <c r="FF5" s="124"/>
      <c r="FG5" s="124"/>
      <c r="FH5" s="124"/>
      <c r="FI5" s="124"/>
      <c r="FJ5" s="124"/>
      <c r="FK5" s="124"/>
      <c r="FL5" s="124"/>
      <c r="FM5" s="124"/>
      <c r="FN5" s="124"/>
      <c r="FO5" s="124"/>
      <c r="FP5" s="124"/>
      <c r="FQ5" s="124"/>
      <c r="FR5" s="124"/>
      <c r="FS5" s="124"/>
      <c r="FT5" s="124"/>
      <c r="FU5" s="124"/>
      <c r="FV5" s="124"/>
      <c r="FW5" s="124"/>
      <c r="FX5" s="124"/>
      <c r="FY5" s="124"/>
      <c r="FZ5" s="124"/>
      <c r="GA5" s="124"/>
      <c r="GB5" s="124"/>
      <c r="GC5" s="124"/>
      <c r="GD5" s="124"/>
      <c r="GE5" s="124"/>
      <c r="GF5" s="124"/>
      <c r="GG5" s="124"/>
      <c r="GH5" s="124"/>
      <c r="GI5" s="124"/>
      <c r="GJ5" s="124"/>
      <c r="GK5" s="124"/>
      <c r="GL5" s="124"/>
      <c r="GM5" s="124"/>
      <c r="GN5" s="124"/>
      <c r="GO5" s="124"/>
      <c r="GP5" s="124"/>
      <c r="GQ5" s="124"/>
      <c r="GR5" s="124"/>
      <c r="GS5" s="124"/>
      <c r="GT5" s="124"/>
      <c r="GU5" s="124"/>
      <c r="GV5" s="124"/>
      <c r="GW5" s="124"/>
      <c r="GX5" s="124"/>
      <c r="GY5" s="124"/>
      <c r="GZ5" s="124"/>
      <c r="HA5" s="124"/>
      <c r="HB5" s="124"/>
      <c r="HC5" s="124"/>
      <c r="HD5" s="124"/>
      <c r="HE5" s="124"/>
      <c r="HF5" s="124"/>
      <c r="HG5" s="124"/>
      <c r="HH5" s="124"/>
      <c r="HI5" s="124"/>
      <c r="HJ5" s="124"/>
      <c r="HK5" s="124"/>
      <c r="HL5" s="124"/>
      <c r="HM5" s="124"/>
      <c r="HN5" s="124"/>
      <c r="HO5" s="124"/>
      <c r="HP5" s="124"/>
      <c r="HQ5" s="124"/>
      <c r="HR5" s="124"/>
      <c r="HS5" s="124"/>
      <c r="HT5" s="124"/>
      <c r="HU5" s="124"/>
      <c r="HV5" s="124"/>
      <c r="HW5" s="124"/>
      <c r="HX5" s="124"/>
      <c r="HY5" s="124"/>
      <c r="HZ5" s="124"/>
      <c r="IA5" s="124"/>
      <c r="IB5" s="124"/>
      <c r="IC5" s="124"/>
      <c r="ID5" s="124"/>
      <c r="IE5" s="124"/>
      <c r="IF5" s="124"/>
      <c r="IG5" s="124"/>
      <c r="IH5" s="124"/>
      <c r="II5" s="124"/>
      <c r="IJ5" s="124"/>
      <c r="IK5" s="124"/>
      <c r="IL5" s="124"/>
      <c r="IM5" s="124"/>
      <c r="IN5" s="124"/>
      <c r="IO5" s="124"/>
      <c r="IP5" s="124"/>
      <c r="IQ5" s="124"/>
    </row>
    <row r="6" spans="1:251" ht="24.9" customHeight="1">
      <c r="A6" s="149">
        <v>2</v>
      </c>
      <c r="B6" s="125"/>
      <c r="C6" s="125">
        <v>68150</v>
      </c>
      <c r="D6" s="125">
        <v>228964</v>
      </c>
      <c r="E6" s="126">
        <v>54</v>
      </c>
      <c r="F6" s="126">
        <v>38</v>
      </c>
      <c r="G6" s="224"/>
      <c r="H6" s="125">
        <v>124205</v>
      </c>
      <c r="I6" s="125">
        <v>76586</v>
      </c>
      <c r="J6" s="125">
        <v>19</v>
      </c>
      <c r="K6" s="125">
        <v>14422</v>
      </c>
      <c r="L6" s="126">
        <v>6</v>
      </c>
      <c r="M6" s="128">
        <v>11734</v>
      </c>
      <c r="N6" s="129">
        <v>6</v>
      </c>
      <c r="O6" s="128">
        <v>21978</v>
      </c>
      <c r="P6" s="129">
        <v>6</v>
      </c>
      <c r="Q6" s="183">
        <v>56800</v>
      </c>
      <c r="R6" s="184">
        <v>13</v>
      </c>
      <c r="S6" s="183">
        <v>25284</v>
      </c>
      <c r="T6" s="101">
        <v>2</v>
      </c>
      <c r="U6" s="183">
        <v>9501</v>
      </c>
      <c r="V6" s="105">
        <v>1465</v>
      </c>
      <c r="W6" s="101">
        <v>8</v>
      </c>
      <c r="X6" s="104">
        <v>32360</v>
      </c>
      <c r="Y6" s="101">
        <v>16</v>
      </c>
      <c r="Z6" s="185">
        <v>7828</v>
      </c>
      <c r="AA6" s="185">
        <v>6956</v>
      </c>
      <c r="AB6" s="101">
        <v>2</v>
      </c>
      <c r="AC6" s="105">
        <v>2147</v>
      </c>
      <c r="AD6" s="104">
        <v>1541</v>
      </c>
      <c r="AE6" s="101">
        <v>4</v>
      </c>
      <c r="AF6" s="133">
        <v>23</v>
      </c>
      <c r="AG6" s="218">
        <v>192355</v>
      </c>
      <c r="AH6" s="155">
        <v>126</v>
      </c>
      <c r="AI6" s="134">
        <v>115</v>
      </c>
      <c r="AJ6" s="134">
        <v>-11</v>
      </c>
      <c r="AK6" s="99">
        <v>1577552</v>
      </c>
      <c r="AL6" s="99">
        <v>1702</v>
      </c>
      <c r="AM6" s="99">
        <v>58798</v>
      </c>
      <c r="AN6" s="100">
        <v>51</v>
      </c>
      <c r="AO6" s="105">
        <v>113727</v>
      </c>
      <c r="AP6" s="101">
        <v>618</v>
      </c>
      <c r="AQ6" s="105">
        <v>113195</v>
      </c>
      <c r="AR6" s="101">
        <v>0</v>
      </c>
      <c r="AS6" s="105">
        <v>1638052</v>
      </c>
      <c r="AT6" s="102">
        <v>1753</v>
      </c>
      <c r="AU6" s="134">
        <v>2400</v>
      </c>
      <c r="AV6" s="134">
        <v>647</v>
      </c>
      <c r="AW6" s="105">
        <v>27.45</v>
      </c>
      <c r="AX6" s="105">
        <v>0</v>
      </c>
      <c r="AY6" s="105">
        <v>0</v>
      </c>
      <c r="AZ6" s="104"/>
      <c r="BA6" s="105">
        <v>12621.24</v>
      </c>
      <c r="BB6" s="101">
        <v>14607.999999998719</v>
      </c>
      <c r="BC6" s="184">
        <v>27.45</v>
      </c>
      <c r="BD6" s="105">
        <v>0</v>
      </c>
      <c r="BE6" s="135">
        <v>0</v>
      </c>
      <c r="BF6" s="105">
        <v>12621.24</v>
      </c>
      <c r="BG6" s="105">
        <v>3.319999999999709</v>
      </c>
      <c r="BH6" s="135">
        <v>14607.999999998719</v>
      </c>
      <c r="BI6" s="135">
        <v>14607.999999998719</v>
      </c>
      <c r="BJ6" s="161">
        <v>14587.999999998719</v>
      </c>
      <c r="BK6" s="135">
        <v>24135.41</v>
      </c>
      <c r="BL6" s="135">
        <v>984.00000000001455</v>
      </c>
      <c r="BM6" s="186">
        <v>15591.999999998734</v>
      </c>
      <c r="BN6" s="134">
        <v>16000</v>
      </c>
      <c r="BO6" s="134">
        <v>408.00000000126602</v>
      </c>
      <c r="BP6" s="219">
        <v>2849809</v>
      </c>
      <c r="BQ6" s="135">
        <v>9</v>
      </c>
      <c r="BR6" s="187">
        <v>3823105</v>
      </c>
      <c r="BS6" s="135">
        <v>11</v>
      </c>
      <c r="BT6" s="126">
        <v>20</v>
      </c>
      <c r="BU6" s="124">
        <v>59</v>
      </c>
      <c r="BV6" s="124">
        <v>81</v>
      </c>
      <c r="BW6" s="140"/>
      <c r="BX6" s="140"/>
      <c r="BY6" s="140"/>
      <c r="BZ6" s="140"/>
      <c r="CA6" s="140"/>
      <c r="CB6" s="140"/>
      <c r="CC6" s="140"/>
      <c r="CD6" s="140"/>
      <c r="CE6" s="140"/>
      <c r="CF6" s="140"/>
      <c r="CG6" s="140"/>
      <c r="CH6" s="214">
        <v>0</v>
      </c>
      <c r="CI6" s="140"/>
      <c r="CJ6" s="124"/>
      <c r="CK6" s="124"/>
      <c r="CL6" s="124"/>
      <c r="CM6" s="124"/>
      <c r="CN6" s="124"/>
      <c r="CO6" s="124"/>
      <c r="CP6" s="124"/>
      <c r="CQ6" s="124"/>
      <c r="CR6" s="124"/>
      <c r="CS6" s="124"/>
      <c r="CT6" s="124"/>
      <c r="CU6" s="124"/>
      <c r="CV6" s="124"/>
      <c r="CW6" s="124"/>
      <c r="CX6" s="124"/>
      <c r="CY6" s="124"/>
      <c r="CZ6" s="124"/>
      <c r="DA6" s="124"/>
      <c r="DB6" s="124"/>
      <c r="DC6" s="124"/>
      <c r="DD6" s="124"/>
      <c r="DE6" s="124"/>
      <c r="DF6" s="124"/>
      <c r="DG6" s="124"/>
      <c r="DH6" s="124"/>
      <c r="DI6" s="124"/>
      <c r="DJ6" s="124"/>
      <c r="DK6" s="124"/>
      <c r="DL6" s="124"/>
      <c r="DM6" s="124"/>
      <c r="DN6" s="124"/>
      <c r="DO6" s="124"/>
      <c r="DP6" s="124"/>
      <c r="DQ6" s="124"/>
      <c r="DR6" s="124"/>
      <c r="DS6" s="124"/>
      <c r="DT6" s="124"/>
      <c r="DU6" s="124"/>
      <c r="DV6" s="124"/>
      <c r="DW6" s="124"/>
      <c r="DX6" s="124"/>
      <c r="DY6" s="124"/>
      <c r="DZ6" s="124"/>
      <c r="EA6" s="124"/>
      <c r="EB6" s="124"/>
      <c r="EC6" s="124"/>
      <c r="ED6" s="124"/>
      <c r="EE6" s="124"/>
      <c r="EF6" s="124"/>
      <c r="EG6" s="124"/>
      <c r="EH6" s="124"/>
      <c r="EI6" s="124"/>
      <c r="EJ6" s="124"/>
      <c r="EK6" s="124"/>
      <c r="EL6" s="124"/>
      <c r="EM6" s="124"/>
      <c r="EN6" s="124"/>
      <c r="EO6" s="124"/>
      <c r="EP6" s="124"/>
      <c r="EQ6" s="124"/>
      <c r="ER6" s="124"/>
      <c r="ES6" s="124"/>
      <c r="ET6" s="124"/>
      <c r="EU6" s="124"/>
      <c r="EV6" s="124"/>
      <c r="EW6" s="124"/>
      <c r="EX6" s="124"/>
      <c r="EY6" s="124"/>
      <c r="EZ6" s="124"/>
      <c r="FA6" s="124"/>
      <c r="FB6" s="124"/>
      <c r="FC6" s="124"/>
      <c r="FD6" s="124"/>
      <c r="FE6" s="124"/>
      <c r="FF6" s="124"/>
      <c r="FG6" s="124"/>
      <c r="FH6" s="124"/>
      <c r="FI6" s="124"/>
      <c r="FJ6" s="124"/>
      <c r="FK6" s="124"/>
      <c r="FL6" s="124"/>
      <c r="FM6" s="124"/>
      <c r="FN6" s="124"/>
      <c r="FO6" s="124"/>
      <c r="FP6" s="124"/>
      <c r="FQ6" s="124"/>
      <c r="FR6" s="124"/>
      <c r="FS6" s="124"/>
      <c r="FT6" s="124"/>
      <c r="FU6" s="124"/>
      <c r="FV6" s="124"/>
      <c r="FW6" s="124"/>
      <c r="FX6" s="124"/>
      <c r="FY6" s="124"/>
      <c r="FZ6" s="124"/>
      <c r="GA6" s="124"/>
      <c r="GB6" s="124"/>
      <c r="GC6" s="124"/>
      <c r="GD6" s="124"/>
      <c r="GE6" s="124"/>
      <c r="GF6" s="124"/>
      <c r="GG6" s="124"/>
      <c r="GH6" s="124"/>
      <c r="GI6" s="124"/>
      <c r="GJ6" s="124"/>
      <c r="GK6" s="124"/>
      <c r="GL6" s="124"/>
      <c r="GM6" s="124"/>
      <c r="GN6" s="124"/>
      <c r="GO6" s="124"/>
      <c r="GP6" s="124"/>
      <c r="GQ6" s="124"/>
      <c r="GR6" s="124"/>
      <c r="GS6" s="124"/>
      <c r="GT6" s="124"/>
      <c r="GU6" s="124"/>
      <c r="GV6" s="124"/>
      <c r="GW6" s="124"/>
      <c r="GX6" s="124"/>
      <c r="GY6" s="124"/>
      <c r="GZ6" s="124"/>
      <c r="HA6" s="124"/>
      <c r="HB6" s="124"/>
      <c r="HC6" s="124"/>
      <c r="HD6" s="124"/>
      <c r="HE6" s="124"/>
      <c r="HF6" s="124"/>
      <c r="HG6" s="124"/>
      <c r="HH6" s="124"/>
      <c r="HI6" s="124"/>
      <c r="HJ6" s="124"/>
      <c r="HK6" s="124"/>
      <c r="HL6" s="124"/>
      <c r="HM6" s="124"/>
      <c r="HN6" s="124"/>
      <c r="HO6" s="124"/>
      <c r="HP6" s="124"/>
      <c r="HQ6" s="124"/>
      <c r="HR6" s="124"/>
      <c r="HS6" s="124"/>
      <c r="HT6" s="124"/>
      <c r="HU6" s="124"/>
      <c r="HV6" s="124"/>
      <c r="HW6" s="124"/>
      <c r="HX6" s="124"/>
      <c r="HY6" s="124"/>
      <c r="HZ6" s="124"/>
      <c r="IA6" s="124"/>
      <c r="IB6" s="124"/>
      <c r="IC6" s="124"/>
      <c r="ID6" s="124"/>
      <c r="IE6" s="124"/>
      <c r="IF6" s="124"/>
      <c r="IG6" s="124"/>
      <c r="IH6" s="124"/>
      <c r="II6" s="124"/>
      <c r="IJ6" s="124"/>
      <c r="IK6" s="124"/>
      <c r="IL6" s="124"/>
      <c r="IM6" s="124"/>
      <c r="IN6" s="124"/>
      <c r="IO6" s="124"/>
      <c r="IP6" s="124"/>
      <c r="IQ6" s="124"/>
    </row>
    <row r="7" spans="1:251" ht="24.9" customHeight="1">
      <c r="A7" s="149">
        <v>3</v>
      </c>
      <c r="B7" s="125"/>
      <c r="C7" s="125">
        <v>68150</v>
      </c>
      <c r="D7" s="125">
        <v>229016</v>
      </c>
      <c r="E7" s="126">
        <v>52</v>
      </c>
      <c r="F7" s="126">
        <v>37</v>
      </c>
      <c r="G7" s="224"/>
      <c r="H7" s="125">
        <v>124319</v>
      </c>
      <c r="I7" s="125">
        <v>76591</v>
      </c>
      <c r="J7" s="125">
        <v>5</v>
      </c>
      <c r="K7" s="125">
        <v>14428</v>
      </c>
      <c r="L7" s="126">
        <v>6</v>
      </c>
      <c r="M7" s="128">
        <v>11740</v>
      </c>
      <c r="N7" s="129">
        <v>6</v>
      </c>
      <c r="O7" s="128">
        <v>21984</v>
      </c>
      <c r="P7" s="129">
        <v>6</v>
      </c>
      <c r="Q7" s="183">
        <v>56816</v>
      </c>
      <c r="R7" s="184">
        <v>16</v>
      </c>
      <c r="S7" s="183">
        <v>25284</v>
      </c>
      <c r="T7" s="101">
        <v>0</v>
      </c>
      <c r="U7" s="183">
        <v>9508</v>
      </c>
      <c r="V7" s="105">
        <v>1465</v>
      </c>
      <c r="W7" s="101">
        <v>7</v>
      </c>
      <c r="X7" s="104">
        <v>32375</v>
      </c>
      <c r="Y7" s="101">
        <v>15</v>
      </c>
      <c r="Z7" s="185">
        <v>7829</v>
      </c>
      <c r="AA7" s="185">
        <v>6957</v>
      </c>
      <c r="AB7" s="101">
        <v>2</v>
      </c>
      <c r="AC7" s="105">
        <v>2148</v>
      </c>
      <c r="AD7" s="104">
        <v>1542</v>
      </c>
      <c r="AE7" s="101">
        <v>2</v>
      </c>
      <c r="AF7" s="133">
        <v>23</v>
      </c>
      <c r="AG7" s="218">
        <v>192469</v>
      </c>
      <c r="AH7" s="155">
        <v>114</v>
      </c>
      <c r="AI7" s="134">
        <v>115</v>
      </c>
      <c r="AJ7" s="134">
        <v>1</v>
      </c>
      <c r="AK7" s="99">
        <v>1579723</v>
      </c>
      <c r="AL7" s="99">
        <v>2171</v>
      </c>
      <c r="AM7" s="99">
        <v>58834</v>
      </c>
      <c r="AN7" s="100">
        <v>36</v>
      </c>
      <c r="AO7" s="105">
        <v>114353</v>
      </c>
      <c r="AP7" s="101">
        <v>626</v>
      </c>
      <c r="AQ7" s="105">
        <v>113195</v>
      </c>
      <c r="AR7" s="101">
        <v>0</v>
      </c>
      <c r="AS7" s="105">
        <v>1640728</v>
      </c>
      <c r="AT7" s="102">
        <v>2207</v>
      </c>
      <c r="AU7" s="134">
        <v>2400</v>
      </c>
      <c r="AV7" s="134">
        <v>193</v>
      </c>
      <c r="AW7" s="105">
        <v>27.45</v>
      </c>
      <c r="AX7" s="105">
        <v>0</v>
      </c>
      <c r="AY7" s="105">
        <v>0</v>
      </c>
      <c r="AZ7" s="104"/>
      <c r="BA7" s="105">
        <v>12624.46</v>
      </c>
      <c r="BB7" s="101">
        <v>14167.999999997119</v>
      </c>
      <c r="BC7" s="184">
        <v>27.45</v>
      </c>
      <c r="BD7" s="105">
        <v>0</v>
      </c>
      <c r="BE7" s="135">
        <v>0</v>
      </c>
      <c r="BF7" s="105">
        <v>12624.46</v>
      </c>
      <c r="BG7" s="105">
        <v>3.2199999999993452</v>
      </c>
      <c r="BH7" s="135">
        <v>14167.999999997119</v>
      </c>
      <c r="BI7" s="135">
        <v>14167.999999997119</v>
      </c>
      <c r="BJ7" s="161">
        <v>14137.999999997119</v>
      </c>
      <c r="BK7" s="135">
        <v>24146.21</v>
      </c>
      <c r="BL7" s="135">
        <v>1079.9999999999272</v>
      </c>
      <c r="BM7" s="186">
        <v>15247.999999997046</v>
      </c>
      <c r="BN7" s="134">
        <v>16000</v>
      </c>
      <c r="BO7" s="134">
        <v>752.00000000295404</v>
      </c>
      <c r="BP7" s="219">
        <v>2849829</v>
      </c>
      <c r="BQ7" s="135">
        <v>20</v>
      </c>
      <c r="BR7" s="187">
        <v>3823115</v>
      </c>
      <c r="BS7" s="135">
        <v>10</v>
      </c>
      <c r="BT7" s="126">
        <v>30</v>
      </c>
      <c r="BU7" s="124">
        <v>66</v>
      </c>
      <c r="BV7" s="124">
        <v>80</v>
      </c>
      <c r="BW7" s="140"/>
      <c r="BX7" s="140"/>
      <c r="BY7" s="140"/>
      <c r="BZ7" s="140"/>
      <c r="CA7" s="140"/>
      <c r="CB7" s="140"/>
      <c r="CC7" s="140"/>
      <c r="CD7" s="140"/>
      <c r="CE7" s="140"/>
      <c r="CF7" s="140"/>
      <c r="CG7" s="140"/>
      <c r="CH7" s="215">
        <v>0</v>
      </c>
      <c r="CI7" s="140"/>
      <c r="CJ7" s="124"/>
      <c r="CK7" s="124"/>
      <c r="CL7" s="124"/>
      <c r="CM7" s="124"/>
      <c r="CN7" s="124"/>
      <c r="CO7" s="124"/>
      <c r="CP7" s="124"/>
      <c r="CQ7" s="124"/>
      <c r="CR7" s="124"/>
      <c r="CS7" s="124"/>
      <c r="CT7" s="124"/>
      <c r="CU7" s="124"/>
      <c r="CV7" s="124"/>
      <c r="CW7" s="124"/>
      <c r="CX7" s="124"/>
      <c r="CY7" s="124"/>
      <c r="CZ7" s="124"/>
      <c r="DA7" s="124"/>
      <c r="DB7" s="124"/>
      <c r="DC7" s="124"/>
      <c r="DD7" s="124"/>
      <c r="DE7" s="124"/>
      <c r="DF7" s="124"/>
      <c r="DG7" s="124"/>
      <c r="DH7" s="124"/>
      <c r="DI7" s="124"/>
      <c r="DJ7" s="124"/>
      <c r="DK7" s="124"/>
      <c r="DL7" s="124"/>
      <c r="DM7" s="124"/>
      <c r="DN7" s="124"/>
      <c r="DO7" s="124"/>
      <c r="DP7" s="124"/>
      <c r="DQ7" s="124"/>
      <c r="DR7" s="124"/>
      <c r="DS7" s="124"/>
      <c r="DT7" s="124"/>
      <c r="DU7" s="124"/>
      <c r="DV7" s="124"/>
      <c r="DW7" s="124"/>
      <c r="DX7" s="124"/>
      <c r="DY7" s="124"/>
      <c r="DZ7" s="124"/>
      <c r="EA7" s="124"/>
      <c r="EB7" s="124"/>
      <c r="EC7" s="124"/>
      <c r="ED7" s="124"/>
      <c r="EE7" s="124"/>
      <c r="EF7" s="124"/>
      <c r="EG7" s="124"/>
      <c r="EH7" s="124"/>
      <c r="EI7" s="124"/>
      <c r="EJ7" s="124"/>
      <c r="EK7" s="124"/>
      <c r="EL7" s="124"/>
      <c r="EM7" s="124"/>
      <c r="EN7" s="124"/>
      <c r="EO7" s="124"/>
      <c r="EP7" s="124"/>
      <c r="EQ7" s="124"/>
      <c r="ER7" s="124"/>
      <c r="ES7" s="124"/>
      <c r="ET7" s="124"/>
      <c r="EU7" s="124"/>
      <c r="EV7" s="124"/>
      <c r="EW7" s="124"/>
      <c r="EX7" s="124"/>
      <c r="EY7" s="124"/>
      <c r="EZ7" s="124"/>
      <c r="FA7" s="124"/>
      <c r="FB7" s="124"/>
      <c r="FC7" s="124"/>
      <c r="FD7" s="124"/>
      <c r="FE7" s="124"/>
      <c r="FF7" s="124"/>
      <c r="FG7" s="124"/>
      <c r="FH7" s="124"/>
      <c r="FI7" s="124"/>
      <c r="FJ7" s="124"/>
      <c r="FK7" s="124"/>
      <c r="FL7" s="124"/>
      <c r="FM7" s="124"/>
      <c r="FN7" s="124"/>
      <c r="FO7" s="124"/>
      <c r="FP7" s="124"/>
      <c r="FQ7" s="124"/>
      <c r="FR7" s="124"/>
      <c r="FS7" s="124"/>
      <c r="FT7" s="124"/>
      <c r="FU7" s="124"/>
      <c r="FV7" s="124"/>
      <c r="FW7" s="124"/>
      <c r="FX7" s="124"/>
      <c r="FY7" s="124"/>
      <c r="FZ7" s="124"/>
      <c r="GA7" s="124"/>
      <c r="GB7" s="124"/>
      <c r="GC7" s="124"/>
      <c r="GD7" s="124"/>
      <c r="GE7" s="124"/>
      <c r="GF7" s="124"/>
      <c r="GG7" s="124"/>
      <c r="GH7" s="124"/>
      <c r="GI7" s="124"/>
      <c r="GJ7" s="124"/>
      <c r="GK7" s="124"/>
      <c r="GL7" s="124"/>
      <c r="GM7" s="124"/>
      <c r="GN7" s="124"/>
      <c r="GO7" s="124"/>
      <c r="GP7" s="124"/>
      <c r="GQ7" s="124"/>
      <c r="GR7" s="124"/>
      <c r="GS7" s="124"/>
      <c r="GT7" s="124"/>
      <c r="GU7" s="124"/>
      <c r="GV7" s="124"/>
      <c r="GW7" s="124"/>
      <c r="GX7" s="124"/>
      <c r="GY7" s="124"/>
      <c r="GZ7" s="124"/>
      <c r="HA7" s="124"/>
      <c r="HB7" s="124"/>
      <c r="HC7" s="124"/>
      <c r="HD7" s="124"/>
      <c r="HE7" s="124"/>
      <c r="HF7" s="124"/>
      <c r="HG7" s="124"/>
      <c r="HH7" s="124"/>
      <c r="HI7" s="124"/>
      <c r="HJ7" s="124"/>
      <c r="HK7" s="124"/>
      <c r="HL7" s="124"/>
      <c r="HM7" s="124"/>
      <c r="HN7" s="124"/>
      <c r="HO7" s="124"/>
      <c r="HP7" s="124"/>
      <c r="HQ7" s="124"/>
      <c r="HR7" s="124"/>
      <c r="HS7" s="124"/>
      <c r="HT7" s="124"/>
      <c r="HU7" s="124"/>
      <c r="HV7" s="124"/>
      <c r="HW7" s="124"/>
      <c r="HX7" s="124"/>
      <c r="HY7" s="124"/>
      <c r="HZ7" s="124"/>
      <c r="IA7" s="124"/>
      <c r="IB7" s="124"/>
      <c r="IC7" s="124"/>
      <c r="ID7" s="124"/>
      <c r="IE7" s="124"/>
      <c r="IF7" s="124"/>
      <c r="IG7" s="124"/>
      <c r="IH7" s="124"/>
      <c r="II7" s="124"/>
      <c r="IJ7" s="124"/>
      <c r="IK7" s="124"/>
      <c r="IL7" s="124"/>
      <c r="IM7" s="124"/>
      <c r="IN7" s="124"/>
      <c r="IO7" s="124"/>
      <c r="IP7" s="124"/>
      <c r="IQ7" s="124"/>
    </row>
    <row r="8" spans="1:251" ht="24.9" customHeight="1">
      <c r="A8" s="149">
        <v>4</v>
      </c>
      <c r="B8" s="125"/>
      <c r="C8" s="125">
        <v>68150</v>
      </c>
      <c r="D8" s="125">
        <v>229072</v>
      </c>
      <c r="E8" s="126">
        <v>56</v>
      </c>
      <c r="F8" s="126">
        <v>41</v>
      </c>
      <c r="G8" s="224"/>
      <c r="H8" s="125">
        <v>124438</v>
      </c>
      <c r="I8" s="125">
        <v>76616</v>
      </c>
      <c r="J8" s="125">
        <v>25</v>
      </c>
      <c r="K8" s="125">
        <v>14439</v>
      </c>
      <c r="L8" s="126">
        <v>11</v>
      </c>
      <c r="M8" s="128">
        <v>11752</v>
      </c>
      <c r="N8" s="129">
        <v>12</v>
      </c>
      <c r="O8" s="128">
        <v>21988</v>
      </c>
      <c r="P8" s="129">
        <v>4</v>
      </c>
      <c r="Q8" s="183">
        <v>56819</v>
      </c>
      <c r="R8" s="184">
        <v>3</v>
      </c>
      <c r="S8" s="183">
        <v>25284</v>
      </c>
      <c r="T8" s="101">
        <v>0</v>
      </c>
      <c r="U8" s="183">
        <v>9514</v>
      </c>
      <c r="V8" s="105">
        <v>1469</v>
      </c>
      <c r="W8" s="101">
        <v>10</v>
      </c>
      <c r="X8" s="104">
        <v>32390</v>
      </c>
      <c r="Y8" s="101">
        <v>15</v>
      </c>
      <c r="Z8" s="185">
        <v>7829</v>
      </c>
      <c r="AA8" s="185">
        <v>6959</v>
      </c>
      <c r="AB8" s="101">
        <v>2</v>
      </c>
      <c r="AC8" s="105">
        <v>2149</v>
      </c>
      <c r="AD8" s="104">
        <v>1543</v>
      </c>
      <c r="AE8" s="101">
        <v>2</v>
      </c>
      <c r="AF8" s="133">
        <v>13</v>
      </c>
      <c r="AG8" s="218">
        <v>192588</v>
      </c>
      <c r="AH8" s="155">
        <v>119</v>
      </c>
      <c r="AI8" s="134">
        <v>115</v>
      </c>
      <c r="AJ8" s="134">
        <v>-4</v>
      </c>
      <c r="AK8" s="99">
        <v>1582190</v>
      </c>
      <c r="AL8" s="99">
        <v>2467</v>
      </c>
      <c r="AM8" s="99">
        <v>58860</v>
      </c>
      <c r="AN8" s="100">
        <v>26</v>
      </c>
      <c r="AO8" s="105">
        <v>114836</v>
      </c>
      <c r="AP8" s="101">
        <v>483</v>
      </c>
      <c r="AQ8" s="105">
        <v>113281</v>
      </c>
      <c r="AR8" s="101">
        <v>86</v>
      </c>
      <c r="AS8" s="105">
        <v>1643517</v>
      </c>
      <c r="AT8" s="102">
        <v>2493</v>
      </c>
      <c r="AU8" s="134">
        <v>2400</v>
      </c>
      <c r="AV8" s="134">
        <v>-93</v>
      </c>
      <c r="AW8" s="105">
        <v>27.45</v>
      </c>
      <c r="AX8" s="105">
        <v>0</v>
      </c>
      <c r="AY8" s="105">
        <v>0</v>
      </c>
      <c r="AZ8" s="104"/>
      <c r="BA8" s="105">
        <v>12628.12</v>
      </c>
      <c r="BB8" s="101">
        <v>16104.000000007363</v>
      </c>
      <c r="BC8" s="184">
        <v>27.45</v>
      </c>
      <c r="BD8" s="105">
        <v>0</v>
      </c>
      <c r="BE8" s="135">
        <v>0</v>
      </c>
      <c r="BF8" s="105">
        <v>12628.12</v>
      </c>
      <c r="BG8" s="105">
        <v>3.6600000000016735</v>
      </c>
      <c r="BH8" s="135">
        <v>16104.000000007363</v>
      </c>
      <c r="BI8" s="135">
        <v>16104.000000007363</v>
      </c>
      <c r="BJ8" s="161">
        <v>16073.000000007363</v>
      </c>
      <c r="BK8" s="135">
        <v>24156.31</v>
      </c>
      <c r="BL8" s="135">
        <v>1010.0000000002183</v>
      </c>
      <c r="BM8" s="186">
        <v>17114.000000007582</v>
      </c>
      <c r="BN8" s="134">
        <v>16000</v>
      </c>
      <c r="BO8" s="134">
        <v>-1114.0000000075815</v>
      </c>
      <c r="BP8" s="219">
        <v>2849849</v>
      </c>
      <c r="BQ8" s="135">
        <v>20</v>
      </c>
      <c r="BR8" s="187">
        <v>3823126</v>
      </c>
      <c r="BS8" s="135">
        <v>11</v>
      </c>
      <c r="BT8" s="126">
        <v>31</v>
      </c>
      <c r="BU8" s="124">
        <v>89</v>
      </c>
      <c r="BV8" s="124">
        <v>108</v>
      </c>
      <c r="BW8" s="140"/>
      <c r="BX8" s="140"/>
      <c r="BY8" s="140"/>
      <c r="BZ8" s="140"/>
      <c r="CA8" s="140"/>
      <c r="CB8" s="140"/>
      <c r="CC8" s="140"/>
      <c r="CD8" s="140"/>
      <c r="CE8" s="140"/>
      <c r="CF8" s="140"/>
      <c r="CG8" s="140"/>
      <c r="CH8" s="98" t="s">
        <v>127</v>
      </c>
      <c r="CI8" s="140"/>
      <c r="CJ8" s="124"/>
      <c r="CK8" s="124"/>
      <c r="CL8" s="124"/>
      <c r="CM8" s="124"/>
      <c r="CN8" s="124"/>
      <c r="CO8" s="124"/>
      <c r="CP8" s="124"/>
      <c r="CQ8" s="124"/>
      <c r="CR8" s="124"/>
      <c r="CS8" s="124"/>
      <c r="CT8" s="124"/>
      <c r="CU8" s="124"/>
      <c r="CV8" s="124"/>
      <c r="CW8" s="124"/>
      <c r="CX8" s="124"/>
      <c r="CY8" s="124"/>
      <c r="CZ8" s="124"/>
      <c r="DA8" s="124"/>
      <c r="DB8" s="124"/>
      <c r="DC8" s="124"/>
      <c r="DD8" s="124"/>
      <c r="DE8" s="124"/>
      <c r="DF8" s="124"/>
      <c r="DG8" s="124"/>
      <c r="DH8" s="124"/>
      <c r="DI8" s="124"/>
      <c r="DJ8" s="124"/>
      <c r="DK8" s="124"/>
      <c r="DL8" s="124"/>
      <c r="DM8" s="124"/>
      <c r="DN8" s="124"/>
      <c r="DO8" s="124"/>
      <c r="DP8" s="124"/>
      <c r="DQ8" s="124"/>
      <c r="DR8" s="124"/>
      <c r="DS8" s="124"/>
      <c r="DT8" s="124"/>
      <c r="DU8" s="124"/>
      <c r="DV8" s="124"/>
      <c r="DW8" s="124"/>
      <c r="DX8" s="124"/>
      <c r="DY8" s="124"/>
      <c r="DZ8" s="124"/>
      <c r="EA8" s="124"/>
      <c r="EB8" s="124"/>
      <c r="EC8" s="124"/>
      <c r="ED8" s="124"/>
      <c r="EE8" s="124"/>
      <c r="EF8" s="124"/>
      <c r="EG8" s="124"/>
      <c r="EH8" s="124"/>
      <c r="EI8" s="124"/>
      <c r="EJ8" s="124"/>
      <c r="EK8" s="124"/>
      <c r="EL8" s="124"/>
      <c r="EM8" s="124"/>
      <c r="EN8" s="124"/>
      <c r="EO8" s="124"/>
      <c r="EP8" s="124"/>
      <c r="EQ8" s="124"/>
      <c r="ER8" s="124"/>
      <c r="ES8" s="124"/>
      <c r="ET8" s="124"/>
      <c r="EU8" s="124"/>
      <c r="EV8" s="124"/>
      <c r="EW8" s="124"/>
      <c r="EX8" s="124"/>
      <c r="EY8" s="124"/>
      <c r="EZ8" s="124"/>
      <c r="FA8" s="124"/>
      <c r="FB8" s="124"/>
      <c r="FC8" s="124"/>
      <c r="FD8" s="124"/>
      <c r="FE8" s="124"/>
      <c r="FF8" s="124"/>
      <c r="FG8" s="124"/>
      <c r="FH8" s="124"/>
      <c r="FI8" s="124"/>
      <c r="FJ8" s="124"/>
      <c r="FK8" s="124"/>
      <c r="FL8" s="124"/>
      <c r="FM8" s="124"/>
      <c r="FN8" s="124"/>
      <c r="FO8" s="124"/>
      <c r="FP8" s="124"/>
      <c r="FQ8" s="124"/>
      <c r="FR8" s="124"/>
      <c r="FS8" s="124"/>
      <c r="FT8" s="124"/>
      <c r="FU8" s="124"/>
      <c r="FV8" s="124"/>
      <c r="FW8" s="124"/>
      <c r="FX8" s="124"/>
      <c r="FY8" s="124"/>
      <c r="FZ8" s="124"/>
      <c r="GA8" s="124"/>
      <c r="GB8" s="124"/>
      <c r="GC8" s="124"/>
      <c r="GD8" s="124"/>
      <c r="GE8" s="124"/>
      <c r="GF8" s="124"/>
      <c r="GG8" s="124"/>
      <c r="GH8" s="124"/>
      <c r="GI8" s="124"/>
      <c r="GJ8" s="124"/>
      <c r="GK8" s="124"/>
      <c r="GL8" s="124"/>
      <c r="GM8" s="124"/>
      <c r="GN8" s="124"/>
      <c r="GO8" s="124"/>
      <c r="GP8" s="124"/>
      <c r="GQ8" s="124"/>
      <c r="GR8" s="124"/>
      <c r="GS8" s="124"/>
      <c r="GT8" s="124"/>
      <c r="GU8" s="124"/>
      <c r="GV8" s="124"/>
      <c r="GW8" s="124"/>
      <c r="GX8" s="124"/>
      <c r="GY8" s="124"/>
      <c r="GZ8" s="124"/>
      <c r="HA8" s="124"/>
      <c r="HB8" s="124"/>
      <c r="HC8" s="124"/>
      <c r="HD8" s="124"/>
      <c r="HE8" s="124"/>
      <c r="HF8" s="124"/>
      <c r="HG8" s="124"/>
      <c r="HH8" s="124"/>
      <c r="HI8" s="124"/>
      <c r="HJ8" s="124"/>
      <c r="HK8" s="124"/>
      <c r="HL8" s="124"/>
      <c r="HM8" s="124"/>
      <c r="HN8" s="124"/>
      <c r="HO8" s="124"/>
      <c r="HP8" s="124"/>
      <c r="HQ8" s="124"/>
      <c r="HR8" s="124"/>
      <c r="HS8" s="124"/>
      <c r="HT8" s="124"/>
      <c r="HU8" s="124"/>
      <c r="HV8" s="124"/>
      <c r="HW8" s="124"/>
      <c r="HX8" s="124"/>
      <c r="HY8" s="124"/>
      <c r="HZ8" s="124"/>
      <c r="IA8" s="124"/>
      <c r="IB8" s="124"/>
      <c r="IC8" s="124"/>
      <c r="ID8" s="124"/>
      <c r="IE8" s="124"/>
      <c r="IF8" s="124"/>
      <c r="IG8" s="124"/>
      <c r="IH8" s="124"/>
      <c r="II8" s="124"/>
      <c r="IJ8" s="124"/>
      <c r="IK8" s="124"/>
      <c r="IL8" s="124"/>
      <c r="IM8" s="124"/>
      <c r="IN8" s="124"/>
      <c r="IO8" s="124"/>
      <c r="IP8" s="124"/>
      <c r="IQ8" s="124"/>
    </row>
    <row r="9" spans="1:251" ht="24.9" customHeight="1">
      <c r="A9" s="149">
        <v>5</v>
      </c>
      <c r="B9" s="125"/>
      <c r="C9" s="125">
        <v>68150</v>
      </c>
      <c r="D9" s="125">
        <v>229120</v>
      </c>
      <c r="E9" s="126">
        <v>48</v>
      </c>
      <c r="F9" s="126">
        <v>39</v>
      </c>
      <c r="G9" s="224"/>
      <c r="H9" s="125">
        <v>124552</v>
      </c>
      <c r="I9" s="125">
        <v>76635</v>
      </c>
      <c r="J9" s="125">
        <v>19</v>
      </c>
      <c r="K9" s="125">
        <v>14444</v>
      </c>
      <c r="L9" s="126">
        <v>5</v>
      </c>
      <c r="M9" s="128">
        <v>11758</v>
      </c>
      <c r="N9" s="129">
        <v>6</v>
      </c>
      <c r="O9" s="128">
        <v>21993</v>
      </c>
      <c r="P9" s="129">
        <v>5</v>
      </c>
      <c r="Q9" s="183">
        <v>56820</v>
      </c>
      <c r="R9" s="184">
        <v>1</v>
      </c>
      <c r="S9" s="183">
        <v>25285</v>
      </c>
      <c r="T9" s="101">
        <v>1</v>
      </c>
      <c r="U9" s="183">
        <v>9514</v>
      </c>
      <c r="V9" s="105">
        <v>1472</v>
      </c>
      <c r="W9" s="101">
        <v>3</v>
      </c>
      <c r="X9" s="104">
        <v>32399</v>
      </c>
      <c r="Y9" s="101">
        <v>9</v>
      </c>
      <c r="Z9" s="185">
        <v>7829</v>
      </c>
      <c r="AA9" s="185">
        <v>6960</v>
      </c>
      <c r="AB9" s="101">
        <v>1</v>
      </c>
      <c r="AC9" s="105">
        <v>2151</v>
      </c>
      <c r="AD9" s="104">
        <v>1544</v>
      </c>
      <c r="AE9" s="101">
        <v>3</v>
      </c>
      <c r="AF9" s="133">
        <v>5</v>
      </c>
      <c r="AG9" s="218">
        <v>192702</v>
      </c>
      <c r="AH9" s="155">
        <v>114</v>
      </c>
      <c r="AI9" s="134">
        <v>115</v>
      </c>
      <c r="AJ9" s="134">
        <v>1</v>
      </c>
      <c r="AK9" s="99">
        <v>1584877</v>
      </c>
      <c r="AL9" s="99">
        <v>2687</v>
      </c>
      <c r="AM9" s="99">
        <v>58890</v>
      </c>
      <c r="AN9" s="100">
        <v>30</v>
      </c>
      <c r="AO9" s="105">
        <v>114836</v>
      </c>
      <c r="AP9" s="101">
        <v>0</v>
      </c>
      <c r="AQ9" s="105">
        <v>113791</v>
      </c>
      <c r="AR9" s="101">
        <v>510</v>
      </c>
      <c r="AS9" s="105">
        <v>1646454</v>
      </c>
      <c r="AT9" s="102">
        <v>2717</v>
      </c>
      <c r="AU9" s="134">
        <v>2400</v>
      </c>
      <c r="AV9" s="134">
        <v>-317</v>
      </c>
      <c r="AW9" s="105">
        <v>27.45</v>
      </c>
      <c r="AX9" s="105">
        <v>0</v>
      </c>
      <c r="AY9" s="105">
        <v>0</v>
      </c>
      <c r="AZ9" s="104"/>
      <c r="BA9" s="105">
        <v>12631.46</v>
      </c>
      <c r="BB9" s="101">
        <v>14695.999999992637</v>
      </c>
      <c r="BC9" s="184">
        <v>27.45</v>
      </c>
      <c r="BD9" s="105">
        <v>0</v>
      </c>
      <c r="BE9" s="135">
        <v>0</v>
      </c>
      <c r="BF9" s="105">
        <v>12631.46</v>
      </c>
      <c r="BG9" s="105">
        <v>3.3399999999983265</v>
      </c>
      <c r="BH9" s="135">
        <v>14695.999999992637</v>
      </c>
      <c r="BI9" s="135">
        <v>14695.999999992637</v>
      </c>
      <c r="BJ9" s="161">
        <v>14663.999999992637</v>
      </c>
      <c r="BK9" s="135">
        <v>24174.84</v>
      </c>
      <c r="BL9" s="135">
        <v>1852.9999999998836</v>
      </c>
      <c r="BM9" s="186">
        <v>16548.99999999252</v>
      </c>
      <c r="BN9" s="134">
        <v>16000</v>
      </c>
      <c r="BO9" s="134">
        <v>-548.99999999252032</v>
      </c>
      <c r="BP9" s="219">
        <v>2849869</v>
      </c>
      <c r="BQ9" s="135">
        <v>20</v>
      </c>
      <c r="BR9" s="187">
        <v>3823138</v>
      </c>
      <c r="BS9" s="135">
        <v>12</v>
      </c>
      <c r="BT9" s="126">
        <v>32</v>
      </c>
      <c r="BU9" s="124">
        <v>83</v>
      </c>
      <c r="BV9" s="124">
        <v>102</v>
      </c>
      <c r="BW9" s="140"/>
      <c r="BX9" s="140"/>
      <c r="BY9" s="140"/>
      <c r="BZ9" s="140"/>
      <c r="CA9" s="140"/>
      <c r="CB9" s="140"/>
      <c r="CC9" s="140"/>
      <c r="CD9" s="140"/>
      <c r="CE9" s="140"/>
      <c r="CF9" s="140"/>
      <c r="CG9" s="140"/>
      <c r="CH9" s="140"/>
      <c r="CI9" s="124"/>
      <c r="CJ9" s="124"/>
      <c r="CK9" s="124"/>
      <c r="CL9" s="124"/>
      <c r="CM9" s="124"/>
      <c r="CN9" s="124"/>
      <c r="CO9" s="124"/>
      <c r="CP9" s="124"/>
      <c r="CQ9" s="124"/>
      <c r="CR9" s="124"/>
      <c r="CS9" s="124"/>
      <c r="CT9" s="124"/>
      <c r="CU9" s="124"/>
      <c r="CV9" s="124"/>
      <c r="CW9" s="124"/>
      <c r="CX9" s="124"/>
      <c r="CY9" s="124"/>
      <c r="CZ9" s="124"/>
      <c r="DA9" s="124"/>
      <c r="DB9" s="124"/>
      <c r="DC9" s="124"/>
      <c r="DD9" s="124"/>
      <c r="DE9" s="124"/>
      <c r="DF9" s="124"/>
      <c r="DG9" s="124"/>
      <c r="DH9" s="124"/>
      <c r="DI9" s="124"/>
      <c r="DJ9" s="124"/>
      <c r="DK9" s="124"/>
      <c r="DL9" s="124"/>
      <c r="DM9" s="124"/>
      <c r="DN9" s="124"/>
      <c r="DO9" s="124"/>
      <c r="DP9" s="124"/>
      <c r="DQ9" s="124"/>
      <c r="DR9" s="124"/>
      <c r="DS9" s="124"/>
      <c r="DT9" s="124"/>
      <c r="DU9" s="124"/>
      <c r="DV9" s="124"/>
      <c r="DW9" s="124"/>
      <c r="DX9" s="124"/>
      <c r="DY9" s="124"/>
      <c r="DZ9" s="124"/>
      <c r="EA9" s="124"/>
      <c r="EB9" s="124"/>
      <c r="EC9" s="124"/>
      <c r="ED9" s="124"/>
      <c r="EE9" s="124"/>
      <c r="EF9" s="124"/>
      <c r="EG9" s="124"/>
      <c r="EH9" s="124"/>
      <c r="EI9" s="124"/>
      <c r="EJ9" s="124"/>
      <c r="EK9" s="124"/>
      <c r="EL9" s="124"/>
      <c r="EM9" s="124"/>
      <c r="EN9" s="124"/>
      <c r="EO9" s="124"/>
      <c r="EP9" s="124"/>
      <c r="EQ9" s="124"/>
      <c r="ER9" s="124"/>
      <c r="ES9" s="124"/>
      <c r="ET9" s="124"/>
      <c r="EU9" s="124"/>
      <c r="EV9" s="124"/>
      <c r="EW9" s="124"/>
      <c r="EX9" s="124"/>
      <c r="EY9" s="124"/>
      <c r="EZ9" s="124"/>
      <c r="FA9" s="124"/>
      <c r="FB9" s="124"/>
      <c r="FC9" s="124"/>
      <c r="FD9" s="124"/>
      <c r="FE9" s="124"/>
      <c r="FF9" s="124"/>
      <c r="FG9" s="124"/>
      <c r="FH9" s="124"/>
      <c r="FI9" s="124"/>
      <c r="FJ9" s="124"/>
      <c r="FK9" s="124"/>
      <c r="FL9" s="124"/>
      <c r="FM9" s="124"/>
      <c r="FN9" s="124"/>
      <c r="FO9" s="124"/>
      <c r="FP9" s="124"/>
      <c r="FQ9" s="124"/>
      <c r="FR9" s="124"/>
      <c r="FS9" s="124"/>
      <c r="FT9" s="124"/>
      <c r="FU9" s="124"/>
      <c r="FV9" s="124"/>
      <c r="FW9" s="124"/>
      <c r="FX9" s="124"/>
      <c r="FY9" s="124"/>
      <c r="FZ9" s="124"/>
      <c r="GA9" s="124"/>
      <c r="GB9" s="124"/>
      <c r="GC9" s="124"/>
      <c r="GD9" s="124"/>
      <c r="GE9" s="124"/>
      <c r="GF9" s="124"/>
      <c r="GG9" s="124"/>
      <c r="GH9" s="124"/>
      <c r="GI9" s="124"/>
      <c r="GJ9" s="124"/>
      <c r="GK9" s="124"/>
      <c r="GL9" s="124"/>
      <c r="GM9" s="124"/>
      <c r="GN9" s="124"/>
      <c r="GO9" s="124"/>
      <c r="GP9" s="124"/>
      <c r="GQ9" s="124"/>
      <c r="GR9" s="124"/>
      <c r="GS9" s="124"/>
      <c r="GT9" s="124"/>
      <c r="GU9" s="124"/>
      <c r="GV9" s="124"/>
      <c r="GW9" s="124"/>
      <c r="GX9" s="124"/>
      <c r="GY9" s="124"/>
      <c r="GZ9" s="124"/>
      <c r="HA9" s="124"/>
      <c r="HB9" s="124"/>
      <c r="HC9" s="124"/>
      <c r="HD9" s="124"/>
      <c r="HE9" s="124"/>
      <c r="HF9" s="124"/>
      <c r="HG9" s="124"/>
      <c r="HH9" s="124"/>
      <c r="HI9" s="124"/>
      <c r="HJ9" s="124"/>
      <c r="HK9" s="124"/>
      <c r="HL9" s="124"/>
      <c r="HM9" s="124"/>
      <c r="HN9" s="124"/>
      <c r="HO9" s="124"/>
      <c r="HP9" s="124"/>
      <c r="HQ9" s="124"/>
      <c r="HR9" s="124"/>
      <c r="HS9" s="124"/>
      <c r="HT9" s="124"/>
      <c r="HU9" s="124"/>
      <c r="HV9" s="124"/>
      <c r="HW9" s="124"/>
      <c r="HX9" s="124"/>
      <c r="HY9" s="124"/>
      <c r="HZ9" s="124"/>
      <c r="IA9" s="124"/>
      <c r="IB9" s="124"/>
      <c r="IC9" s="124"/>
      <c r="ID9" s="124"/>
      <c r="IE9" s="124"/>
      <c r="IF9" s="124"/>
      <c r="IG9" s="124"/>
      <c r="IH9" s="124"/>
      <c r="II9" s="124"/>
      <c r="IJ9" s="124"/>
      <c r="IK9" s="124"/>
      <c r="IL9" s="124"/>
      <c r="IM9" s="124"/>
      <c r="IN9" s="124"/>
      <c r="IO9" s="124"/>
      <c r="IP9" s="124"/>
      <c r="IQ9" s="124"/>
    </row>
    <row r="10" spans="1:251" ht="24.9" customHeight="1">
      <c r="A10" s="149">
        <v>6</v>
      </c>
      <c r="B10" s="125"/>
      <c r="C10" s="125">
        <v>68150</v>
      </c>
      <c r="D10" s="125">
        <v>229166</v>
      </c>
      <c r="E10" s="126">
        <v>46</v>
      </c>
      <c r="F10" s="126">
        <v>35</v>
      </c>
      <c r="G10" s="224"/>
      <c r="H10" s="125">
        <v>124655</v>
      </c>
      <c r="I10" s="125">
        <v>76654</v>
      </c>
      <c r="J10" s="125">
        <v>19</v>
      </c>
      <c r="K10" s="125">
        <v>14449</v>
      </c>
      <c r="L10" s="126">
        <v>5</v>
      </c>
      <c r="M10" s="128">
        <v>11764</v>
      </c>
      <c r="N10" s="129">
        <v>6</v>
      </c>
      <c r="O10" s="128">
        <v>21998</v>
      </c>
      <c r="P10" s="129">
        <v>5</v>
      </c>
      <c r="Q10" s="183">
        <v>56821</v>
      </c>
      <c r="R10" s="184">
        <v>1</v>
      </c>
      <c r="S10" s="183">
        <v>25285</v>
      </c>
      <c r="T10" s="101">
        <v>0</v>
      </c>
      <c r="U10" s="183">
        <v>9514</v>
      </c>
      <c r="V10" s="105">
        <v>1478</v>
      </c>
      <c r="W10" s="101">
        <v>6</v>
      </c>
      <c r="X10" s="104">
        <v>32410</v>
      </c>
      <c r="Y10" s="101">
        <v>11</v>
      </c>
      <c r="Z10" s="185">
        <v>7829</v>
      </c>
      <c r="AA10" s="185">
        <v>6961</v>
      </c>
      <c r="AB10" s="101">
        <v>1</v>
      </c>
      <c r="AC10" s="105">
        <v>2152</v>
      </c>
      <c r="AD10" s="104">
        <v>1545</v>
      </c>
      <c r="AE10" s="101">
        <v>2</v>
      </c>
      <c r="AF10" s="133">
        <v>7</v>
      </c>
      <c r="AG10" s="218">
        <v>192805</v>
      </c>
      <c r="AH10" s="155">
        <v>103</v>
      </c>
      <c r="AI10" s="134">
        <v>115</v>
      </c>
      <c r="AJ10" s="134">
        <v>12</v>
      </c>
      <c r="AK10" s="99">
        <v>1587537</v>
      </c>
      <c r="AL10" s="99">
        <v>2660</v>
      </c>
      <c r="AM10" s="99">
        <v>58927</v>
      </c>
      <c r="AN10" s="100">
        <v>37</v>
      </c>
      <c r="AO10" s="105">
        <v>114836</v>
      </c>
      <c r="AP10" s="101">
        <v>0</v>
      </c>
      <c r="AQ10" s="105">
        <v>114259</v>
      </c>
      <c r="AR10" s="101">
        <v>468</v>
      </c>
      <c r="AS10" s="105">
        <v>1649124</v>
      </c>
      <c r="AT10" s="102">
        <v>2697</v>
      </c>
      <c r="AU10" s="134">
        <v>2400</v>
      </c>
      <c r="AV10" s="134">
        <v>-297</v>
      </c>
      <c r="AW10" s="105">
        <v>27.45</v>
      </c>
      <c r="AX10" s="105">
        <v>0</v>
      </c>
      <c r="AY10" s="105">
        <v>0</v>
      </c>
      <c r="AZ10" s="104"/>
      <c r="BA10" s="105">
        <v>12634.65</v>
      </c>
      <c r="BB10" s="101">
        <v>14036.000000002241</v>
      </c>
      <c r="BC10" s="184">
        <v>27.45</v>
      </c>
      <c r="BD10" s="105">
        <v>0</v>
      </c>
      <c r="BE10" s="135">
        <v>0</v>
      </c>
      <c r="BF10" s="105">
        <v>12634.65</v>
      </c>
      <c r="BG10" s="105">
        <v>3.1900000000005093</v>
      </c>
      <c r="BH10" s="135">
        <v>14036.000000002241</v>
      </c>
      <c r="BI10" s="135">
        <v>14036.000000002241</v>
      </c>
      <c r="BJ10" s="161">
        <v>14004.000000002241</v>
      </c>
      <c r="BK10" s="135">
        <v>24189.47</v>
      </c>
      <c r="BL10" s="135">
        <v>1463.0000000001019</v>
      </c>
      <c r="BM10" s="186">
        <v>15499.000000002343</v>
      </c>
      <c r="BN10" s="134">
        <v>16000</v>
      </c>
      <c r="BO10" s="134">
        <v>500.99999999765714</v>
      </c>
      <c r="BP10" s="219">
        <v>2849889</v>
      </c>
      <c r="BQ10" s="135">
        <v>20</v>
      </c>
      <c r="BR10" s="187">
        <v>3823150</v>
      </c>
      <c r="BS10" s="135">
        <v>12</v>
      </c>
      <c r="BT10" s="126">
        <v>32</v>
      </c>
      <c r="BU10" s="124">
        <v>74</v>
      </c>
      <c r="BV10" s="124">
        <v>93</v>
      </c>
      <c r="BW10" s="140"/>
      <c r="BX10" s="140"/>
      <c r="BY10" s="140"/>
      <c r="BZ10" s="140"/>
      <c r="CA10" s="140"/>
      <c r="CB10" s="140"/>
      <c r="CC10" s="140"/>
      <c r="CD10" s="140"/>
      <c r="CE10" s="140"/>
      <c r="CF10" s="140"/>
      <c r="CG10" s="140">
        <v>40</v>
      </c>
      <c r="CH10" s="124"/>
      <c r="CI10" s="124"/>
      <c r="CJ10" s="124"/>
      <c r="CK10" s="124"/>
      <c r="CL10" s="124"/>
      <c r="CM10" s="124"/>
      <c r="CN10" s="124"/>
      <c r="CO10" s="124"/>
      <c r="CP10" s="124"/>
      <c r="CQ10" s="124"/>
      <c r="CR10" s="124"/>
      <c r="CS10" s="124"/>
      <c r="CT10" s="124"/>
      <c r="CU10" s="124"/>
      <c r="CV10" s="124"/>
      <c r="CW10" s="124"/>
      <c r="CX10" s="124"/>
      <c r="CY10" s="124"/>
      <c r="CZ10" s="124"/>
      <c r="DA10" s="124"/>
      <c r="DB10" s="124"/>
      <c r="DC10" s="124"/>
      <c r="DD10" s="124"/>
      <c r="DE10" s="124"/>
      <c r="DF10" s="124"/>
      <c r="DG10" s="124"/>
      <c r="DH10" s="124"/>
      <c r="DI10" s="124"/>
      <c r="DJ10" s="124"/>
      <c r="DK10" s="124"/>
      <c r="DL10" s="124"/>
      <c r="DM10" s="124"/>
      <c r="DN10" s="124"/>
      <c r="DO10" s="124"/>
      <c r="DP10" s="124"/>
      <c r="DQ10" s="124"/>
      <c r="DR10" s="124"/>
      <c r="DS10" s="124"/>
      <c r="DT10" s="124"/>
      <c r="DU10" s="124"/>
      <c r="DV10" s="124"/>
      <c r="DW10" s="124"/>
      <c r="DX10" s="124"/>
      <c r="DY10" s="124"/>
      <c r="DZ10" s="124"/>
      <c r="EA10" s="124"/>
      <c r="EB10" s="124"/>
      <c r="EC10" s="124"/>
      <c r="ED10" s="124"/>
      <c r="EE10" s="124"/>
      <c r="EF10" s="124"/>
      <c r="EG10" s="124"/>
      <c r="EH10" s="124"/>
      <c r="EI10" s="124"/>
      <c r="EJ10" s="124"/>
      <c r="EK10" s="124"/>
      <c r="EL10" s="124"/>
      <c r="EM10" s="124"/>
      <c r="EN10" s="124"/>
      <c r="EO10" s="124"/>
      <c r="EP10" s="124"/>
      <c r="EQ10" s="124"/>
      <c r="ER10" s="124"/>
      <c r="ES10" s="124"/>
      <c r="ET10" s="124"/>
      <c r="EU10" s="124"/>
      <c r="EV10" s="124"/>
      <c r="EW10" s="124"/>
      <c r="EX10" s="124"/>
      <c r="EY10" s="124"/>
      <c r="EZ10" s="124"/>
      <c r="FA10" s="124"/>
      <c r="FB10" s="124"/>
      <c r="FC10" s="124"/>
      <c r="FD10" s="124"/>
      <c r="FE10" s="124"/>
      <c r="FF10" s="124"/>
      <c r="FG10" s="124"/>
      <c r="FH10" s="124"/>
      <c r="FI10" s="124"/>
      <c r="FJ10" s="124"/>
      <c r="FK10" s="124"/>
      <c r="FL10" s="124"/>
      <c r="FM10" s="124"/>
      <c r="FN10" s="124"/>
      <c r="FO10" s="124"/>
      <c r="FP10" s="124"/>
      <c r="FQ10" s="124"/>
      <c r="FR10" s="124"/>
      <c r="FS10" s="124"/>
      <c r="FT10" s="124"/>
      <c r="FU10" s="124"/>
      <c r="FV10" s="124"/>
      <c r="FW10" s="124"/>
      <c r="FX10" s="124"/>
      <c r="FY10" s="124"/>
      <c r="FZ10" s="124"/>
      <c r="GA10" s="124"/>
      <c r="GB10" s="124"/>
      <c r="GC10" s="124"/>
      <c r="GD10" s="124"/>
      <c r="GE10" s="124"/>
      <c r="GF10" s="124"/>
      <c r="GG10" s="124"/>
      <c r="GH10" s="124"/>
      <c r="GI10" s="124"/>
      <c r="GJ10" s="124"/>
      <c r="GK10" s="124"/>
      <c r="GL10" s="124"/>
      <c r="GM10" s="124"/>
      <c r="GN10" s="124"/>
      <c r="GO10" s="124"/>
      <c r="GP10" s="124"/>
      <c r="GQ10" s="124"/>
      <c r="GR10" s="124"/>
      <c r="GS10" s="124"/>
      <c r="GT10" s="124"/>
      <c r="GU10" s="124"/>
      <c r="GV10" s="124"/>
      <c r="GW10" s="124"/>
      <c r="GX10" s="124"/>
      <c r="GY10" s="124"/>
      <c r="GZ10" s="124"/>
      <c r="HA10" s="124"/>
      <c r="HB10" s="124"/>
      <c r="HC10" s="124"/>
      <c r="HD10" s="124"/>
      <c r="HE10" s="124"/>
      <c r="HF10" s="124"/>
      <c r="HG10" s="124"/>
      <c r="HH10" s="124"/>
      <c r="HI10" s="124"/>
      <c r="HJ10" s="124"/>
      <c r="HK10" s="124"/>
      <c r="HL10" s="124"/>
      <c r="HM10" s="124"/>
      <c r="HN10" s="124"/>
      <c r="HO10" s="124"/>
      <c r="HP10" s="124"/>
      <c r="HQ10" s="124"/>
      <c r="HR10" s="124"/>
      <c r="HS10" s="124"/>
      <c r="HT10" s="124"/>
      <c r="HU10" s="124"/>
      <c r="HV10" s="124"/>
      <c r="HW10" s="124"/>
      <c r="HX10" s="124"/>
      <c r="HY10" s="124"/>
      <c r="HZ10" s="124"/>
      <c r="IA10" s="124"/>
      <c r="IB10" s="124"/>
      <c r="IC10" s="124"/>
      <c r="ID10" s="124"/>
      <c r="IE10" s="124"/>
      <c r="IF10" s="124"/>
      <c r="IG10" s="124"/>
      <c r="IH10" s="124"/>
      <c r="II10" s="124"/>
      <c r="IJ10" s="124"/>
      <c r="IK10" s="124"/>
      <c r="IL10" s="124"/>
      <c r="IM10" s="124"/>
      <c r="IN10" s="124"/>
      <c r="IO10" s="124"/>
      <c r="IP10" s="124"/>
      <c r="IQ10" s="124"/>
    </row>
    <row r="11" spans="1:251" ht="24.9" customHeight="1">
      <c r="A11" s="149">
        <v>7</v>
      </c>
      <c r="B11" s="125"/>
      <c r="C11" s="125">
        <v>68150</v>
      </c>
      <c r="D11" s="125">
        <v>229216</v>
      </c>
      <c r="E11" s="126">
        <v>50</v>
      </c>
      <c r="F11" s="126">
        <v>40</v>
      </c>
      <c r="G11" s="224"/>
      <c r="H11" s="125">
        <v>124748</v>
      </c>
      <c r="I11" s="125">
        <v>76657</v>
      </c>
      <c r="J11" s="125">
        <v>3</v>
      </c>
      <c r="K11" s="125">
        <v>14455</v>
      </c>
      <c r="L11" s="126">
        <v>6</v>
      </c>
      <c r="M11" s="128">
        <v>11770</v>
      </c>
      <c r="N11" s="129">
        <v>6</v>
      </c>
      <c r="O11" s="128">
        <v>22004</v>
      </c>
      <c r="P11" s="129">
        <v>6</v>
      </c>
      <c r="Q11" s="183">
        <v>56821</v>
      </c>
      <c r="R11" s="184">
        <v>0</v>
      </c>
      <c r="S11" s="183">
        <v>25285</v>
      </c>
      <c r="T11" s="101">
        <v>0</v>
      </c>
      <c r="U11" s="183">
        <v>9514</v>
      </c>
      <c r="V11" s="105">
        <v>1478</v>
      </c>
      <c r="W11" s="101">
        <v>0</v>
      </c>
      <c r="X11" s="104">
        <v>32420</v>
      </c>
      <c r="Y11" s="101">
        <v>10</v>
      </c>
      <c r="Z11" s="185">
        <v>7830</v>
      </c>
      <c r="AA11" s="185">
        <v>6962</v>
      </c>
      <c r="AB11" s="101">
        <v>2</v>
      </c>
      <c r="AC11" s="105">
        <v>2153</v>
      </c>
      <c r="AD11" s="104">
        <v>1549</v>
      </c>
      <c r="AE11" s="101">
        <v>5</v>
      </c>
      <c r="AF11" s="133">
        <v>0</v>
      </c>
      <c r="AG11" s="218">
        <v>192898</v>
      </c>
      <c r="AH11" s="155">
        <v>93</v>
      </c>
      <c r="AI11" s="134">
        <v>115</v>
      </c>
      <c r="AJ11" s="134">
        <v>22</v>
      </c>
      <c r="AK11" s="99">
        <v>1589790</v>
      </c>
      <c r="AL11" s="99">
        <v>2253</v>
      </c>
      <c r="AM11" s="99">
        <v>58968</v>
      </c>
      <c r="AN11" s="100">
        <v>41</v>
      </c>
      <c r="AO11" s="105">
        <v>114836</v>
      </c>
      <c r="AP11" s="101">
        <v>0</v>
      </c>
      <c r="AQ11" s="105">
        <v>114337</v>
      </c>
      <c r="AR11" s="101">
        <v>78</v>
      </c>
      <c r="AS11" s="105">
        <v>1651011</v>
      </c>
      <c r="AT11" s="102">
        <v>2294</v>
      </c>
      <c r="AU11" s="134">
        <v>2400</v>
      </c>
      <c r="AV11" s="134">
        <v>106</v>
      </c>
      <c r="AW11" s="105">
        <v>27.45</v>
      </c>
      <c r="AX11" s="105">
        <v>0</v>
      </c>
      <c r="AY11" s="105">
        <v>0</v>
      </c>
      <c r="AZ11" s="104"/>
      <c r="BA11" s="105">
        <v>12638.13</v>
      </c>
      <c r="BB11" s="101">
        <v>15311.999999998079</v>
      </c>
      <c r="BC11" s="184">
        <v>27.45</v>
      </c>
      <c r="BD11" s="105">
        <v>0</v>
      </c>
      <c r="BE11" s="135">
        <v>0</v>
      </c>
      <c r="BF11" s="105">
        <v>12638.13</v>
      </c>
      <c r="BG11" s="105">
        <v>3.4799999999995634</v>
      </c>
      <c r="BH11" s="135">
        <v>15311.999999998079</v>
      </c>
      <c r="BI11" s="135">
        <v>15311.999999998079</v>
      </c>
      <c r="BJ11" s="161">
        <v>15279.999999998079</v>
      </c>
      <c r="BK11" s="135">
        <v>24203.29</v>
      </c>
      <c r="BL11" s="135">
        <v>1381.9999999999709</v>
      </c>
      <c r="BM11" s="186">
        <v>16693.99999999805</v>
      </c>
      <c r="BN11" s="134">
        <v>16000</v>
      </c>
      <c r="BO11" s="134">
        <v>-693.99999999805004</v>
      </c>
      <c r="BP11" s="219">
        <v>2849909</v>
      </c>
      <c r="BQ11" s="135">
        <v>20</v>
      </c>
      <c r="BR11" s="187">
        <v>3823162</v>
      </c>
      <c r="BS11" s="135">
        <v>12</v>
      </c>
      <c r="BT11" s="126">
        <v>32</v>
      </c>
      <c r="BU11" s="124">
        <v>67</v>
      </c>
      <c r="BV11" s="124">
        <v>100</v>
      </c>
      <c r="BW11" s="140"/>
      <c r="BX11" s="140"/>
      <c r="BY11" s="140"/>
      <c r="BZ11" s="140"/>
      <c r="CA11" s="140"/>
      <c r="CB11" s="140"/>
      <c r="CC11" s="140"/>
      <c r="CD11" s="140"/>
      <c r="CE11" s="140"/>
      <c r="CF11" s="140"/>
      <c r="CG11" s="140"/>
      <c r="CH11" s="124"/>
      <c r="CI11" s="139" t="s">
        <v>127</v>
      </c>
      <c r="CJ11" s="124"/>
      <c r="CK11" s="124"/>
      <c r="CL11" s="124"/>
      <c r="CM11" s="124"/>
      <c r="CN11" s="124"/>
      <c r="CO11" s="124"/>
      <c r="CP11" s="124"/>
      <c r="CQ11" s="124"/>
      <c r="CR11" s="124"/>
      <c r="CS11" s="124"/>
      <c r="CT11" s="124"/>
      <c r="CU11" s="124"/>
      <c r="CV11" s="124"/>
      <c r="CW11" s="124"/>
      <c r="CX11" s="124"/>
      <c r="CY11" s="124"/>
      <c r="CZ11" s="124"/>
      <c r="DA11" s="124"/>
      <c r="DB11" s="124"/>
      <c r="DC11" s="124"/>
      <c r="DD11" s="124"/>
      <c r="DE11" s="124"/>
      <c r="DF11" s="124"/>
      <c r="DG11" s="124"/>
      <c r="DH11" s="124"/>
      <c r="DI11" s="124"/>
      <c r="DJ11" s="124"/>
      <c r="DK11" s="124"/>
      <c r="DL11" s="124"/>
      <c r="DM11" s="124"/>
      <c r="DN11" s="124"/>
      <c r="DO11" s="124"/>
      <c r="DP11" s="124"/>
      <c r="DQ11" s="124"/>
      <c r="DR11" s="124"/>
      <c r="DS11" s="124"/>
      <c r="DT11" s="124"/>
      <c r="DU11" s="124"/>
      <c r="DV11" s="124"/>
      <c r="DW11" s="124"/>
      <c r="DX11" s="124"/>
      <c r="DY11" s="124"/>
      <c r="DZ11" s="124"/>
      <c r="EA11" s="124"/>
      <c r="EB11" s="124"/>
      <c r="EC11" s="124"/>
      <c r="ED11" s="124"/>
      <c r="EE11" s="124"/>
      <c r="EF11" s="124"/>
      <c r="EG11" s="124"/>
      <c r="EH11" s="124"/>
      <c r="EI11" s="124"/>
      <c r="EJ11" s="124"/>
      <c r="EK11" s="124"/>
      <c r="EL11" s="124"/>
      <c r="EM11" s="124"/>
      <c r="EN11" s="124"/>
      <c r="EO11" s="124"/>
      <c r="EP11" s="124"/>
      <c r="EQ11" s="124"/>
      <c r="ER11" s="124"/>
      <c r="ES11" s="124"/>
      <c r="ET11" s="124"/>
      <c r="EU11" s="124"/>
      <c r="EV11" s="124"/>
      <c r="EW11" s="124"/>
      <c r="EX11" s="124"/>
      <c r="EY11" s="124"/>
      <c r="EZ11" s="124"/>
      <c r="FA11" s="124"/>
      <c r="FB11" s="124"/>
      <c r="FC11" s="124"/>
      <c r="FD11" s="124"/>
      <c r="FE11" s="124"/>
      <c r="FF11" s="124"/>
      <c r="FG11" s="124"/>
      <c r="FH11" s="124"/>
      <c r="FI11" s="124"/>
      <c r="FJ11" s="124"/>
      <c r="FK11" s="124"/>
      <c r="FL11" s="124"/>
      <c r="FM11" s="124"/>
      <c r="FN11" s="124"/>
      <c r="FO11" s="124"/>
      <c r="FP11" s="124"/>
      <c r="FQ11" s="124"/>
      <c r="FR11" s="124"/>
      <c r="FS11" s="124"/>
      <c r="FT11" s="124"/>
      <c r="FU11" s="124"/>
      <c r="FV11" s="124"/>
      <c r="FW11" s="124"/>
      <c r="FX11" s="124"/>
      <c r="FY11" s="124"/>
      <c r="FZ11" s="124"/>
      <c r="GA11" s="124"/>
      <c r="GB11" s="124"/>
      <c r="GC11" s="124"/>
      <c r="GD11" s="124"/>
      <c r="GE11" s="124"/>
      <c r="GF11" s="124"/>
      <c r="GG11" s="124"/>
      <c r="GH11" s="124"/>
      <c r="GI11" s="124"/>
      <c r="GJ11" s="124"/>
      <c r="GK11" s="124"/>
      <c r="GL11" s="124"/>
      <c r="GM11" s="124"/>
      <c r="GN11" s="124"/>
      <c r="GO11" s="124"/>
      <c r="GP11" s="124"/>
      <c r="GQ11" s="124"/>
      <c r="GR11" s="124"/>
      <c r="GS11" s="124"/>
      <c r="GT11" s="124"/>
      <c r="GU11" s="124"/>
      <c r="GV11" s="124"/>
      <c r="GW11" s="124"/>
      <c r="GX11" s="124"/>
      <c r="GY11" s="124"/>
      <c r="GZ11" s="124"/>
      <c r="HA11" s="124"/>
      <c r="HB11" s="124"/>
      <c r="HC11" s="124"/>
      <c r="HD11" s="124"/>
      <c r="HE11" s="124"/>
      <c r="HF11" s="124"/>
      <c r="HG11" s="124"/>
      <c r="HH11" s="124"/>
      <c r="HI11" s="124"/>
      <c r="HJ11" s="124"/>
      <c r="HK11" s="124"/>
      <c r="HL11" s="124"/>
      <c r="HM11" s="124"/>
      <c r="HN11" s="124"/>
      <c r="HO11" s="124"/>
      <c r="HP11" s="124"/>
      <c r="HQ11" s="124"/>
      <c r="HR11" s="124"/>
      <c r="HS11" s="124"/>
      <c r="HT11" s="124"/>
      <c r="HU11" s="124"/>
      <c r="HV11" s="124"/>
      <c r="HW11" s="124"/>
      <c r="HX11" s="124"/>
      <c r="HY11" s="124"/>
      <c r="HZ11" s="124"/>
      <c r="IA11" s="124"/>
      <c r="IB11" s="124"/>
      <c r="IC11" s="124"/>
      <c r="ID11" s="124"/>
      <c r="IE11" s="124"/>
      <c r="IF11" s="124"/>
      <c r="IG11" s="124"/>
      <c r="IH11" s="124"/>
      <c r="II11" s="124"/>
      <c r="IJ11" s="124"/>
      <c r="IK11" s="124"/>
      <c r="IL11" s="124"/>
      <c r="IM11" s="124"/>
      <c r="IN11" s="124"/>
      <c r="IO11" s="124"/>
      <c r="IP11" s="124"/>
      <c r="IQ11" s="124"/>
    </row>
    <row r="12" spans="1:251" ht="24.9" customHeight="1">
      <c r="A12" s="149">
        <v>8</v>
      </c>
      <c r="B12" s="125"/>
      <c r="C12" s="125">
        <v>68150</v>
      </c>
      <c r="D12" s="125">
        <v>229262</v>
      </c>
      <c r="E12" s="126">
        <v>46</v>
      </c>
      <c r="F12" s="126">
        <v>41</v>
      </c>
      <c r="G12" s="224"/>
      <c r="H12" s="125">
        <v>124867</v>
      </c>
      <c r="I12" s="125">
        <v>76682</v>
      </c>
      <c r="J12" s="125">
        <v>25</v>
      </c>
      <c r="K12" s="125">
        <v>14460</v>
      </c>
      <c r="L12" s="126">
        <v>5</v>
      </c>
      <c r="M12" s="128">
        <v>11777</v>
      </c>
      <c r="N12" s="129">
        <v>7</v>
      </c>
      <c r="O12" s="128">
        <v>22011</v>
      </c>
      <c r="P12" s="129">
        <v>7</v>
      </c>
      <c r="Q12" s="183">
        <v>56827</v>
      </c>
      <c r="R12" s="184">
        <v>6</v>
      </c>
      <c r="S12" s="183">
        <v>25285</v>
      </c>
      <c r="T12" s="101">
        <v>0</v>
      </c>
      <c r="U12" s="183">
        <v>9514</v>
      </c>
      <c r="V12" s="105">
        <v>1478</v>
      </c>
      <c r="W12" s="101">
        <v>0</v>
      </c>
      <c r="X12" s="104">
        <v>32425</v>
      </c>
      <c r="Y12" s="101">
        <v>5</v>
      </c>
      <c r="Z12" s="185">
        <v>7831</v>
      </c>
      <c r="AA12" s="185">
        <v>6964</v>
      </c>
      <c r="AB12" s="101">
        <v>3</v>
      </c>
      <c r="AC12" s="105">
        <v>2155</v>
      </c>
      <c r="AD12" s="104">
        <v>1550</v>
      </c>
      <c r="AE12" s="101">
        <v>3</v>
      </c>
      <c r="AF12" s="133">
        <v>6</v>
      </c>
      <c r="AG12" s="218">
        <v>193017</v>
      </c>
      <c r="AH12" s="155">
        <v>119</v>
      </c>
      <c r="AI12" s="134">
        <v>115</v>
      </c>
      <c r="AJ12" s="134">
        <v>-4</v>
      </c>
      <c r="AK12" s="99">
        <v>1592739</v>
      </c>
      <c r="AL12" s="99">
        <v>2949</v>
      </c>
      <c r="AM12" s="99">
        <v>59023</v>
      </c>
      <c r="AN12" s="100">
        <v>55</v>
      </c>
      <c r="AO12" s="105">
        <v>114836</v>
      </c>
      <c r="AP12" s="101">
        <v>0</v>
      </c>
      <c r="AQ12" s="105">
        <v>114832</v>
      </c>
      <c r="AR12" s="101">
        <v>495</v>
      </c>
      <c r="AS12" s="105">
        <v>1654711</v>
      </c>
      <c r="AT12" s="102">
        <v>3004</v>
      </c>
      <c r="AU12" s="134">
        <v>2400</v>
      </c>
      <c r="AV12" s="134">
        <v>-604</v>
      </c>
      <c r="AW12" s="105">
        <v>27.45</v>
      </c>
      <c r="AX12" s="105">
        <v>0</v>
      </c>
      <c r="AY12" s="105">
        <v>0</v>
      </c>
      <c r="AZ12" s="104"/>
      <c r="BA12" s="105">
        <v>12641.26</v>
      </c>
      <c r="BB12" s="101">
        <v>13772.000000004482</v>
      </c>
      <c r="BC12" s="184">
        <v>27.45</v>
      </c>
      <c r="BD12" s="105">
        <v>0</v>
      </c>
      <c r="BE12" s="135">
        <v>0</v>
      </c>
      <c r="BF12" s="105">
        <v>12641.26</v>
      </c>
      <c r="BG12" s="105">
        <v>3.1300000000010186</v>
      </c>
      <c r="BH12" s="135">
        <v>13772.000000004482</v>
      </c>
      <c r="BI12" s="135">
        <v>13772.000000004482</v>
      </c>
      <c r="BJ12" s="161">
        <v>13740.000000004482</v>
      </c>
      <c r="BK12" s="135">
        <v>24216.21</v>
      </c>
      <c r="BL12" s="135">
        <v>1291.9999999998254</v>
      </c>
      <c r="BM12" s="186">
        <v>15064.000000004307</v>
      </c>
      <c r="BN12" s="134">
        <v>16000</v>
      </c>
      <c r="BO12" s="134">
        <v>935.99999999569263</v>
      </c>
      <c r="BP12" s="219">
        <v>2849929</v>
      </c>
      <c r="BQ12" s="135">
        <v>20</v>
      </c>
      <c r="BR12" s="187">
        <v>3823174</v>
      </c>
      <c r="BS12" s="135">
        <v>12</v>
      </c>
      <c r="BT12" s="126">
        <v>32</v>
      </c>
      <c r="BU12" s="124">
        <v>59</v>
      </c>
      <c r="BV12" s="124">
        <v>93</v>
      </c>
      <c r="BW12" s="140"/>
      <c r="BX12" s="140"/>
      <c r="BY12" s="140"/>
      <c r="BZ12" s="140"/>
      <c r="CA12" s="140"/>
      <c r="CB12" s="140"/>
      <c r="CC12" s="140"/>
      <c r="CD12" s="140"/>
      <c r="CE12" s="140"/>
      <c r="CF12" s="140"/>
      <c r="CG12" s="140"/>
      <c r="CH12" s="124"/>
      <c r="CI12" s="124"/>
      <c r="CJ12" s="124"/>
      <c r="CK12" s="124"/>
      <c r="CL12" s="124"/>
      <c r="CM12" s="124"/>
      <c r="CN12" s="124"/>
      <c r="CO12" s="124"/>
      <c r="CP12" s="124"/>
      <c r="CQ12" s="124"/>
      <c r="CR12" s="124"/>
      <c r="CS12" s="124"/>
      <c r="CT12" s="124"/>
      <c r="CU12" s="124"/>
      <c r="CV12" s="124"/>
      <c r="CW12" s="124"/>
      <c r="CX12" s="124"/>
      <c r="CY12" s="124"/>
      <c r="CZ12" s="124"/>
      <c r="DA12" s="124"/>
      <c r="DB12" s="124"/>
      <c r="DC12" s="124"/>
      <c r="DD12" s="124"/>
      <c r="DE12" s="124"/>
      <c r="DF12" s="124"/>
      <c r="DG12" s="124"/>
      <c r="DH12" s="124"/>
      <c r="DI12" s="124"/>
      <c r="DJ12" s="124"/>
      <c r="DK12" s="124"/>
      <c r="DL12" s="124"/>
      <c r="DM12" s="124"/>
      <c r="DN12" s="124"/>
      <c r="DO12" s="124"/>
      <c r="DP12" s="124"/>
      <c r="DQ12" s="124"/>
      <c r="DR12" s="124"/>
      <c r="DS12" s="124"/>
      <c r="DT12" s="124"/>
      <c r="DU12" s="124"/>
      <c r="DV12" s="124"/>
      <c r="DW12" s="124"/>
      <c r="DX12" s="124"/>
      <c r="DY12" s="124"/>
      <c r="DZ12" s="124"/>
      <c r="EA12" s="124"/>
      <c r="EB12" s="124"/>
      <c r="EC12" s="124"/>
      <c r="ED12" s="124"/>
      <c r="EE12" s="124"/>
      <c r="EF12" s="124"/>
      <c r="EG12" s="124"/>
      <c r="EH12" s="124"/>
      <c r="EI12" s="124"/>
      <c r="EJ12" s="124"/>
      <c r="EK12" s="124"/>
      <c r="EL12" s="124"/>
      <c r="EM12" s="124"/>
      <c r="EN12" s="124"/>
      <c r="EO12" s="124"/>
      <c r="EP12" s="124"/>
      <c r="EQ12" s="124"/>
      <c r="ER12" s="124"/>
      <c r="ES12" s="124"/>
      <c r="ET12" s="124"/>
      <c r="EU12" s="124"/>
      <c r="EV12" s="124"/>
      <c r="EW12" s="124"/>
      <c r="EX12" s="124"/>
      <c r="EY12" s="124"/>
      <c r="EZ12" s="124"/>
      <c r="FA12" s="124"/>
      <c r="FB12" s="124"/>
      <c r="FC12" s="124"/>
      <c r="FD12" s="124"/>
      <c r="FE12" s="124"/>
      <c r="FF12" s="124"/>
      <c r="FG12" s="124"/>
      <c r="FH12" s="124"/>
      <c r="FI12" s="124"/>
      <c r="FJ12" s="124"/>
      <c r="FK12" s="124"/>
      <c r="FL12" s="124"/>
      <c r="FM12" s="124"/>
      <c r="FN12" s="124"/>
      <c r="FO12" s="124"/>
      <c r="FP12" s="124"/>
      <c r="FQ12" s="124"/>
      <c r="FR12" s="124"/>
      <c r="FS12" s="124"/>
      <c r="FT12" s="124"/>
      <c r="FU12" s="124"/>
      <c r="FV12" s="124"/>
      <c r="FW12" s="124"/>
      <c r="FX12" s="124"/>
      <c r="FY12" s="124"/>
      <c r="FZ12" s="124"/>
      <c r="GA12" s="124"/>
      <c r="GB12" s="124"/>
      <c r="GC12" s="124"/>
      <c r="GD12" s="124"/>
      <c r="GE12" s="124"/>
      <c r="GF12" s="124"/>
      <c r="GG12" s="124"/>
      <c r="GH12" s="124"/>
      <c r="GI12" s="124"/>
      <c r="GJ12" s="124"/>
      <c r="GK12" s="124"/>
      <c r="GL12" s="124"/>
      <c r="GM12" s="124"/>
      <c r="GN12" s="124"/>
      <c r="GO12" s="124"/>
      <c r="GP12" s="124"/>
      <c r="GQ12" s="124"/>
      <c r="GR12" s="124"/>
      <c r="GS12" s="124"/>
      <c r="GT12" s="124"/>
      <c r="GU12" s="124"/>
      <c r="GV12" s="124"/>
      <c r="GW12" s="124"/>
      <c r="GX12" s="124"/>
      <c r="GY12" s="124"/>
      <c r="GZ12" s="124"/>
      <c r="HA12" s="124"/>
      <c r="HB12" s="124"/>
      <c r="HC12" s="124"/>
      <c r="HD12" s="124"/>
      <c r="HE12" s="124"/>
      <c r="HF12" s="124"/>
      <c r="HG12" s="124"/>
      <c r="HH12" s="124"/>
      <c r="HI12" s="124"/>
      <c r="HJ12" s="124"/>
      <c r="HK12" s="124"/>
      <c r="HL12" s="124"/>
      <c r="HM12" s="124"/>
      <c r="HN12" s="124"/>
      <c r="HO12" s="124"/>
      <c r="HP12" s="124"/>
      <c r="HQ12" s="124"/>
      <c r="HR12" s="124"/>
      <c r="HS12" s="124"/>
      <c r="HT12" s="124"/>
      <c r="HU12" s="124"/>
      <c r="HV12" s="124"/>
      <c r="HW12" s="124"/>
      <c r="HX12" s="124"/>
      <c r="HY12" s="124"/>
      <c r="HZ12" s="124"/>
      <c r="IA12" s="124"/>
      <c r="IB12" s="124"/>
      <c r="IC12" s="124"/>
      <c r="ID12" s="124"/>
      <c r="IE12" s="124"/>
      <c r="IF12" s="124"/>
      <c r="IG12" s="124"/>
      <c r="IH12" s="124"/>
      <c r="II12" s="124"/>
      <c r="IJ12" s="124"/>
      <c r="IK12" s="124"/>
      <c r="IL12" s="124"/>
      <c r="IM12" s="124"/>
      <c r="IN12" s="124"/>
      <c r="IO12" s="124"/>
      <c r="IP12" s="124"/>
      <c r="IQ12" s="124"/>
    </row>
    <row r="13" spans="1:251" ht="24.9" customHeight="1">
      <c r="A13" s="149">
        <v>9</v>
      </c>
      <c r="B13" s="125"/>
      <c r="C13" s="125">
        <v>68150</v>
      </c>
      <c r="D13" s="125">
        <v>229313</v>
      </c>
      <c r="E13" s="126">
        <v>51</v>
      </c>
      <c r="F13" s="126">
        <v>36</v>
      </c>
      <c r="G13" s="224"/>
      <c r="H13" s="125">
        <v>124980</v>
      </c>
      <c r="I13" s="125">
        <v>76700</v>
      </c>
      <c r="J13" s="125">
        <v>18</v>
      </c>
      <c r="K13" s="125">
        <v>14465</v>
      </c>
      <c r="L13" s="126">
        <v>5</v>
      </c>
      <c r="M13" s="128">
        <v>11783</v>
      </c>
      <c r="N13" s="129">
        <v>6</v>
      </c>
      <c r="O13" s="128">
        <v>22016</v>
      </c>
      <c r="P13" s="129">
        <v>5</v>
      </c>
      <c r="Q13" s="183">
        <v>56831</v>
      </c>
      <c r="R13" s="184">
        <v>4</v>
      </c>
      <c r="S13" s="183">
        <v>25286</v>
      </c>
      <c r="T13" s="101">
        <v>1</v>
      </c>
      <c r="U13" s="183">
        <v>9514</v>
      </c>
      <c r="V13" s="105">
        <v>1492</v>
      </c>
      <c r="W13" s="101">
        <v>14</v>
      </c>
      <c r="X13" s="104">
        <v>32440</v>
      </c>
      <c r="Y13" s="101">
        <v>15</v>
      </c>
      <c r="Z13" s="185">
        <v>7832</v>
      </c>
      <c r="AA13" s="185">
        <v>6965</v>
      </c>
      <c r="AB13" s="101">
        <v>2</v>
      </c>
      <c r="AC13" s="105">
        <v>2156</v>
      </c>
      <c r="AD13" s="104">
        <v>1551</v>
      </c>
      <c r="AE13" s="101">
        <v>2</v>
      </c>
      <c r="AF13" s="133">
        <v>19</v>
      </c>
      <c r="AG13" s="218">
        <v>193130</v>
      </c>
      <c r="AH13" s="155">
        <v>113</v>
      </c>
      <c r="AI13" s="134">
        <v>115</v>
      </c>
      <c r="AJ13" s="134">
        <v>2</v>
      </c>
      <c r="AK13" s="99">
        <v>1595308</v>
      </c>
      <c r="AL13" s="99">
        <v>2569</v>
      </c>
      <c r="AM13" s="99">
        <v>59064</v>
      </c>
      <c r="AN13" s="100">
        <v>41</v>
      </c>
      <c r="AO13" s="105">
        <v>115433</v>
      </c>
      <c r="AP13" s="101">
        <v>597</v>
      </c>
      <c r="AQ13" s="105">
        <v>114836</v>
      </c>
      <c r="AR13" s="101">
        <v>4</v>
      </c>
      <c r="AS13" s="105">
        <v>1656941</v>
      </c>
      <c r="AT13" s="102">
        <v>2610</v>
      </c>
      <c r="AU13" s="134">
        <v>2400</v>
      </c>
      <c r="AV13" s="134">
        <v>-210</v>
      </c>
      <c r="AW13" s="105">
        <v>27.45</v>
      </c>
      <c r="AX13" s="105">
        <v>0</v>
      </c>
      <c r="AY13" s="105">
        <v>0</v>
      </c>
      <c r="AZ13" s="104"/>
      <c r="BA13" s="105">
        <v>12644.59</v>
      </c>
      <c r="BB13" s="101">
        <v>14651.99999999968</v>
      </c>
      <c r="BC13" s="184">
        <v>27.45</v>
      </c>
      <c r="BD13" s="105">
        <v>0</v>
      </c>
      <c r="BE13" s="135">
        <v>0</v>
      </c>
      <c r="BF13" s="105">
        <v>12644.59</v>
      </c>
      <c r="BG13" s="105">
        <v>3.3299999999999272</v>
      </c>
      <c r="BH13" s="135">
        <v>14651.99999999968</v>
      </c>
      <c r="BI13" s="135">
        <v>14651.99999999968</v>
      </c>
      <c r="BJ13" s="161">
        <v>14619.99999999968</v>
      </c>
      <c r="BK13" s="135">
        <v>24229.41</v>
      </c>
      <c r="BL13" s="135">
        <v>1320.0000000000728</v>
      </c>
      <c r="BM13" s="186">
        <v>15971.999999999753</v>
      </c>
      <c r="BN13" s="134">
        <v>16000</v>
      </c>
      <c r="BO13" s="134">
        <v>28.000000000247383</v>
      </c>
      <c r="BP13" s="219">
        <v>2849949</v>
      </c>
      <c r="BQ13" s="135">
        <v>20</v>
      </c>
      <c r="BR13" s="187">
        <v>3823186</v>
      </c>
      <c r="BS13" s="135">
        <v>12</v>
      </c>
      <c r="BT13" s="126">
        <v>32</v>
      </c>
      <c r="BU13" s="124">
        <v>46</v>
      </c>
      <c r="BV13" s="124">
        <v>66</v>
      </c>
      <c r="BW13" s="140"/>
      <c r="BX13" s="140"/>
      <c r="BY13" s="140"/>
      <c r="BZ13" s="140"/>
      <c r="CA13" s="140"/>
      <c r="CB13" s="140"/>
      <c r="CC13" s="140"/>
      <c r="CD13" s="140"/>
      <c r="CE13" s="140"/>
      <c r="CF13" s="140"/>
      <c r="CG13" s="140"/>
      <c r="CH13" s="124"/>
      <c r="CI13" s="124"/>
      <c r="CJ13" s="124"/>
      <c r="CK13" s="124"/>
      <c r="CL13" s="124"/>
      <c r="CM13" s="124"/>
      <c r="CN13" s="124"/>
      <c r="CO13" s="124"/>
      <c r="CP13" s="124"/>
      <c r="CQ13" s="124"/>
      <c r="CR13" s="124"/>
      <c r="CS13" s="124"/>
      <c r="CT13" s="124"/>
      <c r="CU13" s="124"/>
      <c r="CV13" s="124"/>
      <c r="CW13" s="124"/>
      <c r="CX13" s="124"/>
      <c r="CY13" s="124"/>
      <c r="CZ13" s="124"/>
      <c r="DA13" s="124"/>
      <c r="DB13" s="124"/>
      <c r="DC13" s="124"/>
      <c r="DD13" s="124"/>
      <c r="DE13" s="124"/>
      <c r="DF13" s="124"/>
      <c r="DG13" s="124"/>
      <c r="DH13" s="124"/>
      <c r="DI13" s="124"/>
      <c r="DJ13" s="124"/>
      <c r="DK13" s="124"/>
      <c r="DL13" s="124"/>
      <c r="DM13" s="124"/>
      <c r="DN13" s="124"/>
      <c r="DO13" s="124"/>
      <c r="DP13" s="124"/>
      <c r="DQ13" s="124"/>
      <c r="DR13" s="124"/>
      <c r="DS13" s="124"/>
      <c r="DT13" s="124"/>
      <c r="DU13" s="124"/>
      <c r="DV13" s="124"/>
      <c r="DW13" s="124"/>
      <c r="DX13" s="124"/>
      <c r="DY13" s="124"/>
      <c r="DZ13" s="124"/>
      <c r="EA13" s="124"/>
      <c r="EB13" s="124"/>
      <c r="EC13" s="124"/>
      <c r="ED13" s="124"/>
      <c r="EE13" s="124"/>
      <c r="EF13" s="124"/>
      <c r="EG13" s="124"/>
      <c r="EH13" s="124"/>
      <c r="EI13" s="124"/>
      <c r="EJ13" s="124"/>
      <c r="EK13" s="124"/>
      <c r="EL13" s="124"/>
      <c r="EM13" s="124"/>
      <c r="EN13" s="124"/>
      <c r="EO13" s="124"/>
      <c r="EP13" s="124"/>
      <c r="EQ13" s="124"/>
      <c r="ER13" s="124"/>
      <c r="ES13" s="124"/>
      <c r="ET13" s="124"/>
      <c r="EU13" s="124"/>
      <c r="EV13" s="124"/>
      <c r="EW13" s="124"/>
      <c r="EX13" s="124"/>
      <c r="EY13" s="124"/>
      <c r="EZ13" s="124"/>
      <c r="FA13" s="124"/>
      <c r="FB13" s="124"/>
      <c r="FC13" s="124"/>
      <c r="FD13" s="124"/>
      <c r="FE13" s="124"/>
      <c r="FF13" s="124"/>
      <c r="FG13" s="124"/>
      <c r="FH13" s="124"/>
      <c r="FI13" s="124"/>
      <c r="FJ13" s="124"/>
      <c r="FK13" s="124"/>
      <c r="FL13" s="124"/>
      <c r="FM13" s="124"/>
      <c r="FN13" s="124"/>
      <c r="FO13" s="124"/>
      <c r="FP13" s="124"/>
      <c r="FQ13" s="124"/>
      <c r="FR13" s="124"/>
      <c r="FS13" s="124"/>
      <c r="FT13" s="124"/>
      <c r="FU13" s="124"/>
      <c r="FV13" s="124"/>
      <c r="FW13" s="124"/>
      <c r="FX13" s="124"/>
      <c r="FY13" s="124"/>
      <c r="FZ13" s="124"/>
      <c r="GA13" s="124"/>
      <c r="GB13" s="124"/>
      <c r="GC13" s="124"/>
      <c r="GD13" s="124"/>
      <c r="GE13" s="124"/>
      <c r="GF13" s="124"/>
      <c r="GG13" s="124"/>
      <c r="GH13" s="124"/>
      <c r="GI13" s="124"/>
      <c r="GJ13" s="124"/>
      <c r="GK13" s="124"/>
      <c r="GL13" s="124"/>
      <c r="GM13" s="124"/>
      <c r="GN13" s="124"/>
      <c r="GO13" s="124"/>
      <c r="GP13" s="124"/>
      <c r="GQ13" s="124"/>
      <c r="GR13" s="124"/>
      <c r="GS13" s="124"/>
      <c r="GT13" s="124"/>
      <c r="GU13" s="124"/>
      <c r="GV13" s="124"/>
      <c r="GW13" s="124"/>
      <c r="GX13" s="124"/>
      <c r="GY13" s="124"/>
      <c r="GZ13" s="124"/>
      <c r="HA13" s="124"/>
      <c r="HB13" s="124"/>
      <c r="HC13" s="124"/>
      <c r="HD13" s="124"/>
      <c r="HE13" s="124"/>
      <c r="HF13" s="124"/>
      <c r="HG13" s="124"/>
      <c r="HH13" s="124"/>
      <c r="HI13" s="124"/>
      <c r="HJ13" s="124"/>
      <c r="HK13" s="124"/>
      <c r="HL13" s="124"/>
      <c r="HM13" s="124"/>
      <c r="HN13" s="124"/>
      <c r="HO13" s="124"/>
      <c r="HP13" s="124"/>
      <c r="HQ13" s="124"/>
      <c r="HR13" s="124"/>
      <c r="HS13" s="124"/>
      <c r="HT13" s="124"/>
      <c r="HU13" s="124"/>
      <c r="HV13" s="124"/>
      <c r="HW13" s="124"/>
      <c r="HX13" s="124"/>
      <c r="HY13" s="124"/>
      <c r="HZ13" s="124"/>
      <c r="IA13" s="124"/>
      <c r="IB13" s="124"/>
      <c r="IC13" s="124"/>
      <c r="ID13" s="124"/>
      <c r="IE13" s="124"/>
      <c r="IF13" s="124"/>
      <c r="IG13" s="124"/>
      <c r="IH13" s="124"/>
      <c r="II13" s="124"/>
      <c r="IJ13" s="124"/>
      <c r="IK13" s="124"/>
      <c r="IL13" s="124"/>
      <c r="IM13" s="124"/>
      <c r="IN13" s="124"/>
      <c r="IO13" s="124"/>
      <c r="IP13" s="124"/>
      <c r="IQ13" s="124"/>
    </row>
    <row r="14" spans="1:251" ht="24.9" customHeight="1">
      <c r="A14" s="149">
        <v>10</v>
      </c>
      <c r="B14" s="125"/>
      <c r="C14" s="125">
        <v>68150</v>
      </c>
      <c r="D14" s="125">
        <v>229362</v>
      </c>
      <c r="E14" s="126">
        <v>49</v>
      </c>
      <c r="F14" s="126">
        <v>32</v>
      </c>
      <c r="G14" s="224"/>
      <c r="H14" s="125">
        <v>125096</v>
      </c>
      <c r="I14" s="125">
        <v>76720</v>
      </c>
      <c r="J14" s="125">
        <v>20</v>
      </c>
      <c r="K14" s="125">
        <v>14474</v>
      </c>
      <c r="L14" s="126">
        <v>9</v>
      </c>
      <c r="M14" s="128">
        <v>11791</v>
      </c>
      <c r="N14" s="129">
        <v>8</v>
      </c>
      <c r="O14" s="128">
        <v>22021</v>
      </c>
      <c r="P14" s="129">
        <v>5</v>
      </c>
      <c r="Q14" s="183">
        <v>56835</v>
      </c>
      <c r="R14" s="184">
        <v>4</v>
      </c>
      <c r="S14" s="183">
        <v>25287</v>
      </c>
      <c r="T14" s="101">
        <v>1</v>
      </c>
      <c r="U14" s="183">
        <v>9514</v>
      </c>
      <c r="V14" s="105">
        <v>1499</v>
      </c>
      <c r="W14" s="101">
        <v>7</v>
      </c>
      <c r="X14" s="104">
        <v>32457</v>
      </c>
      <c r="Y14" s="101">
        <v>17</v>
      </c>
      <c r="Z14" s="185">
        <v>7831</v>
      </c>
      <c r="AA14" s="185">
        <v>6966</v>
      </c>
      <c r="AB14" s="101">
        <v>0</v>
      </c>
      <c r="AC14" s="105">
        <v>2157</v>
      </c>
      <c r="AD14" s="104">
        <v>1553</v>
      </c>
      <c r="AE14" s="101">
        <v>3</v>
      </c>
      <c r="AF14" s="133">
        <v>12</v>
      </c>
      <c r="AG14" s="218">
        <v>193246</v>
      </c>
      <c r="AH14" s="155">
        <v>116</v>
      </c>
      <c r="AI14" s="134">
        <v>115</v>
      </c>
      <c r="AJ14" s="134">
        <v>-1</v>
      </c>
      <c r="AK14" s="99">
        <v>1597270</v>
      </c>
      <c r="AL14" s="99">
        <v>1962</v>
      </c>
      <c r="AM14" s="99">
        <v>59101</v>
      </c>
      <c r="AN14" s="100">
        <v>37</v>
      </c>
      <c r="AO14" s="105">
        <v>116006</v>
      </c>
      <c r="AP14" s="101">
        <v>573</v>
      </c>
      <c r="AQ14" s="105">
        <v>114836</v>
      </c>
      <c r="AR14" s="101">
        <v>0</v>
      </c>
      <c r="AS14" s="105">
        <v>1658333</v>
      </c>
      <c r="AT14" s="102">
        <v>1999</v>
      </c>
      <c r="AU14" s="134">
        <v>2400</v>
      </c>
      <c r="AV14" s="134">
        <v>401</v>
      </c>
      <c r="AW14" s="105">
        <v>27.45</v>
      </c>
      <c r="AX14" s="105">
        <v>0</v>
      </c>
      <c r="AY14" s="105">
        <v>0</v>
      </c>
      <c r="AZ14" s="104"/>
      <c r="BA14" s="105">
        <v>12648.04</v>
      </c>
      <c r="BB14" s="101">
        <v>15180.000000003201</v>
      </c>
      <c r="BC14" s="184">
        <v>27.45</v>
      </c>
      <c r="BD14" s="105">
        <v>0</v>
      </c>
      <c r="BE14" s="135">
        <v>0</v>
      </c>
      <c r="BF14" s="105">
        <v>12648.04</v>
      </c>
      <c r="BG14" s="105">
        <v>3.4500000000007276</v>
      </c>
      <c r="BH14" s="135">
        <v>15180.000000003201</v>
      </c>
      <c r="BI14" s="135">
        <v>15180.000000003201</v>
      </c>
      <c r="BJ14" s="161">
        <v>15148.000000003201</v>
      </c>
      <c r="BK14" s="135">
        <v>24239.86</v>
      </c>
      <c r="BL14" s="135">
        <v>1045.0000000000728</v>
      </c>
      <c r="BM14" s="186">
        <v>16225.000000003274</v>
      </c>
      <c r="BN14" s="134">
        <v>16000</v>
      </c>
      <c r="BO14" s="134">
        <v>-225.00000000327418</v>
      </c>
      <c r="BP14" s="219">
        <v>2849969</v>
      </c>
      <c r="BQ14" s="135">
        <v>20</v>
      </c>
      <c r="BR14" s="187">
        <v>3823198</v>
      </c>
      <c r="BS14" s="135">
        <v>12</v>
      </c>
      <c r="BT14" s="126">
        <v>32</v>
      </c>
      <c r="BU14" s="124">
        <v>68</v>
      </c>
      <c r="BV14" s="124">
        <v>89</v>
      </c>
      <c r="BW14" s="140"/>
      <c r="BX14" s="140"/>
      <c r="BY14" s="140"/>
      <c r="BZ14" s="140"/>
      <c r="CA14" s="140"/>
      <c r="CB14" s="140"/>
      <c r="CC14" s="140"/>
      <c r="CD14" s="140"/>
      <c r="CE14" s="140"/>
      <c r="CF14" s="140"/>
      <c r="CG14" s="140"/>
      <c r="CH14" s="124"/>
      <c r="CI14" s="124"/>
      <c r="CJ14" s="124"/>
      <c r="CK14" s="124"/>
      <c r="CL14" s="124"/>
      <c r="CM14" s="124"/>
      <c r="CN14" s="124"/>
      <c r="CO14" s="124"/>
      <c r="CP14" s="124"/>
      <c r="CQ14" s="124"/>
      <c r="CR14" s="124"/>
      <c r="CS14" s="124"/>
      <c r="CT14" s="124"/>
      <c r="CU14" s="124"/>
      <c r="CV14" s="124"/>
      <c r="CW14" s="124"/>
      <c r="CX14" s="124"/>
      <c r="CY14" s="124"/>
      <c r="CZ14" s="124"/>
      <c r="DA14" s="124"/>
      <c r="DB14" s="124"/>
      <c r="DC14" s="124"/>
      <c r="DD14" s="124"/>
      <c r="DE14" s="124"/>
      <c r="DF14" s="124"/>
      <c r="DG14" s="124"/>
      <c r="DH14" s="124"/>
      <c r="DI14" s="124"/>
      <c r="DJ14" s="124"/>
      <c r="DK14" s="124"/>
      <c r="DL14" s="124"/>
      <c r="DM14" s="124"/>
      <c r="DN14" s="124"/>
      <c r="DO14" s="124"/>
      <c r="DP14" s="124"/>
      <c r="DQ14" s="124"/>
      <c r="DR14" s="124"/>
      <c r="DS14" s="124"/>
      <c r="DT14" s="124"/>
      <c r="DU14" s="124"/>
      <c r="DV14" s="124"/>
      <c r="DW14" s="124"/>
      <c r="DX14" s="124"/>
      <c r="DY14" s="124"/>
      <c r="DZ14" s="124"/>
      <c r="EA14" s="124"/>
      <c r="EB14" s="124"/>
      <c r="EC14" s="124"/>
      <c r="ED14" s="124"/>
      <c r="EE14" s="124"/>
      <c r="EF14" s="124"/>
      <c r="EG14" s="124"/>
      <c r="EH14" s="124"/>
      <c r="EI14" s="124"/>
      <c r="EJ14" s="124"/>
      <c r="EK14" s="124"/>
      <c r="EL14" s="124"/>
      <c r="EM14" s="124"/>
      <c r="EN14" s="124"/>
      <c r="EO14" s="124"/>
      <c r="EP14" s="124"/>
      <c r="EQ14" s="124"/>
      <c r="ER14" s="124"/>
      <c r="ES14" s="124"/>
      <c r="ET14" s="124"/>
      <c r="EU14" s="124"/>
      <c r="EV14" s="124"/>
      <c r="EW14" s="124"/>
      <c r="EX14" s="124"/>
      <c r="EY14" s="124"/>
      <c r="EZ14" s="124"/>
      <c r="FA14" s="124"/>
      <c r="FB14" s="124"/>
      <c r="FC14" s="124"/>
      <c r="FD14" s="124"/>
      <c r="FE14" s="124"/>
      <c r="FF14" s="124"/>
      <c r="FG14" s="124"/>
      <c r="FH14" s="124"/>
      <c r="FI14" s="124"/>
      <c r="FJ14" s="124"/>
      <c r="FK14" s="124"/>
      <c r="FL14" s="124"/>
      <c r="FM14" s="124"/>
      <c r="FN14" s="124"/>
      <c r="FO14" s="124"/>
      <c r="FP14" s="124"/>
      <c r="FQ14" s="124"/>
      <c r="FR14" s="124"/>
      <c r="FS14" s="124"/>
      <c r="FT14" s="124"/>
      <c r="FU14" s="124"/>
      <c r="FV14" s="124"/>
      <c r="FW14" s="124"/>
      <c r="FX14" s="124"/>
      <c r="FY14" s="124"/>
      <c r="FZ14" s="124"/>
      <c r="GA14" s="124"/>
      <c r="GB14" s="124"/>
      <c r="GC14" s="124"/>
      <c r="GD14" s="124"/>
      <c r="GE14" s="124"/>
      <c r="GF14" s="124"/>
      <c r="GG14" s="124"/>
      <c r="GH14" s="124"/>
      <c r="GI14" s="124"/>
      <c r="GJ14" s="124"/>
      <c r="GK14" s="124"/>
      <c r="GL14" s="124"/>
      <c r="GM14" s="124"/>
      <c r="GN14" s="124"/>
      <c r="GO14" s="124"/>
      <c r="GP14" s="124"/>
      <c r="GQ14" s="124"/>
      <c r="GR14" s="124"/>
      <c r="GS14" s="124"/>
      <c r="GT14" s="124"/>
      <c r="GU14" s="124"/>
      <c r="GV14" s="124"/>
      <c r="GW14" s="124"/>
      <c r="GX14" s="124"/>
      <c r="GY14" s="124"/>
      <c r="GZ14" s="124"/>
      <c r="HA14" s="124"/>
      <c r="HB14" s="124"/>
      <c r="HC14" s="124"/>
      <c r="HD14" s="124"/>
      <c r="HE14" s="124"/>
      <c r="HF14" s="124"/>
      <c r="HG14" s="124"/>
      <c r="HH14" s="124"/>
      <c r="HI14" s="124"/>
      <c r="HJ14" s="124"/>
      <c r="HK14" s="124"/>
      <c r="HL14" s="124"/>
      <c r="HM14" s="124"/>
      <c r="HN14" s="124"/>
      <c r="HO14" s="124"/>
      <c r="HP14" s="124"/>
      <c r="HQ14" s="124"/>
      <c r="HR14" s="124"/>
      <c r="HS14" s="124"/>
      <c r="HT14" s="124"/>
      <c r="HU14" s="124"/>
      <c r="HV14" s="124"/>
      <c r="HW14" s="124"/>
      <c r="HX14" s="124"/>
      <c r="HY14" s="124"/>
      <c r="HZ14" s="124"/>
      <c r="IA14" s="124"/>
      <c r="IB14" s="124"/>
      <c r="IC14" s="124"/>
      <c r="ID14" s="124"/>
      <c r="IE14" s="124"/>
      <c r="IF14" s="124"/>
      <c r="IG14" s="124"/>
      <c r="IH14" s="124"/>
      <c r="II14" s="124"/>
      <c r="IJ14" s="124"/>
      <c r="IK14" s="124"/>
      <c r="IL14" s="124"/>
      <c r="IM14" s="124"/>
      <c r="IN14" s="124"/>
      <c r="IO14" s="124"/>
      <c r="IP14" s="124"/>
      <c r="IQ14" s="124"/>
    </row>
    <row r="15" spans="1:251" ht="24.9" customHeight="1">
      <c r="A15" s="149">
        <v>11</v>
      </c>
      <c r="B15" s="125"/>
      <c r="C15" s="125">
        <v>68179</v>
      </c>
      <c r="D15" s="125">
        <v>229412</v>
      </c>
      <c r="E15" s="126">
        <v>50</v>
      </c>
      <c r="F15" s="126">
        <v>37</v>
      </c>
      <c r="G15" s="224"/>
      <c r="H15" s="125">
        <v>125178</v>
      </c>
      <c r="I15" s="125">
        <v>76738</v>
      </c>
      <c r="J15" s="125">
        <v>18</v>
      </c>
      <c r="K15" s="125">
        <v>14479</v>
      </c>
      <c r="L15" s="126">
        <v>5</v>
      </c>
      <c r="M15" s="128">
        <v>11798</v>
      </c>
      <c r="N15" s="129">
        <v>7</v>
      </c>
      <c r="O15" s="128">
        <v>22026</v>
      </c>
      <c r="P15" s="129">
        <v>5</v>
      </c>
      <c r="Q15" s="183">
        <v>56837</v>
      </c>
      <c r="R15" s="184">
        <v>2</v>
      </c>
      <c r="S15" s="183">
        <v>25288</v>
      </c>
      <c r="T15" s="101">
        <v>1</v>
      </c>
      <c r="U15" s="183">
        <v>9514</v>
      </c>
      <c r="V15" s="105">
        <v>1506</v>
      </c>
      <c r="W15" s="101">
        <v>7</v>
      </c>
      <c r="X15" s="104">
        <v>32470</v>
      </c>
      <c r="Y15" s="101">
        <v>13</v>
      </c>
      <c r="Z15" s="185">
        <v>7832</v>
      </c>
      <c r="AA15" s="185">
        <v>6967</v>
      </c>
      <c r="AB15" s="101">
        <v>2</v>
      </c>
      <c r="AC15" s="105">
        <v>2158</v>
      </c>
      <c r="AD15" s="104">
        <v>1555</v>
      </c>
      <c r="AE15" s="101">
        <v>3</v>
      </c>
      <c r="AF15" s="133">
        <v>10</v>
      </c>
      <c r="AG15" s="218">
        <v>193357</v>
      </c>
      <c r="AH15" s="155">
        <v>111</v>
      </c>
      <c r="AI15" s="134">
        <v>115</v>
      </c>
      <c r="AJ15" s="134">
        <v>4</v>
      </c>
      <c r="AK15" s="99">
        <v>1599574</v>
      </c>
      <c r="AL15" s="99">
        <v>2304</v>
      </c>
      <c r="AM15" s="99">
        <v>59138</v>
      </c>
      <c r="AN15" s="100">
        <v>37</v>
      </c>
      <c r="AO15" s="105">
        <v>116505</v>
      </c>
      <c r="AP15" s="101">
        <v>499</v>
      </c>
      <c r="AQ15" s="105">
        <v>114836</v>
      </c>
      <c r="AR15" s="101">
        <v>0</v>
      </c>
      <c r="AS15" s="105">
        <v>1661016</v>
      </c>
      <c r="AT15" s="102">
        <v>2341</v>
      </c>
      <c r="AU15" s="134">
        <v>2400</v>
      </c>
      <c r="AV15" s="134">
        <v>59</v>
      </c>
      <c r="AW15" s="105">
        <v>27.45</v>
      </c>
      <c r="AX15" s="105">
        <v>0</v>
      </c>
      <c r="AY15" s="105">
        <v>0</v>
      </c>
      <c r="AZ15" s="104"/>
      <c r="BA15" s="105">
        <v>12651.34</v>
      </c>
      <c r="BB15" s="101">
        <v>14519.999999996799</v>
      </c>
      <c r="BC15" s="184">
        <v>27.45</v>
      </c>
      <c r="BD15" s="105">
        <v>0</v>
      </c>
      <c r="BE15" s="135">
        <v>0</v>
      </c>
      <c r="BF15" s="105">
        <v>12651.34</v>
      </c>
      <c r="BG15" s="105">
        <v>3.2999999999992724</v>
      </c>
      <c r="BH15" s="135">
        <v>14519.999999996799</v>
      </c>
      <c r="BI15" s="135">
        <v>14519.999999996799</v>
      </c>
      <c r="BJ15" s="161">
        <v>14487.999999996799</v>
      </c>
      <c r="BK15" s="135">
        <v>24248.87</v>
      </c>
      <c r="BL15" s="135">
        <v>900.99999999983993</v>
      </c>
      <c r="BM15" s="186">
        <v>15420.999999996639</v>
      </c>
      <c r="BN15" s="134">
        <v>16000</v>
      </c>
      <c r="BO15" s="134">
        <v>579.00000000336149</v>
      </c>
      <c r="BP15" s="219">
        <v>2849989</v>
      </c>
      <c r="BQ15" s="135">
        <v>20</v>
      </c>
      <c r="BR15" s="187">
        <v>3823210</v>
      </c>
      <c r="BS15" s="135">
        <v>12</v>
      </c>
      <c r="BT15" s="126">
        <v>32</v>
      </c>
      <c r="BU15" s="124">
        <v>76</v>
      </c>
      <c r="BV15" s="124">
        <v>100</v>
      </c>
      <c r="BW15" s="140"/>
      <c r="BX15" s="140"/>
      <c r="BY15" s="140"/>
      <c r="BZ15" s="140"/>
      <c r="CA15" s="140"/>
      <c r="CB15" s="140"/>
      <c r="CC15" s="140"/>
      <c r="CD15" s="140"/>
      <c r="CE15" s="140"/>
      <c r="CF15" s="140"/>
      <c r="CG15" s="140"/>
      <c r="CH15" s="124"/>
      <c r="CI15" s="124"/>
      <c r="CJ15" s="124"/>
      <c r="CK15" s="124"/>
      <c r="CL15" s="124"/>
      <c r="CM15" s="124"/>
      <c r="CN15" s="124"/>
      <c r="CO15" s="124"/>
      <c r="CP15" s="124"/>
      <c r="CQ15" s="124"/>
      <c r="CR15" s="124"/>
      <c r="CS15" s="124"/>
      <c r="CT15" s="124"/>
      <c r="CU15" s="124"/>
      <c r="CV15" s="124"/>
      <c r="CW15" s="124"/>
      <c r="CX15" s="124"/>
      <c r="CY15" s="124"/>
      <c r="CZ15" s="124"/>
      <c r="DA15" s="124"/>
      <c r="DB15" s="124"/>
      <c r="DC15" s="124"/>
      <c r="DD15" s="124"/>
      <c r="DE15" s="124"/>
      <c r="DF15" s="124"/>
      <c r="DG15" s="124"/>
      <c r="DH15" s="124"/>
      <c r="DI15" s="124"/>
      <c r="DJ15" s="124"/>
      <c r="DK15" s="124"/>
      <c r="DL15" s="124"/>
      <c r="DM15" s="124"/>
      <c r="DN15" s="124"/>
      <c r="DO15" s="124"/>
      <c r="DP15" s="124"/>
      <c r="DQ15" s="124"/>
      <c r="DR15" s="124"/>
      <c r="DS15" s="124"/>
      <c r="DT15" s="124"/>
      <c r="DU15" s="124"/>
      <c r="DV15" s="124"/>
      <c r="DW15" s="124"/>
      <c r="DX15" s="124"/>
      <c r="DY15" s="124"/>
      <c r="DZ15" s="124"/>
      <c r="EA15" s="124"/>
      <c r="EB15" s="124"/>
      <c r="EC15" s="124"/>
      <c r="ED15" s="124"/>
      <c r="EE15" s="124"/>
      <c r="EF15" s="124"/>
      <c r="EG15" s="124"/>
      <c r="EH15" s="124"/>
      <c r="EI15" s="124"/>
      <c r="EJ15" s="124"/>
      <c r="EK15" s="124"/>
      <c r="EL15" s="124"/>
      <c r="EM15" s="124"/>
      <c r="EN15" s="124"/>
      <c r="EO15" s="124"/>
      <c r="EP15" s="124"/>
      <c r="EQ15" s="124"/>
      <c r="ER15" s="124"/>
      <c r="ES15" s="124"/>
      <c r="ET15" s="124"/>
      <c r="EU15" s="124"/>
      <c r="EV15" s="124"/>
      <c r="EW15" s="124"/>
      <c r="EX15" s="124"/>
      <c r="EY15" s="124"/>
      <c r="EZ15" s="124"/>
      <c r="FA15" s="124"/>
      <c r="FB15" s="124"/>
      <c r="FC15" s="124"/>
      <c r="FD15" s="124"/>
      <c r="FE15" s="124"/>
      <c r="FF15" s="124"/>
      <c r="FG15" s="124"/>
      <c r="FH15" s="124"/>
      <c r="FI15" s="124"/>
      <c r="FJ15" s="124"/>
      <c r="FK15" s="124"/>
      <c r="FL15" s="124"/>
      <c r="FM15" s="124"/>
      <c r="FN15" s="124"/>
      <c r="FO15" s="124"/>
      <c r="FP15" s="124"/>
      <c r="FQ15" s="124"/>
      <c r="FR15" s="124"/>
      <c r="FS15" s="124"/>
      <c r="FT15" s="124"/>
      <c r="FU15" s="124"/>
      <c r="FV15" s="124"/>
      <c r="FW15" s="124"/>
      <c r="FX15" s="124"/>
      <c r="FY15" s="124"/>
      <c r="FZ15" s="124"/>
      <c r="GA15" s="124"/>
      <c r="GB15" s="124"/>
      <c r="GC15" s="124"/>
      <c r="GD15" s="124"/>
      <c r="GE15" s="124"/>
      <c r="GF15" s="124"/>
      <c r="GG15" s="124"/>
      <c r="GH15" s="124"/>
      <c r="GI15" s="124"/>
      <c r="GJ15" s="124"/>
      <c r="GK15" s="124"/>
      <c r="GL15" s="124"/>
      <c r="GM15" s="124"/>
      <c r="GN15" s="124"/>
      <c r="GO15" s="124"/>
      <c r="GP15" s="124"/>
      <c r="GQ15" s="124"/>
      <c r="GR15" s="124"/>
      <c r="GS15" s="124"/>
      <c r="GT15" s="124"/>
      <c r="GU15" s="124"/>
      <c r="GV15" s="124"/>
      <c r="GW15" s="124"/>
      <c r="GX15" s="124"/>
      <c r="GY15" s="124"/>
      <c r="GZ15" s="124"/>
      <c r="HA15" s="124"/>
      <c r="HB15" s="124"/>
      <c r="HC15" s="124"/>
      <c r="HD15" s="124"/>
      <c r="HE15" s="124"/>
      <c r="HF15" s="124"/>
      <c r="HG15" s="124"/>
      <c r="HH15" s="124"/>
      <c r="HI15" s="124"/>
      <c r="HJ15" s="124"/>
      <c r="HK15" s="124"/>
      <c r="HL15" s="124"/>
      <c r="HM15" s="124"/>
      <c r="HN15" s="124"/>
      <c r="HO15" s="124"/>
      <c r="HP15" s="124"/>
      <c r="HQ15" s="124"/>
      <c r="HR15" s="124"/>
      <c r="HS15" s="124"/>
      <c r="HT15" s="124"/>
      <c r="HU15" s="124"/>
      <c r="HV15" s="124"/>
      <c r="HW15" s="124"/>
      <c r="HX15" s="124"/>
      <c r="HY15" s="124"/>
      <c r="HZ15" s="124"/>
      <c r="IA15" s="124"/>
      <c r="IB15" s="124"/>
      <c r="IC15" s="124"/>
      <c r="ID15" s="124"/>
      <c r="IE15" s="124"/>
      <c r="IF15" s="124"/>
      <c r="IG15" s="124"/>
      <c r="IH15" s="124"/>
      <c r="II15" s="124"/>
      <c r="IJ15" s="124"/>
      <c r="IK15" s="124"/>
      <c r="IL15" s="124"/>
      <c r="IM15" s="124"/>
      <c r="IN15" s="124"/>
      <c r="IO15" s="124"/>
      <c r="IP15" s="124"/>
      <c r="IQ15" s="124"/>
    </row>
    <row r="16" spans="1:251" ht="24.9" customHeight="1">
      <c r="A16" s="149">
        <v>12</v>
      </c>
      <c r="B16" s="125"/>
      <c r="C16" s="125">
        <v>68248</v>
      </c>
      <c r="D16" s="125">
        <v>229470</v>
      </c>
      <c r="E16" s="126">
        <v>58</v>
      </c>
      <c r="F16" s="126">
        <v>47</v>
      </c>
      <c r="G16" s="224"/>
      <c r="H16" s="125">
        <v>125228</v>
      </c>
      <c r="I16" s="125">
        <v>76756</v>
      </c>
      <c r="J16" s="125">
        <v>18</v>
      </c>
      <c r="K16" s="125">
        <v>14480</v>
      </c>
      <c r="L16" s="126">
        <v>1</v>
      </c>
      <c r="M16" s="128">
        <v>11806</v>
      </c>
      <c r="N16" s="129">
        <v>8</v>
      </c>
      <c r="O16" s="128">
        <v>22034</v>
      </c>
      <c r="P16" s="129">
        <v>8</v>
      </c>
      <c r="Q16" s="183">
        <v>56838</v>
      </c>
      <c r="R16" s="184">
        <v>1</v>
      </c>
      <c r="S16" s="183">
        <v>25289</v>
      </c>
      <c r="T16" s="101">
        <v>1</v>
      </c>
      <c r="U16" s="183">
        <v>9514</v>
      </c>
      <c r="V16" s="105">
        <v>1512</v>
      </c>
      <c r="W16" s="101">
        <v>6</v>
      </c>
      <c r="X16" s="104">
        <v>32481</v>
      </c>
      <c r="Y16" s="101">
        <v>11</v>
      </c>
      <c r="Z16" s="185">
        <v>7832</v>
      </c>
      <c r="AA16" s="185">
        <v>6968</v>
      </c>
      <c r="AB16" s="101">
        <v>1</v>
      </c>
      <c r="AC16" s="105">
        <v>2159</v>
      </c>
      <c r="AD16" s="104">
        <v>1556</v>
      </c>
      <c r="AE16" s="101">
        <v>2</v>
      </c>
      <c r="AF16" s="133">
        <v>8</v>
      </c>
      <c r="AG16" s="218">
        <v>193476</v>
      </c>
      <c r="AH16" s="155">
        <v>119</v>
      </c>
      <c r="AI16" s="134">
        <v>115</v>
      </c>
      <c r="AJ16" s="134">
        <v>-4</v>
      </c>
      <c r="AK16" s="99">
        <v>1602086</v>
      </c>
      <c r="AL16" s="99">
        <v>2512</v>
      </c>
      <c r="AM16" s="99">
        <v>59174</v>
      </c>
      <c r="AN16" s="100">
        <v>36</v>
      </c>
      <c r="AO16" s="105">
        <v>116836</v>
      </c>
      <c r="AP16" s="101">
        <v>331</v>
      </c>
      <c r="AQ16" s="105">
        <v>115965</v>
      </c>
      <c r="AR16" s="101">
        <v>1129</v>
      </c>
      <c r="AS16" s="105">
        <v>1663772</v>
      </c>
      <c r="AT16" s="102">
        <v>2548</v>
      </c>
      <c r="AU16" s="134">
        <v>2400</v>
      </c>
      <c r="AV16" s="134">
        <v>-148</v>
      </c>
      <c r="AW16" s="105">
        <v>27.45</v>
      </c>
      <c r="AX16" s="105">
        <v>0</v>
      </c>
      <c r="AY16" s="105">
        <v>0</v>
      </c>
      <c r="AZ16" s="104"/>
      <c r="BA16" s="105">
        <v>12654.65</v>
      </c>
      <c r="BB16" s="101">
        <v>14563.999999997759</v>
      </c>
      <c r="BC16" s="184">
        <v>27.45</v>
      </c>
      <c r="BD16" s="105">
        <v>0</v>
      </c>
      <c r="BE16" s="135">
        <v>0</v>
      </c>
      <c r="BF16" s="105">
        <v>12654.65</v>
      </c>
      <c r="BG16" s="105">
        <v>3.3099999999994907</v>
      </c>
      <c r="BH16" s="135">
        <v>14563.999999997759</v>
      </c>
      <c r="BI16" s="135">
        <v>14563.999999997759</v>
      </c>
      <c r="BJ16" s="161">
        <v>14533.999999997759</v>
      </c>
      <c r="BK16" s="135">
        <v>24258.05</v>
      </c>
      <c r="BL16" s="135">
        <v>918.0000000000291</v>
      </c>
      <c r="BM16" s="186">
        <v>15481.999999997788</v>
      </c>
      <c r="BN16" s="134">
        <v>16000</v>
      </c>
      <c r="BO16" s="134">
        <v>518.00000000221189</v>
      </c>
      <c r="BP16" s="219">
        <v>2850007</v>
      </c>
      <c r="BQ16" s="135">
        <v>18</v>
      </c>
      <c r="BR16" s="187">
        <v>3823222</v>
      </c>
      <c r="BS16" s="135">
        <v>12</v>
      </c>
      <c r="BT16" s="126">
        <v>30</v>
      </c>
      <c r="BU16" s="124">
        <v>68</v>
      </c>
      <c r="BV16" s="124">
        <v>91</v>
      </c>
      <c r="BW16" s="140"/>
      <c r="BX16" s="140"/>
      <c r="BY16" s="140"/>
      <c r="BZ16" s="140"/>
      <c r="CA16" s="140"/>
      <c r="CB16" s="140"/>
      <c r="CC16" s="140"/>
      <c r="CD16" s="140"/>
      <c r="CE16" s="140"/>
      <c r="CF16" s="140"/>
      <c r="CG16" s="140"/>
      <c r="CH16" s="124"/>
      <c r="CI16" s="124"/>
      <c r="CJ16" s="124"/>
      <c r="CK16" s="124"/>
      <c r="CL16" s="124"/>
      <c r="CM16" s="124"/>
      <c r="CN16" s="124"/>
      <c r="CO16" s="124"/>
      <c r="CP16" s="124"/>
      <c r="CQ16" s="124"/>
      <c r="CR16" s="124"/>
      <c r="CS16" s="124"/>
      <c r="CT16" s="124"/>
      <c r="CU16" s="124"/>
      <c r="CV16" s="124"/>
      <c r="CW16" s="124"/>
      <c r="CX16" s="124"/>
      <c r="CY16" s="124"/>
      <c r="CZ16" s="124"/>
      <c r="DA16" s="124"/>
      <c r="DB16" s="124"/>
      <c r="DC16" s="124"/>
      <c r="DD16" s="124"/>
      <c r="DE16" s="124"/>
      <c r="DF16" s="124"/>
      <c r="DG16" s="124"/>
      <c r="DH16" s="124"/>
      <c r="DI16" s="124"/>
      <c r="DJ16" s="124"/>
      <c r="DK16" s="124"/>
      <c r="DL16" s="124"/>
      <c r="DM16" s="124"/>
      <c r="DN16" s="124"/>
      <c r="DO16" s="124"/>
      <c r="DP16" s="124"/>
      <c r="DQ16" s="124"/>
      <c r="DR16" s="124"/>
      <c r="DS16" s="124"/>
      <c r="DT16" s="124"/>
      <c r="DU16" s="124"/>
      <c r="DV16" s="124"/>
      <c r="DW16" s="124"/>
      <c r="DX16" s="124"/>
      <c r="DY16" s="124"/>
      <c r="DZ16" s="124"/>
      <c r="EA16" s="124"/>
      <c r="EB16" s="124"/>
      <c r="EC16" s="124"/>
      <c r="ED16" s="124"/>
      <c r="EE16" s="124"/>
      <c r="EF16" s="124"/>
      <c r="EG16" s="124"/>
      <c r="EH16" s="124"/>
      <c r="EI16" s="124"/>
      <c r="EJ16" s="124"/>
      <c r="EK16" s="124"/>
      <c r="EL16" s="124"/>
      <c r="EM16" s="124"/>
      <c r="EN16" s="124"/>
      <c r="EO16" s="124"/>
      <c r="EP16" s="124"/>
      <c r="EQ16" s="124"/>
      <c r="ER16" s="124"/>
      <c r="ES16" s="124"/>
      <c r="ET16" s="124"/>
      <c r="EU16" s="124"/>
      <c r="EV16" s="124"/>
      <c r="EW16" s="124"/>
      <c r="EX16" s="124"/>
      <c r="EY16" s="124"/>
      <c r="EZ16" s="124"/>
      <c r="FA16" s="124"/>
      <c r="FB16" s="124"/>
      <c r="FC16" s="124"/>
      <c r="FD16" s="124"/>
      <c r="FE16" s="124"/>
      <c r="FF16" s="124"/>
      <c r="FG16" s="124"/>
      <c r="FH16" s="124"/>
      <c r="FI16" s="124"/>
      <c r="FJ16" s="124"/>
      <c r="FK16" s="124"/>
      <c r="FL16" s="124"/>
      <c r="FM16" s="124"/>
      <c r="FN16" s="124"/>
      <c r="FO16" s="124"/>
      <c r="FP16" s="124"/>
      <c r="FQ16" s="124"/>
      <c r="FR16" s="124"/>
      <c r="FS16" s="124"/>
      <c r="FT16" s="124"/>
      <c r="FU16" s="124"/>
      <c r="FV16" s="124"/>
      <c r="FW16" s="124"/>
      <c r="FX16" s="124"/>
      <c r="FY16" s="124"/>
      <c r="FZ16" s="124"/>
      <c r="GA16" s="124"/>
      <c r="GB16" s="124"/>
      <c r="GC16" s="124"/>
      <c r="GD16" s="124"/>
      <c r="GE16" s="124"/>
      <c r="GF16" s="124"/>
      <c r="GG16" s="124"/>
      <c r="GH16" s="124"/>
      <c r="GI16" s="124"/>
      <c r="GJ16" s="124"/>
      <c r="GK16" s="124"/>
      <c r="GL16" s="124"/>
      <c r="GM16" s="124"/>
      <c r="GN16" s="124"/>
      <c r="GO16" s="124"/>
      <c r="GP16" s="124"/>
      <c r="GQ16" s="124"/>
      <c r="GR16" s="124"/>
      <c r="GS16" s="124"/>
      <c r="GT16" s="124"/>
      <c r="GU16" s="124"/>
      <c r="GV16" s="124"/>
      <c r="GW16" s="124"/>
      <c r="GX16" s="124"/>
      <c r="GY16" s="124"/>
      <c r="GZ16" s="124"/>
      <c r="HA16" s="124"/>
      <c r="HB16" s="124"/>
      <c r="HC16" s="124"/>
      <c r="HD16" s="124"/>
      <c r="HE16" s="124"/>
      <c r="HF16" s="124"/>
      <c r="HG16" s="124"/>
      <c r="HH16" s="124"/>
      <c r="HI16" s="124"/>
      <c r="HJ16" s="124"/>
      <c r="HK16" s="124"/>
      <c r="HL16" s="124"/>
      <c r="HM16" s="124"/>
      <c r="HN16" s="124"/>
      <c r="HO16" s="124"/>
      <c r="HP16" s="124"/>
      <c r="HQ16" s="124"/>
      <c r="HR16" s="124"/>
      <c r="HS16" s="124"/>
      <c r="HT16" s="124"/>
      <c r="HU16" s="124"/>
      <c r="HV16" s="124"/>
      <c r="HW16" s="124"/>
      <c r="HX16" s="124"/>
      <c r="HY16" s="124"/>
      <c r="HZ16" s="124"/>
      <c r="IA16" s="124"/>
      <c r="IB16" s="124"/>
      <c r="IC16" s="124"/>
      <c r="ID16" s="124"/>
      <c r="IE16" s="124"/>
      <c r="IF16" s="124"/>
      <c r="IG16" s="124"/>
      <c r="IH16" s="124"/>
      <c r="II16" s="124"/>
      <c r="IJ16" s="124"/>
      <c r="IK16" s="124"/>
      <c r="IL16" s="124"/>
      <c r="IM16" s="124"/>
      <c r="IN16" s="124"/>
      <c r="IO16" s="124"/>
      <c r="IP16" s="124"/>
      <c r="IQ16" s="124"/>
    </row>
    <row r="17" spans="1:251" ht="24.9" customHeight="1">
      <c r="A17" s="149">
        <v>13</v>
      </c>
      <c r="B17" s="125"/>
      <c r="C17" s="125">
        <v>68300</v>
      </c>
      <c r="D17" s="125">
        <v>229523</v>
      </c>
      <c r="E17" s="126">
        <v>53</v>
      </c>
      <c r="F17" s="126">
        <v>39</v>
      </c>
      <c r="G17" s="224"/>
      <c r="H17" s="125">
        <v>125272</v>
      </c>
      <c r="I17" s="125">
        <v>76760</v>
      </c>
      <c r="J17" s="125">
        <v>4</v>
      </c>
      <c r="K17" s="125">
        <v>14498</v>
      </c>
      <c r="L17" s="126">
        <v>18</v>
      </c>
      <c r="M17" s="128">
        <v>11812</v>
      </c>
      <c r="N17" s="129">
        <v>6</v>
      </c>
      <c r="O17" s="128">
        <v>22040</v>
      </c>
      <c r="P17" s="129">
        <v>6</v>
      </c>
      <c r="Q17" s="183">
        <v>56838</v>
      </c>
      <c r="R17" s="184">
        <v>0</v>
      </c>
      <c r="S17" s="183">
        <v>25290</v>
      </c>
      <c r="T17" s="101">
        <v>1</v>
      </c>
      <c r="U17" s="183">
        <v>9514</v>
      </c>
      <c r="V17" s="105">
        <v>1513</v>
      </c>
      <c r="W17" s="101">
        <v>1</v>
      </c>
      <c r="X17" s="104">
        <v>32495</v>
      </c>
      <c r="Y17" s="101">
        <v>14</v>
      </c>
      <c r="Z17" s="185">
        <v>7833</v>
      </c>
      <c r="AA17" s="185">
        <v>6969</v>
      </c>
      <c r="AB17" s="101">
        <v>2</v>
      </c>
      <c r="AC17" s="105">
        <v>2161</v>
      </c>
      <c r="AD17" s="104">
        <v>1557</v>
      </c>
      <c r="AE17" s="101">
        <v>3</v>
      </c>
      <c r="AF17" s="133">
        <v>2</v>
      </c>
      <c r="AG17" s="218">
        <v>193572</v>
      </c>
      <c r="AH17" s="155">
        <v>96</v>
      </c>
      <c r="AI17" s="134">
        <v>115</v>
      </c>
      <c r="AJ17" s="134">
        <v>19</v>
      </c>
      <c r="AK17" s="99">
        <v>1604000</v>
      </c>
      <c r="AL17" s="99">
        <v>1914</v>
      </c>
      <c r="AM17" s="99">
        <v>59219</v>
      </c>
      <c r="AN17" s="100">
        <v>45</v>
      </c>
      <c r="AO17" s="105">
        <v>116836</v>
      </c>
      <c r="AP17" s="101">
        <v>0</v>
      </c>
      <c r="AQ17" s="105">
        <v>117048</v>
      </c>
      <c r="AR17" s="101">
        <v>1083</v>
      </c>
      <c r="AS17" s="105">
        <v>1665133</v>
      </c>
      <c r="AT17" s="102">
        <v>1959</v>
      </c>
      <c r="AU17" s="134">
        <v>2400</v>
      </c>
      <c r="AV17" s="134">
        <v>441</v>
      </c>
      <c r="AW17" s="105">
        <v>27.45</v>
      </c>
      <c r="AX17" s="105">
        <v>0</v>
      </c>
      <c r="AY17" s="105">
        <v>0</v>
      </c>
      <c r="AZ17" s="104"/>
      <c r="BA17" s="105">
        <v>12658.15</v>
      </c>
      <c r="BB17" s="101">
        <v>15400</v>
      </c>
      <c r="BC17" s="184">
        <v>27.45</v>
      </c>
      <c r="BD17" s="105">
        <v>0</v>
      </c>
      <c r="BE17" s="135">
        <v>0</v>
      </c>
      <c r="BF17" s="105">
        <v>12658.15</v>
      </c>
      <c r="BG17" s="105">
        <v>3.5</v>
      </c>
      <c r="BH17" s="135">
        <v>15400</v>
      </c>
      <c r="BI17" s="135">
        <v>15400</v>
      </c>
      <c r="BJ17" s="161">
        <v>15368</v>
      </c>
      <c r="BK17" s="135">
        <v>24267.75</v>
      </c>
      <c r="BL17" s="135">
        <v>970.00000000007276</v>
      </c>
      <c r="BM17" s="186">
        <v>16370.000000000073</v>
      </c>
      <c r="BN17" s="134">
        <v>16000</v>
      </c>
      <c r="BO17" s="134">
        <v>-370.00000000007276</v>
      </c>
      <c r="BP17" s="219">
        <v>2850027</v>
      </c>
      <c r="BQ17" s="135">
        <v>20</v>
      </c>
      <c r="BR17" s="187">
        <v>3823234</v>
      </c>
      <c r="BS17" s="135">
        <v>12</v>
      </c>
      <c r="BT17" s="126">
        <v>32</v>
      </c>
      <c r="BU17" s="124">
        <v>73</v>
      </c>
      <c r="BV17" s="124">
        <v>102</v>
      </c>
      <c r="BW17" s="140"/>
      <c r="BX17" s="140"/>
      <c r="BY17" s="140"/>
      <c r="BZ17" s="140"/>
      <c r="CA17" s="140"/>
      <c r="CB17" s="140"/>
      <c r="CC17" s="140"/>
      <c r="CD17" s="140"/>
      <c r="CE17" s="140"/>
      <c r="CF17" s="140"/>
      <c r="CG17" s="140"/>
      <c r="CH17" s="124"/>
      <c r="CI17" s="124"/>
      <c r="CJ17" s="124"/>
      <c r="CK17" s="124"/>
      <c r="CL17" s="124"/>
      <c r="CM17" s="124"/>
      <c r="CN17" s="124"/>
      <c r="CO17" s="124"/>
      <c r="CP17" s="124"/>
      <c r="CQ17" s="124"/>
      <c r="CR17" s="124"/>
      <c r="CS17" s="124"/>
      <c r="CT17" s="124"/>
      <c r="CU17" s="124"/>
      <c r="CV17" s="124"/>
      <c r="CW17" s="124"/>
      <c r="CX17" s="124"/>
      <c r="CY17" s="124"/>
      <c r="CZ17" s="124"/>
      <c r="DA17" s="124"/>
      <c r="DB17" s="124"/>
      <c r="DC17" s="124"/>
      <c r="DD17" s="124"/>
      <c r="DE17" s="124"/>
      <c r="DF17" s="124"/>
      <c r="DG17" s="124"/>
      <c r="DH17" s="124"/>
      <c r="DI17" s="124"/>
      <c r="DJ17" s="124"/>
      <c r="DK17" s="124"/>
      <c r="DL17" s="124"/>
      <c r="DM17" s="124"/>
      <c r="DN17" s="124"/>
      <c r="DO17" s="124"/>
      <c r="DP17" s="124"/>
      <c r="DQ17" s="124"/>
      <c r="DR17" s="124"/>
      <c r="DS17" s="124"/>
      <c r="DT17" s="124"/>
      <c r="DU17" s="124"/>
      <c r="DV17" s="124"/>
      <c r="DW17" s="124"/>
      <c r="DX17" s="124"/>
      <c r="DY17" s="124"/>
      <c r="DZ17" s="124"/>
      <c r="EA17" s="124"/>
      <c r="EB17" s="124"/>
      <c r="EC17" s="124"/>
      <c r="ED17" s="124"/>
      <c r="EE17" s="124"/>
      <c r="EF17" s="124"/>
      <c r="EG17" s="124"/>
      <c r="EH17" s="124"/>
      <c r="EI17" s="124"/>
      <c r="EJ17" s="124"/>
      <c r="EK17" s="124"/>
      <c r="EL17" s="124"/>
      <c r="EM17" s="124"/>
      <c r="EN17" s="124"/>
      <c r="EO17" s="124"/>
      <c r="EP17" s="124"/>
      <c r="EQ17" s="124"/>
      <c r="ER17" s="124"/>
      <c r="ES17" s="124"/>
      <c r="ET17" s="124"/>
      <c r="EU17" s="124"/>
      <c r="EV17" s="124"/>
      <c r="EW17" s="124"/>
      <c r="EX17" s="124"/>
      <c r="EY17" s="124"/>
      <c r="EZ17" s="124"/>
      <c r="FA17" s="124"/>
      <c r="FB17" s="124"/>
      <c r="FC17" s="124"/>
      <c r="FD17" s="124"/>
      <c r="FE17" s="124"/>
      <c r="FF17" s="124"/>
      <c r="FG17" s="124"/>
      <c r="FH17" s="124"/>
      <c r="FI17" s="124"/>
      <c r="FJ17" s="124"/>
      <c r="FK17" s="124"/>
      <c r="FL17" s="124"/>
      <c r="FM17" s="124"/>
      <c r="FN17" s="124"/>
      <c r="FO17" s="124"/>
      <c r="FP17" s="124"/>
      <c r="FQ17" s="124"/>
      <c r="FR17" s="124"/>
      <c r="FS17" s="124"/>
      <c r="FT17" s="124"/>
      <c r="FU17" s="124"/>
      <c r="FV17" s="124"/>
      <c r="FW17" s="124"/>
      <c r="FX17" s="124"/>
      <c r="FY17" s="124"/>
      <c r="FZ17" s="124"/>
      <c r="GA17" s="124"/>
      <c r="GB17" s="124"/>
      <c r="GC17" s="124"/>
      <c r="GD17" s="124"/>
      <c r="GE17" s="124"/>
      <c r="GF17" s="124"/>
      <c r="GG17" s="124"/>
      <c r="GH17" s="124"/>
      <c r="GI17" s="124"/>
      <c r="GJ17" s="124"/>
      <c r="GK17" s="124"/>
      <c r="GL17" s="124"/>
      <c r="GM17" s="124"/>
      <c r="GN17" s="124"/>
      <c r="GO17" s="124"/>
      <c r="GP17" s="124"/>
      <c r="GQ17" s="124"/>
      <c r="GR17" s="124"/>
      <c r="GS17" s="124"/>
      <c r="GT17" s="124"/>
      <c r="GU17" s="124"/>
      <c r="GV17" s="124"/>
      <c r="GW17" s="124"/>
      <c r="GX17" s="124"/>
      <c r="GY17" s="124"/>
      <c r="GZ17" s="124"/>
      <c r="HA17" s="124"/>
      <c r="HB17" s="124"/>
      <c r="HC17" s="124"/>
      <c r="HD17" s="124"/>
      <c r="HE17" s="124"/>
      <c r="HF17" s="124"/>
      <c r="HG17" s="124"/>
      <c r="HH17" s="124"/>
      <c r="HI17" s="124"/>
      <c r="HJ17" s="124"/>
      <c r="HK17" s="124"/>
      <c r="HL17" s="124"/>
      <c r="HM17" s="124"/>
      <c r="HN17" s="124"/>
      <c r="HO17" s="124"/>
      <c r="HP17" s="124"/>
      <c r="HQ17" s="124"/>
      <c r="HR17" s="124"/>
      <c r="HS17" s="124"/>
      <c r="HT17" s="124"/>
      <c r="HU17" s="124"/>
      <c r="HV17" s="124"/>
      <c r="HW17" s="124"/>
      <c r="HX17" s="124"/>
      <c r="HY17" s="124"/>
      <c r="HZ17" s="124"/>
      <c r="IA17" s="124"/>
      <c r="IB17" s="124"/>
      <c r="IC17" s="124"/>
      <c r="ID17" s="124"/>
      <c r="IE17" s="124"/>
      <c r="IF17" s="124"/>
      <c r="IG17" s="124"/>
      <c r="IH17" s="124"/>
      <c r="II17" s="124"/>
      <c r="IJ17" s="124"/>
      <c r="IK17" s="124"/>
      <c r="IL17" s="124"/>
      <c r="IM17" s="124"/>
      <c r="IN17" s="124"/>
      <c r="IO17" s="124"/>
      <c r="IP17" s="124"/>
      <c r="IQ17" s="124"/>
    </row>
    <row r="18" spans="1:251" ht="24.9" customHeight="1">
      <c r="A18" s="149">
        <v>14</v>
      </c>
      <c r="B18" s="125"/>
      <c r="C18" s="125">
        <v>68379</v>
      </c>
      <c r="D18" s="125">
        <v>229587</v>
      </c>
      <c r="E18" s="126">
        <v>64</v>
      </c>
      <c r="F18" s="126">
        <v>51</v>
      </c>
      <c r="G18" s="224"/>
      <c r="H18" s="125">
        <v>125336</v>
      </c>
      <c r="I18" s="125">
        <v>76786</v>
      </c>
      <c r="J18" s="125">
        <v>26</v>
      </c>
      <c r="K18" s="125">
        <v>14510</v>
      </c>
      <c r="L18" s="126">
        <v>12</v>
      </c>
      <c r="M18" s="128">
        <v>11819</v>
      </c>
      <c r="N18" s="129">
        <v>7</v>
      </c>
      <c r="O18" s="128">
        <v>22047</v>
      </c>
      <c r="P18" s="129">
        <v>7</v>
      </c>
      <c r="Q18" s="183">
        <v>56843</v>
      </c>
      <c r="R18" s="184">
        <v>5</v>
      </c>
      <c r="S18" s="183">
        <v>25291</v>
      </c>
      <c r="T18" s="101">
        <v>1</v>
      </c>
      <c r="U18" s="183">
        <v>9514</v>
      </c>
      <c r="V18" s="105">
        <v>1521</v>
      </c>
      <c r="W18" s="101">
        <v>8</v>
      </c>
      <c r="X18" s="104">
        <v>32508</v>
      </c>
      <c r="Y18" s="101">
        <v>13</v>
      </c>
      <c r="Z18" s="185">
        <v>7834</v>
      </c>
      <c r="AA18" s="185">
        <v>6970</v>
      </c>
      <c r="AB18" s="101">
        <v>2</v>
      </c>
      <c r="AC18" s="105">
        <v>2162</v>
      </c>
      <c r="AD18" s="104">
        <v>1558</v>
      </c>
      <c r="AE18" s="101">
        <v>2</v>
      </c>
      <c r="AF18" s="133">
        <v>14</v>
      </c>
      <c r="AG18" s="218">
        <v>193715</v>
      </c>
      <c r="AH18" s="155">
        <v>143</v>
      </c>
      <c r="AI18" s="134">
        <v>115</v>
      </c>
      <c r="AJ18" s="134">
        <v>-28</v>
      </c>
      <c r="AK18" s="99">
        <v>1606342</v>
      </c>
      <c r="AL18" s="99">
        <v>2342</v>
      </c>
      <c r="AM18" s="99">
        <v>59272</v>
      </c>
      <c r="AN18" s="100">
        <v>53</v>
      </c>
      <c r="AO18" s="105">
        <v>116836</v>
      </c>
      <c r="AP18" s="101">
        <v>0</v>
      </c>
      <c r="AQ18" s="105">
        <v>117687</v>
      </c>
      <c r="AR18" s="101">
        <v>639</v>
      </c>
      <c r="AS18" s="105">
        <v>1667956</v>
      </c>
      <c r="AT18" s="102">
        <v>2395</v>
      </c>
      <c r="AU18" s="134">
        <v>2400</v>
      </c>
      <c r="AV18" s="134">
        <v>5</v>
      </c>
      <c r="AW18" s="105">
        <v>27.45</v>
      </c>
      <c r="AX18" s="105">
        <v>0</v>
      </c>
      <c r="AY18" s="105">
        <v>0</v>
      </c>
      <c r="AZ18" s="104"/>
      <c r="BA18" s="105">
        <v>12661.57</v>
      </c>
      <c r="BB18" s="101">
        <v>15048.00000000032</v>
      </c>
      <c r="BC18" s="184">
        <v>27.45</v>
      </c>
      <c r="BD18" s="105">
        <v>0</v>
      </c>
      <c r="BE18" s="135">
        <v>0</v>
      </c>
      <c r="BF18" s="105">
        <v>12661.57</v>
      </c>
      <c r="BG18" s="105">
        <v>3.4200000000000728</v>
      </c>
      <c r="BH18" s="135">
        <v>15048.00000000032</v>
      </c>
      <c r="BI18" s="135">
        <v>15048.00000000032</v>
      </c>
      <c r="BJ18" s="161">
        <v>15016.00000000032</v>
      </c>
      <c r="BK18" s="135">
        <v>24276.81</v>
      </c>
      <c r="BL18" s="135">
        <v>906.00000000013097</v>
      </c>
      <c r="BM18" s="186">
        <v>15954.000000000451</v>
      </c>
      <c r="BN18" s="134">
        <v>16000</v>
      </c>
      <c r="BO18" s="134">
        <v>45.999999999548891</v>
      </c>
      <c r="BP18" s="219">
        <v>2850047</v>
      </c>
      <c r="BQ18" s="135">
        <v>20</v>
      </c>
      <c r="BR18" s="187">
        <v>3823246</v>
      </c>
      <c r="BS18" s="135">
        <v>12</v>
      </c>
      <c r="BT18" s="126">
        <v>32</v>
      </c>
      <c r="BU18" s="124">
        <v>98</v>
      </c>
      <c r="BV18" s="124">
        <v>160</v>
      </c>
      <c r="BW18" s="140"/>
      <c r="BX18" s="140"/>
      <c r="BY18" s="140"/>
      <c r="BZ18" s="140"/>
      <c r="CA18" s="140"/>
      <c r="CB18" s="140"/>
      <c r="CC18" s="140"/>
      <c r="CD18" s="140"/>
      <c r="CE18" s="140"/>
      <c r="CF18" s="140"/>
      <c r="CG18" s="140"/>
      <c r="CH18" s="124"/>
      <c r="CI18" s="124"/>
      <c r="CJ18" s="124"/>
      <c r="CK18" s="124"/>
      <c r="CL18" s="124"/>
      <c r="CM18" s="124"/>
      <c r="CN18" s="124"/>
      <c r="CO18" s="124"/>
      <c r="CP18" s="124"/>
      <c r="CQ18" s="124"/>
      <c r="CR18" s="124"/>
      <c r="CS18" s="124"/>
      <c r="CT18" s="124"/>
      <c r="CU18" s="124"/>
      <c r="CV18" s="124"/>
      <c r="CW18" s="124"/>
      <c r="CX18" s="124"/>
      <c r="CY18" s="124"/>
      <c r="CZ18" s="124"/>
      <c r="DA18" s="124"/>
      <c r="DB18" s="124"/>
      <c r="DC18" s="124"/>
      <c r="DD18" s="124"/>
      <c r="DE18" s="124"/>
      <c r="DF18" s="124"/>
      <c r="DG18" s="124"/>
      <c r="DH18" s="124"/>
      <c r="DI18" s="124"/>
      <c r="DJ18" s="124"/>
      <c r="DK18" s="124"/>
      <c r="DL18" s="124"/>
      <c r="DM18" s="124"/>
      <c r="DN18" s="124"/>
      <c r="DO18" s="124"/>
      <c r="DP18" s="124"/>
      <c r="DQ18" s="124"/>
      <c r="DR18" s="124"/>
      <c r="DS18" s="124"/>
      <c r="DT18" s="124"/>
      <c r="DU18" s="124"/>
      <c r="DV18" s="124"/>
      <c r="DW18" s="124"/>
      <c r="DX18" s="124"/>
      <c r="DY18" s="124"/>
      <c r="DZ18" s="124"/>
      <c r="EA18" s="124"/>
      <c r="EB18" s="124"/>
      <c r="EC18" s="124"/>
      <c r="ED18" s="124"/>
      <c r="EE18" s="124"/>
      <c r="EF18" s="124"/>
      <c r="EG18" s="124"/>
      <c r="EH18" s="124"/>
      <c r="EI18" s="124"/>
      <c r="EJ18" s="124"/>
      <c r="EK18" s="124"/>
      <c r="EL18" s="124"/>
      <c r="EM18" s="124"/>
      <c r="EN18" s="124"/>
      <c r="EO18" s="124"/>
      <c r="EP18" s="124"/>
      <c r="EQ18" s="124"/>
      <c r="ER18" s="124"/>
      <c r="ES18" s="124"/>
      <c r="ET18" s="124"/>
      <c r="EU18" s="124"/>
      <c r="EV18" s="124"/>
      <c r="EW18" s="124"/>
      <c r="EX18" s="124"/>
      <c r="EY18" s="124"/>
      <c r="EZ18" s="124"/>
      <c r="FA18" s="124"/>
      <c r="FB18" s="124"/>
      <c r="FC18" s="124"/>
      <c r="FD18" s="124"/>
      <c r="FE18" s="124"/>
      <c r="FF18" s="124"/>
      <c r="FG18" s="124"/>
      <c r="FH18" s="124"/>
      <c r="FI18" s="124"/>
      <c r="FJ18" s="124"/>
      <c r="FK18" s="124"/>
      <c r="FL18" s="124"/>
      <c r="FM18" s="124"/>
      <c r="FN18" s="124"/>
      <c r="FO18" s="124"/>
      <c r="FP18" s="124"/>
      <c r="FQ18" s="124"/>
      <c r="FR18" s="124"/>
      <c r="FS18" s="124"/>
      <c r="FT18" s="124"/>
      <c r="FU18" s="124"/>
      <c r="FV18" s="124"/>
      <c r="FW18" s="124"/>
      <c r="FX18" s="124"/>
      <c r="FY18" s="124"/>
      <c r="FZ18" s="124"/>
      <c r="GA18" s="124"/>
      <c r="GB18" s="124"/>
      <c r="GC18" s="124"/>
      <c r="GD18" s="124"/>
      <c r="GE18" s="124"/>
      <c r="GF18" s="124"/>
      <c r="GG18" s="124"/>
      <c r="GH18" s="124"/>
      <c r="GI18" s="124"/>
      <c r="GJ18" s="124"/>
      <c r="GK18" s="124"/>
      <c r="GL18" s="124"/>
      <c r="GM18" s="124"/>
      <c r="GN18" s="124"/>
      <c r="GO18" s="124"/>
      <c r="GP18" s="124"/>
      <c r="GQ18" s="124"/>
      <c r="GR18" s="124"/>
      <c r="GS18" s="124"/>
      <c r="GT18" s="124"/>
      <c r="GU18" s="124"/>
      <c r="GV18" s="124"/>
      <c r="GW18" s="124"/>
      <c r="GX18" s="124"/>
      <c r="GY18" s="124"/>
      <c r="GZ18" s="124"/>
      <c r="HA18" s="124"/>
      <c r="HB18" s="124"/>
      <c r="HC18" s="124"/>
      <c r="HD18" s="124"/>
      <c r="HE18" s="124"/>
      <c r="HF18" s="124"/>
      <c r="HG18" s="124"/>
      <c r="HH18" s="124"/>
      <c r="HI18" s="124"/>
      <c r="HJ18" s="124"/>
      <c r="HK18" s="124"/>
      <c r="HL18" s="124"/>
      <c r="HM18" s="124"/>
      <c r="HN18" s="124"/>
      <c r="HO18" s="124"/>
      <c r="HP18" s="124"/>
      <c r="HQ18" s="124"/>
      <c r="HR18" s="124"/>
      <c r="HS18" s="124"/>
      <c r="HT18" s="124"/>
      <c r="HU18" s="124"/>
      <c r="HV18" s="124"/>
      <c r="HW18" s="124"/>
      <c r="HX18" s="124"/>
      <c r="HY18" s="124"/>
      <c r="HZ18" s="124"/>
      <c r="IA18" s="124"/>
      <c r="IB18" s="124"/>
      <c r="IC18" s="124"/>
      <c r="ID18" s="124"/>
      <c r="IE18" s="124"/>
      <c r="IF18" s="124"/>
      <c r="IG18" s="124"/>
      <c r="IH18" s="124"/>
      <c r="II18" s="124"/>
      <c r="IJ18" s="124"/>
      <c r="IK18" s="124"/>
      <c r="IL18" s="124"/>
      <c r="IM18" s="124"/>
      <c r="IN18" s="124"/>
      <c r="IO18" s="124"/>
      <c r="IP18" s="124"/>
      <c r="IQ18" s="124"/>
    </row>
    <row r="19" spans="1:251" ht="24.9" customHeight="1">
      <c r="A19" s="149">
        <v>15</v>
      </c>
      <c r="B19" s="125"/>
      <c r="C19" s="125">
        <v>68454</v>
      </c>
      <c r="D19" s="125">
        <v>229656</v>
      </c>
      <c r="E19" s="126">
        <v>69</v>
      </c>
      <c r="F19" s="126">
        <v>54</v>
      </c>
      <c r="G19" s="224"/>
      <c r="H19" s="125">
        <v>125399</v>
      </c>
      <c r="I19" s="125">
        <v>76808</v>
      </c>
      <c r="J19" s="125">
        <v>22</v>
      </c>
      <c r="K19" s="125">
        <v>14520</v>
      </c>
      <c r="L19" s="126">
        <v>10</v>
      </c>
      <c r="M19" s="128">
        <v>11828</v>
      </c>
      <c r="N19" s="129">
        <v>9</v>
      </c>
      <c r="O19" s="128">
        <v>22058</v>
      </c>
      <c r="P19" s="129">
        <v>11</v>
      </c>
      <c r="Q19" s="183">
        <v>56843</v>
      </c>
      <c r="R19" s="184">
        <v>0</v>
      </c>
      <c r="S19" s="183">
        <v>25292</v>
      </c>
      <c r="T19" s="101">
        <v>1</v>
      </c>
      <c r="U19" s="183">
        <v>9515</v>
      </c>
      <c r="V19" s="105">
        <v>1528</v>
      </c>
      <c r="W19" s="101">
        <v>8</v>
      </c>
      <c r="X19" s="104">
        <v>32523</v>
      </c>
      <c r="Y19" s="101">
        <v>15</v>
      </c>
      <c r="Z19" s="185">
        <v>7834</v>
      </c>
      <c r="AA19" s="185">
        <v>6972</v>
      </c>
      <c r="AB19" s="101">
        <v>2</v>
      </c>
      <c r="AC19" s="105">
        <v>2163</v>
      </c>
      <c r="AD19" s="104">
        <v>1561</v>
      </c>
      <c r="AE19" s="101">
        <v>4</v>
      </c>
      <c r="AF19" s="133">
        <v>9</v>
      </c>
      <c r="AG19" s="218">
        <v>193853</v>
      </c>
      <c r="AH19" s="155">
        <v>138</v>
      </c>
      <c r="AI19" s="134">
        <v>115</v>
      </c>
      <c r="AJ19" s="134">
        <v>-23</v>
      </c>
      <c r="AK19" s="99">
        <v>1608679</v>
      </c>
      <c r="AL19" s="99">
        <v>2337</v>
      </c>
      <c r="AM19" s="99">
        <v>59322</v>
      </c>
      <c r="AN19" s="100">
        <v>50</v>
      </c>
      <c r="AO19" s="105">
        <v>116836</v>
      </c>
      <c r="AP19" s="101">
        <v>0</v>
      </c>
      <c r="AQ19" s="105">
        <v>118209</v>
      </c>
      <c r="AR19" s="101">
        <v>522</v>
      </c>
      <c r="AS19" s="105">
        <v>1670338</v>
      </c>
      <c r="AT19" s="102">
        <v>2387</v>
      </c>
      <c r="AU19" s="134">
        <v>2400</v>
      </c>
      <c r="AV19" s="134">
        <v>13</v>
      </c>
      <c r="AW19" s="105">
        <v>27.45</v>
      </c>
      <c r="AX19" s="105">
        <v>0</v>
      </c>
      <c r="AY19" s="105">
        <v>0</v>
      </c>
      <c r="AZ19" s="104"/>
      <c r="BA19" s="105">
        <v>12665.02</v>
      </c>
      <c r="BB19" s="101">
        <v>15180.000000003201</v>
      </c>
      <c r="BC19" s="184">
        <v>27.45</v>
      </c>
      <c r="BD19" s="105">
        <v>0</v>
      </c>
      <c r="BE19" s="135">
        <v>0</v>
      </c>
      <c r="BF19" s="105">
        <v>12665.02</v>
      </c>
      <c r="BG19" s="105">
        <v>3.4500000000007276</v>
      </c>
      <c r="BH19" s="135">
        <v>15180.000000003201</v>
      </c>
      <c r="BI19" s="135">
        <v>15180.000000003201</v>
      </c>
      <c r="BJ19" s="161">
        <v>15148.000000003201</v>
      </c>
      <c r="BK19" s="135">
        <v>24285.69</v>
      </c>
      <c r="BL19" s="135">
        <v>887.99999999973807</v>
      </c>
      <c r="BM19" s="186">
        <v>16068.000000002939</v>
      </c>
      <c r="BN19" s="134">
        <v>16000</v>
      </c>
      <c r="BO19" s="134">
        <v>-68.000000002939487</v>
      </c>
      <c r="BP19" s="219">
        <v>2850067</v>
      </c>
      <c r="BQ19" s="135">
        <v>20</v>
      </c>
      <c r="BR19" s="187">
        <v>3823258</v>
      </c>
      <c r="BS19" s="135">
        <v>12</v>
      </c>
      <c r="BT19" s="126">
        <v>32</v>
      </c>
      <c r="BU19" s="124">
        <v>95</v>
      </c>
      <c r="BV19" s="124">
        <v>162</v>
      </c>
      <c r="BW19" s="140"/>
      <c r="BX19" s="140"/>
      <c r="BY19" s="140"/>
      <c r="BZ19" s="140"/>
      <c r="CA19" s="140"/>
      <c r="CB19" s="140"/>
      <c r="CC19" s="140"/>
      <c r="CD19" s="140"/>
      <c r="CE19" s="140"/>
      <c r="CF19" s="140"/>
      <c r="CG19" s="140"/>
      <c r="CH19" s="124"/>
      <c r="CI19" s="124"/>
      <c r="CJ19" s="124"/>
      <c r="CK19" s="124"/>
      <c r="CL19" s="124"/>
      <c r="CM19" s="124"/>
      <c r="CN19" s="124"/>
      <c r="CO19" s="124"/>
      <c r="CP19" s="124"/>
      <c r="CQ19" s="124"/>
      <c r="CR19" s="124"/>
      <c r="CS19" s="124"/>
      <c r="CT19" s="124"/>
      <c r="CU19" s="124"/>
      <c r="CV19" s="124"/>
      <c r="CW19" s="124"/>
      <c r="CX19" s="124"/>
      <c r="CY19" s="124"/>
      <c r="CZ19" s="124"/>
      <c r="DA19" s="124"/>
      <c r="DB19" s="124"/>
      <c r="DC19" s="124"/>
      <c r="DD19" s="124"/>
      <c r="DE19" s="124"/>
      <c r="DF19" s="124"/>
      <c r="DG19" s="124"/>
      <c r="DH19" s="124"/>
      <c r="DI19" s="124"/>
      <c r="DJ19" s="124"/>
      <c r="DK19" s="124"/>
      <c r="DL19" s="124"/>
      <c r="DM19" s="124"/>
      <c r="DN19" s="124"/>
      <c r="DO19" s="124"/>
      <c r="DP19" s="124"/>
      <c r="DQ19" s="124"/>
      <c r="DR19" s="124"/>
      <c r="DS19" s="124"/>
      <c r="DT19" s="124"/>
      <c r="DU19" s="124"/>
      <c r="DV19" s="124"/>
      <c r="DW19" s="124"/>
      <c r="DX19" s="124"/>
      <c r="DY19" s="124"/>
      <c r="DZ19" s="124"/>
      <c r="EA19" s="124"/>
      <c r="EB19" s="124"/>
      <c r="EC19" s="124"/>
      <c r="ED19" s="124"/>
      <c r="EE19" s="124"/>
      <c r="EF19" s="124"/>
      <c r="EG19" s="124"/>
      <c r="EH19" s="124"/>
      <c r="EI19" s="124"/>
      <c r="EJ19" s="124"/>
      <c r="EK19" s="124"/>
      <c r="EL19" s="124"/>
      <c r="EM19" s="124"/>
      <c r="EN19" s="124"/>
      <c r="EO19" s="124"/>
      <c r="EP19" s="124"/>
      <c r="EQ19" s="124"/>
      <c r="ER19" s="124"/>
      <c r="ES19" s="124"/>
      <c r="ET19" s="124"/>
      <c r="EU19" s="124"/>
      <c r="EV19" s="124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124"/>
      <c r="FH19" s="124"/>
      <c r="FI19" s="124"/>
      <c r="FJ19" s="124"/>
      <c r="FK19" s="124"/>
      <c r="FL19" s="124"/>
      <c r="FM19" s="124"/>
      <c r="FN19" s="124"/>
      <c r="FO19" s="124"/>
      <c r="FP19" s="124"/>
      <c r="FQ19" s="124"/>
      <c r="FR19" s="124"/>
      <c r="FS19" s="124"/>
      <c r="FT19" s="124"/>
      <c r="FU19" s="124"/>
      <c r="FV19" s="124"/>
      <c r="FW19" s="124"/>
      <c r="FX19" s="124"/>
      <c r="FY19" s="124"/>
      <c r="FZ19" s="124"/>
      <c r="GA19" s="124"/>
      <c r="GB19" s="124"/>
      <c r="GC19" s="124"/>
      <c r="GD19" s="124"/>
      <c r="GE19" s="124"/>
      <c r="GF19" s="124"/>
      <c r="GG19" s="124"/>
      <c r="GH19" s="124"/>
      <c r="GI19" s="124"/>
      <c r="GJ19" s="124"/>
      <c r="GK19" s="124"/>
      <c r="GL19" s="124"/>
      <c r="GM19" s="124"/>
      <c r="GN19" s="124"/>
      <c r="GO19" s="124"/>
      <c r="GP19" s="124"/>
      <c r="GQ19" s="124"/>
      <c r="GR19" s="124"/>
      <c r="GS19" s="124"/>
      <c r="GT19" s="124"/>
      <c r="GU19" s="124"/>
      <c r="GV19" s="124"/>
      <c r="GW19" s="124"/>
      <c r="GX19" s="124"/>
      <c r="GY19" s="124"/>
      <c r="GZ19" s="124"/>
      <c r="HA19" s="124"/>
      <c r="HB19" s="124"/>
      <c r="HC19" s="124"/>
      <c r="HD19" s="124"/>
      <c r="HE19" s="124"/>
      <c r="HF19" s="124"/>
      <c r="HG19" s="124"/>
      <c r="HH19" s="124"/>
      <c r="HI19" s="124"/>
      <c r="HJ19" s="124"/>
      <c r="HK19" s="124"/>
      <c r="HL19" s="124"/>
      <c r="HM19" s="124"/>
      <c r="HN19" s="124"/>
      <c r="HO19" s="124"/>
      <c r="HP19" s="124"/>
      <c r="HQ19" s="124"/>
      <c r="HR19" s="124"/>
      <c r="HS19" s="124"/>
      <c r="HT19" s="124"/>
      <c r="HU19" s="124"/>
      <c r="HV19" s="124"/>
      <c r="HW19" s="124"/>
      <c r="HX19" s="124"/>
      <c r="HY19" s="124"/>
      <c r="HZ19" s="124"/>
      <c r="IA19" s="124"/>
      <c r="IB19" s="124"/>
      <c r="IC19" s="124"/>
      <c r="ID19" s="124"/>
      <c r="IE19" s="124"/>
      <c r="IF19" s="124"/>
      <c r="IG19" s="124"/>
      <c r="IH19" s="124"/>
      <c r="II19" s="124"/>
      <c r="IJ19" s="124"/>
      <c r="IK19" s="124"/>
      <c r="IL19" s="124"/>
      <c r="IM19" s="124"/>
      <c r="IN19" s="124"/>
      <c r="IO19" s="124"/>
      <c r="IP19" s="124"/>
      <c r="IQ19" s="124"/>
    </row>
    <row r="20" spans="1:251" ht="24.9" customHeight="1">
      <c r="A20" s="149">
        <v>16</v>
      </c>
      <c r="B20" s="125"/>
      <c r="C20" s="125">
        <v>68508</v>
      </c>
      <c r="D20" s="125">
        <v>229716</v>
      </c>
      <c r="E20" s="126">
        <v>60</v>
      </c>
      <c r="F20" s="126">
        <v>47</v>
      </c>
      <c r="G20" s="224"/>
      <c r="H20" s="125">
        <v>125447</v>
      </c>
      <c r="I20" s="125">
        <v>76811</v>
      </c>
      <c r="J20" s="125">
        <v>3</v>
      </c>
      <c r="K20" s="125">
        <v>14531</v>
      </c>
      <c r="L20" s="126">
        <v>11</v>
      </c>
      <c r="M20" s="128">
        <v>11834</v>
      </c>
      <c r="N20" s="129">
        <v>6</v>
      </c>
      <c r="O20" s="128">
        <v>22066</v>
      </c>
      <c r="P20" s="129">
        <v>8</v>
      </c>
      <c r="Q20" s="183">
        <v>56843</v>
      </c>
      <c r="R20" s="184">
        <v>0</v>
      </c>
      <c r="S20" s="183">
        <v>25293</v>
      </c>
      <c r="T20" s="101">
        <v>1</v>
      </c>
      <c r="U20" s="183">
        <v>9515</v>
      </c>
      <c r="V20" s="105">
        <v>1528</v>
      </c>
      <c r="W20" s="101">
        <v>0</v>
      </c>
      <c r="X20" s="104">
        <v>32536</v>
      </c>
      <c r="Y20" s="101">
        <v>13</v>
      </c>
      <c r="Z20" s="185">
        <v>7834</v>
      </c>
      <c r="AA20" s="185">
        <v>6974</v>
      </c>
      <c r="AB20" s="101">
        <v>2</v>
      </c>
      <c r="AC20" s="105">
        <v>2165</v>
      </c>
      <c r="AD20" s="104">
        <v>1561</v>
      </c>
      <c r="AE20" s="101">
        <v>2</v>
      </c>
      <c r="AF20" s="133">
        <v>1</v>
      </c>
      <c r="AG20" s="218">
        <v>193955</v>
      </c>
      <c r="AH20" s="155">
        <v>102</v>
      </c>
      <c r="AI20" s="134">
        <v>115</v>
      </c>
      <c r="AJ20" s="134">
        <v>13</v>
      </c>
      <c r="AK20" s="99">
        <v>1610442</v>
      </c>
      <c r="AL20" s="99">
        <v>1763</v>
      </c>
      <c r="AM20" s="99">
        <v>59365</v>
      </c>
      <c r="AN20" s="100">
        <v>43</v>
      </c>
      <c r="AO20" s="105">
        <v>116836</v>
      </c>
      <c r="AP20" s="101">
        <v>0</v>
      </c>
      <c r="AQ20" s="105">
        <v>118287</v>
      </c>
      <c r="AR20" s="101">
        <v>78</v>
      </c>
      <c r="AS20" s="105">
        <v>1671570</v>
      </c>
      <c r="AT20" s="102">
        <v>1806</v>
      </c>
      <c r="AU20" s="134">
        <v>2400</v>
      </c>
      <c r="AV20" s="134">
        <v>594</v>
      </c>
      <c r="AW20" s="105">
        <v>27.45</v>
      </c>
      <c r="AX20" s="105">
        <v>0</v>
      </c>
      <c r="AY20" s="105">
        <v>0</v>
      </c>
      <c r="AZ20" s="104"/>
      <c r="BA20" s="105">
        <v>12668.37</v>
      </c>
      <c r="BB20" s="101">
        <v>14740.000000001601</v>
      </c>
      <c r="BC20" s="184">
        <v>27.45</v>
      </c>
      <c r="BD20" s="105">
        <v>0</v>
      </c>
      <c r="BE20" s="135">
        <v>0</v>
      </c>
      <c r="BF20" s="105">
        <v>12668.37</v>
      </c>
      <c r="BG20" s="105">
        <v>3.3500000000003638</v>
      </c>
      <c r="BH20" s="135">
        <v>14740.000000001601</v>
      </c>
      <c r="BI20" s="135">
        <v>14740.000000001601</v>
      </c>
      <c r="BJ20" s="161">
        <v>14709.000000001601</v>
      </c>
      <c r="BK20" s="135">
        <v>24294.2</v>
      </c>
      <c r="BL20" s="135">
        <v>851.00000000020373</v>
      </c>
      <c r="BM20" s="186">
        <v>15591.000000001804</v>
      </c>
      <c r="BN20" s="134">
        <v>16000</v>
      </c>
      <c r="BO20" s="134">
        <v>408.99999999819556</v>
      </c>
      <c r="BP20" s="219">
        <v>2850086</v>
      </c>
      <c r="BQ20" s="135">
        <v>19</v>
      </c>
      <c r="BR20" s="187">
        <v>3823270</v>
      </c>
      <c r="BS20" s="135">
        <v>12</v>
      </c>
      <c r="BT20" s="126">
        <v>31</v>
      </c>
      <c r="BU20" s="124">
        <v>79</v>
      </c>
      <c r="BV20" s="124">
        <v>115</v>
      </c>
      <c r="BW20" s="140"/>
      <c r="BX20" s="140"/>
      <c r="BY20" s="140"/>
      <c r="BZ20" s="140"/>
      <c r="CA20" s="140"/>
      <c r="CB20" s="140"/>
      <c r="CC20" s="140"/>
      <c r="CD20" s="140"/>
      <c r="CE20" s="140"/>
      <c r="CF20" s="140"/>
      <c r="CG20" s="140"/>
      <c r="CH20" s="124"/>
      <c r="CI20" s="124"/>
      <c r="CJ20" s="124"/>
      <c r="CK20" s="124"/>
      <c r="CL20" s="124"/>
      <c r="CM20" s="124"/>
      <c r="CN20" s="124"/>
      <c r="CO20" s="124"/>
      <c r="CP20" s="124"/>
      <c r="CQ20" s="124"/>
      <c r="CR20" s="124"/>
      <c r="CS20" s="124"/>
      <c r="CT20" s="124"/>
      <c r="CU20" s="124"/>
      <c r="CV20" s="124"/>
      <c r="CW20" s="124"/>
      <c r="CX20" s="124"/>
      <c r="CY20" s="124"/>
      <c r="CZ20" s="124"/>
      <c r="DA20" s="124"/>
      <c r="DB20" s="124"/>
      <c r="DC20" s="124"/>
      <c r="DD20" s="124"/>
      <c r="DE20" s="124"/>
      <c r="DF20" s="124"/>
      <c r="DG20" s="124"/>
      <c r="DH20" s="124"/>
      <c r="DI20" s="124"/>
      <c r="DJ20" s="124"/>
      <c r="DK20" s="124"/>
      <c r="DL20" s="124"/>
      <c r="DM20" s="124"/>
      <c r="DN20" s="124"/>
      <c r="DO20" s="124"/>
      <c r="DP20" s="124"/>
      <c r="DQ20" s="124"/>
      <c r="DR20" s="124"/>
      <c r="DS20" s="124"/>
      <c r="DT20" s="124"/>
      <c r="DU20" s="124"/>
      <c r="DV20" s="124"/>
      <c r="DW20" s="124"/>
      <c r="DX20" s="124"/>
      <c r="DY20" s="124"/>
      <c r="DZ20" s="124"/>
      <c r="EA20" s="124"/>
      <c r="EB20" s="124"/>
      <c r="EC20" s="124"/>
      <c r="ED20" s="124"/>
      <c r="EE20" s="124"/>
      <c r="EF20" s="124"/>
      <c r="EG20" s="124"/>
      <c r="EH20" s="124"/>
      <c r="EI20" s="124"/>
      <c r="EJ20" s="124"/>
      <c r="EK20" s="124"/>
      <c r="EL20" s="124"/>
      <c r="EM20" s="124"/>
      <c r="EN20" s="124"/>
      <c r="EO20" s="124"/>
      <c r="EP20" s="124"/>
      <c r="EQ20" s="124"/>
      <c r="ER20" s="124"/>
      <c r="ES20" s="124"/>
      <c r="ET20" s="12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24"/>
      <c r="FI20" s="124"/>
      <c r="FJ20" s="124"/>
      <c r="FK20" s="124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  <c r="GA20" s="124"/>
      <c r="GB20" s="124"/>
      <c r="GC20" s="124"/>
      <c r="GD20" s="124"/>
      <c r="GE20" s="124"/>
      <c r="GF20" s="124"/>
      <c r="GG20" s="124"/>
      <c r="GH20" s="124"/>
      <c r="GI20" s="124"/>
      <c r="GJ20" s="124"/>
      <c r="GK20" s="124"/>
      <c r="GL20" s="124"/>
      <c r="GM20" s="124"/>
      <c r="GN20" s="124"/>
      <c r="GO20" s="124"/>
      <c r="GP20" s="124"/>
      <c r="GQ20" s="124"/>
      <c r="GR20" s="124"/>
      <c r="GS20" s="124"/>
      <c r="GT20" s="124"/>
      <c r="GU20" s="124"/>
      <c r="GV20" s="124"/>
      <c r="GW20" s="124"/>
      <c r="GX20" s="124"/>
      <c r="GY20" s="124"/>
      <c r="GZ20" s="124"/>
      <c r="HA20" s="124"/>
      <c r="HB20" s="124"/>
      <c r="HC20" s="124"/>
      <c r="HD20" s="124"/>
      <c r="HE20" s="124"/>
      <c r="HF20" s="124"/>
      <c r="HG20" s="124"/>
      <c r="HH20" s="124"/>
      <c r="HI20" s="124"/>
      <c r="HJ20" s="124"/>
      <c r="HK20" s="124"/>
      <c r="HL20" s="124"/>
      <c r="HM20" s="124"/>
      <c r="HN20" s="124"/>
      <c r="HO20" s="124"/>
      <c r="HP20" s="124"/>
      <c r="HQ20" s="124"/>
      <c r="HR20" s="124"/>
      <c r="HS20" s="124"/>
      <c r="HT20" s="124"/>
      <c r="HU20" s="124"/>
      <c r="HV20" s="124"/>
      <c r="HW20" s="124"/>
      <c r="HX20" s="124"/>
      <c r="HY20" s="124"/>
      <c r="HZ20" s="124"/>
      <c r="IA20" s="124"/>
      <c r="IB20" s="124"/>
      <c r="IC20" s="124"/>
      <c r="ID20" s="124"/>
      <c r="IE20" s="124"/>
      <c r="IF20" s="124"/>
      <c r="IG20" s="124"/>
      <c r="IH20" s="124"/>
      <c r="II20" s="124"/>
      <c r="IJ20" s="124"/>
      <c r="IK20" s="124"/>
      <c r="IL20" s="124"/>
      <c r="IM20" s="124"/>
      <c r="IN20" s="124"/>
      <c r="IO20" s="124"/>
      <c r="IP20" s="124"/>
      <c r="IQ20" s="124"/>
    </row>
    <row r="21" spans="1:251" ht="24.9" customHeight="1">
      <c r="A21" s="149">
        <v>17</v>
      </c>
      <c r="B21" s="125"/>
      <c r="C21" s="125">
        <v>68576</v>
      </c>
      <c r="D21" s="125">
        <v>229769</v>
      </c>
      <c r="E21" s="126">
        <v>53</v>
      </c>
      <c r="F21" s="126">
        <v>43</v>
      </c>
      <c r="G21" s="224"/>
      <c r="H21" s="125">
        <v>125500</v>
      </c>
      <c r="I21" s="125">
        <v>76837</v>
      </c>
      <c r="J21" s="125">
        <v>26</v>
      </c>
      <c r="K21" s="125">
        <v>14537</v>
      </c>
      <c r="L21" s="126">
        <v>6</v>
      </c>
      <c r="M21" s="128">
        <v>11839</v>
      </c>
      <c r="N21" s="129">
        <v>5</v>
      </c>
      <c r="O21" s="128">
        <v>22070</v>
      </c>
      <c r="P21" s="129">
        <v>4</v>
      </c>
      <c r="Q21" s="183">
        <v>56845</v>
      </c>
      <c r="R21" s="184">
        <v>2</v>
      </c>
      <c r="S21" s="183">
        <v>25294</v>
      </c>
      <c r="T21" s="101">
        <v>1</v>
      </c>
      <c r="U21" s="183">
        <v>9515</v>
      </c>
      <c r="V21" s="105">
        <v>1536</v>
      </c>
      <c r="W21" s="101">
        <v>8</v>
      </c>
      <c r="X21" s="104">
        <v>32546</v>
      </c>
      <c r="Y21" s="101">
        <v>10</v>
      </c>
      <c r="Z21" s="185">
        <v>7835</v>
      </c>
      <c r="AA21" s="185">
        <v>6975</v>
      </c>
      <c r="AB21" s="101">
        <v>2</v>
      </c>
      <c r="AC21" s="105">
        <v>2166</v>
      </c>
      <c r="AD21" s="104">
        <v>1562</v>
      </c>
      <c r="AE21" s="101">
        <v>2</v>
      </c>
      <c r="AF21" s="133">
        <v>11</v>
      </c>
      <c r="AG21" s="218">
        <v>194076</v>
      </c>
      <c r="AH21" s="155">
        <v>121</v>
      </c>
      <c r="AI21" s="134">
        <v>115</v>
      </c>
      <c r="AJ21" s="134">
        <v>-6</v>
      </c>
      <c r="AK21" s="99">
        <v>1612419</v>
      </c>
      <c r="AL21" s="99">
        <v>1977</v>
      </c>
      <c r="AM21" s="99">
        <v>59403</v>
      </c>
      <c r="AN21" s="100">
        <v>38</v>
      </c>
      <c r="AO21" s="105">
        <v>116836</v>
      </c>
      <c r="AP21" s="101">
        <v>0</v>
      </c>
      <c r="AQ21" s="105">
        <v>118324</v>
      </c>
      <c r="AR21" s="101">
        <v>37</v>
      </c>
      <c r="AS21" s="105">
        <v>1673799</v>
      </c>
      <c r="AT21" s="102">
        <v>2015</v>
      </c>
      <c r="AU21" s="134">
        <v>2400</v>
      </c>
      <c r="AV21" s="134">
        <v>385</v>
      </c>
      <c r="AW21" s="105">
        <v>27.45</v>
      </c>
      <c r="AX21" s="105">
        <v>0</v>
      </c>
      <c r="AY21" s="105">
        <v>0</v>
      </c>
      <c r="AZ21" s="104"/>
      <c r="BA21" s="105">
        <v>12672.11</v>
      </c>
      <c r="BB21" s="101">
        <v>16455.99999999904</v>
      </c>
      <c r="BC21" s="184">
        <v>27.45</v>
      </c>
      <c r="BD21" s="105">
        <v>0</v>
      </c>
      <c r="BE21" s="135">
        <v>0</v>
      </c>
      <c r="BF21" s="105">
        <v>12672.11</v>
      </c>
      <c r="BG21" s="105">
        <v>3.7399999999997817</v>
      </c>
      <c r="BH21" s="135">
        <v>16455.99999999904</v>
      </c>
      <c r="BI21" s="135">
        <v>16455.99999999904</v>
      </c>
      <c r="BJ21" s="161">
        <v>16426.99999999904</v>
      </c>
      <c r="BK21" s="135">
        <v>24303.27</v>
      </c>
      <c r="BL21" s="135">
        <v>906.9999999999709</v>
      </c>
      <c r="BM21" s="186">
        <v>17362.99999999901</v>
      </c>
      <c r="BN21" s="134">
        <v>16000</v>
      </c>
      <c r="BO21" s="134">
        <v>-1362.9999999990105</v>
      </c>
      <c r="BP21" s="219">
        <v>2850103</v>
      </c>
      <c r="BQ21" s="135">
        <v>17</v>
      </c>
      <c r="BR21" s="187">
        <v>3823282</v>
      </c>
      <c r="BS21" s="135">
        <v>12</v>
      </c>
      <c r="BT21" s="126">
        <v>29</v>
      </c>
      <c r="BU21" s="124">
        <v>83</v>
      </c>
      <c r="BV21" s="124">
        <v>116</v>
      </c>
      <c r="BW21" s="140"/>
      <c r="BX21" s="140"/>
      <c r="BY21" s="140"/>
      <c r="BZ21" s="140"/>
      <c r="CA21" s="140"/>
      <c r="CB21" s="140"/>
      <c r="CC21" s="140"/>
      <c r="CD21" s="140"/>
      <c r="CE21" s="140"/>
      <c r="CF21" s="140"/>
      <c r="CG21" s="140"/>
      <c r="CH21" s="124"/>
      <c r="CI21" s="124"/>
      <c r="CJ21" s="124"/>
      <c r="CK21" s="124"/>
      <c r="CL21" s="124"/>
      <c r="CM21" s="124"/>
      <c r="CN21" s="124"/>
      <c r="CO21" s="124"/>
      <c r="CP21" s="124"/>
      <c r="CQ21" s="124"/>
      <c r="CR21" s="124"/>
      <c r="CS21" s="124"/>
      <c r="CT21" s="124"/>
      <c r="CU21" s="124"/>
      <c r="CV21" s="124"/>
      <c r="CW21" s="124"/>
      <c r="CX21" s="124"/>
      <c r="CY21" s="124"/>
      <c r="CZ21" s="124"/>
      <c r="DA21" s="124"/>
      <c r="DB21" s="124"/>
      <c r="DC21" s="124"/>
      <c r="DD21" s="124"/>
      <c r="DE21" s="124"/>
      <c r="DF21" s="124"/>
      <c r="DG21" s="124"/>
      <c r="DH21" s="124"/>
      <c r="DI21" s="124"/>
      <c r="DJ21" s="124"/>
      <c r="DK21" s="124"/>
      <c r="DL21" s="124"/>
      <c r="DM21" s="124"/>
      <c r="DN21" s="124"/>
      <c r="DO21" s="124"/>
      <c r="DP21" s="124"/>
      <c r="DQ21" s="124"/>
      <c r="DR21" s="124"/>
      <c r="DS21" s="124"/>
      <c r="DT21" s="124"/>
      <c r="DU21" s="124"/>
      <c r="DV21" s="124"/>
      <c r="DW21" s="124"/>
      <c r="DX21" s="124"/>
      <c r="DY21" s="124"/>
      <c r="DZ21" s="124"/>
      <c r="EA21" s="124"/>
      <c r="EB21" s="124"/>
      <c r="EC21" s="124"/>
      <c r="ED21" s="124"/>
      <c r="EE21" s="124"/>
      <c r="EF21" s="124"/>
      <c r="EG21" s="124"/>
      <c r="EH21" s="124"/>
      <c r="EI21" s="124"/>
      <c r="EJ21" s="124"/>
      <c r="EK21" s="124"/>
      <c r="EL21" s="124"/>
      <c r="EM21" s="124"/>
      <c r="EN21" s="124"/>
      <c r="EO21" s="124"/>
      <c r="EP21" s="124"/>
      <c r="EQ21" s="124"/>
      <c r="ER21" s="124"/>
      <c r="ES21" s="124"/>
      <c r="ET21" s="124"/>
      <c r="EU21" s="124"/>
      <c r="EV21" s="124"/>
      <c r="EW21" s="124"/>
      <c r="EX21" s="124"/>
      <c r="EY21" s="124"/>
      <c r="EZ21" s="124"/>
      <c r="FA21" s="124"/>
      <c r="FB21" s="124"/>
      <c r="FC21" s="124"/>
      <c r="FD21" s="124"/>
      <c r="FE21" s="124"/>
      <c r="FF21" s="124"/>
      <c r="FG21" s="124"/>
      <c r="FH21" s="124"/>
      <c r="FI21" s="124"/>
      <c r="FJ21" s="124"/>
      <c r="FK21" s="124"/>
      <c r="FL21" s="124"/>
      <c r="FM21" s="124"/>
      <c r="FN21" s="124"/>
      <c r="FO21" s="124"/>
      <c r="FP21" s="124"/>
      <c r="FQ21" s="124"/>
      <c r="FR21" s="124"/>
      <c r="FS21" s="124"/>
      <c r="FT21" s="124"/>
      <c r="FU21" s="124"/>
      <c r="FV21" s="124"/>
      <c r="FW21" s="124"/>
      <c r="FX21" s="124"/>
      <c r="FY21" s="124"/>
      <c r="FZ21" s="124"/>
      <c r="GA21" s="124"/>
      <c r="GB21" s="124"/>
      <c r="GC21" s="124"/>
      <c r="GD21" s="124"/>
      <c r="GE21" s="124"/>
      <c r="GF21" s="124"/>
      <c r="GG21" s="124"/>
      <c r="GH21" s="124"/>
      <c r="GI21" s="124"/>
      <c r="GJ21" s="124"/>
      <c r="GK21" s="124"/>
      <c r="GL21" s="124"/>
      <c r="GM21" s="124"/>
      <c r="GN21" s="124"/>
      <c r="GO21" s="124"/>
      <c r="GP21" s="124"/>
      <c r="GQ21" s="124"/>
      <c r="GR21" s="124"/>
      <c r="GS21" s="124"/>
      <c r="GT21" s="124"/>
      <c r="GU21" s="124"/>
      <c r="GV21" s="124"/>
      <c r="GW21" s="124"/>
      <c r="GX21" s="124"/>
      <c r="GY21" s="124"/>
      <c r="GZ21" s="124"/>
      <c r="HA21" s="124"/>
      <c r="HB21" s="124"/>
      <c r="HC21" s="124"/>
      <c r="HD21" s="124"/>
      <c r="HE21" s="124"/>
      <c r="HF21" s="124"/>
      <c r="HG21" s="124"/>
      <c r="HH21" s="124"/>
      <c r="HI21" s="124"/>
      <c r="HJ21" s="124"/>
      <c r="HK21" s="124"/>
      <c r="HL21" s="124"/>
      <c r="HM21" s="124"/>
      <c r="HN21" s="124"/>
      <c r="HO21" s="124"/>
      <c r="HP21" s="124"/>
      <c r="HQ21" s="124"/>
      <c r="HR21" s="124"/>
      <c r="HS21" s="124"/>
      <c r="HT21" s="124"/>
      <c r="HU21" s="124"/>
      <c r="HV21" s="124"/>
      <c r="HW21" s="124"/>
      <c r="HX21" s="124"/>
      <c r="HY21" s="124"/>
      <c r="HZ21" s="124"/>
      <c r="IA21" s="124"/>
      <c r="IB21" s="124"/>
      <c r="IC21" s="124"/>
      <c r="ID21" s="124"/>
      <c r="IE21" s="124"/>
      <c r="IF21" s="124"/>
      <c r="IG21" s="124"/>
      <c r="IH21" s="124"/>
      <c r="II21" s="124"/>
      <c r="IJ21" s="124"/>
      <c r="IK21" s="124"/>
      <c r="IL21" s="124"/>
      <c r="IM21" s="124"/>
      <c r="IN21" s="124"/>
      <c r="IO21" s="124"/>
      <c r="IP21" s="124"/>
      <c r="IQ21" s="124"/>
    </row>
    <row r="22" spans="1:251" ht="24.9" customHeight="1">
      <c r="A22" s="149">
        <v>18</v>
      </c>
      <c r="B22" s="125"/>
      <c r="C22" s="125">
        <v>68648</v>
      </c>
      <c r="D22" s="125">
        <v>229828</v>
      </c>
      <c r="E22" s="126">
        <v>59</v>
      </c>
      <c r="F22" s="126">
        <v>38</v>
      </c>
      <c r="G22" s="224"/>
      <c r="H22" s="125">
        <v>125555</v>
      </c>
      <c r="I22" s="125">
        <v>76861</v>
      </c>
      <c r="J22" s="125">
        <v>24</v>
      </c>
      <c r="K22" s="125">
        <v>14543</v>
      </c>
      <c r="L22" s="126">
        <v>6</v>
      </c>
      <c r="M22" s="128">
        <v>11846</v>
      </c>
      <c r="N22" s="129">
        <v>7</v>
      </c>
      <c r="O22" s="128">
        <v>22077</v>
      </c>
      <c r="P22" s="129">
        <v>7</v>
      </c>
      <c r="Q22" s="183">
        <v>56846</v>
      </c>
      <c r="R22" s="184">
        <v>1</v>
      </c>
      <c r="S22" s="183">
        <v>25295</v>
      </c>
      <c r="T22" s="101">
        <v>1</v>
      </c>
      <c r="U22" s="183">
        <v>9515</v>
      </c>
      <c r="V22" s="105">
        <v>1543</v>
      </c>
      <c r="W22" s="101">
        <v>7</v>
      </c>
      <c r="X22" s="104">
        <v>32567</v>
      </c>
      <c r="Y22" s="101">
        <v>21</v>
      </c>
      <c r="Z22" s="185">
        <v>7835</v>
      </c>
      <c r="AA22" s="185">
        <v>6976</v>
      </c>
      <c r="AB22" s="101">
        <v>1</v>
      </c>
      <c r="AC22" s="105">
        <v>2168</v>
      </c>
      <c r="AD22" s="104">
        <v>1564</v>
      </c>
      <c r="AE22" s="101">
        <v>4</v>
      </c>
      <c r="AF22" s="133">
        <v>9</v>
      </c>
      <c r="AG22" s="218">
        <v>194203</v>
      </c>
      <c r="AH22" s="155">
        <v>127</v>
      </c>
      <c r="AI22" s="134">
        <v>115</v>
      </c>
      <c r="AJ22" s="134">
        <v>-12</v>
      </c>
      <c r="AK22" s="99">
        <v>1614721</v>
      </c>
      <c r="AL22" s="99">
        <v>2302</v>
      </c>
      <c r="AM22" s="99">
        <v>59452</v>
      </c>
      <c r="AN22" s="100">
        <v>49</v>
      </c>
      <c r="AO22" s="105">
        <v>116836</v>
      </c>
      <c r="AP22" s="101">
        <v>0</v>
      </c>
      <c r="AQ22" s="105">
        <v>119365</v>
      </c>
      <c r="AR22" s="101">
        <v>1041</v>
      </c>
      <c r="AS22" s="105">
        <v>1676475</v>
      </c>
      <c r="AT22" s="102">
        <v>2351</v>
      </c>
      <c r="AU22" s="134">
        <v>2400</v>
      </c>
      <c r="AV22" s="134">
        <v>49</v>
      </c>
      <c r="AW22" s="105">
        <v>27.45</v>
      </c>
      <c r="AX22" s="105">
        <v>0</v>
      </c>
      <c r="AY22" s="105">
        <v>0</v>
      </c>
      <c r="AZ22" s="104"/>
      <c r="BA22" s="105">
        <v>12674.93</v>
      </c>
      <c r="BB22" s="101">
        <v>12407.999999998719</v>
      </c>
      <c r="BC22" s="184">
        <v>27.45</v>
      </c>
      <c r="BD22" s="105">
        <v>0</v>
      </c>
      <c r="BE22" s="135">
        <v>0</v>
      </c>
      <c r="BF22" s="105">
        <v>12674.93</v>
      </c>
      <c r="BG22" s="105">
        <v>2.819999999999709</v>
      </c>
      <c r="BH22" s="135">
        <v>12407.999999998719</v>
      </c>
      <c r="BI22" s="135">
        <v>12407.999999998719</v>
      </c>
      <c r="BJ22" s="161">
        <v>12375.999999998719</v>
      </c>
      <c r="BK22" s="135">
        <v>24312.9</v>
      </c>
      <c r="BL22" s="135">
        <v>963.00000000010186</v>
      </c>
      <c r="BM22" s="186">
        <v>13370.999999998821</v>
      </c>
      <c r="BN22" s="134">
        <v>16000</v>
      </c>
      <c r="BO22" s="134">
        <v>2629.0000000011787</v>
      </c>
      <c r="BP22" s="219">
        <v>2850123</v>
      </c>
      <c r="BQ22" s="135">
        <v>20</v>
      </c>
      <c r="BR22" s="187">
        <v>3823294</v>
      </c>
      <c r="BS22" s="135">
        <v>12</v>
      </c>
      <c r="BT22" s="126">
        <v>32</v>
      </c>
      <c r="BU22" s="124">
        <v>73</v>
      </c>
      <c r="BV22" s="124">
        <v>104</v>
      </c>
      <c r="BW22" s="140"/>
      <c r="BX22" s="140"/>
      <c r="BY22" s="140"/>
      <c r="BZ22" s="140"/>
      <c r="CA22" s="140"/>
      <c r="CB22" s="140"/>
      <c r="CC22" s="140"/>
      <c r="CD22" s="140"/>
      <c r="CE22" s="140"/>
      <c r="CF22" s="140"/>
      <c r="CG22" s="140"/>
      <c r="CH22" s="124"/>
      <c r="CI22" s="124"/>
      <c r="CJ22" s="124"/>
      <c r="CK22" s="124"/>
      <c r="CL22" s="124"/>
      <c r="CM22" s="124"/>
      <c r="CN22" s="124"/>
      <c r="CO22" s="124"/>
      <c r="CP22" s="124"/>
      <c r="CQ22" s="124"/>
      <c r="CR22" s="124"/>
      <c r="CS22" s="124"/>
      <c r="CT22" s="124"/>
      <c r="CU22" s="124"/>
      <c r="CV22" s="124"/>
      <c r="CW22" s="124"/>
      <c r="CX22" s="124"/>
      <c r="CY22" s="124"/>
      <c r="CZ22" s="124"/>
      <c r="DA22" s="124"/>
      <c r="DB22" s="124"/>
      <c r="DC22" s="124"/>
      <c r="DD22" s="124"/>
      <c r="DE22" s="124"/>
      <c r="DF22" s="124"/>
      <c r="DG22" s="124"/>
      <c r="DH22" s="124"/>
      <c r="DI22" s="124"/>
      <c r="DJ22" s="124"/>
      <c r="DK22" s="124"/>
      <c r="DL22" s="124"/>
      <c r="DM22" s="124"/>
      <c r="DN22" s="124"/>
      <c r="DO22" s="124"/>
      <c r="DP22" s="124"/>
      <c r="DQ22" s="124"/>
      <c r="DR22" s="124"/>
      <c r="DS22" s="124"/>
      <c r="DT22" s="124"/>
      <c r="DU22" s="124"/>
      <c r="DV22" s="124"/>
      <c r="DW22" s="124"/>
      <c r="DX22" s="124"/>
      <c r="DY22" s="124"/>
      <c r="DZ22" s="124"/>
      <c r="EA22" s="124"/>
      <c r="EB22" s="124"/>
      <c r="EC22" s="124"/>
      <c r="ED22" s="124"/>
      <c r="EE22" s="124"/>
      <c r="EF22" s="124"/>
      <c r="EG22" s="124"/>
      <c r="EH22" s="124"/>
      <c r="EI22" s="124"/>
      <c r="EJ22" s="124"/>
      <c r="EK22" s="124"/>
      <c r="EL22" s="124"/>
      <c r="EM22" s="124"/>
      <c r="EN22" s="124"/>
      <c r="EO22" s="124"/>
      <c r="EP22" s="124"/>
      <c r="EQ22" s="124"/>
      <c r="ER22" s="124"/>
      <c r="ES22" s="124"/>
      <c r="ET22" s="124"/>
      <c r="EU22" s="124"/>
      <c r="EV22" s="124"/>
      <c r="EW22" s="124"/>
      <c r="EX22" s="124"/>
      <c r="EY22" s="124"/>
      <c r="EZ22" s="124"/>
      <c r="FA22" s="124"/>
      <c r="FB22" s="124"/>
      <c r="FC22" s="124"/>
      <c r="FD22" s="123" t="s">
        <v>127</v>
      </c>
      <c r="FE22" s="123" t="s">
        <v>127</v>
      </c>
      <c r="FF22" s="123" t="s">
        <v>127</v>
      </c>
      <c r="FG22" s="123" t="s">
        <v>127</v>
      </c>
      <c r="FH22" s="123" t="s">
        <v>127</v>
      </c>
      <c r="FI22" s="123" t="s">
        <v>127</v>
      </c>
      <c r="FJ22" s="123" t="s">
        <v>127</v>
      </c>
      <c r="FK22" s="123" t="s">
        <v>127</v>
      </c>
      <c r="FL22" s="123" t="s">
        <v>127</v>
      </c>
      <c r="FM22" s="123" t="s">
        <v>127</v>
      </c>
      <c r="FN22" s="123" t="s">
        <v>127</v>
      </c>
      <c r="FO22" s="123" t="s">
        <v>127</v>
      </c>
      <c r="FP22" s="123" t="s">
        <v>127</v>
      </c>
      <c r="FQ22" s="123" t="s">
        <v>127</v>
      </c>
      <c r="FR22" s="123" t="s">
        <v>127</v>
      </c>
      <c r="FS22" s="123" t="s">
        <v>127</v>
      </c>
      <c r="FT22" s="123" t="s">
        <v>127</v>
      </c>
      <c r="FU22" s="123" t="s">
        <v>127</v>
      </c>
      <c r="FV22" s="123" t="s">
        <v>127</v>
      </c>
      <c r="FW22" s="123" t="s">
        <v>127</v>
      </c>
      <c r="FX22" s="123" t="s">
        <v>127</v>
      </c>
      <c r="FY22" s="123" t="s">
        <v>127</v>
      </c>
      <c r="FZ22" s="123" t="s">
        <v>127</v>
      </c>
      <c r="GA22" s="123" t="s">
        <v>127</v>
      </c>
      <c r="GB22" s="123" t="s">
        <v>127</v>
      </c>
      <c r="GC22" s="123" t="s">
        <v>127</v>
      </c>
      <c r="GD22" s="123" t="s">
        <v>127</v>
      </c>
      <c r="GE22" s="123" t="s">
        <v>127</v>
      </c>
      <c r="GF22" s="123" t="s">
        <v>127</v>
      </c>
      <c r="GG22" s="123" t="s">
        <v>127</v>
      </c>
      <c r="GH22" s="123" t="s">
        <v>127</v>
      </c>
      <c r="GI22" s="123" t="s">
        <v>127</v>
      </c>
      <c r="GJ22" s="123" t="s">
        <v>127</v>
      </c>
      <c r="GK22" s="123" t="s">
        <v>127</v>
      </c>
      <c r="GL22" s="123" t="s">
        <v>127</v>
      </c>
      <c r="GM22" s="123" t="s">
        <v>127</v>
      </c>
      <c r="GN22" s="123" t="s">
        <v>127</v>
      </c>
      <c r="GO22" s="123" t="s">
        <v>127</v>
      </c>
      <c r="GP22" s="123" t="s">
        <v>127</v>
      </c>
      <c r="GQ22" s="123" t="s">
        <v>127</v>
      </c>
      <c r="GR22" s="123" t="s">
        <v>127</v>
      </c>
      <c r="GS22" s="123" t="s">
        <v>127</v>
      </c>
      <c r="GT22" s="123" t="s">
        <v>127</v>
      </c>
      <c r="GU22" s="123" t="s">
        <v>127</v>
      </c>
      <c r="GV22" s="123" t="s">
        <v>127</v>
      </c>
      <c r="GW22" s="123" t="s">
        <v>127</v>
      </c>
      <c r="GX22" s="123" t="s">
        <v>127</v>
      </c>
      <c r="GY22" s="123" t="s">
        <v>127</v>
      </c>
      <c r="GZ22" s="123" t="s">
        <v>127</v>
      </c>
      <c r="HA22" s="123" t="s">
        <v>127</v>
      </c>
      <c r="HB22" s="123" t="s">
        <v>127</v>
      </c>
      <c r="HC22" s="123" t="s">
        <v>127</v>
      </c>
      <c r="HD22" s="123" t="s">
        <v>127</v>
      </c>
      <c r="HE22" s="123" t="s">
        <v>127</v>
      </c>
      <c r="HF22" s="123" t="s">
        <v>127</v>
      </c>
      <c r="HG22" s="123" t="s">
        <v>127</v>
      </c>
      <c r="HH22" s="123" t="s">
        <v>127</v>
      </c>
      <c r="HI22" s="123" t="s">
        <v>127</v>
      </c>
      <c r="HJ22" s="123" t="s">
        <v>127</v>
      </c>
      <c r="HK22" s="123" t="s">
        <v>127</v>
      </c>
      <c r="HL22" s="123" t="s">
        <v>127</v>
      </c>
      <c r="HM22" s="123" t="s">
        <v>127</v>
      </c>
      <c r="HN22" s="123" t="s">
        <v>127</v>
      </c>
      <c r="HO22" s="123" t="s">
        <v>127</v>
      </c>
      <c r="HP22" s="123" t="s">
        <v>127</v>
      </c>
      <c r="HQ22" s="123" t="s">
        <v>127</v>
      </c>
      <c r="HR22" s="123" t="s">
        <v>127</v>
      </c>
      <c r="HS22" s="123" t="s">
        <v>127</v>
      </c>
      <c r="HT22" s="123" t="s">
        <v>127</v>
      </c>
      <c r="HU22" s="123" t="s">
        <v>127</v>
      </c>
      <c r="HV22" s="123" t="s">
        <v>127</v>
      </c>
      <c r="HW22" s="123" t="s">
        <v>127</v>
      </c>
      <c r="HX22" s="123" t="s">
        <v>127</v>
      </c>
      <c r="HY22" s="123" t="s">
        <v>127</v>
      </c>
      <c r="HZ22" s="123" t="s">
        <v>127</v>
      </c>
      <c r="IA22" s="123" t="s">
        <v>127</v>
      </c>
      <c r="IB22" s="123" t="s">
        <v>127</v>
      </c>
      <c r="IC22" s="123" t="s">
        <v>127</v>
      </c>
      <c r="ID22" s="123" t="s">
        <v>127</v>
      </c>
      <c r="IE22" s="123" t="s">
        <v>127</v>
      </c>
      <c r="IF22" s="123" t="s">
        <v>127</v>
      </c>
      <c r="IG22" s="123" t="s">
        <v>127</v>
      </c>
      <c r="IH22" s="123" t="s">
        <v>127</v>
      </c>
      <c r="II22" s="123" t="s">
        <v>127</v>
      </c>
      <c r="IJ22" s="123" t="s">
        <v>127</v>
      </c>
      <c r="IK22" s="123" t="s">
        <v>127</v>
      </c>
      <c r="IL22" s="123" t="s">
        <v>127</v>
      </c>
      <c r="IM22" s="123" t="s">
        <v>127</v>
      </c>
      <c r="IN22" s="123" t="s">
        <v>127</v>
      </c>
      <c r="IO22" s="123" t="s">
        <v>127</v>
      </c>
      <c r="IP22" s="124"/>
      <c r="IQ22" s="124"/>
    </row>
    <row r="23" spans="1:251" ht="24.9" customHeight="1">
      <c r="A23" s="149">
        <v>19</v>
      </c>
      <c r="B23" s="125"/>
      <c r="C23" s="125">
        <v>68702</v>
      </c>
      <c r="D23" s="125">
        <v>229885</v>
      </c>
      <c r="E23" s="126">
        <v>57</v>
      </c>
      <c r="F23" s="126">
        <v>47</v>
      </c>
      <c r="G23" s="224"/>
      <c r="H23" s="125">
        <v>125598</v>
      </c>
      <c r="I23" s="125">
        <v>76864</v>
      </c>
      <c r="J23" s="125">
        <v>3</v>
      </c>
      <c r="K23" s="125">
        <v>14550</v>
      </c>
      <c r="L23" s="126">
        <v>7</v>
      </c>
      <c r="M23" s="128">
        <v>11853</v>
      </c>
      <c r="N23" s="129">
        <v>7</v>
      </c>
      <c r="O23" s="128">
        <v>22085</v>
      </c>
      <c r="P23" s="129">
        <v>8</v>
      </c>
      <c r="Q23" s="183">
        <v>56846</v>
      </c>
      <c r="R23" s="184">
        <v>0</v>
      </c>
      <c r="S23" s="183">
        <v>25296</v>
      </c>
      <c r="T23" s="101">
        <v>1</v>
      </c>
      <c r="U23" s="183">
        <v>9515</v>
      </c>
      <c r="V23" s="105">
        <v>1543</v>
      </c>
      <c r="W23" s="101">
        <v>0</v>
      </c>
      <c r="X23" s="104">
        <v>32577</v>
      </c>
      <c r="Y23" s="101">
        <v>10</v>
      </c>
      <c r="Z23" s="185">
        <v>7836</v>
      </c>
      <c r="AA23" s="185">
        <v>6977</v>
      </c>
      <c r="AB23" s="101">
        <v>2</v>
      </c>
      <c r="AC23" s="105">
        <v>2169</v>
      </c>
      <c r="AD23" s="104">
        <v>1565</v>
      </c>
      <c r="AE23" s="101">
        <v>2</v>
      </c>
      <c r="AF23" s="133">
        <v>1</v>
      </c>
      <c r="AG23" s="218">
        <v>194300</v>
      </c>
      <c r="AH23" s="155">
        <v>97</v>
      </c>
      <c r="AI23" s="134">
        <v>115</v>
      </c>
      <c r="AJ23" s="134">
        <v>18</v>
      </c>
      <c r="AK23" s="99">
        <v>1616815</v>
      </c>
      <c r="AL23" s="99">
        <v>2094</v>
      </c>
      <c r="AM23" s="99">
        <v>59509</v>
      </c>
      <c r="AN23" s="100">
        <v>57</v>
      </c>
      <c r="AO23" s="105">
        <v>116836</v>
      </c>
      <c r="AP23" s="101">
        <v>0</v>
      </c>
      <c r="AQ23" s="105">
        <v>119447</v>
      </c>
      <c r="AR23" s="101">
        <v>82</v>
      </c>
      <c r="AS23" s="105">
        <v>1678418</v>
      </c>
      <c r="AT23" s="102">
        <v>2151</v>
      </c>
      <c r="AU23" s="134">
        <v>2400</v>
      </c>
      <c r="AV23" s="134">
        <v>249</v>
      </c>
      <c r="AW23" s="105">
        <v>27.45</v>
      </c>
      <c r="AX23" s="105">
        <v>0</v>
      </c>
      <c r="AY23" s="105">
        <v>0</v>
      </c>
      <c r="AZ23" s="104"/>
      <c r="BA23" s="105">
        <v>12678.85</v>
      </c>
      <c r="BB23" s="101">
        <v>17248.00000000032</v>
      </c>
      <c r="BC23" s="184">
        <v>27.45</v>
      </c>
      <c r="BD23" s="105">
        <v>0</v>
      </c>
      <c r="BE23" s="135">
        <v>0</v>
      </c>
      <c r="BF23" s="105">
        <v>12678.85</v>
      </c>
      <c r="BG23" s="105">
        <v>3.9200000000000728</v>
      </c>
      <c r="BH23" s="135">
        <v>17248.00000000032</v>
      </c>
      <c r="BI23" s="135">
        <v>17248.00000000032</v>
      </c>
      <c r="BJ23" s="161">
        <v>17213.00000000032</v>
      </c>
      <c r="BK23" s="135">
        <v>24321.71</v>
      </c>
      <c r="BL23" s="135">
        <v>880.99999999976717</v>
      </c>
      <c r="BM23" s="186">
        <v>18129.000000000087</v>
      </c>
      <c r="BN23" s="134">
        <v>16000</v>
      </c>
      <c r="BO23" s="134">
        <v>-2129.0000000000873</v>
      </c>
      <c r="BP23" s="219">
        <v>2850146</v>
      </c>
      <c r="BQ23" s="135">
        <v>23</v>
      </c>
      <c r="BR23" s="187">
        <v>3823306</v>
      </c>
      <c r="BS23" s="135">
        <v>12</v>
      </c>
      <c r="BT23" s="126">
        <v>35</v>
      </c>
      <c r="BU23" s="124">
        <v>71</v>
      </c>
      <c r="BV23" s="124">
        <v>103</v>
      </c>
      <c r="BW23" s="140"/>
      <c r="BX23" s="140"/>
      <c r="BY23" s="140"/>
      <c r="BZ23" s="140"/>
      <c r="CA23" s="140"/>
      <c r="CB23" s="140"/>
      <c r="CC23" s="140"/>
      <c r="CD23" s="140"/>
      <c r="CE23" s="140"/>
      <c r="CF23" s="140"/>
      <c r="CG23" s="140"/>
      <c r="CH23" s="124"/>
      <c r="CI23" s="124"/>
      <c r="CJ23" s="124"/>
      <c r="CK23" s="124"/>
      <c r="CL23" s="124"/>
      <c r="CM23" s="124"/>
      <c r="CN23" s="124"/>
      <c r="CO23" s="124"/>
      <c r="CP23" s="124"/>
      <c r="CQ23" s="124"/>
      <c r="CR23" s="124"/>
      <c r="CS23" s="124"/>
      <c r="CT23" s="124"/>
      <c r="CU23" s="124"/>
      <c r="CV23" s="124"/>
      <c r="CW23" s="124"/>
      <c r="CX23" s="124"/>
      <c r="CY23" s="124"/>
      <c r="CZ23" s="124"/>
      <c r="DA23" s="124"/>
      <c r="DB23" s="124"/>
      <c r="DC23" s="124"/>
      <c r="DD23" s="124"/>
      <c r="DE23" s="124"/>
      <c r="DF23" s="124"/>
      <c r="DG23" s="124"/>
      <c r="DH23" s="124"/>
      <c r="DI23" s="124"/>
      <c r="DJ23" s="124"/>
      <c r="DK23" s="124"/>
      <c r="DL23" s="124"/>
      <c r="DM23" s="124"/>
      <c r="DN23" s="124"/>
      <c r="DO23" s="124"/>
      <c r="DP23" s="124"/>
      <c r="DQ23" s="124"/>
      <c r="DR23" s="124"/>
      <c r="DS23" s="124"/>
      <c r="DT23" s="124"/>
      <c r="DU23" s="124"/>
      <c r="DV23" s="124"/>
      <c r="DW23" s="124"/>
      <c r="DX23" s="124"/>
      <c r="DY23" s="124"/>
      <c r="DZ23" s="124"/>
      <c r="EA23" s="124"/>
      <c r="EB23" s="124"/>
      <c r="EC23" s="124"/>
      <c r="ED23" s="124"/>
      <c r="EE23" s="124"/>
      <c r="EF23" s="124"/>
      <c r="EG23" s="124"/>
      <c r="EH23" s="124"/>
      <c r="EI23" s="124"/>
      <c r="EJ23" s="124"/>
      <c r="EK23" s="124"/>
      <c r="EL23" s="124"/>
      <c r="EM23" s="124"/>
      <c r="EN23" s="124"/>
      <c r="EO23" s="124"/>
      <c r="EP23" s="124"/>
      <c r="EQ23" s="124"/>
      <c r="ER23" s="124"/>
      <c r="ES23" s="124"/>
      <c r="ET23" s="124"/>
      <c r="EU23" s="124"/>
      <c r="EV23" s="124"/>
      <c r="EW23" s="124"/>
      <c r="EX23" s="124"/>
      <c r="EY23" s="124"/>
      <c r="EZ23" s="124"/>
      <c r="FA23" s="124"/>
      <c r="FB23" s="124"/>
      <c r="FC23" s="124"/>
      <c r="FD23" s="123" t="s">
        <v>127</v>
      </c>
      <c r="FE23" s="123" t="s">
        <v>127</v>
      </c>
      <c r="FF23" s="123" t="s">
        <v>127</v>
      </c>
      <c r="FG23" s="123" t="s">
        <v>127</v>
      </c>
      <c r="FH23" s="123" t="s">
        <v>127</v>
      </c>
      <c r="FI23" s="123" t="s">
        <v>127</v>
      </c>
      <c r="FJ23" s="123" t="s">
        <v>127</v>
      </c>
      <c r="FK23" s="123" t="s">
        <v>127</v>
      </c>
      <c r="FL23" s="123" t="s">
        <v>127</v>
      </c>
      <c r="FM23" s="123" t="s">
        <v>127</v>
      </c>
      <c r="FN23" s="123" t="s">
        <v>127</v>
      </c>
      <c r="FO23" s="123" t="s">
        <v>127</v>
      </c>
      <c r="FP23" s="123" t="s">
        <v>127</v>
      </c>
      <c r="FQ23" s="123" t="s">
        <v>127</v>
      </c>
      <c r="FR23" s="123" t="s">
        <v>127</v>
      </c>
      <c r="FS23" s="123" t="s">
        <v>127</v>
      </c>
      <c r="FT23" s="123" t="s">
        <v>127</v>
      </c>
      <c r="FU23" s="123" t="s">
        <v>127</v>
      </c>
      <c r="FV23" s="123" t="s">
        <v>127</v>
      </c>
      <c r="FW23" s="123" t="s">
        <v>127</v>
      </c>
      <c r="FX23" s="123" t="s">
        <v>127</v>
      </c>
      <c r="FY23" s="123" t="s">
        <v>127</v>
      </c>
      <c r="FZ23" s="123" t="s">
        <v>127</v>
      </c>
      <c r="GA23" s="123" t="s">
        <v>127</v>
      </c>
      <c r="GB23" s="123" t="s">
        <v>127</v>
      </c>
      <c r="GC23" s="123" t="s">
        <v>127</v>
      </c>
      <c r="GD23" s="123" t="s">
        <v>127</v>
      </c>
      <c r="GE23" s="123" t="s">
        <v>127</v>
      </c>
      <c r="GF23" s="123" t="s">
        <v>127</v>
      </c>
      <c r="GG23" s="123" t="s">
        <v>127</v>
      </c>
      <c r="GH23" s="123" t="s">
        <v>127</v>
      </c>
      <c r="GI23" s="123" t="s">
        <v>127</v>
      </c>
      <c r="GJ23" s="123" t="s">
        <v>127</v>
      </c>
      <c r="GK23" s="123" t="s">
        <v>127</v>
      </c>
      <c r="GL23" s="123" t="s">
        <v>127</v>
      </c>
      <c r="GM23" s="123" t="s">
        <v>127</v>
      </c>
      <c r="GN23" s="123" t="s">
        <v>127</v>
      </c>
      <c r="GO23" s="123" t="s">
        <v>127</v>
      </c>
      <c r="GP23" s="123" t="s">
        <v>127</v>
      </c>
      <c r="GQ23" s="123" t="s">
        <v>127</v>
      </c>
      <c r="GR23" s="123" t="s">
        <v>127</v>
      </c>
      <c r="GS23" s="123" t="s">
        <v>127</v>
      </c>
      <c r="GT23" s="123" t="s">
        <v>127</v>
      </c>
      <c r="GU23" s="123" t="s">
        <v>127</v>
      </c>
      <c r="GV23" s="123" t="s">
        <v>127</v>
      </c>
      <c r="GW23" s="123" t="s">
        <v>127</v>
      </c>
      <c r="GX23" s="123" t="s">
        <v>127</v>
      </c>
      <c r="GY23" s="123" t="s">
        <v>127</v>
      </c>
      <c r="GZ23" s="123" t="s">
        <v>127</v>
      </c>
      <c r="HA23" s="123" t="s">
        <v>127</v>
      </c>
      <c r="HB23" s="123" t="s">
        <v>127</v>
      </c>
      <c r="HC23" s="123" t="s">
        <v>127</v>
      </c>
      <c r="HD23" s="123" t="s">
        <v>127</v>
      </c>
      <c r="HE23" s="123" t="s">
        <v>127</v>
      </c>
      <c r="HF23" s="123" t="s">
        <v>127</v>
      </c>
      <c r="HG23" s="123" t="s">
        <v>127</v>
      </c>
      <c r="HH23" s="123" t="s">
        <v>127</v>
      </c>
      <c r="HI23" s="123" t="s">
        <v>127</v>
      </c>
      <c r="HJ23" s="123" t="s">
        <v>127</v>
      </c>
      <c r="HK23" s="123" t="s">
        <v>127</v>
      </c>
      <c r="HL23" s="123" t="s">
        <v>127</v>
      </c>
      <c r="HM23" s="123" t="s">
        <v>127</v>
      </c>
      <c r="HN23" s="123" t="s">
        <v>127</v>
      </c>
      <c r="HO23" s="123" t="s">
        <v>127</v>
      </c>
      <c r="HP23" s="123" t="s">
        <v>127</v>
      </c>
      <c r="HQ23" s="123" t="s">
        <v>127</v>
      </c>
      <c r="HR23" s="123" t="s">
        <v>127</v>
      </c>
      <c r="HS23" s="123" t="s">
        <v>127</v>
      </c>
      <c r="HT23" s="123" t="s">
        <v>127</v>
      </c>
      <c r="HU23" s="123" t="s">
        <v>127</v>
      </c>
      <c r="HV23" s="123" t="s">
        <v>127</v>
      </c>
      <c r="HW23" s="123" t="s">
        <v>127</v>
      </c>
      <c r="HX23" s="123" t="s">
        <v>127</v>
      </c>
      <c r="HY23" s="123" t="s">
        <v>127</v>
      </c>
      <c r="HZ23" s="123" t="s">
        <v>127</v>
      </c>
      <c r="IA23" s="123" t="s">
        <v>127</v>
      </c>
      <c r="IB23" s="123" t="s">
        <v>127</v>
      </c>
      <c r="IC23" s="123" t="s">
        <v>127</v>
      </c>
      <c r="ID23" s="123" t="s">
        <v>127</v>
      </c>
      <c r="IE23" s="123" t="s">
        <v>127</v>
      </c>
      <c r="IF23" s="123" t="s">
        <v>127</v>
      </c>
      <c r="IG23" s="123" t="s">
        <v>127</v>
      </c>
      <c r="IH23" s="123" t="s">
        <v>127</v>
      </c>
      <c r="II23" s="123" t="s">
        <v>127</v>
      </c>
      <c r="IJ23" s="123" t="s">
        <v>127</v>
      </c>
      <c r="IK23" s="123" t="s">
        <v>127</v>
      </c>
      <c r="IL23" s="123" t="s">
        <v>127</v>
      </c>
      <c r="IM23" s="123" t="s">
        <v>127</v>
      </c>
      <c r="IN23" s="123" t="s">
        <v>127</v>
      </c>
      <c r="IO23" s="123" t="s">
        <v>127</v>
      </c>
      <c r="IP23" s="124"/>
      <c r="IQ23" s="124"/>
    </row>
    <row r="24" spans="1:251" ht="24.9" customHeight="1">
      <c r="A24" s="149">
        <v>20</v>
      </c>
      <c r="B24" s="125"/>
      <c r="C24" s="125">
        <v>68771</v>
      </c>
      <c r="D24" s="125">
        <v>229937</v>
      </c>
      <c r="E24" s="126">
        <v>52</v>
      </c>
      <c r="F24" s="126">
        <v>35</v>
      </c>
      <c r="G24" s="224"/>
      <c r="H24" s="125">
        <v>125650</v>
      </c>
      <c r="I24" s="125">
        <v>76886</v>
      </c>
      <c r="J24" s="125">
        <v>22</v>
      </c>
      <c r="K24" s="125">
        <v>14554</v>
      </c>
      <c r="L24" s="126">
        <v>4</v>
      </c>
      <c r="M24" s="128">
        <v>11859</v>
      </c>
      <c r="N24" s="129">
        <v>6</v>
      </c>
      <c r="O24" s="128">
        <v>22085</v>
      </c>
      <c r="P24" s="129">
        <v>0</v>
      </c>
      <c r="Q24" s="183">
        <v>56851</v>
      </c>
      <c r="R24" s="184">
        <v>5</v>
      </c>
      <c r="S24" s="183">
        <v>25297</v>
      </c>
      <c r="T24" s="101">
        <v>1</v>
      </c>
      <c r="U24" s="183">
        <v>9515</v>
      </c>
      <c r="V24" s="105">
        <v>1552</v>
      </c>
      <c r="W24" s="101">
        <v>9</v>
      </c>
      <c r="X24" s="104">
        <v>32594</v>
      </c>
      <c r="Y24" s="101">
        <v>17</v>
      </c>
      <c r="Z24" s="185">
        <v>7836</v>
      </c>
      <c r="AA24" s="185">
        <v>6979</v>
      </c>
      <c r="AB24" s="101">
        <v>2</v>
      </c>
      <c r="AC24" s="105">
        <v>2171</v>
      </c>
      <c r="AD24" s="104">
        <v>1567</v>
      </c>
      <c r="AE24" s="101">
        <v>4</v>
      </c>
      <c r="AF24" s="133">
        <v>15</v>
      </c>
      <c r="AG24" s="218">
        <v>194421</v>
      </c>
      <c r="AH24" s="155">
        <v>121</v>
      </c>
      <c r="AI24" s="134">
        <v>115</v>
      </c>
      <c r="AJ24" s="134">
        <v>-6</v>
      </c>
      <c r="AK24" s="99">
        <v>1619219</v>
      </c>
      <c r="AL24" s="99">
        <v>2404</v>
      </c>
      <c r="AM24" s="99">
        <v>59557</v>
      </c>
      <c r="AN24" s="100">
        <v>48</v>
      </c>
      <c r="AO24" s="105">
        <v>116836</v>
      </c>
      <c r="AP24" s="101">
        <v>0</v>
      </c>
      <c r="AQ24" s="105">
        <v>120105</v>
      </c>
      <c r="AR24" s="101">
        <v>658</v>
      </c>
      <c r="AS24" s="105">
        <v>1681180</v>
      </c>
      <c r="AT24" s="102">
        <v>2452</v>
      </c>
      <c r="AU24" s="134">
        <v>2400</v>
      </c>
      <c r="AV24" s="134">
        <v>-52</v>
      </c>
      <c r="AW24" s="105">
        <v>27.45</v>
      </c>
      <c r="AX24" s="105">
        <v>0</v>
      </c>
      <c r="AY24" s="105">
        <v>0</v>
      </c>
      <c r="AZ24" s="104"/>
      <c r="BA24" s="105">
        <v>12682.04</v>
      </c>
      <c r="BB24" s="101">
        <v>14036.000000002241</v>
      </c>
      <c r="BC24" s="184">
        <v>27.45</v>
      </c>
      <c r="BD24" s="105">
        <v>0</v>
      </c>
      <c r="BE24" s="135">
        <v>0</v>
      </c>
      <c r="BF24" s="105">
        <v>12682.04</v>
      </c>
      <c r="BG24" s="105">
        <v>3.1900000000005093</v>
      </c>
      <c r="BH24" s="135">
        <v>14036.000000002241</v>
      </c>
      <c r="BI24" s="135">
        <v>14036.000000002241</v>
      </c>
      <c r="BJ24" s="161">
        <v>14004.000000002241</v>
      </c>
      <c r="BK24" s="135">
        <v>24331.72</v>
      </c>
      <c r="BL24" s="135">
        <v>1001.0000000002037</v>
      </c>
      <c r="BM24" s="186">
        <v>15037.000000002445</v>
      </c>
      <c r="BN24" s="134">
        <v>16000</v>
      </c>
      <c r="BO24" s="134">
        <v>962.99999999755528</v>
      </c>
      <c r="BP24" s="219">
        <v>2850166</v>
      </c>
      <c r="BQ24" s="135">
        <v>20</v>
      </c>
      <c r="BR24" s="187">
        <v>3823318</v>
      </c>
      <c r="BS24" s="135">
        <v>12</v>
      </c>
      <c r="BT24" s="126">
        <v>32</v>
      </c>
      <c r="BU24" s="124">
        <v>68</v>
      </c>
      <c r="BV24" s="124">
        <v>106</v>
      </c>
      <c r="BW24" s="140"/>
      <c r="BX24" s="140"/>
      <c r="BY24" s="140"/>
      <c r="BZ24" s="140"/>
      <c r="CA24" s="140"/>
      <c r="CB24" s="140"/>
      <c r="CC24" s="140"/>
      <c r="CD24" s="140"/>
      <c r="CE24" s="140"/>
      <c r="CF24" s="140"/>
      <c r="CG24" s="140"/>
      <c r="CH24" s="124"/>
      <c r="CI24" s="124"/>
      <c r="CJ24" s="124"/>
      <c r="CK24" s="124"/>
      <c r="CL24" s="124"/>
      <c r="CM24" s="124"/>
      <c r="CN24" s="124"/>
      <c r="CO24" s="124"/>
      <c r="CP24" s="124"/>
      <c r="CQ24" s="124"/>
      <c r="CR24" s="124"/>
      <c r="CS24" s="124"/>
      <c r="CT24" s="124"/>
      <c r="CU24" s="124"/>
      <c r="CV24" s="124"/>
      <c r="CW24" s="124"/>
      <c r="CX24" s="124"/>
      <c r="CY24" s="124"/>
      <c r="CZ24" s="124"/>
      <c r="DA24" s="124"/>
      <c r="DB24" s="124"/>
      <c r="DC24" s="124"/>
      <c r="DD24" s="124"/>
      <c r="DE24" s="124"/>
      <c r="DF24" s="124"/>
      <c r="DG24" s="124"/>
      <c r="DH24" s="124"/>
      <c r="DI24" s="124"/>
      <c r="DJ24" s="124"/>
      <c r="DK24" s="124"/>
      <c r="DL24" s="124"/>
      <c r="DM24" s="124"/>
      <c r="DN24" s="124"/>
      <c r="DO24" s="124"/>
      <c r="DP24" s="124"/>
      <c r="DQ24" s="124"/>
      <c r="DR24" s="124"/>
      <c r="DS24" s="124"/>
      <c r="DT24" s="124"/>
      <c r="DU24" s="124"/>
      <c r="DV24" s="124"/>
      <c r="DW24" s="124"/>
      <c r="DX24" s="124"/>
      <c r="DY24" s="124"/>
      <c r="DZ24" s="124"/>
      <c r="EA24" s="124"/>
      <c r="EB24" s="124"/>
      <c r="EC24" s="124"/>
      <c r="ED24" s="124"/>
      <c r="EE24" s="124"/>
      <c r="EF24" s="124"/>
      <c r="EG24" s="124"/>
      <c r="EH24" s="124"/>
      <c r="EI24" s="124"/>
      <c r="EJ24" s="124"/>
      <c r="EK24" s="124"/>
      <c r="EL24" s="124"/>
      <c r="EM24" s="124"/>
      <c r="EN24" s="124"/>
      <c r="EO24" s="124"/>
      <c r="EP24" s="124"/>
      <c r="EQ24" s="124"/>
      <c r="ER24" s="124"/>
      <c r="ES24" s="124"/>
      <c r="ET24" s="124"/>
      <c r="EU24" s="124"/>
      <c r="EV24" s="124"/>
      <c r="EW24" s="124"/>
      <c r="EX24" s="124"/>
      <c r="EY24" s="124"/>
      <c r="EZ24" s="124"/>
      <c r="FA24" s="124"/>
      <c r="FB24" s="124"/>
      <c r="FC24" s="124"/>
      <c r="FD24" s="123" t="s">
        <v>127</v>
      </c>
      <c r="FE24" s="123" t="s">
        <v>127</v>
      </c>
      <c r="FF24" s="123" t="s">
        <v>127</v>
      </c>
      <c r="FG24" s="123" t="s">
        <v>127</v>
      </c>
      <c r="FH24" s="123" t="s">
        <v>127</v>
      </c>
      <c r="FI24" s="123" t="s">
        <v>127</v>
      </c>
      <c r="FJ24" s="123" t="s">
        <v>127</v>
      </c>
      <c r="FK24" s="123" t="s">
        <v>127</v>
      </c>
      <c r="FL24" s="123" t="s">
        <v>127</v>
      </c>
      <c r="FM24" s="123" t="s">
        <v>127</v>
      </c>
      <c r="FN24" s="123" t="s">
        <v>127</v>
      </c>
      <c r="FO24" s="123" t="s">
        <v>127</v>
      </c>
      <c r="FP24" s="123" t="s">
        <v>127</v>
      </c>
      <c r="FQ24" s="123" t="s">
        <v>127</v>
      </c>
      <c r="FR24" s="123" t="s">
        <v>127</v>
      </c>
      <c r="FS24" s="123" t="s">
        <v>127</v>
      </c>
      <c r="FT24" s="123" t="s">
        <v>127</v>
      </c>
      <c r="FU24" s="123" t="s">
        <v>127</v>
      </c>
      <c r="FV24" s="123" t="s">
        <v>127</v>
      </c>
      <c r="FW24" s="123" t="s">
        <v>127</v>
      </c>
      <c r="FX24" s="123" t="s">
        <v>127</v>
      </c>
      <c r="FY24" s="123" t="s">
        <v>127</v>
      </c>
      <c r="FZ24" s="123" t="s">
        <v>127</v>
      </c>
      <c r="GA24" s="123" t="s">
        <v>127</v>
      </c>
      <c r="GB24" s="123" t="s">
        <v>127</v>
      </c>
      <c r="GC24" s="123" t="s">
        <v>127</v>
      </c>
      <c r="GD24" s="123" t="s">
        <v>127</v>
      </c>
      <c r="GE24" s="123" t="s">
        <v>127</v>
      </c>
      <c r="GF24" s="123" t="s">
        <v>127</v>
      </c>
      <c r="GG24" s="123" t="s">
        <v>127</v>
      </c>
      <c r="GH24" s="123" t="s">
        <v>127</v>
      </c>
      <c r="GI24" s="123" t="s">
        <v>127</v>
      </c>
      <c r="GJ24" s="123" t="s">
        <v>127</v>
      </c>
      <c r="GK24" s="123" t="s">
        <v>127</v>
      </c>
      <c r="GL24" s="123" t="s">
        <v>127</v>
      </c>
      <c r="GM24" s="123" t="s">
        <v>127</v>
      </c>
      <c r="GN24" s="123" t="s">
        <v>127</v>
      </c>
      <c r="GO24" s="123" t="s">
        <v>127</v>
      </c>
      <c r="GP24" s="123" t="s">
        <v>127</v>
      </c>
      <c r="GQ24" s="123" t="s">
        <v>127</v>
      </c>
      <c r="GR24" s="123" t="s">
        <v>127</v>
      </c>
      <c r="GS24" s="123" t="s">
        <v>127</v>
      </c>
      <c r="GT24" s="123" t="s">
        <v>127</v>
      </c>
      <c r="GU24" s="123" t="s">
        <v>127</v>
      </c>
      <c r="GV24" s="123" t="s">
        <v>127</v>
      </c>
      <c r="GW24" s="123" t="s">
        <v>127</v>
      </c>
      <c r="GX24" s="123" t="s">
        <v>127</v>
      </c>
      <c r="GY24" s="123" t="s">
        <v>127</v>
      </c>
      <c r="GZ24" s="123" t="s">
        <v>127</v>
      </c>
      <c r="HA24" s="123" t="s">
        <v>127</v>
      </c>
      <c r="HB24" s="123" t="s">
        <v>127</v>
      </c>
      <c r="HC24" s="123" t="s">
        <v>127</v>
      </c>
      <c r="HD24" s="123" t="s">
        <v>127</v>
      </c>
      <c r="HE24" s="123" t="s">
        <v>127</v>
      </c>
      <c r="HF24" s="123" t="s">
        <v>127</v>
      </c>
      <c r="HG24" s="123" t="s">
        <v>127</v>
      </c>
      <c r="HH24" s="123" t="s">
        <v>127</v>
      </c>
      <c r="HI24" s="123" t="s">
        <v>127</v>
      </c>
      <c r="HJ24" s="123" t="s">
        <v>127</v>
      </c>
      <c r="HK24" s="123" t="s">
        <v>127</v>
      </c>
      <c r="HL24" s="123" t="s">
        <v>127</v>
      </c>
      <c r="HM24" s="123" t="s">
        <v>127</v>
      </c>
      <c r="HN24" s="123" t="s">
        <v>127</v>
      </c>
      <c r="HO24" s="123" t="s">
        <v>127</v>
      </c>
      <c r="HP24" s="123" t="s">
        <v>127</v>
      </c>
      <c r="HQ24" s="123" t="s">
        <v>127</v>
      </c>
      <c r="HR24" s="123" t="s">
        <v>127</v>
      </c>
      <c r="HS24" s="123" t="s">
        <v>127</v>
      </c>
      <c r="HT24" s="123" t="s">
        <v>127</v>
      </c>
      <c r="HU24" s="123" t="s">
        <v>127</v>
      </c>
      <c r="HV24" s="123" t="s">
        <v>127</v>
      </c>
      <c r="HW24" s="123" t="s">
        <v>127</v>
      </c>
      <c r="HX24" s="123" t="s">
        <v>127</v>
      </c>
      <c r="HY24" s="123" t="s">
        <v>127</v>
      </c>
      <c r="HZ24" s="123" t="s">
        <v>127</v>
      </c>
      <c r="IA24" s="123" t="s">
        <v>127</v>
      </c>
      <c r="IB24" s="123" t="s">
        <v>127</v>
      </c>
      <c r="IC24" s="123" t="s">
        <v>127</v>
      </c>
      <c r="ID24" s="123" t="s">
        <v>127</v>
      </c>
      <c r="IE24" s="123" t="s">
        <v>127</v>
      </c>
      <c r="IF24" s="123" t="s">
        <v>127</v>
      </c>
      <c r="IG24" s="123" t="s">
        <v>127</v>
      </c>
      <c r="IH24" s="123" t="s">
        <v>127</v>
      </c>
      <c r="II24" s="123" t="s">
        <v>127</v>
      </c>
      <c r="IJ24" s="123" t="s">
        <v>127</v>
      </c>
      <c r="IK24" s="123" t="s">
        <v>127</v>
      </c>
      <c r="IL24" s="123" t="s">
        <v>127</v>
      </c>
      <c r="IM24" s="123" t="s">
        <v>127</v>
      </c>
      <c r="IN24" s="123" t="s">
        <v>127</v>
      </c>
      <c r="IO24" s="123" t="s">
        <v>127</v>
      </c>
      <c r="IP24" s="124"/>
      <c r="IQ24" s="124"/>
    </row>
    <row r="25" spans="1:251" ht="24.9" customHeight="1">
      <c r="A25" s="149">
        <v>21</v>
      </c>
      <c r="B25" s="125"/>
      <c r="C25" s="125">
        <v>68824</v>
      </c>
      <c r="D25" s="125">
        <v>229994</v>
      </c>
      <c r="E25" s="126">
        <v>57</v>
      </c>
      <c r="F25" s="126">
        <v>46</v>
      </c>
      <c r="G25" s="224"/>
      <c r="H25" s="125">
        <v>125693</v>
      </c>
      <c r="I25" s="125">
        <v>76889</v>
      </c>
      <c r="J25" s="125">
        <v>3</v>
      </c>
      <c r="K25" s="125">
        <v>14560</v>
      </c>
      <c r="L25" s="126">
        <v>6</v>
      </c>
      <c r="M25" s="128">
        <v>11866</v>
      </c>
      <c r="N25" s="129">
        <v>7</v>
      </c>
      <c r="O25" s="128">
        <v>22091</v>
      </c>
      <c r="P25" s="129">
        <v>6</v>
      </c>
      <c r="Q25" s="183">
        <v>56851</v>
      </c>
      <c r="R25" s="184">
        <v>0</v>
      </c>
      <c r="S25" s="183">
        <v>25298</v>
      </c>
      <c r="T25" s="101">
        <v>1</v>
      </c>
      <c r="U25" s="183">
        <v>9515</v>
      </c>
      <c r="V25" s="105">
        <v>1553</v>
      </c>
      <c r="W25" s="101">
        <v>1</v>
      </c>
      <c r="X25" s="104">
        <v>32605</v>
      </c>
      <c r="Y25" s="101">
        <v>11</v>
      </c>
      <c r="Z25" s="185">
        <v>7837</v>
      </c>
      <c r="AA25" s="185">
        <v>6980</v>
      </c>
      <c r="AB25" s="101">
        <v>2</v>
      </c>
      <c r="AC25" s="105">
        <v>2172</v>
      </c>
      <c r="AD25" s="104">
        <v>1568</v>
      </c>
      <c r="AE25" s="101">
        <v>2</v>
      </c>
      <c r="AF25" s="133">
        <v>2</v>
      </c>
      <c r="AG25" s="218">
        <v>194517</v>
      </c>
      <c r="AH25" s="155">
        <v>96</v>
      </c>
      <c r="AI25" s="134">
        <v>115</v>
      </c>
      <c r="AJ25" s="134">
        <v>19</v>
      </c>
      <c r="AK25" s="99">
        <v>1621491</v>
      </c>
      <c r="AL25" s="99">
        <v>2272</v>
      </c>
      <c r="AM25" s="99">
        <v>59594</v>
      </c>
      <c r="AN25" s="100">
        <v>37</v>
      </c>
      <c r="AO25" s="105">
        <v>116836</v>
      </c>
      <c r="AP25" s="101">
        <v>0</v>
      </c>
      <c r="AQ25" s="105">
        <v>120190</v>
      </c>
      <c r="AR25" s="101">
        <v>85</v>
      </c>
      <c r="AS25" s="105">
        <v>1683357</v>
      </c>
      <c r="AT25" s="102">
        <v>2309</v>
      </c>
      <c r="AU25" s="134">
        <v>2400</v>
      </c>
      <c r="AV25" s="134">
        <v>91</v>
      </c>
      <c r="AW25" s="105">
        <v>27.45</v>
      </c>
      <c r="AX25" s="105">
        <v>0</v>
      </c>
      <c r="AY25" s="105">
        <v>0</v>
      </c>
      <c r="AZ25" s="104"/>
      <c r="BA25" s="105">
        <v>12685.51</v>
      </c>
      <c r="BB25" s="101">
        <v>15267.999999997119</v>
      </c>
      <c r="BC25" s="184">
        <v>27.45</v>
      </c>
      <c r="BD25" s="105">
        <v>0</v>
      </c>
      <c r="BE25" s="135">
        <v>0</v>
      </c>
      <c r="BF25" s="105">
        <v>12685.51</v>
      </c>
      <c r="BG25" s="105">
        <v>3.4699999999993452</v>
      </c>
      <c r="BH25" s="135">
        <v>15267.999999997119</v>
      </c>
      <c r="BI25" s="135">
        <v>15267.999999997119</v>
      </c>
      <c r="BJ25" s="161">
        <v>15235.999999997119</v>
      </c>
      <c r="BK25" s="135">
        <v>24341.53</v>
      </c>
      <c r="BL25" s="135">
        <v>980.99999999976717</v>
      </c>
      <c r="BM25" s="186">
        <v>16248.999999996886</v>
      </c>
      <c r="BN25" s="134">
        <v>16000</v>
      </c>
      <c r="BO25" s="134">
        <v>-248.99999999688589</v>
      </c>
      <c r="BP25" s="219">
        <v>2850186</v>
      </c>
      <c r="BQ25" s="135">
        <v>20</v>
      </c>
      <c r="BR25" s="187">
        <v>3823330</v>
      </c>
      <c r="BS25" s="135">
        <v>12</v>
      </c>
      <c r="BT25" s="126">
        <v>32</v>
      </c>
      <c r="BU25" s="124">
        <v>72</v>
      </c>
      <c r="BV25" s="124">
        <v>121</v>
      </c>
      <c r="BW25" s="140"/>
      <c r="BX25" s="140"/>
      <c r="BY25" s="140"/>
      <c r="BZ25" s="140"/>
      <c r="CA25" s="140"/>
      <c r="CB25" s="140"/>
      <c r="CC25" s="140"/>
      <c r="CD25" s="140"/>
      <c r="CE25" s="140"/>
      <c r="CF25" s="140"/>
      <c r="CG25" s="140"/>
      <c r="CH25" s="124"/>
      <c r="CI25" s="124"/>
      <c r="CJ25" s="124"/>
      <c r="CK25" s="124"/>
      <c r="CL25" s="124"/>
      <c r="CM25" s="124"/>
      <c r="CN25" s="124"/>
      <c r="CO25" s="124"/>
      <c r="CP25" s="124"/>
      <c r="CQ25" s="124"/>
      <c r="CR25" s="124"/>
      <c r="CS25" s="124"/>
      <c r="CT25" s="124"/>
      <c r="CU25" s="124"/>
      <c r="CV25" s="124"/>
      <c r="CW25" s="124"/>
      <c r="CX25" s="124"/>
      <c r="CY25" s="124"/>
      <c r="CZ25" s="124"/>
      <c r="DA25" s="124"/>
      <c r="DB25" s="124"/>
      <c r="DC25" s="124"/>
      <c r="DD25" s="124"/>
      <c r="DE25" s="124"/>
      <c r="DF25" s="124"/>
      <c r="DG25" s="124"/>
      <c r="DH25" s="124"/>
      <c r="DI25" s="124"/>
      <c r="DJ25" s="124"/>
      <c r="DK25" s="124"/>
      <c r="DL25" s="124"/>
      <c r="DM25" s="124"/>
      <c r="DN25" s="124"/>
      <c r="DO25" s="124"/>
      <c r="DP25" s="124"/>
      <c r="DQ25" s="124"/>
      <c r="DR25" s="124"/>
      <c r="DS25" s="124"/>
      <c r="DT25" s="124"/>
      <c r="DU25" s="124"/>
      <c r="DV25" s="124"/>
      <c r="DW25" s="124"/>
      <c r="DX25" s="124"/>
      <c r="DY25" s="124"/>
      <c r="DZ25" s="124"/>
      <c r="EA25" s="124"/>
      <c r="EB25" s="124"/>
      <c r="EC25" s="124"/>
      <c r="ED25" s="124"/>
      <c r="EE25" s="124"/>
      <c r="EF25" s="124"/>
      <c r="EG25" s="124"/>
      <c r="EH25" s="124"/>
      <c r="EI25" s="124"/>
      <c r="EJ25" s="124"/>
      <c r="EK25" s="124"/>
      <c r="EL25" s="124"/>
      <c r="EM25" s="124"/>
      <c r="EN25" s="124"/>
      <c r="EO25" s="124"/>
      <c r="EP25" s="124"/>
      <c r="EQ25" s="124"/>
      <c r="ER25" s="124"/>
      <c r="ES25" s="124"/>
      <c r="ET25" s="124"/>
      <c r="EU25" s="124"/>
      <c r="EV25" s="124"/>
      <c r="EW25" s="124"/>
      <c r="EX25" s="124"/>
      <c r="EY25" s="124"/>
      <c r="EZ25" s="124"/>
      <c r="FA25" s="124"/>
      <c r="FB25" s="124"/>
      <c r="FC25" s="124"/>
      <c r="FD25" s="123" t="s">
        <v>127</v>
      </c>
      <c r="FE25" s="123" t="s">
        <v>127</v>
      </c>
      <c r="FF25" s="123" t="s">
        <v>127</v>
      </c>
      <c r="FG25" s="123" t="s">
        <v>127</v>
      </c>
      <c r="FH25" s="123" t="s">
        <v>127</v>
      </c>
      <c r="FI25" s="123" t="s">
        <v>127</v>
      </c>
      <c r="FJ25" s="123" t="s">
        <v>127</v>
      </c>
      <c r="FK25" s="123" t="s">
        <v>127</v>
      </c>
      <c r="FL25" s="123" t="s">
        <v>127</v>
      </c>
      <c r="FM25" s="123" t="s">
        <v>127</v>
      </c>
      <c r="FN25" s="123" t="s">
        <v>127</v>
      </c>
      <c r="FO25" s="123" t="s">
        <v>127</v>
      </c>
      <c r="FP25" s="123" t="s">
        <v>127</v>
      </c>
      <c r="FQ25" s="123" t="s">
        <v>127</v>
      </c>
      <c r="FR25" s="123" t="s">
        <v>127</v>
      </c>
      <c r="FS25" s="123" t="s">
        <v>127</v>
      </c>
      <c r="FT25" s="123" t="s">
        <v>127</v>
      </c>
      <c r="FU25" s="123" t="s">
        <v>127</v>
      </c>
      <c r="FV25" s="123" t="s">
        <v>127</v>
      </c>
      <c r="FW25" s="123" t="s">
        <v>127</v>
      </c>
      <c r="FX25" s="123" t="s">
        <v>127</v>
      </c>
      <c r="FY25" s="123" t="s">
        <v>127</v>
      </c>
      <c r="FZ25" s="123" t="s">
        <v>127</v>
      </c>
      <c r="GA25" s="123" t="s">
        <v>127</v>
      </c>
      <c r="GB25" s="123" t="s">
        <v>127</v>
      </c>
      <c r="GC25" s="123" t="s">
        <v>127</v>
      </c>
      <c r="GD25" s="123" t="s">
        <v>127</v>
      </c>
      <c r="GE25" s="123" t="s">
        <v>127</v>
      </c>
      <c r="GF25" s="123" t="s">
        <v>127</v>
      </c>
      <c r="GG25" s="123" t="s">
        <v>127</v>
      </c>
      <c r="GH25" s="123" t="s">
        <v>127</v>
      </c>
      <c r="GI25" s="123" t="s">
        <v>127</v>
      </c>
      <c r="GJ25" s="123" t="s">
        <v>127</v>
      </c>
      <c r="GK25" s="123" t="s">
        <v>127</v>
      </c>
      <c r="GL25" s="123" t="s">
        <v>127</v>
      </c>
      <c r="GM25" s="123" t="s">
        <v>127</v>
      </c>
      <c r="GN25" s="123" t="s">
        <v>127</v>
      </c>
      <c r="GO25" s="123" t="s">
        <v>127</v>
      </c>
      <c r="GP25" s="123" t="s">
        <v>127</v>
      </c>
      <c r="GQ25" s="123" t="s">
        <v>127</v>
      </c>
      <c r="GR25" s="123" t="s">
        <v>127</v>
      </c>
      <c r="GS25" s="123" t="s">
        <v>127</v>
      </c>
      <c r="GT25" s="123" t="s">
        <v>127</v>
      </c>
      <c r="GU25" s="123" t="s">
        <v>127</v>
      </c>
      <c r="GV25" s="123" t="s">
        <v>127</v>
      </c>
      <c r="GW25" s="123" t="s">
        <v>127</v>
      </c>
      <c r="GX25" s="123" t="s">
        <v>127</v>
      </c>
      <c r="GY25" s="123" t="s">
        <v>127</v>
      </c>
      <c r="GZ25" s="123" t="s">
        <v>127</v>
      </c>
      <c r="HA25" s="123" t="s">
        <v>127</v>
      </c>
      <c r="HB25" s="123" t="s">
        <v>127</v>
      </c>
      <c r="HC25" s="123" t="s">
        <v>127</v>
      </c>
      <c r="HD25" s="123" t="s">
        <v>127</v>
      </c>
      <c r="HE25" s="123" t="s">
        <v>127</v>
      </c>
      <c r="HF25" s="123" t="s">
        <v>127</v>
      </c>
      <c r="HG25" s="123" t="s">
        <v>127</v>
      </c>
      <c r="HH25" s="123" t="s">
        <v>127</v>
      </c>
      <c r="HI25" s="123" t="s">
        <v>127</v>
      </c>
      <c r="HJ25" s="123" t="s">
        <v>127</v>
      </c>
      <c r="HK25" s="123" t="s">
        <v>127</v>
      </c>
      <c r="HL25" s="123" t="s">
        <v>127</v>
      </c>
      <c r="HM25" s="123" t="s">
        <v>127</v>
      </c>
      <c r="HN25" s="123" t="s">
        <v>127</v>
      </c>
      <c r="HO25" s="123" t="s">
        <v>127</v>
      </c>
      <c r="HP25" s="123" t="s">
        <v>127</v>
      </c>
      <c r="HQ25" s="123" t="s">
        <v>127</v>
      </c>
      <c r="HR25" s="123" t="s">
        <v>127</v>
      </c>
      <c r="HS25" s="123" t="s">
        <v>127</v>
      </c>
      <c r="HT25" s="123" t="s">
        <v>127</v>
      </c>
      <c r="HU25" s="123" t="s">
        <v>127</v>
      </c>
      <c r="HV25" s="123" t="s">
        <v>127</v>
      </c>
      <c r="HW25" s="123" t="s">
        <v>127</v>
      </c>
      <c r="HX25" s="123" t="s">
        <v>127</v>
      </c>
      <c r="HY25" s="123" t="s">
        <v>127</v>
      </c>
      <c r="HZ25" s="123" t="s">
        <v>127</v>
      </c>
      <c r="IA25" s="123" t="s">
        <v>127</v>
      </c>
      <c r="IB25" s="123" t="s">
        <v>127</v>
      </c>
      <c r="IC25" s="123" t="s">
        <v>127</v>
      </c>
      <c r="ID25" s="123" t="s">
        <v>127</v>
      </c>
      <c r="IE25" s="123" t="s">
        <v>127</v>
      </c>
      <c r="IF25" s="123" t="s">
        <v>127</v>
      </c>
      <c r="IG25" s="123" t="s">
        <v>127</v>
      </c>
      <c r="IH25" s="123" t="s">
        <v>127</v>
      </c>
      <c r="II25" s="123" t="s">
        <v>127</v>
      </c>
      <c r="IJ25" s="123" t="s">
        <v>127</v>
      </c>
      <c r="IK25" s="123" t="s">
        <v>127</v>
      </c>
      <c r="IL25" s="123" t="s">
        <v>127</v>
      </c>
      <c r="IM25" s="123" t="s">
        <v>127</v>
      </c>
      <c r="IN25" s="123" t="s">
        <v>127</v>
      </c>
      <c r="IO25" s="123" t="s">
        <v>127</v>
      </c>
      <c r="IP25" s="124"/>
      <c r="IQ25" s="124"/>
    </row>
    <row r="26" spans="1:251" ht="24.9" customHeight="1">
      <c r="A26" s="149">
        <v>22</v>
      </c>
      <c r="B26" s="125"/>
      <c r="C26" s="125">
        <v>68892</v>
      </c>
      <c r="D26" s="125">
        <v>230054</v>
      </c>
      <c r="E26" s="126">
        <v>60</v>
      </c>
      <c r="F26" s="126">
        <v>44</v>
      </c>
      <c r="G26" s="224"/>
      <c r="H26" s="125">
        <v>125749</v>
      </c>
      <c r="I26" s="125">
        <v>76911</v>
      </c>
      <c r="J26" s="125">
        <v>22</v>
      </c>
      <c r="K26" s="125">
        <v>14566</v>
      </c>
      <c r="L26" s="126">
        <v>6</v>
      </c>
      <c r="M26" s="128">
        <v>11872</v>
      </c>
      <c r="N26" s="129">
        <v>6</v>
      </c>
      <c r="O26" s="128">
        <v>22097</v>
      </c>
      <c r="P26" s="129">
        <v>6</v>
      </c>
      <c r="Q26" s="183">
        <v>56856</v>
      </c>
      <c r="R26" s="184">
        <v>5</v>
      </c>
      <c r="S26" s="183">
        <v>25299</v>
      </c>
      <c r="T26" s="101">
        <v>1</v>
      </c>
      <c r="U26" s="183">
        <v>9515</v>
      </c>
      <c r="V26" s="105">
        <v>1560</v>
      </c>
      <c r="W26" s="101">
        <v>7</v>
      </c>
      <c r="X26" s="104">
        <v>32621</v>
      </c>
      <c r="Y26" s="101">
        <v>16</v>
      </c>
      <c r="Z26" s="185">
        <v>7837</v>
      </c>
      <c r="AA26" s="185">
        <v>6981</v>
      </c>
      <c r="AB26" s="101">
        <v>1</v>
      </c>
      <c r="AC26" s="105">
        <v>2173</v>
      </c>
      <c r="AD26" s="104">
        <v>1569</v>
      </c>
      <c r="AE26" s="101">
        <v>2</v>
      </c>
      <c r="AF26" s="133">
        <v>13</v>
      </c>
      <c r="AG26" s="218">
        <v>194641</v>
      </c>
      <c r="AH26" s="155">
        <v>124</v>
      </c>
      <c r="AI26" s="134">
        <v>115</v>
      </c>
      <c r="AJ26" s="134">
        <v>-9</v>
      </c>
      <c r="AK26" s="99">
        <v>1623698</v>
      </c>
      <c r="AL26" s="99">
        <v>2207</v>
      </c>
      <c r="AM26" s="99">
        <v>59645</v>
      </c>
      <c r="AN26" s="100">
        <v>51</v>
      </c>
      <c r="AO26" s="105">
        <v>116836</v>
      </c>
      <c r="AP26" s="101">
        <v>0</v>
      </c>
      <c r="AQ26" s="105">
        <v>120775</v>
      </c>
      <c r="AR26" s="101">
        <v>585</v>
      </c>
      <c r="AS26" s="105">
        <v>1685550</v>
      </c>
      <c r="AT26" s="102">
        <v>2258</v>
      </c>
      <c r="AU26" s="134">
        <v>2400</v>
      </c>
      <c r="AV26" s="134">
        <v>142</v>
      </c>
      <c r="AW26" s="105">
        <v>27.45</v>
      </c>
      <c r="AX26" s="105">
        <v>0</v>
      </c>
      <c r="AY26" s="105">
        <v>0</v>
      </c>
      <c r="AZ26" s="104"/>
      <c r="BA26" s="105">
        <v>12688.77</v>
      </c>
      <c r="BB26" s="101">
        <v>14344.00000000096</v>
      </c>
      <c r="BC26" s="184">
        <v>27.45</v>
      </c>
      <c r="BD26" s="105">
        <v>0</v>
      </c>
      <c r="BE26" s="135">
        <v>0</v>
      </c>
      <c r="BF26" s="105">
        <v>12688.77</v>
      </c>
      <c r="BG26" s="105">
        <v>3.2600000000002183</v>
      </c>
      <c r="BH26" s="135">
        <v>14344.00000000096</v>
      </c>
      <c r="BI26" s="135">
        <v>14344.00000000096</v>
      </c>
      <c r="BJ26" s="161">
        <v>14312.00000000096</v>
      </c>
      <c r="BK26" s="135">
        <v>24350.74</v>
      </c>
      <c r="BL26" s="135">
        <v>921.00000000027649</v>
      </c>
      <c r="BM26" s="186">
        <v>15265.000000001237</v>
      </c>
      <c r="BN26" s="134">
        <v>16000</v>
      </c>
      <c r="BO26" s="134">
        <v>734.99999999876309</v>
      </c>
      <c r="BP26" s="219">
        <v>2850206</v>
      </c>
      <c r="BQ26" s="135">
        <v>20</v>
      </c>
      <c r="BR26" s="187">
        <v>3823342</v>
      </c>
      <c r="BS26" s="135">
        <v>12</v>
      </c>
      <c r="BT26" s="126">
        <v>32</v>
      </c>
      <c r="BU26" s="124">
        <v>68</v>
      </c>
      <c r="BV26" s="124">
        <v>120</v>
      </c>
      <c r="BW26" s="140"/>
      <c r="BX26" s="140"/>
      <c r="BY26" s="140"/>
      <c r="BZ26" s="140"/>
      <c r="CA26" s="140"/>
      <c r="CB26" s="140"/>
      <c r="CC26" s="140"/>
      <c r="CD26" s="140"/>
      <c r="CE26" s="140"/>
      <c r="CF26" s="140"/>
      <c r="CG26" s="140"/>
      <c r="CH26" s="124"/>
      <c r="CI26" s="124"/>
      <c r="CJ26" s="124"/>
      <c r="CK26" s="124"/>
      <c r="CL26" s="124"/>
      <c r="CM26" s="124"/>
      <c r="CN26" s="124"/>
      <c r="CO26" s="124"/>
      <c r="CP26" s="124"/>
      <c r="CQ26" s="124"/>
      <c r="CR26" s="124"/>
      <c r="CS26" s="124"/>
      <c r="CT26" s="124"/>
      <c r="CU26" s="124"/>
      <c r="CV26" s="124"/>
      <c r="CW26" s="124"/>
      <c r="CX26" s="124"/>
      <c r="CY26" s="124"/>
      <c r="CZ26" s="124"/>
      <c r="DA26" s="124"/>
      <c r="DB26" s="124"/>
      <c r="DC26" s="124"/>
      <c r="DD26" s="124"/>
      <c r="DE26" s="124"/>
      <c r="DF26" s="124"/>
      <c r="DG26" s="124"/>
      <c r="DH26" s="124"/>
      <c r="DI26" s="124"/>
      <c r="DJ26" s="124"/>
      <c r="DK26" s="124"/>
      <c r="DL26" s="124"/>
      <c r="DM26" s="124"/>
      <c r="DN26" s="124"/>
      <c r="DO26" s="124"/>
      <c r="DP26" s="124"/>
      <c r="DQ26" s="124"/>
      <c r="DR26" s="124"/>
      <c r="DS26" s="124"/>
      <c r="DT26" s="124"/>
      <c r="DU26" s="124"/>
      <c r="DV26" s="124"/>
      <c r="DW26" s="124"/>
      <c r="DX26" s="124"/>
      <c r="DY26" s="124"/>
      <c r="DZ26" s="124"/>
      <c r="EA26" s="124"/>
      <c r="EB26" s="124"/>
      <c r="EC26" s="124"/>
      <c r="ED26" s="124"/>
      <c r="EE26" s="124"/>
      <c r="EF26" s="124"/>
      <c r="EG26" s="124"/>
      <c r="EH26" s="124"/>
      <c r="EI26" s="124"/>
      <c r="EJ26" s="124"/>
      <c r="EK26" s="124"/>
      <c r="EL26" s="124"/>
      <c r="EM26" s="124"/>
      <c r="EN26" s="124"/>
      <c r="EO26" s="124"/>
      <c r="EP26" s="124"/>
      <c r="EQ26" s="124"/>
      <c r="ER26" s="124"/>
      <c r="ES26" s="124"/>
      <c r="ET26" s="124"/>
      <c r="EU26" s="124"/>
      <c r="EV26" s="124"/>
      <c r="EW26" s="124"/>
      <c r="EX26" s="124"/>
      <c r="EY26" s="124"/>
      <c r="EZ26" s="124"/>
      <c r="FA26" s="124"/>
      <c r="FB26" s="124"/>
      <c r="FC26" s="124"/>
      <c r="FD26" s="123" t="s">
        <v>127</v>
      </c>
      <c r="FE26" s="123" t="s">
        <v>127</v>
      </c>
      <c r="FF26" s="123" t="s">
        <v>127</v>
      </c>
      <c r="FG26" s="123" t="s">
        <v>127</v>
      </c>
      <c r="FH26" s="123" t="s">
        <v>127</v>
      </c>
      <c r="FI26" s="123" t="s">
        <v>127</v>
      </c>
      <c r="FJ26" s="123" t="s">
        <v>127</v>
      </c>
      <c r="FK26" s="123" t="s">
        <v>127</v>
      </c>
      <c r="FL26" s="123" t="s">
        <v>127</v>
      </c>
      <c r="FM26" s="123" t="s">
        <v>127</v>
      </c>
      <c r="FN26" s="123" t="s">
        <v>127</v>
      </c>
      <c r="FO26" s="123" t="s">
        <v>127</v>
      </c>
      <c r="FP26" s="123" t="s">
        <v>127</v>
      </c>
      <c r="FQ26" s="123" t="s">
        <v>127</v>
      </c>
      <c r="FR26" s="123" t="s">
        <v>127</v>
      </c>
      <c r="FS26" s="123" t="s">
        <v>127</v>
      </c>
      <c r="FT26" s="123" t="s">
        <v>127</v>
      </c>
      <c r="FU26" s="123" t="s">
        <v>127</v>
      </c>
      <c r="FV26" s="123" t="s">
        <v>127</v>
      </c>
      <c r="FW26" s="123" t="s">
        <v>127</v>
      </c>
      <c r="FX26" s="123" t="s">
        <v>127</v>
      </c>
      <c r="FY26" s="123" t="s">
        <v>127</v>
      </c>
      <c r="FZ26" s="123" t="s">
        <v>127</v>
      </c>
      <c r="GA26" s="123" t="s">
        <v>127</v>
      </c>
      <c r="GB26" s="123" t="s">
        <v>127</v>
      </c>
      <c r="GC26" s="123" t="s">
        <v>127</v>
      </c>
      <c r="GD26" s="123" t="s">
        <v>127</v>
      </c>
      <c r="GE26" s="123" t="s">
        <v>127</v>
      </c>
      <c r="GF26" s="123" t="s">
        <v>127</v>
      </c>
      <c r="GG26" s="123" t="s">
        <v>127</v>
      </c>
      <c r="GH26" s="123" t="s">
        <v>127</v>
      </c>
      <c r="GI26" s="123" t="s">
        <v>127</v>
      </c>
      <c r="GJ26" s="123" t="s">
        <v>127</v>
      </c>
      <c r="GK26" s="123" t="s">
        <v>127</v>
      </c>
      <c r="GL26" s="123" t="s">
        <v>127</v>
      </c>
      <c r="GM26" s="123" t="s">
        <v>127</v>
      </c>
      <c r="GN26" s="123" t="s">
        <v>127</v>
      </c>
      <c r="GO26" s="123" t="s">
        <v>127</v>
      </c>
      <c r="GP26" s="123" t="s">
        <v>127</v>
      </c>
      <c r="GQ26" s="123" t="s">
        <v>127</v>
      </c>
      <c r="GR26" s="123" t="s">
        <v>127</v>
      </c>
      <c r="GS26" s="123" t="s">
        <v>127</v>
      </c>
      <c r="GT26" s="123" t="s">
        <v>127</v>
      </c>
      <c r="GU26" s="123" t="s">
        <v>127</v>
      </c>
      <c r="GV26" s="123" t="s">
        <v>127</v>
      </c>
      <c r="GW26" s="123" t="s">
        <v>127</v>
      </c>
      <c r="GX26" s="123" t="s">
        <v>127</v>
      </c>
      <c r="GY26" s="123" t="s">
        <v>127</v>
      </c>
      <c r="GZ26" s="123" t="s">
        <v>127</v>
      </c>
      <c r="HA26" s="123" t="s">
        <v>127</v>
      </c>
      <c r="HB26" s="123" t="s">
        <v>127</v>
      </c>
      <c r="HC26" s="123" t="s">
        <v>127</v>
      </c>
      <c r="HD26" s="123" t="s">
        <v>127</v>
      </c>
      <c r="HE26" s="123" t="s">
        <v>127</v>
      </c>
      <c r="HF26" s="123" t="s">
        <v>127</v>
      </c>
      <c r="HG26" s="123" t="s">
        <v>127</v>
      </c>
      <c r="HH26" s="123" t="s">
        <v>127</v>
      </c>
      <c r="HI26" s="123" t="s">
        <v>127</v>
      </c>
      <c r="HJ26" s="123" t="s">
        <v>127</v>
      </c>
      <c r="HK26" s="123" t="s">
        <v>127</v>
      </c>
      <c r="HL26" s="123" t="s">
        <v>127</v>
      </c>
      <c r="HM26" s="123" t="s">
        <v>127</v>
      </c>
      <c r="HN26" s="123" t="s">
        <v>127</v>
      </c>
      <c r="HO26" s="123" t="s">
        <v>127</v>
      </c>
      <c r="HP26" s="123" t="s">
        <v>127</v>
      </c>
      <c r="HQ26" s="123" t="s">
        <v>127</v>
      </c>
      <c r="HR26" s="123" t="s">
        <v>127</v>
      </c>
      <c r="HS26" s="123" t="s">
        <v>127</v>
      </c>
      <c r="HT26" s="123" t="s">
        <v>127</v>
      </c>
      <c r="HU26" s="123" t="s">
        <v>127</v>
      </c>
      <c r="HV26" s="123" t="s">
        <v>127</v>
      </c>
      <c r="HW26" s="123" t="s">
        <v>127</v>
      </c>
      <c r="HX26" s="123" t="s">
        <v>127</v>
      </c>
      <c r="HY26" s="123" t="s">
        <v>127</v>
      </c>
      <c r="HZ26" s="123" t="s">
        <v>127</v>
      </c>
      <c r="IA26" s="123" t="s">
        <v>127</v>
      </c>
      <c r="IB26" s="123" t="s">
        <v>127</v>
      </c>
      <c r="IC26" s="123" t="s">
        <v>127</v>
      </c>
      <c r="ID26" s="123" t="s">
        <v>127</v>
      </c>
      <c r="IE26" s="123" t="s">
        <v>127</v>
      </c>
      <c r="IF26" s="123" t="s">
        <v>127</v>
      </c>
      <c r="IG26" s="123" t="s">
        <v>127</v>
      </c>
      <c r="IH26" s="123" t="s">
        <v>127</v>
      </c>
      <c r="II26" s="123" t="s">
        <v>127</v>
      </c>
      <c r="IJ26" s="123" t="s">
        <v>127</v>
      </c>
      <c r="IK26" s="123" t="s">
        <v>127</v>
      </c>
      <c r="IL26" s="123" t="s">
        <v>127</v>
      </c>
      <c r="IM26" s="123" t="s">
        <v>127</v>
      </c>
      <c r="IN26" s="123" t="s">
        <v>127</v>
      </c>
      <c r="IO26" s="123" t="s">
        <v>127</v>
      </c>
      <c r="IP26" s="124"/>
      <c r="IQ26" s="124"/>
    </row>
    <row r="27" spans="1:251" ht="24.9" customHeight="1">
      <c r="A27" s="149">
        <v>23</v>
      </c>
      <c r="B27" s="125"/>
      <c r="C27" s="125">
        <v>68957</v>
      </c>
      <c r="D27" s="125">
        <v>230112</v>
      </c>
      <c r="E27" s="126">
        <v>58</v>
      </c>
      <c r="F27" s="126">
        <v>40</v>
      </c>
      <c r="G27" s="224"/>
      <c r="H27" s="125">
        <v>125805</v>
      </c>
      <c r="I27" s="125">
        <v>76932</v>
      </c>
      <c r="J27" s="125">
        <v>21</v>
      </c>
      <c r="K27" s="125">
        <v>14572</v>
      </c>
      <c r="L27" s="126">
        <v>6</v>
      </c>
      <c r="M27" s="128">
        <v>11878</v>
      </c>
      <c r="N27" s="129">
        <v>6</v>
      </c>
      <c r="O27" s="128">
        <v>22102</v>
      </c>
      <c r="P27" s="129">
        <v>5</v>
      </c>
      <c r="Q27" s="188">
        <v>56858</v>
      </c>
      <c r="R27" s="184">
        <v>2</v>
      </c>
      <c r="S27" s="183">
        <v>25300</v>
      </c>
      <c r="T27" s="101">
        <v>1</v>
      </c>
      <c r="U27" s="183">
        <v>9515</v>
      </c>
      <c r="V27" s="105">
        <v>1567</v>
      </c>
      <c r="W27" s="101">
        <v>7</v>
      </c>
      <c r="X27" s="104">
        <v>32639</v>
      </c>
      <c r="Y27" s="101">
        <v>18</v>
      </c>
      <c r="Z27" s="185">
        <v>7837</v>
      </c>
      <c r="AA27" s="185">
        <v>6983</v>
      </c>
      <c r="AB27" s="101">
        <v>2</v>
      </c>
      <c r="AC27" s="104">
        <v>2175</v>
      </c>
      <c r="AD27" s="104">
        <v>1570</v>
      </c>
      <c r="AE27" s="101">
        <v>3</v>
      </c>
      <c r="AF27" s="133">
        <v>10</v>
      </c>
      <c r="AG27" s="218">
        <v>194762</v>
      </c>
      <c r="AH27" s="155">
        <v>121</v>
      </c>
      <c r="AI27" s="134">
        <v>115</v>
      </c>
      <c r="AJ27" s="134">
        <v>-6</v>
      </c>
      <c r="AK27" s="99">
        <v>1625227</v>
      </c>
      <c r="AL27" s="99">
        <v>1529</v>
      </c>
      <c r="AM27" s="99">
        <v>59690</v>
      </c>
      <c r="AN27" s="100">
        <v>45</v>
      </c>
      <c r="AO27" s="105">
        <v>116836</v>
      </c>
      <c r="AP27" s="101">
        <v>0</v>
      </c>
      <c r="AQ27" s="105">
        <v>121274</v>
      </c>
      <c r="AR27" s="101">
        <v>499</v>
      </c>
      <c r="AS27" s="105">
        <v>1686446</v>
      </c>
      <c r="AT27" s="102">
        <v>1574</v>
      </c>
      <c r="AU27" s="134">
        <v>2400</v>
      </c>
      <c r="AV27" s="134">
        <v>826</v>
      </c>
      <c r="AW27" s="105">
        <v>27.45</v>
      </c>
      <c r="AX27" s="105">
        <v>0</v>
      </c>
      <c r="AY27" s="105">
        <v>0</v>
      </c>
      <c r="AZ27" s="104"/>
      <c r="BA27" s="105">
        <v>12691.96</v>
      </c>
      <c r="BB27" s="101">
        <v>14035.999999994237</v>
      </c>
      <c r="BC27" s="184">
        <v>27.45</v>
      </c>
      <c r="BD27" s="105">
        <v>0</v>
      </c>
      <c r="BE27" s="135">
        <v>0</v>
      </c>
      <c r="BF27" s="105">
        <v>12691.96</v>
      </c>
      <c r="BG27" s="105">
        <v>3.1899999999986903</v>
      </c>
      <c r="BH27" s="135">
        <v>14035.999999994237</v>
      </c>
      <c r="BI27" s="135">
        <v>14035.999999994237</v>
      </c>
      <c r="BJ27" s="161">
        <v>14003.999999994237</v>
      </c>
      <c r="BK27" s="135">
        <v>24358.639999999999</v>
      </c>
      <c r="BL27" s="135">
        <v>789.99999999978172</v>
      </c>
      <c r="BM27" s="186">
        <v>14825.999999994019</v>
      </c>
      <c r="BN27" s="134">
        <v>16000</v>
      </c>
      <c r="BO27" s="134">
        <v>1174.0000000059808</v>
      </c>
      <c r="BP27" s="219">
        <v>2850226</v>
      </c>
      <c r="BQ27" s="135">
        <v>20</v>
      </c>
      <c r="BR27" s="187">
        <v>3823354</v>
      </c>
      <c r="BS27" s="135">
        <v>12</v>
      </c>
      <c r="BT27" s="126">
        <v>32</v>
      </c>
      <c r="BU27" s="124">
        <v>67</v>
      </c>
      <c r="BV27" s="124">
        <v>100</v>
      </c>
      <c r="BW27" s="140"/>
      <c r="BX27" s="140"/>
      <c r="BY27" s="140"/>
      <c r="BZ27" s="140"/>
      <c r="CA27" s="140"/>
      <c r="CB27" s="140"/>
      <c r="CC27" s="140"/>
      <c r="CD27" s="140"/>
      <c r="CE27" s="140"/>
      <c r="CF27" s="140"/>
      <c r="CG27" s="140"/>
      <c r="CH27" s="124"/>
      <c r="CI27" s="124"/>
      <c r="CJ27" s="124"/>
      <c r="CK27" s="124"/>
      <c r="CL27" s="124"/>
      <c r="CM27" s="124"/>
      <c r="CN27" s="124"/>
      <c r="CO27" s="124"/>
      <c r="CP27" s="124"/>
      <c r="CQ27" s="124"/>
      <c r="CR27" s="124"/>
      <c r="CS27" s="124"/>
      <c r="CT27" s="124"/>
      <c r="CU27" s="124"/>
      <c r="CV27" s="124"/>
      <c r="CW27" s="124"/>
      <c r="CX27" s="124"/>
      <c r="CY27" s="124"/>
      <c r="CZ27" s="124"/>
      <c r="DA27" s="124"/>
      <c r="DB27" s="124"/>
      <c r="DC27" s="124"/>
      <c r="DD27" s="124"/>
      <c r="DE27" s="124"/>
      <c r="DF27" s="124"/>
      <c r="DG27" s="124"/>
      <c r="DH27" s="124"/>
      <c r="DI27" s="124"/>
      <c r="DJ27" s="124"/>
      <c r="DK27" s="124"/>
      <c r="DL27" s="124"/>
      <c r="DM27" s="124"/>
      <c r="DN27" s="124"/>
      <c r="DO27" s="124"/>
      <c r="DP27" s="124"/>
      <c r="DQ27" s="124"/>
      <c r="DR27" s="124"/>
      <c r="DS27" s="124"/>
      <c r="DT27" s="124"/>
      <c r="DU27" s="124"/>
      <c r="DV27" s="124"/>
      <c r="DW27" s="124"/>
      <c r="DX27" s="124"/>
      <c r="DY27" s="124"/>
      <c r="DZ27" s="124"/>
      <c r="EA27" s="124"/>
      <c r="EB27" s="124"/>
      <c r="EC27" s="124"/>
      <c r="ED27" s="124"/>
      <c r="EE27" s="124"/>
      <c r="EF27" s="124"/>
      <c r="EG27" s="124"/>
      <c r="EH27" s="124"/>
      <c r="EI27" s="124"/>
      <c r="EJ27" s="124"/>
      <c r="EK27" s="124"/>
      <c r="EL27" s="124"/>
      <c r="EM27" s="124"/>
      <c r="EN27" s="124"/>
      <c r="EO27" s="124"/>
      <c r="EP27" s="124"/>
      <c r="EQ27" s="124"/>
      <c r="ER27" s="124"/>
      <c r="ES27" s="124"/>
      <c r="ET27" s="124"/>
      <c r="EU27" s="124"/>
      <c r="EV27" s="124"/>
      <c r="EW27" s="124"/>
      <c r="EX27" s="124"/>
      <c r="EY27" s="124"/>
      <c r="EZ27" s="124"/>
      <c r="FA27" s="124"/>
      <c r="FB27" s="124"/>
      <c r="FC27" s="124"/>
      <c r="FD27" s="123" t="s">
        <v>127</v>
      </c>
      <c r="FE27" s="123" t="s">
        <v>127</v>
      </c>
      <c r="FF27" s="123" t="s">
        <v>127</v>
      </c>
      <c r="FG27" s="123" t="s">
        <v>127</v>
      </c>
      <c r="FH27" s="123" t="s">
        <v>127</v>
      </c>
      <c r="FI27" s="123" t="s">
        <v>127</v>
      </c>
      <c r="FJ27" s="123" t="s">
        <v>127</v>
      </c>
      <c r="FK27" s="123" t="s">
        <v>127</v>
      </c>
      <c r="FL27" s="123" t="s">
        <v>127</v>
      </c>
      <c r="FM27" s="123" t="s">
        <v>127</v>
      </c>
      <c r="FN27" s="123" t="s">
        <v>127</v>
      </c>
      <c r="FO27" s="123" t="s">
        <v>127</v>
      </c>
      <c r="FP27" s="123" t="s">
        <v>127</v>
      </c>
      <c r="FQ27" s="123" t="s">
        <v>127</v>
      </c>
      <c r="FR27" s="123" t="s">
        <v>127</v>
      </c>
      <c r="FS27" s="123" t="s">
        <v>127</v>
      </c>
      <c r="FT27" s="123" t="s">
        <v>127</v>
      </c>
      <c r="FU27" s="123" t="s">
        <v>127</v>
      </c>
      <c r="FV27" s="123" t="s">
        <v>127</v>
      </c>
      <c r="FW27" s="123" t="s">
        <v>127</v>
      </c>
      <c r="FX27" s="123" t="s">
        <v>127</v>
      </c>
      <c r="FY27" s="123" t="s">
        <v>127</v>
      </c>
      <c r="FZ27" s="123" t="s">
        <v>127</v>
      </c>
      <c r="GA27" s="123" t="s">
        <v>127</v>
      </c>
      <c r="GB27" s="123" t="s">
        <v>127</v>
      </c>
      <c r="GC27" s="123" t="s">
        <v>127</v>
      </c>
      <c r="GD27" s="123" t="s">
        <v>127</v>
      </c>
      <c r="GE27" s="123" t="s">
        <v>127</v>
      </c>
      <c r="GF27" s="123" t="s">
        <v>127</v>
      </c>
      <c r="GG27" s="123" t="s">
        <v>127</v>
      </c>
      <c r="GH27" s="123" t="s">
        <v>127</v>
      </c>
      <c r="GI27" s="123" t="s">
        <v>127</v>
      </c>
      <c r="GJ27" s="123" t="s">
        <v>127</v>
      </c>
      <c r="GK27" s="123" t="s">
        <v>127</v>
      </c>
      <c r="GL27" s="123" t="s">
        <v>127</v>
      </c>
      <c r="GM27" s="123" t="s">
        <v>127</v>
      </c>
      <c r="GN27" s="123" t="s">
        <v>127</v>
      </c>
      <c r="GO27" s="123" t="s">
        <v>127</v>
      </c>
      <c r="GP27" s="123" t="s">
        <v>127</v>
      </c>
      <c r="GQ27" s="123" t="s">
        <v>127</v>
      </c>
      <c r="GR27" s="123" t="s">
        <v>127</v>
      </c>
      <c r="GS27" s="123" t="s">
        <v>127</v>
      </c>
      <c r="GT27" s="123" t="s">
        <v>127</v>
      </c>
      <c r="GU27" s="123" t="s">
        <v>127</v>
      </c>
      <c r="GV27" s="123" t="s">
        <v>127</v>
      </c>
      <c r="GW27" s="123" t="s">
        <v>127</v>
      </c>
      <c r="GX27" s="123" t="s">
        <v>127</v>
      </c>
      <c r="GY27" s="123" t="s">
        <v>127</v>
      </c>
      <c r="GZ27" s="123" t="s">
        <v>127</v>
      </c>
      <c r="HA27" s="123" t="s">
        <v>127</v>
      </c>
      <c r="HB27" s="123" t="s">
        <v>127</v>
      </c>
      <c r="HC27" s="123" t="s">
        <v>127</v>
      </c>
      <c r="HD27" s="123" t="s">
        <v>127</v>
      </c>
      <c r="HE27" s="123" t="s">
        <v>127</v>
      </c>
      <c r="HF27" s="123" t="s">
        <v>127</v>
      </c>
      <c r="HG27" s="123" t="s">
        <v>127</v>
      </c>
      <c r="HH27" s="123" t="s">
        <v>127</v>
      </c>
      <c r="HI27" s="123" t="s">
        <v>127</v>
      </c>
      <c r="HJ27" s="123" t="s">
        <v>127</v>
      </c>
      <c r="HK27" s="123" t="s">
        <v>127</v>
      </c>
      <c r="HL27" s="123" t="s">
        <v>127</v>
      </c>
      <c r="HM27" s="123" t="s">
        <v>127</v>
      </c>
      <c r="HN27" s="123" t="s">
        <v>127</v>
      </c>
      <c r="HO27" s="123" t="s">
        <v>127</v>
      </c>
      <c r="HP27" s="123" t="s">
        <v>127</v>
      </c>
      <c r="HQ27" s="123" t="s">
        <v>127</v>
      </c>
      <c r="HR27" s="123" t="s">
        <v>127</v>
      </c>
      <c r="HS27" s="123" t="s">
        <v>127</v>
      </c>
      <c r="HT27" s="123" t="s">
        <v>127</v>
      </c>
      <c r="HU27" s="123" t="s">
        <v>127</v>
      </c>
      <c r="HV27" s="123" t="s">
        <v>127</v>
      </c>
      <c r="HW27" s="123" t="s">
        <v>127</v>
      </c>
      <c r="HX27" s="123" t="s">
        <v>127</v>
      </c>
      <c r="HY27" s="123" t="s">
        <v>127</v>
      </c>
      <c r="HZ27" s="123" t="s">
        <v>127</v>
      </c>
      <c r="IA27" s="123" t="s">
        <v>127</v>
      </c>
      <c r="IB27" s="123" t="s">
        <v>127</v>
      </c>
      <c r="IC27" s="123" t="s">
        <v>127</v>
      </c>
      <c r="ID27" s="123" t="s">
        <v>127</v>
      </c>
      <c r="IE27" s="123" t="s">
        <v>127</v>
      </c>
      <c r="IF27" s="123" t="s">
        <v>127</v>
      </c>
      <c r="IG27" s="123" t="s">
        <v>127</v>
      </c>
      <c r="IH27" s="123" t="s">
        <v>127</v>
      </c>
      <c r="II27" s="123" t="s">
        <v>127</v>
      </c>
      <c r="IJ27" s="123" t="s">
        <v>127</v>
      </c>
      <c r="IK27" s="123" t="s">
        <v>127</v>
      </c>
      <c r="IL27" s="123" t="s">
        <v>127</v>
      </c>
      <c r="IM27" s="123" t="s">
        <v>127</v>
      </c>
      <c r="IN27" s="123" t="s">
        <v>127</v>
      </c>
      <c r="IO27" s="123" t="s">
        <v>127</v>
      </c>
      <c r="IP27" s="124"/>
      <c r="IQ27" s="124"/>
    </row>
    <row r="28" spans="1:251" ht="24.9" customHeight="1">
      <c r="A28" s="149">
        <v>24</v>
      </c>
      <c r="B28" s="125"/>
      <c r="C28" s="125">
        <v>69071</v>
      </c>
      <c r="D28" s="125">
        <v>230174</v>
      </c>
      <c r="E28" s="126">
        <v>62</v>
      </c>
      <c r="F28" s="126">
        <v>49</v>
      </c>
      <c r="G28" s="224"/>
      <c r="H28" s="125">
        <v>125855</v>
      </c>
      <c r="I28" s="125">
        <v>76937</v>
      </c>
      <c r="J28" s="125">
        <v>5</v>
      </c>
      <c r="K28" s="125">
        <v>14577</v>
      </c>
      <c r="L28" s="126">
        <v>5</v>
      </c>
      <c r="M28" s="128">
        <v>11883</v>
      </c>
      <c r="N28" s="129">
        <v>5</v>
      </c>
      <c r="O28" s="128">
        <v>22107</v>
      </c>
      <c r="P28" s="129">
        <v>5</v>
      </c>
      <c r="Q28" s="188">
        <v>56868</v>
      </c>
      <c r="R28" s="184">
        <v>10</v>
      </c>
      <c r="S28" s="183">
        <v>25301</v>
      </c>
      <c r="T28" s="101">
        <v>1</v>
      </c>
      <c r="U28" s="183">
        <v>9515</v>
      </c>
      <c r="V28" s="105">
        <v>1575</v>
      </c>
      <c r="W28" s="101">
        <v>8</v>
      </c>
      <c r="X28" s="104">
        <v>32652</v>
      </c>
      <c r="Y28" s="101">
        <v>13</v>
      </c>
      <c r="Z28" s="185">
        <v>7838</v>
      </c>
      <c r="AA28" s="185">
        <v>6984</v>
      </c>
      <c r="AB28" s="101">
        <v>2</v>
      </c>
      <c r="AC28" s="104">
        <v>2176</v>
      </c>
      <c r="AD28" s="104">
        <v>1571</v>
      </c>
      <c r="AE28" s="101">
        <v>2</v>
      </c>
      <c r="AF28" s="133">
        <v>19</v>
      </c>
      <c r="AG28" s="218">
        <v>194926</v>
      </c>
      <c r="AH28" s="155">
        <v>164</v>
      </c>
      <c r="AI28" s="134">
        <v>115</v>
      </c>
      <c r="AJ28" s="134">
        <v>-49</v>
      </c>
      <c r="AK28" s="99">
        <v>1627389</v>
      </c>
      <c r="AL28" s="99">
        <v>2162</v>
      </c>
      <c r="AM28" s="99">
        <v>59738</v>
      </c>
      <c r="AN28" s="100">
        <v>48</v>
      </c>
      <c r="AO28" s="105">
        <v>116836</v>
      </c>
      <c r="AP28" s="101">
        <v>0</v>
      </c>
      <c r="AQ28" s="105">
        <v>121895</v>
      </c>
      <c r="AR28" s="101">
        <v>621</v>
      </c>
      <c r="AS28" s="105">
        <v>1689289</v>
      </c>
      <c r="AT28" s="102">
        <v>2210</v>
      </c>
      <c r="AU28" s="134">
        <v>2400</v>
      </c>
      <c r="AV28" s="134">
        <v>190</v>
      </c>
      <c r="AW28" s="105">
        <v>27.45</v>
      </c>
      <c r="AX28" s="105">
        <v>0</v>
      </c>
      <c r="AY28" s="105">
        <v>0</v>
      </c>
      <c r="AZ28" s="104"/>
      <c r="BA28" s="105">
        <v>12695.34</v>
      </c>
      <c r="BB28" s="101">
        <v>14872.000000004482</v>
      </c>
      <c r="BC28" s="184">
        <v>27.45</v>
      </c>
      <c r="BD28" s="105">
        <v>0</v>
      </c>
      <c r="BE28" s="135">
        <v>0</v>
      </c>
      <c r="BF28" s="105">
        <v>12695.34</v>
      </c>
      <c r="BG28" s="105">
        <v>3.3800000000010186</v>
      </c>
      <c r="BH28" s="135">
        <v>14872.000000004482</v>
      </c>
      <c r="BI28" s="135">
        <v>14872.000000004482</v>
      </c>
      <c r="BJ28" s="161">
        <v>14842.000000004482</v>
      </c>
      <c r="BK28" s="135">
        <v>24366.95</v>
      </c>
      <c r="BL28" s="135">
        <v>831.00000000013097</v>
      </c>
      <c r="BM28" s="186">
        <v>15703.000000004613</v>
      </c>
      <c r="BN28" s="134">
        <v>16000</v>
      </c>
      <c r="BO28" s="134">
        <v>296.99999999538704</v>
      </c>
      <c r="BP28" s="219">
        <v>2850244</v>
      </c>
      <c r="BQ28" s="135">
        <v>18</v>
      </c>
      <c r="BR28" s="187">
        <v>3823366</v>
      </c>
      <c r="BS28" s="135">
        <v>12</v>
      </c>
      <c r="BT28" s="126">
        <v>30</v>
      </c>
      <c r="BU28" s="124">
        <v>82</v>
      </c>
      <c r="BV28" s="124">
        <v>112</v>
      </c>
      <c r="BW28" s="140"/>
      <c r="BX28" s="140"/>
      <c r="BY28" s="140"/>
      <c r="BZ28" s="140"/>
      <c r="CA28" s="140"/>
      <c r="CB28" s="140"/>
      <c r="CC28" s="140"/>
      <c r="CD28" s="140"/>
      <c r="CE28" s="140"/>
      <c r="CF28" s="140"/>
      <c r="CG28" s="140"/>
      <c r="CH28" s="124"/>
      <c r="CI28" s="124"/>
      <c r="CJ28" s="124"/>
      <c r="CK28" s="124"/>
      <c r="CL28" s="124"/>
      <c r="CM28" s="124"/>
      <c r="CN28" s="124"/>
      <c r="CO28" s="124"/>
      <c r="CP28" s="124"/>
      <c r="CQ28" s="124"/>
      <c r="CR28" s="124"/>
      <c r="CS28" s="124"/>
      <c r="CT28" s="124"/>
      <c r="CU28" s="124"/>
      <c r="CV28" s="124"/>
      <c r="CW28" s="124"/>
      <c r="CX28" s="124"/>
      <c r="CY28" s="124"/>
      <c r="CZ28" s="124"/>
      <c r="DA28" s="124"/>
      <c r="DB28" s="124"/>
      <c r="DC28" s="124"/>
      <c r="DD28" s="124"/>
      <c r="DE28" s="124"/>
      <c r="DF28" s="124"/>
      <c r="DG28" s="124"/>
      <c r="DH28" s="124"/>
      <c r="DI28" s="124"/>
      <c r="DJ28" s="124"/>
      <c r="DK28" s="124"/>
      <c r="DL28" s="124"/>
      <c r="DM28" s="124"/>
      <c r="DN28" s="124"/>
      <c r="DO28" s="124"/>
      <c r="DP28" s="124"/>
      <c r="DQ28" s="124"/>
      <c r="DR28" s="124"/>
      <c r="DS28" s="124"/>
      <c r="DT28" s="124"/>
      <c r="DU28" s="124"/>
      <c r="DV28" s="124"/>
      <c r="DW28" s="124"/>
      <c r="DX28" s="124"/>
      <c r="DY28" s="124"/>
      <c r="DZ28" s="124"/>
      <c r="EA28" s="124"/>
      <c r="EB28" s="124"/>
      <c r="EC28" s="124"/>
      <c r="ED28" s="124"/>
      <c r="EE28" s="124"/>
      <c r="EF28" s="124"/>
      <c r="EG28" s="124"/>
      <c r="EH28" s="124"/>
      <c r="EI28" s="124"/>
      <c r="EJ28" s="124"/>
      <c r="EK28" s="124"/>
      <c r="EL28" s="124"/>
      <c r="EM28" s="123" t="s">
        <v>127</v>
      </c>
      <c r="EN28" s="123" t="s">
        <v>127</v>
      </c>
      <c r="EO28" s="123" t="s">
        <v>127</v>
      </c>
      <c r="EP28" s="123" t="s">
        <v>127</v>
      </c>
      <c r="EQ28" s="123" t="s">
        <v>127</v>
      </c>
      <c r="ER28" s="123" t="s">
        <v>127</v>
      </c>
      <c r="ES28" s="123" t="s">
        <v>127</v>
      </c>
      <c r="ET28" s="123" t="s">
        <v>127</v>
      </c>
      <c r="EU28" s="123" t="s">
        <v>127</v>
      </c>
      <c r="EV28" s="123" t="s">
        <v>127</v>
      </c>
      <c r="EW28" s="123" t="s">
        <v>127</v>
      </c>
      <c r="EX28" s="123" t="s">
        <v>127</v>
      </c>
      <c r="EY28" s="123" t="s">
        <v>127</v>
      </c>
      <c r="EZ28" s="123" t="s">
        <v>127</v>
      </c>
      <c r="FA28" s="123" t="s">
        <v>127</v>
      </c>
      <c r="FB28" s="123" t="s">
        <v>127</v>
      </c>
      <c r="FC28" s="123" t="s">
        <v>127</v>
      </c>
      <c r="FD28" s="123" t="s">
        <v>127</v>
      </c>
      <c r="FE28" s="123" t="s">
        <v>127</v>
      </c>
      <c r="FF28" s="123" t="s">
        <v>127</v>
      </c>
      <c r="FG28" s="123" t="s">
        <v>127</v>
      </c>
      <c r="FH28" s="123" t="s">
        <v>127</v>
      </c>
      <c r="FI28" s="123" t="s">
        <v>127</v>
      </c>
      <c r="FJ28" s="123" t="s">
        <v>127</v>
      </c>
      <c r="FK28" s="123" t="s">
        <v>127</v>
      </c>
      <c r="FL28" s="123" t="s">
        <v>127</v>
      </c>
      <c r="FM28" s="123" t="s">
        <v>127</v>
      </c>
      <c r="FN28" s="123" t="s">
        <v>127</v>
      </c>
      <c r="FO28" s="123" t="s">
        <v>127</v>
      </c>
      <c r="FP28" s="123" t="s">
        <v>127</v>
      </c>
      <c r="FQ28" s="123" t="s">
        <v>127</v>
      </c>
      <c r="FR28" s="123" t="s">
        <v>127</v>
      </c>
      <c r="FS28" s="123" t="s">
        <v>127</v>
      </c>
      <c r="FT28" s="123" t="s">
        <v>127</v>
      </c>
      <c r="FU28" s="123" t="s">
        <v>127</v>
      </c>
      <c r="FV28" s="123" t="s">
        <v>127</v>
      </c>
      <c r="FW28" s="123" t="s">
        <v>127</v>
      </c>
      <c r="FX28" s="123" t="s">
        <v>127</v>
      </c>
      <c r="FY28" s="123" t="s">
        <v>127</v>
      </c>
      <c r="FZ28" s="123" t="s">
        <v>127</v>
      </c>
      <c r="GA28" s="123" t="s">
        <v>127</v>
      </c>
      <c r="GB28" s="123" t="s">
        <v>127</v>
      </c>
      <c r="GC28" s="123" t="s">
        <v>127</v>
      </c>
      <c r="GD28" s="123" t="s">
        <v>127</v>
      </c>
      <c r="GE28" s="123" t="s">
        <v>127</v>
      </c>
      <c r="GF28" s="123" t="s">
        <v>127</v>
      </c>
      <c r="GG28" s="123" t="s">
        <v>127</v>
      </c>
      <c r="GH28" s="123" t="s">
        <v>127</v>
      </c>
      <c r="GI28" s="123" t="s">
        <v>127</v>
      </c>
      <c r="GJ28" s="123" t="s">
        <v>127</v>
      </c>
      <c r="GK28" s="123" t="s">
        <v>127</v>
      </c>
      <c r="GL28" s="123" t="s">
        <v>127</v>
      </c>
      <c r="GM28" s="123" t="s">
        <v>127</v>
      </c>
      <c r="GN28" s="123" t="s">
        <v>127</v>
      </c>
      <c r="GO28" s="123" t="s">
        <v>127</v>
      </c>
      <c r="GP28" s="123" t="s">
        <v>127</v>
      </c>
      <c r="GQ28" s="123" t="s">
        <v>127</v>
      </c>
      <c r="GR28" s="123" t="s">
        <v>127</v>
      </c>
      <c r="GS28" s="123" t="s">
        <v>127</v>
      </c>
      <c r="GT28" s="123" t="s">
        <v>127</v>
      </c>
      <c r="GU28" s="123" t="s">
        <v>127</v>
      </c>
      <c r="GV28" s="123" t="s">
        <v>127</v>
      </c>
      <c r="GW28" s="123" t="s">
        <v>127</v>
      </c>
      <c r="GX28" s="123" t="s">
        <v>127</v>
      </c>
      <c r="GY28" s="123" t="s">
        <v>127</v>
      </c>
      <c r="GZ28" s="123" t="s">
        <v>127</v>
      </c>
      <c r="HA28" s="123" t="s">
        <v>127</v>
      </c>
      <c r="HB28" s="123" t="s">
        <v>127</v>
      </c>
      <c r="HC28" s="123" t="s">
        <v>127</v>
      </c>
      <c r="HD28" s="123" t="s">
        <v>127</v>
      </c>
      <c r="HE28" s="123" t="s">
        <v>127</v>
      </c>
      <c r="HF28" s="123" t="s">
        <v>127</v>
      </c>
      <c r="HG28" s="123" t="s">
        <v>127</v>
      </c>
      <c r="HH28" s="123" t="s">
        <v>127</v>
      </c>
      <c r="HI28" s="123" t="s">
        <v>127</v>
      </c>
      <c r="HJ28" s="123" t="s">
        <v>127</v>
      </c>
      <c r="HK28" s="123" t="s">
        <v>127</v>
      </c>
      <c r="HL28" s="123" t="s">
        <v>127</v>
      </c>
      <c r="HM28" s="123" t="s">
        <v>127</v>
      </c>
      <c r="HN28" s="123" t="s">
        <v>127</v>
      </c>
      <c r="HO28" s="123" t="s">
        <v>127</v>
      </c>
      <c r="HP28" s="123" t="s">
        <v>127</v>
      </c>
      <c r="HQ28" s="123" t="s">
        <v>127</v>
      </c>
      <c r="HR28" s="123" t="s">
        <v>127</v>
      </c>
      <c r="HS28" s="123" t="s">
        <v>127</v>
      </c>
      <c r="HT28" s="123" t="s">
        <v>127</v>
      </c>
      <c r="HU28" s="123" t="s">
        <v>127</v>
      </c>
      <c r="HV28" s="123" t="s">
        <v>127</v>
      </c>
      <c r="HW28" s="123" t="s">
        <v>127</v>
      </c>
      <c r="HX28" s="123" t="s">
        <v>127</v>
      </c>
      <c r="HY28" s="123" t="s">
        <v>127</v>
      </c>
      <c r="HZ28" s="123" t="s">
        <v>127</v>
      </c>
      <c r="IA28" s="123" t="s">
        <v>127</v>
      </c>
      <c r="IB28" s="123" t="s">
        <v>127</v>
      </c>
      <c r="IC28" s="123" t="s">
        <v>127</v>
      </c>
      <c r="ID28" s="123" t="s">
        <v>127</v>
      </c>
      <c r="IE28" s="123" t="s">
        <v>127</v>
      </c>
      <c r="IF28" s="123" t="s">
        <v>127</v>
      </c>
      <c r="IG28" s="123" t="s">
        <v>127</v>
      </c>
      <c r="IH28" s="123" t="s">
        <v>127</v>
      </c>
      <c r="II28" s="123" t="s">
        <v>127</v>
      </c>
      <c r="IJ28" s="123" t="s">
        <v>127</v>
      </c>
      <c r="IK28" s="123" t="s">
        <v>127</v>
      </c>
      <c r="IL28" s="123" t="s">
        <v>127</v>
      </c>
      <c r="IM28" s="123" t="s">
        <v>127</v>
      </c>
      <c r="IN28" s="123" t="s">
        <v>127</v>
      </c>
      <c r="IO28" s="123" t="s">
        <v>127</v>
      </c>
      <c r="IP28" s="124"/>
      <c r="IQ28" s="124"/>
    </row>
    <row r="29" spans="1:251" ht="24.9" customHeight="1">
      <c r="A29" s="149">
        <v>25</v>
      </c>
      <c r="B29" s="125"/>
      <c r="C29" s="125">
        <v>69101</v>
      </c>
      <c r="D29" s="125">
        <v>230229</v>
      </c>
      <c r="E29" s="126">
        <v>55</v>
      </c>
      <c r="F29" s="126">
        <v>38</v>
      </c>
      <c r="G29" s="224"/>
      <c r="H29" s="125">
        <v>125898</v>
      </c>
      <c r="I29" s="125">
        <v>76958</v>
      </c>
      <c r="J29" s="125">
        <v>21</v>
      </c>
      <c r="K29" s="125">
        <v>14583</v>
      </c>
      <c r="L29" s="126">
        <v>6</v>
      </c>
      <c r="M29" s="128">
        <v>11890</v>
      </c>
      <c r="N29" s="129">
        <v>7</v>
      </c>
      <c r="O29" s="128">
        <v>22115</v>
      </c>
      <c r="P29" s="129">
        <v>8</v>
      </c>
      <c r="Q29" s="188">
        <v>56872</v>
      </c>
      <c r="R29" s="184">
        <v>4</v>
      </c>
      <c r="S29" s="183">
        <v>25302</v>
      </c>
      <c r="T29" s="101">
        <v>1</v>
      </c>
      <c r="U29" s="183">
        <v>9515</v>
      </c>
      <c r="V29" s="105">
        <v>1582</v>
      </c>
      <c r="W29" s="101">
        <v>7</v>
      </c>
      <c r="X29" s="104">
        <v>32669</v>
      </c>
      <c r="Y29" s="101">
        <v>17</v>
      </c>
      <c r="Z29" s="185">
        <v>7838</v>
      </c>
      <c r="AA29" s="185">
        <v>6985</v>
      </c>
      <c r="AB29" s="101">
        <v>1</v>
      </c>
      <c r="AC29" s="105">
        <v>2177</v>
      </c>
      <c r="AD29" s="104">
        <v>1573</v>
      </c>
      <c r="AE29" s="101">
        <v>3</v>
      </c>
      <c r="AF29" s="133">
        <v>12</v>
      </c>
      <c r="AG29" s="218">
        <v>194999</v>
      </c>
      <c r="AH29" s="155">
        <v>73</v>
      </c>
      <c r="AI29" s="134">
        <v>115</v>
      </c>
      <c r="AJ29" s="134">
        <v>42</v>
      </c>
      <c r="AK29" s="99">
        <v>1628867</v>
      </c>
      <c r="AL29" s="99">
        <v>1478</v>
      </c>
      <c r="AM29" s="99">
        <v>59779</v>
      </c>
      <c r="AN29" s="100">
        <v>41</v>
      </c>
      <c r="AO29" s="105">
        <v>116836</v>
      </c>
      <c r="AP29" s="101">
        <v>0</v>
      </c>
      <c r="AQ29" s="105">
        <v>122424</v>
      </c>
      <c r="AR29" s="101">
        <v>529</v>
      </c>
      <c r="AS29" s="105">
        <v>1690124</v>
      </c>
      <c r="AT29" s="102">
        <v>1519</v>
      </c>
      <c r="AU29" s="134">
        <v>2400</v>
      </c>
      <c r="AV29" s="134">
        <v>881</v>
      </c>
      <c r="AW29" s="105">
        <v>27.45</v>
      </c>
      <c r="AX29" s="105">
        <v>0</v>
      </c>
      <c r="AY29" s="105">
        <v>0</v>
      </c>
      <c r="AZ29" s="104"/>
      <c r="BA29" s="105">
        <v>12698.21</v>
      </c>
      <c r="BB29" s="101">
        <v>12627.999999995518</v>
      </c>
      <c r="BC29" s="184">
        <v>27.45</v>
      </c>
      <c r="BD29" s="105">
        <v>0</v>
      </c>
      <c r="BE29" s="135">
        <v>0</v>
      </c>
      <c r="BF29" s="105">
        <v>12698.21</v>
      </c>
      <c r="BG29" s="105">
        <v>2.8699999999989814</v>
      </c>
      <c r="BH29" s="135">
        <v>12627.999999995518</v>
      </c>
      <c r="BI29" s="135">
        <v>12627.999999995518</v>
      </c>
      <c r="BJ29" s="161">
        <v>12601.999999995518</v>
      </c>
      <c r="BK29" s="135">
        <v>24374.91</v>
      </c>
      <c r="BL29" s="135">
        <v>795.99999999991269</v>
      </c>
      <c r="BM29" s="186">
        <v>13423.999999995431</v>
      </c>
      <c r="BN29" s="134">
        <v>16000</v>
      </c>
      <c r="BO29" s="134">
        <v>2576.0000000045693</v>
      </c>
      <c r="BP29" s="219">
        <v>2850258</v>
      </c>
      <c r="BQ29" s="135">
        <v>14</v>
      </c>
      <c r="BR29" s="187">
        <v>3823378</v>
      </c>
      <c r="BS29" s="135">
        <v>12</v>
      </c>
      <c r="BT29" s="126">
        <v>26</v>
      </c>
      <c r="BU29" s="124">
        <v>91</v>
      </c>
      <c r="BV29" s="124">
        <v>121</v>
      </c>
      <c r="BW29" s="140"/>
      <c r="BX29" s="140"/>
      <c r="BY29" s="140"/>
      <c r="BZ29" s="140"/>
      <c r="CA29" s="140"/>
      <c r="CB29" s="140"/>
      <c r="CC29" s="140"/>
      <c r="CD29" s="140"/>
      <c r="CE29" s="140"/>
      <c r="CF29" s="140"/>
      <c r="CG29" s="140"/>
      <c r="CH29" s="124"/>
      <c r="CI29" s="124"/>
      <c r="CJ29" s="124"/>
      <c r="CK29" s="124"/>
      <c r="CL29" s="124"/>
      <c r="CM29" s="124"/>
      <c r="CN29" s="124"/>
      <c r="CO29" s="124"/>
      <c r="CP29" s="124"/>
      <c r="CQ29" s="124"/>
      <c r="CR29" s="124"/>
      <c r="CS29" s="124"/>
      <c r="CT29" s="124"/>
      <c r="CU29" s="124"/>
      <c r="CV29" s="124"/>
      <c r="CW29" s="124"/>
      <c r="CX29" s="124"/>
      <c r="CY29" s="124"/>
      <c r="CZ29" s="124"/>
      <c r="DA29" s="124"/>
      <c r="DB29" s="124"/>
      <c r="DC29" s="124"/>
      <c r="DD29" s="124"/>
      <c r="DE29" s="124"/>
      <c r="DF29" s="124"/>
      <c r="DG29" s="124"/>
      <c r="DH29" s="124"/>
      <c r="DI29" s="124"/>
      <c r="DJ29" s="124"/>
      <c r="DK29" s="124"/>
      <c r="DL29" s="124"/>
      <c r="DM29" s="124"/>
      <c r="DN29" s="124"/>
      <c r="DO29" s="124"/>
      <c r="DP29" s="124"/>
      <c r="DQ29" s="124"/>
      <c r="DR29" s="124"/>
      <c r="DS29" s="124"/>
      <c r="DT29" s="124"/>
      <c r="DU29" s="124"/>
      <c r="DV29" s="124"/>
      <c r="DW29" s="124"/>
      <c r="DX29" s="124"/>
      <c r="DY29" s="124"/>
      <c r="DZ29" s="124"/>
      <c r="EA29" s="124"/>
      <c r="EB29" s="124"/>
      <c r="EC29" s="124"/>
      <c r="ED29" s="124"/>
      <c r="EE29" s="124"/>
      <c r="EF29" s="124"/>
      <c r="EG29" s="124"/>
      <c r="EH29" s="124"/>
      <c r="EI29" s="124"/>
      <c r="EJ29" s="124"/>
      <c r="EK29" s="124"/>
      <c r="EL29" s="124"/>
      <c r="EM29" s="123" t="s">
        <v>127</v>
      </c>
      <c r="EN29" s="123" t="s">
        <v>127</v>
      </c>
      <c r="EO29" s="123" t="s">
        <v>127</v>
      </c>
      <c r="EP29" s="123" t="s">
        <v>127</v>
      </c>
      <c r="EQ29" s="123" t="s">
        <v>127</v>
      </c>
      <c r="ER29" s="123" t="s">
        <v>127</v>
      </c>
      <c r="ES29" s="123" t="s">
        <v>127</v>
      </c>
      <c r="ET29" s="123" t="s">
        <v>127</v>
      </c>
      <c r="EU29" s="123" t="s">
        <v>127</v>
      </c>
      <c r="EV29" s="123" t="s">
        <v>127</v>
      </c>
      <c r="EW29" s="123" t="s">
        <v>127</v>
      </c>
      <c r="EX29" s="123" t="s">
        <v>127</v>
      </c>
      <c r="EY29" s="123" t="s">
        <v>127</v>
      </c>
      <c r="EZ29" s="123" t="s">
        <v>127</v>
      </c>
      <c r="FA29" s="123" t="s">
        <v>127</v>
      </c>
      <c r="FB29" s="123" t="s">
        <v>127</v>
      </c>
      <c r="FC29" s="123" t="s">
        <v>127</v>
      </c>
      <c r="FD29" s="123" t="s">
        <v>127</v>
      </c>
      <c r="FE29" s="123" t="s">
        <v>127</v>
      </c>
      <c r="FF29" s="123" t="s">
        <v>127</v>
      </c>
      <c r="FG29" s="123" t="s">
        <v>127</v>
      </c>
      <c r="FH29" s="123" t="s">
        <v>127</v>
      </c>
      <c r="FI29" s="123" t="s">
        <v>127</v>
      </c>
      <c r="FJ29" s="123" t="s">
        <v>127</v>
      </c>
      <c r="FK29" s="123" t="s">
        <v>127</v>
      </c>
      <c r="FL29" s="123" t="s">
        <v>127</v>
      </c>
      <c r="FM29" s="123" t="s">
        <v>127</v>
      </c>
      <c r="FN29" s="123" t="s">
        <v>127</v>
      </c>
      <c r="FO29" s="123" t="s">
        <v>127</v>
      </c>
      <c r="FP29" s="123" t="s">
        <v>127</v>
      </c>
      <c r="FQ29" s="123" t="s">
        <v>127</v>
      </c>
      <c r="FR29" s="123" t="s">
        <v>127</v>
      </c>
      <c r="FS29" s="123" t="s">
        <v>127</v>
      </c>
      <c r="FT29" s="123" t="s">
        <v>127</v>
      </c>
      <c r="FU29" s="123" t="s">
        <v>127</v>
      </c>
      <c r="FV29" s="123" t="s">
        <v>127</v>
      </c>
      <c r="FW29" s="123" t="s">
        <v>127</v>
      </c>
      <c r="FX29" s="123" t="s">
        <v>127</v>
      </c>
      <c r="FY29" s="123" t="s">
        <v>127</v>
      </c>
      <c r="FZ29" s="123" t="s">
        <v>127</v>
      </c>
      <c r="GA29" s="123" t="s">
        <v>127</v>
      </c>
      <c r="GB29" s="123" t="s">
        <v>127</v>
      </c>
      <c r="GC29" s="123" t="s">
        <v>127</v>
      </c>
      <c r="GD29" s="123" t="s">
        <v>127</v>
      </c>
      <c r="GE29" s="123" t="s">
        <v>127</v>
      </c>
      <c r="GF29" s="123" t="s">
        <v>127</v>
      </c>
      <c r="GG29" s="123" t="s">
        <v>127</v>
      </c>
      <c r="GH29" s="123" t="s">
        <v>127</v>
      </c>
      <c r="GI29" s="123" t="s">
        <v>127</v>
      </c>
      <c r="GJ29" s="123" t="s">
        <v>127</v>
      </c>
      <c r="GK29" s="123" t="s">
        <v>127</v>
      </c>
      <c r="GL29" s="123" t="s">
        <v>127</v>
      </c>
      <c r="GM29" s="123" t="s">
        <v>127</v>
      </c>
      <c r="GN29" s="123" t="s">
        <v>127</v>
      </c>
      <c r="GO29" s="123" t="s">
        <v>127</v>
      </c>
      <c r="GP29" s="123" t="s">
        <v>127</v>
      </c>
      <c r="GQ29" s="123" t="s">
        <v>127</v>
      </c>
      <c r="GR29" s="123" t="s">
        <v>127</v>
      </c>
      <c r="GS29" s="123" t="s">
        <v>127</v>
      </c>
      <c r="GT29" s="123" t="s">
        <v>127</v>
      </c>
      <c r="GU29" s="123" t="s">
        <v>127</v>
      </c>
      <c r="GV29" s="123" t="s">
        <v>127</v>
      </c>
      <c r="GW29" s="123" t="s">
        <v>127</v>
      </c>
      <c r="GX29" s="123" t="s">
        <v>127</v>
      </c>
      <c r="GY29" s="123" t="s">
        <v>127</v>
      </c>
      <c r="GZ29" s="123" t="s">
        <v>127</v>
      </c>
      <c r="HA29" s="123" t="s">
        <v>127</v>
      </c>
      <c r="HB29" s="123" t="s">
        <v>127</v>
      </c>
      <c r="HC29" s="123" t="s">
        <v>127</v>
      </c>
      <c r="HD29" s="123" t="s">
        <v>127</v>
      </c>
      <c r="HE29" s="123" t="s">
        <v>127</v>
      </c>
      <c r="HF29" s="123" t="s">
        <v>127</v>
      </c>
      <c r="HG29" s="123" t="s">
        <v>127</v>
      </c>
      <c r="HH29" s="123" t="s">
        <v>127</v>
      </c>
      <c r="HI29" s="123" t="s">
        <v>127</v>
      </c>
      <c r="HJ29" s="123" t="s">
        <v>127</v>
      </c>
      <c r="HK29" s="123" t="s">
        <v>127</v>
      </c>
      <c r="HL29" s="123" t="s">
        <v>127</v>
      </c>
      <c r="HM29" s="123" t="s">
        <v>127</v>
      </c>
      <c r="HN29" s="123" t="s">
        <v>127</v>
      </c>
      <c r="HO29" s="123" t="s">
        <v>127</v>
      </c>
      <c r="HP29" s="123" t="s">
        <v>127</v>
      </c>
      <c r="HQ29" s="123" t="s">
        <v>127</v>
      </c>
      <c r="HR29" s="123" t="s">
        <v>127</v>
      </c>
      <c r="HS29" s="123" t="s">
        <v>127</v>
      </c>
      <c r="HT29" s="123" t="s">
        <v>127</v>
      </c>
      <c r="HU29" s="123" t="s">
        <v>127</v>
      </c>
      <c r="HV29" s="123" t="s">
        <v>127</v>
      </c>
      <c r="HW29" s="123" t="s">
        <v>127</v>
      </c>
      <c r="HX29" s="123" t="s">
        <v>127</v>
      </c>
      <c r="HY29" s="123" t="s">
        <v>127</v>
      </c>
      <c r="HZ29" s="123" t="s">
        <v>127</v>
      </c>
      <c r="IA29" s="123" t="s">
        <v>127</v>
      </c>
      <c r="IB29" s="123" t="s">
        <v>127</v>
      </c>
      <c r="IC29" s="123" t="s">
        <v>127</v>
      </c>
      <c r="ID29" s="123" t="s">
        <v>127</v>
      </c>
      <c r="IE29" s="123" t="s">
        <v>127</v>
      </c>
      <c r="IF29" s="123" t="s">
        <v>127</v>
      </c>
      <c r="IG29" s="123" t="s">
        <v>127</v>
      </c>
      <c r="IH29" s="123" t="s">
        <v>127</v>
      </c>
      <c r="II29" s="123" t="s">
        <v>127</v>
      </c>
      <c r="IJ29" s="123" t="s">
        <v>127</v>
      </c>
      <c r="IK29" s="123" t="s">
        <v>127</v>
      </c>
      <c r="IL29" s="123" t="s">
        <v>127</v>
      </c>
      <c r="IM29" s="123" t="s">
        <v>127</v>
      </c>
      <c r="IN29" s="123" t="s">
        <v>127</v>
      </c>
      <c r="IO29" s="123" t="s">
        <v>127</v>
      </c>
      <c r="IP29" s="124"/>
      <c r="IQ29" s="124"/>
    </row>
    <row r="30" spans="1:251" ht="24.9" customHeight="1">
      <c r="A30" s="149">
        <v>26</v>
      </c>
      <c r="B30" s="125"/>
      <c r="C30" s="125">
        <v>69186</v>
      </c>
      <c r="D30" s="125">
        <v>230294</v>
      </c>
      <c r="E30" s="126">
        <v>65</v>
      </c>
      <c r="F30" s="126">
        <v>46</v>
      </c>
      <c r="G30" s="224"/>
      <c r="H30" s="125">
        <v>125954</v>
      </c>
      <c r="I30" s="125">
        <v>76981</v>
      </c>
      <c r="J30" s="125">
        <v>23</v>
      </c>
      <c r="K30" s="125">
        <v>14590</v>
      </c>
      <c r="L30" s="126">
        <v>7</v>
      </c>
      <c r="M30" s="128">
        <v>11899</v>
      </c>
      <c r="N30" s="129">
        <v>9</v>
      </c>
      <c r="O30" s="128">
        <v>22121</v>
      </c>
      <c r="P30" s="129">
        <v>6</v>
      </c>
      <c r="Q30" s="183">
        <v>56879</v>
      </c>
      <c r="R30" s="184">
        <v>7</v>
      </c>
      <c r="S30" s="183">
        <v>25303</v>
      </c>
      <c r="T30" s="101">
        <v>1</v>
      </c>
      <c r="U30" s="183">
        <v>9515</v>
      </c>
      <c r="V30" s="105">
        <v>1592</v>
      </c>
      <c r="W30" s="101">
        <v>10</v>
      </c>
      <c r="X30" s="104">
        <v>32688</v>
      </c>
      <c r="Y30" s="101">
        <v>19</v>
      </c>
      <c r="Z30" s="185">
        <v>7839</v>
      </c>
      <c r="AA30" s="185">
        <v>6986</v>
      </c>
      <c r="AB30" s="101">
        <v>2</v>
      </c>
      <c r="AC30" s="105">
        <v>2178</v>
      </c>
      <c r="AD30" s="104">
        <v>1573</v>
      </c>
      <c r="AE30" s="101">
        <v>1</v>
      </c>
      <c r="AF30" s="133">
        <v>18</v>
      </c>
      <c r="AG30" s="218">
        <v>195140</v>
      </c>
      <c r="AH30" s="155">
        <v>141</v>
      </c>
      <c r="AI30" s="134">
        <v>115</v>
      </c>
      <c r="AJ30" s="134">
        <v>-26</v>
      </c>
      <c r="AK30" s="99">
        <v>1631820</v>
      </c>
      <c r="AL30" s="99">
        <v>2953</v>
      </c>
      <c r="AM30" s="99">
        <v>59820</v>
      </c>
      <c r="AN30" s="100">
        <v>41</v>
      </c>
      <c r="AO30" s="105">
        <v>116836</v>
      </c>
      <c r="AP30" s="101">
        <v>0</v>
      </c>
      <c r="AQ30" s="105">
        <v>123229</v>
      </c>
      <c r="AR30" s="101">
        <v>805</v>
      </c>
      <c r="AS30" s="105">
        <v>1694593</v>
      </c>
      <c r="AT30" s="102">
        <v>2994</v>
      </c>
      <c r="AU30" s="134">
        <v>2400</v>
      </c>
      <c r="AV30" s="134">
        <v>-594</v>
      </c>
      <c r="AW30" s="105">
        <v>27.45</v>
      </c>
      <c r="AX30" s="105">
        <v>0</v>
      </c>
      <c r="AY30" s="105">
        <v>0</v>
      </c>
      <c r="AZ30" s="104"/>
      <c r="BA30" s="105">
        <v>12702.01</v>
      </c>
      <c r="BB30" s="101">
        <v>16720.000000004802</v>
      </c>
      <c r="BC30" s="184">
        <v>27.45</v>
      </c>
      <c r="BD30" s="105">
        <v>0</v>
      </c>
      <c r="BE30" s="135">
        <v>0</v>
      </c>
      <c r="BF30" s="105">
        <v>12702.01</v>
      </c>
      <c r="BG30" s="105">
        <v>3.8000000000010914</v>
      </c>
      <c r="BH30" s="135">
        <v>16720.000000004802</v>
      </c>
      <c r="BI30" s="135">
        <v>16720.000000004802</v>
      </c>
      <c r="BJ30" s="161">
        <v>16682.000000004802</v>
      </c>
      <c r="BK30" s="135">
        <v>24385.82</v>
      </c>
      <c r="BL30" s="135">
        <v>1090.9999999999854</v>
      </c>
      <c r="BM30" s="186">
        <v>17811.000000004788</v>
      </c>
      <c r="BN30" s="134">
        <v>16000</v>
      </c>
      <c r="BO30" s="134">
        <v>-1811.0000000047876</v>
      </c>
      <c r="BP30" s="219">
        <v>2850284</v>
      </c>
      <c r="BQ30" s="135">
        <v>26</v>
      </c>
      <c r="BR30" s="187">
        <v>3823390</v>
      </c>
      <c r="BS30" s="135">
        <v>12</v>
      </c>
      <c r="BT30" s="126">
        <v>38</v>
      </c>
      <c r="BU30" s="124">
        <v>74</v>
      </c>
      <c r="BV30" s="124">
        <v>102</v>
      </c>
      <c r="BW30" s="140"/>
      <c r="BX30" s="140"/>
      <c r="BY30" s="140"/>
      <c r="BZ30" s="140"/>
      <c r="CA30" s="140"/>
      <c r="CB30" s="140"/>
      <c r="CC30" s="140"/>
      <c r="CD30" s="140"/>
      <c r="CE30" s="140"/>
      <c r="CF30" s="140"/>
      <c r="CG30" s="140"/>
      <c r="CH30" s="124"/>
      <c r="CI30" s="124"/>
      <c r="CJ30" s="124"/>
      <c r="CK30" s="124"/>
      <c r="CL30" s="124"/>
      <c r="CM30" s="124"/>
      <c r="CN30" s="124"/>
      <c r="CO30" s="124"/>
      <c r="CP30" s="124"/>
      <c r="CQ30" s="124"/>
      <c r="CR30" s="124"/>
      <c r="CS30" s="124"/>
      <c r="CT30" s="124"/>
      <c r="CU30" s="124"/>
      <c r="CV30" s="124"/>
      <c r="CW30" s="124"/>
      <c r="CX30" s="124"/>
      <c r="CY30" s="124"/>
      <c r="CZ30" s="124"/>
      <c r="DA30" s="124"/>
      <c r="DB30" s="124"/>
      <c r="DC30" s="124"/>
      <c r="DD30" s="124"/>
      <c r="DE30" s="124"/>
      <c r="DF30" s="124"/>
      <c r="DG30" s="124"/>
      <c r="DH30" s="124"/>
      <c r="DI30" s="124"/>
      <c r="DJ30" s="124"/>
      <c r="DK30" s="124"/>
      <c r="DL30" s="124"/>
      <c r="DM30" s="124"/>
      <c r="DN30" s="124"/>
      <c r="DO30" s="124"/>
      <c r="DP30" s="124"/>
      <c r="DQ30" s="124"/>
      <c r="DR30" s="124"/>
      <c r="DS30" s="124"/>
      <c r="DT30" s="124"/>
      <c r="DU30" s="124"/>
      <c r="DV30" s="124"/>
      <c r="DW30" s="124"/>
      <c r="DX30" s="124"/>
      <c r="DY30" s="124"/>
      <c r="DZ30" s="124"/>
      <c r="EA30" s="124"/>
      <c r="EB30" s="124"/>
      <c r="EC30" s="124"/>
      <c r="ED30" s="124"/>
      <c r="EE30" s="124"/>
      <c r="EF30" s="124"/>
      <c r="EG30" s="124"/>
      <c r="EH30" s="124"/>
      <c r="EI30" s="124"/>
      <c r="EJ30" s="124"/>
      <c r="EK30" s="124"/>
      <c r="EL30" s="124"/>
      <c r="EM30" s="123" t="s">
        <v>127</v>
      </c>
      <c r="EN30" s="123" t="s">
        <v>127</v>
      </c>
      <c r="EO30" s="123" t="s">
        <v>127</v>
      </c>
      <c r="EP30" s="123" t="s">
        <v>127</v>
      </c>
      <c r="EQ30" s="123" t="s">
        <v>127</v>
      </c>
      <c r="ER30" s="123" t="s">
        <v>127</v>
      </c>
      <c r="ES30" s="123" t="s">
        <v>127</v>
      </c>
      <c r="ET30" s="123" t="s">
        <v>127</v>
      </c>
      <c r="EU30" s="123" t="s">
        <v>127</v>
      </c>
      <c r="EV30" s="123" t="s">
        <v>127</v>
      </c>
      <c r="EW30" s="123" t="s">
        <v>127</v>
      </c>
      <c r="EX30" s="123" t="s">
        <v>127</v>
      </c>
      <c r="EY30" s="123" t="s">
        <v>127</v>
      </c>
      <c r="EZ30" s="123" t="s">
        <v>127</v>
      </c>
      <c r="FA30" s="123" t="s">
        <v>127</v>
      </c>
      <c r="FB30" s="123" t="s">
        <v>127</v>
      </c>
      <c r="FC30" s="123" t="s">
        <v>127</v>
      </c>
      <c r="FD30" s="123" t="s">
        <v>127</v>
      </c>
      <c r="FE30" s="123" t="s">
        <v>127</v>
      </c>
      <c r="FF30" s="123" t="s">
        <v>127</v>
      </c>
      <c r="FG30" s="123" t="s">
        <v>127</v>
      </c>
      <c r="FH30" s="123" t="s">
        <v>127</v>
      </c>
      <c r="FI30" s="123" t="s">
        <v>127</v>
      </c>
      <c r="FJ30" s="123" t="s">
        <v>127</v>
      </c>
      <c r="FK30" s="123" t="s">
        <v>127</v>
      </c>
      <c r="FL30" s="123" t="s">
        <v>127</v>
      </c>
      <c r="FM30" s="123" t="s">
        <v>127</v>
      </c>
      <c r="FN30" s="123" t="s">
        <v>127</v>
      </c>
      <c r="FO30" s="123" t="s">
        <v>127</v>
      </c>
      <c r="FP30" s="123" t="s">
        <v>127</v>
      </c>
      <c r="FQ30" s="123" t="s">
        <v>127</v>
      </c>
      <c r="FR30" s="123" t="s">
        <v>127</v>
      </c>
      <c r="FS30" s="123" t="s">
        <v>127</v>
      </c>
      <c r="FT30" s="123" t="s">
        <v>127</v>
      </c>
      <c r="FU30" s="123" t="s">
        <v>127</v>
      </c>
      <c r="FV30" s="123" t="s">
        <v>127</v>
      </c>
      <c r="FW30" s="123" t="s">
        <v>127</v>
      </c>
      <c r="FX30" s="123" t="s">
        <v>127</v>
      </c>
      <c r="FY30" s="123" t="s">
        <v>127</v>
      </c>
      <c r="FZ30" s="123" t="s">
        <v>127</v>
      </c>
      <c r="GA30" s="123" t="s">
        <v>127</v>
      </c>
      <c r="GB30" s="123" t="s">
        <v>127</v>
      </c>
      <c r="GC30" s="123" t="s">
        <v>127</v>
      </c>
      <c r="GD30" s="123" t="s">
        <v>127</v>
      </c>
      <c r="GE30" s="123" t="s">
        <v>127</v>
      </c>
      <c r="GF30" s="123" t="s">
        <v>127</v>
      </c>
      <c r="GG30" s="123" t="s">
        <v>127</v>
      </c>
      <c r="GH30" s="123" t="s">
        <v>127</v>
      </c>
      <c r="GI30" s="123" t="s">
        <v>127</v>
      </c>
      <c r="GJ30" s="123" t="s">
        <v>127</v>
      </c>
      <c r="GK30" s="123" t="s">
        <v>127</v>
      </c>
      <c r="GL30" s="123" t="s">
        <v>127</v>
      </c>
      <c r="GM30" s="123" t="s">
        <v>127</v>
      </c>
      <c r="GN30" s="123" t="s">
        <v>127</v>
      </c>
      <c r="GO30" s="123" t="s">
        <v>127</v>
      </c>
      <c r="GP30" s="123" t="s">
        <v>127</v>
      </c>
      <c r="GQ30" s="123" t="s">
        <v>127</v>
      </c>
      <c r="GR30" s="123" t="s">
        <v>127</v>
      </c>
      <c r="GS30" s="123" t="s">
        <v>127</v>
      </c>
      <c r="GT30" s="123" t="s">
        <v>127</v>
      </c>
      <c r="GU30" s="123" t="s">
        <v>127</v>
      </c>
      <c r="GV30" s="123" t="s">
        <v>127</v>
      </c>
      <c r="GW30" s="123" t="s">
        <v>127</v>
      </c>
      <c r="GX30" s="123" t="s">
        <v>127</v>
      </c>
      <c r="GY30" s="123" t="s">
        <v>127</v>
      </c>
      <c r="GZ30" s="123" t="s">
        <v>127</v>
      </c>
      <c r="HA30" s="123" t="s">
        <v>127</v>
      </c>
      <c r="HB30" s="123" t="s">
        <v>127</v>
      </c>
      <c r="HC30" s="123" t="s">
        <v>127</v>
      </c>
      <c r="HD30" s="123" t="s">
        <v>127</v>
      </c>
      <c r="HE30" s="123" t="s">
        <v>127</v>
      </c>
      <c r="HF30" s="123" t="s">
        <v>127</v>
      </c>
      <c r="HG30" s="123" t="s">
        <v>127</v>
      </c>
      <c r="HH30" s="123" t="s">
        <v>127</v>
      </c>
      <c r="HI30" s="123" t="s">
        <v>127</v>
      </c>
      <c r="HJ30" s="123" t="s">
        <v>127</v>
      </c>
      <c r="HK30" s="123" t="s">
        <v>127</v>
      </c>
      <c r="HL30" s="123" t="s">
        <v>127</v>
      </c>
      <c r="HM30" s="123" t="s">
        <v>127</v>
      </c>
      <c r="HN30" s="123" t="s">
        <v>127</v>
      </c>
      <c r="HO30" s="123" t="s">
        <v>127</v>
      </c>
      <c r="HP30" s="123" t="s">
        <v>127</v>
      </c>
      <c r="HQ30" s="123" t="s">
        <v>127</v>
      </c>
      <c r="HR30" s="123" t="s">
        <v>127</v>
      </c>
      <c r="HS30" s="123" t="s">
        <v>127</v>
      </c>
      <c r="HT30" s="123" t="s">
        <v>127</v>
      </c>
      <c r="HU30" s="123" t="s">
        <v>127</v>
      </c>
      <c r="HV30" s="123" t="s">
        <v>127</v>
      </c>
      <c r="HW30" s="123" t="s">
        <v>127</v>
      </c>
      <c r="HX30" s="123" t="s">
        <v>127</v>
      </c>
      <c r="HY30" s="123" t="s">
        <v>127</v>
      </c>
      <c r="HZ30" s="123" t="s">
        <v>127</v>
      </c>
      <c r="IA30" s="123" t="s">
        <v>127</v>
      </c>
      <c r="IB30" s="123" t="s">
        <v>127</v>
      </c>
      <c r="IC30" s="123" t="s">
        <v>127</v>
      </c>
      <c r="ID30" s="123" t="s">
        <v>127</v>
      </c>
      <c r="IE30" s="123" t="s">
        <v>127</v>
      </c>
      <c r="IF30" s="123" t="s">
        <v>127</v>
      </c>
      <c r="IG30" s="123" t="s">
        <v>127</v>
      </c>
      <c r="IH30" s="123" t="s">
        <v>127</v>
      </c>
      <c r="II30" s="123" t="s">
        <v>127</v>
      </c>
      <c r="IJ30" s="123" t="s">
        <v>127</v>
      </c>
      <c r="IK30" s="123" t="s">
        <v>127</v>
      </c>
      <c r="IL30" s="123" t="s">
        <v>127</v>
      </c>
      <c r="IM30" s="123" t="s">
        <v>127</v>
      </c>
      <c r="IN30" s="123" t="s">
        <v>127</v>
      </c>
      <c r="IO30" s="123" t="s">
        <v>127</v>
      </c>
      <c r="IP30" s="124"/>
      <c r="IQ30" s="124"/>
    </row>
    <row r="31" spans="1:251" ht="24.9" customHeight="1">
      <c r="A31" s="149">
        <v>27</v>
      </c>
      <c r="B31" s="125"/>
      <c r="C31" s="125">
        <v>69247</v>
      </c>
      <c r="D31" s="125">
        <v>230354</v>
      </c>
      <c r="E31" s="126">
        <v>60</v>
      </c>
      <c r="F31" s="126">
        <v>48</v>
      </c>
      <c r="G31" s="224"/>
      <c r="H31" s="125">
        <v>125999</v>
      </c>
      <c r="I31" s="125">
        <v>76986</v>
      </c>
      <c r="J31" s="125">
        <v>5</v>
      </c>
      <c r="K31" s="125">
        <v>14596</v>
      </c>
      <c r="L31" s="126">
        <v>6</v>
      </c>
      <c r="M31" s="128">
        <v>11905</v>
      </c>
      <c r="N31" s="129">
        <v>6</v>
      </c>
      <c r="O31" s="128">
        <v>22129</v>
      </c>
      <c r="P31" s="129">
        <v>8</v>
      </c>
      <c r="Q31" s="183">
        <v>56880</v>
      </c>
      <c r="R31" s="184">
        <v>1</v>
      </c>
      <c r="S31" s="183">
        <v>25301</v>
      </c>
      <c r="T31" s="101">
        <v>-2</v>
      </c>
      <c r="U31" s="183">
        <v>9515</v>
      </c>
      <c r="V31" s="105">
        <v>1597</v>
      </c>
      <c r="W31" s="101">
        <v>5</v>
      </c>
      <c r="X31" s="104">
        <v>32700</v>
      </c>
      <c r="Y31" s="101">
        <v>12</v>
      </c>
      <c r="Z31" s="185">
        <v>7839</v>
      </c>
      <c r="AA31" s="185">
        <v>6988</v>
      </c>
      <c r="AB31" s="101">
        <v>2</v>
      </c>
      <c r="AC31" s="105">
        <v>2179</v>
      </c>
      <c r="AD31" s="104">
        <v>1574</v>
      </c>
      <c r="AE31" s="101">
        <v>2</v>
      </c>
      <c r="AF31" s="133">
        <v>4</v>
      </c>
      <c r="AG31" s="218">
        <v>195246</v>
      </c>
      <c r="AH31" s="155">
        <v>106</v>
      </c>
      <c r="AI31" s="134">
        <v>115</v>
      </c>
      <c r="AJ31" s="134">
        <v>9</v>
      </c>
      <c r="AK31" s="99">
        <v>1634240</v>
      </c>
      <c r="AL31" s="99">
        <v>2420</v>
      </c>
      <c r="AM31" s="99">
        <v>59861</v>
      </c>
      <c r="AN31" s="100">
        <v>41</v>
      </c>
      <c r="AO31" s="105">
        <v>116836</v>
      </c>
      <c r="AP31" s="101">
        <v>0</v>
      </c>
      <c r="AQ31" s="105">
        <v>123697</v>
      </c>
      <c r="AR31" s="101">
        <v>468</v>
      </c>
      <c r="AS31" s="105">
        <v>1696521</v>
      </c>
      <c r="AT31" s="102">
        <v>2461</v>
      </c>
      <c r="AU31" s="134">
        <v>2400</v>
      </c>
      <c r="AV31" s="134">
        <v>-61</v>
      </c>
      <c r="AW31" s="105">
        <v>27.45</v>
      </c>
      <c r="AX31" s="105">
        <v>0</v>
      </c>
      <c r="AY31" s="105">
        <v>0</v>
      </c>
      <c r="AZ31" s="104"/>
      <c r="BA31" s="105">
        <v>12705.18</v>
      </c>
      <c r="BB31" s="101">
        <v>13948.00000000032</v>
      </c>
      <c r="BC31" s="184">
        <v>27.45</v>
      </c>
      <c r="BD31" s="105">
        <v>0</v>
      </c>
      <c r="BE31" s="135">
        <v>0</v>
      </c>
      <c r="BF31" s="105">
        <v>12705.18</v>
      </c>
      <c r="BG31" s="105">
        <v>3.1700000000000728</v>
      </c>
      <c r="BH31" s="135">
        <v>13948.00000000032</v>
      </c>
      <c r="BI31" s="135">
        <v>13948.00000000032</v>
      </c>
      <c r="BJ31" s="161">
        <v>13919.00000000032</v>
      </c>
      <c r="BK31" s="135">
        <v>24394.59</v>
      </c>
      <c r="BL31" s="135">
        <v>877.00000000004366</v>
      </c>
      <c r="BM31" s="186">
        <v>14825.000000000364</v>
      </c>
      <c r="BN31" s="134">
        <v>16000</v>
      </c>
      <c r="BO31" s="134">
        <v>1174.9999999996362</v>
      </c>
      <c r="BP31" s="219">
        <v>2850304</v>
      </c>
      <c r="BQ31" s="135">
        <v>20</v>
      </c>
      <c r="BR31" s="187">
        <v>3823399</v>
      </c>
      <c r="BS31" s="135">
        <v>9</v>
      </c>
      <c r="BT31" s="126">
        <v>29</v>
      </c>
      <c r="BU31" s="124">
        <v>67</v>
      </c>
      <c r="BV31" s="124">
        <v>99</v>
      </c>
      <c r="BW31" s="140"/>
      <c r="BX31" s="140"/>
      <c r="BY31" s="140"/>
      <c r="BZ31" s="140"/>
      <c r="CA31" s="140"/>
      <c r="CB31" s="140"/>
      <c r="CC31" s="140"/>
      <c r="CD31" s="140"/>
      <c r="CE31" s="140"/>
      <c r="CF31" s="140"/>
      <c r="CG31" s="140"/>
      <c r="CH31" s="124"/>
      <c r="CI31" s="124"/>
      <c r="CJ31" s="124"/>
      <c r="CK31" s="124"/>
      <c r="CL31" s="124"/>
      <c r="CM31" s="124"/>
      <c r="CN31" s="124"/>
      <c r="CO31" s="124"/>
      <c r="CP31" s="124"/>
      <c r="CQ31" s="124"/>
      <c r="CR31" s="124"/>
      <c r="CS31" s="124"/>
      <c r="CT31" s="124"/>
      <c r="CU31" s="124"/>
      <c r="CV31" s="124"/>
      <c r="CW31" s="124"/>
      <c r="CX31" s="124"/>
      <c r="CY31" s="124"/>
      <c r="CZ31" s="124"/>
      <c r="DA31" s="124"/>
      <c r="DB31" s="124"/>
      <c r="DC31" s="124"/>
      <c r="DD31" s="124"/>
      <c r="DE31" s="124"/>
      <c r="DF31" s="124"/>
      <c r="DG31" s="124"/>
      <c r="DH31" s="124"/>
      <c r="DI31" s="124"/>
      <c r="DJ31" s="124"/>
      <c r="DK31" s="124"/>
      <c r="DL31" s="124"/>
      <c r="DM31" s="124"/>
      <c r="DN31" s="124"/>
      <c r="DO31" s="124"/>
      <c r="DP31" s="124"/>
      <c r="DQ31" s="124"/>
      <c r="DR31" s="124"/>
      <c r="DS31" s="124"/>
      <c r="DT31" s="124"/>
      <c r="DU31" s="124"/>
      <c r="DV31" s="124"/>
      <c r="DW31" s="124"/>
      <c r="DX31" s="124"/>
      <c r="DY31" s="124"/>
      <c r="DZ31" s="124"/>
      <c r="EA31" s="124"/>
      <c r="EB31" s="124"/>
      <c r="EC31" s="124"/>
      <c r="ED31" s="124"/>
      <c r="EE31" s="124"/>
      <c r="EF31" s="124"/>
      <c r="EG31" s="124"/>
      <c r="EH31" s="124"/>
      <c r="EI31" s="124"/>
      <c r="EJ31" s="124"/>
      <c r="EK31" s="124"/>
      <c r="EL31" s="124"/>
      <c r="EM31" s="123" t="s">
        <v>127</v>
      </c>
      <c r="EN31" s="123" t="s">
        <v>127</v>
      </c>
      <c r="EO31" s="123" t="s">
        <v>127</v>
      </c>
      <c r="EP31" s="123" t="s">
        <v>127</v>
      </c>
      <c r="EQ31" s="123" t="s">
        <v>127</v>
      </c>
      <c r="ER31" s="123" t="s">
        <v>127</v>
      </c>
      <c r="ES31" s="123" t="s">
        <v>127</v>
      </c>
      <c r="ET31" s="123" t="s">
        <v>127</v>
      </c>
      <c r="EU31" s="123" t="s">
        <v>127</v>
      </c>
      <c r="EV31" s="123" t="s">
        <v>127</v>
      </c>
      <c r="EW31" s="123" t="s">
        <v>127</v>
      </c>
      <c r="EX31" s="123" t="s">
        <v>127</v>
      </c>
      <c r="EY31" s="123" t="s">
        <v>127</v>
      </c>
      <c r="EZ31" s="123" t="s">
        <v>127</v>
      </c>
      <c r="FA31" s="123" t="s">
        <v>127</v>
      </c>
      <c r="FB31" s="123" t="s">
        <v>127</v>
      </c>
      <c r="FC31" s="123" t="s">
        <v>127</v>
      </c>
      <c r="FD31" s="123" t="s">
        <v>127</v>
      </c>
      <c r="FE31" s="123" t="s">
        <v>127</v>
      </c>
      <c r="FF31" s="123" t="s">
        <v>127</v>
      </c>
      <c r="FG31" s="123" t="s">
        <v>127</v>
      </c>
      <c r="FH31" s="123" t="s">
        <v>127</v>
      </c>
      <c r="FI31" s="123" t="s">
        <v>127</v>
      </c>
      <c r="FJ31" s="123" t="s">
        <v>127</v>
      </c>
      <c r="FK31" s="123" t="s">
        <v>127</v>
      </c>
      <c r="FL31" s="123" t="s">
        <v>127</v>
      </c>
      <c r="FM31" s="123" t="s">
        <v>127</v>
      </c>
      <c r="FN31" s="123" t="s">
        <v>127</v>
      </c>
      <c r="FO31" s="123" t="s">
        <v>127</v>
      </c>
      <c r="FP31" s="123" t="s">
        <v>127</v>
      </c>
      <c r="FQ31" s="123" t="s">
        <v>127</v>
      </c>
      <c r="FR31" s="123" t="s">
        <v>127</v>
      </c>
      <c r="FS31" s="123" t="s">
        <v>127</v>
      </c>
      <c r="FT31" s="123" t="s">
        <v>127</v>
      </c>
      <c r="FU31" s="123" t="s">
        <v>127</v>
      </c>
      <c r="FV31" s="123" t="s">
        <v>127</v>
      </c>
      <c r="FW31" s="123" t="s">
        <v>127</v>
      </c>
      <c r="FX31" s="123" t="s">
        <v>127</v>
      </c>
      <c r="FY31" s="123" t="s">
        <v>127</v>
      </c>
      <c r="FZ31" s="123" t="s">
        <v>127</v>
      </c>
      <c r="GA31" s="123" t="s">
        <v>127</v>
      </c>
      <c r="GB31" s="123" t="s">
        <v>127</v>
      </c>
      <c r="GC31" s="123" t="s">
        <v>127</v>
      </c>
      <c r="GD31" s="123" t="s">
        <v>127</v>
      </c>
      <c r="GE31" s="123" t="s">
        <v>127</v>
      </c>
      <c r="GF31" s="123" t="s">
        <v>127</v>
      </c>
      <c r="GG31" s="123" t="s">
        <v>127</v>
      </c>
      <c r="GH31" s="123" t="s">
        <v>127</v>
      </c>
      <c r="GI31" s="123" t="s">
        <v>127</v>
      </c>
      <c r="GJ31" s="123" t="s">
        <v>127</v>
      </c>
      <c r="GK31" s="123" t="s">
        <v>127</v>
      </c>
      <c r="GL31" s="123" t="s">
        <v>127</v>
      </c>
      <c r="GM31" s="123" t="s">
        <v>127</v>
      </c>
      <c r="GN31" s="123" t="s">
        <v>127</v>
      </c>
      <c r="GO31" s="123" t="s">
        <v>127</v>
      </c>
      <c r="GP31" s="123" t="s">
        <v>127</v>
      </c>
      <c r="GQ31" s="123" t="s">
        <v>127</v>
      </c>
      <c r="GR31" s="123" t="s">
        <v>127</v>
      </c>
      <c r="GS31" s="123" t="s">
        <v>127</v>
      </c>
      <c r="GT31" s="123" t="s">
        <v>127</v>
      </c>
      <c r="GU31" s="123" t="s">
        <v>127</v>
      </c>
      <c r="GV31" s="123" t="s">
        <v>127</v>
      </c>
      <c r="GW31" s="123" t="s">
        <v>127</v>
      </c>
      <c r="GX31" s="123" t="s">
        <v>127</v>
      </c>
      <c r="GY31" s="123" t="s">
        <v>127</v>
      </c>
      <c r="GZ31" s="123" t="s">
        <v>127</v>
      </c>
      <c r="HA31" s="123" t="s">
        <v>127</v>
      </c>
      <c r="HB31" s="123" t="s">
        <v>127</v>
      </c>
      <c r="HC31" s="123" t="s">
        <v>127</v>
      </c>
      <c r="HD31" s="123" t="s">
        <v>127</v>
      </c>
      <c r="HE31" s="123" t="s">
        <v>127</v>
      </c>
      <c r="HF31" s="123" t="s">
        <v>127</v>
      </c>
      <c r="HG31" s="123" t="s">
        <v>127</v>
      </c>
      <c r="HH31" s="123" t="s">
        <v>127</v>
      </c>
      <c r="HI31" s="123" t="s">
        <v>127</v>
      </c>
      <c r="HJ31" s="123" t="s">
        <v>127</v>
      </c>
      <c r="HK31" s="123" t="s">
        <v>127</v>
      </c>
      <c r="HL31" s="123" t="s">
        <v>127</v>
      </c>
      <c r="HM31" s="123" t="s">
        <v>127</v>
      </c>
      <c r="HN31" s="123" t="s">
        <v>127</v>
      </c>
      <c r="HO31" s="123" t="s">
        <v>127</v>
      </c>
      <c r="HP31" s="123" t="s">
        <v>127</v>
      </c>
      <c r="HQ31" s="123" t="s">
        <v>127</v>
      </c>
      <c r="HR31" s="123" t="s">
        <v>127</v>
      </c>
      <c r="HS31" s="123" t="s">
        <v>127</v>
      </c>
      <c r="HT31" s="123" t="s">
        <v>127</v>
      </c>
      <c r="HU31" s="123" t="s">
        <v>127</v>
      </c>
      <c r="HV31" s="123" t="s">
        <v>127</v>
      </c>
      <c r="HW31" s="123" t="s">
        <v>127</v>
      </c>
      <c r="HX31" s="123" t="s">
        <v>127</v>
      </c>
      <c r="HY31" s="123" t="s">
        <v>127</v>
      </c>
      <c r="HZ31" s="123" t="s">
        <v>127</v>
      </c>
      <c r="IA31" s="123" t="s">
        <v>127</v>
      </c>
      <c r="IB31" s="123" t="s">
        <v>127</v>
      </c>
      <c r="IC31" s="123" t="s">
        <v>127</v>
      </c>
      <c r="ID31" s="123" t="s">
        <v>127</v>
      </c>
      <c r="IE31" s="123" t="s">
        <v>127</v>
      </c>
      <c r="IF31" s="123" t="s">
        <v>127</v>
      </c>
      <c r="IG31" s="123" t="s">
        <v>127</v>
      </c>
      <c r="IH31" s="123" t="s">
        <v>127</v>
      </c>
      <c r="II31" s="123" t="s">
        <v>127</v>
      </c>
      <c r="IJ31" s="123" t="s">
        <v>127</v>
      </c>
      <c r="IK31" s="123" t="s">
        <v>127</v>
      </c>
      <c r="IL31" s="123" t="s">
        <v>127</v>
      </c>
      <c r="IM31" s="123" t="s">
        <v>127</v>
      </c>
      <c r="IN31" s="123" t="s">
        <v>127</v>
      </c>
      <c r="IO31" s="123" t="s">
        <v>127</v>
      </c>
      <c r="IP31" s="124"/>
      <c r="IQ31" s="124"/>
    </row>
    <row r="32" spans="1:251" ht="24.9" customHeight="1">
      <c r="A32" s="149">
        <v>28</v>
      </c>
      <c r="B32" s="125"/>
      <c r="C32" s="125">
        <v>69320</v>
      </c>
      <c r="D32" s="125">
        <v>230410</v>
      </c>
      <c r="E32" s="126">
        <v>56</v>
      </c>
      <c r="F32" s="126">
        <v>45</v>
      </c>
      <c r="G32" s="224"/>
      <c r="H32" s="125">
        <v>126052</v>
      </c>
      <c r="I32" s="125">
        <v>77009</v>
      </c>
      <c r="J32" s="125">
        <v>23</v>
      </c>
      <c r="K32" s="125">
        <v>14603</v>
      </c>
      <c r="L32" s="126">
        <v>7</v>
      </c>
      <c r="M32" s="128">
        <v>11913</v>
      </c>
      <c r="N32" s="129">
        <v>8</v>
      </c>
      <c r="O32" s="128">
        <v>22136</v>
      </c>
      <c r="P32" s="129">
        <v>7</v>
      </c>
      <c r="Q32" s="183">
        <v>56880</v>
      </c>
      <c r="R32" s="184">
        <v>0</v>
      </c>
      <c r="S32" s="183">
        <v>25302</v>
      </c>
      <c r="T32" s="101">
        <v>1</v>
      </c>
      <c r="U32" s="183">
        <v>9515</v>
      </c>
      <c r="V32" s="105">
        <v>1605</v>
      </c>
      <c r="W32" s="101">
        <v>8</v>
      </c>
      <c r="X32" s="104">
        <v>32711</v>
      </c>
      <c r="Y32" s="101">
        <v>11</v>
      </c>
      <c r="Z32" s="185">
        <v>7839</v>
      </c>
      <c r="AA32" s="185">
        <v>6989</v>
      </c>
      <c r="AB32" s="101">
        <v>1</v>
      </c>
      <c r="AC32" s="105">
        <v>2181</v>
      </c>
      <c r="AD32" s="104">
        <v>1575</v>
      </c>
      <c r="AE32" s="101">
        <v>3</v>
      </c>
      <c r="AF32" s="133">
        <v>9</v>
      </c>
      <c r="AG32" s="218">
        <v>195372</v>
      </c>
      <c r="AH32" s="155">
        <v>126</v>
      </c>
      <c r="AI32" s="134">
        <v>115</v>
      </c>
      <c r="AJ32" s="134">
        <v>-11</v>
      </c>
      <c r="AK32" s="99">
        <v>1637023</v>
      </c>
      <c r="AL32" s="99">
        <v>2783</v>
      </c>
      <c r="AM32" s="99">
        <v>59906</v>
      </c>
      <c r="AN32" s="100">
        <v>45</v>
      </c>
      <c r="AO32" s="105">
        <v>116836</v>
      </c>
      <c r="AP32" s="101">
        <v>0</v>
      </c>
      <c r="AQ32" s="105">
        <v>124285</v>
      </c>
      <c r="AR32" s="101">
        <v>588</v>
      </c>
      <c r="AS32" s="105">
        <v>1699712</v>
      </c>
      <c r="AT32" s="102">
        <v>2828</v>
      </c>
      <c r="AU32" s="134">
        <v>2400</v>
      </c>
      <c r="AV32" s="134">
        <v>-428</v>
      </c>
      <c r="AW32" s="105">
        <v>27.45</v>
      </c>
      <c r="AX32" s="105">
        <v>0</v>
      </c>
      <c r="AY32" s="105">
        <v>0</v>
      </c>
      <c r="AZ32" s="104"/>
      <c r="BA32" s="105">
        <v>12708.48</v>
      </c>
      <c r="BB32" s="101">
        <v>14519.999999996799</v>
      </c>
      <c r="BC32" s="184">
        <v>27.45</v>
      </c>
      <c r="BD32" s="105">
        <v>0</v>
      </c>
      <c r="BE32" s="135">
        <v>0</v>
      </c>
      <c r="BF32" s="105">
        <v>12708.48</v>
      </c>
      <c r="BG32" s="105">
        <v>3.2999999999992724</v>
      </c>
      <c r="BH32" s="135">
        <v>14519.999999996799</v>
      </c>
      <c r="BI32" s="135">
        <v>14519.999999996799</v>
      </c>
      <c r="BJ32" s="161">
        <v>14487.999999996799</v>
      </c>
      <c r="BK32" s="135">
        <v>24403.31</v>
      </c>
      <c r="BL32" s="135">
        <v>872.00000000011642</v>
      </c>
      <c r="BM32" s="186">
        <v>15391.999999996915</v>
      </c>
      <c r="BN32" s="134">
        <v>16000</v>
      </c>
      <c r="BO32" s="134">
        <v>608.00000000308501</v>
      </c>
      <c r="BP32" s="219">
        <v>2850323</v>
      </c>
      <c r="BQ32" s="135">
        <v>19</v>
      </c>
      <c r="BR32" s="163">
        <v>3823412</v>
      </c>
      <c r="BS32" s="135">
        <v>13</v>
      </c>
      <c r="BT32" s="126">
        <v>32</v>
      </c>
      <c r="BU32" s="124">
        <v>54</v>
      </c>
      <c r="BV32" s="124">
        <v>89</v>
      </c>
      <c r="BW32" s="140"/>
      <c r="BX32" s="140"/>
      <c r="BY32" s="140"/>
      <c r="BZ32" s="140"/>
      <c r="CA32" s="140"/>
      <c r="CB32" s="140"/>
      <c r="CC32" s="140"/>
      <c r="CD32" s="140"/>
      <c r="CE32" s="140"/>
      <c r="CF32" s="140"/>
      <c r="CG32" s="140"/>
      <c r="CH32" s="124"/>
      <c r="CI32" s="124"/>
      <c r="CJ32" s="124"/>
      <c r="CK32" s="124"/>
      <c r="CL32" s="124"/>
      <c r="CM32" s="124"/>
      <c r="CN32" s="124"/>
      <c r="CO32" s="124"/>
      <c r="CP32" s="124"/>
      <c r="CQ32" s="124"/>
      <c r="CR32" s="124"/>
      <c r="CS32" s="124"/>
      <c r="CT32" s="124"/>
      <c r="CU32" s="124"/>
      <c r="CV32" s="124"/>
      <c r="CW32" s="124"/>
      <c r="CX32" s="124"/>
      <c r="CY32" s="124"/>
      <c r="CZ32" s="124"/>
      <c r="DA32" s="124"/>
      <c r="DB32" s="124"/>
      <c r="DC32" s="124"/>
      <c r="DD32" s="124"/>
      <c r="DE32" s="124"/>
      <c r="DF32" s="124"/>
      <c r="DG32" s="124"/>
      <c r="DH32" s="124"/>
      <c r="DI32" s="124"/>
      <c r="DJ32" s="124"/>
      <c r="DK32" s="124"/>
      <c r="DL32" s="124"/>
      <c r="DM32" s="124"/>
      <c r="DN32" s="124"/>
      <c r="DO32" s="124"/>
      <c r="DP32" s="124"/>
      <c r="DQ32" s="124"/>
      <c r="DR32" s="124"/>
      <c r="DS32" s="124"/>
      <c r="DT32" s="124"/>
      <c r="DU32" s="124"/>
      <c r="DV32" s="124"/>
      <c r="DW32" s="124"/>
      <c r="DX32" s="124"/>
      <c r="DY32" s="124"/>
      <c r="DZ32" s="124"/>
      <c r="EA32" s="124"/>
      <c r="EB32" s="124"/>
      <c r="EC32" s="124"/>
      <c r="ED32" s="124"/>
      <c r="EE32" s="124"/>
      <c r="EF32" s="124"/>
      <c r="EG32" s="124"/>
      <c r="EH32" s="124"/>
      <c r="EI32" s="124"/>
      <c r="EJ32" s="124"/>
      <c r="EK32" s="124"/>
      <c r="EL32" s="124"/>
      <c r="EM32" s="123" t="s">
        <v>127</v>
      </c>
      <c r="EN32" s="123" t="s">
        <v>127</v>
      </c>
      <c r="EO32" s="123" t="s">
        <v>127</v>
      </c>
      <c r="EP32" s="123" t="s">
        <v>127</v>
      </c>
      <c r="EQ32" s="123" t="s">
        <v>127</v>
      </c>
      <c r="ER32" s="123" t="s">
        <v>127</v>
      </c>
      <c r="ES32" s="123" t="s">
        <v>127</v>
      </c>
      <c r="ET32" s="123" t="s">
        <v>127</v>
      </c>
      <c r="EU32" s="123" t="s">
        <v>127</v>
      </c>
      <c r="EV32" s="123" t="s">
        <v>127</v>
      </c>
      <c r="EW32" s="123" t="s">
        <v>127</v>
      </c>
      <c r="EX32" s="123" t="s">
        <v>127</v>
      </c>
      <c r="EY32" s="123" t="s">
        <v>127</v>
      </c>
      <c r="EZ32" s="123" t="s">
        <v>127</v>
      </c>
      <c r="FA32" s="123" t="s">
        <v>127</v>
      </c>
      <c r="FB32" s="123" t="s">
        <v>127</v>
      </c>
      <c r="FC32" s="123" t="s">
        <v>127</v>
      </c>
      <c r="FD32" s="123" t="s">
        <v>127</v>
      </c>
      <c r="FE32" s="123" t="s">
        <v>127</v>
      </c>
      <c r="FF32" s="123" t="s">
        <v>127</v>
      </c>
      <c r="FG32" s="123" t="s">
        <v>127</v>
      </c>
      <c r="FH32" s="123" t="s">
        <v>127</v>
      </c>
      <c r="FI32" s="123" t="s">
        <v>127</v>
      </c>
      <c r="FJ32" s="123" t="s">
        <v>127</v>
      </c>
      <c r="FK32" s="123" t="s">
        <v>127</v>
      </c>
      <c r="FL32" s="123" t="s">
        <v>127</v>
      </c>
      <c r="FM32" s="123" t="s">
        <v>127</v>
      </c>
      <c r="FN32" s="123" t="s">
        <v>127</v>
      </c>
      <c r="FO32" s="123" t="s">
        <v>127</v>
      </c>
      <c r="FP32" s="123" t="s">
        <v>127</v>
      </c>
      <c r="FQ32" s="123" t="s">
        <v>127</v>
      </c>
      <c r="FR32" s="123" t="s">
        <v>127</v>
      </c>
      <c r="FS32" s="123" t="s">
        <v>127</v>
      </c>
      <c r="FT32" s="123" t="s">
        <v>127</v>
      </c>
      <c r="FU32" s="123" t="s">
        <v>127</v>
      </c>
      <c r="FV32" s="123" t="s">
        <v>127</v>
      </c>
      <c r="FW32" s="123" t="s">
        <v>127</v>
      </c>
      <c r="FX32" s="123" t="s">
        <v>127</v>
      </c>
      <c r="FY32" s="123" t="s">
        <v>127</v>
      </c>
      <c r="FZ32" s="123" t="s">
        <v>127</v>
      </c>
      <c r="GA32" s="123" t="s">
        <v>127</v>
      </c>
      <c r="GB32" s="123" t="s">
        <v>127</v>
      </c>
      <c r="GC32" s="123" t="s">
        <v>127</v>
      </c>
      <c r="GD32" s="123" t="s">
        <v>127</v>
      </c>
      <c r="GE32" s="123" t="s">
        <v>127</v>
      </c>
      <c r="GF32" s="123" t="s">
        <v>127</v>
      </c>
      <c r="GG32" s="123" t="s">
        <v>127</v>
      </c>
      <c r="GH32" s="123" t="s">
        <v>127</v>
      </c>
      <c r="GI32" s="123" t="s">
        <v>127</v>
      </c>
      <c r="GJ32" s="123" t="s">
        <v>127</v>
      </c>
      <c r="GK32" s="123" t="s">
        <v>127</v>
      </c>
      <c r="GL32" s="123" t="s">
        <v>127</v>
      </c>
      <c r="GM32" s="123" t="s">
        <v>127</v>
      </c>
      <c r="GN32" s="123" t="s">
        <v>127</v>
      </c>
      <c r="GO32" s="123" t="s">
        <v>127</v>
      </c>
      <c r="GP32" s="123" t="s">
        <v>127</v>
      </c>
      <c r="GQ32" s="123" t="s">
        <v>127</v>
      </c>
      <c r="GR32" s="123" t="s">
        <v>127</v>
      </c>
      <c r="GS32" s="123" t="s">
        <v>127</v>
      </c>
      <c r="GT32" s="123" t="s">
        <v>127</v>
      </c>
      <c r="GU32" s="123" t="s">
        <v>127</v>
      </c>
      <c r="GV32" s="123" t="s">
        <v>127</v>
      </c>
      <c r="GW32" s="123" t="s">
        <v>127</v>
      </c>
      <c r="GX32" s="123" t="s">
        <v>127</v>
      </c>
      <c r="GY32" s="123" t="s">
        <v>127</v>
      </c>
      <c r="GZ32" s="123" t="s">
        <v>127</v>
      </c>
      <c r="HA32" s="123" t="s">
        <v>127</v>
      </c>
      <c r="HB32" s="123" t="s">
        <v>127</v>
      </c>
      <c r="HC32" s="123" t="s">
        <v>127</v>
      </c>
      <c r="HD32" s="123" t="s">
        <v>127</v>
      </c>
      <c r="HE32" s="123" t="s">
        <v>127</v>
      </c>
      <c r="HF32" s="123" t="s">
        <v>127</v>
      </c>
      <c r="HG32" s="123" t="s">
        <v>127</v>
      </c>
      <c r="HH32" s="123" t="s">
        <v>127</v>
      </c>
      <c r="HI32" s="123" t="s">
        <v>127</v>
      </c>
      <c r="HJ32" s="123" t="s">
        <v>127</v>
      </c>
      <c r="HK32" s="123" t="s">
        <v>127</v>
      </c>
      <c r="HL32" s="123" t="s">
        <v>127</v>
      </c>
      <c r="HM32" s="123" t="s">
        <v>127</v>
      </c>
      <c r="HN32" s="123" t="s">
        <v>127</v>
      </c>
      <c r="HO32" s="123" t="s">
        <v>127</v>
      </c>
      <c r="HP32" s="123" t="s">
        <v>127</v>
      </c>
      <c r="HQ32" s="123" t="s">
        <v>127</v>
      </c>
      <c r="HR32" s="123" t="s">
        <v>127</v>
      </c>
      <c r="HS32" s="123" t="s">
        <v>127</v>
      </c>
      <c r="HT32" s="123" t="s">
        <v>127</v>
      </c>
      <c r="HU32" s="123" t="s">
        <v>127</v>
      </c>
      <c r="HV32" s="123" t="s">
        <v>127</v>
      </c>
      <c r="HW32" s="123" t="s">
        <v>127</v>
      </c>
      <c r="HX32" s="123" t="s">
        <v>127</v>
      </c>
      <c r="HY32" s="123" t="s">
        <v>127</v>
      </c>
      <c r="HZ32" s="123" t="s">
        <v>127</v>
      </c>
      <c r="IA32" s="123" t="s">
        <v>127</v>
      </c>
      <c r="IB32" s="123" t="s">
        <v>127</v>
      </c>
      <c r="IC32" s="123" t="s">
        <v>127</v>
      </c>
      <c r="ID32" s="123" t="s">
        <v>127</v>
      </c>
      <c r="IE32" s="123" t="s">
        <v>127</v>
      </c>
      <c r="IF32" s="123" t="s">
        <v>127</v>
      </c>
      <c r="IG32" s="123" t="s">
        <v>127</v>
      </c>
      <c r="IH32" s="123" t="s">
        <v>127</v>
      </c>
      <c r="II32" s="123" t="s">
        <v>127</v>
      </c>
      <c r="IJ32" s="123" t="s">
        <v>127</v>
      </c>
      <c r="IK32" s="123" t="s">
        <v>127</v>
      </c>
      <c r="IL32" s="123" t="s">
        <v>127</v>
      </c>
      <c r="IM32" s="123" t="s">
        <v>127</v>
      </c>
      <c r="IN32" s="123" t="s">
        <v>127</v>
      </c>
      <c r="IO32" s="123" t="s">
        <v>127</v>
      </c>
      <c r="IP32" s="124"/>
      <c r="IQ32" s="124"/>
    </row>
    <row r="33" spans="1:251" ht="24.9" customHeight="1">
      <c r="A33" s="149">
        <v>29</v>
      </c>
      <c r="B33" s="125"/>
      <c r="C33" s="125">
        <v>69381</v>
      </c>
      <c r="D33" s="125">
        <v>230467</v>
      </c>
      <c r="E33" s="126">
        <v>57</v>
      </c>
      <c r="F33" s="126">
        <v>43</v>
      </c>
      <c r="G33" s="224"/>
      <c r="H33" s="125">
        <v>126101</v>
      </c>
      <c r="I33" s="125">
        <v>77018</v>
      </c>
      <c r="J33" s="125">
        <v>9</v>
      </c>
      <c r="K33" s="125">
        <v>14608</v>
      </c>
      <c r="L33" s="126">
        <v>5</v>
      </c>
      <c r="M33" s="128">
        <v>11920</v>
      </c>
      <c r="N33" s="129">
        <v>7</v>
      </c>
      <c r="O33" s="128">
        <v>22141</v>
      </c>
      <c r="P33" s="129">
        <v>5</v>
      </c>
      <c r="Q33" s="183">
        <v>56883</v>
      </c>
      <c r="R33" s="184">
        <v>3</v>
      </c>
      <c r="S33" s="183">
        <v>25303</v>
      </c>
      <c r="T33" s="101">
        <v>1</v>
      </c>
      <c r="U33" s="183">
        <v>9515</v>
      </c>
      <c r="V33" s="104">
        <v>1612</v>
      </c>
      <c r="W33" s="101">
        <v>7</v>
      </c>
      <c r="X33" s="104">
        <v>32725</v>
      </c>
      <c r="Y33" s="101">
        <v>14</v>
      </c>
      <c r="Z33" s="185">
        <v>7840</v>
      </c>
      <c r="AA33" s="185">
        <v>6990</v>
      </c>
      <c r="AB33" s="101">
        <v>2</v>
      </c>
      <c r="AC33" s="105">
        <v>2182</v>
      </c>
      <c r="AD33" s="104">
        <v>1576</v>
      </c>
      <c r="AE33" s="101">
        <v>2</v>
      </c>
      <c r="AF33" s="133">
        <v>11</v>
      </c>
      <c r="AG33" s="218">
        <v>195482</v>
      </c>
      <c r="AH33" s="155">
        <v>110</v>
      </c>
      <c r="AI33" s="134">
        <v>115</v>
      </c>
      <c r="AJ33" s="134">
        <v>5</v>
      </c>
      <c r="AK33" s="99">
        <v>1639322</v>
      </c>
      <c r="AL33" s="99">
        <v>2299</v>
      </c>
      <c r="AM33" s="99">
        <v>59954</v>
      </c>
      <c r="AN33" s="100">
        <v>48</v>
      </c>
      <c r="AO33" s="105">
        <v>116836</v>
      </c>
      <c r="AP33" s="101">
        <v>0</v>
      </c>
      <c r="AQ33" s="105">
        <v>124827</v>
      </c>
      <c r="AR33" s="101">
        <v>542</v>
      </c>
      <c r="AS33" s="105">
        <v>1701575</v>
      </c>
      <c r="AT33" s="102">
        <v>2347</v>
      </c>
      <c r="AU33" s="134">
        <v>2400</v>
      </c>
      <c r="AV33" s="134">
        <v>53</v>
      </c>
      <c r="AW33" s="105">
        <v>27.45</v>
      </c>
      <c r="AX33" s="105">
        <v>0</v>
      </c>
      <c r="AY33" s="105">
        <v>0</v>
      </c>
      <c r="AZ33" s="104"/>
      <c r="BA33" s="105">
        <v>12711.58</v>
      </c>
      <c r="BB33" s="101">
        <v>13640.000000001601</v>
      </c>
      <c r="BC33" s="184">
        <v>27.45</v>
      </c>
      <c r="BD33" s="105">
        <v>0</v>
      </c>
      <c r="BE33" s="135">
        <v>0</v>
      </c>
      <c r="BF33" s="105">
        <v>12711.58</v>
      </c>
      <c r="BG33" s="105">
        <v>3.1000000000003638</v>
      </c>
      <c r="BH33" s="135">
        <v>13640.000000001601</v>
      </c>
      <c r="BI33" s="135">
        <v>13640.000000001601</v>
      </c>
      <c r="BJ33" s="161">
        <v>13610.000000001601</v>
      </c>
      <c r="BK33" s="135">
        <v>24411.3</v>
      </c>
      <c r="BL33" s="135">
        <v>798.99999999979627</v>
      </c>
      <c r="BM33" s="186">
        <v>14439.000000001397</v>
      </c>
      <c r="BN33" s="134">
        <v>16000</v>
      </c>
      <c r="BO33" s="134">
        <v>1560.999999998603</v>
      </c>
      <c r="BP33" s="220">
        <v>2850342</v>
      </c>
      <c r="BQ33" s="135">
        <v>19</v>
      </c>
      <c r="BR33" s="163">
        <v>3823423</v>
      </c>
      <c r="BS33" s="135">
        <v>11</v>
      </c>
      <c r="BT33" s="126">
        <v>30</v>
      </c>
      <c r="BU33" s="124">
        <v>59</v>
      </c>
      <c r="BV33" s="124">
        <v>99</v>
      </c>
      <c r="BW33" s="140"/>
      <c r="BX33" s="140"/>
      <c r="BY33" s="140"/>
      <c r="BZ33" s="140"/>
      <c r="CA33" s="140"/>
      <c r="CB33" s="140"/>
      <c r="CC33" s="140"/>
      <c r="CD33" s="140"/>
      <c r="CE33" s="140"/>
      <c r="CF33" s="140"/>
      <c r="CG33" s="140"/>
      <c r="CH33" s="124"/>
      <c r="CI33" s="124"/>
      <c r="CJ33" s="124"/>
      <c r="CK33" s="124"/>
      <c r="CL33" s="124"/>
      <c r="CM33" s="124"/>
      <c r="CN33" s="124"/>
      <c r="CO33" s="124"/>
      <c r="CP33" s="124"/>
      <c r="CQ33" s="124"/>
      <c r="CR33" s="124"/>
      <c r="CS33" s="124"/>
      <c r="CT33" s="124"/>
      <c r="CU33" s="124"/>
      <c r="CV33" s="124"/>
      <c r="CW33" s="124"/>
      <c r="CX33" s="124"/>
      <c r="CY33" s="124"/>
      <c r="CZ33" s="124"/>
      <c r="DA33" s="124"/>
      <c r="DB33" s="124"/>
      <c r="DC33" s="124"/>
      <c r="DD33" s="124"/>
      <c r="DE33" s="124"/>
      <c r="DF33" s="124"/>
      <c r="DG33" s="124"/>
      <c r="DH33" s="124"/>
      <c r="DI33" s="124"/>
      <c r="DJ33" s="124"/>
      <c r="DK33" s="124"/>
      <c r="DL33" s="124"/>
      <c r="DM33" s="124"/>
      <c r="DN33" s="124"/>
      <c r="DO33" s="124"/>
      <c r="DP33" s="124"/>
      <c r="DQ33" s="124"/>
      <c r="DR33" s="124"/>
      <c r="DS33" s="124"/>
      <c r="DT33" s="124"/>
      <c r="DU33" s="124"/>
      <c r="DV33" s="124"/>
      <c r="DW33" s="124"/>
      <c r="DX33" s="124"/>
      <c r="DY33" s="124"/>
      <c r="DZ33" s="124"/>
      <c r="EA33" s="124"/>
      <c r="EB33" s="124"/>
      <c r="EC33" s="124"/>
      <c r="ED33" s="124"/>
      <c r="EE33" s="124"/>
      <c r="EF33" s="124"/>
      <c r="EG33" s="124"/>
      <c r="EH33" s="124"/>
      <c r="EI33" s="124"/>
      <c r="EJ33" s="124"/>
      <c r="EK33" s="124"/>
      <c r="EL33" s="124"/>
      <c r="EM33" s="123" t="s">
        <v>127</v>
      </c>
      <c r="EN33" s="123" t="s">
        <v>127</v>
      </c>
      <c r="EO33" s="123" t="s">
        <v>127</v>
      </c>
      <c r="EP33" s="123" t="s">
        <v>127</v>
      </c>
      <c r="EQ33" s="123" t="s">
        <v>127</v>
      </c>
      <c r="ER33" s="123" t="s">
        <v>127</v>
      </c>
      <c r="ES33" s="123" t="s">
        <v>127</v>
      </c>
      <c r="ET33" s="123" t="s">
        <v>127</v>
      </c>
      <c r="EU33" s="123" t="s">
        <v>127</v>
      </c>
      <c r="EV33" s="123" t="s">
        <v>127</v>
      </c>
      <c r="EW33" s="123" t="s">
        <v>127</v>
      </c>
      <c r="EX33" s="123" t="s">
        <v>127</v>
      </c>
      <c r="EY33" s="123" t="s">
        <v>127</v>
      </c>
      <c r="EZ33" s="123" t="s">
        <v>127</v>
      </c>
      <c r="FA33" s="123" t="s">
        <v>127</v>
      </c>
      <c r="FB33" s="123" t="s">
        <v>127</v>
      </c>
      <c r="FC33" s="123" t="s">
        <v>127</v>
      </c>
      <c r="FD33" s="123" t="s">
        <v>127</v>
      </c>
      <c r="FE33" s="123" t="s">
        <v>127</v>
      </c>
      <c r="FF33" s="123" t="s">
        <v>127</v>
      </c>
      <c r="FG33" s="123" t="s">
        <v>127</v>
      </c>
      <c r="FH33" s="123" t="s">
        <v>127</v>
      </c>
      <c r="FI33" s="123" t="s">
        <v>127</v>
      </c>
      <c r="FJ33" s="123" t="s">
        <v>127</v>
      </c>
      <c r="FK33" s="123" t="s">
        <v>127</v>
      </c>
      <c r="FL33" s="123" t="s">
        <v>127</v>
      </c>
      <c r="FM33" s="123" t="s">
        <v>127</v>
      </c>
      <c r="FN33" s="123" t="s">
        <v>127</v>
      </c>
      <c r="FO33" s="123" t="s">
        <v>127</v>
      </c>
      <c r="FP33" s="123" t="s">
        <v>127</v>
      </c>
      <c r="FQ33" s="123" t="s">
        <v>127</v>
      </c>
      <c r="FR33" s="123" t="s">
        <v>127</v>
      </c>
      <c r="FS33" s="123" t="s">
        <v>127</v>
      </c>
      <c r="FT33" s="123" t="s">
        <v>127</v>
      </c>
      <c r="FU33" s="123" t="s">
        <v>127</v>
      </c>
      <c r="FV33" s="123" t="s">
        <v>127</v>
      </c>
      <c r="FW33" s="123" t="s">
        <v>127</v>
      </c>
      <c r="FX33" s="123" t="s">
        <v>127</v>
      </c>
      <c r="FY33" s="123" t="s">
        <v>127</v>
      </c>
      <c r="FZ33" s="123" t="s">
        <v>127</v>
      </c>
      <c r="GA33" s="123" t="s">
        <v>127</v>
      </c>
      <c r="GB33" s="123" t="s">
        <v>127</v>
      </c>
      <c r="GC33" s="123" t="s">
        <v>127</v>
      </c>
      <c r="GD33" s="123" t="s">
        <v>127</v>
      </c>
      <c r="GE33" s="123" t="s">
        <v>127</v>
      </c>
      <c r="GF33" s="123" t="s">
        <v>127</v>
      </c>
      <c r="GG33" s="123" t="s">
        <v>127</v>
      </c>
      <c r="GH33" s="123" t="s">
        <v>127</v>
      </c>
      <c r="GI33" s="123" t="s">
        <v>127</v>
      </c>
      <c r="GJ33" s="123" t="s">
        <v>127</v>
      </c>
      <c r="GK33" s="123" t="s">
        <v>127</v>
      </c>
      <c r="GL33" s="123" t="s">
        <v>127</v>
      </c>
      <c r="GM33" s="123" t="s">
        <v>127</v>
      </c>
      <c r="GN33" s="123" t="s">
        <v>127</v>
      </c>
      <c r="GO33" s="123" t="s">
        <v>127</v>
      </c>
      <c r="GP33" s="123" t="s">
        <v>127</v>
      </c>
      <c r="GQ33" s="123" t="s">
        <v>127</v>
      </c>
      <c r="GR33" s="123" t="s">
        <v>127</v>
      </c>
      <c r="GS33" s="123" t="s">
        <v>127</v>
      </c>
      <c r="GT33" s="123" t="s">
        <v>127</v>
      </c>
      <c r="GU33" s="123" t="s">
        <v>127</v>
      </c>
      <c r="GV33" s="123" t="s">
        <v>127</v>
      </c>
      <c r="GW33" s="123" t="s">
        <v>127</v>
      </c>
      <c r="GX33" s="123" t="s">
        <v>127</v>
      </c>
      <c r="GY33" s="123" t="s">
        <v>127</v>
      </c>
      <c r="GZ33" s="123" t="s">
        <v>127</v>
      </c>
      <c r="HA33" s="123" t="s">
        <v>127</v>
      </c>
      <c r="HB33" s="123" t="s">
        <v>127</v>
      </c>
      <c r="HC33" s="123" t="s">
        <v>127</v>
      </c>
      <c r="HD33" s="123" t="s">
        <v>127</v>
      </c>
      <c r="HE33" s="123" t="s">
        <v>127</v>
      </c>
      <c r="HF33" s="123" t="s">
        <v>127</v>
      </c>
      <c r="HG33" s="123" t="s">
        <v>127</v>
      </c>
      <c r="HH33" s="123" t="s">
        <v>127</v>
      </c>
      <c r="HI33" s="123" t="s">
        <v>127</v>
      </c>
      <c r="HJ33" s="123" t="s">
        <v>127</v>
      </c>
      <c r="HK33" s="123" t="s">
        <v>127</v>
      </c>
      <c r="HL33" s="123" t="s">
        <v>127</v>
      </c>
      <c r="HM33" s="123" t="s">
        <v>127</v>
      </c>
      <c r="HN33" s="123" t="s">
        <v>127</v>
      </c>
      <c r="HO33" s="123" t="s">
        <v>127</v>
      </c>
      <c r="HP33" s="123" t="s">
        <v>127</v>
      </c>
      <c r="HQ33" s="123" t="s">
        <v>127</v>
      </c>
      <c r="HR33" s="123" t="s">
        <v>127</v>
      </c>
      <c r="HS33" s="123" t="s">
        <v>127</v>
      </c>
      <c r="HT33" s="123" t="s">
        <v>127</v>
      </c>
      <c r="HU33" s="123" t="s">
        <v>127</v>
      </c>
      <c r="HV33" s="123" t="s">
        <v>127</v>
      </c>
      <c r="HW33" s="123" t="s">
        <v>127</v>
      </c>
      <c r="HX33" s="123" t="s">
        <v>127</v>
      </c>
      <c r="HY33" s="123" t="s">
        <v>127</v>
      </c>
      <c r="HZ33" s="123" t="s">
        <v>127</v>
      </c>
      <c r="IA33" s="123" t="s">
        <v>127</v>
      </c>
      <c r="IB33" s="123" t="s">
        <v>127</v>
      </c>
      <c r="IC33" s="123" t="s">
        <v>127</v>
      </c>
      <c r="ID33" s="123" t="s">
        <v>127</v>
      </c>
      <c r="IE33" s="123" t="s">
        <v>127</v>
      </c>
      <c r="IF33" s="123" t="s">
        <v>127</v>
      </c>
      <c r="IG33" s="123" t="s">
        <v>127</v>
      </c>
      <c r="IH33" s="123" t="s">
        <v>127</v>
      </c>
      <c r="II33" s="123" t="s">
        <v>127</v>
      </c>
      <c r="IJ33" s="123" t="s">
        <v>127</v>
      </c>
      <c r="IK33" s="123" t="s">
        <v>127</v>
      </c>
      <c r="IL33" s="123" t="s">
        <v>127</v>
      </c>
      <c r="IM33" s="123" t="s">
        <v>127</v>
      </c>
      <c r="IN33" s="123" t="s">
        <v>127</v>
      </c>
      <c r="IO33" s="123" t="s">
        <v>127</v>
      </c>
      <c r="IP33" s="124"/>
      <c r="IQ33" s="124"/>
    </row>
    <row r="34" spans="1:251" ht="24.9" customHeight="1">
      <c r="A34" s="164"/>
      <c r="B34" s="165"/>
      <c r="C34" s="125"/>
      <c r="D34" s="166"/>
      <c r="E34" s="126"/>
      <c r="F34" s="126"/>
      <c r="G34" s="125"/>
      <c r="H34" s="166"/>
      <c r="I34" s="167"/>
      <c r="J34" s="127"/>
      <c r="K34" s="168"/>
      <c r="L34" s="156"/>
      <c r="M34" s="216"/>
      <c r="N34" s="156"/>
      <c r="O34" s="216"/>
      <c r="P34" s="156"/>
      <c r="Q34" s="169"/>
      <c r="R34" s="157"/>
      <c r="S34" s="158"/>
      <c r="T34" s="157"/>
      <c r="U34" s="131"/>
      <c r="V34" s="131"/>
      <c r="W34" s="93"/>
      <c r="X34" s="170"/>
      <c r="Y34" s="160"/>
      <c r="Z34" s="171"/>
      <c r="AA34" s="171"/>
      <c r="AB34" s="93"/>
      <c r="AC34" s="159"/>
      <c r="AD34" s="159"/>
      <c r="AE34" s="160"/>
      <c r="AF34" s="133"/>
      <c r="AG34" s="104"/>
      <c r="AH34" s="151"/>
      <c r="AI34" s="134"/>
      <c r="AJ34" s="134"/>
      <c r="AK34" s="172"/>
      <c r="AL34" s="100"/>
      <c r="AM34" s="99"/>
      <c r="AN34" s="100"/>
      <c r="AO34" s="105"/>
      <c r="AP34" s="101"/>
      <c r="AQ34" s="105"/>
      <c r="AR34" s="101"/>
      <c r="AS34" s="105"/>
      <c r="AT34" s="217"/>
      <c r="AU34" s="134"/>
      <c r="AV34" s="134"/>
      <c r="AW34" s="106"/>
      <c r="AX34" s="106"/>
      <c r="AY34" s="106"/>
      <c r="AZ34" s="106"/>
      <c r="BA34" s="106"/>
      <c r="BB34" s="106"/>
      <c r="BC34" s="104"/>
      <c r="BD34" s="105"/>
      <c r="BE34" s="135"/>
      <c r="BF34" s="105"/>
      <c r="BG34" s="105"/>
      <c r="BH34" s="135"/>
      <c r="BI34" s="136"/>
      <c r="BJ34" s="161"/>
      <c r="BK34" s="135"/>
      <c r="BL34" s="135"/>
      <c r="BM34" s="148"/>
      <c r="BN34" s="134"/>
      <c r="BO34" s="162"/>
      <c r="BP34" s="163"/>
      <c r="BQ34" s="127"/>
      <c r="BR34" s="163"/>
      <c r="BS34" s="127"/>
      <c r="BT34" s="127"/>
      <c r="BU34" s="173"/>
      <c r="BV34" s="152"/>
      <c r="BW34" s="153"/>
      <c r="BX34" s="174"/>
      <c r="BY34" s="175"/>
      <c r="BZ34" s="124"/>
      <c r="CA34" s="124"/>
      <c r="CB34" s="124"/>
      <c r="CC34" s="124"/>
      <c r="CD34" s="124"/>
      <c r="CE34" s="124"/>
      <c r="CF34" s="124"/>
      <c r="CG34" s="124"/>
      <c r="CH34" s="124"/>
      <c r="CI34" s="124"/>
      <c r="CJ34" s="124"/>
      <c r="CK34" s="124"/>
      <c r="CL34" s="124"/>
      <c r="CM34" s="124"/>
      <c r="CN34" s="124"/>
      <c r="CO34" s="124"/>
      <c r="CP34" s="124"/>
      <c r="CQ34" s="124"/>
      <c r="CR34" s="124"/>
      <c r="CS34" s="124"/>
      <c r="CT34" s="124"/>
      <c r="CU34" s="124"/>
      <c r="CV34" s="124"/>
      <c r="CW34" s="124"/>
      <c r="CX34" s="124"/>
      <c r="CY34" s="124"/>
      <c r="CZ34" s="124"/>
      <c r="DA34" s="124"/>
      <c r="DB34" s="124"/>
      <c r="DC34" s="124"/>
      <c r="DD34" s="124"/>
      <c r="DE34" s="124"/>
      <c r="DF34" s="124"/>
      <c r="DG34" s="124"/>
      <c r="DH34" s="124"/>
      <c r="DI34" s="124"/>
      <c r="DJ34" s="124"/>
      <c r="DK34" s="124"/>
      <c r="DL34" s="124"/>
      <c r="DM34" s="124"/>
      <c r="DN34" s="124"/>
      <c r="DO34" s="124"/>
      <c r="DP34" s="124"/>
      <c r="DQ34" s="124"/>
      <c r="DR34" s="124"/>
      <c r="DS34" s="124"/>
      <c r="DT34" s="124"/>
      <c r="DU34" s="124"/>
      <c r="DV34" s="124"/>
      <c r="DW34" s="124"/>
      <c r="DX34" s="124"/>
      <c r="DY34" s="124"/>
      <c r="DZ34" s="124"/>
      <c r="EA34" s="124"/>
      <c r="EB34" s="124"/>
      <c r="EC34" s="124"/>
      <c r="ED34" s="124"/>
      <c r="EE34" s="124"/>
      <c r="EF34" s="124"/>
      <c r="EG34" s="124"/>
      <c r="EH34" s="124"/>
      <c r="EI34" s="124"/>
      <c r="EJ34" s="124"/>
      <c r="EK34" s="124"/>
      <c r="EL34" s="124"/>
      <c r="EM34" s="123"/>
      <c r="EN34" s="123"/>
      <c r="EO34" s="123"/>
      <c r="EP34" s="123"/>
      <c r="EQ34" s="123"/>
      <c r="ER34" s="123"/>
      <c r="ES34" s="123"/>
      <c r="ET34" s="123"/>
      <c r="EU34" s="123"/>
      <c r="EV34" s="123"/>
      <c r="EW34" s="123"/>
      <c r="EX34" s="123"/>
      <c r="EY34" s="123"/>
      <c r="EZ34" s="123"/>
      <c r="FA34" s="123"/>
      <c r="FB34" s="123"/>
      <c r="FC34" s="123"/>
      <c r="FD34" s="123"/>
      <c r="FE34" s="123"/>
      <c r="FF34" s="123"/>
      <c r="FG34" s="123"/>
      <c r="FH34" s="123"/>
      <c r="FI34" s="123"/>
      <c r="FJ34" s="123"/>
      <c r="FK34" s="123"/>
      <c r="FL34" s="123"/>
      <c r="FM34" s="123"/>
      <c r="FN34" s="123"/>
      <c r="FO34" s="123"/>
      <c r="FP34" s="123"/>
      <c r="FQ34" s="123"/>
      <c r="FR34" s="123"/>
      <c r="FS34" s="123"/>
      <c r="FT34" s="123"/>
      <c r="FU34" s="123"/>
      <c r="FV34" s="123"/>
      <c r="FW34" s="123"/>
      <c r="FX34" s="123"/>
      <c r="FY34" s="123"/>
      <c r="FZ34" s="123"/>
      <c r="GA34" s="123"/>
      <c r="GB34" s="123"/>
      <c r="GC34" s="123"/>
      <c r="GD34" s="123"/>
      <c r="GE34" s="123"/>
      <c r="GF34" s="123"/>
      <c r="GG34" s="123"/>
      <c r="GH34" s="123"/>
      <c r="GI34" s="123"/>
      <c r="GJ34" s="123"/>
      <c r="GK34" s="123"/>
      <c r="GL34" s="123"/>
      <c r="GM34" s="123"/>
      <c r="GN34" s="123"/>
      <c r="GO34" s="123"/>
      <c r="GP34" s="123"/>
      <c r="GQ34" s="123"/>
      <c r="GR34" s="123"/>
      <c r="GS34" s="123"/>
      <c r="GT34" s="123"/>
      <c r="GU34" s="123"/>
      <c r="GV34" s="123"/>
      <c r="GW34" s="123"/>
      <c r="GX34" s="123"/>
      <c r="GY34" s="123"/>
      <c r="GZ34" s="123"/>
      <c r="HA34" s="123"/>
      <c r="HB34" s="123"/>
      <c r="HC34" s="123"/>
      <c r="HD34" s="123"/>
      <c r="HE34" s="123"/>
      <c r="HF34" s="123"/>
      <c r="HG34" s="123"/>
      <c r="HH34" s="123"/>
      <c r="HI34" s="123"/>
      <c r="HJ34" s="123"/>
      <c r="HK34" s="123"/>
      <c r="HL34" s="123"/>
      <c r="HM34" s="123"/>
      <c r="HN34" s="123"/>
      <c r="HO34" s="123"/>
      <c r="HP34" s="123"/>
      <c r="HQ34" s="123"/>
      <c r="HR34" s="123"/>
      <c r="HS34" s="123"/>
      <c r="HT34" s="123"/>
      <c r="HU34" s="123"/>
      <c r="HV34" s="123"/>
      <c r="HW34" s="123"/>
      <c r="HX34" s="123"/>
      <c r="HY34" s="123"/>
      <c r="HZ34" s="123"/>
      <c r="IA34" s="123"/>
      <c r="IB34" s="123"/>
      <c r="IC34" s="123"/>
      <c r="ID34" s="123"/>
      <c r="IE34" s="123"/>
      <c r="IF34" s="123"/>
      <c r="IG34" s="123"/>
      <c r="IH34" s="123"/>
      <c r="II34" s="123"/>
      <c r="IJ34" s="123"/>
      <c r="IK34" s="123"/>
      <c r="IL34" s="123"/>
      <c r="IM34" s="123"/>
      <c r="IN34" s="123"/>
      <c r="IO34" s="123"/>
      <c r="IP34" s="124"/>
      <c r="IQ34" s="124"/>
    </row>
    <row r="35" spans="1:251" ht="24.9" customHeight="1">
      <c r="A35" s="149"/>
      <c r="B35" s="125"/>
      <c r="C35" s="125"/>
      <c r="D35" s="125"/>
      <c r="E35" s="126"/>
      <c r="F35" s="126"/>
      <c r="G35" s="125"/>
      <c r="H35" s="125"/>
      <c r="I35" s="127"/>
      <c r="J35" s="143"/>
      <c r="K35" s="128"/>
      <c r="L35" s="129"/>
      <c r="M35" s="128"/>
      <c r="N35" s="129"/>
      <c r="O35" s="216"/>
      <c r="P35" s="129"/>
      <c r="Q35" s="144"/>
      <c r="R35" s="93"/>
      <c r="S35" s="130"/>
      <c r="T35" s="94"/>
      <c r="U35" s="131"/>
      <c r="V35" s="131"/>
      <c r="W35" s="93"/>
      <c r="X35" s="145"/>
      <c r="Y35" s="94"/>
      <c r="Z35" s="132"/>
      <c r="AA35" s="132"/>
      <c r="AB35" s="93"/>
      <c r="AC35" s="145"/>
      <c r="AD35" s="145"/>
      <c r="AE35" s="94"/>
      <c r="AF35" s="133"/>
      <c r="AG35" s="104"/>
      <c r="AH35" s="128"/>
      <c r="AI35" s="134"/>
      <c r="AJ35" s="134"/>
      <c r="AK35" s="99"/>
      <c r="AL35" s="100"/>
      <c r="AM35" s="99"/>
      <c r="AN35" s="100"/>
      <c r="AO35" s="105"/>
      <c r="AP35" s="101"/>
      <c r="AQ35" s="105"/>
      <c r="AR35" s="101"/>
      <c r="AS35" s="105"/>
      <c r="AT35" s="102"/>
      <c r="AU35" s="134"/>
      <c r="AV35" s="134"/>
      <c r="AW35" s="106"/>
      <c r="AX35" s="106"/>
      <c r="AY35" s="106"/>
      <c r="AZ35" s="106"/>
      <c r="BA35" s="106"/>
      <c r="BB35" s="106"/>
      <c r="BC35" s="104"/>
      <c r="BD35" s="105"/>
      <c r="BE35" s="135"/>
      <c r="BF35" s="101"/>
      <c r="BG35" s="101"/>
      <c r="BH35" s="146"/>
      <c r="BI35" s="136"/>
      <c r="BJ35" s="147"/>
      <c r="BK35" s="135"/>
      <c r="BL35" s="135"/>
      <c r="BM35" s="148"/>
      <c r="BN35" s="134"/>
      <c r="BO35" s="134"/>
      <c r="BP35" s="127"/>
      <c r="BQ35" s="143"/>
      <c r="BR35" s="127"/>
      <c r="BS35" s="143"/>
      <c r="BT35" s="143"/>
      <c r="BU35" s="138"/>
      <c r="BV35" s="150"/>
      <c r="BW35" s="142"/>
      <c r="BX35" s="104"/>
      <c r="BY35" s="104"/>
      <c r="BZ35" s="124"/>
      <c r="CA35" s="137"/>
      <c r="CB35" s="123"/>
      <c r="CC35" s="123"/>
      <c r="CD35" s="123"/>
      <c r="CE35" s="123"/>
      <c r="CF35" s="123"/>
      <c r="CG35" s="123"/>
      <c r="CH35" s="123"/>
      <c r="CI35" s="123"/>
      <c r="CJ35" s="123"/>
      <c r="CK35" s="123"/>
      <c r="CL35" s="123"/>
      <c r="CM35" s="123"/>
      <c r="CN35" s="123"/>
      <c r="CO35" s="123"/>
      <c r="CP35" s="123"/>
      <c r="CQ35" s="123"/>
      <c r="CR35" s="123"/>
      <c r="CS35" s="123"/>
      <c r="CT35" s="123"/>
      <c r="CU35" s="123"/>
      <c r="CV35" s="123"/>
      <c r="CW35" s="123"/>
      <c r="CX35" s="123"/>
      <c r="CY35" s="123"/>
      <c r="CZ35" s="123"/>
      <c r="DA35" s="123"/>
      <c r="DB35" s="123"/>
      <c r="DC35" s="123"/>
      <c r="DD35" s="123"/>
      <c r="DE35" s="123"/>
      <c r="DF35" s="123"/>
      <c r="DG35" s="123"/>
      <c r="DH35" s="123"/>
      <c r="DI35" s="123"/>
      <c r="DJ35" s="123"/>
      <c r="DK35" s="123"/>
      <c r="DL35" s="123"/>
      <c r="DM35" s="123"/>
      <c r="DN35" s="123"/>
      <c r="DO35" s="123"/>
      <c r="DP35" s="123"/>
      <c r="DQ35" s="123"/>
      <c r="DR35" s="123"/>
      <c r="DS35" s="123"/>
      <c r="DT35" s="123"/>
      <c r="DU35" s="123"/>
      <c r="DV35" s="123"/>
      <c r="DW35" s="123"/>
      <c r="DX35" s="123"/>
      <c r="DY35" s="123"/>
      <c r="DZ35" s="123"/>
      <c r="EA35" s="123"/>
      <c r="EB35" s="123"/>
      <c r="EC35" s="123"/>
      <c r="ED35" s="123"/>
      <c r="EE35" s="123"/>
      <c r="EF35" s="123"/>
      <c r="EG35" s="123"/>
      <c r="EH35" s="123"/>
      <c r="EI35" s="123"/>
      <c r="EJ35" s="123"/>
      <c r="EK35" s="123"/>
      <c r="EL35" s="123"/>
      <c r="EM35" s="123"/>
      <c r="EN35" s="123"/>
      <c r="EO35" s="123"/>
      <c r="EP35" s="123"/>
      <c r="EQ35" s="123"/>
      <c r="ER35" s="123"/>
      <c r="ES35" s="123"/>
      <c r="ET35" s="123"/>
      <c r="EU35" s="123"/>
      <c r="EV35" s="123"/>
      <c r="EW35" s="123"/>
      <c r="EX35" s="123"/>
      <c r="EY35" s="123"/>
      <c r="EZ35" s="123"/>
      <c r="FA35" s="123"/>
      <c r="FB35" s="123"/>
      <c r="FC35" s="123"/>
      <c r="FD35" s="123"/>
      <c r="FE35" s="123"/>
      <c r="FF35" s="123"/>
      <c r="FG35" s="123"/>
      <c r="FH35" s="123"/>
      <c r="FI35" s="123"/>
      <c r="FJ35" s="123"/>
      <c r="FK35" s="123"/>
      <c r="FL35" s="123"/>
      <c r="FM35" s="123"/>
      <c r="FN35" s="123"/>
      <c r="FO35" s="123"/>
      <c r="FP35" s="123"/>
      <c r="FQ35" s="123"/>
      <c r="FR35" s="123"/>
      <c r="FS35" s="123"/>
      <c r="FT35" s="123"/>
      <c r="FU35" s="123"/>
      <c r="FV35" s="123"/>
      <c r="FW35" s="123"/>
      <c r="FX35" s="123"/>
      <c r="FY35" s="123"/>
      <c r="FZ35" s="123"/>
      <c r="GA35" s="123"/>
      <c r="GB35" s="123"/>
      <c r="GC35" s="123"/>
      <c r="GD35" s="123"/>
      <c r="GE35" s="123"/>
      <c r="GF35" s="123"/>
      <c r="GG35" s="123"/>
      <c r="GH35" s="123"/>
      <c r="GI35" s="123"/>
      <c r="GJ35" s="123"/>
      <c r="GK35" s="123"/>
      <c r="GL35" s="123"/>
      <c r="GM35" s="123"/>
      <c r="GN35" s="123"/>
      <c r="GO35" s="123"/>
      <c r="GP35" s="123"/>
      <c r="GQ35" s="123"/>
      <c r="GR35" s="123"/>
      <c r="GS35" s="123"/>
      <c r="GT35" s="123"/>
      <c r="GU35" s="123"/>
      <c r="GV35" s="123"/>
      <c r="GW35" s="123"/>
      <c r="GX35" s="123"/>
      <c r="GY35" s="123"/>
      <c r="GZ35" s="123"/>
      <c r="HA35" s="123"/>
      <c r="HB35" s="123"/>
      <c r="HC35" s="123"/>
      <c r="HD35" s="123"/>
      <c r="HE35" s="123"/>
      <c r="HF35" s="123"/>
      <c r="HG35" s="123"/>
      <c r="HH35" s="123"/>
      <c r="HI35" s="123"/>
      <c r="HJ35" s="123"/>
      <c r="HK35" s="123"/>
      <c r="HL35" s="123"/>
      <c r="HM35" s="123"/>
      <c r="HN35" s="123"/>
      <c r="HO35" s="123"/>
      <c r="HP35" s="123"/>
      <c r="HQ35" s="123"/>
      <c r="HR35" s="123"/>
      <c r="HS35" s="123"/>
      <c r="HT35" s="123"/>
      <c r="HU35" s="123"/>
      <c r="HV35" s="123"/>
      <c r="HW35" s="123"/>
      <c r="HX35" s="123"/>
      <c r="HY35" s="123"/>
      <c r="HZ35" s="123"/>
      <c r="IA35" s="123"/>
      <c r="IB35" s="123"/>
      <c r="IC35" s="123"/>
      <c r="ID35" s="123"/>
      <c r="IE35" s="123"/>
      <c r="IF35" s="123"/>
      <c r="IG35" s="123"/>
      <c r="IH35" s="123"/>
      <c r="II35" s="123"/>
      <c r="IJ35" s="123"/>
      <c r="IK35" s="123"/>
      <c r="IL35" s="123"/>
      <c r="IM35" s="123"/>
      <c r="IN35" s="123"/>
      <c r="IO35" s="123"/>
      <c r="IP35" s="124"/>
      <c r="IQ35" s="124"/>
    </row>
    <row r="36" spans="1:251">
      <c r="A36" s="111" t="s">
        <v>127</v>
      </c>
      <c r="B36" s="89" t="s">
        <v>127</v>
      </c>
      <c r="C36" s="89" t="s">
        <v>127</v>
      </c>
      <c r="D36" s="89" t="s">
        <v>127</v>
      </c>
      <c r="E36" s="90" t="s">
        <v>127</v>
      </c>
      <c r="F36" s="90" t="s">
        <v>127</v>
      </c>
      <c r="G36" s="89" t="s">
        <v>127</v>
      </c>
      <c r="H36" s="91" t="s">
        <v>127</v>
      </c>
      <c r="I36" s="91" t="s">
        <v>127</v>
      </c>
      <c r="J36" s="112" t="s">
        <v>127</v>
      </c>
      <c r="K36" s="113" t="s">
        <v>127</v>
      </c>
      <c r="L36" s="92" t="s">
        <v>127</v>
      </c>
      <c r="M36" s="113" t="s">
        <v>127</v>
      </c>
      <c r="N36" s="110" t="s">
        <v>127</v>
      </c>
      <c r="O36" s="113" t="s">
        <v>127</v>
      </c>
      <c r="P36" s="110" t="s">
        <v>127</v>
      </c>
      <c r="Q36" s="92" t="s">
        <v>127</v>
      </c>
      <c r="R36" s="93" t="s">
        <v>127</v>
      </c>
      <c r="S36" s="91" t="s">
        <v>127</v>
      </c>
      <c r="T36" s="94" t="s">
        <v>127</v>
      </c>
      <c r="U36" s="91" t="s">
        <v>127</v>
      </c>
      <c r="V36" s="91" t="s">
        <v>127</v>
      </c>
      <c r="W36" s="93" t="s">
        <v>127</v>
      </c>
      <c r="X36" s="91" t="s">
        <v>127</v>
      </c>
      <c r="Y36" s="94" t="s">
        <v>127</v>
      </c>
      <c r="Z36" s="95" t="s">
        <v>127</v>
      </c>
      <c r="AA36" s="95" t="s">
        <v>127</v>
      </c>
      <c r="AB36" s="93" t="s">
        <v>127</v>
      </c>
      <c r="AC36" s="91" t="s">
        <v>127</v>
      </c>
      <c r="AD36" s="91" t="s">
        <v>127</v>
      </c>
      <c r="AE36" s="94" t="s">
        <v>127</v>
      </c>
      <c r="AF36" s="96" t="s">
        <v>127</v>
      </c>
      <c r="AG36" s="91" t="s">
        <v>127</v>
      </c>
      <c r="AH36" s="97" t="s">
        <v>127</v>
      </c>
      <c r="AI36" s="98" t="s">
        <v>127</v>
      </c>
      <c r="AJ36" s="98"/>
      <c r="AK36" s="99" t="s">
        <v>127</v>
      </c>
      <c r="AL36" s="100"/>
      <c r="AM36" s="99" t="s">
        <v>127</v>
      </c>
      <c r="AN36" s="100" t="s">
        <v>127</v>
      </c>
      <c r="AO36" s="91" t="s">
        <v>127</v>
      </c>
      <c r="AP36" s="101" t="s">
        <v>127</v>
      </c>
      <c r="AQ36" s="91" t="s">
        <v>127</v>
      </c>
      <c r="AR36" s="101" t="s">
        <v>127</v>
      </c>
      <c r="AS36" s="91" t="s">
        <v>127</v>
      </c>
      <c r="AT36" s="102" t="s">
        <v>127</v>
      </c>
      <c r="AU36" s="98" t="s">
        <v>127</v>
      </c>
      <c r="AV36" s="98" t="s">
        <v>127</v>
      </c>
      <c r="AW36" s="103" t="s">
        <v>127</v>
      </c>
      <c r="AX36" s="103" t="s">
        <v>127</v>
      </c>
      <c r="AY36" s="103" t="s">
        <v>127</v>
      </c>
      <c r="AZ36" s="103" t="s">
        <v>127</v>
      </c>
      <c r="BA36" s="103" t="s">
        <v>127</v>
      </c>
      <c r="BB36" s="103" t="s">
        <v>127</v>
      </c>
      <c r="BC36" s="104" t="s">
        <v>127</v>
      </c>
      <c r="BD36" s="105" t="s">
        <v>127</v>
      </c>
      <c r="BE36" s="105" t="s">
        <v>127</v>
      </c>
      <c r="BF36" s="91" t="s">
        <v>127</v>
      </c>
      <c r="BG36" s="105" t="s">
        <v>127</v>
      </c>
      <c r="BH36" s="105" t="s">
        <v>127</v>
      </c>
      <c r="BI36" s="106" t="s">
        <v>127</v>
      </c>
      <c r="BJ36" s="107" t="s">
        <v>127</v>
      </c>
      <c r="BK36" s="91" t="s">
        <v>127</v>
      </c>
      <c r="BL36" s="105" t="s">
        <v>127</v>
      </c>
      <c r="BM36" s="108" t="s">
        <v>127</v>
      </c>
      <c r="BN36" s="98" t="s">
        <v>127</v>
      </c>
      <c r="BO36" s="98" t="s">
        <v>127</v>
      </c>
      <c r="BP36" s="116"/>
      <c r="BQ36" s="109" t="s">
        <v>127</v>
      </c>
      <c r="BR36" s="109" t="s">
        <v>127</v>
      </c>
      <c r="BS36" s="109" t="s">
        <v>127</v>
      </c>
      <c r="BT36" s="109" t="s">
        <v>127</v>
      </c>
      <c r="BU36" s="83"/>
      <c r="BV36" s="83"/>
    </row>
  </sheetData>
  <mergeCells count="5">
    <mergeCell ref="AW2:AY2"/>
    <mergeCell ref="AZ2:BB2"/>
    <mergeCell ref="B1:AJ1"/>
    <mergeCell ref="AK1:AV1"/>
    <mergeCell ref="AW1:BN1"/>
  </mergeCells>
  <conditionalFormatting sqref="A1:XFD3 A37:XFD1048576 BU36:XFD36 IR4:XFD35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 Budapest</vt:lpstr>
    </vt:vector>
  </TitlesOfParts>
  <Manager/>
  <Company>Hewlett-Packard Company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greshem.szigma</cp:lastModifiedBy>
  <cp:revision/>
  <dcterms:created xsi:type="dcterms:W3CDTF">2017-05-22T13:08:25Z</dcterms:created>
  <dcterms:modified xsi:type="dcterms:W3CDTF">2021-01-14T15:41:01Z</dcterms:modified>
  <cp:category/>
  <cp:contentStatus/>
</cp:coreProperties>
</file>