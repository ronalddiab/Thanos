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<sst xmlns="http://schemas.openxmlformats.org/spreadsheetml/2006/main" count="316" uniqueCount="149">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</sst>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 t="e">
        <f>Submetering!E5+Submetering!F5+Submetering!G5+Submetering!H5+Submetering!J5-Submetering!AV5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 t="e">
        <f>'FS Desroches Daily'!CM7</f>
        <v>#VALUE!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 t="str">
        <f>'FS Desroches Daily'!X7</f>
        <v/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 t="str">
        <f>'FS Desroches Daily'!BF6</f>
        <v/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>
        <f>'FS Desroches Daily'!BF7</f>
        <v>0</v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9000.000000000342</v>
      </c>
      <c r="F33" s="17">
        <f t="shared" ref="F33:BC33" si="1">SUM(F2:F32)</f>
        <v>10399.999999999742</v>
      </c>
      <c r="G33" s="17">
        <f t="shared" si="1"/>
        <v>9599.9999999998327</v>
      </c>
      <c r="H33" s="17">
        <f t="shared" si="1"/>
        <v>4499.9999999999491</v>
      </c>
      <c r="I33" s="17">
        <f t="shared" si="1"/>
        <v>7099.9999999998836</v>
      </c>
      <c r="J33" s="17">
        <f t="shared" si="1"/>
        <v>3499.9999999998367</v>
      </c>
      <c r="K33" s="17">
        <f t="shared" si="1"/>
        <v>25</v>
      </c>
      <c r="L33" s="17">
        <f t="shared" si="1"/>
        <v>10</v>
      </c>
      <c r="M33" s="17">
        <f t="shared" si="1"/>
        <v>4.2000000000000455</v>
      </c>
      <c r="N33" s="17">
        <f t="shared" si="1"/>
        <v>1438.5999999999767</v>
      </c>
      <c r="O33" s="17">
        <f t="shared" si="1"/>
        <v>659.99999999996817</v>
      </c>
      <c r="P33" s="17">
        <f t="shared" si="1"/>
        <v>9400.0000000002983</v>
      </c>
      <c r="Q33" s="17">
        <f t="shared" si="1"/>
        <v>1199.9999999999886</v>
      </c>
      <c r="R33" s="17">
        <f t="shared" si="1"/>
        <v>1040.0000000000205</v>
      </c>
      <c r="S33" s="17">
        <f t="shared" si="1"/>
        <v>960.00000000003638</v>
      </c>
      <c r="T33" s="17">
        <f t="shared" si="1"/>
        <v>108</v>
      </c>
      <c r="U33" s="35">
        <f t="shared" si="1"/>
        <v>2300.0000000000682</v>
      </c>
      <c r="V33" s="35">
        <f t="shared" si="1"/>
        <v>879.99999999999545</v>
      </c>
      <c r="W33" s="35">
        <f t="shared" si="1"/>
        <v>800.00000000001137</v>
      </c>
      <c r="X33" s="35">
        <f t="shared" si="1"/>
        <v>629.99999999999545</v>
      </c>
      <c r="Y33" s="35">
        <f t="shared" si="1"/>
        <v>430.00000000000682</v>
      </c>
      <c r="Z33" s="35">
        <f t="shared" si="1"/>
        <v>540.00000000002046</v>
      </c>
      <c r="AA33" s="35">
        <f t="shared" si="1"/>
        <v>540.00000000002046</v>
      </c>
      <c r="AB33" s="35">
        <f t="shared" si="1"/>
        <v>439.99999999999773</v>
      </c>
      <c r="AC33" s="35">
        <f t="shared" si="1"/>
        <v>620.00000000000455</v>
      </c>
      <c r="AD33" s="35">
        <f t="shared" si="1"/>
        <v>519.99999999998181</v>
      </c>
      <c r="AE33" s="35">
        <f t="shared" si="1"/>
        <v>500</v>
      </c>
      <c r="AF33" s="17">
        <f t="shared" si="1"/>
        <v>79</v>
      </c>
      <c r="AG33" s="32">
        <f t="shared" si="1"/>
        <v>120.00000000000455</v>
      </c>
      <c r="AH33" s="32">
        <f t="shared" si="1"/>
        <v>79.999999999984084</v>
      </c>
      <c r="AI33" s="32">
        <f t="shared" si="1"/>
        <v>129.99999999999545</v>
      </c>
      <c r="AJ33" s="32">
        <f t="shared" si="1"/>
        <v>120.00000000000455</v>
      </c>
      <c r="AK33" s="32">
        <f t="shared" si="1"/>
        <v>170.00000000001592</v>
      </c>
      <c r="AL33" s="32">
        <f t="shared" si="1"/>
        <v>90</v>
      </c>
      <c r="AM33" s="32">
        <f t="shared" si="1"/>
        <v>150.00000000000568</v>
      </c>
      <c r="AN33" s="32">
        <f t="shared" si="1"/>
        <v>83</v>
      </c>
      <c r="AO33" s="32">
        <f t="shared" si="1"/>
        <v>89.999999999974989</v>
      </c>
      <c r="AP33" s="32">
        <f t="shared" si="1"/>
        <v>75</v>
      </c>
      <c r="AQ33" s="17">
        <f t="shared" si="1"/>
        <v>194.59999999999854</v>
      </c>
      <c r="AR33" s="17">
        <f t="shared" si="1"/>
        <v>35.5</v>
      </c>
      <c r="AS33" s="17">
        <f t="shared" si="1"/>
        <v>15.100000000000364</v>
      </c>
      <c r="AT33" s="17">
        <f t="shared" si="1"/>
        <v>130.30000000000291</v>
      </c>
      <c r="AU33" s="17">
        <f t="shared" si="1"/>
        <v>837</v>
      </c>
      <c r="AV33" s="17">
        <f t="shared" si="1"/>
        <v>2110.0000000000136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5.4944999999999995</v>
      </c>
      <c r="BC33" s="17">
        <f t="shared" si="1"/>
        <v>63</v>
      </c>
    </row>
    <row r="35" spans="5:55" x14ac:dyDescent="0.25">
      <c r="E35" s="38">
        <f>E33/E37</f>
        <v>0.31985215722512028</v>
      </c>
      <c r="G35" s="29">
        <f>G33-M36</f>
        <v>8157.1999999998561</v>
      </c>
      <c r="AE35" s="35">
        <f>SUM(U33:AE33)</f>
        <v>8200.0000000001019</v>
      </c>
      <c r="AG35" s="32">
        <f>SUM(AG33:AP33)</f>
        <v>1107.9999999999852</v>
      </c>
    </row>
    <row r="36" spans="5:55" x14ac:dyDescent="0.25">
      <c r="G36" s="29">
        <f>G35-633*14</f>
        <v>-704.80000000014388</v>
      </c>
      <c r="M36" s="29">
        <f>M33+N33</f>
        <v>1442.7999999999768</v>
      </c>
    </row>
    <row r="37" spans="5:55" x14ac:dyDescent="0.25">
      <c r="E37" s="17">
        <f>E33+F33+G33+H33+J33-633*14</f>
        <v>28137.999999999709</v>
      </c>
      <c r="G37" s="37">
        <f>M36/E37</f>
        <v>5.1275854716042069E-2</v>
      </c>
      <c r="M37" s="35">
        <f>AE35</f>
        <v>8200.0000000001019</v>
      </c>
    </row>
    <row r="38" spans="5:55" x14ac:dyDescent="0.25">
      <c r="L38" s="27">
        <f>M38/E37</f>
        <v>3.9377354467268345E-2</v>
      </c>
      <c r="M38" s="29">
        <f>AG35</f>
        <v>1107.9999999999852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zoomScale="90" zoomScaleNormal="90" workbookViewId="0">
      <pane ySplit="1" topLeftCell="A2" activePane="bottomLeft" state="frozen"/>
      <selection pane="bottomLeft" activeCell="CO6" sqref="CO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148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/>
      <c r="BF6" s="67" t="str">
        <f t="shared" si="28"/>
        <v/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/>
      <c r="CO6" s="62"/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/>
      <c r="D7" s="64" t="str">
        <f t="shared" si="1"/>
        <v>0</v>
      </c>
      <c r="E7" s="58"/>
      <c r="F7" s="64" t="str">
        <f t="shared" si="2"/>
        <v>0</v>
      </c>
      <c r="G7" s="58"/>
      <c r="H7" s="64" t="str">
        <f t="shared" si="3"/>
        <v>0</v>
      </c>
      <c r="I7" s="58"/>
      <c r="J7" s="64" t="str">
        <f t="shared" si="4"/>
        <v>0</v>
      </c>
      <c r="K7" s="58"/>
      <c r="L7" s="64" t="str">
        <f t="shared" si="5"/>
        <v>0</v>
      </c>
      <c r="M7" s="58"/>
      <c r="N7" s="64" t="str">
        <f t="shared" si="6"/>
        <v/>
      </c>
      <c r="O7" s="58"/>
      <c r="P7" s="67" t="str">
        <f t="shared" si="7"/>
        <v/>
      </c>
      <c r="Q7" s="58"/>
      <c r="R7" s="67" t="str">
        <f t="shared" si="8"/>
        <v/>
      </c>
      <c r="S7" s="58"/>
      <c r="T7" s="67" t="str">
        <f t="shared" si="9"/>
        <v/>
      </c>
      <c r="U7" s="58"/>
      <c r="V7" s="67" t="str">
        <f t="shared" si="10"/>
        <v/>
      </c>
      <c r="W7" s="58"/>
      <c r="X7" s="65" t="str">
        <f t="shared" si="11"/>
        <v/>
      </c>
      <c r="Y7" s="58"/>
      <c r="Z7" s="65" t="str">
        <f t="shared" si="12"/>
        <v/>
      </c>
      <c r="AA7" s="58"/>
      <c r="AB7" s="65" t="str">
        <f t="shared" si="13"/>
        <v/>
      </c>
      <c r="AC7" s="58"/>
      <c r="AD7" s="65" t="str">
        <f t="shared" si="14"/>
        <v/>
      </c>
      <c r="AE7" s="58"/>
      <c r="AF7" s="65" t="str">
        <f t="shared" si="15"/>
        <v/>
      </c>
      <c r="AG7" s="58"/>
      <c r="AH7" s="67" t="str">
        <f t="shared" si="16"/>
        <v/>
      </c>
      <c r="AI7" s="58"/>
      <c r="AJ7" s="65" t="str">
        <f t="shared" si="17"/>
        <v/>
      </c>
      <c r="AK7" s="58"/>
      <c r="AL7" s="65" t="str">
        <f t="shared" si="18"/>
        <v/>
      </c>
      <c r="AM7" s="58"/>
      <c r="AN7" s="65" t="str">
        <f t="shared" si="19"/>
        <v/>
      </c>
      <c r="AO7" s="58"/>
      <c r="AP7" s="65" t="str">
        <f t="shared" si="20"/>
        <v/>
      </c>
      <c r="AQ7" s="58"/>
      <c r="AR7" s="65" t="str">
        <f t="shared" si="21"/>
        <v/>
      </c>
      <c r="AS7" s="58"/>
      <c r="AT7" s="65" t="str">
        <f t="shared" si="22"/>
        <v/>
      </c>
      <c r="AU7" s="58"/>
      <c r="AV7" s="65" t="str">
        <f t="shared" si="23"/>
        <v/>
      </c>
      <c r="AW7" s="58"/>
      <c r="AX7" s="65" t="str">
        <f t="shared" si="24"/>
        <v/>
      </c>
      <c r="AY7" s="58"/>
      <c r="AZ7" s="65" t="str">
        <f t="shared" si="25"/>
        <v/>
      </c>
      <c r="BA7" s="58"/>
      <c r="BB7" s="65" t="str">
        <f t="shared" si="26"/>
        <v/>
      </c>
      <c r="BC7" s="58"/>
      <c r="BD7" s="65" t="str">
        <f t="shared" si="27"/>
        <v/>
      </c>
      <c r="BE7" s="59"/>
      <c r="BF7" s="67">
        <f t="shared" si="28"/>
        <v>0</v>
      </c>
      <c r="BG7" s="60"/>
      <c r="BH7" s="65" t="str">
        <f t="shared" si="29"/>
        <v/>
      </c>
      <c r="BI7" s="60"/>
      <c r="BJ7" s="65" t="str">
        <f t="shared" si="30"/>
        <v/>
      </c>
      <c r="BK7" s="60"/>
      <c r="BL7" s="65" t="str">
        <f t="shared" si="31"/>
        <v/>
      </c>
      <c r="BM7" s="60"/>
      <c r="BN7" s="65" t="str">
        <f t="shared" si="32"/>
        <v/>
      </c>
      <c r="BO7" s="60"/>
      <c r="BP7" s="65" t="str">
        <f t="shared" si="33"/>
        <v/>
      </c>
      <c r="BQ7" s="60"/>
      <c r="BR7" s="65" t="str">
        <f t="shared" si="34"/>
        <v/>
      </c>
      <c r="BS7" s="60"/>
      <c r="BT7" s="65" t="str">
        <f t="shared" si="35"/>
        <v/>
      </c>
      <c r="BU7" s="60"/>
      <c r="BV7" s="65" t="str">
        <f t="shared" si="36"/>
        <v/>
      </c>
      <c r="BW7" s="60"/>
      <c r="BX7" s="65" t="str">
        <f t="shared" si="37"/>
        <v/>
      </c>
      <c r="BY7" s="60"/>
      <c r="BZ7" s="67" t="str">
        <f t="shared" si="38"/>
        <v/>
      </c>
      <c r="CA7" s="60"/>
      <c r="CB7" s="67" t="str">
        <f t="shared" si="39"/>
        <v/>
      </c>
      <c r="CC7" s="60"/>
      <c r="CD7" s="67" t="str">
        <f t="shared" si="40"/>
        <v/>
      </c>
      <c r="CE7" s="60"/>
      <c r="CF7" s="67" t="str">
        <f t="shared" si="41"/>
        <v/>
      </c>
      <c r="CG7" s="60"/>
      <c r="CH7" s="67" t="str">
        <f t="shared" si="42"/>
        <v/>
      </c>
      <c r="CI7" s="60"/>
      <c r="CJ7" s="67" t="str">
        <f t="shared" si="43"/>
        <v/>
      </c>
      <c r="CK7" s="60"/>
      <c r="CL7" s="64" t="str">
        <f t="shared" si="44"/>
        <v/>
      </c>
      <c r="CM7" s="65" t="e">
        <f t="shared" si="45"/>
        <v>#VALUE!</v>
      </c>
      <c r="CN7" s="62"/>
      <c r="CO7" s="62"/>
      <c r="CP7" s="68"/>
      <c r="CQ7" s="67" t="str">
        <f t="shared" si="46"/>
        <v/>
      </c>
      <c r="CR7" s="68"/>
      <c r="CS7" s="67" t="str">
        <f t="shared" si="47"/>
        <v/>
      </c>
      <c r="CT7" s="75"/>
      <c r="CU7" s="67" t="str">
        <f t="shared" si="48"/>
        <v/>
      </c>
      <c r="CV7" s="68"/>
      <c r="CW7" s="67" t="str">
        <f t="shared" si="49"/>
        <v/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/>
      <c r="D8" s="64">
        <f t="shared" si="1"/>
        <v>0</v>
      </c>
      <c r="E8" s="58"/>
      <c r="F8" s="64">
        <f t="shared" si="2"/>
        <v>0</v>
      </c>
      <c r="G8" s="58"/>
      <c r="H8" s="64">
        <f t="shared" si="3"/>
        <v>0</v>
      </c>
      <c r="I8" s="58"/>
      <c r="J8" s="64">
        <f t="shared" si="4"/>
        <v>0</v>
      </c>
      <c r="K8" s="58"/>
      <c r="L8" s="64">
        <f t="shared" si="5"/>
        <v>0</v>
      </c>
      <c r="M8" s="58"/>
      <c r="N8" s="64">
        <f t="shared" si="6"/>
        <v>0</v>
      </c>
      <c r="O8" s="58"/>
      <c r="P8" s="67">
        <f t="shared" si="7"/>
        <v>0</v>
      </c>
      <c r="Q8" s="58"/>
      <c r="R8" s="67">
        <f t="shared" si="8"/>
        <v>0</v>
      </c>
      <c r="S8" s="58"/>
      <c r="T8" s="67">
        <f t="shared" si="9"/>
        <v>0</v>
      </c>
      <c r="U8" s="58"/>
      <c r="V8" s="67">
        <f t="shared" si="10"/>
        <v>0</v>
      </c>
      <c r="W8" s="58"/>
      <c r="X8" s="65">
        <f t="shared" si="11"/>
        <v>0</v>
      </c>
      <c r="Y8" s="58"/>
      <c r="Z8" s="65">
        <f t="shared" si="12"/>
        <v>0</v>
      </c>
      <c r="AA8" s="58"/>
      <c r="AB8" s="65">
        <f t="shared" si="13"/>
        <v>0</v>
      </c>
      <c r="AC8" s="58"/>
      <c r="AD8" s="65">
        <f t="shared" si="14"/>
        <v>0</v>
      </c>
      <c r="AE8" s="58"/>
      <c r="AF8" s="65">
        <f t="shared" si="15"/>
        <v>0</v>
      </c>
      <c r="AG8" s="58"/>
      <c r="AH8" s="67">
        <f t="shared" si="16"/>
        <v>0</v>
      </c>
      <c r="AI8" s="58"/>
      <c r="AJ8" s="65">
        <f t="shared" si="17"/>
        <v>0</v>
      </c>
      <c r="AK8" s="58"/>
      <c r="AL8" s="65">
        <f t="shared" si="18"/>
        <v>0</v>
      </c>
      <c r="AM8" s="58"/>
      <c r="AN8" s="65">
        <f t="shared" si="19"/>
        <v>0</v>
      </c>
      <c r="AO8" s="58"/>
      <c r="AP8" s="65">
        <f t="shared" si="20"/>
        <v>0</v>
      </c>
      <c r="AQ8" s="58"/>
      <c r="AR8" s="65">
        <f t="shared" si="21"/>
        <v>0</v>
      </c>
      <c r="AS8" s="58"/>
      <c r="AT8" s="65">
        <f t="shared" si="22"/>
        <v>0</v>
      </c>
      <c r="AU8" s="58"/>
      <c r="AV8" s="65">
        <f t="shared" si="23"/>
        <v>0</v>
      </c>
      <c r="AW8" s="58"/>
      <c r="AX8" s="65">
        <f t="shared" si="24"/>
        <v>0</v>
      </c>
      <c r="AY8" s="58"/>
      <c r="AZ8" s="65">
        <f t="shared" si="25"/>
        <v>0</v>
      </c>
      <c r="BA8" s="58"/>
      <c r="BB8" s="65">
        <f t="shared" si="26"/>
        <v>0</v>
      </c>
      <c r="BC8" s="58"/>
      <c r="BD8" s="65">
        <f t="shared" si="27"/>
        <v>0</v>
      </c>
      <c r="BE8" s="59"/>
      <c r="BF8" s="67">
        <f t="shared" si="28"/>
        <v>0</v>
      </c>
      <c r="BG8" s="60"/>
      <c r="BH8" s="65">
        <f t="shared" si="29"/>
        <v>0</v>
      </c>
      <c r="BI8" s="60"/>
      <c r="BJ8" s="65">
        <f t="shared" si="30"/>
        <v>0</v>
      </c>
      <c r="BK8" s="60"/>
      <c r="BL8" s="65">
        <f t="shared" si="31"/>
        <v>0</v>
      </c>
      <c r="BM8" s="60"/>
      <c r="BN8" s="65">
        <f t="shared" si="32"/>
        <v>0</v>
      </c>
      <c r="BO8" s="60"/>
      <c r="BP8" s="65">
        <f t="shared" si="33"/>
        <v>0</v>
      </c>
      <c r="BQ8" s="60"/>
      <c r="BR8" s="65">
        <f t="shared" si="34"/>
        <v>0</v>
      </c>
      <c r="BS8" s="60"/>
      <c r="BT8" s="65">
        <f t="shared" si="35"/>
        <v>0</v>
      </c>
      <c r="BU8" s="60"/>
      <c r="BV8" s="65">
        <f t="shared" si="36"/>
        <v>0</v>
      </c>
      <c r="BW8" s="60"/>
      <c r="BX8" s="65">
        <f t="shared" si="37"/>
        <v>0</v>
      </c>
      <c r="BY8" s="60"/>
      <c r="BZ8" s="67">
        <f t="shared" si="38"/>
        <v>0</v>
      </c>
      <c r="CA8" s="60"/>
      <c r="CB8" s="67">
        <f t="shared" si="39"/>
        <v>0</v>
      </c>
      <c r="CC8" s="60"/>
      <c r="CD8" s="67">
        <f t="shared" si="40"/>
        <v>0</v>
      </c>
      <c r="CE8" s="60"/>
      <c r="CF8" s="67">
        <f t="shared" si="41"/>
        <v>0</v>
      </c>
      <c r="CG8" s="60"/>
      <c r="CH8" s="67">
        <f t="shared" si="42"/>
        <v>0</v>
      </c>
      <c r="CI8" s="60"/>
      <c r="CJ8" s="67">
        <f t="shared" si="43"/>
        <v>0</v>
      </c>
      <c r="CK8" s="60"/>
      <c r="CL8" s="64">
        <f t="shared" si="44"/>
        <v>0</v>
      </c>
      <c r="CM8" s="65">
        <f t="shared" si="45"/>
        <v>0</v>
      </c>
      <c r="CN8" s="62"/>
      <c r="CO8" s="62"/>
      <c r="CP8" s="68"/>
      <c r="CQ8" s="67">
        <f t="shared" si="46"/>
        <v>0</v>
      </c>
      <c r="CR8" s="68"/>
      <c r="CS8" s="67">
        <f t="shared" si="47"/>
        <v>0</v>
      </c>
      <c r="CT8" s="75"/>
      <c r="CU8" s="67">
        <f t="shared" si="48"/>
        <v>0</v>
      </c>
      <c r="CV8" s="68"/>
      <c r="CW8" s="67">
        <f t="shared" si="49"/>
        <v>0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/>
      <c r="D9" s="64">
        <f t="shared" si="1"/>
        <v>0</v>
      </c>
      <c r="E9" s="58"/>
      <c r="F9" s="64">
        <f t="shared" si="2"/>
        <v>0</v>
      </c>
      <c r="G9" s="58"/>
      <c r="H9" s="64">
        <f t="shared" si="3"/>
        <v>0</v>
      </c>
      <c r="I9" s="58"/>
      <c r="J9" s="64">
        <f t="shared" si="4"/>
        <v>0</v>
      </c>
      <c r="K9" s="58"/>
      <c r="L9" s="64">
        <f t="shared" si="5"/>
        <v>0</v>
      </c>
      <c r="M9" s="58"/>
      <c r="N9" s="64">
        <f t="shared" si="6"/>
        <v>0</v>
      </c>
      <c r="O9" s="58"/>
      <c r="P9" s="67">
        <f t="shared" si="7"/>
        <v>0</v>
      </c>
      <c r="Q9" s="58"/>
      <c r="R9" s="67">
        <f t="shared" si="8"/>
        <v>0</v>
      </c>
      <c r="S9" s="58"/>
      <c r="T9" s="67">
        <f t="shared" si="9"/>
        <v>0</v>
      </c>
      <c r="U9" s="58"/>
      <c r="V9" s="67">
        <f t="shared" si="10"/>
        <v>0</v>
      </c>
      <c r="W9" s="58"/>
      <c r="X9" s="65">
        <f t="shared" si="11"/>
        <v>0</v>
      </c>
      <c r="Y9" s="58"/>
      <c r="Z9" s="65">
        <f t="shared" si="12"/>
        <v>0</v>
      </c>
      <c r="AA9" s="58"/>
      <c r="AB9" s="65">
        <f t="shared" si="13"/>
        <v>0</v>
      </c>
      <c r="AC9" s="58"/>
      <c r="AD9" s="65">
        <f t="shared" si="14"/>
        <v>0</v>
      </c>
      <c r="AE9" s="58"/>
      <c r="AF9" s="65">
        <f t="shared" si="15"/>
        <v>0</v>
      </c>
      <c r="AG9" s="58"/>
      <c r="AH9" s="67">
        <f t="shared" si="16"/>
        <v>0</v>
      </c>
      <c r="AI9" s="58"/>
      <c r="AJ9" s="65">
        <f t="shared" si="17"/>
        <v>0</v>
      </c>
      <c r="AK9" s="58"/>
      <c r="AL9" s="65">
        <f t="shared" si="18"/>
        <v>0</v>
      </c>
      <c r="AM9" s="58"/>
      <c r="AN9" s="65">
        <f t="shared" si="19"/>
        <v>0</v>
      </c>
      <c r="AO9" s="58"/>
      <c r="AP9" s="65">
        <f t="shared" si="20"/>
        <v>0</v>
      </c>
      <c r="AQ9" s="58"/>
      <c r="AR9" s="65">
        <f t="shared" si="21"/>
        <v>0</v>
      </c>
      <c r="AS9" s="58"/>
      <c r="AT9" s="65">
        <f t="shared" si="22"/>
        <v>0</v>
      </c>
      <c r="AU9" s="58"/>
      <c r="AV9" s="65">
        <f t="shared" si="23"/>
        <v>0</v>
      </c>
      <c r="AW9" s="58"/>
      <c r="AX9" s="65">
        <f t="shared" si="24"/>
        <v>0</v>
      </c>
      <c r="AY9" s="58"/>
      <c r="AZ9" s="65">
        <f t="shared" si="25"/>
        <v>0</v>
      </c>
      <c r="BA9" s="58"/>
      <c r="BB9" s="65">
        <f t="shared" si="26"/>
        <v>0</v>
      </c>
      <c r="BC9" s="58"/>
      <c r="BD9" s="65">
        <f t="shared" si="27"/>
        <v>0</v>
      </c>
      <c r="BE9" s="59"/>
      <c r="BF9" s="67">
        <f t="shared" si="28"/>
        <v>0</v>
      </c>
      <c r="BG9" s="60"/>
      <c r="BH9" s="65">
        <f t="shared" si="29"/>
        <v>0</v>
      </c>
      <c r="BI9" s="60"/>
      <c r="BJ9" s="65">
        <f t="shared" si="30"/>
        <v>0</v>
      </c>
      <c r="BK9" s="60"/>
      <c r="BL9" s="65">
        <f t="shared" si="31"/>
        <v>0</v>
      </c>
      <c r="BM9" s="60"/>
      <c r="BN9" s="65">
        <f t="shared" si="32"/>
        <v>0</v>
      </c>
      <c r="BO9" s="60"/>
      <c r="BP9" s="65">
        <f t="shared" si="33"/>
        <v>0</v>
      </c>
      <c r="BQ9" s="60"/>
      <c r="BR9" s="65">
        <f t="shared" si="34"/>
        <v>0</v>
      </c>
      <c r="BS9" s="60"/>
      <c r="BT9" s="65">
        <f t="shared" si="35"/>
        <v>0</v>
      </c>
      <c r="BU9" s="60"/>
      <c r="BV9" s="65">
        <f t="shared" si="36"/>
        <v>0</v>
      </c>
      <c r="BW9" s="60"/>
      <c r="BX9" s="65">
        <f t="shared" si="37"/>
        <v>0</v>
      </c>
      <c r="BY9" s="60"/>
      <c r="BZ9" s="67">
        <f t="shared" si="38"/>
        <v>0</v>
      </c>
      <c r="CA9" s="60"/>
      <c r="CB9" s="67">
        <f t="shared" si="39"/>
        <v>0</v>
      </c>
      <c r="CC9" s="60"/>
      <c r="CD9" s="67">
        <f t="shared" si="40"/>
        <v>0</v>
      </c>
      <c r="CE9" s="60"/>
      <c r="CF9" s="67">
        <f t="shared" si="41"/>
        <v>0</v>
      </c>
      <c r="CG9" s="60"/>
      <c r="CH9" s="67">
        <f t="shared" si="42"/>
        <v>0</v>
      </c>
      <c r="CI9" s="60"/>
      <c r="CJ9" s="67">
        <f t="shared" si="43"/>
        <v>0</v>
      </c>
      <c r="CK9" s="60"/>
      <c r="CL9" s="64">
        <f t="shared" si="44"/>
        <v>0</v>
      </c>
      <c r="CM9" s="65">
        <f t="shared" si="45"/>
        <v>0</v>
      </c>
      <c r="CN9" s="62"/>
      <c r="CO9" s="62"/>
      <c r="CP9" s="68"/>
      <c r="CQ9" s="67">
        <f t="shared" si="46"/>
        <v>0</v>
      </c>
      <c r="CR9" s="68"/>
      <c r="CS9" s="67">
        <f t="shared" si="47"/>
        <v>0</v>
      </c>
      <c r="CT9" s="75"/>
      <c r="CU9" s="67">
        <f t="shared" si="48"/>
        <v>0</v>
      </c>
      <c r="CV9" s="68"/>
      <c r="CW9" s="67">
        <f t="shared" si="49"/>
        <v>0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 t="shared" si="8"/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E17" sqref="E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/>
      <c r="D10" s="40"/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-219</v>
      </c>
    </row>
    <row r="12" spans="1:20" x14ac:dyDescent="0.25">
      <c r="A12" s="73">
        <v>44566</v>
      </c>
      <c r="B12" s="40">
        <v>0</v>
      </c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44567</v>
      </c>
      <c r="B13" s="40">
        <v>0</v>
      </c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44569</v>
      </c>
      <c r="B15" s="40">
        <v>0</v>
      </c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44570</v>
      </c>
      <c r="B16" s="40">
        <v>0</v>
      </c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44571</v>
      </c>
      <c r="B17" s="40">
        <v>0</v>
      </c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44572</v>
      </c>
      <c r="B18" s="40">
        <v>0</v>
      </c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44573</v>
      </c>
      <c r="B19" s="40">
        <v>0</v>
      </c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44574</v>
      </c>
      <c r="B20" s="40">
        <v>0</v>
      </c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44575</v>
      </c>
      <c r="B21" s="40">
        <v>0</v>
      </c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44576</v>
      </c>
      <c r="B22" s="40">
        <v>0</v>
      </c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44577</v>
      </c>
      <c r="B23" s="40">
        <v>0</v>
      </c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2022-01-04T17:45:10Z</dcterms:modified>
</cp:coreProperties>
</file>