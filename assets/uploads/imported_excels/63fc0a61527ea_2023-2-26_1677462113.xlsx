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sahiko.uchida\Documents\"/>
    </mc:Choice>
  </mc:AlternateContent>
  <bookViews>
    <workbookView xWindow="0" yWindow="0" windowWidth="20490" windowHeight="7620" tabRatio="620"/>
  </bookViews>
  <sheets>
    <sheet name="TOTAL" sheetId="117" r:id="rId1"/>
    <sheet name="2022.12" sheetId="120" r:id="rId2"/>
  </sheets>
  <definedNames>
    <definedName name="_xlnm.Print_Area" localSheetId="1">'2022.12'!$A$1:$M$43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9" i="120" l="1"/>
  <c r="K39" i="120"/>
  <c r="J39" i="120"/>
  <c r="H39" i="120"/>
  <c r="G39" i="120"/>
  <c r="F39" i="120"/>
  <c r="D39" i="120"/>
  <c r="F3" i="120"/>
</calcChain>
</file>

<file path=xl/sharedStrings.xml><?xml version="1.0" encoding="utf-8"?>
<sst xmlns="http://schemas.openxmlformats.org/spreadsheetml/2006/main" count="153" uniqueCount="85">
  <si>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</si>
  <si>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</si>
  <si>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</si>
  <si>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</si>
  <si>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</si>
  <si>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</si>
  <si>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</si>
  <si>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</si>
  <si>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</si>
  <si>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</si>
  <si>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</si>
  <si>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</si>
  <si>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2022年</t>
  </si>
  <si>
    <t>メーター検針表</t>
    <phoneticPr fontId="3"/>
  </si>
  <si>
    <t>12月</t>
  </si>
  <si>
    <t>曜日</t>
    <rPh sb="0" eb="2">
      <t>ヨウビ</t>
    </rPh>
    <phoneticPr fontId="3"/>
  </si>
  <si>
    <t>時間</t>
    <rPh sb="0" eb="2">
      <t>ジカン</t>
    </rPh>
    <phoneticPr fontId="3"/>
  </si>
  <si>
    <t>電気使用量（全日電力）</t>
    <rPh sb="0" eb="2">
      <t>デンキ</t>
    </rPh>
    <rPh sb="2" eb="4">
      <t>シヨウ</t>
    </rPh>
    <rPh sb="4" eb="5">
      <t>リョウ</t>
    </rPh>
    <rPh sb="6" eb="7">
      <t>ゼン</t>
    </rPh>
    <rPh sb="7" eb="8">
      <t>ヒ</t>
    </rPh>
    <rPh sb="8" eb="10">
      <t>デンリョク</t>
    </rPh>
    <phoneticPr fontId="3"/>
  </si>
  <si>
    <r>
      <rPr>
        <b/>
        <sz val="10"/>
        <color theme="1"/>
        <rFont val="Calibri"/>
        <family val="3"/>
        <charset val="128"/>
        <scheme val="minor"/>
      </rPr>
      <t xml:space="preserve">デマンド
</t>
    </r>
    <r>
      <rPr>
        <b/>
        <sz val="11"/>
        <color theme="1"/>
        <rFont val="Calibri"/>
        <family val="3"/>
        <charset val="128"/>
        <scheme val="minor"/>
      </rPr>
      <t xml:space="preserve">
</t>
    </r>
    <r>
      <rPr>
        <sz val="9"/>
        <color theme="1"/>
        <rFont val="Calibri"/>
        <family val="3"/>
        <charset val="128"/>
        <scheme val="minor"/>
      </rPr>
      <t>(6.77)</t>
    </r>
  </si>
  <si>
    <t>ガス使用量</t>
    <rPh sb="2" eb="4">
      <t>シヨウ</t>
    </rPh>
    <rPh sb="4" eb="5">
      <t>リョウ</t>
    </rPh>
    <phoneticPr fontId="3"/>
  </si>
  <si>
    <t>水道使用量</t>
    <phoneticPr fontId="3"/>
  </si>
  <si>
    <t>指針</t>
    <rPh sb="0" eb="2">
      <t>シシン</t>
    </rPh>
    <phoneticPr fontId="3"/>
  </si>
  <si>
    <t>使用量</t>
    <rPh sb="0" eb="3">
      <t>シヨウリョウ</t>
    </rPh>
    <phoneticPr fontId="3"/>
  </si>
  <si>
    <t>前月指針</t>
    <rPh sb="0" eb="2">
      <t>ゼンゲツ</t>
    </rPh>
    <rPh sb="2" eb="4">
      <t>シシン</t>
    </rPh>
    <phoneticPr fontId="3"/>
  </si>
  <si>
    <t>01日</t>
  </si>
  <si>
    <t>木</t>
  </si>
  <si>
    <t>11:10</t>
  </si>
  <si>
    <t>02日</t>
  </si>
  <si>
    <t>金</t>
  </si>
  <si>
    <t>09:12</t>
  </si>
  <si>
    <t>03日</t>
  </si>
  <si>
    <t>土</t>
  </si>
  <si>
    <t>09:14</t>
  </si>
  <si>
    <t>04日</t>
  </si>
  <si>
    <t>日</t>
  </si>
  <si>
    <t>09:10</t>
  </si>
  <si>
    <t>05日</t>
  </si>
  <si>
    <t>月</t>
  </si>
  <si>
    <t>09:18</t>
  </si>
  <si>
    <t>06日</t>
  </si>
  <si>
    <t>火</t>
  </si>
  <si>
    <t>09:19</t>
  </si>
  <si>
    <t>07日</t>
  </si>
  <si>
    <t>水</t>
  </si>
  <si>
    <t>09:05</t>
  </si>
  <si>
    <t>08日</t>
  </si>
  <si>
    <t>09:20</t>
  </si>
  <si>
    <t>09日</t>
  </si>
  <si>
    <t>09:03</t>
  </si>
  <si>
    <t>10日</t>
  </si>
  <si>
    <t>09:16</t>
  </si>
  <si>
    <t>11日</t>
  </si>
  <si>
    <t>12日</t>
  </si>
  <si>
    <t>09:00</t>
  </si>
  <si>
    <t>13日</t>
  </si>
  <si>
    <t>09:08</t>
  </si>
  <si>
    <t>14日</t>
  </si>
  <si>
    <t>15日</t>
  </si>
  <si>
    <t>09:09</t>
  </si>
  <si>
    <t>16日</t>
  </si>
  <si>
    <t>09:21</t>
  </si>
  <si>
    <t>17日</t>
  </si>
  <si>
    <t>18日</t>
  </si>
  <si>
    <t>19日</t>
  </si>
  <si>
    <t>20日</t>
  </si>
  <si>
    <t>21日</t>
  </si>
  <si>
    <t>11:08</t>
  </si>
  <si>
    <t>22日</t>
  </si>
  <si>
    <t>23日</t>
  </si>
  <si>
    <t>24日</t>
  </si>
  <si>
    <t>25日</t>
  </si>
  <si>
    <t>09:11</t>
  </si>
  <si>
    <t>26日</t>
  </si>
  <si>
    <t>09:28</t>
  </si>
  <si>
    <t>27日</t>
  </si>
  <si>
    <t>28日</t>
  </si>
  <si>
    <t>29日</t>
  </si>
  <si>
    <t>10:14</t>
  </si>
  <si>
    <t>30日</t>
  </si>
  <si>
    <t>09:15</t>
  </si>
  <si>
    <t>31日</t>
  </si>
  <si>
    <t>合計</t>
    <rPh sb="0" eb="2">
      <t>ゴウケイ</t>
    </rPh>
    <phoneticPr fontId="3"/>
  </si>
  <si>
    <t>備考</t>
    <rPh sb="0" eb="2">
      <t>ビコウ</t>
    </rPh>
    <phoneticPr fontId="3"/>
  </si>
  <si>
    <t>※2019/8/19　水道元メーター交換　旧メーター（番号174）273379.7　新メーター（番号111）7.0</t>
    <rPh sb="11" eb="13">
      <t>スイドウ</t>
    </rPh>
    <rPh sb="13" eb="14">
      <t>モト</t>
    </rPh>
    <rPh sb="18" eb="20">
      <t>コウカン</t>
    </rPh>
    <rPh sb="21" eb="22">
      <t>キュウ</t>
    </rPh>
    <rPh sb="27" eb="29">
      <t>バンゴウ</t>
    </rPh>
    <rPh sb="42" eb="43">
      <t>シン</t>
    </rPh>
    <rPh sb="48" eb="50">
      <t>バンゴウ</t>
    </rPh>
    <phoneticPr fontId="3"/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</si>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</sst>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;;;"/>
    <numFmt numFmtId="167" formatCode="0.00_ "/>
    <numFmt numFmtId="168" formatCode="0_ "/>
    <numFmt numFmtId="169" formatCode="0.0_ "/>
    <numFmt numFmtId="170" formatCode="#,##0.0;[Red]\-#,##0.0"/>
  </numFmts>
  <fonts count="1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20"/>
      <color theme="1"/>
      <name val="Calibri"/>
      <family val="3"/>
      <charset val="128"/>
      <scheme val="minor"/>
    </font>
    <font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b/>
      <sz val="10"/>
      <color theme="1"/>
      <name val="Calibri"/>
      <family val="3"/>
      <charset val="128"/>
      <scheme val="minor"/>
    </font>
    <font>
      <sz val="9"/>
      <color theme="1"/>
      <name val="Calibri"/>
      <family val="3"/>
      <charset val="128"/>
      <scheme val="minor"/>
    </font>
    <font>
      <sz val="11"/>
      <name val="Calibri"/>
      <family val="2"/>
      <charset val="128"/>
      <scheme val="minor"/>
    </font>
    <font>
      <sz val="11"/>
      <name val="Calibri"/>
      <family val="3"/>
      <charset val="128"/>
      <scheme val="minor"/>
    </font>
    <font>
      <sz val="11"/>
      <color rgb="FFFF0000"/>
      <name val="Calibri"/>
      <family val="2"/>
      <charset val="128"/>
      <scheme val="minor"/>
    </font>
    <font>
      <sz val="11"/>
      <color rgb="FFFF0000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 diagonalUp="1"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hair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4">
    <xf numFmtId="0" fontId="0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</cellStyleXfs>
  <cellXfs count="72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10" fillId="0" borderId="0" xfId="12" applyFont="1">
      <alignment vertical="center"/>
    </xf>
    <xf numFmtId="0" fontId="10" fillId="0" borderId="0" xfId="12" applyFont="1" applyAlignment="1">
      <alignment horizontal="right" vertical="center"/>
    </xf>
    <xf numFmtId="166" fontId="11" fillId="0" borderId="0" xfId="12" applyNumberFormat="1" applyFont="1">
      <alignment vertical="center"/>
    </xf>
    <xf numFmtId="0" fontId="9" fillId="0" borderId="0" xfId="12">
      <alignment vertical="center"/>
    </xf>
    <xf numFmtId="0" fontId="9" fillId="0" borderId="4" xfId="12" applyBorder="1">
      <alignment vertical="center"/>
    </xf>
    <xf numFmtId="0" fontId="9" fillId="0" borderId="10" xfId="12" applyBorder="1">
      <alignment vertical="center"/>
    </xf>
    <xf numFmtId="0" fontId="9" fillId="0" borderId="12" xfId="12" applyBorder="1" applyAlignment="1">
      <alignment horizontal="center" vertical="center"/>
    </xf>
    <xf numFmtId="0" fontId="9" fillId="0" borderId="15" xfId="12" applyBorder="1" applyAlignment="1">
      <alignment horizontal="center" vertical="center"/>
    </xf>
    <xf numFmtId="0" fontId="9" fillId="0" borderId="4" xfId="12" applyBorder="1" applyAlignment="1">
      <alignment horizontal="right" vertical="center" shrinkToFit="1"/>
    </xf>
    <xf numFmtId="0" fontId="15" fillId="0" borderId="1" xfId="12" applyFont="1" applyBorder="1" applyAlignment="1">
      <alignment horizontal="center" vertical="center" shrinkToFit="1"/>
    </xf>
    <xf numFmtId="20" fontId="9" fillId="0" borderId="4" xfId="12" applyNumberFormat="1" applyBorder="1" applyAlignment="1">
      <alignment horizontal="center" vertical="center" shrinkToFit="1"/>
    </xf>
    <xf numFmtId="167" fontId="9" fillId="0" borderId="20" xfId="12" applyNumberFormat="1" applyBorder="1" applyAlignment="1">
      <alignment horizontal="center" vertical="center" shrinkToFit="1"/>
    </xf>
    <xf numFmtId="0" fontId="9" fillId="0" borderId="21" xfId="12" applyBorder="1" applyAlignment="1">
      <alignment vertical="center" shrinkToFit="1"/>
    </xf>
    <xf numFmtId="168" fontId="9" fillId="0" borderId="20" xfId="12" applyNumberFormat="1" applyBorder="1" applyAlignment="1">
      <alignment horizontal="center" vertical="center" shrinkToFit="1"/>
    </xf>
    <xf numFmtId="169" fontId="9" fillId="0" borderId="20" xfId="12" applyNumberFormat="1" applyBorder="1" applyAlignment="1">
      <alignment horizontal="center" vertical="center" shrinkToFit="1"/>
    </xf>
    <xf numFmtId="20" fontId="9" fillId="0" borderId="16" xfId="12" applyNumberFormat="1" applyBorder="1" applyAlignment="1">
      <alignment horizontal="center" vertical="center" shrinkToFit="1"/>
    </xf>
    <xf numFmtId="0" fontId="9" fillId="0" borderId="25" xfId="12" applyBorder="1" applyAlignment="1">
      <alignment vertical="center" shrinkToFit="1"/>
    </xf>
    <xf numFmtId="0" fontId="9" fillId="0" borderId="27" xfId="12" applyBorder="1" applyAlignment="1">
      <alignment horizontal="center" vertical="center" shrinkToFit="1"/>
    </xf>
    <xf numFmtId="0" fontId="16" fillId="0" borderId="1" xfId="12" applyFont="1" applyBorder="1" applyAlignment="1">
      <alignment horizontal="center" vertical="center" shrinkToFit="1"/>
    </xf>
    <xf numFmtId="20" fontId="9" fillId="0" borderId="10" xfId="12" applyNumberFormat="1" applyBorder="1" applyAlignment="1">
      <alignment horizontal="center" vertical="center" shrinkToFit="1"/>
    </xf>
    <xf numFmtId="167" fontId="9" fillId="0" borderId="13" xfId="12" applyNumberFormat="1" applyBorder="1" applyAlignment="1">
      <alignment horizontal="center" vertical="center" shrinkToFit="1"/>
    </xf>
    <xf numFmtId="0" fontId="9" fillId="0" borderId="28" xfId="12" applyBorder="1" applyAlignment="1">
      <alignment vertical="center" shrinkToFit="1"/>
    </xf>
    <xf numFmtId="38" fontId="0" fillId="0" borderId="29" xfId="13" applyFont="1" applyFill="1" applyBorder="1" applyAlignment="1">
      <alignment horizontal="right" vertical="center"/>
    </xf>
    <xf numFmtId="38" fontId="0" fillId="0" borderId="29" xfId="13" applyFont="1" applyBorder="1">
      <alignment vertical="center"/>
    </xf>
    <xf numFmtId="40" fontId="0" fillId="0" borderId="32" xfId="13" applyNumberFormat="1" applyFont="1" applyBorder="1">
      <alignment vertical="center"/>
    </xf>
    <xf numFmtId="38" fontId="0" fillId="0" borderId="33" xfId="13" applyFont="1" applyBorder="1">
      <alignment vertical="center"/>
    </xf>
    <xf numFmtId="38" fontId="0" fillId="0" borderId="0" xfId="13" applyFont="1">
      <alignment vertical="center"/>
    </xf>
    <xf numFmtId="0" fontId="9" fillId="0" borderId="6" xfId="12" applyBorder="1" applyAlignment="1">
      <alignment horizontal="center" vertical="center" shrinkToFit="1"/>
    </xf>
    <xf numFmtId="0" fontId="9" fillId="0" borderId="11" xfId="12" applyBorder="1" applyAlignment="1">
      <alignment horizontal="center" vertical="center" shrinkToFit="1"/>
    </xf>
    <xf numFmtId="0" fontId="9" fillId="0" borderId="7" xfId="12" applyBorder="1" applyAlignment="1">
      <alignment horizontal="center" vertical="center" shrinkToFit="1"/>
    </xf>
    <xf numFmtId="0" fontId="9" fillId="0" borderId="16" xfId="12" applyBorder="1" applyAlignment="1">
      <alignment horizontal="center" vertical="center" shrinkToFit="1"/>
    </xf>
    <xf numFmtId="0" fontId="9" fillId="0" borderId="17" xfId="12" applyBorder="1" applyAlignment="1">
      <alignment horizontal="center" vertical="center" shrinkToFit="1"/>
    </xf>
    <xf numFmtId="0" fontId="9" fillId="0" borderId="18" xfId="12" applyBorder="1" applyAlignment="1">
      <alignment horizontal="center" vertical="center" shrinkToFit="1"/>
    </xf>
    <xf numFmtId="0" fontId="9" fillId="0" borderId="19" xfId="12" applyBorder="1" applyAlignment="1">
      <alignment horizontal="center" vertical="center" shrinkToFit="1"/>
    </xf>
    <xf numFmtId="0" fontId="9" fillId="0" borderId="22" xfId="12" applyBorder="1" applyAlignment="1">
      <alignment horizontal="center" vertical="center" shrinkToFit="1"/>
    </xf>
    <xf numFmtId="0" fontId="9" fillId="0" borderId="23" xfId="12" applyBorder="1" applyAlignment="1">
      <alignment horizontal="center" vertical="center" shrinkToFit="1"/>
    </xf>
    <xf numFmtId="0" fontId="9" fillId="0" borderId="24" xfId="12" applyBorder="1" applyAlignment="1">
      <alignment horizontal="center" vertical="center" shrinkToFit="1"/>
    </xf>
    <xf numFmtId="0" fontId="9" fillId="0" borderId="5" xfId="12" applyBorder="1" applyAlignment="1">
      <alignment horizontal="center" vertical="center"/>
    </xf>
    <xf numFmtId="0" fontId="9" fillId="0" borderId="2" xfId="12" applyBorder="1" applyAlignment="1">
      <alignment horizontal="center" vertical="center"/>
    </xf>
    <xf numFmtId="0" fontId="12" fillId="0" borderId="8" xfId="12" applyFont="1" applyBorder="1" applyAlignment="1">
      <alignment horizontal="center" vertical="center" wrapText="1"/>
    </xf>
    <xf numFmtId="0" fontId="12" fillId="0" borderId="13" xfId="12" applyFont="1" applyBorder="1" applyAlignment="1">
      <alignment horizontal="center" vertical="center"/>
    </xf>
    <xf numFmtId="0" fontId="12" fillId="0" borderId="3" xfId="12" applyFont="1" applyBorder="1" applyAlignment="1">
      <alignment horizontal="center" vertical="center"/>
    </xf>
    <xf numFmtId="0" fontId="9" fillId="0" borderId="9" xfId="12" applyBorder="1" applyAlignment="1">
      <alignment horizontal="center" vertical="center"/>
    </xf>
    <xf numFmtId="0" fontId="9" fillId="0" borderId="8" xfId="12" applyBorder="1" applyAlignment="1">
      <alignment horizontal="center" vertical="center"/>
    </xf>
    <xf numFmtId="0" fontId="9" fillId="0" borderId="6" xfId="12" applyBorder="1" applyAlignment="1">
      <alignment horizontal="center" vertical="center"/>
    </xf>
    <xf numFmtId="0" fontId="9" fillId="0" borderId="11" xfId="12" applyBorder="1" applyAlignment="1">
      <alignment horizontal="center" vertical="center"/>
    </xf>
    <xf numFmtId="0" fontId="9" fillId="0" borderId="7" xfId="12" applyBorder="1" applyAlignment="1">
      <alignment horizontal="center" vertical="center"/>
    </xf>
    <xf numFmtId="0" fontId="9" fillId="0" borderId="14" xfId="12" applyBorder="1" applyAlignment="1">
      <alignment horizontal="center" vertical="center"/>
    </xf>
    <xf numFmtId="0" fontId="9" fillId="0" borderId="12" xfId="12" applyBorder="1" applyAlignment="1">
      <alignment horizontal="center" vertical="center"/>
    </xf>
    <xf numFmtId="0" fontId="9" fillId="0" borderId="26" xfId="12" applyBorder="1" applyAlignment="1">
      <alignment horizontal="center" vertical="center" shrinkToFit="1"/>
    </xf>
    <xf numFmtId="38" fontId="0" fillId="0" borderId="30" xfId="13" applyFont="1" applyBorder="1" applyAlignment="1">
      <alignment horizontal="center" vertical="center" shrinkToFit="1"/>
    </xf>
    <xf numFmtId="38" fontId="0" fillId="0" borderId="31" xfId="13" applyFont="1" applyBorder="1" applyAlignment="1">
      <alignment horizontal="center" vertical="center" shrinkToFit="1"/>
    </xf>
    <xf numFmtId="170" fontId="0" fillId="0" borderId="30" xfId="13" applyNumberFormat="1" applyFont="1" applyBorder="1" applyAlignment="1">
      <alignment horizontal="center" vertical="center" shrinkToFit="1"/>
    </xf>
    <xf numFmtId="170" fontId="0" fillId="0" borderId="31" xfId="13" applyNumberFormat="1" applyFont="1" applyBorder="1" applyAlignment="1">
      <alignment horizontal="center" vertical="center" shrinkToFit="1"/>
    </xf>
    <xf numFmtId="0" fontId="17" fillId="0" borderId="4" xfId="12" applyFont="1" applyBorder="1" applyAlignment="1">
      <alignment horizontal="left" vertical="center" shrinkToFit="1"/>
    </xf>
    <xf numFmtId="0" fontId="18" fillId="0" borderId="9" xfId="12" applyFont="1" applyBorder="1" applyAlignment="1">
      <alignment horizontal="left" vertical="center" shrinkToFit="1"/>
    </xf>
    <xf numFmtId="0" fontId="18" fillId="0" borderId="8" xfId="12" applyFont="1" applyBorder="1" applyAlignment="1">
      <alignment horizontal="left" vertical="center" shrinkToFit="1"/>
    </xf>
    <xf numFmtId="0" fontId="18" fillId="0" borderId="34" xfId="12" applyFont="1" applyBorder="1" applyAlignment="1">
      <alignment horizontal="left" vertical="center" shrinkToFit="1"/>
    </xf>
    <xf numFmtId="0" fontId="18" fillId="0" borderId="35" xfId="12" applyFont="1" applyBorder="1" applyAlignment="1">
      <alignment horizontal="left" vertical="center" shrinkToFit="1"/>
    </xf>
    <xf numFmtId="0" fontId="18" fillId="0" borderId="3" xfId="12" applyFont="1" applyBorder="1" applyAlignment="1">
      <alignment horizontal="left" vertical="center" shrinkToFit="1"/>
    </xf>
  </cellXfs>
  <cellStyles count="14">
    <cellStyle name="Comma [0] 2" xfId="13"/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2.75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84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 ht="15">
      <c r="A2" s="6" t="s">
        <v>11</v>
      </c>
      <c r="B2" s="7">
        <v>1</v>
      </c>
      <c r="C2" s="8">
        <v>11</v>
      </c>
      <c r="D2" s="7">
        <v>2021</v>
      </c>
      <c r="E2" s="9">
        <v>15574</v>
      </c>
      <c r="F2" s="11">
        <v>15.72</v>
      </c>
      <c r="G2" s="9">
        <v>1556</v>
      </c>
      <c r="H2" s="11">
        <v>58.2</v>
      </c>
      <c r="I2" s="9">
        <v>190</v>
      </c>
      <c r="J2" s="10">
        <v>289</v>
      </c>
      <c r="K2" s="9"/>
      <c r="L2" s="9"/>
    </row>
    <row r="3" spans="1:12" ht="15">
      <c r="A3" s="6" t="s">
        <v>11</v>
      </c>
      <c r="B3" s="7">
        <v>2</v>
      </c>
      <c r="C3" s="8">
        <v>11</v>
      </c>
      <c r="D3" s="7">
        <v>2021</v>
      </c>
      <c r="E3" s="9">
        <v>14707</v>
      </c>
      <c r="F3" s="11">
        <v>15.72</v>
      </c>
      <c r="G3" s="9">
        <v>1397</v>
      </c>
      <c r="H3" s="11">
        <v>58.2</v>
      </c>
      <c r="I3" s="9">
        <v>162</v>
      </c>
      <c r="J3" s="10">
        <v>289</v>
      </c>
      <c r="K3" s="9"/>
      <c r="L3" s="9"/>
    </row>
    <row r="4" spans="1:12" ht="15">
      <c r="A4" s="6" t="s">
        <v>11</v>
      </c>
      <c r="B4" s="7">
        <v>3</v>
      </c>
      <c r="C4" s="8">
        <v>11</v>
      </c>
      <c r="D4" s="7">
        <v>2021</v>
      </c>
      <c r="E4" s="9">
        <v>15031</v>
      </c>
      <c r="F4" s="11">
        <v>15.72</v>
      </c>
      <c r="G4" s="9">
        <v>1467</v>
      </c>
      <c r="H4" s="11">
        <v>58.2</v>
      </c>
      <c r="I4" s="9">
        <v>208</v>
      </c>
      <c r="J4" s="10">
        <v>289</v>
      </c>
      <c r="K4" s="9"/>
      <c r="L4" s="9"/>
    </row>
    <row r="5" spans="1:12" ht="15">
      <c r="A5" s="6" t="s">
        <v>11</v>
      </c>
      <c r="B5" s="7">
        <v>4</v>
      </c>
      <c r="C5" s="8">
        <v>11</v>
      </c>
      <c r="D5" s="7">
        <v>2021</v>
      </c>
      <c r="E5" s="9">
        <v>15032</v>
      </c>
      <c r="F5" s="11">
        <v>15.72</v>
      </c>
      <c r="G5" s="9">
        <v>1504</v>
      </c>
      <c r="H5" s="11">
        <v>58.2</v>
      </c>
      <c r="I5" s="9">
        <v>162</v>
      </c>
      <c r="J5" s="10">
        <v>289</v>
      </c>
      <c r="K5" s="9"/>
      <c r="L5" s="9"/>
    </row>
    <row r="6" spans="1:12" ht="15">
      <c r="A6" s="6" t="s">
        <v>11</v>
      </c>
      <c r="B6" s="7">
        <v>5</v>
      </c>
      <c r="C6" s="8">
        <v>11</v>
      </c>
      <c r="D6" s="7">
        <v>2021</v>
      </c>
      <c r="E6" s="9">
        <v>14670</v>
      </c>
      <c r="F6" s="11">
        <v>15.72</v>
      </c>
      <c r="G6" s="9">
        <v>1477</v>
      </c>
      <c r="H6" s="11">
        <v>58.2</v>
      </c>
      <c r="I6" s="9">
        <v>161</v>
      </c>
      <c r="J6" s="10">
        <v>289</v>
      </c>
      <c r="K6" s="9"/>
      <c r="L6" s="9"/>
    </row>
    <row r="7" spans="1:12" ht="15">
      <c r="A7" s="6" t="s">
        <v>11</v>
      </c>
      <c r="B7" s="7">
        <v>6</v>
      </c>
      <c r="C7" s="8">
        <v>11</v>
      </c>
      <c r="D7" s="7">
        <v>2021</v>
      </c>
      <c r="E7" s="9">
        <v>15875</v>
      </c>
      <c r="F7" s="11">
        <v>15.72</v>
      </c>
      <c r="G7" s="9">
        <v>1761</v>
      </c>
      <c r="H7" s="11">
        <v>58.2</v>
      </c>
      <c r="I7" s="9">
        <v>219</v>
      </c>
      <c r="J7" s="10">
        <v>289</v>
      </c>
      <c r="K7" s="9"/>
      <c r="L7" s="9"/>
    </row>
    <row r="8" spans="1:12" ht="15">
      <c r="A8" s="6" t="s">
        <v>11</v>
      </c>
      <c r="B8" s="7">
        <v>7</v>
      </c>
      <c r="C8" s="8">
        <v>11</v>
      </c>
      <c r="D8" s="7">
        <v>2021</v>
      </c>
      <c r="E8" s="9">
        <v>15829</v>
      </c>
      <c r="F8" s="11">
        <v>15.72</v>
      </c>
      <c r="G8" s="9">
        <v>1610</v>
      </c>
      <c r="H8" s="11">
        <v>58.2</v>
      </c>
      <c r="I8" s="9">
        <v>240</v>
      </c>
      <c r="J8" s="10">
        <v>289</v>
      </c>
      <c r="K8" s="9"/>
      <c r="L8" s="9"/>
    </row>
    <row r="9" spans="1:12" ht="15">
      <c r="A9" s="6" t="s">
        <v>11</v>
      </c>
      <c r="B9" s="7">
        <v>8</v>
      </c>
      <c r="C9" s="8">
        <v>11</v>
      </c>
      <c r="D9" s="7">
        <v>2021</v>
      </c>
      <c r="E9" s="9">
        <v>14714</v>
      </c>
      <c r="F9" s="11">
        <v>15.72</v>
      </c>
      <c r="G9" s="9">
        <v>1330</v>
      </c>
      <c r="H9" s="11">
        <v>58.2</v>
      </c>
      <c r="I9" s="9">
        <v>180</v>
      </c>
      <c r="J9" s="10">
        <v>289</v>
      </c>
      <c r="K9" s="9"/>
      <c r="L9" s="9"/>
    </row>
    <row r="10" spans="1:12" ht="15">
      <c r="A10" s="6" t="s">
        <v>11</v>
      </c>
      <c r="B10" s="7">
        <v>9</v>
      </c>
      <c r="C10" s="8">
        <v>11</v>
      </c>
      <c r="D10" s="7">
        <v>2021</v>
      </c>
      <c r="E10" s="9">
        <v>15148</v>
      </c>
      <c r="F10" s="11">
        <v>15.72</v>
      </c>
      <c r="G10" s="9">
        <v>1338</v>
      </c>
      <c r="H10" s="11">
        <v>58.2</v>
      </c>
      <c r="I10" s="9">
        <v>129</v>
      </c>
      <c r="J10" s="10">
        <v>289</v>
      </c>
      <c r="K10" s="9"/>
      <c r="L10" s="9"/>
    </row>
    <row r="11" spans="1:12" ht="15">
      <c r="A11" s="6" t="s">
        <v>11</v>
      </c>
      <c r="B11" s="7">
        <v>10</v>
      </c>
      <c r="C11" s="8">
        <v>11</v>
      </c>
      <c r="D11" s="7">
        <v>2021</v>
      </c>
      <c r="E11" s="9">
        <v>13850</v>
      </c>
      <c r="F11" s="11">
        <v>15.72</v>
      </c>
      <c r="G11" s="9">
        <v>1484</v>
      </c>
      <c r="H11" s="11">
        <v>58.2</v>
      </c>
      <c r="I11" s="9">
        <v>155</v>
      </c>
      <c r="J11" s="10">
        <v>289</v>
      </c>
      <c r="K11" s="9"/>
      <c r="L11" s="9"/>
    </row>
    <row r="12" spans="1:12" ht="15">
      <c r="A12" s="6" t="s">
        <v>11</v>
      </c>
      <c r="B12" s="7">
        <v>11</v>
      </c>
      <c r="C12" s="8">
        <v>11</v>
      </c>
      <c r="D12" s="7">
        <v>2021</v>
      </c>
      <c r="E12" s="9">
        <v>14308</v>
      </c>
      <c r="F12" s="11">
        <v>15.72</v>
      </c>
      <c r="G12" s="9">
        <v>1563</v>
      </c>
      <c r="H12" s="11">
        <v>58.2</v>
      </c>
      <c r="I12" s="9">
        <v>157</v>
      </c>
      <c r="J12" s="10">
        <v>289</v>
      </c>
      <c r="K12" s="9"/>
      <c r="L12" s="9"/>
    </row>
    <row r="13" spans="1:12" ht="15">
      <c r="A13" s="6" t="s">
        <v>11</v>
      </c>
      <c r="B13" s="7">
        <v>12</v>
      </c>
      <c r="C13" s="8">
        <v>11</v>
      </c>
      <c r="D13" s="7">
        <v>2021</v>
      </c>
      <c r="E13" s="9">
        <v>14595</v>
      </c>
      <c r="F13" s="11">
        <v>15.72</v>
      </c>
      <c r="G13" s="9">
        <v>1776</v>
      </c>
      <c r="H13" s="11">
        <v>58.2</v>
      </c>
      <c r="I13" s="9">
        <v>155</v>
      </c>
      <c r="J13" s="10">
        <v>289</v>
      </c>
      <c r="K13" s="9"/>
      <c r="L13" s="9"/>
    </row>
    <row r="14" spans="1:12" ht="15">
      <c r="A14" s="6" t="s">
        <v>11</v>
      </c>
      <c r="B14" s="7">
        <v>13</v>
      </c>
      <c r="C14" s="8">
        <v>11</v>
      </c>
      <c r="D14" s="7">
        <v>2021</v>
      </c>
      <c r="E14" s="9">
        <v>15267</v>
      </c>
      <c r="F14" s="11">
        <v>15.72</v>
      </c>
      <c r="G14" s="9">
        <v>2006</v>
      </c>
      <c r="H14" s="11">
        <v>58.2</v>
      </c>
      <c r="I14" s="9">
        <v>203</v>
      </c>
      <c r="J14" s="10">
        <v>289</v>
      </c>
      <c r="K14" s="9"/>
      <c r="L14" s="9"/>
    </row>
    <row r="15" spans="1:12" ht="15">
      <c r="A15" s="6" t="s">
        <v>11</v>
      </c>
      <c r="B15" s="7">
        <v>14</v>
      </c>
      <c r="C15" s="8">
        <v>11</v>
      </c>
      <c r="D15" s="7">
        <v>2021</v>
      </c>
      <c r="E15" s="9">
        <v>16217</v>
      </c>
      <c r="F15" s="11">
        <v>15.72</v>
      </c>
      <c r="G15" s="9">
        <v>2230</v>
      </c>
      <c r="H15" s="11">
        <v>58.2</v>
      </c>
      <c r="I15" s="9">
        <v>241</v>
      </c>
      <c r="J15" s="10">
        <v>289</v>
      </c>
      <c r="K15" s="9"/>
      <c r="L15" s="9"/>
    </row>
    <row r="16" spans="1:12" ht="15">
      <c r="A16" s="6" t="s">
        <v>11</v>
      </c>
      <c r="B16" s="7">
        <v>15</v>
      </c>
      <c r="C16" s="8">
        <v>11</v>
      </c>
      <c r="D16" s="7">
        <v>2021</v>
      </c>
      <c r="E16" s="9">
        <v>15494</v>
      </c>
      <c r="F16" s="11">
        <v>15.72</v>
      </c>
      <c r="G16" s="9">
        <v>2042</v>
      </c>
      <c r="H16" s="11">
        <v>58.2</v>
      </c>
      <c r="I16" s="9">
        <v>204</v>
      </c>
      <c r="J16" s="10">
        <v>289</v>
      </c>
      <c r="K16" s="9"/>
      <c r="L16" s="9"/>
    </row>
    <row r="17" spans="1:12" ht="15">
      <c r="A17" s="6" t="s">
        <v>11</v>
      </c>
      <c r="B17" s="7">
        <v>16</v>
      </c>
      <c r="C17" s="8">
        <v>11</v>
      </c>
      <c r="D17" s="7">
        <v>2021</v>
      </c>
      <c r="E17" s="9">
        <v>14457</v>
      </c>
      <c r="F17" s="11">
        <v>15.72</v>
      </c>
      <c r="G17" s="9">
        <v>1846</v>
      </c>
      <c r="H17" s="11">
        <v>58.2</v>
      </c>
      <c r="I17" s="9">
        <v>193</v>
      </c>
      <c r="J17" s="10">
        <v>289</v>
      </c>
      <c r="K17" s="9"/>
      <c r="L17" s="9"/>
    </row>
    <row r="18" spans="1:12" ht="15">
      <c r="A18" s="6" t="s">
        <v>11</v>
      </c>
      <c r="B18" s="7">
        <v>17</v>
      </c>
      <c r="C18" s="8">
        <v>11</v>
      </c>
      <c r="D18" s="7">
        <v>2021</v>
      </c>
      <c r="E18" s="9">
        <v>15237</v>
      </c>
      <c r="F18" s="11">
        <v>15.72</v>
      </c>
      <c r="G18" s="9">
        <v>1690</v>
      </c>
      <c r="H18" s="11">
        <v>58.2</v>
      </c>
      <c r="I18" s="9">
        <v>191</v>
      </c>
      <c r="J18" s="10">
        <v>289</v>
      </c>
      <c r="K18" s="9"/>
      <c r="L18" s="9"/>
    </row>
    <row r="19" spans="1:12" ht="15">
      <c r="A19" s="6" t="s">
        <v>11</v>
      </c>
      <c r="B19" s="7">
        <v>18</v>
      </c>
      <c r="C19" s="8">
        <v>11</v>
      </c>
      <c r="D19" s="7">
        <v>2021</v>
      </c>
      <c r="E19" s="9">
        <v>15842</v>
      </c>
      <c r="F19" s="11">
        <v>15.72</v>
      </c>
      <c r="G19" s="9">
        <v>1685</v>
      </c>
      <c r="H19" s="11">
        <v>58.2</v>
      </c>
      <c r="I19" s="9">
        <v>136</v>
      </c>
      <c r="J19" s="10">
        <v>289</v>
      </c>
      <c r="K19" s="9"/>
      <c r="L19" s="9"/>
    </row>
    <row r="20" spans="1:12" ht="15">
      <c r="A20" s="6" t="s">
        <v>11</v>
      </c>
      <c r="B20" s="7">
        <v>19</v>
      </c>
      <c r="C20" s="8">
        <v>11</v>
      </c>
      <c r="D20" s="7">
        <v>2021</v>
      </c>
      <c r="E20" s="9">
        <v>13258</v>
      </c>
      <c r="F20" s="11">
        <v>15.72</v>
      </c>
      <c r="G20" s="9">
        <v>1779</v>
      </c>
      <c r="H20" s="11">
        <v>58.2</v>
      </c>
      <c r="I20" s="9">
        <v>210</v>
      </c>
      <c r="J20" s="10">
        <v>289</v>
      </c>
      <c r="K20" s="9"/>
      <c r="L20" s="9"/>
    </row>
    <row r="21" spans="1:12" ht="15">
      <c r="A21" s="6" t="s">
        <v>11</v>
      </c>
      <c r="B21" s="7">
        <v>20</v>
      </c>
      <c r="C21" s="8">
        <v>11</v>
      </c>
      <c r="D21" s="7">
        <v>2021</v>
      </c>
      <c r="E21" s="9">
        <v>15214</v>
      </c>
      <c r="F21" s="11">
        <v>15.72</v>
      </c>
      <c r="G21" s="9">
        <v>1785</v>
      </c>
      <c r="H21" s="11">
        <v>58.2</v>
      </c>
      <c r="I21" s="9">
        <v>197</v>
      </c>
      <c r="J21" s="10">
        <v>289</v>
      </c>
      <c r="K21" s="9"/>
      <c r="L21" s="9"/>
    </row>
    <row r="22" spans="1:12" ht="15">
      <c r="A22" s="6" t="s">
        <v>11</v>
      </c>
      <c r="B22" s="7">
        <v>21</v>
      </c>
      <c r="C22" s="8">
        <v>11</v>
      </c>
      <c r="D22" s="7">
        <v>2021</v>
      </c>
      <c r="E22" s="9">
        <v>17761</v>
      </c>
      <c r="F22" s="11">
        <v>15.72</v>
      </c>
      <c r="G22" s="9">
        <v>2303</v>
      </c>
      <c r="H22" s="11">
        <v>58.2</v>
      </c>
      <c r="I22" s="9">
        <v>277</v>
      </c>
      <c r="J22" s="10">
        <v>289</v>
      </c>
      <c r="K22" s="9"/>
      <c r="L22" s="9"/>
    </row>
    <row r="23" spans="1:12" ht="15">
      <c r="A23" s="6" t="s">
        <v>11</v>
      </c>
      <c r="B23" s="7">
        <v>22</v>
      </c>
      <c r="C23" s="8">
        <v>11</v>
      </c>
      <c r="D23" s="7">
        <v>2021</v>
      </c>
      <c r="E23" s="9">
        <v>16906</v>
      </c>
      <c r="F23" s="11">
        <v>15.72</v>
      </c>
      <c r="G23" s="9">
        <v>1969</v>
      </c>
      <c r="H23" s="11">
        <v>58.2</v>
      </c>
      <c r="I23" s="9">
        <v>287</v>
      </c>
      <c r="J23" s="10">
        <v>289</v>
      </c>
      <c r="K23" s="9"/>
      <c r="L23" s="9"/>
    </row>
    <row r="24" spans="1:12" ht="15">
      <c r="A24" s="6" t="s">
        <v>11</v>
      </c>
      <c r="B24" s="7">
        <v>23</v>
      </c>
      <c r="C24" s="8">
        <v>11</v>
      </c>
      <c r="D24" s="7">
        <v>2021</v>
      </c>
      <c r="E24" s="9">
        <v>15714</v>
      </c>
      <c r="F24" s="11">
        <v>15.72</v>
      </c>
      <c r="G24" s="9">
        <v>2135</v>
      </c>
      <c r="H24" s="11">
        <v>58.2</v>
      </c>
      <c r="I24" s="9">
        <v>215</v>
      </c>
      <c r="J24" s="10">
        <v>289</v>
      </c>
      <c r="K24" s="9"/>
      <c r="L24" s="9"/>
    </row>
    <row r="25" spans="1:12" ht="15">
      <c r="A25" s="6" t="s">
        <v>11</v>
      </c>
      <c r="B25" s="7">
        <v>24</v>
      </c>
      <c r="C25" s="8">
        <v>11</v>
      </c>
      <c r="D25" s="7">
        <v>2021</v>
      </c>
      <c r="E25" s="9">
        <v>17732</v>
      </c>
      <c r="F25" s="11">
        <v>15.72</v>
      </c>
      <c r="G25" s="9">
        <v>2570</v>
      </c>
      <c r="H25" s="11">
        <v>58.2</v>
      </c>
      <c r="I25" s="9">
        <v>280</v>
      </c>
      <c r="J25" s="10">
        <v>289</v>
      </c>
      <c r="K25" s="9"/>
      <c r="L25" s="9"/>
    </row>
    <row r="26" spans="1:12" ht="15">
      <c r="A26" s="6" t="s">
        <v>11</v>
      </c>
      <c r="B26" s="7">
        <v>25</v>
      </c>
      <c r="C26" s="8">
        <v>11</v>
      </c>
      <c r="D26" s="7">
        <v>2021</v>
      </c>
      <c r="E26" s="9">
        <v>13107</v>
      </c>
      <c r="F26" s="11">
        <v>15.72</v>
      </c>
      <c r="G26" s="9">
        <v>1834</v>
      </c>
      <c r="H26" s="11">
        <v>58.2</v>
      </c>
      <c r="I26" s="9">
        <v>160</v>
      </c>
      <c r="J26" s="10">
        <v>289</v>
      </c>
      <c r="K26" s="9"/>
      <c r="L26" s="9"/>
    </row>
    <row r="27" spans="1:12" ht="15">
      <c r="A27" s="6" t="s">
        <v>11</v>
      </c>
      <c r="B27" s="7">
        <v>26</v>
      </c>
      <c r="C27" s="8">
        <v>11</v>
      </c>
      <c r="D27" s="7">
        <v>2021</v>
      </c>
      <c r="E27" s="9">
        <v>14983</v>
      </c>
      <c r="F27" s="11">
        <v>15.72</v>
      </c>
      <c r="G27" s="9">
        <v>1904</v>
      </c>
      <c r="H27" s="11">
        <v>58.2</v>
      </c>
      <c r="I27" s="9">
        <v>207</v>
      </c>
      <c r="J27" s="10">
        <v>289</v>
      </c>
      <c r="K27" s="9"/>
      <c r="L27" s="9"/>
    </row>
    <row r="28" spans="1:12" ht="15">
      <c r="A28" s="6" t="s">
        <v>11</v>
      </c>
      <c r="B28" s="7">
        <v>27</v>
      </c>
      <c r="C28" s="8">
        <v>11</v>
      </c>
      <c r="D28" s="7">
        <v>2021</v>
      </c>
      <c r="E28" s="9">
        <v>16709</v>
      </c>
      <c r="F28" s="11">
        <v>15.72</v>
      </c>
      <c r="G28" s="9">
        <v>2285</v>
      </c>
      <c r="H28" s="11">
        <v>58.2</v>
      </c>
      <c r="I28" s="9">
        <v>222</v>
      </c>
      <c r="J28" s="10">
        <v>289</v>
      </c>
      <c r="K28" s="9"/>
      <c r="L28" s="9"/>
    </row>
    <row r="29" spans="1:12" ht="15">
      <c r="A29" s="6" t="s">
        <v>11</v>
      </c>
      <c r="B29" s="7">
        <v>28</v>
      </c>
      <c r="C29" s="8">
        <v>11</v>
      </c>
      <c r="D29" s="7">
        <v>2021</v>
      </c>
      <c r="E29" s="9">
        <v>16794</v>
      </c>
      <c r="F29" s="11">
        <v>15.72</v>
      </c>
      <c r="G29" s="9">
        <v>2817</v>
      </c>
      <c r="H29" s="11">
        <v>58.2</v>
      </c>
      <c r="I29" s="9">
        <v>296</v>
      </c>
      <c r="J29" s="10">
        <v>289</v>
      </c>
      <c r="K29" s="9"/>
      <c r="L29" s="9"/>
    </row>
    <row r="30" spans="1:12" ht="15">
      <c r="A30" s="6" t="s">
        <v>11</v>
      </c>
      <c r="B30" s="7">
        <v>29</v>
      </c>
      <c r="C30" s="8">
        <v>11</v>
      </c>
      <c r="D30" s="7">
        <v>2021</v>
      </c>
      <c r="E30" s="9">
        <v>16277</v>
      </c>
      <c r="F30" s="11">
        <v>15.72</v>
      </c>
      <c r="G30" s="9">
        <v>2639</v>
      </c>
      <c r="H30" s="11">
        <v>58.2</v>
      </c>
      <c r="I30" s="9">
        <v>234</v>
      </c>
      <c r="J30" s="10">
        <v>289</v>
      </c>
      <c r="K30" s="9"/>
      <c r="L30" s="9"/>
    </row>
    <row r="31" spans="1:12" ht="15">
      <c r="A31" s="6" t="s">
        <v>11</v>
      </c>
      <c r="B31" s="7">
        <v>30</v>
      </c>
      <c r="C31" s="8">
        <v>11</v>
      </c>
      <c r="D31" s="7">
        <v>2021</v>
      </c>
      <c r="E31" s="9">
        <v>14823</v>
      </c>
      <c r="F31" s="11">
        <v>15.72</v>
      </c>
      <c r="G31" s="9">
        <v>2095</v>
      </c>
      <c r="H31" s="11">
        <v>58.2</v>
      </c>
      <c r="I31" s="9">
        <v>162</v>
      </c>
      <c r="J31" s="10">
        <v>289</v>
      </c>
      <c r="K31" s="9"/>
      <c r="L31" s="9"/>
    </row>
    <row r="32" spans="1:12" ht="15">
      <c r="A32" s="6"/>
      <c r="B32" s="7"/>
      <c r="C32" s="8"/>
      <c r="D32" s="7"/>
      <c r="E32" s="9"/>
      <c r="F32" s="11"/>
      <c r="G32" s="9"/>
      <c r="H32" s="11"/>
      <c r="I32" s="9"/>
      <c r="J32" s="10"/>
      <c r="K32" s="9"/>
      <c r="L32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43"/>
  <sheetViews>
    <sheetView view="pageBreakPreview" zoomScaleNormal="100" zoomScaleSheetLayoutView="100" workbookViewId="0">
      <selection activeCell="K5" sqref="K5:M5"/>
    </sheetView>
  </sheetViews>
  <sheetFormatPr defaultColWidth="8.85546875" defaultRowHeight="15"/>
  <cols>
    <col min="1" max="2" width="5" style="15" customWidth="1"/>
    <col min="3" max="3" width="7.42578125" style="15" customWidth="1"/>
    <col min="4" max="5" width="4.7109375" style="15" customWidth="1"/>
    <col min="6" max="6" width="11.85546875" style="15" customWidth="1"/>
    <col min="7" max="7" width="8.7109375" style="15" customWidth="1"/>
    <col min="8" max="9" width="4.7109375" style="15" customWidth="1"/>
    <col min="10" max="10" width="8.7109375" style="15" customWidth="1"/>
    <col min="11" max="12" width="4.7109375" style="15" customWidth="1"/>
    <col min="13" max="13" width="8.7109375" style="15" customWidth="1"/>
    <col min="14" max="16384" width="8.85546875" style="15"/>
  </cols>
  <sheetData>
    <row r="3" spans="1:14" ht="26.25">
      <c r="A3" s="12"/>
      <c r="B3" s="12"/>
      <c r="C3" s="12"/>
      <c r="D3" s="12"/>
      <c r="E3" s="13" t="s">
        <v>12</v>
      </c>
      <c r="F3" s="12" t="str">
        <f>N3&amp;"度"</f>
        <v>12月度</v>
      </c>
      <c r="G3" s="12" t="s">
        <v>13</v>
      </c>
      <c r="H3" s="12"/>
      <c r="I3" s="12"/>
      <c r="J3" s="12"/>
      <c r="K3" s="12"/>
      <c r="L3" s="12"/>
      <c r="M3" s="12"/>
      <c r="N3" s="14" t="s">
        <v>14</v>
      </c>
    </row>
    <row r="5" spans="1:14">
      <c r="A5" s="16"/>
      <c r="B5" s="49" t="s">
        <v>15</v>
      </c>
      <c r="C5" s="49" t="s">
        <v>16</v>
      </c>
      <c r="D5" s="39" t="s">
        <v>17</v>
      </c>
      <c r="E5" s="41"/>
      <c r="F5" s="41"/>
      <c r="G5" s="51" t="s">
        <v>18</v>
      </c>
      <c r="H5" s="54" t="s">
        <v>19</v>
      </c>
      <c r="I5" s="54"/>
      <c r="J5" s="55"/>
      <c r="K5" s="54" t="s">
        <v>20</v>
      </c>
      <c r="L5" s="54"/>
      <c r="M5" s="55"/>
    </row>
    <row r="6" spans="1:14">
      <c r="A6" s="17"/>
      <c r="B6" s="50"/>
      <c r="C6" s="50"/>
      <c r="D6" s="56" t="s">
        <v>21</v>
      </c>
      <c r="E6" s="57"/>
      <c r="F6" s="18" t="s">
        <v>22</v>
      </c>
      <c r="G6" s="52"/>
      <c r="H6" s="58" t="s">
        <v>21</v>
      </c>
      <c r="I6" s="57"/>
      <c r="J6" s="18" t="s">
        <v>22</v>
      </c>
      <c r="K6" s="59" t="s">
        <v>21</v>
      </c>
      <c r="L6" s="57"/>
      <c r="M6" s="18" t="s">
        <v>22</v>
      </c>
    </row>
    <row r="7" spans="1:14" ht="22.5" customHeight="1">
      <c r="A7" s="56" t="s">
        <v>23</v>
      </c>
      <c r="B7" s="58"/>
      <c r="C7" s="60"/>
      <c r="D7" s="39">
        <v>38488.58</v>
      </c>
      <c r="E7" s="40"/>
      <c r="F7" s="19"/>
      <c r="G7" s="53"/>
      <c r="H7" s="41">
        <v>5046406</v>
      </c>
      <c r="I7" s="40"/>
      <c r="J7" s="19"/>
      <c r="K7" s="42">
        <v>206428.4</v>
      </c>
      <c r="L7" s="43"/>
      <c r="M7" s="19"/>
    </row>
    <row r="8" spans="1:14" ht="22.5" customHeight="1">
      <c r="A8" s="20" t="s">
        <v>24</v>
      </c>
      <c r="B8" s="21" t="s">
        <v>25</v>
      </c>
      <c r="C8" s="22" t="s">
        <v>26</v>
      </c>
      <c r="D8" s="44">
        <v>38626.54</v>
      </c>
      <c r="E8" s="45"/>
      <c r="F8" s="23">
        <v>13796</v>
      </c>
      <c r="G8" s="24">
        <v>6.87</v>
      </c>
      <c r="H8" s="46">
        <v>5048064</v>
      </c>
      <c r="I8" s="45"/>
      <c r="J8" s="25">
        <v>1658</v>
      </c>
      <c r="K8" s="47">
        <v>206599.2</v>
      </c>
      <c r="L8" s="48"/>
      <c r="M8" s="26">
        <v>170.8</v>
      </c>
    </row>
    <row r="9" spans="1:14" ht="22.5" customHeight="1">
      <c r="A9" s="20" t="s">
        <v>27</v>
      </c>
      <c r="B9" s="21" t="s">
        <v>28</v>
      </c>
      <c r="C9" s="27" t="s">
        <v>29</v>
      </c>
      <c r="D9" s="42">
        <v>38785.9</v>
      </c>
      <c r="E9" s="43"/>
      <c r="F9" s="23">
        <v>15936</v>
      </c>
      <c r="G9" s="28">
        <v>7.86</v>
      </c>
      <c r="H9" s="61">
        <v>5050187</v>
      </c>
      <c r="I9" s="43"/>
      <c r="J9" s="25">
        <v>2123</v>
      </c>
      <c r="K9" s="42">
        <v>206759</v>
      </c>
      <c r="L9" s="43"/>
      <c r="M9" s="26">
        <v>159.80000000000001</v>
      </c>
    </row>
    <row r="10" spans="1:14" ht="22.5" customHeight="1">
      <c r="A10" s="20" t="s">
        <v>30</v>
      </c>
      <c r="B10" s="21" t="s">
        <v>31</v>
      </c>
      <c r="C10" s="27" t="s">
        <v>32</v>
      </c>
      <c r="D10" s="42">
        <v>38957.040000000001</v>
      </c>
      <c r="E10" s="43"/>
      <c r="F10" s="23">
        <v>17114</v>
      </c>
      <c r="G10" s="28">
        <v>8.64</v>
      </c>
      <c r="H10" s="61">
        <v>5052805</v>
      </c>
      <c r="I10" s="43"/>
      <c r="J10" s="29">
        <v>2618</v>
      </c>
      <c r="K10" s="42">
        <v>206960.8</v>
      </c>
      <c r="L10" s="43"/>
      <c r="M10" s="29">
        <v>201.8</v>
      </c>
    </row>
    <row r="11" spans="1:14" ht="22.5" customHeight="1">
      <c r="A11" s="20" t="s">
        <v>33</v>
      </c>
      <c r="B11" s="30" t="s">
        <v>34</v>
      </c>
      <c r="C11" s="27" t="s">
        <v>35</v>
      </c>
      <c r="D11" s="42">
        <v>39120.6</v>
      </c>
      <c r="E11" s="43"/>
      <c r="F11" s="23">
        <v>16356</v>
      </c>
      <c r="G11" s="28">
        <v>8.64</v>
      </c>
      <c r="H11" s="61">
        <v>5055008</v>
      </c>
      <c r="I11" s="43"/>
      <c r="J11" s="29">
        <v>2203</v>
      </c>
      <c r="K11" s="42">
        <v>207152</v>
      </c>
      <c r="L11" s="43"/>
      <c r="M11" s="29">
        <v>191.2</v>
      </c>
    </row>
    <row r="12" spans="1:14" ht="22.5" customHeight="1">
      <c r="A12" s="20" t="s">
        <v>36</v>
      </c>
      <c r="B12" s="30" t="s">
        <v>37</v>
      </c>
      <c r="C12" s="27" t="s">
        <v>38</v>
      </c>
      <c r="D12" s="42">
        <v>39275.06</v>
      </c>
      <c r="E12" s="43"/>
      <c r="F12" s="23">
        <v>15446</v>
      </c>
      <c r="G12" s="28">
        <v>8.64</v>
      </c>
      <c r="H12" s="61">
        <v>5056966</v>
      </c>
      <c r="I12" s="43"/>
      <c r="J12" s="29">
        <v>1958</v>
      </c>
      <c r="K12" s="42">
        <v>207306.7</v>
      </c>
      <c r="L12" s="43"/>
      <c r="M12" s="29">
        <v>154.69999999999999</v>
      </c>
    </row>
    <row r="13" spans="1:14" ht="22.5" customHeight="1">
      <c r="A13" s="20" t="s">
        <v>39</v>
      </c>
      <c r="B13" s="21" t="s">
        <v>40</v>
      </c>
      <c r="C13" s="27" t="s">
        <v>41</v>
      </c>
      <c r="D13" s="42">
        <v>39437.879999999997</v>
      </c>
      <c r="E13" s="43"/>
      <c r="F13" s="23">
        <v>16282</v>
      </c>
      <c r="G13" s="28">
        <v>8.73</v>
      </c>
      <c r="H13" s="61">
        <v>5059055</v>
      </c>
      <c r="I13" s="43"/>
      <c r="J13" s="29">
        <v>2089</v>
      </c>
      <c r="K13" s="42">
        <v>207466.9</v>
      </c>
      <c r="L13" s="43"/>
      <c r="M13" s="29">
        <v>160.19999999999999</v>
      </c>
    </row>
    <row r="14" spans="1:14" ht="22.5" customHeight="1">
      <c r="A14" s="20" t="s">
        <v>42</v>
      </c>
      <c r="B14" s="21" t="s">
        <v>43</v>
      </c>
      <c r="C14" s="27" t="s">
        <v>44</v>
      </c>
      <c r="D14" s="42">
        <v>39592.79</v>
      </c>
      <c r="E14" s="43"/>
      <c r="F14" s="23">
        <v>15491</v>
      </c>
      <c r="G14" s="28">
        <v>8.73</v>
      </c>
      <c r="H14" s="61">
        <v>5061197</v>
      </c>
      <c r="I14" s="43"/>
      <c r="J14" s="29">
        <v>2142</v>
      </c>
      <c r="K14" s="42">
        <v>207653.3</v>
      </c>
      <c r="L14" s="43"/>
      <c r="M14" s="29">
        <v>186.4</v>
      </c>
    </row>
    <row r="15" spans="1:14" ht="22.5" customHeight="1">
      <c r="A15" s="20" t="s">
        <v>45</v>
      </c>
      <c r="B15" s="21" t="s">
        <v>25</v>
      </c>
      <c r="C15" s="27" t="s">
        <v>46</v>
      </c>
      <c r="D15" s="42">
        <v>39749</v>
      </c>
      <c r="E15" s="43"/>
      <c r="F15" s="23">
        <v>15621</v>
      </c>
      <c r="G15" s="28">
        <v>8.73</v>
      </c>
      <c r="H15" s="61">
        <v>5063441</v>
      </c>
      <c r="I15" s="43"/>
      <c r="J15" s="29">
        <v>2244</v>
      </c>
      <c r="K15" s="42">
        <v>207807</v>
      </c>
      <c r="L15" s="43"/>
      <c r="M15" s="29">
        <v>153.69999999999999</v>
      </c>
    </row>
    <row r="16" spans="1:14" ht="22.5" customHeight="1">
      <c r="A16" s="20" t="s">
        <v>47</v>
      </c>
      <c r="B16" s="21" t="s">
        <v>28</v>
      </c>
      <c r="C16" s="27" t="s">
        <v>48</v>
      </c>
      <c r="D16" s="42">
        <v>39909.550000000003</v>
      </c>
      <c r="E16" s="43"/>
      <c r="F16" s="23">
        <v>16055</v>
      </c>
      <c r="G16" s="28">
        <v>8.73</v>
      </c>
      <c r="H16" s="61">
        <v>5065532</v>
      </c>
      <c r="I16" s="43"/>
      <c r="J16" s="29">
        <v>2091</v>
      </c>
      <c r="K16" s="42">
        <v>207962.8</v>
      </c>
      <c r="L16" s="43"/>
      <c r="M16" s="29">
        <v>155.80000000000001</v>
      </c>
    </row>
    <row r="17" spans="1:13" ht="22.5" customHeight="1">
      <c r="A17" s="20" t="s">
        <v>49</v>
      </c>
      <c r="B17" s="21" t="s">
        <v>31</v>
      </c>
      <c r="C17" s="27" t="s">
        <v>50</v>
      </c>
      <c r="D17" s="42">
        <v>40060</v>
      </c>
      <c r="E17" s="43"/>
      <c r="F17" s="23">
        <v>15045</v>
      </c>
      <c r="G17" s="28">
        <v>8.73</v>
      </c>
      <c r="H17" s="61">
        <v>5067677</v>
      </c>
      <c r="I17" s="43"/>
      <c r="J17" s="29">
        <v>2145</v>
      </c>
      <c r="K17" s="42">
        <v>208135.5</v>
      </c>
      <c r="L17" s="43"/>
      <c r="M17" s="29">
        <v>172.7</v>
      </c>
    </row>
    <row r="18" spans="1:13" ht="22.5" customHeight="1">
      <c r="A18" s="20" t="s">
        <v>51</v>
      </c>
      <c r="B18" s="30" t="s">
        <v>34</v>
      </c>
      <c r="C18" s="27" t="s">
        <v>35</v>
      </c>
      <c r="D18" s="42">
        <v>40220.6</v>
      </c>
      <c r="E18" s="43"/>
      <c r="F18" s="23">
        <v>16060</v>
      </c>
      <c r="G18" s="28">
        <v>8.73</v>
      </c>
      <c r="H18" s="61">
        <v>5069672</v>
      </c>
      <c r="I18" s="43"/>
      <c r="J18" s="29">
        <v>1995</v>
      </c>
      <c r="K18" s="42">
        <v>208302</v>
      </c>
      <c r="L18" s="43"/>
      <c r="M18" s="29">
        <v>166.5</v>
      </c>
    </row>
    <row r="19" spans="1:13" ht="22.5" customHeight="1">
      <c r="A19" s="20" t="s">
        <v>52</v>
      </c>
      <c r="B19" s="30" t="s">
        <v>37</v>
      </c>
      <c r="C19" s="27" t="s">
        <v>53</v>
      </c>
      <c r="D19" s="42">
        <v>40377.18</v>
      </c>
      <c r="E19" s="43"/>
      <c r="F19" s="23">
        <v>15658</v>
      </c>
      <c r="G19" s="28">
        <v>8.73</v>
      </c>
      <c r="H19" s="61">
        <v>5071714</v>
      </c>
      <c r="I19" s="43"/>
      <c r="J19" s="29">
        <v>2042</v>
      </c>
      <c r="K19" s="42">
        <v>208459.4</v>
      </c>
      <c r="L19" s="43"/>
      <c r="M19" s="29">
        <v>157.4</v>
      </c>
    </row>
    <row r="20" spans="1:13" ht="22.5" customHeight="1">
      <c r="A20" s="20" t="s">
        <v>54</v>
      </c>
      <c r="B20" s="21" t="s">
        <v>40</v>
      </c>
      <c r="C20" s="27" t="s">
        <v>55</v>
      </c>
      <c r="D20" s="42">
        <v>40535.800000000003</v>
      </c>
      <c r="E20" s="43"/>
      <c r="F20" s="23">
        <v>15862</v>
      </c>
      <c r="G20" s="28">
        <v>8.73</v>
      </c>
      <c r="H20" s="61">
        <v>5073771</v>
      </c>
      <c r="I20" s="43"/>
      <c r="J20" s="29">
        <v>2057</v>
      </c>
      <c r="K20" s="42">
        <v>208616</v>
      </c>
      <c r="L20" s="43"/>
      <c r="M20" s="29">
        <v>156.6</v>
      </c>
    </row>
    <row r="21" spans="1:13" ht="22.5" customHeight="1">
      <c r="A21" s="20" t="s">
        <v>56</v>
      </c>
      <c r="B21" s="21" t="s">
        <v>43</v>
      </c>
      <c r="C21" s="27" t="s">
        <v>41</v>
      </c>
      <c r="D21" s="42">
        <v>40688.49</v>
      </c>
      <c r="E21" s="43"/>
      <c r="F21" s="23">
        <v>15269</v>
      </c>
      <c r="G21" s="28">
        <v>8.73</v>
      </c>
      <c r="H21" s="61">
        <v>5075669</v>
      </c>
      <c r="I21" s="43"/>
      <c r="J21" s="29">
        <v>1898</v>
      </c>
      <c r="K21" s="42">
        <v>208785</v>
      </c>
      <c r="L21" s="43"/>
      <c r="M21" s="29">
        <v>169</v>
      </c>
    </row>
    <row r="22" spans="1:13" ht="22.5" customHeight="1">
      <c r="A22" s="20" t="s">
        <v>57</v>
      </c>
      <c r="B22" s="21" t="s">
        <v>25</v>
      </c>
      <c r="C22" s="27" t="s">
        <v>58</v>
      </c>
      <c r="D22" s="42">
        <v>40838.9</v>
      </c>
      <c r="E22" s="43"/>
      <c r="F22" s="23">
        <v>15041</v>
      </c>
      <c r="G22" s="28">
        <v>8.73</v>
      </c>
      <c r="H22" s="61">
        <v>5078165</v>
      </c>
      <c r="I22" s="43"/>
      <c r="J22" s="29">
        <v>2496</v>
      </c>
      <c r="K22" s="42">
        <v>208936.4</v>
      </c>
      <c r="L22" s="43"/>
      <c r="M22" s="29">
        <v>151.4</v>
      </c>
    </row>
    <row r="23" spans="1:13" ht="22.5" customHeight="1">
      <c r="A23" s="20" t="s">
        <v>59</v>
      </c>
      <c r="B23" s="21" t="s">
        <v>28</v>
      </c>
      <c r="C23" s="27" t="s">
        <v>60</v>
      </c>
      <c r="D23" s="42">
        <v>41002.699999999997</v>
      </c>
      <c r="E23" s="43"/>
      <c r="F23" s="23">
        <v>16380</v>
      </c>
      <c r="G23" s="28">
        <v>8.73</v>
      </c>
      <c r="H23" s="61">
        <v>5080914</v>
      </c>
      <c r="I23" s="43"/>
      <c r="J23" s="29">
        <v>2749</v>
      </c>
      <c r="K23" s="42">
        <v>209087</v>
      </c>
      <c r="L23" s="43"/>
      <c r="M23" s="29">
        <v>150.6</v>
      </c>
    </row>
    <row r="24" spans="1:13" ht="22.5" customHeight="1">
      <c r="A24" s="20" t="s">
        <v>61</v>
      </c>
      <c r="B24" s="21" t="s">
        <v>31</v>
      </c>
      <c r="C24" s="27" t="s">
        <v>55</v>
      </c>
      <c r="D24" s="42">
        <v>41164.21</v>
      </c>
      <c r="E24" s="43"/>
      <c r="F24" s="23">
        <v>16151</v>
      </c>
      <c r="G24" s="28">
        <v>8.73</v>
      </c>
      <c r="H24" s="61">
        <v>5083400</v>
      </c>
      <c r="I24" s="43"/>
      <c r="J24" s="29">
        <v>2486</v>
      </c>
      <c r="K24" s="42">
        <v>209280.8</v>
      </c>
      <c r="L24" s="43"/>
      <c r="M24" s="29">
        <v>193.8</v>
      </c>
    </row>
    <row r="25" spans="1:13" ht="22.5" customHeight="1">
      <c r="A25" s="20" t="s">
        <v>62</v>
      </c>
      <c r="B25" s="30" t="s">
        <v>34</v>
      </c>
      <c r="C25" s="27" t="s">
        <v>35</v>
      </c>
      <c r="D25" s="42">
        <v>41327.18</v>
      </c>
      <c r="E25" s="43"/>
      <c r="F25" s="23">
        <v>16297</v>
      </c>
      <c r="G25" s="28">
        <v>8.73</v>
      </c>
      <c r="H25" s="61">
        <v>5086135</v>
      </c>
      <c r="I25" s="43"/>
      <c r="J25" s="29">
        <v>2735</v>
      </c>
      <c r="K25" s="42">
        <v>209459</v>
      </c>
      <c r="L25" s="43"/>
      <c r="M25" s="29">
        <v>178.2</v>
      </c>
    </row>
    <row r="26" spans="1:13" ht="22.5" customHeight="1">
      <c r="A26" s="20" t="s">
        <v>63</v>
      </c>
      <c r="B26" s="30" t="s">
        <v>37</v>
      </c>
      <c r="C26" s="27" t="s">
        <v>29</v>
      </c>
      <c r="D26" s="42">
        <v>41501.75</v>
      </c>
      <c r="E26" s="43"/>
      <c r="F26" s="23">
        <v>17457</v>
      </c>
      <c r="G26" s="28">
        <v>8.73</v>
      </c>
      <c r="H26" s="61">
        <v>5089491</v>
      </c>
      <c r="I26" s="43"/>
      <c r="J26" s="29">
        <v>3356</v>
      </c>
      <c r="K26" s="42">
        <v>209659.3</v>
      </c>
      <c r="L26" s="43"/>
      <c r="M26" s="29">
        <v>200.3</v>
      </c>
    </row>
    <row r="27" spans="1:13" ht="22.5" customHeight="1">
      <c r="A27" s="20" t="s">
        <v>64</v>
      </c>
      <c r="B27" s="21" t="s">
        <v>40</v>
      </c>
      <c r="C27" s="27" t="s">
        <v>41</v>
      </c>
      <c r="D27" s="42">
        <v>41667.53</v>
      </c>
      <c r="E27" s="43"/>
      <c r="F27" s="23">
        <v>16578</v>
      </c>
      <c r="G27" s="28">
        <v>8.73</v>
      </c>
      <c r="H27" s="61">
        <v>5092551</v>
      </c>
      <c r="I27" s="43"/>
      <c r="J27" s="29">
        <v>3060</v>
      </c>
      <c r="K27" s="42">
        <v>209816.5</v>
      </c>
      <c r="L27" s="43"/>
      <c r="M27" s="29">
        <v>157.19999999999999</v>
      </c>
    </row>
    <row r="28" spans="1:13" ht="22.5" customHeight="1">
      <c r="A28" s="20" t="s">
        <v>65</v>
      </c>
      <c r="B28" s="21" t="s">
        <v>43</v>
      </c>
      <c r="C28" s="27" t="s">
        <v>66</v>
      </c>
      <c r="D28" s="42">
        <v>41829.300000000003</v>
      </c>
      <c r="E28" s="43"/>
      <c r="F28" s="23">
        <v>16177</v>
      </c>
      <c r="G28" s="28">
        <v>8.73</v>
      </c>
      <c r="H28" s="61">
        <v>5095438</v>
      </c>
      <c r="I28" s="43"/>
      <c r="J28" s="29">
        <v>2887</v>
      </c>
      <c r="K28" s="42">
        <v>210007.4</v>
      </c>
      <c r="L28" s="43"/>
      <c r="M28" s="29">
        <v>190.9</v>
      </c>
    </row>
    <row r="29" spans="1:13" ht="22.5" customHeight="1">
      <c r="A29" s="20" t="s">
        <v>67</v>
      </c>
      <c r="B29" s="21" t="s">
        <v>25</v>
      </c>
      <c r="C29" s="27" t="s">
        <v>44</v>
      </c>
      <c r="D29" s="42">
        <v>41981.4</v>
      </c>
      <c r="E29" s="43"/>
      <c r="F29" s="23">
        <v>15210</v>
      </c>
      <c r="G29" s="28">
        <v>8.73</v>
      </c>
      <c r="H29" s="61">
        <v>5097719</v>
      </c>
      <c r="I29" s="43"/>
      <c r="J29" s="29">
        <v>2281</v>
      </c>
      <c r="K29" s="42">
        <v>210177</v>
      </c>
      <c r="L29" s="43"/>
      <c r="M29" s="29">
        <v>169.6</v>
      </c>
    </row>
    <row r="30" spans="1:13" ht="22.5" customHeight="1">
      <c r="A30" s="20" t="s">
        <v>68</v>
      </c>
      <c r="B30" s="21" t="s">
        <v>28</v>
      </c>
      <c r="C30" s="27" t="s">
        <v>41</v>
      </c>
      <c r="D30" s="42">
        <v>42148.6</v>
      </c>
      <c r="E30" s="43"/>
      <c r="F30" s="23">
        <v>16720</v>
      </c>
      <c r="G30" s="28">
        <v>8.73</v>
      </c>
      <c r="H30" s="61">
        <v>5100733</v>
      </c>
      <c r="I30" s="43"/>
      <c r="J30" s="29">
        <v>3014</v>
      </c>
      <c r="K30" s="42">
        <v>210371</v>
      </c>
      <c r="L30" s="43"/>
      <c r="M30" s="29">
        <v>194</v>
      </c>
    </row>
    <row r="31" spans="1:13" ht="22.5" customHeight="1">
      <c r="A31" s="20" t="s">
        <v>69</v>
      </c>
      <c r="B31" s="21" t="s">
        <v>31</v>
      </c>
      <c r="C31" s="27" t="s">
        <v>58</v>
      </c>
      <c r="D31" s="42">
        <v>42315.62</v>
      </c>
      <c r="E31" s="43"/>
      <c r="F31" s="23">
        <v>16702</v>
      </c>
      <c r="G31" s="28">
        <v>8.73</v>
      </c>
      <c r="H31" s="61">
        <v>5104131</v>
      </c>
      <c r="I31" s="43"/>
      <c r="J31" s="29">
        <v>3398</v>
      </c>
      <c r="K31" s="42">
        <v>210556.7</v>
      </c>
      <c r="L31" s="43"/>
      <c r="M31" s="29">
        <v>185.7</v>
      </c>
    </row>
    <row r="32" spans="1:13" ht="22.5" customHeight="1">
      <c r="A32" s="20" t="s">
        <v>70</v>
      </c>
      <c r="B32" s="30" t="s">
        <v>34</v>
      </c>
      <c r="C32" s="27" t="s">
        <v>71</v>
      </c>
      <c r="D32" s="42">
        <v>42495.43</v>
      </c>
      <c r="E32" s="43"/>
      <c r="F32" s="23">
        <v>17981</v>
      </c>
      <c r="G32" s="28">
        <v>8.73</v>
      </c>
      <c r="H32" s="61">
        <v>5107253</v>
      </c>
      <c r="I32" s="43"/>
      <c r="J32" s="29">
        <v>3122</v>
      </c>
      <c r="K32" s="42">
        <v>210806.5</v>
      </c>
      <c r="L32" s="43"/>
      <c r="M32" s="29">
        <v>249.8</v>
      </c>
    </row>
    <row r="33" spans="1:13" ht="22.5" customHeight="1">
      <c r="A33" s="20" t="s">
        <v>72</v>
      </c>
      <c r="B33" s="30" t="s">
        <v>37</v>
      </c>
      <c r="C33" s="27" t="s">
        <v>73</v>
      </c>
      <c r="D33" s="42">
        <v>42652.3</v>
      </c>
      <c r="E33" s="43"/>
      <c r="F33" s="23">
        <v>15687</v>
      </c>
      <c r="G33" s="28">
        <v>8.82</v>
      </c>
      <c r="H33" s="61">
        <v>5109891</v>
      </c>
      <c r="I33" s="43"/>
      <c r="J33" s="29">
        <v>2638</v>
      </c>
      <c r="K33" s="42">
        <v>211020</v>
      </c>
      <c r="L33" s="43"/>
      <c r="M33" s="29">
        <v>213.5</v>
      </c>
    </row>
    <row r="34" spans="1:13" ht="22.5" customHeight="1">
      <c r="A34" s="20" t="s">
        <v>74</v>
      </c>
      <c r="B34" s="21" t="s">
        <v>40</v>
      </c>
      <c r="C34" s="27" t="s">
        <v>41</v>
      </c>
      <c r="D34" s="42">
        <v>42816</v>
      </c>
      <c r="E34" s="43"/>
      <c r="F34" s="23">
        <v>16370</v>
      </c>
      <c r="G34" s="28">
        <v>8.82</v>
      </c>
      <c r="H34" s="61">
        <v>5112671</v>
      </c>
      <c r="I34" s="43"/>
      <c r="J34" s="29">
        <v>2780</v>
      </c>
      <c r="K34" s="42">
        <v>211236</v>
      </c>
      <c r="L34" s="43"/>
      <c r="M34" s="29">
        <v>216</v>
      </c>
    </row>
    <row r="35" spans="1:13" ht="22.5" customHeight="1">
      <c r="A35" s="20" t="s">
        <v>75</v>
      </c>
      <c r="B35" s="21" t="s">
        <v>43</v>
      </c>
      <c r="C35" s="27" t="s">
        <v>32</v>
      </c>
      <c r="D35" s="42">
        <v>42973</v>
      </c>
      <c r="E35" s="43"/>
      <c r="F35" s="23">
        <v>15700</v>
      </c>
      <c r="G35" s="28">
        <v>8.82</v>
      </c>
      <c r="H35" s="61">
        <v>5115491</v>
      </c>
      <c r="I35" s="43"/>
      <c r="J35" s="29">
        <v>2820</v>
      </c>
      <c r="K35" s="42">
        <v>211422</v>
      </c>
      <c r="L35" s="43"/>
      <c r="M35" s="29">
        <v>186</v>
      </c>
    </row>
    <row r="36" spans="1:13" ht="22.5" customHeight="1">
      <c r="A36" s="20" t="s">
        <v>76</v>
      </c>
      <c r="B36" s="21" t="s">
        <v>25</v>
      </c>
      <c r="C36" s="27" t="s">
        <v>77</v>
      </c>
      <c r="D36" s="42">
        <v>43144.72</v>
      </c>
      <c r="E36" s="43"/>
      <c r="F36" s="23">
        <v>17172</v>
      </c>
      <c r="G36" s="28">
        <v>8.82</v>
      </c>
      <c r="H36" s="61">
        <v>5118388</v>
      </c>
      <c r="I36" s="43"/>
      <c r="J36" s="29">
        <v>2897</v>
      </c>
      <c r="K36" s="42">
        <v>211629.3</v>
      </c>
      <c r="L36" s="43"/>
      <c r="M36" s="29">
        <v>207.3</v>
      </c>
    </row>
    <row r="37" spans="1:13" ht="22.5" customHeight="1">
      <c r="A37" s="20" t="s">
        <v>78</v>
      </c>
      <c r="B37" s="21" t="s">
        <v>28</v>
      </c>
      <c r="C37" s="27" t="s">
        <v>79</v>
      </c>
      <c r="D37" s="42">
        <v>43310.22</v>
      </c>
      <c r="E37" s="43"/>
      <c r="F37" s="23">
        <v>16550</v>
      </c>
      <c r="G37" s="28">
        <v>8.82</v>
      </c>
      <c r="H37" s="61">
        <v>5121209</v>
      </c>
      <c r="I37" s="43"/>
      <c r="J37" s="29">
        <v>2821</v>
      </c>
      <c r="K37" s="42">
        <v>211865</v>
      </c>
      <c r="L37" s="43"/>
      <c r="M37" s="29">
        <v>235.7</v>
      </c>
    </row>
    <row r="38" spans="1:13" ht="22.5" customHeight="1" thickBot="1">
      <c r="A38" s="20" t="s">
        <v>80</v>
      </c>
      <c r="B38" s="21" t="s">
        <v>31</v>
      </c>
      <c r="C38" s="31"/>
      <c r="D38" s="42">
        <v>43470.86</v>
      </c>
      <c r="E38" s="43"/>
      <c r="F38" s="32">
        <v>16064</v>
      </c>
      <c r="G38" s="33">
        <v>8.82</v>
      </c>
      <c r="H38" s="61">
        <v>5124213</v>
      </c>
      <c r="I38" s="43"/>
      <c r="J38" s="32">
        <v>3004</v>
      </c>
      <c r="K38" s="42">
        <v>212094.2</v>
      </c>
      <c r="L38" s="43"/>
      <c r="M38" s="32">
        <v>229.2</v>
      </c>
    </row>
    <row r="39" spans="1:13" s="38" customFormat="1" ht="29.25" customHeight="1" thickTop="1">
      <c r="A39" s="34" t="s">
        <v>81</v>
      </c>
      <c r="B39" s="34"/>
      <c r="C39" s="35"/>
      <c r="D39" s="62">
        <f>SUM(D8:E38)</f>
        <v>1271976.1500000001</v>
      </c>
      <c r="E39" s="63"/>
      <c r="F39" s="36">
        <f>SUM(F8:F38)</f>
        <v>498228</v>
      </c>
      <c r="G39" s="37">
        <f>SUM(G8:G38)</f>
        <v>268.1699999999999</v>
      </c>
      <c r="H39" s="62">
        <f>SUM(H8:I38)</f>
        <v>157588551</v>
      </c>
      <c r="I39" s="63"/>
      <c r="J39" s="36">
        <f>SUM(J8:J38)</f>
        <v>77807</v>
      </c>
      <c r="K39" s="64">
        <f>SUM(K8:L38)</f>
        <v>6485389.7000000002</v>
      </c>
      <c r="L39" s="65"/>
      <c r="M39" s="36">
        <f>SUM(M8:M38)</f>
        <v>5665.8</v>
      </c>
    </row>
    <row r="41" spans="1:13">
      <c r="A41" s="49" t="s">
        <v>82</v>
      </c>
      <c r="B41" s="49"/>
      <c r="C41" s="49"/>
      <c r="D41" s="66"/>
      <c r="E41" s="67"/>
      <c r="F41" s="67"/>
      <c r="G41" s="67"/>
      <c r="H41" s="67"/>
      <c r="I41" s="67"/>
      <c r="J41" s="67"/>
      <c r="K41" s="67"/>
      <c r="L41" s="67"/>
      <c r="M41" s="68"/>
    </row>
    <row r="42" spans="1:13">
      <c r="A42" s="50"/>
      <c r="B42" s="50"/>
      <c r="C42" s="50"/>
      <c r="D42" s="69"/>
      <c r="E42" s="70"/>
      <c r="F42" s="70"/>
      <c r="G42" s="70"/>
      <c r="H42" s="70"/>
      <c r="I42" s="70"/>
      <c r="J42" s="70"/>
      <c r="K42" s="70"/>
      <c r="L42" s="70"/>
      <c r="M42" s="71"/>
    </row>
    <row r="43" spans="1:13">
      <c r="A43" s="15" t="s">
        <v>83</v>
      </c>
    </row>
  </sheetData>
  <mergeCells count="111">
    <mergeCell ref="D39:E39"/>
    <mergeCell ref="H39:I39"/>
    <mergeCell ref="K39:L39"/>
    <mergeCell ref="A41:C42"/>
    <mergeCell ref="D41:M42"/>
    <mergeCell ref="D37:E37"/>
    <mergeCell ref="H37:I37"/>
    <mergeCell ref="K37:L37"/>
    <mergeCell ref="D38:E38"/>
    <mergeCell ref="H38:I38"/>
    <mergeCell ref="K38:L38"/>
    <mergeCell ref="D35:E35"/>
    <mergeCell ref="H35:I35"/>
    <mergeCell ref="K35:L35"/>
    <mergeCell ref="D36:E36"/>
    <mergeCell ref="H36:I36"/>
    <mergeCell ref="K36:L36"/>
    <mergeCell ref="D33:E33"/>
    <mergeCell ref="H33:I33"/>
    <mergeCell ref="K33:L33"/>
    <mergeCell ref="D34:E34"/>
    <mergeCell ref="H34:I34"/>
    <mergeCell ref="K34:L34"/>
    <mergeCell ref="D31:E31"/>
    <mergeCell ref="H31:I31"/>
    <mergeCell ref="K31:L31"/>
    <mergeCell ref="D32:E32"/>
    <mergeCell ref="H32:I32"/>
    <mergeCell ref="K32:L32"/>
    <mergeCell ref="D29:E29"/>
    <mergeCell ref="H29:I29"/>
    <mergeCell ref="K29:L29"/>
    <mergeCell ref="D30:E30"/>
    <mergeCell ref="H30:I30"/>
    <mergeCell ref="K30:L30"/>
    <mergeCell ref="D27:E27"/>
    <mergeCell ref="H27:I27"/>
    <mergeCell ref="K27:L27"/>
    <mergeCell ref="D28:E28"/>
    <mergeCell ref="H28:I28"/>
    <mergeCell ref="K28:L28"/>
    <mergeCell ref="D25:E25"/>
    <mergeCell ref="H25:I25"/>
    <mergeCell ref="K25:L25"/>
    <mergeCell ref="D26:E26"/>
    <mergeCell ref="H26:I26"/>
    <mergeCell ref="K26:L26"/>
    <mergeCell ref="D23:E23"/>
    <mergeCell ref="H23:I23"/>
    <mergeCell ref="K23:L23"/>
    <mergeCell ref="D24:E24"/>
    <mergeCell ref="H24:I24"/>
    <mergeCell ref="K24:L24"/>
    <mergeCell ref="D21:E21"/>
    <mergeCell ref="H21:I21"/>
    <mergeCell ref="K21:L21"/>
    <mergeCell ref="D22:E22"/>
    <mergeCell ref="H22:I22"/>
    <mergeCell ref="K22:L22"/>
    <mergeCell ref="D19:E19"/>
    <mergeCell ref="H19:I19"/>
    <mergeCell ref="K19:L19"/>
    <mergeCell ref="D20:E20"/>
    <mergeCell ref="H20:I20"/>
    <mergeCell ref="K20:L20"/>
    <mergeCell ref="D17:E17"/>
    <mergeCell ref="H17:I17"/>
    <mergeCell ref="K17:L17"/>
    <mergeCell ref="D18:E18"/>
    <mergeCell ref="H18:I18"/>
    <mergeCell ref="K18:L18"/>
    <mergeCell ref="D15:E15"/>
    <mergeCell ref="H15:I15"/>
    <mergeCell ref="K15:L15"/>
    <mergeCell ref="D16:E16"/>
    <mergeCell ref="H16:I16"/>
    <mergeCell ref="K16:L16"/>
    <mergeCell ref="D13:E13"/>
    <mergeCell ref="H13:I13"/>
    <mergeCell ref="K13:L13"/>
    <mergeCell ref="D14:E14"/>
    <mergeCell ref="H14:I14"/>
    <mergeCell ref="K14:L14"/>
    <mergeCell ref="D11:E11"/>
    <mergeCell ref="H11:I11"/>
    <mergeCell ref="K11:L11"/>
    <mergeCell ref="D12:E12"/>
    <mergeCell ref="H12:I12"/>
    <mergeCell ref="K12:L12"/>
    <mergeCell ref="D9:E9"/>
    <mergeCell ref="H9:I9"/>
    <mergeCell ref="K9:L9"/>
    <mergeCell ref="D10:E10"/>
    <mergeCell ref="H10:I10"/>
    <mergeCell ref="K10:L10"/>
    <mergeCell ref="D7:E7"/>
    <mergeCell ref="H7:I7"/>
    <mergeCell ref="K7:L7"/>
    <mergeCell ref="D8:E8"/>
    <mergeCell ref="H8:I8"/>
    <mergeCell ref="K8:L8"/>
    <mergeCell ref="B5:B6"/>
    <mergeCell ref="C5:C6"/>
    <mergeCell ref="D5:F5"/>
    <mergeCell ref="G5:G7"/>
    <mergeCell ref="H5:J5"/>
    <mergeCell ref="K5:M5"/>
    <mergeCell ref="D6:E6"/>
    <mergeCell ref="H6:I6"/>
    <mergeCell ref="K6:L6"/>
    <mergeCell ref="A7:C7"/>
  </mergeCells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2022.12</vt:lpstr>
      <vt:lpstr>'2022.12'!Print_Area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Masahiko Uchida </cp:lastModifiedBy>
  <cp:revision/>
  <dcterms:created xsi:type="dcterms:W3CDTF">2009-02-11T09:03:59Z</dcterms:created>
  <dcterms:modified xsi:type="dcterms:W3CDTF">2023-02-27T01:41:39Z</dcterms:modified>
  <cp:category/>
  <cp:contentStatus/>
</cp:coreProperties>
</file>