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O12" i="1"/>
  <c r="AN12"/>
  <c r="A12" i="76"/>
  <c r="W9" i="2" l="1"/>
  <c r="L7" i="3"/>
  <c r="Q7" i="1"/>
  <c r="AT5"/>
  <c r="AS37" i="7"/>
  <c r="AU37" s="1"/>
  <c r="AT37"/>
  <c r="D2" i="3"/>
  <c r="C19" i="77" l="1"/>
  <c r="C18"/>
  <c r="C17"/>
  <c r="C16"/>
  <c r="C15"/>
  <c r="C14"/>
  <c r="H10" l="1"/>
  <c r="H9"/>
  <c r="H8"/>
  <c r="H7"/>
  <c r="I6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1" i="76"/>
  <c r="Y10"/>
  <c r="Y9"/>
  <c r="W10"/>
  <c r="W11"/>
  <c r="W9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3"/>
  <c r="D3"/>
  <c r="E3"/>
  <c r="F3"/>
  <c r="G3"/>
  <c r="H3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"/>
  <c r="L3"/>
  <c r="M3"/>
  <c r="N3"/>
  <c r="S3"/>
  <c r="B3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L3" i="3"/>
  <c r="L4" s="1"/>
  <c r="L5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4"/>
  <c r="D7" s="1"/>
  <c r="D8" s="1"/>
  <c r="D9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4" s="1"/>
  <c r="J5" s="1"/>
  <c r="J7" s="1"/>
  <c r="J8" s="1"/>
  <c r="J9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O2"/>
  <c r="P2"/>
  <c r="Q2"/>
  <c r="R2"/>
  <c r="R4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4" s="1"/>
  <c r="B5" s="1"/>
  <c r="B7" s="1"/>
  <c r="B8" s="1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Z5"/>
  <c r="BA5"/>
  <c r="BB5"/>
  <c r="B5"/>
  <c r="C5" i="5"/>
  <c r="D5"/>
  <c r="E5"/>
  <c r="F5"/>
  <c r="G5"/>
  <c r="G7" s="1"/>
  <c r="G11" s="1"/>
  <c r="G13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X5"/>
  <c r="X7" s="1"/>
  <c r="X10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9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M5"/>
  <c r="AN5"/>
  <c r="AO5"/>
  <c r="AP5"/>
  <c r="AQ5"/>
  <c r="AR5"/>
  <c r="AT5"/>
  <c r="AT13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7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F10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4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G4"/>
  <c r="K4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7" s="1"/>
  <c r="M9" s="1"/>
  <c r="M10" s="1"/>
  <c r="M11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P4"/>
  <c r="P7" s="1"/>
  <c r="P9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9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W4"/>
  <c r="X4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AB4"/>
  <c r="AE4"/>
  <c r="AF4"/>
  <c r="AL4"/>
  <c r="AO4"/>
  <c r="AP4"/>
  <c r="AQ4"/>
  <c r="AV4"/>
  <c r="AW4"/>
  <c r="B4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W4" i="2"/>
  <c r="W5" s="1"/>
  <c r="W6" s="1"/>
  <c r="W7" s="1"/>
  <c r="W8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2"/>
  <c r="H2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K2"/>
  <c r="L2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4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5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5" s="1"/>
  <c r="AA6" s="1"/>
  <c r="AA7" s="1"/>
  <c r="AA8" s="1"/>
  <c r="AA9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H12" i="79" l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8" i="1" l="1"/>
  <c r="AN9" s="1"/>
  <c r="AN10" s="1"/>
  <c r="AN11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Y6" i="5" l="1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B6" i="7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T6" i="1" l="1"/>
  <c r="AU6" s="1"/>
  <c r="A35" i="76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H6" s="1"/>
  <c r="M28" i="79"/>
  <c r="O27"/>
  <c r="I26"/>
  <c r="I3" i="8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C34" i="65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F35" i="75"/>
  <c r="G35" s="1"/>
  <c r="D3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Y26" i="7"/>
  <c r="AR26" s="1"/>
  <c r="AO30"/>
  <c r="L35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AI34" i="1" l="1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K34" i="1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36" i="74" l="1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S40" l="1"/>
  <c r="AV6" l="1"/>
  <c r="AV7" l="1"/>
  <c r="H2" i="8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M5" i="5" l="1"/>
  <c r="M6" s="1"/>
  <c r="O5"/>
  <c r="O6" s="1"/>
  <c r="V5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H4" i="1"/>
  <c r="Z4"/>
  <c r="AC4"/>
  <c r="AR4"/>
  <c r="AC6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5"/>
  <c r="V5" s="1"/>
  <c r="M7" i="5"/>
  <c r="N6"/>
  <c r="Z6" i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5"/>
  <c r="AH5" s="1"/>
  <c r="O7" i="5"/>
  <c r="P6"/>
  <c r="Q6" s="1"/>
  <c r="M2" i="81" s="1"/>
  <c r="V7" i="5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6"/>
  <c r="AL6" s="1"/>
  <c r="AL37" s="1"/>
  <c r="O8" l="1"/>
  <c r="P7"/>
  <c r="W5" i="1"/>
  <c r="B5" i="65"/>
  <c r="V36" i="1"/>
  <c r="AG5"/>
  <c r="AM5"/>
  <c r="M8" i="5"/>
  <c r="N7"/>
  <c r="C5" i="65"/>
  <c r="AI5" i="1"/>
  <c r="AH36"/>
  <c r="Q7" i="5" l="1"/>
  <c r="M3" i="81" s="1"/>
  <c r="E5" i="65"/>
  <c r="O9" i="5"/>
  <c r="P8"/>
  <c r="AW6" i="7"/>
  <c r="AI37" i="1"/>
  <c r="F6" i="75"/>
  <c r="G6" s="1"/>
  <c r="AM36" i="1"/>
  <c r="M9" i="5"/>
  <c r="N8"/>
  <c r="M10" l="1"/>
  <c r="N9"/>
  <c r="Q8"/>
  <c r="M4" i="81" s="1"/>
  <c r="O10" i="5"/>
  <c r="P9"/>
  <c r="G2" i="81"/>
  <c r="AJ5" i="1"/>
  <c r="AK5" s="1"/>
  <c r="AX6" i="7"/>
  <c r="Q9" i="5" l="1"/>
  <c r="M5" i="81" s="1"/>
  <c r="M11" i="5"/>
  <c r="N10"/>
  <c r="O11"/>
  <c r="P10"/>
  <c r="AX37" i="7"/>
  <c r="Z40" i="76" s="1"/>
  <c r="Q4"/>
  <c r="AY6" i="7"/>
  <c r="AY37" s="1"/>
  <c r="V9" i="76"/>
  <c r="O12" i="5" l="1"/>
  <c r="P11"/>
  <c r="Q11" s="1"/>
  <c r="M7" i="81" s="1"/>
  <c r="M12" i="5"/>
  <c r="N11"/>
  <c r="Q10"/>
  <c r="M6" i="81" s="1"/>
  <c r="O13" i="5" l="1"/>
  <c r="P12"/>
  <c r="Q12" s="1"/>
  <c r="M8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Q16" i="5" l="1"/>
  <c r="M12" i="81" s="1"/>
  <c r="O18" i="5"/>
  <c r="P17"/>
  <c r="Q17" s="1"/>
  <c r="M13" i="81" s="1"/>
  <c r="M18" i="5"/>
  <c r="N17"/>
  <c r="O19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V11" i="76"/>
  <c r="V10"/>
  <c r="M24" i="5" l="1"/>
  <c r="N23"/>
  <c r="O24"/>
  <c r="P23"/>
  <c r="M25" l="1"/>
  <c r="N24"/>
  <c r="O25"/>
  <c r="P24"/>
  <c r="Q23"/>
  <c r="M19" i="81" s="1"/>
  <c r="O26" i="5" l="1"/>
  <c r="P25"/>
  <c r="Q25" s="1"/>
  <c r="M21" i="81" s="1"/>
  <c r="Q24" i="5"/>
  <c r="M20" i="81" s="1"/>
  <c r="M26" i="5"/>
  <c r="N25"/>
  <c r="O27" l="1"/>
  <c r="P26"/>
  <c r="Q26" s="1"/>
  <c r="M22" i="81" s="1"/>
  <c r="M27" i="5"/>
  <c r="N26"/>
  <c r="N2" i="3"/>
  <c r="O28" i="5" l="1"/>
  <c r="P27"/>
  <c r="Q27" s="1"/>
  <c r="M23" i="81" s="1"/>
  <c r="M28" i="5"/>
  <c r="N27"/>
  <c r="AB2" i="3"/>
  <c r="O29" i="5" l="1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O32" l="1"/>
  <c r="P31"/>
  <c r="Q31" s="1"/>
  <c r="M27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AD5"/>
  <c r="W5"/>
  <c r="O35" l="1"/>
  <c r="P34"/>
  <c r="Q34" s="1"/>
  <c r="M30" i="81" s="1"/>
  <c r="M35" i="5"/>
  <c r="N34"/>
  <c r="O36" l="1"/>
  <c r="P36" s="1"/>
  <c r="Q36" s="1"/>
  <c r="P35"/>
  <c r="M36"/>
  <c r="N36" s="1"/>
  <c r="N35"/>
  <c r="AL5"/>
  <c r="Q35" l="1"/>
  <c r="I4" i="1"/>
  <c r="AS4"/>
  <c r="M31" i="81" l="1"/>
  <c r="AG4" i="1"/>
  <c r="AD4"/>
  <c r="AM4"/>
  <c r="F5" i="75" s="1"/>
  <c r="G5" s="1"/>
  <c r="J4" i="1"/>
  <c r="AT4"/>
  <c r="AU5" s="1"/>
  <c r="V4"/>
  <c r="AH4" l="1"/>
  <c r="AA4"/>
  <c r="I2" i="81"/>
  <c r="AU36" i="1"/>
  <c r="AU38" s="1"/>
  <c r="AI4" l="1"/>
  <c r="AW5" i="7" l="1"/>
  <c r="AK4" i="1" l="1"/>
  <c r="AJ4"/>
  <c r="W16" i="76" l="1"/>
  <c r="W15"/>
  <c r="AU4" i="1" l="1"/>
  <c r="W14" i="76" l="1"/>
  <c r="X14" l="1"/>
  <c r="AD11"/>
  <c r="AD9"/>
  <c r="AD10"/>
  <c r="Y14" l="1"/>
  <c r="AA9" l="1"/>
  <c r="AA11" l="1"/>
  <c r="AB10"/>
  <c r="AA10"/>
  <c r="AA12"/>
  <c r="AB11" l="1"/>
  <c r="AB13"/>
  <c r="AB9"/>
  <c r="Q3" l="1"/>
  <c r="AX5" i="7"/>
  <c r="AY5"/>
  <c r="M2" i="3" l="1"/>
  <c r="AA2" l="1"/>
  <c r="AH2" l="1"/>
  <c r="AC2"/>
  <c r="O4" i="1" l="1"/>
  <c r="O5" s="1"/>
  <c r="O6" s="1"/>
  <c r="O7" s="1"/>
  <c r="O8" s="1"/>
  <c r="O9" s="1"/>
  <c r="O10" s="1"/>
  <c r="O11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5" i="7" l="1"/>
  <c r="AC11" i="76" l="1"/>
  <c r="AC28" s="1"/>
  <c r="AC10"/>
  <c r="AC27" s="1"/>
  <c r="AC9"/>
  <c r="AC26" s="1"/>
  <c r="AC30" l="1"/>
  <c r="AC13"/>
  <c r="W38" l="1"/>
  <c r="W40" s="1"/>
  <c r="W42" s="1"/>
  <c r="AC31"/>
  <c r="O26" l="1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O1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O28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AC14" i="76"/>
  <c r="AB14"/>
  <c r="AB34" l="1"/>
  <c r="AB35" s="1"/>
  <c r="AB36"/>
  <c r="AB38" s="1"/>
  <c r="Z39" s="1"/>
  <c r="Z41" s="1"/>
  <c r="Z43" s="1"/>
  <c r="AA40"/>
  <c r="D10" i="77"/>
  <c r="E10" s="1"/>
  <c r="O3" i="76"/>
  <c r="AB19" l="1"/>
  <c r="AB18"/>
  <c r="AA41"/>
  <c r="AB40"/>
  <c r="AB41" s="1"/>
  <c r="E12" i="77"/>
  <c r="G10"/>
  <c r="G12" s="1"/>
  <c r="F10"/>
  <c r="F12" s="1"/>
  <c r="P3" i="76"/>
  <c r="H14" i="77" l="1"/>
  <c r="I14"/>
  <c r="R3" i="76"/>
  <c r="T3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J9" i="81" l="1"/>
  <c r="AX13" i="1"/>
  <c r="J10" i="81" l="1"/>
  <c r="AX14" i="1"/>
  <c r="AX15" l="1"/>
  <c r="J11" i="81"/>
  <c r="AX16" i="1" l="1"/>
  <c r="J12" i="81"/>
  <c r="J13" l="1"/>
  <c r="AX17" i="1"/>
  <c r="AX18" l="1"/>
  <c r="J14" i="81"/>
  <c r="AX19" i="1" l="1"/>
  <c r="J15" i="81"/>
  <c r="J16" l="1"/>
  <c r="AX20" i="1"/>
  <c r="AX21" l="1"/>
  <c r="J17" i="81"/>
  <c r="J18" l="1"/>
  <c r="AX22" i="1"/>
  <c r="J19" i="81" l="1"/>
  <c r="AX23" i="1"/>
  <c r="AX24" l="1"/>
  <c r="J20" i="81"/>
  <c r="AX25" i="1" l="1"/>
  <c r="J21" i="81"/>
  <c r="AX26" i="1" l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N5" i="5"/>
  <c r="P5" l="1"/>
  <c r="AX35" i="1"/>
  <c r="J31" i="81"/>
  <c r="Q5" i="5" l="1"/>
  <c r="Q37" s="1"/>
  <c r="O38" s="1"/>
  <c r="Y2" i="3" l="1"/>
  <c r="AY5" i="5" l="1"/>
  <c r="AS5"/>
  <c r="AS6" s="1"/>
  <c r="AY6" l="1"/>
  <c r="BB6" s="1"/>
  <c r="BE6" s="1"/>
  <c r="AS7"/>
  <c r="BB5" l="1"/>
  <c r="AS8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BE5" i="5"/>
  <c r="I4" i="63" l="1"/>
  <c r="BF8" i="5"/>
  <c r="BG8" s="1"/>
  <c r="G8" i="65" s="1"/>
  <c r="AS10" i="5"/>
  <c r="AY9"/>
  <c r="BB9" s="1"/>
  <c r="BE9" s="1"/>
  <c r="BG5"/>
  <c r="G5" i="65" s="1"/>
  <c r="BF5" i="5"/>
  <c r="BF9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8"/>
  <c r="BB18" s="1"/>
  <c r="BE18" s="1"/>
  <c r="AY19" l="1"/>
  <c r="BB19" s="1"/>
  <c r="BE19" s="1"/>
  <c r="AS20"/>
  <c r="BF18"/>
  <c r="BG18" s="1"/>
  <c r="G18" i="65" s="1"/>
  <c r="I14" i="63"/>
  <c r="AS21" i="5" l="1"/>
  <c r="AY20"/>
  <c r="BB20" s="1"/>
  <c r="BE20" s="1"/>
  <c r="BF19"/>
  <c r="BG19" s="1"/>
  <c r="G19" i="65" s="1"/>
  <c r="I15" i="63"/>
  <c r="AY21" i="5" l="1"/>
  <c r="BB21" s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I1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Open the water on the recovery tank after fixing the drain valve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<sst xmlns="http://schemas.openxmlformats.org/spreadsheetml/2006/main" count="653" uniqueCount="418">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</sst>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31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8" borderId="32" xfId="0" applyNumberFormat="1" applyFill="1" applyBorder="1"/>
    <xf numFmtId="0" fontId="0" fillId="5" borderId="1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313920"/>
        <c:axId val="127046016"/>
      </c:lineChart>
      <c:catAx>
        <c:axId val="1213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46016"/>
        <c:crosses val="autoZero"/>
        <c:auto val="1"/>
        <c:lblAlgn val="ctr"/>
        <c:lblOffset val="100"/>
      </c:catAx>
      <c:valAx>
        <c:axId val="127046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632320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786432"/>
        <c:axId val="128787968"/>
      </c:lineChart>
      <c:catAx>
        <c:axId val="12878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87968"/>
        <c:crosses val="autoZero"/>
        <c:auto val="1"/>
        <c:lblAlgn val="ctr"/>
        <c:lblOffset val="100"/>
      </c:catAx>
      <c:valAx>
        <c:axId val="12878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8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826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824448"/>
        <c:axId val="128825984"/>
      </c:lineChart>
      <c:catAx>
        <c:axId val="12882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25984"/>
        <c:crosses val="autoZero"/>
        <c:auto val="1"/>
        <c:lblAlgn val="ctr"/>
        <c:lblOffset val="100"/>
      </c:catAx>
      <c:valAx>
        <c:axId val="1288259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2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326"/>
          <c:y val="0.62975887529635965"/>
          <c:w val="7.9124755870162669E-2"/>
          <c:h val="4.4982698961947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850176"/>
        <c:axId val="128851968"/>
      </c:lineChart>
      <c:catAx>
        <c:axId val="1288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51968"/>
        <c:crosses val="autoZero"/>
        <c:auto val="1"/>
        <c:lblAlgn val="ctr"/>
        <c:lblOffset val="100"/>
      </c:catAx>
      <c:valAx>
        <c:axId val="1288519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56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867712"/>
        <c:axId val="128873600"/>
      </c:lineChart>
      <c:catAx>
        <c:axId val="12886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73600"/>
        <c:crosses val="autoZero"/>
        <c:auto val="1"/>
        <c:lblAlgn val="ctr"/>
        <c:lblOffset val="100"/>
      </c:catAx>
      <c:valAx>
        <c:axId val="128873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6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60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646016"/>
        <c:axId val="132647552"/>
      </c:lineChart>
      <c:catAx>
        <c:axId val="1326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47552"/>
        <c:crosses val="autoZero"/>
        <c:auto val="1"/>
        <c:lblAlgn val="ctr"/>
        <c:lblOffset val="100"/>
      </c:catAx>
      <c:valAx>
        <c:axId val="132647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675840"/>
        <c:axId val="132681728"/>
      </c:lineChart>
      <c:catAx>
        <c:axId val="13267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81728"/>
        <c:crosses val="autoZero"/>
        <c:auto val="1"/>
        <c:lblAlgn val="ctr"/>
        <c:lblOffset val="100"/>
      </c:catAx>
      <c:valAx>
        <c:axId val="13268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7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693376"/>
        <c:axId val="142369920"/>
      </c:lineChart>
      <c:catAx>
        <c:axId val="13269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69920"/>
        <c:crosses val="autoZero"/>
        <c:auto val="1"/>
        <c:lblAlgn val="ctr"/>
        <c:lblOffset val="100"/>
      </c:catAx>
      <c:valAx>
        <c:axId val="14236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9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398208"/>
        <c:axId val="142399744"/>
      </c:lineChart>
      <c:catAx>
        <c:axId val="14239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99744"/>
        <c:crosses val="autoZero"/>
        <c:auto val="1"/>
        <c:lblAlgn val="ctr"/>
        <c:lblOffset val="100"/>
      </c:catAx>
      <c:valAx>
        <c:axId val="142399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9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74"/>
          <c:w val="0.1272403315177299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444416"/>
        <c:axId val="142445952"/>
      </c:lineChart>
      <c:catAx>
        <c:axId val="14244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45952"/>
        <c:crosses val="autoZero"/>
        <c:auto val="1"/>
        <c:lblAlgn val="ctr"/>
        <c:lblOffset val="100"/>
      </c:catAx>
      <c:valAx>
        <c:axId val="14244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4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238</c:v>
                </c:pt>
                <c:pt idx="8">
                  <c:v>162</c:v>
                </c:pt>
                <c:pt idx="9">
                  <c:v>137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683136"/>
        <c:axId val="142697216"/>
      </c:lineChart>
      <c:catAx>
        <c:axId val="14268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97216"/>
        <c:crosses val="autoZero"/>
        <c:auto val="1"/>
        <c:lblAlgn val="ctr"/>
        <c:lblOffset val="100"/>
      </c:catAx>
      <c:valAx>
        <c:axId val="14269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8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74"/>
          <c:w val="0.135416885389350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717312"/>
        <c:axId val="142718848"/>
      </c:lineChart>
      <c:catAx>
        <c:axId val="14271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18848"/>
        <c:crosses val="autoZero"/>
        <c:auto val="1"/>
        <c:lblAlgn val="ctr"/>
        <c:lblOffset val="100"/>
      </c:catAx>
      <c:valAx>
        <c:axId val="142718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1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7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747520"/>
        <c:axId val="142749056"/>
      </c:lineChart>
      <c:catAx>
        <c:axId val="14274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49056"/>
        <c:crosses val="autoZero"/>
        <c:auto val="1"/>
        <c:lblAlgn val="ctr"/>
        <c:lblOffset val="100"/>
      </c:catAx>
      <c:valAx>
        <c:axId val="142749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4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632320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781440"/>
        <c:axId val="142791424"/>
      </c:lineChart>
      <c:catAx>
        <c:axId val="14278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91424"/>
        <c:crosses val="autoZero"/>
        <c:auto val="1"/>
        <c:lblAlgn val="ctr"/>
        <c:lblOffset val="100"/>
      </c:catAx>
      <c:valAx>
        <c:axId val="14279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8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74"/>
          <c:w val="0.135416885389350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832000"/>
        <c:axId val="142833536"/>
      </c:lineChart>
      <c:catAx>
        <c:axId val="14283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33536"/>
        <c:crosses val="autoZero"/>
        <c:auto val="1"/>
        <c:lblAlgn val="ctr"/>
        <c:lblOffset val="100"/>
      </c:catAx>
      <c:valAx>
        <c:axId val="142833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3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482"/>
          <c:y val="0.54325368498487869"/>
          <c:w val="0.11458355205599259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-496.01935483871785</c:v>
                </c:pt>
                <c:pt idx="2">
                  <c:v>-730.69032258065999</c:v>
                </c:pt>
                <c:pt idx="3">
                  <c:v>-920.03225806450064</c:v>
                </c:pt>
                <c:pt idx="4">
                  <c:v>-850.03225806451519</c:v>
                </c:pt>
                <c:pt idx="5">
                  <c:v>-1630.0645161290449</c:v>
                </c:pt>
                <c:pt idx="6">
                  <c:v>474.35806451612734</c:v>
                </c:pt>
                <c:pt idx="7">
                  <c:v>-754.35806451612734</c:v>
                </c:pt>
                <c:pt idx="8">
                  <c:v>-543.35483870966709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931456"/>
        <c:axId val="142932992"/>
      </c:lineChart>
      <c:catAx>
        <c:axId val="14293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32992"/>
        <c:crosses val="autoZero"/>
        <c:auto val="1"/>
        <c:lblAlgn val="ctr"/>
        <c:lblOffset val="100"/>
      </c:catAx>
      <c:valAx>
        <c:axId val="142932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3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56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5553536"/>
        <c:axId val="175563520"/>
      </c:lineChart>
      <c:catAx>
        <c:axId val="17555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63520"/>
        <c:crosses val="autoZero"/>
        <c:auto val="1"/>
        <c:lblAlgn val="ctr"/>
        <c:lblOffset val="100"/>
      </c:catAx>
      <c:valAx>
        <c:axId val="17556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5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107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131968"/>
        <c:axId val="120133504"/>
      </c:lineChart>
      <c:catAx>
        <c:axId val="12013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33504"/>
        <c:crosses val="autoZero"/>
        <c:auto val="1"/>
        <c:lblAlgn val="ctr"/>
        <c:lblOffset val="100"/>
      </c:catAx>
      <c:valAx>
        <c:axId val="1201335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3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44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165888"/>
        <c:axId val="120167424"/>
      </c:lineChart>
      <c:catAx>
        <c:axId val="1201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67424"/>
        <c:crosses val="autoZero"/>
        <c:auto val="1"/>
        <c:lblAlgn val="ctr"/>
        <c:lblOffset val="100"/>
      </c:catAx>
      <c:valAx>
        <c:axId val="120167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179328"/>
        <c:axId val="120000896"/>
      </c:lineChart>
      <c:catAx>
        <c:axId val="12017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00896"/>
        <c:crosses val="autoZero"/>
        <c:auto val="1"/>
        <c:lblAlgn val="ctr"/>
        <c:lblOffset val="100"/>
      </c:catAx>
      <c:valAx>
        <c:axId val="12000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7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333"/>
          <c:y val="0.62975887529635965"/>
          <c:w val="0.13250539334757044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025088"/>
        <c:axId val="120026624"/>
      </c:lineChart>
      <c:catAx>
        <c:axId val="12002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6624"/>
        <c:crosses val="autoZero"/>
        <c:auto val="1"/>
        <c:lblAlgn val="ctr"/>
        <c:lblOffset val="100"/>
      </c:catAx>
      <c:valAx>
        <c:axId val="12002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7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468224"/>
        <c:axId val="142469760"/>
      </c:lineChart>
      <c:catAx>
        <c:axId val="14246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69760"/>
        <c:crosses val="autoZero"/>
        <c:auto val="1"/>
        <c:lblAlgn val="ctr"/>
        <c:lblOffset val="100"/>
      </c:catAx>
      <c:valAx>
        <c:axId val="14246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6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566"/>
          <c:w val="0.1234311819809273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2552448"/>
        <c:axId val="142558336"/>
      </c:lineChart>
      <c:catAx>
        <c:axId val="1425524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58336"/>
        <c:crosses val="autoZero"/>
        <c:auto val="1"/>
        <c:lblAlgn val="ctr"/>
        <c:lblOffset val="100"/>
      </c:catAx>
      <c:valAx>
        <c:axId val="1425583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5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601"/>
          <c:w val="0.1569039853282153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217984"/>
        <c:axId val="120219520"/>
      </c:lineChart>
      <c:catAx>
        <c:axId val="12021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19520"/>
        <c:crosses val="autoZero"/>
        <c:auto val="1"/>
        <c:lblAlgn val="ctr"/>
        <c:lblOffset val="100"/>
      </c:catAx>
      <c:valAx>
        <c:axId val="120219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1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231"/>
          <c:h val="4.49826989619476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379264"/>
        <c:axId val="120380800"/>
      </c:lineChart>
      <c:catAx>
        <c:axId val="12037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80800"/>
        <c:crosses val="autoZero"/>
        <c:auto val="1"/>
        <c:lblAlgn val="ctr"/>
        <c:lblOffset val="100"/>
      </c:catAx>
      <c:valAx>
        <c:axId val="12038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7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6462"/>
          <c:y val="0.62975887529635965"/>
          <c:w val="0.12164948453608219"/>
          <c:h val="4.49826989619476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933824"/>
        <c:axId val="121935360"/>
      </c:lineChart>
      <c:catAx>
        <c:axId val="12193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5360"/>
        <c:crosses val="autoZero"/>
        <c:auto val="1"/>
        <c:lblAlgn val="ctr"/>
        <c:lblOffset val="100"/>
      </c:catAx>
      <c:valAx>
        <c:axId val="121935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632320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996416"/>
        <c:axId val="121997952"/>
      </c:lineChart>
      <c:catAx>
        <c:axId val="12199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7952"/>
        <c:crosses val="autoZero"/>
        <c:auto val="1"/>
        <c:lblAlgn val="ctr"/>
        <c:lblOffset val="100"/>
      </c:catAx>
      <c:valAx>
        <c:axId val="12199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89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4390784"/>
        <c:axId val="124413056"/>
      </c:lineChart>
      <c:catAx>
        <c:axId val="1243907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13056"/>
        <c:crosses val="autoZero"/>
        <c:auto val="1"/>
        <c:lblAlgn val="ctr"/>
        <c:lblOffset val="100"/>
      </c:catAx>
      <c:valAx>
        <c:axId val="1244130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60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/>
      <sheetData sheetId="6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/>
      <sheetData sheetId="9"/>
      <sheetData sheetId="10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210387</v>
          </cell>
          <cell r="Y26">
            <v>80</v>
          </cell>
          <cell r="AA26">
            <v>46059</v>
          </cell>
          <cell r="AB26">
            <v>3684720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304747</v>
          </cell>
          <cell r="Y27">
            <v>112</v>
          </cell>
          <cell r="AA27">
            <v>62616</v>
          </cell>
          <cell r="AB27">
            <v>7012992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87055</v>
          </cell>
          <cell r="Y28">
            <v>320</v>
          </cell>
          <cell r="AA28">
            <v>23757</v>
          </cell>
          <cell r="AB28">
            <v>7602240</v>
          </cell>
          <cell r="AC28">
            <v>1000</v>
          </cell>
          <cell r="AD28">
            <v>0.17938746847486295</v>
          </cell>
        </row>
        <row r="29">
          <cell r="AA29">
            <v>132432</v>
          </cell>
        </row>
        <row r="30">
          <cell r="AB30">
            <v>18299952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25534285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2808771.35</v>
          </cell>
        </row>
        <row r="36">
          <cell r="AB36">
            <v>28343056.350000001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4.3804049623044343E-2</v>
      </c>
      <c r="G2" s="204">
        <f>-tanks!AW6</f>
        <v>205</v>
      </c>
      <c r="H2" s="333">
        <f>SUM(tanks!AV6)</f>
        <v>0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5.7945251075056353E-2</v>
      </c>
      <c r="G3" s="204">
        <f>-tanks!AW7</f>
        <v>97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8515</v>
      </c>
      <c r="F4" s="333">
        <f>SUM('EDl log'!T6)</f>
        <v>3.8992302531188253E-2</v>
      </c>
      <c r="G4" s="204">
        <f>-tanks!AW8</f>
        <v>0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250</v>
      </c>
      <c r="L4" s="334">
        <f>SUM(WATER!J8)</f>
        <v>1.8366399999999998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8156</v>
      </c>
      <c r="F5" s="333">
        <f>SUM('EDl log'!T7)</f>
        <v>4.4069933965939473E-2</v>
      </c>
      <c r="G5" s="204">
        <f>-tanks!AW9</f>
        <v>0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7853.3999999999069</v>
      </c>
      <c r="F6" s="333">
        <f>SUM('EDl log'!T8)</f>
        <v>4.354618702820446E-2</v>
      </c>
      <c r="G6" s="204">
        <f>-tanks!AW10</f>
        <v>0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193</v>
      </c>
      <c r="L6" s="334">
        <f>SUM(WATER!J10)</f>
        <v>1.2953367875647668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7743.2000000001863</v>
      </c>
      <c r="F7" s="333">
        <f>SUM('EDl log'!T9)</f>
        <v>4.4387982770994323E-2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6591.6000000000931</v>
      </c>
      <c r="F8" s="333">
        <f>SUM('EDl log'!T10)</f>
        <v>4.3905251741574697E-2</v>
      </c>
      <c r="G8" s="204">
        <f>-tanks!AW12</f>
        <v>238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190</v>
      </c>
      <c r="L8" s="334">
        <f>SUM(WATER!J12)</f>
        <v>1.3157894736842106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7125.7999999998137</v>
      </c>
      <c r="F9" s="333">
        <f>SUM('EDl log'!T11)</f>
        <v>4.3655284441137115E-2</v>
      </c>
      <c r="G9" s="204">
        <f>-tanks!AW13</f>
        <v>162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7376</v>
      </c>
      <c r="F10" s="333">
        <f>SUM('EDl log'!T12)</f>
        <v>4.8740330343941894E-2</v>
      </c>
      <c r="G10" s="204">
        <f>-tanks!AW14</f>
        <v>137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191</v>
      </c>
      <c r="L10" s="334">
        <f>SUM(WATER!J14)</f>
        <v>1.3089005235602094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3080</v>
      </c>
      <c r="F4" s="204">
        <f>ELEC!K5</f>
        <v>1166</v>
      </c>
      <c r="G4" s="204">
        <f>ELEC!I5</f>
        <v>924</v>
      </c>
      <c r="H4" s="204">
        <f>ELEC!E5</f>
        <v>2610</v>
      </c>
      <c r="I4" s="204">
        <f>ELEC!G5</f>
        <v>735</v>
      </c>
      <c r="J4" s="204">
        <f>WATER!Y8</f>
        <v>101</v>
      </c>
      <c r="K4" s="204">
        <f>WATER!AJ8</f>
        <v>10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2992</v>
      </c>
      <c r="F5" s="204">
        <f>ELEC!K6</f>
        <v>1120</v>
      </c>
      <c r="G5" s="204">
        <f>ELEC!I6</f>
        <v>894</v>
      </c>
      <c r="H5" s="204">
        <f>ELEC!E6</f>
        <v>2366</v>
      </c>
      <c r="I5" s="204">
        <f>ELEC!G6</f>
        <v>784</v>
      </c>
      <c r="J5" s="204">
        <f>WATER!Y9</f>
        <v>74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2876</v>
      </c>
      <c r="F6" s="204">
        <f>ELEC!K7</f>
        <v>984</v>
      </c>
      <c r="G6" s="204">
        <f>ELEC!I7</f>
        <v>846</v>
      </c>
      <c r="H6" s="204">
        <f>ELEC!E7</f>
        <v>2448</v>
      </c>
      <c r="I6" s="204">
        <f>ELEC!G7</f>
        <v>699.39999999990687</v>
      </c>
      <c r="J6" s="204">
        <f>WATER!Y10</f>
        <v>0</v>
      </c>
      <c r="K6" s="204">
        <f>WATER!AJ10</f>
        <v>28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2688</v>
      </c>
      <c r="F7" s="204">
        <f>ELEC!K8</f>
        <v>996</v>
      </c>
      <c r="G7" s="204">
        <f>ELEC!I8</f>
        <v>788</v>
      </c>
      <c r="H7" s="204">
        <f>ELEC!E8</f>
        <v>2604</v>
      </c>
      <c r="I7" s="204">
        <f>ELEC!G8</f>
        <v>667.20000000018626</v>
      </c>
      <c r="J7" s="204">
        <f>WATER!Y11</f>
        <v>64</v>
      </c>
      <c r="K7" s="204">
        <f>WATER!AJ11</f>
        <v>23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2208</v>
      </c>
      <c r="F8" s="204">
        <f>ELEC!K9</f>
        <v>860</v>
      </c>
      <c r="G8" s="204">
        <f>ELEC!I9</f>
        <v>780</v>
      </c>
      <c r="H8" s="204">
        <f>ELEC!E9</f>
        <v>2056</v>
      </c>
      <c r="I8" s="204">
        <f>ELEC!G9</f>
        <v>687.60000000009313</v>
      </c>
      <c r="J8" s="204">
        <f>WATER!Y12</f>
        <v>40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2412</v>
      </c>
      <c r="F9" s="204">
        <f>ELEC!K10</f>
        <v>940</v>
      </c>
      <c r="G9" s="204">
        <f>ELEC!I10</f>
        <v>818</v>
      </c>
      <c r="H9" s="204">
        <f>ELEC!E10</f>
        <v>2290</v>
      </c>
      <c r="I9" s="204">
        <f>ELEC!G10</f>
        <v>665.79999999981374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2168</v>
      </c>
      <c r="F10" s="204">
        <f>ELEC!K11</f>
        <v>960</v>
      </c>
      <c r="G10" s="204">
        <f>ELEC!I11</f>
        <v>828</v>
      </c>
      <c r="H10" s="204">
        <f>ELEC!E11</f>
        <v>2716</v>
      </c>
      <c r="I10" s="204">
        <f>ELEC!G11</f>
        <v>704</v>
      </c>
      <c r="J10" s="204">
        <f>WATER!Y14</f>
        <v>66</v>
      </c>
      <c r="K10" s="204">
        <f>WATER!AJ14</f>
        <v>23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11" activePane="bottomLeft" state="frozen"/>
      <selection activeCell="C1" sqref="C1"/>
      <selection pane="bottomLeft" activeCell="AC11" sqref="AC11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543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600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600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01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600">
        <v>3897774</v>
      </c>
      <c r="G4" s="315">
        <f t="shared" si="0"/>
        <v>756</v>
      </c>
      <c r="H4" s="451">
        <v>17703516</v>
      </c>
      <c r="I4" s="315">
        <f>H4-H3</f>
        <v>894</v>
      </c>
      <c r="J4" s="600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01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600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v>32392356</v>
      </c>
      <c r="E5" s="314">
        <f t="shared" ref="E5:E32" si="14">D5-D4</f>
        <v>2610</v>
      </c>
      <c r="F5" s="600">
        <v>3898509</v>
      </c>
      <c r="G5" s="315">
        <f t="shared" si="0"/>
        <v>735</v>
      </c>
      <c r="H5" s="451">
        <v>17704440</v>
      </c>
      <c r="I5" s="315">
        <f t="shared" ref="I5:I31" si="15">H5-H4</f>
        <v>924</v>
      </c>
      <c r="J5" s="600">
        <v>28763850</v>
      </c>
      <c r="K5" s="315">
        <f t="shared" ref="K5:K31" si="16">J5-J4</f>
        <v>1166</v>
      </c>
      <c r="L5" s="451">
        <v>23813262</v>
      </c>
      <c r="M5" s="315">
        <f t="shared" ref="M5:M31" si="17">L5-L4</f>
        <v>3080</v>
      </c>
      <c r="N5" s="313">
        <f t="shared" ref="N5:N31" si="18">M5+K5+I5+G5+E5</f>
        <v>8515</v>
      </c>
      <c r="O5" s="473">
        <f t="shared" si="1"/>
        <v>0</v>
      </c>
      <c r="P5" s="601">
        <v>16407</v>
      </c>
      <c r="Q5" s="474">
        <f>(P5-P4)*1000</f>
        <v>2000</v>
      </c>
      <c r="R5" s="455">
        <f>N5-Q5</f>
        <v>6515</v>
      </c>
      <c r="S5" s="451">
        <v>9971</v>
      </c>
      <c r="T5" s="475">
        <f t="shared" si="3"/>
        <v>8</v>
      </c>
      <c r="U5" s="451">
        <f t="shared" ref="U5:U33" si="19">U4</f>
        <v>392986</v>
      </c>
      <c r="V5" s="455">
        <f t="shared" ref="V5:V32" si="20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1">AA5-AA4</f>
        <v>0</v>
      </c>
      <c r="AC5" s="451">
        <f t="shared" si="11"/>
        <v>905341</v>
      </c>
      <c r="AD5" s="455">
        <f t="shared" ref="AD5:AD16" si="22">AC5-AC4</f>
        <v>0</v>
      </c>
      <c r="AE5" s="478">
        <f t="shared" si="12"/>
        <v>8</v>
      </c>
      <c r="AF5" s="479">
        <f t="shared" si="13"/>
        <v>0</v>
      </c>
      <c r="AG5" s="471">
        <f t="shared" si="5"/>
        <v>0</v>
      </c>
      <c r="AI5" s="472">
        <f>R5-'EDl log'!B3</f>
        <v>-595675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v>32394722</v>
      </c>
      <c r="E6" s="314">
        <f t="shared" si="14"/>
        <v>2366</v>
      </c>
      <c r="F6" s="600">
        <v>3899293</v>
      </c>
      <c r="G6" s="315">
        <f t="shared" si="0"/>
        <v>784</v>
      </c>
      <c r="H6" s="451">
        <v>17705334</v>
      </c>
      <c r="I6" s="315">
        <f t="shared" si="15"/>
        <v>894</v>
      </c>
      <c r="J6" s="600">
        <v>28764970</v>
      </c>
      <c r="K6" s="315">
        <f t="shared" si="16"/>
        <v>1120</v>
      </c>
      <c r="L6" s="451">
        <v>23816254</v>
      </c>
      <c r="M6" s="315">
        <f t="shared" si="17"/>
        <v>2992</v>
      </c>
      <c r="N6" s="313">
        <f t="shared" si="18"/>
        <v>8156</v>
      </c>
      <c r="O6" s="473">
        <f t="shared" si="1"/>
        <v>0</v>
      </c>
      <c r="P6" s="601">
        <v>16409</v>
      </c>
      <c r="Q6" s="455">
        <f t="shared" si="2"/>
        <v>2000</v>
      </c>
      <c r="R6" s="455">
        <f t="shared" ref="R6:R12" si="23">N6-Q6</f>
        <v>6156</v>
      </c>
      <c r="S6" s="451">
        <v>9976</v>
      </c>
      <c r="T6" s="475">
        <f t="shared" si="3"/>
        <v>5</v>
      </c>
      <c r="U6" s="451">
        <v>395262</v>
      </c>
      <c r="V6" s="455">
        <f t="shared" si="20"/>
        <v>2276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24">Y6-Y5</f>
        <v>0</v>
      </c>
      <c r="AA6" s="451">
        <f t="shared" si="10"/>
        <v>35632</v>
      </c>
      <c r="AB6" s="455">
        <f t="shared" si="21"/>
        <v>0</v>
      </c>
      <c r="AC6" s="451">
        <f t="shared" si="11"/>
        <v>905341</v>
      </c>
      <c r="AD6" s="455">
        <f t="shared" si="22"/>
        <v>0</v>
      </c>
      <c r="AE6" s="478">
        <f t="shared" si="12"/>
        <v>5</v>
      </c>
      <c r="AF6" s="479">
        <f t="shared" si="13"/>
        <v>2276</v>
      </c>
      <c r="AG6" s="471">
        <f t="shared" si="5"/>
        <v>455.2</v>
      </c>
      <c r="AI6" s="472">
        <f>R6-'EDl log'!B4</f>
        <v>-599465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v>32397170</v>
      </c>
      <c r="E7" s="314">
        <f t="shared" si="14"/>
        <v>2448</v>
      </c>
      <c r="F7" s="600">
        <v>3899992.4</v>
      </c>
      <c r="G7" s="315">
        <f t="shared" si="0"/>
        <v>699.39999999990687</v>
      </c>
      <c r="H7" s="451">
        <v>17706180</v>
      </c>
      <c r="I7" s="315">
        <f t="shared" si="15"/>
        <v>846</v>
      </c>
      <c r="J7" s="600">
        <v>28765954</v>
      </c>
      <c r="K7" s="315">
        <f t="shared" si="16"/>
        <v>984</v>
      </c>
      <c r="L7" s="451">
        <v>23819130</v>
      </c>
      <c r="M7" s="315">
        <f t="shared" si="17"/>
        <v>2876</v>
      </c>
      <c r="N7" s="313">
        <f t="shared" si="18"/>
        <v>7853.3999999999069</v>
      </c>
      <c r="O7" s="473">
        <f t="shared" si="1"/>
        <v>0</v>
      </c>
      <c r="P7" s="601">
        <v>16410</v>
      </c>
      <c r="Q7" s="455">
        <f t="shared" si="2"/>
        <v>1000</v>
      </c>
      <c r="R7" s="455">
        <f t="shared" si="23"/>
        <v>6853.3999999999069</v>
      </c>
      <c r="S7" s="451">
        <v>9982</v>
      </c>
      <c r="T7" s="475">
        <f t="shared" si="3"/>
        <v>6</v>
      </c>
      <c r="U7" s="600">
        <v>396340</v>
      </c>
      <c r="V7" s="455">
        <f t="shared" si="20"/>
        <v>1078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24"/>
        <v>0</v>
      </c>
      <c r="AA7" s="451">
        <f t="shared" si="10"/>
        <v>35632</v>
      </c>
      <c r="AB7" s="455">
        <f t="shared" si="21"/>
        <v>0</v>
      </c>
      <c r="AC7" s="451">
        <f t="shared" si="11"/>
        <v>905341</v>
      </c>
      <c r="AD7" s="455">
        <f t="shared" si="22"/>
        <v>0</v>
      </c>
      <c r="AE7" s="478">
        <f t="shared" si="12"/>
        <v>6</v>
      </c>
      <c r="AF7" s="479">
        <f t="shared" si="13"/>
        <v>1078</v>
      </c>
      <c r="AG7" s="471">
        <f t="shared" si="5"/>
        <v>179.66666666666666</v>
      </c>
      <c r="AI7" s="472">
        <f>R7-'EDl log'!B5</f>
        <v>-602619.60000000009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v>32399774</v>
      </c>
      <c r="E8" s="314">
        <f t="shared" si="14"/>
        <v>2604</v>
      </c>
      <c r="F8" s="600">
        <v>3900659.6</v>
      </c>
      <c r="G8" s="315">
        <f t="shared" si="0"/>
        <v>667.20000000018626</v>
      </c>
      <c r="H8" s="451">
        <v>17706968</v>
      </c>
      <c r="I8" s="315">
        <f t="shared" si="15"/>
        <v>788</v>
      </c>
      <c r="J8" s="600">
        <v>28766950</v>
      </c>
      <c r="K8" s="315">
        <f t="shared" si="16"/>
        <v>996</v>
      </c>
      <c r="L8" s="451">
        <v>23821818</v>
      </c>
      <c r="M8" s="315">
        <f t="shared" si="17"/>
        <v>2688</v>
      </c>
      <c r="N8" s="313">
        <f t="shared" si="18"/>
        <v>7743.2000000001863</v>
      </c>
      <c r="O8" s="473">
        <f t="shared" si="1"/>
        <v>0</v>
      </c>
      <c r="P8" s="601">
        <v>16412</v>
      </c>
      <c r="Q8" s="455">
        <f t="shared" si="2"/>
        <v>2000</v>
      </c>
      <c r="R8" s="455">
        <f t="shared" si="23"/>
        <v>5743.2000000001863</v>
      </c>
      <c r="S8" s="451">
        <v>9987</v>
      </c>
      <c r="T8" s="475">
        <f t="shared" si="3"/>
        <v>5</v>
      </c>
      <c r="U8" s="451">
        <v>397254</v>
      </c>
      <c r="V8" s="455">
        <f t="shared" si="20"/>
        <v>914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24"/>
        <v>0</v>
      </c>
      <c r="AA8" s="451">
        <f t="shared" si="10"/>
        <v>35632</v>
      </c>
      <c r="AB8" s="455">
        <f t="shared" si="21"/>
        <v>0</v>
      </c>
      <c r="AC8" s="451">
        <f t="shared" si="11"/>
        <v>905341</v>
      </c>
      <c r="AD8" s="455">
        <f t="shared" si="22"/>
        <v>0</v>
      </c>
      <c r="AE8" s="478">
        <f t="shared" si="12"/>
        <v>5</v>
      </c>
      <c r="AF8" s="479">
        <f t="shared" si="13"/>
        <v>914</v>
      </c>
      <c r="AG8" s="471">
        <f t="shared" si="5"/>
        <v>182.8</v>
      </c>
      <c r="AI8" s="472">
        <f>R8-'EDl log'!B6</f>
        <v>-607268.79999999981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v>32401830</v>
      </c>
      <c r="E9" s="314">
        <f t="shared" si="14"/>
        <v>2056</v>
      </c>
      <c r="F9" s="600">
        <v>3901347.2</v>
      </c>
      <c r="G9" s="315">
        <f t="shared" si="0"/>
        <v>687.60000000009313</v>
      </c>
      <c r="H9" s="451">
        <v>17707748</v>
      </c>
      <c r="I9" s="315">
        <f t="shared" si="15"/>
        <v>780</v>
      </c>
      <c r="J9" s="600">
        <v>28767810</v>
      </c>
      <c r="K9" s="315">
        <f t="shared" si="16"/>
        <v>860</v>
      </c>
      <c r="L9" s="451">
        <v>23824026</v>
      </c>
      <c r="M9" s="315">
        <f t="shared" si="17"/>
        <v>2208</v>
      </c>
      <c r="N9" s="313">
        <f t="shared" si="18"/>
        <v>6591.6000000000931</v>
      </c>
      <c r="O9" s="473">
        <f t="shared" si="1"/>
        <v>0</v>
      </c>
      <c r="P9" s="601">
        <v>16412</v>
      </c>
      <c r="Q9" s="455">
        <f t="shared" si="2"/>
        <v>0</v>
      </c>
      <c r="R9" s="455">
        <f t="shared" si="23"/>
        <v>6591.6000000000931</v>
      </c>
      <c r="S9" s="451">
        <v>9990</v>
      </c>
      <c r="T9" s="475">
        <f t="shared" si="3"/>
        <v>3</v>
      </c>
      <c r="U9" s="451">
        <v>397917</v>
      </c>
      <c r="V9" s="455">
        <f t="shared" si="20"/>
        <v>663</v>
      </c>
      <c r="W9" s="451">
        <f t="shared" si="8"/>
        <v>32049</v>
      </c>
      <c r="X9" s="455">
        <f t="shared" ref="X9:X32" si="25">W9-W8</f>
        <v>0</v>
      </c>
      <c r="Y9" s="451">
        <f t="shared" si="9"/>
        <v>673052</v>
      </c>
      <c r="Z9" s="455">
        <f t="shared" si="24"/>
        <v>0</v>
      </c>
      <c r="AA9" s="451">
        <f t="shared" si="10"/>
        <v>35632</v>
      </c>
      <c r="AB9" s="455">
        <f t="shared" si="21"/>
        <v>0</v>
      </c>
      <c r="AC9" s="451">
        <f t="shared" si="11"/>
        <v>905341</v>
      </c>
      <c r="AD9" s="455">
        <f t="shared" si="22"/>
        <v>0</v>
      </c>
      <c r="AE9" s="478">
        <f t="shared" si="12"/>
        <v>3</v>
      </c>
      <c r="AF9" s="479">
        <f t="shared" si="13"/>
        <v>663</v>
      </c>
      <c r="AG9" s="471">
        <f t="shared" si="5"/>
        <v>221</v>
      </c>
      <c r="AI9" s="472">
        <f>R9-'EDl log'!B7</f>
        <v>-609779.39999999991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v>32404120</v>
      </c>
      <c r="E10" s="314">
        <f t="shared" si="14"/>
        <v>2290</v>
      </c>
      <c r="F10" s="600">
        <v>3902013</v>
      </c>
      <c r="G10" s="315">
        <f t="shared" si="0"/>
        <v>665.79999999981374</v>
      </c>
      <c r="H10" s="451">
        <v>17708566</v>
      </c>
      <c r="I10" s="315">
        <f t="shared" si="15"/>
        <v>818</v>
      </c>
      <c r="J10" s="600">
        <v>28768750</v>
      </c>
      <c r="K10" s="315">
        <f t="shared" si="16"/>
        <v>940</v>
      </c>
      <c r="L10" s="451">
        <v>23826438</v>
      </c>
      <c r="M10" s="315">
        <f t="shared" si="17"/>
        <v>2412</v>
      </c>
      <c r="N10" s="313">
        <f t="shared" si="18"/>
        <v>7125.7999999998137</v>
      </c>
      <c r="O10" s="473">
        <f t="shared" ref="O10:O32" si="26">IF(B10&gt;0,N10/B10,0)</f>
        <v>0</v>
      </c>
      <c r="P10" s="601">
        <v>16414</v>
      </c>
      <c r="Q10" s="455">
        <f t="shared" si="2"/>
        <v>2000</v>
      </c>
      <c r="R10" s="455">
        <f t="shared" si="23"/>
        <v>5125.7999999998137</v>
      </c>
      <c r="S10" s="451">
        <v>9995</v>
      </c>
      <c r="T10" s="475">
        <f t="shared" si="3"/>
        <v>5</v>
      </c>
      <c r="U10" s="451">
        <v>398801</v>
      </c>
      <c r="V10" s="455">
        <f t="shared" si="20"/>
        <v>884</v>
      </c>
      <c r="W10" s="451">
        <v>32049</v>
      </c>
      <c r="X10" s="455">
        <f t="shared" si="25"/>
        <v>0</v>
      </c>
      <c r="Y10" s="451">
        <f t="shared" si="9"/>
        <v>673052</v>
      </c>
      <c r="Z10" s="455">
        <f t="shared" si="24"/>
        <v>0</v>
      </c>
      <c r="AA10" s="451">
        <v>35632</v>
      </c>
      <c r="AB10" s="455">
        <f t="shared" si="21"/>
        <v>0</v>
      </c>
      <c r="AC10" s="451">
        <v>905341</v>
      </c>
      <c r="AD10" s="455">
        <f t="shared" si="22"/>
        <v>0</v>
      </c>
      <c r="AE10" s="478">
        <f t="shared" si="12"/>
        <v>5</v>
      </c>
      <c r="AF10" s="479">
        <f t="shared" si="13"/>
        <v>884</v>
      </c>
      <c r="AG10" s="471">
        <f t="shared" ref="AG10:AG32" si="27">IF(AE10&gt;0,AF10/AE10,0)</f>
        <v>176.8</v>
      </c>
      <c r="AI10" s="472">
        <f>R10-'EDl log'!B8</f>
        <v>-614554.20000000019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v>32406836</v>
      </c>
      <c r="E11" s="314">
        <f t="shared" si="14"/>
        <v>2716</v>
      </c>
      <c r="F11" s="600">
        <v>3902717</v>
      </c>
      <c r="G11" s="315">
        <f t="shared" si="0"/>
        <v>704</v>
      </c>
      <c r="H11" s="451">
        <v>17709394</v>
      </c>
      <c r="I11" s="315">
        <f t="shared" si="15"/>
        <v>828</v>
      </c>
      <c r="J11" s="600">
        <v>28769710</v>
      </c>
      <c r="K11" s="315">
        <f t="shared" si="16"/>
        <v>960</v>
      </c>
      <c r="L11" s="451">
        <v>23828606</v>
      </c>
      <c r="M11" s="315">
        <f t="shared" si="17"/>
        <v>2168</v>
      </c>
      <c r="N11" s="313">
        <f>M11+K11+I11+G11+E11</f>
        <v>7376</v>
      </c>
      <c r="O11" s="473">
        <f t="shared" si="26"/>
        <v>0</v>
      </c>
      <c r="P11" s="601">
        <v>16415</v>
      </c>
      <c r="Q11" s="455">
        <f t="shared" si="2"/>
        <v>1000</v>
      </c>
      <c r="R11" s="455">
        <f t="shared" si="23"/>
        <v>6376</v>
      </c>
      <c r="S11" s="451">
        <v>9998</v>
      </c>
      <c r="T11" s="475">
        <f t="shared" si="3"/>
        <v>3</v>
      </c>
      <c r="U11" s="600">
        <v>399403</v>
      </c>
      <c r="V11" s="455">
        <f t="shared" si="20"/>
        <v>602</v>
      </c>
      <c r="W11" s="451">
        <f t="shared" si="8"/>
        <v>32049</v>
      </c>
      <c r="X11" s="455">
        <f t="shared" si="25"/>
        <v>0</v>
      </c>
      <c r="Y11" s="451">
        <f t="shared" si="9"/>
        <v>673052</v>
      </c>
      <c r="Z11" s="455">
        <f t="shared" si="24"/>
        <v>0</v>
      </c>
      <c r="AA11" s="451">
        <v>35634</v>
      </c>
      <c r="AB11" s="455">
        <f t="shared" si="21"/>
        <v>2</v>
      </c>
      <c r="AC11" s="600">
        <v>905726</v>
      </c>
      <c r="AD11" s="455">
        <f t="shared" si="22"/>
        <v>385</v>
      </c>
      <c r="AE11" s="478">
        <f t="shared" si="12"/>
        <v>5</v>
      </c>
      <c r="AF11" s="479">
        <f t="shared" si="13"/>
        <v>987</v>
      </c>
      <c r="AG11" s="471">
        <f t="shared" si="27"/>
        <v>197.4</v>
      </c>
      <c r="AI11" s="472">
        <f>R11-'EDl log'!B9</f>
        <v>-616616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f t="shared" ref="D12:D33" si="28">D11</f>
        <v>32406836</v>
      </c>
      <c r="E12" s="314">
        <f t="shared" si="14"/>
        <v>0</v>
      </c>
      <c r="F12" s="600">
        <f t="shared" ref="F12:F33" si="29">F11</f>
        <v>3902717</v>
      </c>
      <c r="G12" s="315">
        <f t="shared" si="0"/>
        <v>0</v>
      </c>
      <c r="H12" s="451">
        <f t="shared" ref="H12:H33" si="30">H11</f>
        <v>17709394</v>
      </c>
      <c r="I12" s="315">
        <f t="shared" si="15"/>
        <v>0</v>
      </c>
      <c r="J12" s="600">
        <f t="shared" ref="J12:J33" si="31">J11</f>
        <v>28769710</v>
      </c>
      <c r="K12" s="315">
        <f t="shared" si="16"/>
        <v>0</v>
      </c>
      <c r="L12" s="451">
        <f t="shared" ref="L12:L33" si="32">L11</f>
        <v>23828606</v>
      </c>
      <c r="M12" s="315">
        <f t="shared" si="17"/>
        <v>0</v>
      </c>
      <c r="N12" s="313">
        <f>M12+K12+I12+G12+E12</f>
        <v>0</v>
      </c>
      <c r="O12" s="473">
        <f t="shared" si="26"/>
        <v>0</v>
      </c>
      <c r="P12" s="601">
        <f t="shared" si="7"/>
        <v>16415</v>
      </c>
      <c r="Q12" s="455">
        <f t="shared" si="2"/>
        <v>0</v>
      </c>
      <c r="R12" s="455">
        <f t="shared" si="23"/>
        <v>0</v>
      </c>
      <c r="S12" s="451">
        <f t="shared" ref="S12:S33" si="33">S11</f>
        <v>9998</v>
      </c>
      <c r="T12" s="475">
        <f t="shared" si="3"/>
        <v>0</v>
      </c>
      <c r="U12" s="451">
        <f t="shared" si="19"/>
        <v>399403</v>
      </c>
      <c r="V12" s="455">
        <f t="shared" si="20"/>
        <v>0</v>
      </c>
      <c r="W12" s="451">
        <f t="shared" si="8"/>
        <v>32049</v>
      </c>
      <c r="X12" s="455">
        <f t="shared" si="25"/>
        <v>0</v>
      </c>
      <c r="Y12" s="451">
        <f t="shared" si="9"/>
        <v>673052</v>
      </c>
      <c r="Z12" s="455">
        <f t="shared" si="24"/>
        <v>0</v>
      </c>
      <c r="AA12" s="451">
        <f t="shared" si="10"/>
        <v>35634</v>
      </c>
      <c r="AB12" s="455">
        <f t="shared" si="21"/>
        <v>0</v>
      </c>
      <c r="AC12" s="451">
        <f t="shared" si="11"/>
        <v>905726</v>
      </c>
      <c r="AD12" s="455">
        <f t="shared" si="22"/>
        <v>0</v>
      </c>
      <c r="AE12" s="478">
        <f t="shared" si="12"/>
        <v>0</v>
      </c>
      <c r="AF12" s="479">
        <f t="shared" si="13"/>
        <v>0</v>
      </c>
      <c r="AG12" s="471">
        <f t="shared" si="27"/>
        <v>0</v>
      </c>
      <c r="AI12" s="472">
        <f>R12-'EDl log'!B10</f>
        <v>-626047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f t="shared" si="28"/>
        <v>32406836</v>
      </c>
      <c r="E13" s="314">
        <f t="shared" si="14"/>
        <v>0</v>
      </c>
      <c r="F13" s="600">
        <f t="shared" si="29"/>
        <v>3902717</v>
      </c>
      <c r="G13" s="315">
        <f t="shared" si="0"/>
        <v>0</v>
      </c>
      <c r="H13" s="451">
        <f t="shared" si="30"/>
        <v>17709394</v>
      </c>
      <c r="I13" s="315">
        <f t="shared" si="15"/>
        <v>0</v>
      </c>
      <c r="J13" s="600">
        <f t="shared" si="31"/>
        <v>28769710</v>
      </c>
      <c r="K13" s="315">
        <f t="shared" si="16"/>
        <v>0</v>
      </c>
      <c r="L13" s="451">
        <f t="shared" si="32"/>
        <v>23828606</v>
      </c>
      <c r="M13" s="315">
        <f t="shared" si="17"/>
        <v>0</v>
      </c>
      <c r="N13" s="313">
        <f t="shared" si="18"/>
        <v>0</v>
      </c>
      <c r="O13" s="473">
        <f t="shared" si="26"/>
        <v>0</v>
      </c>
      <c r="P13" s="601">
        <f t="shared" si="7"/>
        <v>16415</v>
      </c>
      <c r="Q13" s="455">
        <f>(P13-P12)*1000</f>
        <v>0</v>
      </c>
      <c r="R13" s="455">
        <f t="shared" ref="R13" si="34">N13-Q13</f>
        <v>0</v>
      </c>
      <c r="S13" s="451">
        <f t="shared" si="33"/>
        <v>9998</v>
      </c>
      <c r="T13" s="475">
        <f t="shared" si="3"/>
        <v>0</v>
      </c>
      <c r="U13" s="451">
        <f t="shared" si="19"/>
        <v>399403</v>
      </c>
      <c r="V13" s="455">
        <f t="shared" si="20"/>
        <v>0</v>
      </c>
      <c r="W13" s="451">
        <f t="shared" si="8"/>
        <v>32049</v>
      </c>
      <c r="X13" s="455">
        <f t="shared" si="25"/>
        <v>0</v>
      </c>
      <c r="Y13" s="451">
        <f t="shared" si="9"/>
        <v>673052</v>
      </c>
      <c r="Z13" s="455">
        <f t="shared" si="24"/>
        <v>0</v>
      </c>
      <c r="AA13" s="451">
        <f t="shared" si="10"/>
        <v>35634</v>
      </c>
      <c r="AB13" s="455">
        <f t="shared" si="21"/>
        <v>0</v>
      </c>
      <c r="AC13" s="451">
        <f t="shared" si="11"/>
        <v>905726</v>
      </c>
      <c r="AD13" s="455">
        <f t="shared" si="22"/>
        <v>0</v>
      </c>
      <c r="AE13" s="478">
        <f t="shared" si="12"/>
        <v>0</v>
      </c>
      <c r="AF13" s="479">
        <f t="shared" si="13"/>
        <v>0</v>
      </c>
      <c r="AG13" s="471">
        <f t="shared" si="27"/>
        <v>0</v>
      </c>
      <c r="AI13" s="472">
        <f>R13-'EDl log'!B11</f>
        <v>-629025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f t="shared" si="28"/>
        <v>32406836</v>
      </c>
      <c r="E14" s="314">
        <f t="shared" si="14"/>
        <v>0</v>
      </c>
      <c r="F14" s="600">
        <f t="shared" si="29"/>
        <v>3902717</v>
      </c>
      <c r="G14" s="315">
        <f t="shared" si="0"/>
        <v>0</v>
      </c>
      <c r="H14" s="451">
        <f t="shared" si="30"/>
        <v>17709394</v>
      </c>
      <c r="I14" s="315">
        <f t="shared" si="15"/>
        <v>0</v>
      </c>
      <c r="J14" s="600">
        <f t="shared" si="31"/>
        <v>28769710</v>
      </c>
      <c r="K14" s="315">
        <f t="shared" si="16"/>
        <v>0</v>
      </c>
      <c r="L14" s="451">
        <f t="shared" si="32"/>
        <v>23828606</v>
      </c>
      <c r="M14" s="315">
        <f t="shared" si="17"/>
        <v>0</v>
      </c>
      <c r="N14" s="313">
        <f t="shared" si="18"/>
        <v>0</v>
      </c>
      <c r="O14" s="473">
        <f t="shared" si="26"/>
        <v>0</v>
      </c>
      <c r="P14" s="601">
        <f t="shared" si="7"/>
        <v>16415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33"/>
        <v>9998</v>
      </c>
      <c r="T14" s="475">
        <f t="shared" si="3"/>
        <v>0</v>
      </c>
      <c r="U14" s="451">
        <f t="shared" si="19"/>
        <v>399403</v>
      </c>
      <c r="V14" s="455">
        <f t="shared" si="20"/>
        <v>0</v>
      </c>
      <c r="W14" s="451">
        <f t="shared" si="8"/>
        <v>32049</v>
      </c>
      <c r="X14" s="455">
        <f t="shared" si="25"/>
        <v>0</v>
      </c>
      <c r="Y14" s="451">
        <f t="shared" si="9"/>
        <v>673052</v>
      </c>
      <c r="Z14" s="455">
        <f t="shared" si="24"/>
        <v>0</v>
      </c>
      <c r="AA14" s="451">
        <f t="shared" si="10"/>
        <v>35634</v>
      </c>
      <c r="AB14" s="455">
        <f t="shared" si="21"/>
        <v>0</v>
      </c>
      <c r="AC14" s="451">
        <f t="shared" si="11"/>
        <v>905726</v>
      </c>
      <c r="AD14" s="455">
        <f t="shared" si="22"/>
        <v>0</v>
      </c>
      <c r="AE14" s="478">
        <f t="shared" si="12"/>
        <v>0</v>
      </c>
      <c r="AF14" s="479">
        <f t="shared" si="13"/>
        <v>0</v>
      </c>
      <c r="AG14" s="471">
        <f t="shared" si="27"/>
        <v>0</v>
      </c>
      <c r="AI14" s="472">
        <f>R14-'EDl log'!B12</f>
        <v>-629025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f t="shared" si="28"/>
        <v>32406836</v>
      </c>
      <c r="E15" s="314">
        <f t="shared" si="14"/>
        <v>0</v>
      </c>
      <c r="F15" s="600">
        <f t="shared" si="29"/>
        <v>3902717</v>
      </c>
      <c r="G15" s="315">
        <f t="shared" si="0"/>
        <v>0</v>
      </c>
      <c r="H15" s="451">
        <f t="shared" si="30"/>
        <v>17709394</v>
      </c>
      <c r="I15" s="315">
        <f t="shared" si="15"/>
        <v>0</v>
      </c>
      <c r="J15" s="600">
        <f t="shared" si="31"/>
        <v>28769710</v>
      </c>
      <c r="K15" s="315">
        <f t="shared" si="16"/>
        <v>0</v>
      </c>
      <c r="L15" s="451">
        <f t="shared" si="32"/>
        <v>23828606</v>
      </c>
      <c r="M15" s="315">
        <f t="shared" si="17"/>
        <v>0</v>
      </c>
      <c r="N15" s="313">
        <f t="shared" si="18"/>
        <v>0</v>
      </c>
      <c r="O15" s="473">
        <f t="shared" si="26"/>
        <v>0</v>
      </c>
      <c r="P15" s="601">
        <f t="shared" si="7"/>
        <v>16415</v>
      </c>
      <c r="Q15" s="455">
        <f t="shared" si="35"/>
        <v>0</v>
      </c>
      <c r="R15" s="455">
        <f t="shared" si="36"/>
        <v>0</v>
      </c>
      <c r="S15" s="451">
        <f t="shared" si="33"/>
        <v>9998</v>
      </c>
      <c r="T15" s="475">
        <f t="shared" si="3"/>
        <v>0</v>
      </c>
      <c r="U15" s="451">
        <f t="shared" si="19"/>
        <v>399403</v>
      </c>
      <c r="V15" s="455">
        <f t="shared" si="20"/>
        <v>0</v>
      </c>
      <c r="W15" s="451">
        <f t="shared" si="8"/>
        <v>32049</v>
      </c>
      <c r="X15" s="455">
        <f t="shared" si="25"/>
        <v>0</v>
      </c>
      <c r="Y15" s="451">
        <f t="shared" si="9"/>
        <v>673052</v>
      </c>
      <c r="Z15" s="455">
        <f t="shared" si="24"/>
        <v>0</v>
      </c>
      <c r="AA15" s="451">
        <f t="shared" si="10"/>
        <v>35634</v>
      </c>
      <c r="AB15" s="455">
        <f t="shared" si="21"/>
        <v>0</v>
      </c>
      <c r="AC15" s="451">
        <f t="shared" si="11"/>
        <v>905726</v>
      </c>
      <c r="AD15" s="455">
        <f t="shared" si="22"/>
        <v>0</v>
      </c>
      <c r="AE15" s="478">
        <f t="shared" si="12"/>
        <v>0</v>
      </c>
      <c r="AF15" s="479">
        <f t="shared" si="13"/>
        <v>0</v>
      </c>
      <c r="AG15" s="471">
        <f t="shared" si="27"/>
        <v>0</v>
      </c>
      <c r="AI15" s="472">
        <f>R15-'EDl log'!B13</f>
        <v>-629025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f t="shared" si="28"/>
        <v>32406836</v>
      </c>
      <c r="E16" s="314">
        <f t="shared" si="14"/>
        <v>0</v>
      </c>
      <c r="F16" s="600">
        <f t="shared" si="29"/>
        <v>3902717</v>
      </c>
      <c r="G16" s="315">
        <f t="shared" si="0"/>
        <v>0</v>
      </c>
      <c r="H16" s="451">
        <f t="shared" si="30"/>
        <v>17709394</v>
      </c>
      <c r="I16" s="315">
        <f t="shared" si="15"/>
        <v>0</v>
      </c>
      <c r="J16" s="600">
        <f t="shared" si="31"/>
        <v>28769710</v>
      </c>
      <c r="K16" s="315">
        <f t="shared" si="16"/>
        <v>0</v>
      </c>
      <c r="L16" s="451">
        <f t="shared" si="32"/>
        <v>23828606</v>
      </c>
      <c r="M16" s="315">
        <f t="shared" si="17"/>
        <v>0</v>
      </c>
      <c r="N16" s="313">
        <f t="shared" si="18"/>
        <v>0</v>
      </c>
      <c r="O16" s="473">
        <f t="shared" si="26"/>
        <v>0</v>
      </c>
      <c r="P16" s="601">
        <f t="shared" si="7"/>
        <v>16415</v>
      </c>
      <c r="Q16" s="455">
        <f t="shared" si="35"/>
        <v>0</v>
      </c>
      <c r="R16" s="455">
        <f t="shared" si="36"/>
        <v>0</v>
      </c>
      <c r="S16" s="451">
        <f t="shared" si="33"/>
        <v>9998</v>
      </c>
      <c r="T16" s="475">
        <f t="shared" si="3"/>
        <v>0</v>
      </c>
      <c r="U16" s="451">
        <f t="shared" si="19"/>
        <v>399403</v>
      </c>
      <c r="V16" s="455">
        <f t="shared" si="20"/>
        <v>0</v>
      </c>
      <c r="W16" s="451">
        <f t="shared" si="8"/>
        <v>32049</v>
      </c>
      <c r="X16" s="455">
        <f>W16-W15</f>
        <v>0</v>
      </c>
      <c r="Y16" s="451">
        <f t="shared" si="9"/>
        <v>673052</v>
      </c>
      <c r="Z16" s="455">
        <f>Y16-Y15</f>
        <v>0</v>
      </c>
      <c r="AA16" s="451">
        <f t="shared" si="10"/>
        <v>35634</v>
      </c>
      <c r="AB16" s="455">
        <f>AA16-AA15</f>
        <v>0</v>
      </c>
      <c r="AC16" s="451">
        <f t="shared" si="11"/>
        <v>905726</v>
      </c>
      <c r="AD16" s="455">
        <f t="shared" si="22"/>
        <v>0</v>
      </c>
      <c r="AE16" s="478">
        <f t="shared" si="12"/>
        <v>0</v>
      </c>
      <c r="AF16" s="479">
        <f t="shared" si="13"/>
        <v>0</v>
      </c>
      <c r="AG16" s="471">
        <f t="shared" si="27"/>
        <v>0</v>
      </c>
      <c r="AI16" s="472">
        <f>R16-'EDl log'!B14</f>
        <v>-629025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f t="shared" si="28"/>
        <v>32406836</v>
      </c>
      <c r="E17" s="314">
        <f t="shared" si="14"/>
        <v>0</v>
      </c>
      <c r="F17" s="600">
        <f t="shared" si="29"/>
        <v>3902717</v>
      </c>
      <c r="G17" s="315">
        <f t="shared" si="0"/>
        <v>0</v>
      </c>
      <c r="H17" s="451">
        <f t="shared" si="30"/>
        <v>17709394</v>
      </c>
      <c r="I17" s="315">
        <f t="shared" si="15"/>
        <v>0</v>
      </c>
      <c r="J17" s="600">
        <f t="shared" si="31"/>
        <v>28769710</v>
      </c>
      <c r="K17" s="315">
        <f t="shared" si="16"/>
        <v>0</v>
      </c>
      <c r="L17" s="451">
        <f t="shared" si="32"/>
        <v>23828606</v>
      </c>
      <c r="M17" s="315">
        <f t="shared" si="17"/>
        <v>0</v>
      </c>
      <c r="N17" s="313">
        <f t="shared" si="18"/>
        <v>0</v>
      </c>
      <c r="O17" s="473">
        <f t="shared" si="26"/>
        <v>0</v>
      </c>
      <c r="P17" s="601">
        <f t="shared" si="7"/>
        <v>16415</v>
      </c>
      <c r="Q17" s="455">
        <f t="shared" si="35"/>
        <v>0</v>
      </c>
      <c r="R17" s="455">
        <f t="shared" si="36"/>
        <v>0</v>
      </c>
      <c r="S17" s="451">
        <f t="shared" si="33"/>
        <v>9998</v>
      </c>
      <c r="T17" s="475">
        <f t="shared" si="3"/>
        <v>0</v>
      </c>
      <c r="U17" s="451">
        <f t="shared" si="19"/>
        <v>399403</v>
      </c>
      <c r="V17" s="455">
        <f t="shared" si="20"/>
        <v>0</v>
      </c>
      <c r="W17" s="451">
        <f t="shared" si="8"/>
        <v>32049</v>
      </c>
      <c r="X17" s="455">
        <f t="shared" si="25"/>
        <v>0</v>
      </c>
      <c r="Y17" s="451">
        <f t="shared" si="9"/>
        <v>673052</v>
      </c>
      <c r="Z17" s="455">
        <f t="shared" si="24"/>
        <v>0</v>
      </c>
      <c r="AA17" s="451">
        <f t="shared" si="10"/>
        <v>35634</v>
      </c>
      <c r="AB17" s="455">
        <f t="shared" si="21"/>
        <v>0</v>
      </c>
      <c r="AC17" s="451">
        <f t="shared" si="11"/>
        <v>905726</v>
      </c>
      <c r="AD17" s="455">
        <f t="shared" ref="AD17:AD32" si="37">AC17-AC16</f>
        <v>0</v>
      </c>
      <c r="AE17" s="478">
        <f t="shared" si="12"/>
        <v>0</v>
      </c>
      <c r="AF17" s="479">
        <f t="shared" si="13"/>
        <v>0</v>
      </c>
      <c r="AG17" s="471">
        <f t="shared" si="27"/>
        <v>0</v>
      </c>
      <c r="AI17" s="472">
        <f>R17-'EDl log'!B15</f>
        <v>-629025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f t="shared" si="28"/>
        <v>32406836</v>
      </c>
      <c r="E18" s="314">
        <f t="shared" si="14"/>
        <v>0</v>
      </c>
      <c r="F18" s="600">
        <f t="shared" si="29"/>
        <v>3902717</v>
      </c>
      <c r="G18" s="315">
        <f t="shared" si="0"/>
        <v>0</v>
      </c>
      <c r="H18" s="451">
        <f t="shared" si="30"/>
        <v>17709394</v>
      </c>
      <c r="I18" s="315">
        <f t="shared" si="15"/>
        <v>0</v>
      </c>
      <c r="J18" s="600">
        <f t="shared" si="31"/>
        <v>28769710</v>
      </c>
      <c r="K18" s="315">
        <f t="shared" si="16"/>
        <v>0</v>
      </c>
      <c r="L18" s="451">
        <f t="shared" si="32"/>
        <v>23828606</v>
      </c>
      <c r="M18" s="315">
        <f t="shared" si="17"/>
        <v>0</v>
      </c>
      <c r="N18" s="313">
        <f t="shared" si="18"/>
        <v>0</v>
      </c>
      <c r="O18" s="473">
        <f t="shared" si="26"/>
        <v>0</v>
      </c>
      <c r="P18" s="601">
        <f t="shared" si="7"/>
        <v>16415</v>
      </c>
      <c r="Q18" s="455">
        <f t="shared" si="35"/>
        <v>0</v>
      </c>
      <c r="R18" s="455">
        <f t="shared" si="36"/>
        <v>0</v>
      </c>
      <c r="S18" s="451">
        <f t="shared" si="33"/>
        <v>9998</v>
      </c>
      <c r="T18" s="475">
        <f t="shared" si="3"/>
        <v>0</v>
      </c>
      <c r="U18" s="451">
        <f t="shared" si="19"/>
        <v>399403</v>
      </c>
      <c r="V18" s="455">
        <f t="shared" si="20"/>
        <v>0</v>
      </c>
      <c r="W18" s="451">
        <f t="shared" si="8"/>
        <v>32049</v>
      </c>
      <c r="X18" s="455">
        <f t="shared" si="25"/>
        <v>0</v>
      </c>
      <c r="Y18" s="451">
        <f t="shared" si="9"/>
        <v>673052</v>
      </c>
      <c r="Z18" s="455">
        <f t="shared" si="24"/>
        <v>0</v>
      </c>
      <c r="AA18" s="451">
        <f t="shared" si="10"/>
        <v>35634</v>
      </c>
      <c r="AB18" s="455">
        <f t="shared" si="21"/>
        <v>0</v>
      </c>
      <c r="AC18" s="451">
        <f t="shared" si="11"/>
        <v>905726</v>
      </c>
      <c r="AD18" s="455">
        <f t="shared" si="37"/>
        <v>0</v>
      </c>
      <c r="AE18" s="478">
        <f t="shared" si="12"/>
        <v>0</v>
      </c>
      <c r="AF18" s="479">
        <f t="shared" si="13"/>
        <v>0</v>
      </c>
      <c r="AG18" s="471">
        <f t="shared" si="27"/>
        <v>0</v>
      </c>
      <c r="AI18" s="472">
        <f>R18-'EDl log'!B16</f>
        <v>-629025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f t="shared" si="28"/>
        <v>32406836</v>
      </c>
      <c r="E19" s="314">
        <f t="shared" si="14"/>
        <v>0</v>
      </c>
      <c r="F19" s="600">
        <f t="shared" si="29"/>
        <v>3902717</v>
      </c>
      <c r="G19" s="315">
        <f t="shared" si="0"/>
        <v>0</v>
      </c>
      <c r="H19" s="451">
        <f t="shared" si="30"/>
        <v>17709394</v>
      </c>
      <c r="I19" s="315">
        <f t="shared" si="15"/>
        <v>0</v>
      </c>
      <c r="J19" s="600">
        <f t="shared" si="31"/>
        <v>28769710</v>
      </c>
      <c r="K19" s="315">
        <f t="shared" si="16"/>
        <v>0</v>
      </c>
      <c r="L19" s="451">
        <f t="shared" si="32"/>
        <v>23828606</v>
      </c>
      <c r="M19" s="315">
        <f t="shared" si="17"/>
        <v>0</v>
      </c>
      <c r="N19" s="313">
        <f t="shared" si="18"/>
        <v>0</v>
      </c>
      <c r="O19" s="473">
        <f t="shared" si="26"/>
        <v>0</v>
      </c>
      <c r="P19" s="601">
        <f t="shared" si="7"/>
        <v>16415</v>
      </c>
      <c r="Q19" s="455">
        <f t="shared" si="35"/>
        <v>0</v>
      </c>
      <c r="R19" s="455">
        <f t="shared" si="36"/>
        <v>0</v>
      </c>
      <c r="S19" s="451">
        <f t="shared" si="33"/>
        <v>9998</v>
      </c>
      <c r="T19" s="475">
        <f t="shared" si="3"/>
        <v>0</v>
      </c>
      <c r="U19" s="451">
        <f t="shared" si="19"/>
        <v>399403</v>
      </c>
      <c r="V19" s="455">
        <f t="shared" si="20"/>
        <v>0</v>
      </c>
      <c r="W19" s="451">
        <f t="shared" si="8"/>
        <v>32049</v>
      </c>
      <c r="X19" s="455">
        <f t="shared" si="25"/>
        <v>0</v>
      </c>
      <c r="Y19" s="451">
        <f t="shared" si="9"/>
        <v>673052</v>
      </c>
      <c r="Z19" s="455">
        <f t="shared" si="24"/>
        <v>0</v>
      </c>
      <c r="AA19" s="451">
        <f t="shared" si="10"/>
        <v>35634</v>
      </c>
      <c r="AB19" s="455">
        <f t="shared" si="21"/>
        <v>0</v>
      </c>
      <c r="AC19" s="451">
        <f t="shared" si="11"/>
        <v>905726</v>
      </c>
      <c r="AD19" s="455">
        <f t="shared" si="37"/>
        <v>0</v>
      </c>
      <c r="AE19" s="478">
        <f t="shared" si="12"/>
        <v>0</v>
      </c>
      <c r="AF19" s="479">
        <f t="shared" si="13"/>
        <v>0</v>
      </c>
      <c r="AG19" s="471">
        <f t="shared" si="27"/>
        <v>0</v>
      </c>
      <c r="AI19" s="472">
        <f>R19-'EDl log'!B17</f>
        <v>-629025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f t="shared" si="28"/>
        <v>32406836</v>
      </c>
      <c r="E20" s="314">
        <f t="shared" si="14"/>
        <v>0</v>
      </c>
      <c r="F20" s="600">
        <f t="shared" si="29"/>
        <v>3902717</v>
      </c>
      <c r="G20" s="315">
        <f t="shared" si="0"/>
        <v>0</v>
      </c>
      <c r="H20" s="451">
        <f t="shared" si="30"/>
        <v>17709394</v>
      </c>
      <c r="I20" s="315">
        <f t="shared" si="15"/>
        <v>0</v>
      </c>
      <c r="J20" s="600">
        <f t="shared" si="31"/>
        <v>28769710</v>
      </c>
      <c r="K20" s="315">
        <f t="shared" si="16"/>
        <v>0</v>
      </c>
      <c r="L20" s="451">
        <f t="shared" si="32"/>
        <v>23828606</v>
      </c>
      <c r="M20" s="315">
        <f t="shared" si="17"/>
        <v>0</v>
      </c>
      <c r="N20" s="313">
        <f t="shared" si="18"/>
        <v>0</v>
      </c>
      <c r="O20" s="473">
        <f t="shared" si="26"/>
        <v>0</v>
      </c>
      <c r="P20" s="601">
        <f t="shared" si="7"/>
        <v>16415</v>
      </c>
      <c r="Q20" s="455">
        <f t="shared" si="35"/>
        <v>0</v>
      </c>
      <c r="R20" s="455">
        <f t="shared" si="36"/>
        <v>0</v>
      </c>
      <c r="S20" s="451">
        <f t="shared" si="33"/>
        <v>9998</v>
      </c>
      <c r="T20" s="475">
        <f t="shared" si="3"/>
        <v>0</v>
      </c>
      <c r="U20" s="451">
        <f t="shared" si="19"/>
        <v>399403</v>
      </c>
      <c r="V20" s="455">
        <f t="shared" si="20"/>
        <v>0</v>
      </c>
      <c r="W20" s="451">
        <f t="shared" si="8"/>
        <v>32049</v>
      </c>
      <c r="X20" s="455">
        <f t="shared" si="25"/>
        <v>0</v>
      </c>
      <c r="Y20" s="451">
        <f t="shared" si="9"/>
        <v>673052</v>
      </c>
      <c r="Z20" s="455">
        <f t="shared" si="24"/>
        <v>0</v>
      </c>
      <c r="AA20" s="451">
        <f t="shared" si="10"/>
        <v>35634</v>
      </c>
      <c r="AB20" s="455">
        <f t="shared" si="21"/>
        <v>0</v>
      </c>
      <c r="AC20" s="451">
        <f t="shared" si="11"/>
        <v>905726</v>
      </c>
      <c r="AD20" s="455">
        <f t="shared" si="37"/>
        <v>0</v>
      </c>
      <c r="AE20" s="478">
        <f t="shared" si="12"/>
        <v>0</v>
      </c>
      <c r="AF20" s="479">
        <f t="shared" si="13"/>
        <v>0</v>
      </c>
      <c r="AG20" s="471">
        <f t="shared" si="27"/>
        <v>0</v>
      </c>
      <c r="AI20" s="472">
        <f>R20-'EDl log'!B18</f>
        <v>-629025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f t="shared" si="28"/>
        <v>32406836</v>
      </c>
      <c r="E21" s="314">
        <f t="shared" si="14"/>
        <v>0</v>
      </c>
      <c r="F21" s="600">
        <f t="shared" si="29"/>
        <v>3902717</v>
      </c>
      <c r="G21" s="315">
        <f t="shared" si="0"/>
        <v>0</v>
      </c>
      <c r="H21" s="451">
        <f t="shared" si="30"/>
        <v>17709394</v>
      </c>
      <c r="I21" s="315">
        <f t="shared" si="15"/>
        <v>0</v>
      </c>
      <c r="J21" s="600">
        <f t="shared" si="31"/>
        <v>28769710</v>
      </c>
      <c r="K21" s="315">
        <f t="shared" si="16"/>
        <v>0</v>
      </c>
      <c r="L21" s="451">
        <f t="shared" si="32"/>
        <v>23828606</v>
      </c>
      <c r="M21" s="315">
        <f t="shared" si="17"/>
        <v>0</v>
      </c>
      <c r="N21" s="313">
        <f t="shared" si="18"/>
        <v>0</v>
      </c>
      <c r="O21" s="473">
        <f t="shared" si="26"/>
        <v>0</v>
      </c>
      <c r="P21" s="601">
        <f t="shared" si="7"/>
        <v>16415</v>
      </c>
      <c r="Q21" s="455">
        <f t="shared" si="35"/>
        <v>0</v>
      </c>
      <c r="R21" s="455">
        <f t="shared" si="36"/>
        <v>0</v>
      </c>
      <c r="S21" s="451">
        <f t="shared" si="33"/>
        <v>9998</v>
      </c>
      <c r="T21" s="475">
        <f t="shared" si="3"/>
        <v>0</v>
      </c>
      <c r="U21" s="451">
        <f t="shared" si="19"/>
        <v>399403</v>
      </c>
      <c r="V21" s="455">
        <f t="shared" si="20"/>
        <v>0</v>
      </c>
      <c r="W21" s="451">
        <f t="shared" si="8"/>
        <v>32049</v>
      </c>
      <c r="X21" s="455">
        <f t="shared" si="25"/>
        <v>0</v>
      </c>
      <c r="Y21" s="451">
        <f t="shared" si="9"/>
        <v>673052</v>
      </c>
      <c r="Z21" s="455">
        <f t="shared" si="24"/>
        <v>0</v>
      </c>
      <c r="AA21" s="451">
        <f t="shared" si="10"/>
        <v>35634</v>
      </c>
      <c r="AB21" s="455">
        <f t="shared" si="21"/>
        <v>0</v>
      </c>
      <c r="AC21" s="451">
        <f t="shared" si="11"/>
        <v>905726</v>
      </c>
      <c r="AD21" s="455">
        <f t="shared" si="37"/>
        <v>0</v>
      </c>
      <c r="AE21" s="478">
        <f t="shared" si="12"/>
        <v>0</v>
      </c>
      <c r="AF21" s="479">
        <f t="shared" si="13"/>
        <v>0</v>
      </c>
      <c r="AG21" s="471">
        <f t="shared" si="27"/>
        <v>0</v>
      </c>
      <c r="AI21" s="472">
        <f>R21-'EDl log'!B19</f>
        <v>-629025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f t="shared" si="28"/>
        <v>32406836</v>
      </c>
      <c r="E22" s="314">
        <f t="shared" si="14"/>
        <v>0</v>
      </c>
      <c r="F22" s="600">
        <f t="shared" si="29"/>
        <v>3902717</v>
      </c>
      <c r="G22" s="315">
        <f t="shared" si="0"/>
        <v>0</v>
      </c>
      <c r="H22" s="451">
        <f t="shared" si="30"/>
        <v>17709394</v>
      </c>
      <c r="I22" s="315">
        <f t="shared" si="15"/>
        <v>0</v>
      </c>
      <c r="J22" s="600">
        <f t="shared" si="31"/>
        <v>28769710</v>
      </c>
      <c r="K22" s="315">
        <f t="shared" si="16"/>
        <v>0</v>
      </c>
      <c r="L22" s="451">
        <f t="shared" si="32"/>
        <v>23828606</v>
      </c>
      <c r="M22" s="315">
        <f t="shared" si="17"/>
        <v>0</v>
      </c>
      <c r="N22" s="313">
        <f t="shared" si="18"/>
        <v>0</v>
      </c>
      <c r="O22" s="473">
        <f t="shared" si="26"/>
        <v>0</v>
      </c>
      <c r="P22" s="601">
        <f t="shared" si="7"/>
        <v>16415</v>
      </c>
      <c r="Q22" s="455">
        <f t="shared" si="35"/>
        <v>0</v>
      </c>
      <c r="R22" s="455">
        <f t="shared" si="36"/>
        <v>0</v>
      </c>
      <c r="S22" s="451">
        <f t="shared" si="33"/>
        <v>9998</v>
      </c>
      <c r="T22" s="475">
        <f t="shared" si="3"/>
        <v>0</v>
      </c>
      <c r="U22" s="451">
        <f t="shared" si="19"/>
        <v>399403</v>
      </c>
      <c r="V22" s="455">
        <f t="shared" si="20"/>
        <v>0</v>
      </c>
      <c r="W22" s="451">
        <f t="shared" si="8"/>
        <v>32049</v>
      </c>
      <c r="X22" s="455">
        <f t="shared" si="25"/>
        <v>0</v>
      </c>
      <c r="Y22" s="451">
        <f t="shared" si="9"/>
        <v>673052</v>
      </c>
      <c r="Z22" s="455">
        <f t="shared" si="24"/>
        <v>0</v>
      </c>
      <c r="AA22" s="451">
        <f t="shared" si="10"/>
        <v>35634</v>
      </c>
      <c r="AB22" s="455">
        <f t="shared" si="21"/>
        <v>0</v>
      </c>
      <c r="AC22" s="451">
        <f t="shared" si="11"/>
        <v>905726</v>
      </c>
      <c r="AD22" s="455">
        <f t="shared" si="37"/>
        <v>0</v>
      </c>
      <c r="AE22" s="478">
        <f t="shared" si="12"/>
        <v>0</v>
      </c>
      <c r="AF22" s="479">
        <f t="shared" si="13"/>
        <v>0</v>
      </c>
      <c r="AG22" s="471">
        <f t="shared" si="27"/>
        <v>0</v>
      </c>
      <c r="AI22" s="472">
        <f>R22-'EDl log'!B20</f>
        <v>-629025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f t="shared" si="28"/>
        <v>32406836</v>
      </c>
      <c r="E23" s="314">
        <f t="shared" si="14"/>
        <v>0</v>
      </c>
      <c r="F23" s="600">
        <f t="shared" si="29"/>
        <v>3902717</v>
      </c>
      <c r="G23" s="315">
        <f t="shared" si="0"/>
        <v>0</v>
      </c>
      <c r="H23" s="451">
        <f t="shared" si="30"/>
        <v>17709394</v>
      </c>
      <c r="I23" s="444">
        <f t="shared" si="15"/>
        <v>0</v>
      </c>
      <c r="J23" s="600">
        <f t="shared" si="31"/>
        <v>28769710</v>
      </c>
      <c r="K23" s="315">
        <f t="shared" si="16"/>
        <v>0</v>
      </c>
      <c r="L23" s="451">
        <f t="shared" si="32"/>
        <v>23828606</v>
      </c>
      <c r="M23" s="315">
        <f t="shared" si="17"/>
        <v>0</v>
      </c>
      <c r="N23" s="313">
        <f t="shared" si="18"/>
        <v>0</v>
      </c>
      <c r="O23" s="473">
        <f t="shared" si="26"/>
        <v>0</v>
      </c>
      <c r="P23" s="601">
        <f t="shared" si="7"/>
        <v>16415</v>
      </c>
      <c r="Q23" s="455">
        <f t="shared" si="35"/>
        <v>0</v>
      </c>
      <c r="R23" s="455">
        <f t="shared" si="36"/>
        <v>0</v>
      </c>
      <c r="S23" s="451">
        <f t="shared" si="33"/>
        <v>9998</v>
      </c>
      <c r="T23" s="475">
        <f t="shared" si="3"/>
        <v>0</v>
      </c>
      <c r="U23" s="451">
        <f t="shared" si="19"/>
        <v>399403</v>
      </c>
      <c r="V23" s="455">
        <f t="shared" si="20"/>
        <v>0</v>
      </c>
      <c r="W23" s="451">
        <f t="shared" si="8"/>
        <v>32049</v>
      </c>
      <c r="X23" s="455">
        <f t="shared" si="25"/>
        <v>0</v>
      </c>
      <c r="Y23" s="451">
        <f t="shared" si="9"/>
        <v>673052</v>
      </c>
      <c r="Z23" s="455">
        <f t="shared" si="24"/>
        <v>0</v>
      </c>
      <c r="AA23" s="451">
        <f t="shared" si="10"/>
        <v>35634</v>
      </c>
      <c r="AB23" s="455">
        <f t="shared" si="21"/>
        <v>0</v>
      </c>
      <c r="AC23" s="451">
        <f t="shared" si="11"/>
        <v>905726</v>
      </c>
      <c r="AD23" s="455">
        <f t="shared" si="37"/>
        <v>0</v>
      </c>
      <c r="AE23" s="478">
        <f t="shared" si="12"/>
        <v>0</v>
      </c>
      <c r="AF23" s="479">
        <f t="shared" si="13"/>
        <v>0</v>
      </c>
      <c r="AG23" s="471">
        <f t="shared" si="27"/>
        <v>0</v>
      </c>
      <c r="AI23" s="472">
        <f>R23-'EDl log'!B21</f>
        <v>-629025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f t="shared" si="28"/>
        <v>32406836</v>
      </c>
      <c r="E24" s="314">
        <f t="shared" si="14"/>
        <v>0</v>
      </c>
      <c r="F24" s="600">
        <f t="shared" si="29"/>
        <v>3902717</v>
      </c>
      <c r="G24" s="315">
        <f t="shared" si="0"/>
        <v>0</v>
      </c>
      <c r="H24" s="451">
        <f t="shared" si="30"/>
        <v>17709394</v>
      </c>
      <c r="I24" s="315">
        <f t="shared" si="15"/>
        <v>0</v>
      </c>
      <c r="J24" s="600">
        <f t="shared" si="31"/>
        <v>28769710</v>
      </c>
      <c r="K24" s="315">
        <f t="shared" si="16"/>
        <v>0</v>
      </c>
      <c r="L24" s="451">
        <f t="shared" si="32"/>
        <v>23828606</v>
      </c>
      <c r="M24" s="315">
        <f t="shared" si="17"/>
        <v>0</v>
      </c>
      <c r="N24" s="313">
        <f t="shared" si="18"/>
        <v>0</v>
      </c>
      <c r="O24" s="473">
        <f t="shared" si="26"/>
        <v>0</v>
      </c>
      <c r="P24" s="601">
        <f t="shared" si="7"/>
        <v>16415</v>
      </c>
      <c r="Q24" s="455">
        <f t="shared" si="35"/>
        <v>0</v>
      </c>
      <c r="R24" s="455">
        <f t="shared" si="36"/>
        <v>0</v>
      </c>
      <c r="S24" s="451">
        <f t="shared" si="33"/>
        <v>9998</v>
      </c>
      <c r="T24" s="475">
        <f t="shared" si="3"/>
        <v>0</v>
      </c>
      <c r="U24" s="451">
        <f t="shared" si="19"/>
        <v>399403</v>
      </c>
      <c r="V24" s="455">
        <f t="shared" si="20"/>
        <v>0</v>
      </c>
      <c r="W24" s="451">
        <f t="shared" si="8"/>
        <v>32049</v>
      </c>
      <c r="X24" s="455">
        <f t="shared" si="25"/>
        <v>0</v>
      </c>
      <c r="Y24" s="451">
        <f t="shared" si="9"/>
        <v>673052</v>
      </c>
      <c r="Z24" s="455">
        <f t="shared" si="24"/>
        <v>0</v>
      </c>
      <c r="AA24" s="451">
        <f t="shared" si="10"/>
        <v>35634</v>
      </c>
      <c r="AB24" s="455">
        <f t="shared" si="21"/>
        <v>0</v>
      </c>
      <c r="AC24" s="451">
        <f t="shared" si="11"/>
        <v>905726</v>
      </c>
      <c r="AD24" s="455">
        <f t="shared" si="37"/>
        <v>0</v>
      </c>
      <c r="AE24" s="478">
        <f t="shared" si="12"/>
        <v>0</v>
      </c>
      <c r="AF24" s="479">
        <f t="shared" si="13"/>
        <v>0</v>
      </c>
      <c r="AG24" s="471">
        <f t="shared" si="27"/>
        <v>0</v>
      </c>
      <c r="AI24" s="472">
        <f>R24-'EDl log'!B22</f>
        <v>-629025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f t="shared" si="28"/>
        <v>32406836</v>
      </c>
      <c r="E25" s="314">
        <f t="shared" si="14"/>
        <v>0</v>
      </c>
      <c r="F25" s="600">
        <f t="shared" si="29"/>
        <v>3902717</v>
      </c>
      <c r="G25" s="315">
        <f t="shared" si="0"/>
        <v>0</v>
      </c>
      <c r="H25" s="451">
        <f t="shared" si="30"/>
        <v>17709394</v>
      </c>
      <c r="I25" s="315">
        <f t="shared" si="15"/>
        <v>0</v>
      </c>
      <c r="J25" s="600">
        <f t="shared" si="31"/>
        <v>28769710</v>
      </c>
      <c r="K25" s="315">
        <f t="shared" si="16"/>
        <v>0</v>
      </c>
      <c r="L25" s="451">
        <f t="shared" si="32"/>
        <v>23828606</v>
      </c>
      <c r="M25" s="315">
        <f t="shared" si="17"/>
        <v>0</v>
      </c>
      <c r="N25" s="313">
        <f t="shared" si="18"/>
        <v>0</v>
      </c>
      <c r="O25" s="473">
        <f t="shared" si="26"/>
        <v>0</v>
      </c>
      <c r="P25" s="601">
        <f t="shared" si="7"/>
        <v>16415</v>
      </c>
      <c r="Q25" s="455">
        <f t="shared" si="35"/>
        <v>0</v>
      </c>
      <c r="R25" s="455">
        <f t="shared" si="36"/>
        <v>0</v>
      </c>
      <c r="S25" s="451">
        <f t="shared" si="33"/>
        <v>9998</v>
      </c>
      <c r="T25" s="475">
        <f t="shared" si="3"/>
        <v>0</v>
      </c>
      <c r="U25" s="451">
        <f t="shared" si="19"/>
        <v>399403</v>
      </c>
      <c r="V25" s="455">
        <f t="shared" si="20"/>
        <v>0</v>
      </c>
      <c r="W25" s="451">
        <f t="shared" si="8"/>
        <v>32049</v>
      </c>
      <c r="X25" s="455">
        <f t="shared" si="25"/>
        <v>0</v>
      </c>
      <c r="Y25" s="451">
        <f t="shared" si="9"/>
        <v>673052</v>
      </c>
      <c r="Z25" s="455">
        <f t="shared" si="24"/>
        <v>0</v>
      </c>
      <c r="AA25" s="451">
        <f t="shared" si="10"/>
        <v>35634</v>
      </c>
      <c r="AB25" s="455">
        <f t="shared" si="21"/>
        <v>0</v>
      </c>
      <c r="AC25" s="451">
        <f t="shared" si="11"/>
        <v>905726</v>
      </c>
      <c r="AD25" s="455">
        <f t="shared" si="37"/>
        <v>0</v>
      </c>
      <c r="AE25" s="478">
        <f t="shared" si="12"/>
        <v>0</v>
      </c>
      <c r="AF25" s="479">
        <f t="shared" si="13"/>
        <v>0</v>
      </c>
      <c r="AG25" s="471">
        <f t="shared" si="27"/>
        <v>0</v>
      </c>
      <c r="AI25" s="472">
        <f>R25-'EDl log'!B23</f>
        <v>-629025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f t="shared" si="28"/>
        <v>32406836</v>
      </c>
      <c r="E26" s="314">
        <f t="shared" si="14"/>
        <v>0</v>
      </c>
      <c r="F26" s="600">
        <f t="shared" si="29"/>
        <v>3902717</v>
      </c>
      <c r="G26" s="315">
        <f t="shared" si="0"/>
        <v>0</v>
      </c>
      <c r="H26" s="451">
        <f t="shared" si="30"/>
        <v>17709394</v>
      </c>
      <c r="I26" s="315">
        <f t="shared" si="15"/>
        <v>0</v>
      </c>
      <c r="J26" s="600">
        <f t="shared" si="31"/>
        <v>28769710</v>
      </c>
      <c r="K26" s="315">
        <f t="shared" si="16"/>
        <v>0</v>
      </c>
      <c r="L26" s="451">
        <f t="shared" si="32"/>
        <v>23828606</v>
      </c>
      <c r="M26" s="315">
        <f t="shared" si="17"/>
        <v>0</v>
      </c>
      <c r="N26" s="313">
        <f t="shared" si="18"/>
        <v>0</v>
      </c>
      <c r="O26" s="473">
        <f t="shared" si="26"/>
        <v>0</v>
      </c>
      <c r="P26" s="601">
        <f t="shared" si="7"/>
        <v>16415</v>
      </c>
      <c r="Q26" s="455">
        <f t="shared" si="35"/>
        <v>0</v>
      </c>
      <c r="R26" s="455">
        <f t="shared" si="36"/>
        <v>0</v>
      </c>
      <c r="S26" s="451">
        <f t="shared" si="33"/>
        <v>9998</v>
      </c>
      <c r="T26" s="475">
        <f t="shared" si="3"/>
        <v>0</v>
      </c>
      <c r="U26" s="451">
        <f t="shared" si="19"/>
        <v>399403</v>
      </c>
      <c r="V26" s="455">
        <f t="shared" si="20"/>
        <v>0</v>
      </c>
      <c r="W26" s="451">
        <f t="shared" si="8"/>
        <v>32049</v>
      </c>
      <c r="X26" s="455">
        <f t="shared" si="25"/>
        <v>0</v>
      </c>
      <c r="Y26" s="451">
        <f t="shared" si="9"/>
        <v>673052</v>
      </c>
      <c r="Z26" s="455">
        <f t="shared" si="24"/>
        <v>0</v>
      </c>
      <c r="AA26" s="451">
        <f t="shared" si="10"/>
        <v>35634</v>
      </c>
      <c r="AB26" s="455">
        <f t="shared" si="21"/>
        <v>0</v>
      </c>
      <c r="AC26" s="451">
        <f t="shared" si="11"/>
        <v>905726</v>
      </c>
      <c r="AD26" s="455">
        <f t="shared" si="37"/>
        <v>0</v>
      </c>
      <c r="AE26" s="478">
        <f t="shared" si="12"/>
        <v>0</v>
      </c>
      <c r="AF26" s="479">
        <f t="shared" si="13"/>
        <v>0</v>
      </c>
      <c r="AG26" s="471">
        <f t="shared" si="27"/>
        <v>0</v>
      </c>
      <c r="AI26" s="472">
        <f>R26-'EDl log'!B24</f>
        <v>-629025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f t="shared" si="28"/>
        <v>32406836</v>
      </c>
      <c r="E27" s="314">
        <f t="shared" si="14"/>
        <v>0</v>
      </c>
      <c r="F27" s="600">
        <f t="shared" si="29"/>
        <v>3902717</v>
      </c>
      <c r="G27" s="315">
        <f>F27-F26</f>
        <v>0</v>
      </c>
      <c r="H27" s="451">
        <f t="shared" si="30"/>
        <v>17709394</v>
      </c>
      <c r="I27" s="315">
        <f t="shared" si="15"/>
        <v>0</v>
      </c>
      <c r="J27" s="600">
        <f t="shared" si="31"/>
        <v>28769710</v>
      </c>
      <c r="K27" s="315">
        <f t="shared" si="16"/>
        <v>0</v>
      </c>
      <c r="L27" s="451">
        <f t="shared" si="32"/>
        <v>23828606</v>
      </c>
      <c r="M27" s="315">
        <f t="shared" si="17"/>
        <v>0</v>
      </c>
      <c r="N27" s="313">
        <f t="shared" si="18"/>
        <v>0</v>
      </c>
      <c r="O27" s="473">
        <f t="shared" si="26"/>
        <v>0</v>
      </c>
      <c r="P27" s="601">
        <f t="shared" si="7"/>
        <v>16415</v>
      </c>
      <c r="Q27" s="455">
        <f t="shared" si="35"/>
        <v>0</v>
      </c>
      <c r="R27" s="455">
        <f t="shared" si="36"/>
        <v>0</v>
      </c>
      <c r="S27" s="451">
        <f t="shared" si="33"/>
        <v>9998</v>
      </c>
      <c r="T27" s="475">
        <f t="shared" si="3"/>
        <v>0</v>
      </c>
      <c r="U27" s="451">
        <f t="shared" si="19"/>
        <v>399403</v>
      </c>
      <c r="V27" s="455">
        <f t="shared" si="20"/>
        <v>0</v>
      </c>
      <c r="W27" s="451">
        <f t="shared" si="8"/>
        <v>32049</v>
      </c>
      <c r="X27" s="455">
        <f t="shared" si="25"/>
        <v>0</v>
      </c>
      <c r="Y27" s="451">
        <f t="shared" si="9"/>
        <v>673052</v>
      </c>
      <c r="Z27" s="455">
        <f t="shared" si="24"/>
        <v>0</v>
      </c>
      <c r="AA27" s="451">
        <f t="shared" si="10"/>
        <v>35634</v>
      </c>
      <c r="AB27" s="455">
        <f t="shared" si="21"/>
        <v>0</v>
      </c>
      <c r="AC27" s="451">
        <f t="shared" si="11"/>
        <v>905726</v>
      </c>
      <c r="AD27" s="455">
        <f t="shared" si="37"/>
        <v>0</v>
      </c>
      <c r="AE27" s="478">
        <f t="shared" si="12"/>
        <v>0</v>
      </c>
      <c r="AF27" s="479">
        <f t="shared" si="13"/>
        <v>0</v>
      </c>
      <c r="AG27" s="471">
        <f t="shared" si="27"/>
        <v>0</v>
      </c>
      <c r="AI27" s="472">
        <f>R27-'EDl log'!B25</f>
        <v>-629025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f t="shared" si="28"/>
        <v>32406836</v>
      </c>
      <c r="E28" s="314">
        <f t="shared" si="14"/>
        <v>0</v>
      </c>
      <c r="F28" s="600">
        <f t="shared" si="29"/>
        <v>3902717</v>
      </c>
      <c r="G28" s="315">
        <f t="shared" si="0"/>
        <v>0</v>
      </c>
      <c r="H28" s="451">
        <f t="shared" si="30"/>
        <v>17709394</v>
      </c>
      <c r="I28" s="315">
        <f t="shared" si="15"/>
        <v>0</v>
      </c>
      <c r="J28" s="600">
        <f t="shared" si="31"/>
        <v>28769710</v>
      </c>
      <c r="K28" s="315">
        <f t="shared" si="16"/>
        <v>0</v>
      </c>
      <c r="L28" s="451">
        <f t="shared" si="32"/>
        <v>23828606</v>
      </c>
      <c r="M28" s="315">
        <f t="shared" si="17"/>
        <v>0</v>
      </c>
      <c r="N28" s="313">
        <f t="shared" si="18"/>
        <v>0</v>
      </c>
      <c r="O28" s="473">
        <f t="shared" si="26"/>
        <v>0</v>
      </c>
      <c r="P28" s="601">
        <f t="shared" si="7"/>
        <v>16415</v>
      </c>
      <c r="Q28" s="455">
        <f t="shared" si="35"/>
        <v>0</v>
      </c>
      <c r="R28" s="455">
        <f t="shared" si="36"/>
        <v>0</v>
      </c>
      <c r="S28" s="451">
        <f t="shared" si="33"/>
        <v>9998</v>
      </c>
      <c r="T28" s="475">
        <f t="shared" si="3"/>
        <v>0</v>
      </c>
      <c r="U28" s="451">
        <f t="shared" si="19"/>
        <v>399403</v>
      </c>
      <c r="V28" s="455">
        <f t="shared" si="20"/>
        <v>0</v>
      </c>
      <c r="W28" s="451">
        <f t="shared" si="8"/>
        <v>32049</v>
      </c>
      <c r="X28" s="455">
        <f t="shared" si="25"/>
        <v>0</v>
      </c>
      <c r="Y28" s="451">
        <f t="shared" si="9"/>
        <v>673052</v>
      </c>
      <c r="Z28" s="455">
        <f t="shared" si="24"/>
        <v>0</v>
      </c>
      <c r="AA28" s="451">
        <f t="shared" si="10"/>
        <v>35634</v>
      </c>
      <c r="AB28" s="455">
        <f t="shared" si="21"/>
        <v>0</v>
      </c>
      <c r="AC28" s="451">
        <f t="shared" si="11"/>
        <v>905726</v>
      </c>
      <c r="AD28" s="455">
        <f t="shared" si="37"/>
        <v>0</v>
      </c>
      <c r="AE28" s="478">
        <f t="shared" si="12"/>
        <v>0</v>
      </c>
      <c r="AF28" s="479">
        <f t="shared" si="13"/>
        <v>0</v>
      </c>
      <c r="AG28" s="471">
        <f t="shared" si="27"/>
        <v>0</v>
      </c>
      <c r="AI28" s="472">
        <f>R28-'EDl log'!B26</f>
        <v>-629025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si="28"/>
        <v>32406836</v>
      </c>
      <c r="E29" s="314">
        <f t="shared" si="14"/>
        <v>0</v>
      </c>
      <c r="F29" s="600">
        <f t="shared" si="29"/>
        <v>3902717</v>
      </c>
      <c r="G29" s="315">
        <f t="shared" si="0"/>
        <v>0</v>
      </c>
      <c r="H29" s="451">
        <f t="shared" si="30"/>
        <v>17709394</v>
      </c>
      <c r="I29" s="315">
        <f t="shared" si="15"/>
        <v>0</v>
      </c>
      <c r="J29" s="600">
        <f t="shared" si="31"/>
        <v>28769710</v>
      </c>
      <c r="K29" s="315">
        <f t="shared" si="16"/>
        <v>0</v>
      </c>
      <c r="L29" s="451">
        <f t="shared" si="32"/>
        <v>23828606</v>
      </c>
      <c r="M29" s="315">
        <f t="shared" si="17"/>
        <v>0</v>
      </c>
      <c r="N29" s="313">
        <f t="shared" si="18"/>
        <v>0</v>
      </c>
      <c r="O29" s="473">
        <f t="shared" si="26"/>
        <v>0</v>
      </c>
      <c r="P29" s="601">
        <f t="shared" si="7"/>
        <v>16415</v>
      </c>
      <c r="Q29" s="455">
        <f t="shared" si="35"/>
        <v>0</v>
      </c>
      <c r="R29" s="455">
        <f t="shared" si="36"/>
        <v>0</v>
      </c>
      <c r="S29" s="451">
        <f t="shared" si="33"/>
        <v>9998</v>
      </c>
      <c r="T29" s="475">
        <f t="shared" si="3"/>
        <v>0</v>
      </c>
      <c r="U29" s="451">
        <f t="shared" si="19"/>
        <v>399403</v>
      </c>
      <c r="V29" s="455">
        <f t="shared" si="20"/>
        <v>0</v>
      </c>
      <c r="W29" s="451">
        <f t="shared" si="8"/>
        <v>32049</v>
      </c>
      <c r="X29" s="455">
        <f t="shared" si="25"/>
        <v>0</v>
      </c>
      <c r="Y29" s="451">
        <f t="shared" si="9"/>
        <v>673052</v>
      </c>
      <c r="Z29" s="455">
        <f t="shared" si="24"/>
        <v>0</v>
      </c>
      <c r="AA29" s="451">
        <f t="shared" si="10"/>
        <v>35634</v>
      </c>
      <c r="AB29" s="455">
        <f t="shared" si="21"/>
        <v>0</v>
      </c>
      <c r="AC29" s="451">
        <f t="shared" si="11"/>
        <v>905726</v>
      </c>
      <c r="AD29" s="455">
        <f t="shared" si="37"/>
        <v>0</v>
      </c>
      <c r="AE29" s="478">
        <f t="shared" si="12"/>
        <v>0</v>
      </c>
      <c r="AF29" s="479">
        <f t="shared" si="13"/>
        <v>0</v>
      </c>
      <c r="AG29" s="471">
        <f t="shared" si="27"/>
        <v>0</v>
      </c>
      <c r="AI29" s="472">
        <f>R29-'EDl log'!B27</f>
        <v>-629025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28"/>
        <v>32406836</v>
      </c>
      <c r="E30" s="314">
        <f t="shared" si="14"/>
        <v>0</v>
      </c>
      <c r="F30" s="600">
        <f t="shared" si="29"/>
        <v>3902717</v>
      </c>
      <c r="G30" s="315">
        <f t="shared" si="0"/>
        <v>0</v>
      </c>
      <c r="H30" s="451">
        <f t="shared" si="30"/>
        <v>17709394</v>
      </c>
      <c r="I30" s="315">
        <f t="shared" si="15"/>
        <v>0</v>
      </c>
      <c r="J30" s="600">
        <f t="shared" si="31"/>
        <v>28769710</v>
      </c>
      <c r="K30" s="315">
        <f t="shared" si="16"/>
        <v>0</v>
      </c>
      <c r="L30" s="451">
        <f t="shared" si="32"/>
        <v>23828606</v>
      </c>
      <c r="M30" s="315">
        <f t="shared" si="17"/>
        <v>0</v>
      </c>
      <c r="N30" s="313">
        <f t="shared" si="18"/>
        <v>0</v>
      </c>
      <c r="O30" s="473">
        <f t="shared" si="26"/>
        <v>0</v>
      </c>
      <c r="P30" s="601">
        <f t="shared" si="7"/>
        <v>16415</v>
      </c>
      <c r="Q30" s="455">
        <f t="shared" si="35"/>
        <v>0</v>
      </c>
      <c r="R30" s="455">
        <f t="shared" si="36"/>
        <v>0</v>
      </c>
      <c r="S30" s="451">
        <f t="shared" si="33"/>
        <v>9998</v>
      </c>
      <c r="T30" s="475">
        <f t="shared" si="3"/>
        <v>0</v>
      </c>
      <c r="U30" s="451">
        <f t="shared" si="19"/>
        <v>399403</v>
      </c>
      <c r="V30" s="455">
        <f t="shared" si="20"/>
        <v>0</v>
      </c>
      <c r="W30" s="451">
        <f t="shared" si="8"/>
        <v>32049</v>
      </c>
      <c r="X30" s="476">
        <f t="shared" si="25"/>
        <v>0</v>
      </c>
      <c r="Y30" s="451">
        <f t="shared" si="9"/>
        <v>673052</v>
      </c>
      <c r="Z30" s="455">
        <f t="shared" si="24"/>
        <v>0</v>
      </c>
      <c r="AA30" s="451">
        <f t="shared" si="10"/>
        <v>35634</v>
      </c>
      <c r="AB30" s="455">
        <f t="shared" si="21"/>
        <v>0</v>
      </c>
      <c r="AC30" s="451">
        <f t="shared" si="11"/>
        <v>905726</v>
      </c>
      <c r="AD30" s="455">
        <f t="shared" si="37"/>
        <v>0</v>
      </c>
      <c r="AE30" s="478">
        <f t="shared" si="12"/>
        <v>0</v>
      </c>
      <c r="AF30" s="479">
        <f t="shared" si="13"/>
        <v>0</v>
      </c>
      <c r="AG30" s="471">
        <f t="shared" si="27"/>
        <v>0</v>
      </c>
      <c r="AI30" s="472">
        <f>R30-'EDl log'!B28</f>
        <v>-629025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28"/>
        <v>32406836</v>
      </c>
      <c r="E31" s="314">
        <f t="shared" si="14"/>
        <v>0</v>
      </c>
      <c r="F31" s="600">
        <f t="shared" si="29"/>
        <v>3902717</v>
      </c>
      <c r="G31" s="315">
        <f t="shared" si="0"/>
        <v>0</v>
      </c>
      <c r="H31" s="451">
        <f t="shared" si="30"/>
        <v>17709394</v>
      </c>
      <c r="I31" s="315">
        <f t="shared" si="15"/>
        <v>0</v>
      </c>
      <c r="J31" s="600">
        <f t="shared" si="31"/>
        <v>28769710</v>
      </c>
      <c r="K31" s="315">
        <f t="shared" si="16"/>
        <v>0</v>
      </c>
      <c r="L31" s="451">
        <f t="shared" si="32"/>
        <v>23828606</v>
      </c>
      <c r="M31" s="315">
        <f t="shared" si="17"/>
        <v>0</v>
      </c>
      <c r="N31" s="313">
        <f t="shared" si="18"/>
        <v>0</v>
      </c>
      <c r="O31" s="473">
        <f t="shared" si="26"/>
        <v>0</v>
      </c>
      <c r="P31" s="601">
        <f t="shared" si="7"/>
        <v>16415</v>
      </c>
      <c r="Q31" s="455">
        <f t="shared" si="35"/>
        <v>0</v>
      </c>
      <c r="R31" s="455">
        <f t="shared" si="36"/>
        <v>0</v>
      </c>
      <c r="S31" s="451">
        <f t="shared" si="33"/>
        <v>9998</v>
      </c>
      <c r="T31" s="475">
        <f t="shared" si="3"/>
        <v>0</v>
      </c>
      <c r="U31" s="451">
        <f t="shared" si="19"/>
        <v>399403</v>
      </c>
      <c r="V31" s="455">
        <f t="shared" si="20"/>
        <v>0</v>
      </c>
      <c r="W31" s="451">
        <f t="shared" si="8"/>
        <v>32049</v>
      </c>
      <c r="X31" s="476">
        <f t="shared" si="25"/>
        <v>0</v>
      </c>
      <c r="Y31" s="451">
        <f t="shared" si="9"/>
        <v>673052</v>
      </c>
      <c r="Z31" s="477">
        <f>Y31-Y30</f>
        <v>0</v>
      </c>
      <c r="AA31" s="451">
        <f t="shared" si="10"/>
        <v>35634</v>
      </c>
      <c r="AB31" s="455">
        <f t="shared" si="21"/>
        <v>0</v>
      </c>
      <c r="AC31" s="451">
        <f t="shared" si="11"/>
        <v>905726</v>
      </c>
      <c r="AD31" s="455">
        <f t="shared" si="37"/>
        <v>0</v>
      </c>
      <c r="AE31" s="478">
        <f t="shared" si="12"/>
        <v>0</v>
      </c>
      <c r="AF31" s="479">
        <f t="shared" si="13"/>
        <v>0</v>
      </c>
      <c r="AG31" s="471">
        <f t="shared" si="27"/>
        <v>0</v>
      </c>
      <c r="AI31" s="472">
        <f>R31-'EDl log'!B29</f>
        <v>-629025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28"/>
        <v>32406836</v>
      </c>
      <c r="E32" s="314">
        <f t="shared" si="14"/>
        <v>0</v>
      </c>
      <c r="F32" s="600">
        <f t="shared" si="29"/>
        <v>3902717</v>
      </c>
      <c r="G32" s="315">
        <f>F32-F31</f>
        <v>0</v>
      </c>
      <c r="H32" s="451">
        <f t="shared" si="30"/>
        <v>17709394</v>
      </c>
      <c r="I32" s="315">
        <f>H32-H31</f>
        <v>0</v>
      </c>
      <c r="J32" s="600">
        <f t="shared" si="31"/>
        <v>28769710</v>
      </c>
      <c r="K32" s="315">
        <f>J32-J31</f>
        <v>0</v>
      </c>
      <c r="L32" s="451">
        <f t="shared" si="32"/>
        <v>23828606</v>
      </c>
      <c r="M32" s="315">
        <f>L32-L31</f>
        <v>0</v>
      </c>
      <c r="N32" s="313">
        <f>M32+K32+I32+G32+E32</f>
        <v>0</v>
      </c>
      <c r="O32" s="473">
        <f t="shared" si="26"/>
        <v>0</v>
      </c>
      <c r="P32" s="601">
        <f t="shared" si="7"/>
        <v>16415</v>
      </c>
      <c r="Q32" s="455">
        <f t="shared" si="35"/>
        <v>0</v>
      </c>
      <c r="R32" s="455">
        <f t="shared" si="36"/>
        <v>0</v>
      </c>
      <c r="S32" s="451">
        <f t="shared" si="33"/>
        <v>9998</v>
      </c>
      <c r="T32" s="475">
        <f t="shared" si="3"/>
        <v>0</v>
      </c>
      <c r="U32" s="451">
        <f t="shared" si="19"/>
        <v>399403</v>
      </c>
      <c r="V32" s="455">
        <f t="shared" si="20"/>
        <v>0</v>
      </c>
      <c r="W32" s="451">
        <f t="shared" si="8"/>
        <v>32049</v>
      </c>
      <c r="X32" s="455">
        <f t="shared" si="25"/>
        <v>0</v>
      </c>
      <c r="Y32" s="451">
        <f t="shared" si="9"/>
        <v>673052</v>
      </c>
      <c r="Z32" s="477">
        <f>Y32-Y31</f>
        <v>0</v>
      </c>
      <c r="AA32" s="451">
        <f t="shared" si="10"/>
        <v>35634</v>
      </c>
      <c r="AB32" s="455">
        <f t="shared" si="21"/>
        <v>0</v>
      </c>
      <c r="AC32" s="451">
        <f t="shared" si="11"/>
        <v>905726</v>
      </c>
      <c r="AD32" s="455">
        <f t="shared" si="37"/>
        <v>0</v>
      </c>
      <c r="AE32" s="478">
        <f t="shared" si="12"/>
        <v>0</v>
      </c>
      <c r="AF32" s="479">
        <f>V32+Z32+AD32</f>
        <v>0</v>
      </c>
      <c r="AG32" s="471">
        <f t="shared" si="27"/>
        <v>0</v>
      </c>
      <c r="AI32" s="472">
        <f>R32-'EDl log'!B30</f>
        <v>-629025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28"/>
        <v>32406836</v>
      </c>
      <c r="E33" s="314">
        <f t="shared" ref="E33" si="38">D33-D32</f>
        <v>0</v>
      </c>
      <c r="F33" s="600">
        <f t="shared" si="29"/>
        <v>3902717</v>
      </c>
      <c r="G33" s="315">
        <f>F33-F32</f>
        <v>0</v>
      </c>
      <c r="H33" s="451">
        <f t="shared" si="30"/>
        <v>17709394</v>
      </c>
      <c r="I33" s="315">
        <f>H33-H32</f>
        <v>0</v>
      </c>
      <c r="J33" s="600">
        <f t="shared" si="31"/>
        <v>28769710</v>
      </c>
      <c r="K33" s="315">
        <f>J33-J32</f>
        <v>0</v>
      </c>
      <c r="L33" s="451">
        <f t="shared" si="32"/>
        <v>23828606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7"/>
        <v>16415</v>
      </c>
      <c r="Q33" s="455">
        <f t="shared" si="35"/>
        <v>0</v>
      </c>
      <c r="R33" s="455">
        <f t="shared" si="36"/>
        <v>0</v>
      </c>
      <c r="S33" s="451">
        <f t="shared" si="33"/>
        <v>9998</v>
      </c>
      <c r="T33" s="475">
        <f t="shared" ref="T33" si="40">S33-S32</f>
        <v>0</v>
      </c>
      <c r="U33" s="451">
        <f t="shared" si="19"/>
        <v>399403</v>
      </c>
      <c r="V33" s="455">
        <f t="shared" ref="V33" si="41">U33-U32</f>
        <v>0</v>
      </c>
      <c r="W33" s="451">
        <f t="shared" si="8"/>
        <v>32049</v>
      </c>
      <c r="X33" s="455">
        <f t="shared" ref="X33" si="42">W33-W32</f>
        <v>0</v>
      </c>
      <c r="Y33" s="451">
        <f t="shared" si="9"/>
        <v>673052</v>
      </c>
      <c r="Z33" s="477">
        <f>Y33-Y32</f>
        <v>0</v>
      </c>
      <c r="AA33" s="451">
        <f t="shared" si="10"/>
        <v>35634</v>
      </c>
      <c r="AB33" s="455">
        <f t="shared" ref="AB33" si="43">AA33-AA32</f>
        <v>0</v>
      </c>
      <c r="AC33" s="451">
        <f t="shared" si="11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-629025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topLeftCell="Q1" zoomScale="90" zoomScaleNormal="90" workbookViewId="0">
      <pane ySplit="1" topLeftCell="A2" activePane="bottomLeft" state="frozen"/>
      <selection activeCell="K1" sqref="K1"/>
      <selection pane="bottomLeft" activeCell="AE2" sqref="AE1:AE1048576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1" t="s">
        <v>2</v>
      </c>
      <c r="G1" s="632"/>
      <c r="H1" s="632"/>
      <c r="I1" s="633"/>
      <c r="J1" s="285">
        <f>J36</f>
        <v>0.75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400"/>
      <c r="V1" s="27" t="s">
        <v>104</v>
      </c>
      <c r="W1" s="401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v>67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09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09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67</v>
      </c>
      <c r="AO6" s="323">
        <f t="shared" ref="AO6:AO26" si="24">(AN6/100)*3000</f>
        <v>2010.0000000000002</v>
      </c>
      <c r="AP6" s="64">
        <v>55</v>
      </c>
      <c r="AQ6" s="323">
        <f t="shared" ref="AQ6:AQ24" si="25">(AP6/100)*3000</f>
        <v>1650.0000000000002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v>237</v>
      </c>
      <c r="C7" s="64">
        <v>243</v>
      </c>
      <c r="D7" s="45">
        <f t="shared" ref="D7:D34" si="28">C6-C7</f>
        <v>3</v>
      </c>
      <c r="E7" s="45">
        <f t="shared" si="9"/>
        <v>25.14</v>
      </c>
      <c r="F7" s="64">
        <v>1653</v>
      </c>
      <c r="G7" s="52">
        <f t="shared" si="0"/>
        <v>3</v>
      </c>
      <c r="H7" s="614">
        <v>357869</v>
      </c>
      <c r="I7" s="399">
        <f t="shared" si="1"/>
        <v>0</v>
      </c>
      <c r="J7" s="66">
        <f t="shared" si="10"/>
        <v>0</v>
      </c>
      <c r="K7" s="64">
        <f t="shared" ref="K7:K35" si="29">K6</f>
        <v>2148</v>
      </c>
      <c r="L7" s="52">
        <f t="shared" si="2"/>
        <v>0</v>
      </c>
      <c r="M7" s="64">
        <f t="shared" ref="M7:M35" si="30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1">SUM(S7*$T$2)</f>
        <v>0</v>
      </c>
      <c r="U7" s="405">
        <f t="shared" si="12"/>
        <v>3</v>
      </c>
      <c r="V7" s="62">
        <f t="shared" si="13"/>
        <v>0</v>
      </c>
      <c r="W7" s="403">
        <f t="shared" si="14"/>
        <v>0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18"/>
        <v>1933</v>
      </c>
      <c r="AD7" s="45">
        <f t="shared" si="7"/>
        <v>0</v>
      </c>
      <c r="AE7" s="609">
        <f t="shared" si="19"/>
        <v>365212</v>
      </c>
      <c r="AF7" s="309">
        <f t="shared" si="20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3</v>
      </c>
      <c r="AM7" s="321">
        <f t="shared" si="23"/>
        <v>0</v>
      </c>
      <c r="AN7" s="64">
        <v>67</v>
      </c>
      <c r="AO7" s="323">
        <f t="shared" si="24"/>
        <v>2010.0000000000002</v>
      </c>
      <c r="AP7" s="64">
        <f t="shared" ref="AP7:AP35" si="35">AP6</f>
        <v>55</v>
      </c>
      <c r="AQ7" s="323">
        <f t="shared" si="25"/>
        <v>1650.0000000000002</v>
      </c>
      <c r="AR7" s="64">
        <f t="shared" si="26"/>
        <v>63</v>
      </c>
      <c r="AS7" s="323">
        <f t="shared" ref="AS7:AS34" si="36">(AR7/100)*3000</f>
        <v>1890</v>
      </c>
      <c r="AT7" s="323">
        <f t="shared" ref="AT7:AT23" si="37">SUM(AO7+AQ7+AS7)</f>
        <v>5550</v>
      </c>
      <c r="AU7" s="323">
        <f t="shared" ref="AU7:AU34" si="38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v>234</v>
      </c>
      <c r="C8" s="64">
        <v>240</v>
      </c>
      <c r="D8" s="45">
        <f t="shared" si="28"/>
        <v>3</v>
      </c>
      <c r="E8" s="45">
        <f t="shared" si="9"/>
        <v>25.14</v>
      </c>
      <c r="F8" s="64">
        <v>1656</v>
      </c>
      <c r="G8" s="52">
        <f t="shared" si="0"/>
        <v>3</v>
      </c>
      <c r="H8" s="614">
        <f t="shared" ref="H8:H35" si="39">H7</f>
        <v>357869</v>
      </c>
      <c r="I8" s="399">
        <f t="shared" si="1"/>
        <v>0</v>
      </c>
      <c r="J8" s="66">
        <f t="shared" si="10"/>
        <v>0</v>
      </c>
      <c r="K8" s="64">
        <v>2148</v>
      </c>
      <c r="L8" s="52">
        <f t="shared" si="2"/>
        <v>0</v>
      </c>
      <c r="M8" s="64">
        <v>157704</v>
      </c>
      <c r="N8" s="399">
        <f t="shared" si="3"/>
        <v>0</v>
      </c>
      <c r="O8" s="64">
        <f t="shared" si="11"/>
        <v>211.87499999999994</v>
      </c>
      <c r="P8" s="64">
        <v>1855</v>
      </c>
      <c r="Q8" s="64">
        <v>157396</v>
      </c>
      <c r="R8" s="398">
        <f t="shared" si="4"/>
        <v>0</v>
      </c>
      <c r="S8" s="52">
        <f t="shared" si="5"/>
        <v>0</v>
      </c>
      <c r="T8" s="67">
        <f t="shared" si="31"/>
        <v>0</v>
      </c>
      <c r="U8" s="405">
        <f t="shared" si="12"/>
        <v>3</v>
      </c>
      <c r="V8" s="62">
        <f t="shared" si="13"/>
        <v>0</v>
      </c>
      <c r="W8" s="403">
        <f t="shared" si="14"/>
        <v>0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2"/>
        <v>0</v>
      </c>
      <c r="AC8" s="64">
        <f t="shared" si="18"/>
        <v>1933</v>
      </c>
      <c r="AD8" s="45">
        <f t="shared" si="7"/>
        <v>0</v>
      </c>
      <c r="AE8" s="609">
        <f t="shared" si="19"/>
        <v>365212</v>
      </c>
      <c r="AF8" s="309">
        <f t="shared" si="20"/>
        <v>0</v>
      </c>
      <c r="AG8" s="210">
        <f t="shared" si="33"/>
        <v>0</v>
      </c>
      <c r="AH8" s="62">
        <f t="shared" si="34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3</v>
      </c>
      <c r="AM8" s="321">
        <f t="shared" si="23"/>
        <v>0</v>
      </c>
      <c r="AN8" s="64">
        <f t="shared" ref="AN8:AN35" si="40">AN7</f>
        <v>67</v>
      </c>
      <c r="AO8" s="323">
        <f t="shared" si="24"/>
        <v>2010.0000000000002</v>
      </c>
      <c r="AP8" s="64">
        <f t="shared" si="35"/>
        <v>55</v>
      </c>
      <c r="AQ8" s="323">
        <f t="shared" si="25"/>
        <v>1650.0000000000002</v>
      </c>
      <c r="AR8" s="64">
        <f t="shared" si="26"/>
        <v>63</v>
      </c>
      <c r="AS8" s="323">
        <f t="shared" si="36"/>
        <v>1890</v>
      </c>
      <c r="AT8" s="323">
        <f t="shared" si="37"/>
        <v>5550</v>
      </c>
      <c r="AU8" s="323">
        <f t="shared" si="38"/>
        <v>0</v>
      </c>
      <c r="AV8" s="271"/>
      <c r="AW8" s="271"/>
      <c r="AX8" s="316">
        <f t="shared" si="27"/>
        <v>0.8</v>
      </c>
    </row>
    <row r="9" spans="1:52" ht="15.75" customHeight="1">
      <c r="A9" s="63">
        <f>ELEC!C7</f>
        <v>44140</v>
      </c>
      <c r="B9" s="64">
        <v>231</v>
      </c>
      <c r="C9" s="64">
        <v>238</v>
      </c>
      <c r="D9" s="45">
        <f t="shared" si="28"/>
        <v>2</v>
      </c>
      <c r="E9" s="45">
        <f t="shared" si="9"/>
        <v>16.760000000000002</v>
      </c>
      <c r="F9" s="64">
        <v>1659</v>
      </c>
      <c r="G9" s="52">
        <f t="shared" si="0"/>
        <v>3</v>
      </c>
      <c r="H9" s="614">
        <f t="shared" si="39"/>
        <v>357869</v>
      </c>
      <c r="I9" s="399">
        <f t="shared" si="1"/>
        <v>0</v>
      </c>
      <c r="J9" s="66">
        <f t="shared" si="10"/>
        <v>0</v>
      </c>
      <c r="K9" s="64">
        <f t="shared" si="29"/>
        <v>2148</v>
      </c>
      <c r="L9" s="52">
        <f t="shared" si="2"/>
        <v>0</v>
      </c>
      <c r="M9" s="64">
        <f t="shared" si="30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1"/>
        <v>0</v>
      </c>
      <c r="U9" s="405">
        <f t="shared" si="12"/>
        <v>3</v>
      </c>
      <c r="V9" s="62">
        <f t="shared" si="13"/>
        <v>0</v>
      </c>
      <c r="W9" s="403">
        <f t="shared" si="14"/>
        <v>0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2"/>
        <v>0</v>
      </c>
      <c r="AC9" s="64">
        <f t="shared" si="18"/>
        <v>1933</v>
      </c>
      <c r="AD9" s="45">
        <f t="shared" si="7"/>
        <v>0</v>
      </c>
      <c r="AE9" s="609">
        <f t="shared" si="19"/>
        <v>365212</v>
      </c>
      <c r="AF9" s="309">
        <f t="shared" si="20"/>
        <v>0</v>
      </c>
      <c r="AG9" s="210">
        <f t="shared" si="33"/>
        <v>0</v>
      </c>
      <c r="AH9" s="62">
        <f t="shared" si="34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3</v>
      </c>
      <c r="AM9" s="321">
        <f t="shared" si="23"/>
        <v>0</v>
      </c>
      <c r="AN9" s="64">
        <f t="shared" si="40"/>
        <v>67</v>
      </c>
      <c r="AO9" s="323">
        <f t="shared" si="24"/>
        <v>2010.0000000000002</v>
      </c>
      <c r="AP9" s="64">
        <f t="shared" si="35"/>
        <v>55</v>
      </c>
      <c r="AQ9" s="323">
        <f t="shared" si="25"/>
        <v>1650.0000000000002</v>
      </c>
      <c r="AR9" s="64">
        <f t="shared" si="26"/>
        <v>63</v>
      </c>
      <c r="AS9" s="323">
        <f>(AR9/100)*3000</f>
        <v>1890</v>
      </c>
      <c r="AT9" s="323">
        <f t="shared" si="37"/>
        <v>5550</v>
      </c>
      <c r="AU9" s="323">
        <f t="shared" si="38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v>225</v>
      </c>
      <c r="C10" s="64">
        <v>235</v>
      </c>
      <c r="D10" s="45">
        <f t="shared" si="28"/>
        <v>3</v>
      </c>
      <c r="E10" s="45">
        <f t="shared" si="9"/>
        <v>25.14</v>
      </c>
      <c r="F10" s="64">
        <f t="shared" ref="F10:F35" si="41">F9</f>
        <v>1659</v>
      </c>
      <c r="G10" s="52">
        <f t="shared" si="0"/>
        <v>0</v>
      </c>
      <c r="H10" s="614">
        <f t="shared" si="39"/>
        <v>357869</v>
      </c>
      <c r="I10" s="399">
        <f t="shared" si="1"/>
        <v>0</v>
      </c>
      <c r="J10" s="66">
        <f t="shared" si="10"/>
        <v>0</v>
      </c>
      <c r="K10" s="64">
        <f t="shared" si="29"/>
        <v>2148</v>
      </c>
      <c r="L10" s="52">
        <f t="shared" si="2"/>
        <v>0</v>
      </c>
      <c r="M10" s="64">
        <f t="shared" si="30"/>
        <v>157704</v>
      </c>
      <c r="N10" s="399">
        <f t="shared" si="3"/>
        <v>0</v>
      </c>
      <c r="O10" s="64">
        <f t="shared" si="11"/>
        <v>211.87499999999994</v>
      </c>
      <c r="P10" s="64">
        <v>1856</v>
      </c>
      <c r="Q10" s="64">
        <v>157396</v>
      </c>
      <c r="R10" s="398">
        <f t="shared" si="4"/>
        <v>0</v>
      </c>
      <c r="S10" s="52">
        <f t="shared" si="5"/>
        <v>1</v>
      </c>
      <c r="T10" s="67">
        <f t="shared" si="31"/>
        <v>0</v>
      </c>
      <c r="U10" s="405">
        <f t="shared" si="12"/>
        <v>1</v>
      </c>
      <c r="V10" s="62">
        <f t="shared" si="13"/>
        <v>0</v>
      </c>
      <c r="W10" s="403">
        <f t="shared" si="14"/>
        <v>0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2"/>
        <v>0</v>
      </c>
      <c r="AC10" s="64">
        <f t="shared" si="18"/>
        <v>1933</v>
      </c>
      <c r="AD10" s="45">
        <f t="shared" si="7"/>
        <v>0</v>
      </c>
      <c r="AE10" s="609">
        <f t="shared" si="19"/>
        <v>365212</v>
      </c>
      <c r="AF10" s="309">
        <f t="shared" si="20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1</v>
      </c>
      <c r="AM10" s="321">
        <f t="shared" si="23"/>
        <v>0</v>
      </c>
      <c r="AN10" s="64">
        <f t="shared" si="40"/>
        <v>67</v>
      </c>
      <c r="AO10" s="323">
        <f t="shared" si="24"/>
        <v>2010.0000000000002</v>
      </c>
      <c r="AP10" s="64">
        <f t="shared" si="35"/>
        <v>55</v>
      </c>
      <c r="AQ10" s="323">
        <f t="shared" si="25"/>
        <v>1650.0000000000002</v>
      </c>
      <c r="AR10" s="64">
        <f t="shared" si="26"/>
        <v>63</v>
      </c>
      <c r="AS10" s="323">
        <f t="shared" si="36"/>
        <v>1890</v>
      </c>
      <c r="AT10" s="323">
        <f t="shared" si="37"/>
        <v>5550</v>
      </c>
      <c r="AU10" s="323">
        <f t="shared" si="38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v>227.3</v>
      </c>
      <c r="C11" s="64">
        <v>234</v>
      </c>
      <c r="D11" s="45">
        <f t="shared" si="28"/>
        <v>1</v>
      </c>
      <c r="E11" s="45">
        <f t="shared" si="9"/>
        <v>8.3800000000000008</v>
      </c>
      <c r="F11" s="64">
        <f t="shared" si="41"/>
        <v>1659</v>
      </c>
      <c r="G11" s="52">
        <f t="shared" si="0"/>
        <v>0</v>
      </c>
      <c r="H11" s="614">
        <f t="shared" si="39"/>
        <v>357869</v>
      </c>
      <c r="I11" s="399">
        <f t="shared" si="1"/>
        <v>0</v>
      </c>
      <c r="J11" s="66">
        <f t="shared" si="10"/>
        <v>0</v>
      </c>
      <c r="K11" s="64">
        <f t="shared" si="29"/>
        <v>2148</v>
      </c>
      <c r="L11" s="52">
        <f t="shared" si="2"/>
        <v>0</v>
      </c>
      <c r="M11" s="64">
        <f t="shared" si="30"/>
        <v>157704</v>
      </c>
      <c r="N11" s="399">
        <f t="shared" si="3"/>
        <v>0</v>
      </c>
      <c r="O11" s="64">
        <f t="shared" si="11"/>
        <v>211.87499999999994</v>
      </c>
      <c r="P11" s="64">
        <v>1858</v>
      </c>
      <c r="Q11" s="64">
        <v>157634</v>
      </c>
      <c r="R11" s="398">
        <f t="shared" ref="R11:R34" si="42">Q11-Q10</f>
        <v>238</v>
      </c>
      <c r="S11" s="52">
        <f t="shared" si="5"/>
        <v>2</v>
      </c>
      <c r="T11" s="67">
        <f t="shared" si="31"/>
        <v>0</v>
      </c>
      <c r="U11" s="405">
        <f t="shared" si="12"/>
        <v>2</v>
      </c>
      <c r="V11" s="62">
        <f t="shared" si="13"/>
        <v>238</v>
      </c>
      <c r="W11" s="403">
        <f t="shared" si="14"/>
        <v>119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2"/>
        <v>0</v>
      </c>
      <c r="AC11" s="64">
        <f t="shared" si="18"/>
        <v>1933</v>
      </c>
      <c r="AD11" s="45">
        <f t="shared" si="7"/>
        <v>0</v>
      </c>
      <c r="AE11" s="609">
        <f t="shared" si="19"/>
        <v>365212</v>
      </c>
      <c r="AF11" s="309">
        <f t="shared" si="20"/>
        <v>0</v>
      </c>
      <c r="AG11" s="210">
        <f t="shared" si="33"/>
        <v>0</v>
      </c>
      <c r="AH11" s="62">
        <f>AF11+AA11</f>
        <v>0</v>
      </c>
      <c r="AI11" s="321">
        <f>SUM(AH11+V11)</f>
        <v>238</v>
      </c>
      <c r="AJ11" s="321">
        <f>-tanks!AW12</f>
        <v>238</v>
      </c>
      <c r="AK11" s="321">
        <f t="shared" si="22"/>
        <v>0</v>
      </c>
      <c r="AL11" s="321">
        <f t="shared" si="8"/>
        <v>2</v>
      </c>
      <c r="AM11" s="321">
        <f t="shared" si="23"/>
        <v>0</v>
      </c>
      <c r="AN11" s="64">
        <f t="shared" si="40"/>
        <v>67</v>
      </c>
      <c r="AO11" s="323">
        <f t="shared" si="24"/>
        <v>2010.0000000000002</v>
      </c>
      <c r="AP11" s="64">
        <f t="shared" si="35"/>
        <v>55</v>
      </c>
      <c r="AQ11" s="323">
        <f t="shared" si="25"/>
        <v>1650.0000000000002</v>
      </c>
      <c r="AR11" s="64">
        <f t="shared" si="26"/>
        <v>63</v>
      </c>
      <c r="AS11" s="323">
        <f t="shared" si="36"/>
        <v>1890</v>
      </c>
      <c r="AT11" s="323">
        <f t="shared" si="37"/>
        <v>5550</v>
      </c>
      <c r="AU11" s="323">
        <f t="shared" si="38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v>225</v>
      </c>
      <c r="C12" s="64">
        <v>231</v>
      </c>
      <c r="D12" s="45">
        <f t="shared" si="28"/>
        <v>3</v>
      </c>
      <c r="E12" s="45">
        <f t="shared" si="9"/>
        <v>25.14</v>
      </c>
      <c r="F12" s="64">
        <v>1660</v>
      </c>
      <c r="G12" s="52">
        <f t="shared" si="0"/>
        <v>1</v>
      </c>
      <c r="H12" s="614">
        <f t="shared" si="39"/>
        <v>357869</v>
      </c>
      <c r="I12" s="399">
        <f t="shared" si="1"/>
        <v>0</v>
      </c>
      <c r="J12" s="66">
        <f t="shared" si="10"/>
        <v>0</v>
      </c>
      <c r="K12" s="64">
        <f t="shared" si="29"/>
        <v>2148</v>
      </c>
      <c r="L12" s="52">
        <f t="shared" si="2"/>
        <v>0</v>
      </c>
      <c r="M12" s="64">
        <v>157707</v>
      </c>
      <c r="N12" s="399">
        <f t="shared" si="3"/>
        <v>3</v>
      </c>
      <c r="O12" s="64">
        <f t="shared" si="11"/>
        <v>211.87499999999994</v>
      </c>
      <c r="P12" s="64">
        <v>1860</v>
      </c>
      <c r="Q12" s="64">
        <v>157793</v>
      </c>
      <c r="R12" s="398">
        <f t="shared" si="42"/>
        <v>159</v>
      </c>
      <c r="S12" s="52">
        <f t="shared" si="5"/>
        <v>2</v>
      </c>
      <c r="T12" s="67">
        <f t="shared" si="31"/>
        <v>0</v>
      </c>
      <c r="U12" s="405">
        <f t="shared" si="12"/>
        <v>3</v>
      </c>
      <c r="V12" s="62">
        <f t="shared" si="13"/>
        <v>162</v>
      </c>
      <c r="W12" s="403">
        <f t="shared" si="14"/>
        <v>54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2"/>
        <v>0</v>
      </c>
      <c r="AC12" s="64">
        <f t="shared" si="18"/>
        <v>1933</v>
      </c>
      <c r="AD12" s="45">
        <f t="shared" si="7"/>
        <v>0</v>
      </c>
      <c r="AE12" s="609">
        <f t="shared" si="19"/>
        <v>365212</v>
      </c>
      <c r="AF12" s="309">
        <f t="shared" si="20"/>
        <v>0</v>
      </c>
      <c r="AG12" s="210">
        <f t="shared" si="33"/>
        <v>0</v>
      </c>
      <c r="AH12" s="62">
        <f t="shared" si="34"/>
        <v>0</v>
      </c>
      <c r="AI12" s="321">
        <f t="shared" si="21"/>
        <v>162</v>
      </c>
      <c r="AJ12" s="321">
        <f>-tanks!AW13</f>
        <v>162</v>
      </c>
      <c r="AK12" s="321">
        <f t="shared" si="22"/>
        <v>0</v>
      </c>
      <c r="AL12" s="321">
        <f t="shared" si="8"/>
        <v>3</v>
      </c>
      <c r="AM12" s="321">
        <f t="shared" si="23"/>
        <v>0</v>
      </c>
      <c r="AN12" s="64">
        <f t="shared" si="40"/>
        <v>67</v>
      </c>
      <c r="AO12" s="323">
        <f t="shared" si="24"/>
        <v>2010.0000000000002</v>
      </c>
      <c r="AP12" s="64">
        <f t="shared" si="35"/>
        <v>55</v>
      </c>
      <c r="AQ12" s="323">
        <f t="shared" si="25"/>
        <v>1650.0000000000002</v>
      </c>
      <c r="AR12" s="64">
        <f t="shared" si="26"/>
        <v>63</v>
      </c>
      <c r="AS12" s="323">
        <f t="shared" si="36"/>
        <v>1890</v>
      </c>
      <c r="AT12" s="323">
        <f t="shared" si="37"/>
        <v>5550</v>
      </c>
      <c r="AU12" s="323">
        <f t="shared" si="38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v>223</v>
      </c>
      <c r="C13" s="64">
        <v>230</v>
      </c>
      <c r="D13" s="45">
        <f t="shared" si="28"/>
        <v>1</v>
      </c>
      <c r="E13" s="45">
        <f t="shared" si="9"/>
        <v>8.3800000000000008</v>
      </c>
      <c r="F13" s="64">
        <f t="shared" si="41"/>
        <v>1660</v>
      </c>
      <c r="G13" s="52">
        <f t="shared" si="0"/>
        <v>0</v>
      </c>
      <c r="H13" s="614">
        <f t="shared" si="39"/>
        <v>357869</v>
      </c>
      <c r="I13" s="399">
        <f t="shared" si="1"/>
        <v>0</v>
      </c>
      <c r="J13" s="66">
        <f t="shared" si="10"/>
        <v>0</v>
      </c>
      <c r="K13" s="64">
        <f t="shared" si="29"/>
        <v>2148</v>
      </c>
      <c r="L13" s="52">
        <f t="shared" si="2"/>
        <v>0</v>
      </c>
      <c r="M13" s="64">
        <f t="shared" si="30"/>
        <v>157707</v>
      </c>
      <c r="N13" s="399">
        <f t="shared" si="3"/>
        <v>0</v>
      </c>
      <c r="O13" s="64">
        <f t="shared" si="11"/>
        <v>211.87499999999994</v>
      </c>
      <c r="P13" s="64">
        <v>1862</v>
      </c>
      <c r="Q13" s="64">
        <v>157930</v>
      </c>
      <c r="R13" s="398">
        <f t="shared" si="42"/>
        <v>137</v>
      </c>
      <c r="S13" s="52">
        <f t="shared" si="5"/>
        <v>2</v>
      </c>
      <c r="T13" s="67">
        <f t="shared" si="31"/>
        <v>0</v>
      </c>
      <c r="U13" s="405">
        <f t="shared" si="12"/>
        <v>2</v>
      </c>
      <c r="V13" s="62">
        <f>R13+N13+I13:I13</f>
        <v>137</v>
      </c>
      <c r="W13" s="403">
        <f t="shared" si="14"/>
        <v>68.5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2"/>
        <v>0</v>
      </c>
      <c r="AC13" s="64">
        <f t="shared" si="18"/>
        <v>1933</v>
      </c>
      <c r="AD13" s="45">
        <f t="shared" si="7"/>
        <v>0</v>
      </c>
      <c r="AE13" s="609">
        <f t="shared" si="19"/>
        <v>365212</v>
      </c>
      <c r="AF13" s="309">
        <f t="shared" si="20"/>
        <v>0</v>
      </c>
      <c r="AG13" s="210">
        <f t="shared" si="33"/>
        <v>0</v>
      </c>
      <c r="AH13" s="62">
        <f t="shared" si="34"/>
        <v>0</v>
      </c>
      <c r="AI13" s="321">
        <f t="shared" si="21"/>
        <v>137</v>
      </c>
      <c r="AJ13" s="321">
        <f>-tanks!AW14</f>
        <v>137</v>
      </c>
      <c r="AK13" s="321">
        <f t="shared" si="22"/>
        <v>0</v>
      </c>
      <c r="AL13" s="321">
        <f t="shared" si="8"/>
        <v>2</v>
      </c>
      <c r="AM13" s="321">
        <f t="shared" si="23"/>
        <v>0</v>
      </c>
      <c r="AN13" s="64">
        <f t="shared" si="40"/>
        <v>67</v>
      </c>
      <c r="AO13" s="323">
        <f t="shared" si="24"/>
        <v>2010.0000000000002</v>
      </c>
      <c r="AP13" s="64">
        <f t="shared" si="35"/>
        <v>55</v>
      </c>
      <c r="AQ13" s="323">
        <f t="shared" si="25"/>
        <v>1650.0000000000002</v>
      </c>
      <c r="AR13" s="64">
        <f t="shared" si="26"/>
        <v>63</v>
      </c>
      <c r="AS13" s="323">
        <f t="shared" si="36"/>
        <v>1890</v>
      </c>
      <c r="AT13" s="323">
        <f t="shared" si="37"/>
        <v>5550</v>
      </c>
      <c r="AU13" s="323">
        <f t="shared" si="38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f t="shared" ref="B13:B35" si="43">B13</f>
        <v>223</v>
      </c>
      <c r="C14" s="64">
        <f t="shared" ref="C13:C35" si="44">C13</f>
        <v>230</v>
      </c>
      <c r="D14" s="45">
        <f t="shared" si="28"/>
        <v>0</v>
      </c>
      <c r="E14" s="45">
        <f t="shared" si="9"/>
        <v>0</v>
      </c>
      <c r="F14" s="64">
        <f t="shared" si="41"/>
        <v>1660</v>
      </c>
      <c r="G14" s="52">
        <f t="shared" si="0"/>
        <v>0</v>
      </c>
      <c r="H14" s="64">
        <f t="shared" si="39"/>
        <v>357869</v>
      </c>
      <c r="I14" s="399">
        <f t="shared" si="1"/>
        <v>0</v>
      </c>
      <c r="J14" s="66">
        <f t="shared" si="10"/>
        <v>0</v>
      </c>
      <c r="K14" s="64">
        <f t="shared" si="29"/>
        <v>2148</v>
      </c>
      <c r="L14" s="52">
        <f t="shared" si="2"/>
        <v>0</v>
      </c>
      <c r="M14" s="64">
        <f t="shared" si="30"/>
        <v>157707</v>
      </c>
      <c r="N14" s="399">
        <f t="shared" si="3"/>
        <v>0</v>
      </c>
      <c r="O14" s="64">
        <f t="shared" si="11"/>
        <v>211.87499999999994</v>
      </c>
      <c r="P14" s="64">
        <f t="shared" si="11"/>
        <v>1862</v>
      </c>
      <c r="Q14" s="64">
        <f t="shared" si="11"/>
        <v>157930</v>
      </c>
      <c r="R14" s="398">
        <f t="shared" si="42"/>
        <v>0</v>
      </c>
      <c r="S14" s="52">
        <f t="shared" si="5"/>
        <v>0</v>
      </c>
      <c r="T14" s="67">
        <f t="shared" si="31"/>
        <v>0</v>
      </c>
      <c r="U14" s="405">
        <f t="shared" si="12"/>
        <v>0</v>
      </c>
      <c r="V14" s="62">
        <f t="shared" si="13"/>
        <v>0</v>
      </c>
      <c r="W14" s="403" t="e">
        <f t="shared" si="14"/>
        <v>#DIV/0!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2"/>
        <v>0</v>
      </c>
      <c r="AC14" s="64">
        <f t="shared" si="18"/>
        <v>1933</v>
      </c>
      <c r="AD14" s="45">
        <f t="shared" si="7"/>
        <v>0</v>
      </c>
      <c r="AE14" s="609">
        <f t="shared" si="19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2"/>
        <v>0</v>
      </c>
      <c r="AL14" s="321">
        <f t="shared" si="8"/>
        <v>0</v>
      </c>
      <c r="AM14" s="321">
        <f t="shared" si="23"/>
        <v>0</v>
      </c>
      <c r="AN14" s="64">
        <f t="shared" si="40"/>
        <v>67</v>
      </c>
      <c r="AO14" s="323">
        <f t="shared" si="24"/>
        <v>2010.0000000000002</v>
      </c>
      <c r="AP14" s="64">
        <f t="shared" si="35"/>
        <v>55</v>
      </c>
      <c r="AQ14" s="323">
        <f t="shared" si="25"/>
        <v>1650.0000000000002</v>
      </c>
      <c r="AR14" s="64">
        <f t="shared" si="26"/>
        <v>63</v>
      </c>
      <c r="AS14" s="323">
        <f t="shared" si="36"/>
        <v>1890</v>
      </c>
      <c r="AT14" s="323">
        <f t="shared" si="37"/>
        <v>5550</v>
      </c>
      <c r="AU14" s="323">
        <f t="shared" si="38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f t="shared" si="43"/>
        <v>223</v>
      </c>
      <c r="C15" s="64">
        <f t="shared" si="44"/>
        <v>230</v>
      </c>
      <c r="D15" s="45">
        <f t="shared" si="28"/>
        <v>0</v>
      </c>
      <c r="E15" s="45">
        <f t="shared" si="9"/>
        <v>0</v>
      </c>
      <c r="F15" s="64">
        <f t="shared" si="41"/>
        <v>1660</v>
      </c>
      <c r="G15" s="52">
        <f t="shared" si="0"/>
        <v>0</v>
      </c>
      <c r="H15" s="64">
        <f t="shared" si="39"/>
        <v>357869</v>
      </c>
      <c r="I15" s="399">
        <f t="shared" si="1"/>
        <v>0</v>
      </c>
      <c r="J15" s="66">
        <f t="shared" si="10"/>
        <v>0</v>
      </c>
      <c r="K15" s="64">
        <f t="shared" si="29"/>
        <v>2148</v>
      </c>
      <c r="L15" s="52">
        <f t="shared" si="2"/>
        <v>0</v>
      </c>
      <c r="M15" s="64">
        <f t="shared" si="30"/>
        <v>157707</v>
      </c>
      <c r="N15" s="399">
        <f t="shared" si="3"/>
        <v>0</v>
      </c>
      <c r="O15" s="64">
        <f t="shared" si="11"/>
        <v>211.87499999999994</v>
      </c>
      <c r="P15" s="64">
        <f t="shared" si="11"/>
        <v>1862</v>
      </c>
      <c r="Q15" s="64">
        <f t="shared" si="11"/>
        <v>157930</v>
      </c>
      <c r="R15" s="398">
        <f t="shared" si="42"/>
        <v>0</v>
      </c>
      <c r="S15" s="52">
        <f t="shared" si="5"/>
        <v>0</v>
      </c>
      <c r="T15" s="67">
        <f t="shared" si="31"/>
        <v>0</v>
      </c>
      <c r="U15" s="405">
        <f t="shared" si="12"/>
        <v>0</v>
      </c>
      <c r="V15" s="62">
        <f t="shared" si="13"/>
        <v>0</v>
      </c>
      <c r="W15" s="403" t="e">
        <f t="shared" si="14"/>
        <v>#DIV/0!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2"/>
        <v>0</v>
      </c>
      <c r="AC15" s="64">
        <f t="shared" si="18"/>
        <v>1933</v>
      </c>
      <c r="AD15" s="45">
        <f t="shared" si="7"/>
        <v>0</v>
      </c>
      <c r="AE15" s="609">
        <f t="shared" si="19"/>
        <v>365212</v>
      </c>
      <c r="AF15" s="309">
        <f t="shared" si="20"/>
        <v>0</v>
      </c>
      <c r="AG15" s="210">
        <f t="shared" si="33"/>
        <v>0</v>
      </c>
      <c r="AH15" s="62">
        <f t="shared" si="34"/>
        <v>0</v>
      </c>
      <c r="AI15" s="321">
        <f t="shared" si="21"/>
        <v>0</v>
      </c>
      <c r="AJ15" s="321">
        <f>-tanks!AW16</f>
        <v>0</v>
      </c>
      <c r="AK15" s="321">
        <f t="shared" si="22"/>
        <v>0</v>
      </c>
      <c r="AL15" s="321">
        <f t="shared" si="8"/>
        <v>0</v>
      </c>
      <c r="AM15" s="321">
        <f t="shared" si="23"/>
        <v>0</v>
      </c>
      <c r="AN15" s="64">
        <f t="shared" si="40"/>
        <v>67</v>
      </c>
      <c r="AO15" s="323">
        <f t="shared" si="24"/>
        <v>2010.0000000000002</v>
      </c>
      <c r="AP15" s="64">
        <f t="shared" si="35"/>
        <v>55</v>
      </c>
      <c r="AQ15" s="323">
        <f t="shared" si="25"/>
        <v>1650.0000000000002</v>
      </c>
      <c r="AR15" s="64">
        <f t="shared" si="26"/>
        <v>63</v>
      </c>
      <c r="AS15" s="323">
        <f t="shared" si="36"/>
        <v>1890</v>
      </c>
      <c r="AT15" s="323">
        <f t="shared" si="37"/>
        <v>5550</v>
      </c>
      <c r="AU15" s="323">
        <f t="shared" si="38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f t="shared" si="43"/>
        <v>223</v>
      </c>
      <c r="C16" s="64">
        <f t="shared" si="44"/>
        <v>230</v>
      </c>
      <c r="D16" s="45">
        <f t="shared" si="28"/>
        <v>0</v>
      </c>
      <c r="E16" s="45">
        <f t="shared" si="9"/>
        <v>0</v>
      </c>
      <c r="F16" s="64">
        <f t="shared" si="41"/>
        <v>1660</v>
      </c>
      <c r="G16" s="52">
        <f t="shared" si="0"/>
        <v>0</v>
      </c>
      <c r="H16" s="64">
        <f t="shared" si="39"/>
        <v>357869</v>
      </c>
      <c r="I16" s="399">
        <f t="shared" si="1"/>
        <v>0</v>
      </c>
      <c r="J16" s="66">
        <f t="shared" si="10"/>
        <v>0</v>
      </c>
      <c r="K16" s="64">
        <f t="shared" si="29"/>
        <v>2148</v>
      </c>
      <c r="L16" s="52">
        <f t="shared" si="2"/>
        <v>0</v>
      </c>
      <c r="M16" s="64">
        <f t="shared" si="30"/>
        <v>157707</v>
      </c>
      <c r="N16" s="399">
        <f t="shared" si="3"/>
        <v>0</v>
      </c>
      <c r="O16" s="64">
        <f t="shared" si="11"/>
        <v>211.87499999999994</v>
      </c>
      <c r="P16" s="64">
        <f t="shared" si="11"/>
        <v>1862</v>
      </c>
      <c r="Q16" s="64">
        <f t="shared" si="11"/>
        <v>157930</v>
      </c>
      <c r="R16" s="398">
        <f t="shared" si="42"/>
        <v>0</v>
      </c>
      <c r="S16" s="52">
        <f t="shared" si="5"/>
        <v>0</v>
      </c>
      <c r="T16" s="67">
        <f t="shared" si="31"/>
        <v>0</v>
      </c>
      <c r="U16" s="405">
        <f t="shared" si="12"/>
        <v>0</v>
      </c>
      <c r="V16" s="62">
        <f t="shared" si="13"/>
        <v>0</v>
      </c>
      <c r="W16" s="403" t="e">
        <f t="shared" si="14"/>
        <v>#DIV/0!</v>
      </c>
      <c r="X16" s="64">
        <f t="shared" si="15"/>
        <v>2448</v>
      </c>
      <c r="Y16" s="52">
        <f t="shared" si="16"/>
        <v>0</v>
      </c>
      <c r="Z16" s="64">
        <f t="shared" si="17"/>
        <v>137506</v>
      </c>
      <c r="AA16" s="65">
        <f t="shared" si="6"/>
        <v>0</v>
      </c>
      <c r="AB16" s="287">
        <f t="shared" si="32"/>
        <v>0</v>
      </c>
      <c r="AC16" s="64">
        <f t="shared" si="18"/>
        <v>1933</v>
      </c>
      <c r="AD16" s="45">
        <f t="shared" si="7"/>
        <v>0</v>
      </c>
      <c r="AE16" s="609">
        <f t="shared" si="19"/>
        <v>365212</v>
      </c>
      <c r="AF16" s="309">
        <f t="shared" si="20"/>
        <v>0</v>
      </c>
      <c r="AG16" s="210">
        <f t="shared" si="33"/>
        <v>0</v>
      </c>
      <c r="AH16" s="62">
        <f t="shared" si="34"/>
        <v>0</v>
      </c>
      <c r="AI16" s="321">
        <f t="shared" si="21"/>
        <v>0</v>
      </c>
      <c r="AJ16" s="321">
        <f>-tanks!AW17</f>
        <v>0</v>
      </c>
      <c r="AK16" s="321">
        <f t="shared" si="22"/>
        <v>0</v>
      </c>
      <c r="AL16" s="321">
        <f t="shared" si="8"/>
        <v>0</v>
      </c>
      <c r="AM16" s="321">
        <f t="shared" si="23"/>
        <v>0</v>
      </c>
      <c r="AN16" s="64">
        <f t="shared" si="40"/>
        <v>67</v>
      </c>
      <c r="AO16" s="323">
        <f t="shared" si="24"/>
        <v>2010.0000000000002</v>
      </c>
      <c r="AP16" s="64">
        <f t="shared" si="35"/>
        <v>55</v>
      </c>
      <c r="AQ16" s="323">
        <f t="shared" si="25"/>
        <v>1650.0000000000002</v>
      </c>
      <c r="AR16" s="64">
        <f t="shared" si="26"/>
        <v>63</v>
      </c>
      <c r="AS16" s="323">
        <f t="shared" si="36"/>
        <v>1890</v>
      </c>
      <c r="AT16" s="323">
        <f t="shared" si="37"/>
        <v>5550</v>
      </c>
      <c r="AU16" s="323">
        <f t="shared" si="38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f t="shared" si="43"/>
        <v>223</v>
      </c>
      <c r="C17" s="64">
        <f t="shared" si="44"/>
        <v>230</v>
      </c>
      <c r="D17" s="45">
        <f t="shared" si="28"/>
        <v>0</v>
      </c>
      <c r="E17" s="45">
        <f t="shared" si="9"/>
        <v>0</v>
      </c>
      <c r="F17" s="64">
        <f t="shared" si="41"/>
        <v>1660</v>
      </c>
      <c r="G17" s="52">
        <f t="shared" si="0"/>
        <v>0</v>
      </c>
      <c r="H17" s="64">
        <f t="shared" si="39"/>
        <v>357869</v>
      </c>
      <c r="I17" s="399">
        <f t="shared" si="1"/>
        <v>0</v>
      </c>
      <c r="J17" s="66">
        <f t="shared" si="10"/>
        <v>0</v>
      </c>
      <c r="K17" s="64">
        <f t="shared" si="29"/>
        <v>2148</v>
      </c>
      <c r="L17" s="52">
        <f t="shared" si="2"/>
        <v>0</v>
      </c>
      <c r="M17" s="64">
        <f t="shared" si="30"/>
        <v>157707</v>
      </c>
      <c r="N17" s="399">
        <f t="shared" si="3"/>
        <v>0</v>
      </c>
      <c r="O17" s="64">
        <f t="shared" si="11"/>
        <v>211.87499999999994</v>
      </c>
      <c r="P17" s="64">
        <f t="shared" si="11"/>
        <v>1862</v>
      </c>
      <c r="Q17" s="64">
        <f t="shared" si="11"/>
        <v>157930</v>
      </c>
      <c r="R17" s="398">
        <f t="shared" si="42"/>
        <v>0</v>
      </c>
      <c r="S17" s="52">
        <f t="shared" si="5"/>
        <v>0</v>
      </c>
      <c r="T17" s="67">
        <f t="shared" si="31"/>
        <v>0</v>
      </c>
      <c r="U17" s="405">
        <f t="shared" si="12"/>
        <v>0</v>
      </c>
      <c r="V17" s="62">
        <f t="shared" si="13"/>
        <v>0</v>
      </c>
      <c r="W17" s="403"/>
      <c r="X17" s="64">
        <f t="shared" si="15"/>
        <v>2448</v>
      </c>
      <c r="Y17" s="52">
        <f t="shared" si="16"/>
        <v>0</v>
      </c>
      <c r="Z17" s="64">
        <f t="shared" si="17"/>
        <v>137506</v>
      </c>
      <c r="AA17" s="65">
        <f t="shared" si="6"/>
        <v>0</v>
      </c>
      <c r="AB17" s="287">
        <f t="shared" si="32"/>
        <v>0</v>
      </c>
      <c r="AC17" s="64">
        <f t="shared" si="18"/>
        <v>1933</v>
      </c>
      <c r="AD17" s="45">
        <f t="shared" si="7"/>
        <v>0</v>
      </c>
      <c r="AE17" s="609">
        <f t="shared" si="19"/>
        <v>365212</v>
      </c>
      <c r="AF17" s="309">
        <f t="shared" si="20"/>
        <v>0</v>
      </c>
      <c r="AG17" s="210">
        <f t="shared" si="33"/>
        <v>0</v>
      </c>
      <c r="AH17" s="62">
        <f t="shared" si="34"/>
        <v>0</v>
      </c>
      <c r="AI17" s="321">
        <f t="shared" si="21"/>
        <v>0</v>
      </c>
      <c r="AJ17" s="321">
        <f>-tanks!AW18</f>
        <v>0</v>
      </c>
      <c r="AK17" s="321">
        <f t="shared" si="22"/>
        <v>0</v>
      </c>
      <c r="AL17" s="321">
        <f t="shared" si="8"/>
        <v>0</v>
      </c>
      <c r="AM17" s="321">
        <f t="shared" si="23"/>
        <v>0</v>
      </c>
      <c r="AN17" s="64">
        <f t="shared" si="40"/>
        <v>67</v>
      </c>
      <c r="AO17" s="323">
        <f t="shared" si="24"/>
        <v>2010.0000000000002</v>
      </c>
      <c r="AP17" s="64">
        <f t="shared" si="35"/>
        <v>55</v>
      </c>
      <c r="AQ17" s="323">
        <f t="shared" si="25"/>
        <v>1650.0000000000002</v>
      </c>
      <c r="AR17" s="64">
        <f t="shared" si="26"/>
        <v>63</v>
      </c>
      <c r="AS17" s="323">
        <f t="shared" si="36"/>
        <v>1890</v>
      </c>
      <c r="AT17" s="323">
        <f t="shared" si="37"/>
        <v>5550</v>
      </c>
      <c r="AU17" s="323">
        <f t="shared" si="38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f t="shared" si="43"/>
        <v>223</v>
      </c>
      <c r="C18" s="64">
        <f t="shared" si="44"/>
        <v>230</v>
      </c>
      <c r="D18" s="45">
        <f t="shared" si="28"/>
        <v>0</v>
      </c>
      <c r="E18" s="45">
        <f t="shared" si="9"/>
        <v>0</v>
      </c>
      <c r="F18" s="64">
        <f t="shared" si="41"/>
        <v>1660</v>
      </c>
      <c r="G18" s="52">
        <f t="shared" si="0"/>
        <v>0</v>
      </c>
      <c r="H18" s="64">
        <f t="shared" si="39"/>
        <v>357869</v>
      </c>
      <c r="I18" s="399">
        <f t="shared" si="1"/>
        <v>0</v>
      </c>
      <c r="J18" s="66">
        <f t="shared" si="10"/>
        <v>0</v>
      </c>
      <c r="K18" s="64">
        <f t="shared" si="29"/>
        <v>2148</v>
      </c>
      <c r="L18" s="52">
        <f t="shared" si="2"/>
        <v>0</v>
      </c>
      <c r="M18" s="64">
        <f t="shared" si="30"/>
        <v>157707</v>
      </c>
      <c r="N18" s="399">
        <f t="shared" si="3"/>
        <v>0</v>
      </c>
      <c r="O18" s="64">
        <f t="shared" si="11"/>
        <v>211.87499999999994</v>
      </c>
      <c r="P18" s="64">
        <f t="shared" si="11"/>
        <v>1862</v>
      </c>
      <c r="Q18" s="64">
        <f t="shared" si="11"/>
        <v>157930</v>
      </c>
      <c r="R18" s="398">
        <f t="shared" si="42"/>
        <v>0</v>
      </c>
      <c r="S18" s="52">
        <f t="shared" si="5"/>
        <v>0</v>
      </c>
      <c r="T18" s="67">
        <f t="shared" si="31"/>
        <v>0</v>
      </c>
      <c r="U18" s="405">
        <f t="shared" si="12"/>
        <v>0</v>
      </c>
      <c r="V18" s="62">
        <f t="shared" si="13"/>
        <v>0</v>
      </c>
      <c r="W18" s="403"/>
      <c r="X18" s="64">
        <f t="shared" si="15"/>
        <v>2448</v>
      </c>
      <c r="Y18" s="52">
        <f t="shared" si="16"/>
        <v>0</v>
      </c>
      <c r="Z18" s="64">
        <f t="shared" si="17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18"/>
        <v>1933</v>
      </c>
      <c r="AD18" s="45">
        <f t="shared" si="7"/>
        <v>0</v>
      </c>
      <c r="AE18" s="609">
        <f t="shared" si="19"/>
        <v>365212</v>
      </c>
      <c r="AF18" s="309">
        <f t="shared" si="20"/>
        <v>0</v>
      </c>
      <c r="AG18" s="210">
        <f t="shared" si="33"/>
        <v>0</v>
      </c>
      <c r="AH18" s="62">
        <f t="shared" si="34"/>
        <v>0</v>
      </c>
      <c r="AI18" s="321">
        <f t="shared" si="21"/>
        <v>0</v>
      </c>
      <c r="AJ18" s="321">
        <f>-tanks!AW19</f>
        <v>0</v>
      </c>
      <c r="AK18" s="321">
        <f t="shared" si="22"/>
        <v>0</v>
      </c>
      <c r="AL18" s="321">
        <f t="shared" si="8"/>
        <v>0</v>
      </c>
      <c r="AM18" s="321">
        <f t="shared" si="23"/>
        <v>0</v>
      </c>
      <c r="AN18" s="64">
        <f t="shared" si="40"/>
        <v>67</v>
      </c>
      <c r="AO18" s="323">
        <f t="shared" si="24"/>
        <v>2010.0000000000002</v>
      </c>
      <c r="AP18" s="64">
        <f t="shared" si="35"/>
        <v>55</v>
      </c>
      <c r="AQ18" s="323">
        <f t="shared" si="25"/>
        <v>1650.0000000000002</v>
      </c>
      <c r="AR18" s="64">
        <f t="shared" si="26"/>
        <v>63</v>
      </c>
      <c r="AS18" s="323">
        <f t="shared" si="36"/>
        <v>1890</v>
      </c>
      <c r="AT18" s="323">
        <f t="shared" si="37"/>
        <v>5550</v>
      </c>
      <c r="AU18" s="323">
        <f t="shared" si="38"/>
        <v>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f t="shared" si="43"/>
        <v>223</v>
      </c>
      <c r="C19" s="64">
        <f t="shared" si="44"/>
        <v>230</v>
      </c>
      <c r="D19" s="45">
        <f t="shared" si="28"/>
        <v>0</v>
      </c>
      <c r="E19" s="45">
        <f t="shared" si="9"/>
        <v>0</v>
      </c>
      <c r="F19" s="64">
        <f t="shared" si="41"/>
        <v>1660</v>
      </c>
      <c r="G19" s="52">
        <f t="shared" si="0"/>
        <v>0</v>
      </c>
      <c r="H19" s="64">
        <f t="shared" si="39"/>
        <v>357869</v>
      </c>
      <c r="I19" s="399">
        <f t="shared" si="1"/>
        <v>0</v>
      </c>
      <c r="J19" s="66">
        <f t="shared" si="10"/>
        <v>0</v>
      </c>
      <c r="K19" s="64">
        <f t="shared" si="29"/>
        <v>2148</v>
      </c>
      <c r="L19" s="52">
        <f t="shared" si="2"/>
        <v>0</v>
      </c>
      <c r="M19" s="64">
        <f t="shared" si="30"/>
        <v>157707</v>
      </c>
      <c r="N19" s="399">
        <f t="shared" si="3"/>
        <v>0</v>
      </c>
      <c r="O19" s="64">
        <f t="shared" si="11"/>
        <v>211.87499999999994</v>
      </c>
      <c r="P19" s="64">
        <f t="shared" si="11"/>
        <v>1862</v>
      </c>
      <c r="Q19" s="64">
        <f t="shared" si="11"/>
        <v>157930</v>
      </c>
      <c r="R19" s="398">
        <f t="shared" si="42"/>
        <v>0</v>
      </c>
      <c r="S19" s="52">
        <f t="shared" si="5"/>
        <v>0</v>
      </c>
      <c r="T19" s="67">
        <f t="shared" si="31"/>
        <v>0</v>
      </c>
      <c r="U19" s="405">
        <f t="shared" si="12"/>
        <v>0</v>
      </c>
      <c r="V19" s="62">
        <f t="shared" si="13"/>
        <v>0</v>
      </c>
      <c r="W19" s="403"/>
      <c r="X19" s="64">
        <f t="shared" si="15"/>
        <v>2448</v>
      </c>
      <c r="Y19" s="52">
        <f t="shared" si="16"/>
        <v>0</v>
      </c>
      <c r="Z19" s="64">
        <f t="shared" si="17"/>
        <v>137506</v>
      </c>
      <c r="AA19" s="65">
        <f t="shared" si="6"/>
        <v>0</v>
      </c>
      <c r="AB19" s="287">
        <f t="shared" si="45"/>
        <v>0</v>
      </c>
      <c r="AC19" s="64">
        <f t="shared" si="18"/>
        <v>1933</v>
      </c>
      <c r="AD19" s="45">
        <f t="shared" si="7"/>
        <v>0</v>
      </c>
      <c r="AE19" s="609">
        <f t="shared" si="19"/>
        <v>365212</v>
      </c>
      <c r="AF19" s="309">
        <f t="shared" si="20"/>
        <v>0</v>
      </c>
      <c r="AG19" s="210">
        <f t="shared" si="33"/>
        <v>0</v>
      </c>
      <c r="AH19" s="62">
        <f t="shared" si="34"/>
        <v>0</v>
      </c>
      <c r="AI19" s="321">
        <f t="shared" si="21"/>
        <v>0</v>
      </c>
      <c r="AJ19" s="321">
        <f>-tanks!AW20</f>
        <v>0</v>
      </c>
      <c r="AK19" s="321">
        <f t="shared" si="22"/>
        <v>0</v>
      </c>
      <c r="AL19" s="321">
        <f t="shared" si="8"/>
        <v>0</v>
      </c>
      <c r="AM19" s="321">
        <f t="shared" si="23"/>
        <v>0</v>
      </c>
      <c r="AN19" s="64">
        <f t="shared" si="40"/>
        <v>67</v>
      </c>
      <c r="AO19" s="323">
        <f t="shared" si="24"/>
        <v>2010.0000000000002</v>
      </c>
      <c r="AP19" s="64">
        <f t="shared" si="35"/>
        <v>55</v>
      </c>
      <c r="AQ19" s="323">
        <f t="shared" si="25"/>
        <v>1650.0000000000002</v>
      </c>
      <c r="AR19" s="64">
        <f t="shared" si="26"/>
        <v>63</v>
      </c>
      <c r="AS19" s="323">
        <f t="shared" si="36"/>
        <v>1890</v>
      </c>
      <c r="AT19" s="323">
        <f t="shared" si="37"/>
        <v>5550</v>
      </c>
      <c r="AU19" s="323">
        <f t="shared" si="38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f t="shared" si="43"/>
        <v>223</v>
      </c>
      <c r="C20" s="64">
        <f t="shared" si="44"/>
        <v>230</v>
      </c>
      <c r="D20" s="45">
        <f>C19-C20</f>
        <v>0</v>
      </c>
      <c r="E20" s="45">
        <f t="shared" si="9"/>
        <v>0</v>
      </c>
      <c r="F20" s="64">
        <f t="shared" si="41"/>
        <v>1660</v>
      </c>
      <c r="G20" s="52">
        <f t="shared" si="0"/>
        <v>0</v>
      </c>
      <c r="H20" s="64">
        <f t="shared" si="39"/>
        <v>357869</v>
      </c>
      <c r="I20" s="399">
        <f t="shared" si="1"/>
        <v>0</v>
      </c>
      <c r="J20" s="66">
        <f t="shared" si="10"/>
        <v>0</v>
      </c>
      <c r="K20" s="64">
        <f t="shared" si="29"/>
        <v>2148</v>
      </c>
      <c r="L20" s="52">
        <f t="shared" si="2"/>
        <v>0</v>
      </c>
      <c r="M20" s="64">
        <f t="shared" si="30"/>
        <v>157707</v>
      </c>
      <c r="N20" s="399">
        <f t="shared" si="3"/>
        <v>0</v>
      </c>
      <c r="O20" s="64">
        <f t="shared" si="11"/>
        <v>211.87499999999994</v>
      </c>
      <c r="P20" s="64">
        <f t="shared" si="11"/>
        <v>1862</v>
      </c>
      <c r="Q20" s="64">
        <f t="shared" si="11"/>
        <v>157930</v>
      </c>
      <c r="R20" s="398">
        <f t="shared" si="42"/>
        <v>0</v>
      </c>
      <c r="S20" s="52">
        <f t="shared" si="5"/>
        <v>0</v>
      </c>
      <c r="T20" s="67">
        <f t="shared" si="31"/>
        <v>0</v>
      </c>
      <c r="U20" s="405">
        <f t="shared" si="12"/>
        <v>0</v>
      </c>
      <c r="V20" s="62">
        <f t="shared" si="13"/>
        <v>0</v>
      </c>
      <c r="W20" s="403"/>
      <c r="X20" s="64">
        <f t="shared" si="15"/>
        <v>2448</v>
      </c>
      <c r="Y20" s="52">
        <f t="shared" si="16"/>
        <v>0</v>
      </c>
      <c r="Z20" s="64">
        <f t="shared" si="17"/>
        <v>137506</v>
      </c>
      <c r="AA20" s="65">
        <f t="shared" si="6"/>
        <v>0</v>
      </c>
      <c r="AB20" s="287">
        <f t="shared" si="45"/>
        <v>0</v>
      </c>
      <c r="AC20" s="64">
        <f t="shared" si="18"/>
        <v>1933</v>
      </c>
      <c r="AD20" s="45">
        <f t="shared" si="7"/>
        <v>0</v>
      </c>
      <c r="AE20" s="609">
        <f t="shared" si="19"/>
        <v>365212</v>
      </c>
      <c r="AF20" s="309">
        <f t="shared" si="20"/>
        <v>0</v>
      </c>
      <c r="AG20" s="210">
        <f t="shared" si="33"/>
        <v>0</v>
      </c>
      <c r="AH20" s="62">
        <f t="shared" si="34"/>
        <v>0</v>
      </c>
      <c r="AI20" s="321">
        <f t="shared" si="21"/>
        <v>0</v>
      </c>
      <c r="AJ20" s="321">
        <f>-tanks!AW21</f>
        <v>0</v>
      </c>
      <c r="AK20" s="321">
        <f t="shared" si="22"/>
        <v>0</v>
      </c>
      <c r="AL20" s="321">
        <f t="shared" si="8"/>
        <v>0</v>
      </c>
      <c r="AM20" s="321">
        <f t="shared" si="23"/>
        <v>0</v>
      </c>
      <c r="AN20" s="64">
        <f t="shared" si="40"/>
        <v>67</v>
      </c>
      <c r="AO20" s="323">
        <f t="shared" si="24"/>
        <v>2010.0000000000002</v>
      </c>
      <c r="AP20" s="64">
        <f t="shared" si="35"/>
        <v>55</v>
      </c>
      <c r="AQ20" s="323">
        <f t="shared" si="25"/>
        <v>1650.0000000000002</v>
      </c>
      <c r="AR20" s="64">
        <f t="shared" si="26"/>
        <v>63</v>
      </c>
      <c r="AS20" s="323">
        <f t="shared" si="36"/>
        <v>1890</v>
      </c>
      <c r="AT20" s="323">
        <f t="shared" si="37"/>
        <v>5550</v>
      </c>
      <c r="AU20" s="323">
        <f t="shared" si="38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f t="shared" si="43"/>
        <v>223</v>
      </c>
      <c r="C21" s="64">
        <f t="shared" si="44"/>
        <v>230</v>
      </c>
      <c r="D21" s="45">
        <f t="shared" ref="D21:D31" si="46">C20-C21</f>
        <v>0</v>
      </c>
      <c r="E21" s="45">
        <f t="shared" si="9"/>
        <v>0</v>
      </c>
      <c r="F21" s="64">
        <f t="shared" si="41"/>
        <v>1660</v>
      </c>
      <c r="G21" s="52">
        <f t="shared" si="0"/>
        <v>0</v>
      </c>
      <c r="H21" s="64">
        <f t="shared" si="39"/>
        <v>357869</v>
      </c>
      <c r="I21" s="399">
        <f t="shared" si="1"/>
        <v>0</v>
      </c>
      <c r="J21" s="66">
        <f t="shared" si="10"/>
        <v>0</v>
      </c>
      <c r="K21" s="64">
        <f t="shared" si="29"/>
        <v>2148</v>
      </c>
      <c r="L21" s="52">
        <f t="shared" si="2"/>
        <v>0</v>
      </c>
      <c r="M21" s="64">
        <f t="shared" si="30"/>
        <v>157707</v>
      </c>
      <c r="N21" s="399">
        <f t="shared" si="3"/>
        <v>0</v>
      </c>
      <c r="O21" s="64">
        <f t="shared" si="11"/>
        <v>211.87499999999994</v>
      </c>
      <c r="P21" s="64">
        <f t="shared" si="11"/>
        <v>1862</v>
      </c>
      <c r="Q21" s="64">
        <f t="shared" si="11"/>
        <v>157930</v>
      </c>
      <c r="R21" s="398">
        <f t="shared" si="42"/>
        <v>0</v>
      </c>
      <c r="S21" s="52">
        <f t="shared" si="5"/>
        <v>0</v>
      </c>
      <c r="T21" s="67">
        <f t="shared" si="31"/>
        <v>0</v>
      </c>
      <c r="U21" s="405">
        <f t="shared" si="12"/>
        <v>0</v>
      </c>
      <c r="V21" s="62">
        <f t="shared" si="13"/>
        <v>0</v>
      </c>
      <c r="W21" s="403"/>
      <c r="X21" s="64">
        <f t="shared" si="15"/>
        <v>2448</v>
      </c>
      <c r="Y21" s="52">
        <f t="shared" si="16"/>
        <v>0</v>
      </c>
      <c r="Z21" s="64">
        <f t="shared" si="17"/>
        <v>137506</v>
      </c>
      <c r="AA21" s="65">
        <f t="shared" si="6"/>
        <v>0</v>
      </c>
      <c r="AB21" s="287">
        <f t="shared" si="45"/>
        <v>0</v>
      </c>
      <c r="AC21" s="64">
        <f t="shared" si="18"/>
        <v>1933</v>
      </c>
      <c r="AD21" s="45">
        <f t="shared" si="7"/>
        <v>0</v>
      </c>
      <c r="AE21" s="609">
        <f t="shared" si="19"/>
        <v>365212</v>
      </c>
      <c r="AF21" s="309">
        <f t="shared" si="20"/>
        <v>0</v>
      </c>
      <c r="AG21" s="210">
        <f t="shared" si="33"/>
        <v>0</v>
      </c>
      <c r="AH21" s="62">
        <f t="shared" si="34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8"/>
        <v>0</v>
      </c>
      <c r="AM21" s="321">
        <f t="shared" si="23"/>
        <v>0</v>
      </c>
      <c r="AN21" s="64">
        <f t="shared" si="40"/>
        <v>67</v>
      </c>
      <c r="AO21" s="323">
        <f t="shared" si="24"/>
        <v>2010.0000000000002</v>
      </c>
      <c r="AP21" s="64">
        <f t="shared" si="35"/>
        <v>55</v>
      </c>
      <c r="AQ21" s="323">
        <f t="shared" si="25"/>
        <v>1650.0000000000002</v>
      </c>
      <c r="AR21" s="64">
        <f t="shared" si="26"/>
        <v>63</v>
      </c>
      <c r="AS21" s="323">
        <f t="shared" si="36"/>
        <v>1890</v>
      </c>
      <c r="AT21" s="323">
        <f t="shared" si="37"/>
        <v>5550</v>
      </c>
      <c r="AU21" s="323">
        <f t="shared" si="38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f t="shared" si="43"/>
        <v>223</v>
      </c>
      <c r="C22" s="64">
        <f t="shared" si="44"/>
        <v>230</v>
      </c>
      <c r="D22" s="45">
        <f t="shared" si="46"/>
        <v>0</v>
      </c>
      <c r="E22" s="45">
        <f t="shared" si="9"/>
        <v>0</v>
      </c>
      <c r="F22" s="64">
        <f t="shared" si="41"/>
        <v>1660</v>
      </c>
      <c r="G22" s="52">
        <f t="shared" si="0"/>
        <v>0</v>
      </c>
      <c r="H22" s="64">
        <f t="shared" si="39"/>
        <v>357869</v>
      </c>
      <c r="I22" s="399">
        <f t="shared" si="1"/>
        <v>0</v>
      </c>
      <c r="J22" s="66">
        <f t="shared" si="10"/>
        <v>0</v>
      </c>
      <c r="K22" s="64">
        <f t="shared" si="29"/>
        <v>2148</v>
      </c>
      <c r="L22" s="52">
        <f t="shared" si="2"/>
        <v>0</v>
      </c>
      <c r="M22" s="64">
        <f t="shared" si="30"/>
        <v>157707</v>
      </c>
      <c r="N22" s="399">
        <f t="shared" si="3"/>
        <v>0</v>
      </c>
      <c r="O22" s="64">
        <f t="shared" si="11"/>
        <v>211.87499999999994</v>
      </c>
      <c r="P22" s="64">
        <f t="shared" si="11"/>
        <v>1862</v>
      </c>
      <c r="Q22" s="64">
        <f t="shared" si="11"/>
        <v>157930</v>
      </c>
      <c r="R22" s="398">
        <f t="shared" si="42"/>
        <v>0</v>
      </c>
      <c r="S22" s="52">
        <f t="shared" si="5"/>
        <v>0</v>
      </c>
      <c r="T22" s="67">
        <f t="shared" si="31"/>
        <v>0</v>
      </c>
      <c r="U22" s="405">
        <f t="shared" si="12"/>
        <v>0</v>
      </c>
      <c r="V22" s="62">
        <f t="shared" si="13"/>
        <v>0</v>
      </c>
      <c r="W22" s="403"/>
      <c r="X22" s="64">
        <f t="shared" si="15"/>
        <v>2448</v>
      </c>
      <c r="Y22" s="52">
        <f t="shared" si="16"/>
        <v>0</v>
      </c>
      <c r="Z22" s="64">
        <f t="shared" si="17"/>
        <v>137506</v>
      </c>
      <c r="AA22" s="65">
        <f t="shared" si="6"/>
        <v>0</v>
      </c>
      <c r="AB22" s="287">
        <f t="shared" si="45"/>
        <v>0</v>
      </c>
      <c r="AC22" s="64">
        <f t="shared" si="18"/>
        <v>1933</v>
      </c>
      <c r="AD22" s="45">
        <f t="shared" si="7"/>
        <v>0</v>
      </c>
      <c r="AE22" s="609">
        <f t="shared" si="19"/>
        <v>365212</v>
      </c>
      <c r="AF22" s="309">
        <f t="shared" si="20"/>
        <v>0</v>
      </c>
      <c r="AG22" s="210">
        <f t="shared" si="33"/>
        <v>0</v>
      </c>
      <c r="AH22" s="62">
        <f t="shared" si="34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8"/>
        <v>0</v>
      </c>
      <c r="AM22" s="321">
        <f t="shared" si="23"/>
        <v>0</v>
      </c>
      <c r="AN22" s="64">
        <f t="shared" si="40"/>
        <v>67</v>
      </c>
      <c r="AO22" s="323">
        <f t="shared" si="24"/>
        <v>2010.0000000000002</v>
      </c>
      <c r="AP22" s="64">
        <f t="shared" si="35"/>
        <v>55</v>
      </c>
      <c r="AQ22" s="323">
        <f t="shared" si="25"/>
        <v>1650.0000000000002</v>
      </c>
      <c r="AR22" s="64">
        <f t="shared" si="26"/>
        <v>63</v>
      </c>
      <c r="AS22" s="323">
        <f t="shared" si="36"/>
        <v>1890</v>
      </c>
      <c r="AT22" s="323">
        <f t="shared" si="37"/>
        <v>5550</v>
      </c>
      <c r="AU22" s="323">
        <f t="shared" si="38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f t="shared" si="43"/>
        <v>223</v>
      </c>
      <c r="C23" s="64">
        <f t="shared" si="44"/>
        <v>230</v>
      </c>
      <c r="D23" s="45">
        <f t="shared" si="46"/>
        <v>0</v>
      </c>
      <c r="E23" s="45">
        <f t="shared" si="9"/>
        <v>0</v>
      </c>
      <c r="F23" s="64">
        <f t="shared" si="41"/>
        <v>1660</v>
      </c>
      <c r="G23" s="52">
        <f t="shared" si="0"/>
        <v>0</v>
      </c>
      <c r="H23" s="64">
        <f t="shared" si="39"/>
        <v>357869</v>
      </c>
      <c r="I23" s="399">
        <f t="shared" si="1"/>
        <v>0</v>
      </c>
      <c r="J23" s="66">
        <f t="shared" si="10"/>
        <v>0</v>
      </c>
      <c r="K23" s="64">
        <f t="shared" si="29"/>
        <v>2148</v>
      </c>
      <c r="L23" s="52">
        <f t="shared" si="2"/>
        <v>0</v>
      </c>
      <c r="M23" s="64">
        <f t="shared" si="30"/>
        <v>157707</v>
      </c>
      <c r="N23" s="399">
        <f t="shared" si="3"/>
        <v>0</v>
      </c>
      <c r="O23" s="64">
        <f t="shared" si="11"/>
        <v>211.87499999999994</v>
      </c>
      <c r="P23" s="64">
        <f t="shared" si="11"/>
        <v>1862</v>
      </c>
      <c r="Q23" s="64">
        <f t="shared" si="11"/>
        <v>157930</v>
      </c>
      <c r="R23" s="398">
        <f t="shared" si="42"/>
        <v>0</v>
      </c>
      <c r="S23" s="52">
        <f t="shared" si="5"/>
        <v>0</v>
      </c>
      <c r="T23" s="67">
        <f t="shared" si="31"/>
        <v>0</v>
      </c>
      <c r="U23" s="405">
        <f t="shared" si="12"/>
        <v>0</v>
      </c>
      <c r="V23" s="62">
        <f t="shared" si="13"/>
        <v>0</v>
      </c>
      <c r="W23" s="403"/>
      <c r="X23" s="64">
        <f t="shared" si="15"/>
        <v>2448</v>
      </c>
      <c r="Y23" s="52">
        <f t="shared" si="16"/>
        <v>0</v>
      </c>
      <c r="Z23" s="64">
        <f t="shared" si="17"/>
        <v>137506</v>
      </c>
      <c r="AA23" s="65">
        <f t="shared" si="6"/>
        <v>0</v>
      </c>
      <c r="AB23" s="287">
        <f t="shared" si="45"/>
        <v>0</v>
      </c>
      <c r="AC23" s="64">
        <f t="shared" si="18"/>
        <v>1933</v>
      </c>
      <c r="AD23" s="45">
        <f t="shared" si="7"/>
        <v>0</v>
      </c>
      <c r="AE23" s="609">
        <f t="shared" si="19"/>
        <v>365212</v>
      </c>
      <c r="AF23" s="309">
        <f t="shared" si="20"/>
        <v>0</v>
      </c>
      <c r="AG23" s="210">
        <f t="shared" si="33"/>
        <v>0</v>
      </c>
      <c r="AH23" s="62">
        <f t="shared" si="34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8"/>
        <v>0</v>
      </c>
      <c r="AM23" s="321">
        <f t="shared" si="23"/>
        <v>0</v>
      </c>
      <c r="AN23" s="64">
        <f t="shared" si="40"/>
        <v>67</v>
      </c>
      <c r="AO23" s="323">
        <f t="shared" si="24"/>
        <v>2010.0000000000002</v>
      </c>
      <c r="AP23" s="64">
        <f t="shared" si="35"/>
        <v>55</v>
      </c>
      <c r="AQ23" s="323">
        <f t="shared" si="25"/>
        <v>1650.0000000000002</v>
      </c>
      <c r="AR23" s="64">
        <f t="shared" si="26"/>
        <v>63</v>
      </c>
      <c r="AS23" s="323">
        <f t="shared" si="36"/>
        <v>1890</v>
      </c>
      <c r="AT23" s="323">
        <f t="shared" si="37"/>
        <v>5550</v>
      </c>
      <c r="AU23" s="323">
        <f t="shared" si="38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f t="shared" si="43"/>
        <v>223</v>
      </c>
      <c r="C24" s="64">
        <f t="shared" si="44"/>
        <v>230</v>
      </c>
      <c r="D24" s="45">
        <f t="shared" si="46"/>
        <v>0</v>
      </c>
      <c r="E24" s="45">
        <f t="shared" si="9"/>
        <v>0</v>
      </c>
      <c r="F24" s="64">
        <f t="shared" si="41"/>
        <v>1660</v>
      </c>
      <c r="G24" s="52">
        <f t="shared" si="0"/>
        <v>0</v>
      </c>
      <c r="H24" s="64">
        <f t="shared" si="39"/>
        <v>357869</v>
      </c>
      <c r="I24" s="399">
        <f t="shared" si="1"/>
        <v>0</v>
      </c>
      <c r="J24" s="66">
        <f t="shared" si="10"/>
        <v>0</v>
      </c>
      <c r="K24" s="64">
        <f t="shared" si="29"/>
        <v>2148</v>
      </c>
      <c r="L24" s="52">
        <f t="shared" si="2"/>
        <v>0</v>
      </c>
      <c r="M24" s="64">
        <f t="shared" si="30"/>
        <v>157707</v>
      </c>
      <c r="N24" s="399">
        <f t="shared" si="3"/>
        <v>0</v>
      </c>
      <c r="O24" s="64">
        <f t="shared" si="11"/>
        <v>211.87499999999994</v>
      </c>
      <c r="P24" s="64">
        <f t="shared" si="11"/>
        <v>1862</v>
      </c>
      <c r="Q24" s="64">
        <f t="shared" si="11"/>
        <v>157930</v>
      </c>
      <c r="R24" s="398">
        <f t="shared" si="42"/>
        <v>0</v>
      </c>
      <c r="S24" s="52">
        <f t="shared" si="5"/>
        <v>0</v>
      </c>
      <c r="T24" s="67">
        <f t="shared" si="31"/>
        <v>0</v>
      </c>
      <c r="U24" s="405">
        <f t="shared" si="12"/>
        <v>0</v>
      </c>
      <c r="V24" s="62">
        <f t="shared" si="13"/>
        <v>0</v>
      </c>
      <c r="W24" s="403"/>
      <c r="X24" s="64">
        <f t="shared" si="15"/>
        <v>2448</v>
      </c>
      <c r="Y24" s="52">
        <f t="shared" si="16"/>
        <v>0</v>
      </c>
      <c r="Z24" s="64">
        <f t="shared" si="17"/>
        <v>137506</v>
      </c>
      <c r="AA24" s="65">
        <f t="shared" si="6"/>
        <v>0</v>
      </c>
      <c r="AB24" s="287">
        <f t="shared" ref="AB24:AB34" si="47">SUM(Y24*$AB$2)</f>
        <v>0</v>
      </c>
      <c r="AC24" s="64">
        <f t="shared" si="18"/>
        <v>1933</v>
      </c>
      <c r="AD24" s="45">
        <f t="shared" si="7"/>
        <v>0</v>
      </c>
      <c r="AE24" s="609">
        <f t="shared" si="19"/>
        <v>365212</v>
      </c>
      <c r="AF24" s="309">
        <f t="shared" si="20"/>
        <v>0</v>
      </c>
      <c r="AG24" s="210">
        <f t="shared" si="33"/>
        <v>0</v>
      </c>
      <c r="AH24" s="62">
        <f t="shared" si="34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8"/>
        <v>0</v>
      </c>
      <c r="AM24" s="321">
        <f t="shared" si="23"/>
        <v>0</v>
      </c>
      <c r="AN24" s="64">
        <f t="shared" si="40"/>
        <v>67</v>
      </c>
      <c r="AO24" s="323">
        <f t="shared" si="24"/>
        <v>2010.0000000000002</v>
      </c>
      <c r="AP24" s="64">
        <f t="shared" si="35"/>
        <v>55</v>
      </c>
      <c r="AQ24" s="323">
        <f t="shared" si="25"/>
        <v>1650.0000000000002</v>
      </c>
      <c r="AR24" s="64">
        <f t="shared" si="26"/>
        <v>63</v>
      </c>
      <c r="AS24" s="323">
        <f t="shared" si="36"/>
        <v>1890</v>
      </c>
      <c r="AT24" s="323">
        <f t="shared" ref="AT24:AT34" si="48">SUM(AO24+AQ24+AS24)</f>
        <v>5550</v>
      </c>
      <c r="AU24" s="323">
        <f t="shared" si="38"/>
        <v>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f t="shared" si="43"/>
        <v>223</v>
      </c>
      <c r="C25" s="64">
        <f t="shared" si="44"/>
        <v>230</v>
      </c>
      <c r="D25" s="45">
        <f t="shared" si="46"/>
        <v>0</v>
      </c>
      <c r="E25" s="45">
        <f t="shared" si="9"/>
        <v>0</v>
      </c>
      <c r="F25" s="64">
        <f t="shared" si="41"/>
        <v>1660</v>
      </c>
      <c r="G25" s="52">
        <f t="shared" si="0"/>
        <v>0</v>
      </c>
      <c r="H25" s="64">
        <f t="shared" si="39"/>
        <v>357869</v>
      </c>
      <c r="I25" s="399">
        <f t="shared" si="1"/>
        <v>0</v>
      </c>
      <c r="J25" s="66">
        <f t="shared" si="10"/>
        <v>0</v>
      </c>
      <c r="K25" s="64">
        <f t="shared" si="29"/>
        <v>2148</v>
      </c>
      <c r="L25" s="52">
        <f t="shared" si="2"/>
        <v>0</v>
      </c>
      <c r="M25" s="64">
        <f t="shared" si="30"/>
        <v>157707</v>
      </c>
      <c r="N25" s="399">
        <f t="shared" si="3"/>
        <v>0</v>
      </c>
      <c r="O25" s="64">
        <f t="shared" si="11"/>
        <v>211.87499999999994</v>
      </c>
      <c r="P25" s="64">
        <f t="shared" si="11"/>
        <v>1862</v>
      </c>
      <c r="Q25" s="64">
        <f t="shared" si="11"/>
        <v>157930</v>
      </c>
      <c r="R25" s="398">
        <f t="shared" si="42"/>
        <v>0</v>
      </c>
      <c r="S25" s="52">
        <f t="shared" si="5"/>
        <v>0</v>
      </c>
      <c r="T25" s="67">
        <f t="shared" si="31"/>
        <v>0</v>
      </c>
      <c r="U25" s="405">
        <f t="shared" si="12"/>
        <v>0</v>
      </c>
      <c r="V25" s="62">
        <f t="shared" si="13"/>
        <v>0</v>
      </c>
      <c r="W25" s="403"/>
      <c r="X25" s="64">
        <f t="shared" si="15"/>
        <v>2448</v>
      </c>
      <c r="Y25" s="52">
        <f t="shared" si="16"/>
        <v>0</v>
      </c>
      <c r="Z25" s="64">
        <f t="shared" si="17"/>
        <v>137506</v>
      </c>
      <c r="AA25" s="65">
        <f t="shared" si="6"/>
        <v>0</v>
      </c>
      <c r="AB25" s="287">
        <f t="shared" si="47"/>
        <v>0</v>
      </c>
      <c r="AC25" s="64">
        <f t="shared" si="18"/>
        <v>1933</v>
      </c>
      <c r="AD25" s="45">
        <f t="shared" si="7"/>
        <v>0</v>
      </c>
      <c r="AE25" s="609">
        <f t="shared" si="19"/>
        <v>365212</v>
      </c>
      <c r="AF25" s="309">
        <f t="shared" si="20"/>
        <v>0</v>
      </c>
      <c r="AG25" s="210">
        <f t="shared" si="33"/>
        <v>0</v>
      </c>
      <c r="AH25" s="62">
        <f t="shared" si="34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8"/>
        <v>0</v>
      </c>
      <c r="AM25" s="321">
        <f t="shared" si="23"/>
        <v>0</v>
      </c>
      <c r="AN25" s="64">
        <f t="shared" si="40"/>
        <v>67</v>
      </c>
      <c r="AO25" s="323">
        <f t="shared" si="24"/>
        <v>2010.0000000000002</v>
      </c>
      <c r="AP25" s="64">
        <f t="shared" si="35"/>
        <v>55</v>
      </c>
      <c r="AQ25" s="323">
        <f t="shared" ref="AQ25:AQ34" si="49">(AP25/100)*3000</f>
        <v>1650.0000000000002</v>
      </c>
      <c r="AR25" s="64">
        <f t="shared" si="26"/>
        <v>63</v>
      </c>
      <c r="AS25" s="323">
        <f t="shared" si="36"/>
        <v>1890</v>
      </c>
      <c r="AT25" s="323">
        <f t="shared" si="48"/>
        <v>5550</v>
      </c>
      <c r="AU25" s="323">
        <f t="shared" si="38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f t="shared" si="43"/>
        <v>223</v>
      </c>
      <c r="C26" s="64">
        <f t="shared" si="44"/>
        <v>230</v>
      </c>
      <c r="D26" s="45">
        <f t="shared" si="46"/>
        <v>0</v>
      </c>
      <c r="E26" s="45">
        <f t="shared" si="9"/>
        <v>0</v>
      </c>
      <c r="F26" s="64">
        <f t="shared" si="41"/>
        <v>1660</v>
      </c>
      <c r="G26" s="52">
        <f t="shared" si="0"/>
        <v>0</v>
      </c>
      <c r="H26" s="64">
        <f t="shared" si="39"/>
        <v>357869</v>
      </c>
      <c r="I26" s="399">
        <f t="shared" si="1"/>
        <v>0</v>
      </c>
      <c r="J26" s="66">
        <f t="shared" si="10"/>
        <v>0</v>
      </c>
      <c r="K26" s="64">
        <f t="shared" si="29"/>
        <v>2148</v>
      </c>
      <c r="L26" s="52">
        <f t="shared" si="2"/>
        <v>0</v>
      </c>
      <c r="M26" s="64">
        <f t="shared" si="30"/>
        <v>157707</v>
      </c>
      <c r="N26" s="399">
        <f t="shared" si="3"/>
        <v>0</v>
      </c>
      <c r="O26" s="64">
        <f t="shared" si="11"/>
        <v>211.87499999999994</v>
      </c>
      <c r="P26" s="64">
        <f t="shared" si="11"/>
        <v>1862</v>
      </c>
      <c r="Q26" s="64">
        <f t="shared" si="11"/>
        <v>157930</v>
      </c>
      <c r="R26" s="398">
        <f t="shared" si="42"/>
        <v>0</v>
      </c>
      <c r="S26" s="52">
        <f t="shared" si="5"/>
        <v>0</v>
      </c>
      <c r="T26" s="67">
        <f t="shared" si="31"/>
        <v>0</v>
      </c>
      <c r="U26" s="405">
        <f t="shared" si="12"/>
        <v>0</v>
      </c>
      <c r="V26" s="62">
        <f t="shared" si="13"/>
        <v>0</v>
      </c>
      <c r="W26" s="403"/>
      <c r="X26" s="64">
        <f t="shared" si="15"/>
        <v>2448</v>
      </c>
      <c r="Y26" s="52">
        <f t="shared" si="16"/>
        <v>0</v>
      </c>
      <c r="Z26" s="64">
        <f t="shared" si="17"/>
        <v>137506</v>
      </c>
      <c r="AA26" s="65">
        <f t="shared" si="6"/>
        <v>0</v>
      </c>
      <c r="AB26" s="287">
        <f t="shared" si="47"/>
        <v>0</v>
      </c>
      <c r="AC26" s="64">
        <f t="shared" si="18"/>
        <v>1933</v>
      </c>
      <c r="AD26" s="45">
        <f t="shared" si="7"/>
        <v>0</v>
      </c>
      <c r="AE26" s="609">
        <f t="shared" si="19"/>
        <v>365212</v>
      </c>
      <c r="AF26" s="309">
        <f t="shared" si="20"/>
        <v>0</v>
      </c>
      <c r="AG26" s="210">
        <f t="shared" si="33"/>
        <v>0</v>
      </c>
      <c r="AH26" s="62">
        <f t="shared" si="34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8"/>
        <v>0</v>
      </c>
      <c r="AM26" s="321">
        <f t="shared" si="23"/>
        <v>0</v>
      </c>
      <c r="AN26" s="64">
        <f t="shared" si="40"/>
        <v>67</v>
      </c>
      <c r="AO26" s="323">
        <f t="shared" si="24"/>
        <v>2010.0000000000002</v>
      </c>
      <c r="AP26" s="64">
        <f t="shared" si="35"/>
        <v>55</v>
      </c>
      <c r="AQ26" s="323">
        <f t="shared" si="49"/>
        <v>1650.0000000000002</v>
      </c>
      <c r="AR26" s="64">
        <f t="shared" si="26"/>
        <v>63</v>
      </c>
      <c r="AS26" s="323">
        <f t="shared" si="36"/>
        <v>1890</v>
      </c>
      <c r="AT26" s="323">
        <f t="shared" si="48"/>
        <v>5550</v>
      </c>
      <c r="AU26" s="323">
        <f t="shared" si="38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f t="shared" si="43"/>
        <v>223</v>
      </c>
      <c r="C27" s="64">
        <f t="shared" si="44"/>
        <v>230</v>
      </c>
      <c r="D27" s="45">
        <f t="shared" si="46"/>
        <v>0</v>
      </c>
      <c r="E27" s="45">
        <f t="shared" si="9"/>
        <v>0</v>
      </c>
      <c r="F27" s="64">
        <f t="shared" si="41"/>
        <v>1660</v>
      </c>
      <c r="G27" s="52">
        <f t="shared" si="0"/>
        <v>0</v>
      </c>
      <c r="H27" s="64">
        <f t="shared" si="39"/>
        <v>357869</v>
      </c>
      <c r="I27" s="399">
        <f t="shared" si="1"/>
        <v>0</v>
      </c>
      <c r="J27" s="66">
        <f t="shared" si="10"/>
        <v>0</v>
      </c>
      <c r="K27" s="64">
        <f t="shared" si="29"/>
        <v>2148</v>
      </c>
      <c r="L27" s="52">
        <f t="shared" si="2"/>
        <v>0</v>
      </c>
      <c r="M27" s="64">
        <f t="shared" si="30"/>
        <v>157707</v>
      </c>
      <c r="N27" s="399">
        <f t="shared" si="3"/>
        <v>0</v>
      </c>
      <c r="O27" s="64">
        <f t="shared" si="11"/>
        <v>211.87499999999994</v>
      </c>
      <c r="P27" s="64">
        <f t="shared" si="11"/>
        <v>1862</v>
      </c>
      <c r="Q27" s="64">
        <f t="shared" si="11"/>
        <v>157930</v>
      </c>
      <c r="R27" s="398">
        <f t="shared" si="42"/>
        <v>0</v>
      </c>
      <c r="S27" s="52">
        <f t="shared" si="5"/>
        <v>0</v>
      </c>
      <c r="T27" s="67">
        <f t="shared" si="31"/>
        <v>0</v>
      </c>
      <c r="U27" s="405">
        <f t="shared" si="12"/>
        <v>0</v>
      </c>
      <c r="V27" s="62">
        <f t="shared" si="13"/>
        <v>0</v>
      </c>
      <c r="W27" s="403"/>
      <c r="X27" s="64">
        <f t="shared" si="15"/>
        <v>2448</v>
      </c>
      <c r="Y27" s="52">
        <f t="shared" si="16"/>
        <v>0</v>
      </c>
      <c r="Z27" s="64">
        <f t="shared" si="17"/>
        <v>137506</v>
      </c>
      <c r="AA27" s="65">
        <f t="shared" si="6"/>
        <v>0</v>
      </c>
      <c r="AB27" s="287">
        <f t="shared" si="47"/>
        <v>0</v>
      </c>
      <c r="AC27" s="64">
        <f t="shared" si="18"/>
        <v>1933</v>
      </c>
      <c r="AD27" s="45">
        <f t="shared" si="7"/>
        <v>0</v>
      </c>
      <c r="AE27" s="609">
        <f t="shared" si="19"/>
        <v>365212</v>
      </c>
      <c r="AF27" s="309">
        <f t="shared" si="20"/>
        <v>0</v>
      </c>
      <c r="AG27" s="210">
        <f t="shared" si="33"/>
        <v>0</v>
      </c>
      <c r="AH27" s="62">
        <f t="shared" si="34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8"/>
        <v>0</v>
      </c>
      <c r="AM27" s="321">
        <f t="shared" si="23"/>
        <v>0</v>
      </c>
      <c r="AN27" s="64">
        <f t="shared" si="40"/>
        <v>67</v>
      </c>
      <c r="AO27" s="323">
        <f>(AN27/100)*3000</f>
        <v>2010.0000000000002</v>
      </c>
      <c r="AP27" s="64">
        <f t="shared" si="35"/>
        <v>55</v>
      </c>
      <c r="AQ27" s="323">
        <f t="shared" si="49"/>
        <v>1650.0000000000002</v>
      </c>
      <c r="AR27" s="64">
        <f t="shared" si="26"/>
        <v>63</v>
      </c>
      <c r="AS27" s="323">
        <f t="shared" si="36"/>
        <v>1890</v>
      </c>
      <c r="AT27" s="323">
        <f t="shared" si="48"/>
        <v>5550</v>
      </c>
      <c r="AU27" s="323">
        <f t="shared" si="38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f t="shared" si="43"/>
        <v>223</v>
      </c>
      <c r="C28" s="64">
        <f t="shared" si="44"/>
        <v>230</v>
      </c>
      <c r="D28" s="45">
        <f t="shared" si="46"/>
        <v>0</v>
      </c>
      <c r="E28" s="45">
        <f t="shared" si="9"/>
        <v>0</v>
      </c>
      <c r="F28" s="64">
        <f t="shared" si="41"/>
        <v>1660</v>
      </c>
      <c r="G28" s="52">
        <f t="shared" si="0"/>
        <v>0</v>
      </c>
      <c r="H28" s="64">
        <f t="shared" si="39"/>
        <v>357869</v>
      </c>
      <c r="I28" s="399">
        <f t="shared" si="1"/>
        <v>0</v>
      </c>
      <c r="J28" s="66">
        <f t="shared" si="10"/>
        <v>0</v>
      </c>
      <c r="K28" s="64">
        <f t="shared" si="29"/>
        <v>2148</v>
      </c>
      <c r="L28" s="52">
        <f t="shared" si="2"/>
        <v>0</v>
      </c>
      <c r="M28" s="64">
        <f t="shared" si="30"/>
        <v>157707</v>
      </c>
      <c r="N28" s="399">
        <f t="shared" si="3"/>
        <v>0</v>
      </c>
      <c r="O28" s="64">
        <f t="shared" si="11"/>
        <v>211.87499999999994</v>
      </c>
      <c r="P28" s="64">
        <f t="shared" si="11"/>
        <v>1862</v>
      </c>
      <c r="Q28" s="64">
        <f t="shared" si="11"/>
        <v>157930</v>
      </c>
      <c r="R28" s="398">
        <f t="shared" si="42"/>
        <v>0</v>
      </c>
      <c r="S28" s="52">
        <f t="shared" si="5"/>
        <v>0</v>
      </c>
      <c r="T28" s="67">
        <f t="shared" si="31"/>
        <v>0</v>
      </c>
      <c r="U28" s="405">
        <f t="shared" si="12"/>
        <v>0</v>
      </c>
      <c r="V28" s="62">
        <f t="shared" si="13"/>
        <v>0</v>
      </c>
      <c r="W28" s="403"/>
      <c r="X28" s="64">
        <f t="shared" si="15"/>
        <v>2448</v>
      </c>
      <c r="Y28" s="52">
        <f t="shared" si="16"/>
        <v>0</v>
      </c>
      <c r="Z28" s="64">
        <f t="shared" si="17"/>
        <v>137506</v>
      </c>
      <c r="AA28" s="65">
        <f t="shared" si="6"/>
        <v>0</v>
      </c>
      <c r="AB28" s="287">
        <f t="shared" si="47"/>
        <v>0</v>
      </c>
      <c r="AC28" s="64">
        <f t="shared" si="18"/>
        <v>1933</v>
      </c>
      <c r="AD28" s="45">
        <f t="shared" si="7"/>
        <v>0</v>
      </c>
      <c r="AE28" s="609">
        <f t="shared" si="19"/>
        <v>365212</v>
      </c>
      <c r="AF28" s="309">
        <f t="shared" si="20"/>
        <v>0</v>
      </c>
      <c r="AG28" s="210">
        <f t="shared" si="33"/>
        <v>0</v>
      </c>
      <c r="AH28" s="62">
        <f t="shared" si="34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8"/>
        <v>0</v>
      </c>
      <c r="AM28" s="321">
        <f t="shared" si="23"/>
        <v>0</v>
      </c>
      <c r="AN28" s="64">
        <f t="shared" si="40"/>
        <v>67</v>
      </c>
      <c r="AO28" s="323">
        <f t="shared" ref="AO28:AO34" si="50">(AN28/100)*3000</f>
        <v>2010.0000000000002</v>
      </c>
      <c r="AP28" s="64">
        <f t="shared" si="35"/>
        <v>55</v>
      </c>
      <c r="AQ28" s="323">
        <f t="shared" si="49"/>
        <v>1650.0000000000002</v>
      </c>
      <c r="AR28" s="64">
        <f t="shared" si="26"/>
        <v>63</v>
      </c>
      <c r="AS28" s="323">
        <f t="shared" si="36"/>
        <v>1890</v>
      </c>
      <c r="AT28" s="323">
        <f t="shared" si="48"/>
        <v>5550</v>
      </c>
      <c r="AU28" s="323">
        <f t="shared" si="38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f t="shared" si="43"/>
        <v>223</v>
      </c>
      <c r="C29" s="64">
        <f t="shared" si="44"/>
        <v>230</v>
      </c>
      <c r="D29" s="45">
        <f t="shared" si="46"/>
        <v>0</v>
      </c>
      <c r="E29" s="45">
        <f t="shared" si="9"/>
        <v>0</v>
      </c>
      <c r="F29" s="64">
        <f t="shared" si="41"/>
        <v>1660</v>
      </c>
      <c r="G29" s="52">
        <f t="shared" si="0"/>
        <v>0</v>
      </c>
      <c r="H29" s="64">
        <f t="shared" si="39"/>
        <v>357869</v>
      </c>
      <c r="I29" s="399">
        <f t="shared" si="1"/>
        <v>0</v>
      </c>
      <c r="J29" s="66">
        <f t="shared" si="10"/>
        <v>0</v>
      </c>
      <c r="K29" s="64">
        <f t="shared" si="29"/>
        <v>2148</v>
      </c>
      <c r="L29" s="52">
        <f t="shared" si="2"/>
        <v>0</v>
      </c>
      <c r="M29" s="64">
        <f t="shared" si="30"/>
        <v>157707</v>
      </c>
      <c r="N29" s="399">
        <f t="shared" si="3"/>
        <v>0</v>
      </c>
      <c r="O29" s="64">
        <f t="shared" si="11"/>
        <v>211.87499999999994</v>
      </c>
      <c r="P29" s="64">
        <f t="shared" si="11"/>
        <v>1862</v>
      </c>
      <c r="Q29" s="64">
        <f t="shared" si="11"/>
        <v>157930</v>
      </c>
      <c r="R29" s="398">
        <f t="shared" si="42"/>
        <v>0</v>
      </c>
      <c r="S29" s="52">
        <f t="shared" si="5"/>
        <v>0</v>
      </c>
      <c r="T29" s="67">
        <f t="shared" si="31"/>
        <v>0</v>
      </c>
      <c r="U29" s="405">
        <f t="shared" si="12"/>
        <v>0</v>
      </c>
      <c r="V29" s="62">
        <f t="shared" si="13"/>
        <v>0</v>
      </c>
      <c r="W29" s="403"/>
      <c r="X29" s="64">
        <f t="shared" si="15"/>
        <v>2448</v>
      </c>
      <c r="Y29" s="52">
        <f t="shared" si="16"/>
        <v>0</v>
      </c>
      <c r="Z29" s="64">
        <f t="shared" si="17"/>
        <v>137506</v>
      </c>
      <c r="AA29" s="65">
        <f t="shared" si="6"/>
        <v>0</v>
      </c>
      <c r="AB29" s="287">
        <f t="shared" si="47"/>
        <v>0</v>
      </c>
      <c r="AC29" s="64">
        <f t="shared" si="18"/>
        <v>1933</v>
      </c>
      <c r="AD29" s="45">
        <f t="shared" si="7"/>
        <v>0</v>
      </c>
      <c r="AE29" s="609">
        <f t="shared" si="19"/>
        <v>365212</v>
      </c>
      <c r="AF29" s="309">
        <f t="shared" si="20"/>
        <v>0</v>
      </c>
      <c r="AG29" s="210">
        <f t="shared" si="33"/>
        <v>0</v>
      </c>
      <c r="AH29" s="62">
        <f t="shared" si="34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8"/>
        <v>0</v>
      </c>
      <c r="AM29" s="321">
        <f t="shared" si="23"/>
        <v>0</v>
      </c>
      <c r="AN29" s="64">
        <f t="shared" si="40"/>
        <v>67</v>
      </c>
      <c r="AO29" s="323">
        <f t="shared" si="50"/>
        <v>2010.0000000000002</v>
      </c>
      <c r="AP29" s="64">
        <f t="shared" si="35"/>
        <v>55</v>
      </c>
      <c r="AQ29" s="323">
        <f t="shared" si="49"/>
        <v>1650.0000000000002</v>
      </c>
      <c r="AR29" s="64">
        <f t="shared" si="26"/>
        <v>63</v>
      </c>
      <c r="AS29" s="323">
        <f t="shared" si="36"/>
        <v>1890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f t="shared" si="43"/>
        <v>223</v>
      </c>
      <c r="C30" s="64">
        <f t="shared" si="44"/>
        <v>230</v>
      </c>
      <c r="D30" s="45">
        <f t="shared" si="46"/>
        <v>0</v>
      </c>
      <c r="E30" s="45">
        <f t="shared" si="9"/>
        <v>0</v>
      </c>
      <c r="F30" s="64">
        <f t="shared" si="41"/>
        <v>1660</v>
      </c>
      <c r="G30" s="52">
        <f t="shared" si="0"/>
        <v>0</v>
      </c>
      <c r="H30" s="64">
        <f t="shared" si="39"/>
        <v>357869</v>
      </c>
      <c r="I30" s="399">
        <f t="shared" si="1"/>
        <v>0</v>
      </c>
      <c r="J30" s="66">
        <f t="shared" si="10"/>
        <v>0</v>
      </c>
      <c r="K30" s="64">
        <f t="shared" si="29"/>
        <v>2148</v>
      </c>
      <c r="L30" s="52">
        <f t="shared" si="2"/>
        <v>0</v>
      </c>
      <c r="M30" s="64">
        <f t="shared" si="30"/>
        <v>157707</v>
      </c>
      <c r="N30" s="399">
        <f t="shared" si="3"/>
        <v>0</v>
      </c>
      <c r="O30" s="64">
        <f t="shared" si="11"/>
        <v>211.87499999999994</v>
      </c>
      <c r="P30" s="64">
        <f t="shared" si="11"/>
        <v>1862</v>
      </c>
      <c r="Q30" s="64">
        <f t="shared" si="11"/>
        <v>157930</v>
      </c>
      <c r="R30" s="398">
        <f t="shared" si="42"/>
        <v>0</v>
      </c>
      <c r="S30" s="52">
        <f t="shared" si="5"/>
        <v>0</v>
      </c>
      <c r="T30" s="67">
        <f t="shared" si="31"/>
        <v>0</v>
      </c>
      <c r="U30" s="405">
        <f t="shared" si="12"/>
        <v>0</v>
      </c>
      <c r="V30" s="62">
        <f t="shared" si="13"/>
        <v>0</v>
      </c>
      <c r="W30" s="403"/>
      <c r="X30" s="64">
        <f t="shared" si="15"/>
        <v>2448</v>
      </c>
      <c r="Y30" s="52">
        <f t="shared" si="16"/>
        <v>0</v>
      </c>
      <c r="Z30" s="64">
        <f t="shared" si="17"/>
        <v>137506</v>
      </c>
      <c r="AA30" s="65">
        <f t="shared" si="6"/>
        <v>0</v>
      </c>
      <c r="AB30" s="287">
        <f t="shared" si="47"/>
        <v>0</v>
      </c>
      <c r="AC30" s="64">
        <f t="shared" si="18"/>
        <v>1933</v>
      </c>
      <c r="AD30" s="45">
        <f t="shared" si="7"/>
        <v>0</v>
      </c>
      <c r="AE30" s="609">
        <f t="shared" si="19"/>
        <v>365212</v>
      </c>
      <c r="AF30" s="309">
        <f t="shared" si="20"/>
        <v>0</v>
      </c>
      <c r="AG30" s="210">
        <f t="shared" si="33"/>
        <v>0</v>
      </c>
      <c r="AH30" s="62">
        <f t="shared" si="34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8"/>
        <v>0</v>
      </c>
      <c r="AM30" s="321">
        <f t="shared" si="23"/>
        <v>0</v>
      </c>
      <c r="AN30" s="64">
        <f t="shared" si="40"/>
        <v>67</v>
      </c>
      <c r="AO30" s="323">
        <f t="shared" si="50"/>
        <v>2010.0000000000002</v>
      </c>
      <c r="AP30" s="64">
        <f t="shared" si="35"/>
        <v>55</v>
      </c>
      <c r="AQ30" s="323">
        <f t="shared" si="49"/>
        <v>1650.0000000000002</v>
      </c>
      <c r="AR30" s="64">
        <f t="shared" si="26"/>
        <v>63</v>
      </c>
      <c r="AS30" s="323">
        <f t="shared" si="36"/>
        <v>1890</v>
      </c>
      <c r="AT30" s="323">
        <f t="shared" si="48"/>
        <v>5550</v>
      </c>
      <c r="AU30" s="323">
        <f t="shared" si="38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si="43"/>
        <v>223</v>
      </c>
      <c r="C31" s="64">
        <f t="shared" si="44"/>
        <v>230</v>
      </c>
      <c r="D31" s="45">
        <f t="shared" si="46"/>
        <v>0</v>
      </c>
      <c r="E31" s="45">
        <f t="shared" si="9"/>
        <v>0</v>
      </c>
      <c r="F31" s="64">
        <f t="shared" si="41"/>
        <v>1660</v>
      </c>
      <c r="G31" s="52">
        <f t="shared" si="0"/>
        <v>0</v>
      </c>
      <c r="H31" s="64">
        <f t="shared" si="39"/>
        <v>357869</v>
      </c>
      <c r="I31" s="399">
        <f t="shared" si="1"/>
        <v>0</v>
      </c>
      <c r="J31" s="66">
        <f t="shared" si="10"/>
        <v>0</v>
      </c>
      <c r="K31" s="64">
        <f t="shared" si="29"/>
        <v>2148</v>
      </c>
      <c r="L31" s="52">
        <f t="shared" si="2"/>
        <v>0</v>
      </c>
      <c r="M31" s="64">
        <f t="shared" si="30"/>
        <v>157707</v>
      </c>
      <c r="N31" s="399">
        <f t="shared" si="3"/>
        <v>0</v>
      </c>
      <c r="O31" s="64">
        <f t="shared" si="11"/>
        <v>211.87499999999994</v>
      </c>
      <c r="P31" s="64">
        <f t="shared" si="11"/>
        <v>1862</v>
      </c>
      <c r="Q31" s="64">
        <f t="shared" si="11"/>
        <v>157930</v>
      </c>
      <c r="R31" s="398">
        <f t="shared" si="42"/>
        <v>0</v>
      </c>
      <c r="S31" s="52">
        <f t="shared" si="5"/>
        <v>0</v>
      </c>
      <c r="T31" s="67">
        <f t="shared" si="31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2448</v>
      </c>
      <c r="Y31" s="52">
        <f t="shared" si="16"/>
        <v>0</v>
      </c>
      <c r="Z31" s="64">
        <f t="shared" si="17"/>
        <v>137506</v>
      </c>
      <c r="AA31" s="65">
        <f t="shared" si="6"/>
        <v>0</v>
      </c>
      <c r="AB31" s="287">
        <f t="shared" si="47"/>
        <v>0</v>
      </c>
      <c r="AC31" s="64">
        <f t="shared" si="18"/>
        <v>1933</v>
      </c>
      <c r="AD31" s="271">
        <f t="shared" si="7"/>
        <v>0</v>
      </c>
      <c r="AE31" s="609">
        <f t="shared" si="19"/>
        <v>365212</v>
      </c>
      <c r="AF31" s="309">
        <f t="shared" si="20"/>
        <v>0</v>
      </c>
      <c r="AG31" s="210">
        <f t="shared" si="33"/>
        <v>0</v>
      </c>
      <c r="AH31" s="62">
        <f t="shared" si="34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40"/>
        <v>67</v>
      </c>
      <c r="AO31" s="323">
        <f t="shared" si="50"/>
        <v>2010.0000000000002</v>
      </c>
      <c r="AP31" s="64">
        <f t="shared" si="35"/>
        <v>55</v>
      </c>
      <c r="AQ31" s="323">
        <f t="shared" si="49"/>
        <v>1650.0000000000002</v>
      </c>
      <c r="AR31" s="64">
        <f t="shared" si="26"/>
        <v>63</v>
      </c>
      <c r="AS31" s="323">
        <f t="shared" si="36"/>
        <v>1890</v>
      </c>
      <c r="AT31" s="323">
        <f t="shared" si="48"/>
        <v>5550</v>
      </c>
      <c r="AU31" s="323">
        <f t="shared" si="38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43"/>
        <v>223</v>
      </c>
      <c r="C32" s="64">
        <f t="shared" si="44"/>
        <v>230</v>
      </c>
      <c r="D32" s="45">
        <f t="shared" si="28"/>
        <v>0</v>
      </c>
      <c r="E32" s="45">
        <f t="shared" ref="E32:E34" si="51">D32*8.38</f>
        <v>0</v>
      </c>
      <c r="F32" s="64">
        <f t="shared" si="41"/>
        <v>1660</v>
      </c>
      <c r="G32" s="52">
        <f t="shared" si="0"/>
        <v>0</v>
      </c>
      <c r="H32" s="64">
        <f t="shared" si="39"/>
        <v>357869</v>
      </c>
      <c r="I32" s="399">
        <f t="shared" si="1"/>
        <v>0</v>
      </c>
      <c r="J32" s="66">
        <f t="shared" si="10"/>
        <v>0</v>
      </c>
      <c r="K32" s="64">
        <f t="shared" si="29"/>
        <v>2148</v>
      </c>
      <c r="L32" s="52">
        <f t="shared" si="2"/>
        <v>0</v>
      </c>
      <c r="M32" s="64">
        <f t="shared" si="30"/>
        <v>157707</v>
      </c>
      <c r="N32" s="399">
        <f t="shared" si="3"/>
        <v>0</v>
      </c>
      <c r="O32" s="64">
        <f t="shared" si="11"/>
        <v>211.87499999999994</v>
      </c>
      <c r="P32" s="64">
        <f t="shared" si="11"/>
        <v>1862</v>
      </c>
      <c r="Q32" s="64">
        <f t="shared" si="11"/>
        <v>157930</v>
      </c>
      <c r="R32" s="398">
        <f t="shared" si="42"/>
        <v>0</v>
      </c>
      <c r="S32" s="52">
        <f t="shared" si="5"/>
        <v>0</v>
      </c>
      <c r="T32" s="67">
        <f t="shared" si="31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2448</v>
      </c>
      <c r="Y32" s="52">
        <f t="shared" si="16"/>
        <v>0</v>
      </c>
      <c r="Z32" s="64">
        <f t="shared" si="17"/>
        <v>137506</v>
      </c>
      <c r="AA32" s="65">
        <f t="shared" si="6"/>
        <v>0</v>
      </c>
      <c r="AB32" s="287">
        <f t="shared" si="47"/>
        <v>0</v>
      </c>
      <c r="AC32" s="64">
        <f t="shared" si="18"/>
        <v>1933</v>
      </c>
      <c r="AD32" s="271">
        <f t="shared" si="7"/>
        <v>0</v>
      </c>
      <c r="AE32" s="609">
        <f t="shared" si="19"/>
        <v>365212</v>
      </c>
      <c r="AF32" s="309">
        <f t="shared" si="20"/>
        <v>0</v>
      </c>
      <c r="AG32" s="210">
        <f t="shared" si="33"/>
        <v>0</v>
      </c>
      <c r="AH32" s="62">
        <f t="shared" si="34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40"/>
        <v>67</v>
      </c>
      <c r="AO32" s="323">
        <f t="shared" si="50"/>
        <v>2010.0000000000002</v>
      </c>
      <c r="AP32" s="64">
        <f t="shared" si="35"/>
        <v>55</v>
      </c>
      <c r="AQ32" s="323">
        <f t="shared" si="49"/>
        <v>1650.0000000000002</v>
      </c>
      <c r="AR32" s="64">
        <f t="shared" si="26"/>
        <v>63</v>
      </c>
      <c r="AS32" s="323">
        <f t="shared" si="36"/>
        <v>1890</v>
      </c>
      <c r="AT32" s="323">
        <f t="shared" si="48"/>
        <v>5550</v>
      </c>
      <c r="AU32" s="323">
        <f t="shared" si="38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43"/>
        <v>223</v>
      </c>
      <c r="C33" s="64">
        <f t="shared" si="44"/>
        <v>230</v>
      </c>
      <c r="D33" s="45">
        <f t="shared" si="28"/>
        <v>0</v>
      </c>
      <c r="E33" s="45">
        <f t="shared" si="51"/>
        <v>0</v>
      </c>
      <c r="F33" s="64">
        <f t="shared" si="41"/>
        <v>1660</v>
      </c>
      <c r="G33" s="52">
        <f t="shared" si="0"/>
        <v>0</v>
      </c>
      <c r="H33" s="64">
        <f t="shared" si="39"/>
        <v>357869</v>
      </c>
      <c r="I33" s="399">
        <f t="shared" si="1"/>
        <v>0</v>
      </c>
      <c r="J33" s="66">
        <f t="shared" si="10"/>
        <v>0</v>
      </c>
      <c r="K33" s="64">
        <f t="shared" si="29"/>
        <v>2148</v>
      </c>
      <c r="L33" s="52">
        <f t="shared" si="2"/>
        <v>0</v>
      </c>
      <c r="M33" s="64">
        <f t="shared" si="30"/>
        <v>157707</v>
      </c>
      <c r="N33" s="399">
        <f t="shared" si="3"/>
        <v>0</v>
      </c>
      <c r="O33" s="64">
        <f t="shared" si="11"/>
        <v>211.87499999999994</v>
      </c>
      <c r="P33" s="64">
        <f t="shared" si="11"/>
        <v>1862</v>
      </c>
      <c r="Q33" s="64">
        <f t="shared" si="11"/>
        <v>157930</v>
      </c>
      <c r="R33" s="398">
        <f t="shared" si="42"/>
        <v>0</v>
      </c>
      <c r="S33" s="52">
        <f t="shared" si="5"/>
        <v>0</v>
      </c>
      <c r="T33" s="67">
        <f t="shared" si="31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2448</v>
      </c>
      <c r="Y33" s="52">
        <f t="shared" si="16"/>
        <v>0</v>
      </c>
      <c r="Z33" s="64">
        <f t="shared" si="17"/>
        <v>137506</v>
      </c>
      <c r="AA33" s="65">
        <f t="shared" si="6"/>
        <v>0</v>
      </c>
      <c r="AB33" s="287">
        <f t="shared" si="47"/>
        <v>0</v>
      </c>
      <c r="AC33" s="64">
        <f t="shared" si="18"/>
        <v>1933</v>
      </c>
      <c r="AD33" s="45">
        <f t="shared" si="7"/>
        <v>0</v>
      </c>
      <c r="AE33" s="609">
        <f t="shared" si="19"/>
        <v>365212</v>
      </c>
      <c r="AF33" s="309">
        <f t="shared" si="20"/>
        <v>0</v>
      </c>
      <c r="AG33" s="210">
        <f t="shared" si="33"/>
        <v>0</v>
      </c>
      <c r="AH33" s="62">
        <f t="shared" si="34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40"/>
        <v>67</v>
      </c>
      <c r="AO33" s="323">
        <f t="shared" si="50"/>
        <v>2010.0000000000002</v>
      </c>
      <c r="AP33" s="64">
        <f t="shared" si="35"/>
        <v>55</v>
      </c>
      <c r="AQ33" s="323">
        <f t="shared" si="49"/>
        <v>1650.0000000000002</v>
      </c>
      <c r="AR33" s="64">
        <f t="shared" si="26"/>
        <v>63</v>
      </c>
      <c r="AS33" s="323">
        <f t="shared" si="36"/>
        <v>1890</v>
      </c>
      <c r="AT33" s="323">
        <f t="shared" si="48"/>
        <v>5550</v>
      </c>
      <c r="AU33" s="323">
        <f t="shared" si="38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43"/>
        <v>223</v>
      </c>
      <c r="C34" s="64">
        <f t="shared" si="44"/>
        <v>230</v>
      </c>
      <c r="D34" s="45">
        <f t="shared" si="28"/>
        <v>0</v>
      </c>
      <c r="E34" s="45">
        <f t="shared" si="51"/>
        <v>0</v>
      </c>
      <c r="F34" s="64">
        <f t="shared" si="41"/>
        <v>1660</v>
      </c>
      <c r="G34" s="52">
        <f t="shared" si="0"/>
        <v>0</v>
      </c>
      <c r="H34" s="64">
        <f t="shared" si="39"/>
        <v>357869</v>
      </c>
      <c r="I34" s="399">
        <f t="shared" si="1"/>
        <v>0</v>
      </c>
      <c r="J34" s="66">
        <f t="shared" si="10"/>
        <v>0</v>
      </c>
      <c r="K34" s="64">
        <f t="shared" si="29"/>
        <v>2148</v>
      </c>
      <c r="L34" s="52">
        <f t="shared" si="2"/>
        <v>0</v>
      </c>
      <c r="M34" s="64">
        <f t="shared" si="30"/>
        <v>157707</v>
      </c>
      <c r="N34" s="399">
        <f t="shared" si="3"/>
        <v>0</v>
      </c>
      <c r="O34" s="64">
        <f t="shared" si="11"/>
        <v>211.87499999999994</v>
      </c>
      <c r="P34" s="64">
        <f t="shared" si="11"/>
        <v>1862</v>
      </c>
      <c r="Q34" s="64">
        <f t="shared" si="11"/>
        <v>157930</v>
      </c>
      <c r="R34" s="398">
        <f t="shared" si="42"/>
        <v>0</v>
      </c>
      <c r="S34" s="52">
        <f t="shared" si="5"/>
        <v>0</v>
      </c>
      <c r="T34" s="67">
        <f t="shared" si="31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2448</v>
      </c>
      <c r="Y34" s="52">
        <f t="shared" si="16"/>
        <v>0</v>
      </c>
      <c r="Z34" s="64">
        <f t="shared" si="17"/>
        <v>137506</v>
      </c>
      <c r="AA34" s="65">
        <f t="shared" si="6"/>
        <v>0</v>
      </c>
      <c r="AB34" s="287">
        <f t="shared" si="47"/>
        <v>0</v>
      </c>
      <c r="AC34" s="64">
        <f t="shared" si="18"/>
        <v>1933</v>
      </c>
      <c r="AD34" s="45">
        <f t="shared" si="7"/>
        <v>0</v>
      </c>
      <c r="AE34" s="609">
        <f t="shared" si="19"/>
        <v>365212</v>
      </c>
      <c r="AF34" s="309">
        <f t="shared" si="20"/>
        <v>0</v>
      </c>
      <c r="AG34" s="210">
        <f t="shared" si="33"/>
        <v>0</v>
      </c>
      <c r="AH34" s="62">
        <f t="shared" si="34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40"/>
        <v>67</v>
      </c>
      <c r="AO34" s="323">
        <f t="shared" si="50"/>
        <v>2010.0000000000002</v>
      </c>
      <c r="AP34" s="64">
        <f t="shared" si="35"/>
        <v>55</v>
      </c>
      <c r="AQ34" s="323">
        <f t="shared" si="49"/>
        <v>1650.0000000000002</v>
      </c>
      <c r="AR34" s="64">
        <f t="shared" si="26"/>
        <v>63</v>
      </c>
      <c r="AS34" s="323">
        <f t="shared" si="36"/>
        <v>1890</v>
      </c>
      <c r="AT34" s="323">
        <f t="shared" si="48"/>
        <v>5550</v>
      </c>
      <c r="AU34" s="323">
        <f t="shared" si="38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43"/>
        <v>223</v>
      </c>
      <c r="C35" s="64">
        <f t="shared" si="44"/>
        <v>230</v>
      </c>
      <c r="D35" s="45">
        <f t="shared" ref="D35" si="52">C34-C35</f>
        <v>0</v>
      </c>
      <c r="E35" s="45">
        <f t="shared" ref="E35" si="53">D35*8.38</f>
        <v>0</v>
      </c>
      <c r="F35" s="64">
        <f t="shared" si="41"/>
        <v>1660</v>
      </c>
      <c r="G35" s="52">
        <f t="shared" ref="G35" si="54">F35-F34</f>
        <v>0</v>
      </c>
      <c r="H35" s="64">
        <f t="shared" si="39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29"/>
        <v>2148</v>
      </c>
      <c r="L35" s="52">
        <f t="shared" ref="L35" si="57">K35-K34</f>
        <v>0</v>
      </c>
      <c r="M35" s="64">
        <f t="shared" si="30"/>
        <v>157707</v>
      </c>
      <c r="N35" s="399">
        <f t="shared" ref="N35" si="58">M35-M34</f>
        <v>0</v>
      </c>
      <c r="O35" s="64">
        <f t="shared" si="11"/>
        <v>211.87499999999994</v>
      </c>
      <c r="P35" s="64">
        <f t="shared" si="11"/>
        <v>1862</v>
      </c>
      <c r="Q35" s="64">
        <f t="shared" si="11"/>
        <v>157930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2448</v>
      </c>
      <c r="Y35" s="52">
        <f t="shared" ref="Y35" si="64">X35-X34</f>
        <v>0</v>
      </c>
      <c r="Z35" s="64">
        <f t="shared" si="17"/>
        <v>137506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09">
        <f t="shared" si="19"/>
        <v>365212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40"/>
        <v>67</v>
      </c>
      <c r="AO35" s="323">
        <f t="shared" ref="AO35" si="72">(AN35/100)*3000</f>
        <v>2010.0000000000002</v>
      </c>
      <c r="AP35" s="64">
        <f t="shared" si="35"/>
        <v>55</v>
      </c>
      <c r="AQ35" s="323">
        <f t="shared" ref="AQ35" si="73">(AP35/100)*3000</f>
        <v>1650.0000000000002</v>
      </c>
      <c r="AR35" s="64">
        <f t="shared" si="26"/>
        <v>63</v>
      </c>
      <c r="AS35" s="323">
        <f t="shared" ref="AS35" si="74">(AR35/100)*3000</f>
        <v>1890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839</v>
      </c>
      <c r="AE36" s="71" t="s">
        <v>385</v>
      </c>
      <c r="AG36" s="347"/>
      <c r="AH36" s="62">
        <f>SUM(AH5:AH35)</f>
        <v>0</v>
      </c>
      <c r="AL36" s="62">
        <f>SUM(AL5:AL35)</f>
        <v>23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-90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839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-45.9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14" activePane="bottomLeft" state="frozen"/>
      <selection pane="bottomLeft" activeCell="AX15" sqref="AX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9169590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7" t="s">
        <v>126</v>
      </c>
      <c r="AO3" s="638"/>
      <c r="AP3" s="639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v>109443</v>
      </c>
      <c r="C8" s="5">
        <f>B8-B7</f>
        <v>126</v>
      </c>
      <c r="D8" s="423">
        <f t="shared" si="12"/>
        <v>4.666666666666667</v>
      </c>
      <c r="E8" s="336">
        <f>SUM((C8*$E$4)+(7500/'EDl log'!$A$37))</f>
        <v>459.15999999999997</v>
      </c>
      <c r="F8" s="422"/>
      <c r="G8" s="5">
        <v>610732</v>
      </c>
      <c r="H8" s="5">
        <f t="shared" si="14"/>
        <v>124</v>
      </c>
      <c r="I8" s="5">
        <f t="shared" si="0"/>
        <v>250</v>
      </c>
      <c r="J8" s="337">
        <f t="shared" si="1"/>
        <v>1.8366399999999998</v>
      </c>
      <c r="K8" s="5">
        <f>'Swimming Pool quality check '!H8</f>
        <v>6689</v>
      </c>
      <c r="L8" s="83">
        <f>K8-K7</f>
        <v>5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v>148583</v>
      </c>
      <c r="Y8" s="327">
        <f>SUM(X8-X7)</f>
        <v>101</v>
      </c>
      <c r="Z8" s="5">
        <v>97417</v>
      </c>
      <c r="AA8" s="83">
        <f t="shared" si="22"/>
        <v>10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10</v>
      </c>
      <c r="AK8" s="330">
        <f t="shared" ref="AK8:AK36" si="39">SUM(Y8-L8)</f>
        <v>96</v>
      </c>
      <c r="AL8" s="330">
        <f t="shared" si="31"/>
        <v>10</v>
      </c>
      <c r="AM8" s="330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v>89</v>
      </c>
      <c r="AU8" s="429">
        <v>1.1000000000000001</v>
      </c>
      <c r="AV8" s="202">
        <v>25</v>
      </c>
      <c r="AW8" s="5">
        <v>2.9</v>
      </c>
      <c r="AX8" s="202">
        <v>14</v>
      </c>
      <c r="AY8" s="432">
        <f t="shared" si="7"/>
        <v>80.100000000000009</v>
      </c>
      <c r="AZ8" s="432">
        <f t="shared" si="33"/>
        <v>27.500000000000004</v>
      </c>
      <c r="BA8" s="432">
        <f t="shared" si="34"/>
        <v>40.6</v>
      </c>
      <c r="BB8" s="21">
        <f t="shared" si="35"/>
        <v>80.100000000000009</v>
      </c>
      <c r="BC8" s="21">
        <f t="shared" si="36"/>
        <v>1.1000000000000014</v>
      </c>
      <c r="BD8" s="21">
        <f t="shared" si="36"/>
        <v>5.8000000000000043</v>
      </c>
      <c r="BE8" s="24">
        <f t="shared" si="37"/>
        <v>87.000000000000028</v>
      </c>
      <c r="BF8" s="96">
        <f t="shared" si="8"/>
        <v>162.99999999999997</v>
      </c>
      <c r="BG8" s="82">
        <f t="shared" si="9"/>
        <v>87.000000000000028</v>
      </c>
      <c r="BI8" s="86"/>
      <c r="BJ8" s="17"/>
      <c r="BK8" s="17"/>
    </row>
    <row r="9" spans="1:65" ht="15.75" thickBot="1">
      <c r="A9" s="6">
        <f>ELEC!C6</f>
        <v>44139</v>
      </c>
      <c r="B9" s="5"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v>610732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6690</v>
      </c>
      <c r="L9" s="83">
        <f t="shared" ref="L9:L35" si="40">K9-K8</f>
        <v>1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v>148657</v>
      </c>
      <c r="Y9" s="327">
        <f t="shared" ref="Y9:Y35" si="41">SUM(X9-X8)</f>
        <v>74</v>
      </c>
      <c r="Z9" s="5">
        <f t="shared" si="21"/>
        <v>97417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73</v>
      </c>
      <c r="AL9" s="330">
        <f t="shared" si="31"/>
        <v>0</v>
      </c>
      <c r="AM9" s="330">
        <f>'General information '!D9</f>
        <v>20.5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v>20</v>
      </c>
      <c r="AU9" s="429">
        <f t="shared" ref="AU9:AU36" si="42">AU8</f>
        <v>1.1000000000000001</v>
      </c>
      <c r="AV9" s="202">
        <v>20</v>
      </c>
      <c r="AW9" s="5">
        <v>2.9</v>
      </c>
      <c r="AX9" s="202">
        <v>28</v>
      </c>
      <c r="AY9" s="432">
        <f t="shared" si="7"/>
        <v>18</v>
      </c>
      <c r="AZ9" s="432">
        <f t="shared" si="33"/>
        <v>22</v>
      </c>
      <c r="BA9" s="432">
        <f t="shared" si="34"/>
        <v>81.2</v>
      </c>
      <c r="BB9" s="21">
        <f t="shared" si="35"/>
        <v>-62.100000000000009</v>
      </c>
      <c r="BC9" s="21">
        <f t="shared" si="36"/>
        <v>-5.5000000000000036</v>
      </c>
      <c r="BD9" s="21">
        <f t="shared" si="36"/>
        <v>40.6</v>
      </c>
      <c r="BE9" s="24">
        <f t="shared" si="37"/>
        <v>-27.000000000000007</v>
      </c>
      <c r="BF9" s="348">
        <f t="shared" si="8"/>
        <v>27.000000000000007</v>
      </c>
      <c r="BG9" s="82">
        <f t="shared" si="9"/>
        <v>-27.000000000000007</v>
      </c>
    </row>
    <row r="10" spans="1:65" ht="15.75" thickBot="1">
      <c r="A10" s="6">
        <f>ELEC!C7</f>
        <v>44140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v>610925</v>
      </c>
      <c r="H10" s="5">
        <f t="shared" si="14"/>
        <v>193</v>
      </c>
      <c r="I10" s="5">
        <f t="shared" si="0"/>
        <v>193</v>
      </c>
      <c r="J10" s="337">
        <f t="shared" si="1"/>
        <v>1.2953367875647668</v>
      </c>
      <c r="K10" s="5">
        <f>'Swimming Pool quality check '!H10</f>
        <v>6690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148657</v>
      </c>
      <c r="Y10" s="327">
        <f t="shared" si="41"/>
        <v>0</v>
      </c>
      <c r="Z10" s="5">
        <v>97445</v>
      </c>
      <c r="AA10" s="83">
        <f t="shared" si="22"/>
        <v>28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28</v>
      </c>
      <c r="AK10" s="330">
        <f t="shared" si="39"/>
        <v>0</v>
      </c>
      <c r="AL10" s="330">
        <f t="shared" si="31"/>
        <v>28</v>
      </c>
      <c r="AM10" s="330">
        <f>'General information '!D10</f>
        <v>19.5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v>80</v>
      </c>
      <c r="AU10" s="429">
        <f t="shared" si="42"/>
        <v>1.1000000000000001</v>
      </c>
      <c r="AV10" s="202">
        <v>33</v>
      </c>
      <c r="AW10" s="5">
        <v>2.9</v>
      </c>
      <c r="AX10" s="202">
        <v>32</v>
      </c>
      <c r="AY10" s="432">
        <f t="shared" si="7"/>
        <v>72</v>
      </c>
      <c r="AZ10" s="432">
        <f t="shared" si="33"/>
        <v>36.300000000000004</v>
      </c>
      <c r="BA10" s="432">
        <f t="shared" si="34"/>
        <v>92.8</v>
      </c>
      <c r="BB10" s="21">
        <f t="shared" si="35"/>
        <v>54</v>
      </c>
      <c r="BC10" s="21">
        <f t="shared" si="36"/>
        <v>14.300000000000004</v>
      </c>
      <c r="BD10" s="21">
        <f t="shared" si="36"/>
        <v>11.599999999999994</v>
      </c>
      <c r="BE10" s="24">
        <f t="shared" si="37"/>
        <v>79.900000000000006</v>
      </c>
      <c r="BF10" s="96">
        <f t="shared" si="8"/>
        <v>113.1</v>
      </c>
      <c r="BG10" s="82">
        <f t="shared" si="9"/>
        <v>79.900000000000006</v>
      </c>
    </row>
    <row r="11" spans="1:65" ht="15.75" thickBot="1">
      <c r="A11" s="6">
        <f>ELEC!C8</f>
        <v>44141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610925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6699</v>
      </c>
      <c r="L11" s="83">
        <f t="shared" si="40"/>
        <v>9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v>148721</v>
      </c>
      <c r="Y11" s="327">
        <f t="shared" si="41"/>
        <v>64</v>
      </c>
      <c r="Z11" s="5">
        <v>97468</v>
      </c>
      <c r="AA11" s="83">
        <f t="shared" si="22"/>
        <v>23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23</v>
      </c>
      <c r="AK11" s="330">
        <f t="shared" si="39"/>
        <v>55</v>
      </c>
      <c r="AL11" s="330">
        <f t="shared" si="31"/>
        <v>23</v>
      </c>
      <c r="AM11" s="330">
        <f>'General information '!D11</f>
        <v>20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v>23</v>
      </c>
      <c r="AU11" s="429">
        <f t="shared" si="42"/>
        <v>1.1000000000000001</v>
      </c>
      <c r="AV11" s="202">
        <v>46</v>
      </c>
      <c r="AW11" s="5">
        <v>2.9</v>
      </c>
      <c r="AX11" s="202">
        <v>38</v>
      </c>
      <c r="AY11" s="432">
        <f t="shared" si="7"/>
        <v>20.7</v>
      </c>
      <c r="AZ11" s="432">
        <f t="shared" si="33"/>
        <v>50.6</v>
      </c>
      <c r="BA11" s="432">
        <f t="shared" si="34"/>
        <v>110.2</v>
      </c>
      <c r="BB11" s="21">
        <f t="shared" si="35"/>
        <v>-51.3</v>
      </c>
      <c r="BC11" s="21">
        <f t="shared" si="36"/>
        <v>14.299999999999997</v>
      </c>
      <c r="BD11" s="21">
        <f t="shared" si="36"/>
        <v>17.400000000000006</v>
      </c>
      <c r="BE11" s="24">
        <f t="shared" si="37"/>
        <v>-19.599999999999994</v>
      </c>
      <c r="BF11" s="96">
        <f t="shared" si="8"/>
        <v>19.599999999999994</v>
      </c>
      <c r="BG11" s="82">
        <f t="shared" si="9"/>
        <v>-19.599999999999994</v>
      </c>
    </row>
    <row r="12" spans="1:65" ht="15.75" thickBot="1">
      <c r="A12" s="6">
        <f>ELEC!C9</f>
        <v>44142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v>611115</v>
      </c>
      <c r="H12" s="5">
        <f t="shared" si="14"/>
        <v>190</v>
      </c>
      <c r="I12" s="5">
        <f t="shared" si="0"/>
        <v>190</v>
      </c>
      <c r="J12" s="337">
        <f t="shared" si="1"/>
        <v>1.3157894736842106</v>
      </c>
      <c r="K12" s="5">
        <f>'Swimming Pool quality check '!H12</f>
        <v>6699</v>
      </c>
      <c r="L12" s="83">
        <f t="shared" si="40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v>148761</v>
      </c>
      <c r="Y12" s="327">
        <f t="shared" si="41"/>
        <v>40</v>
      </c>
      <c r="Z12" s="5">
        <v>97468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40</v>
      </c>
      <c r="AL12" s="330">
        <f t="shared" si="31"/>
        <v>0</v>
      </c>
      <c r="AM12" s="330">
        <f>'General information '!D12</f>
        <v>20.5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v>93</v>
      </c>
      <c r="AU12" s="429">
        <f t="shared" si="42"/>
        <v>1.1000000000000001</v>
      </c>
      <c r="AV12" s="202">
        <v>41</v>
      </c>
      <c r="AW12" s="5">
        <v>2.9</v>
      </c>
      <c r="AX12" s="202">
        <v>45</v>
      </c>
      <c r="AY12" s="432">
        <f t="shared" si="7"/>
        <v>83.7</v>
      </c>
      <c r="AZ12" s="432">
        <f t="shared" si="33"/>
        <v>45.1</v>
      </c>
      <c r="BA12" s="432">
        <f t="shared" si="34"/>
        <v>130.5</v>
      </c>
      <c r="BB12" s="21">
        <f t="shared" si="35"/>
        <v>63</v>
      </c>
      <c r="BC12" s="21">
        <f t="shared" si="36"/>
        <v>-5.5</v>
      </c>
      <c r="BD12" s="21">
        <f t="shared" si="36"/>
        <v>20.299999999999997</v>
      </c>
      <c r="BE12" s="24">
        <f t="shared" si="37"/>
        <v>77.8</v>
      </c>
      <c r="BF12" s="96">
        <f t="shared" si="8"/>
        <v>112.2</v>
      </c>
      <c r="BG12" s="82">
        <f t="shared" si="9"/>
        <v>77.8</v>
      </c>
    </row>
    <row r="13" spans="1:65" ht="15.75" thickBot="1">
      <c r="A13" s="6">
        <f>ELEC!C10</f>
        <v>44143</v>
      </c>
      <c r="B13" s="5"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611115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6699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148761</v>
      </c>
      <c r="Y13" s="327">
        <f t="shared" si="41"/>
        <v>0</v>
      </c>
      <c r="Z13" s="5">
        <f t="shared" si="21"/>
        <v>97468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24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93</v>
      </c>
      <c r="AU13" s="429">
        <f t="shared" si="42"/>
        <v>1.1000000000000001</v>
      </c>
      <c r="AV13" s="202">
        <v>36</v>
      </c>
      <c r="AW13" s="5">
        <v>2.9</v>
      </c>
      <c r="AX13" s="202">
        <v>40</v>
      </c>
      <c r="AY13" s="432">
        <f t="shared" si="7"/>
        <v>83.7</v>
      </c>
      <c r="AZ13" s="432">
        <f t="shared" si="33"/>
        <v>39.6</v>
      </c>
      <c r="BA13" s="432">
        <f t="shared" si="34"/>
        <v>116</v>
      </c>
      <c r="BB13" s="21">
        <f t="shared" si="35"/>
        <v>0</v>
      </c>
      <c r="BC13" s="21">
        <f t="shared" si="36"/>
        <v>-5.5</v>
      </c>
      <c r="BD13" s="21">
        <f t="shared" si="36"/>
        <v>-14.5</v>
      </c>
      <c r="BE13" s="24">
        <f t="shared" si="37"/>
        <v>-20</v>
      </c>
      <c r="BF13" s="96">
        <f t="shared" si="8"/>
        <v>20</v>
      </c>
      <c r="BG13" s="82">
        <f t="shared" si="9"/>
        <v>-20</v>
      </c>
    </row>
    <row r="14" spans="1:65" ht="15.75" thickBot="1">
      <c r="A14" s="6">
        <f>ELEC!C11</f>
        <v>44144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v>611306</v>
      </c>
      <c r="H14" s="5">
        <f t="shared" si="14"/>
        <v>191</v>
      </c>
      <c r="I14" s="5">
        <f t="shared" si="0"/>
        <v>191</v>
      </c>
      <c r="J14" s="337">
        <f t="shared" si="1"/>
        <v>1.3089005235602094</v>
      </c>
      <c r="K14" s="5">
        <f>'Swimming Pool quality check '!H14</f>
        <v>6699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622">
        <v>148827</v>
      </c>
      <c r="Y14" s="327">
        <f t="shared" si="41"/>
        <v>66</v>
      </c>
      <c r="Z14" s="5">
        <v>97491</v>
      </c>
      <c r="AA14" s="83">
        <f t="shared" si="22"/>
        <v>23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23</v>
      </c>
      <c r="AK14" s="330">
        <f t="shared" si="39"/>
        <v>66</v>
      </c>
      <c r="AL14" s="330">
        <f t="shared" si="31"/>
        <v>23</v>
      </c>
      <c r="AM14" s="330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v>122</v>
      </c>
      <c r="AU14" s="429">
        <f t="shared" si="42"/>
        <v>1.1000000000000001</v>
      </c>
      <c r="AV14" s="202">
        <v>49</v>
      </c>
      <c r="AW14" s="5">
        <v>2.9</v>
      </c>
      <c r="AX14" s="202">
        <v>54</v>
      </c>
      <c r="AY14" s="432">
        <f t="shared" si="7"/>
        <v>109.8</v>
      </c>
      <c r="AZ14" s="432">
        <f t="shared" si="33"/>
        <v>53.900000000000006</v>
      </c>
      <c r="BA14" s="432">
        <f t="shared" si="34"/>
        <v>156.6</v>
      </c>
      <c r="BB14" s="21">
        <f t="shared" si="35"/>
        <v>26.099999999999994</v>
      </c>
      <c r="BC14" s="21">
        <f t="shared" si="36"/>
        <v>14.300000000000004</v>
      </c>
      <c r="BD14" s="21">
        <f t="shared" si="36"/>
        <v>40.599999999999994</v>
      </c>
      <c r="BE14" s="24">
        <f t="shared" si="37"/>
        <v>81</v>
      </c>
      <c r="BF14" s="96">
        <f t="shared" si="8"/>
        <v>110</v>
      </c>
      <c r="BG14" s="82">
        <f t="shared" si="9"/>
        <v>81</v>
      </c>
    </row>
    <row r="15" spans="1:65" ht="16.5" customHeight="1" thickBot="1">
      <c r="A15" s="6">
        <f>ELEC!C12</f>
        <v>44145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611306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6699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f t="shared" si="20"/>
        <v>148827</v>
      </c>
      <c r="Y15" s="327">
        <f t="shared" si="41"/>
        <v>0</v>
      </c>
      <c r="Z15" s="5">
        <f t="shared" si="21"/>
        <v>97491</v>
      </c>
      <c r="AA15" s="83">
        <f t="shared" si="22"/>
        <v>0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f t="shared" si="6"/>
        <v>122</v>
      </c>
      <c r="AU15" s="429">
        <f t="shared" si="42"/>
        <v>1.1000000000000001</v>
      </c>
      <c r="AV15" s="202">
        <f t="shared" ref="AV15:AV36" si="46">AV14</f>
        <v>49</v>
      </c>
      <c r="AW15" s="5">
        <v>2.9</v>
      </c>
      <c r="AX15" s="202">
        <f t="shared" ref="AX15:AX36" si="47">AX14</f>
        <v>54</v>
      </c>
      <c r="AY15" s="432">
        <f t="shared" si="7"/>
        <v>109.8</v>
      </c>
      <c r="AZ15" s="432">
        <f t="shared" si="33"/>
        <v>53.900000000000006</v>
      </c>
      <c r="BA15" s="432">
        <f t="shared" si="34"/>
        <v>156.6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44146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5">
        <f t="shared" si="13"/>
        <v>611306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6699</v>
      </c>
      <c r="L16" s="276">
        <f t="shared" si="40"/>
        <v>0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148827</v>
      </c>
      <c r="Y16" s="327">
        <f t="shared" si="41"/>
        <v>0</v>
      </c>
      <c r="Z16" s="5">
        <f t="shared" si="21"/>
        <v>97491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f t="shared" si="6"/>
        <v>122</v>
      </c>
      <c r="AU16" s="429">
        <f t="shared" si="42"/>
        <v>1.1000000000000001</v>
      </c>
      <c r="AV16" s="202">
        <f t="shared" si="46"/>
        <v>49</v>
      </c>
      <c r="AW16" s="5">
        <v>2.9</v>
      </c>
      <c r="AX16" s="202">
        <f t="shared" si="47"/>
        <v>54</v>
      </c>
      <c r="AY16" s="432">
        <f t="shared" si="7"/>
        <v>109.8</v>
      </c>
      <c r="AZ16" s="432">
        <f t="shared" si="33"/>
        <v>53.900000000000006</v>
      </c>
      <c r="BA16" s="432">
        <f t="shared" si="34"/>
        <v>156.6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44147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611306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6699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f t="shared" si="20"/>
        <v>148827</v>
      </c>
      <c r="Y17" s="327">
        <f t="shared" si="41"/>
        <v>0</v>
      </c>
      <c r="Z17" s="5">
        <f t="shared" si="21"/>
        <v>97491</v>
      </c>
      <c r="AA17" s="83">
        <f t="shared" si="22"/>
        <v>0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 t="shared" si="39"/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f t="shared" si="6"/>
        <v>122</v>
      </c>
      <c r="AU17" s="429">
        <f t="shared" si="42"/>
        <v>1.1000000000000001</v>
      </c>
      <c r="AV17" s="202">
        <f t="shared" si="46"/>
        <v>49</v>
      </c>
      <c r="AW17" s="5">
        <v>2.9</v>
      </c>
      <c r="AX17" s="202">
        <f t="shared" si="47"/>
        <v>54</v>
      </c>
      <c r="AY17" s="432">
        <f t="shared" si="7"/>
        <v>109.8</v>
      </c>
      <c r="AZ17" s="432">
        <f t="shared" si="33"/>
        <v>53.900000000000006</v>
      </c>
      <c r="BA17" s="432">
        <f t="shared" si="34"/>
        <v>156.6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44148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f t="shared" si="13"/>
        <v>611306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6699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f t="shared" si="20"/>
        <v>148827</v>
      </c>
      <c r="Y18" s="327">
        <f t="shared" si="41"/>
        <v>0</v>
      </c>
      <c r="Z18" s="5">
        <f t="shared" si="21"/>
        <v>97491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f t="shared" si="6"/>
        <v>122</v>
      </c>
      <c r="AU18" s="429">
        <f t="shared" si="42"/>
        <v>1.1000000000000001</v>
      </c>
      <c r="AV18" s="202">
        <f t="shared" si="46"/>
        <v>49</v>
      </c>
      <c r="AW18" s="5">
        <v>2.9</v>
      </c>
      <c r="AX18" s="202">
        <f t="shared" si="47"/>
        <v>54</v>
      </c>
      <c r="AY18" s="432">
        <f t="shared" si="7"/>
        <v>109.8</v>
      </c>
      <c r="AZ18" s="432">
        <f t="shared" si="33"/>
        <v>53.900000000000006</v>
      </c>
      <c r="BA18" s="432">
        <f t="shared" si="34"/>
        <v>156.6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44149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611306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6699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f t="shared" si="20"/>
        <v>148827</v>
      </c>
      <c r="Y19" s="327">
        <f t="shared" si="41"/>
        <v>0</v>
      </c>
      <c r="Z19" s="5">
        <f t="shared" si="21"/>
        <v>97491</v>
      </c>
      <c r="AA19" s="83">
        <f t="shared" si="22"/>
        <v>0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f t="shared" si="6"/>
        <v>122</v>
      </c>
      <c r="AU19" s="429">
        <f t="shared" si="42"/>
        <v>1.1000000000000001</v>
      </c>
      <c r="AV19" s="202">
        <f t="shared" si="46"/>
        <v>49</v>
      </c>
      <c r="AW19" s="5">
        <v>2.9</v>
      </c>
      <c r="AX19" s="202">
        <f t="shared" si="47"/>
        <v>54</v>
      </c>
      <c r="AY19" s="432">
        <f t="shared" si="7"/>
        <v>109.8</v>
      </c>
      <c r="AZ19" s="432">
        <f t="shared" si="33"/>
        <v>53.900000000000006</v>
      </c>
      <c r="BA19" s="432">
        <f t="shared" si="34"/>
        <v>156.6</v>
      </c>
      <c r="BB19" s="21">
        <f t="shared" si="35"/>
        <v>0</v>
      </c>
      <c r="BC19" s="21">
        <f t="shared" si="36"/>
        <v>0</v>
      </c>
      <c r="BD19" s="21">
        <f t="shared" si="36"/>
        <v>0</v>
      </c>
      <c r="BE19" s="24">
        <f t="shared" si="37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44150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f t="shared" si="13"/>
        <v>611306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6699</v>
      </c>
      <c r="L20" s="83">
        <f t="shared" si="40"/>
        <v>0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148827</v>
      </c>
      <c r="Y20" s="327">
        <f t="shared" si="41"/>
        <v>0</v>
      </c>
      <c r="Z20" s="5">
        <f t="shared" si="21"/>
        <v>97491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f t="shared" si="6"/>
        <v>122</v>
      </c>
      <c r="AU20" s="429">
        <f t="shared" si="42"/>
        <v>1.1000000000000001</v>
      </c>
      <c r="AV20" s="202">
        <f t="shared" si="46"/>
        <v>49</v>
      </c>
      <c r="AW20" s="5">
        <v>2.9</v>
      </c>
      <c r="AX20" s="202">
        <f t="shared" si="47"/>
        <v>54</v>
      </c>
      <c r="AY20" s="432">
        <f t="shared" si="7"/>
        <v>109.8</v>
      </c>
      <c r="AZ20" s="432">
        <f t="shared" si="33"/>
        <v>53.900000000000006</v>
      </c>
      <c r="BA20" s="432">
        <f t="shared" si="34"/>
        <v>156.6</v>
      </c>
      <c r="BB20" s="21">
        <f t="shared" si="35"/>
        <v>0</v>
      </c>
      <c r="BC20" s="21">
        <f t="shared" si="36"/>
        <v>0</v>
      </c>
      <c r="BD20" s="21">
        <f t="shared" si="36"/>
        <v>0</v>
      </c>
      <c r="BE20" s="24">
        <f t="shared" si="37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44151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f t="shared" si="13"/>
        <v>611306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6699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f t="shared" si="20"/>
        <v>148827</v>
      </c>
      <c r="Y21" s="327">
        <f>SUM(X21-X20)</f>
        <v>0</v>
      </c>
      <c r="Z21" s="5">
        <f t="shared" si="21"/>
        <v>97491</v>
      </c>
      <c r="AA21" s="83">
        <f t="shared" si="22"/>
        <v>0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f t="shared" si="6"/>
        <v>122</v>
      </c>
      <c r="AU21" s="429">
        <f t="shared" si="42"/>
        <v>1.1000000000000001</v>
      </c>
      <c r="AV21" s="202">
        <f t="shared" si="46"/>
        <v>49</v>
      </c>
      <c r="AW21" s="5">
        <v>2.9</v>
      </c>
      <c r="AX21" s="202">
        <f t="shared" si="47"/>
        <v>54</v>
      </c>
      <c r="AY21" s="432">
        <f t="shared" si="7"/>
        <v>109.8</v>
      </c>
      <c r="AZ21" s="432">
        <f t="shared" si="33"/>
        <v>53.900000000000006</v>
      </c>
      <c r="BA21" s="432">
        <f t="shared" si="34"/>
        <v>156.6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44152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f t="shared" si="13"/>
        <v>611306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6699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f t="shared" si="20"/>
        <v>148827</v>
      </c>
      <c r="Y22" s="327">
        <f t="shared" si="41"/>
        <v>0</v>
      </c>
      <c r="Z22" s="5">
        <f t="shared" si="21"/>
        <v>97491</v>
      </c>
      <c r="AA22" s="83">
        <f t="shared" si="22"/>
        <v>0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8">AS21</f>
        <v>0.9</v>
      </c>
      <c r="AT22" s="202">
        <f t="shared" si="48"/>
        <v>122</v>
      </c>
      <c r="AU22" s="429">
        <f t="shared" si="42"/>
        <v>1.1000000000000001</v>
      </c>
      <c r="AV22" s="202">
        <f t="shared" si="46"/>
        <v>49</v>
      </c>
      <c r="AW22" s="5">
        <v>2.9</v>
      </c>
      <c r="AX22" s="202">
        <f t="shared" si="47"/>
        <v>54</v>
      </c>
      <c r="AY22" s="432">
        <f t="shared" si="7"/>
        <v>109.8</v>
      </c>
      <c r="AZ22" s="432">
        <f t="shared" si="33"/>
        <v>53.900000000000006</v>
      </c>
      <c r="BA22" s="432">
        <f t="shared" si="34"/>
        <v>156.6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44153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f t="shared" si="13"/>
        <v>611306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6699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f t="shared" si="20"/>
        <v>148827</v>
      </c>
      <c r="Y23" s="327">
        <f t="shared" si="41"/>
        <v>0</v>
      </c>
      <c r="Z23" s="5">
        <f t="shared" si="21"/>
        <v>97491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8"/>
        <v>0.9</v>
      </c>
      <c r="AT23" s="202">
        <f t="shared" si="48"/>
        <v>122</v>
      </c>
      <c r="AU23" s="429">
        <f t="shared" si="42"/>
        <v>1.1000000000000001</v>
      </c>
      <c r="AV23" s="202">
        <f t="shared" si="46"/>
        <v>49</v>
      </c>
      <c r="AW23" s="5">
        <v>2.9</v>
      </c>
      <c r="AX23" s="202">
        <f t="shared" si="47"/>
        <v>54</v>
      </c>
      <c r="AY23" s="432">
        <f t="shared" si="7"/>
        <v>109.8</v>
      </c>
      <c r="AZ23" s="432">
        <f t="shared" si="33"/>
        <v>53.900000000000006</v>
      </c>
      <c r="BA23" s="432">
        <f t="shared" si="34"/>
        <v>156.6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44154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f t="shared" si="13"/>
        <v>611306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6699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f t="shared" si="17"/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f t="shared" si="20"/>
        <v>148827</v>
      </c>
      <c r="Y24" s="327">
        <f t="shared" si="41"/>
        <v>0</v>
      </c>
      <c r="Z24" s="5">
        <f t="shared" si="21"/>
        <v>97491</v>
      </c>
      <c r="AA24" s="83">
        <f t="shared" si="22"/>
        <v>0</v>
      </c>
      <c r="AB24" s="5">
        <f t="shared" si="23"/>
        <v>260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8"/>
        <v>0.9</v>
      </c>
      <c r="AT24" s="202">
        <f t="shared" si="48"/>
        <v>122</v>
      </c>
      <c r="AU24" s="429">
        <f t="shared" si="42"/>
        <v>1.1000000000000001</v>
      </c>
      <c r="AV24" s="202">
        <f t="shared" si="46"/>
        <v>49</v>
      </c>
      <c r="AW24" s="5">
        <v>2.9</v>
      </c>
      <c r="AX24" s="202">
        <f t="shared" si="47"/>
        <v>54</v>
      </c>
      <c r="AY24" s="432">
        <f t="shared" si="7"/>
        <v>109.8</v>
      </c>
      <c r="AZ24" s="432">
        <f t="shared" si="33"/>
        <v>53.900000000000006</v>
      </c>
      <c r="BA24" s="432">
        <f t="shared" si="34"/>
        <v>156.6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44155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f t="shared" si="13"/>
        <v>611306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6699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5159</v>
      </c>
      <c r="U25" s="5">
        <f t="shared" si="4"/>
        <v>0</v>
      </c>
      <c r="V25" s="5">
        <f t="shared" si="18"/>
        <v>452</v>
      </c>
      <c r="W25" s="327">
        <f t="shared" si="19"/>
        <v>0</v>
      </c>
      <c r="X25" s="5">
        <f t="shared" si="20"/>
        <v>148827</v>
      </c>
      <c r="Y25" s="327">
        <f t="shared" si="41"/>
        <v>0</v>
      </c>
      <c r="Z25" s="5">
        <f t="shared" si="21"/>
        <v>97491</v>
      </c>
      <c r="AA25" s="83">
        <f t="shared" si="22"/>
        <v>0</v>
      </c>
      <c r="AB25" s="5">
        <f t="shared" si="23"/>
        <v>260</v>
      </c>
      <c r="AC25" s="5">
        <f t="shared" si="24"/>
        <v>698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2181.2800000000002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8"/>
        <v>0.9</v>
      </c>
      <c r="AT25" s="202">
        <f t="shared" si="48"/>
        <v>122</v>
      </c>
      <c r="AU25" s="429">
        <f t="shared" si="42"/>
        <v>1.1000000000000001</v>
      </c>
      <c r="AV25" s="202">
        <f t="shared" si="46"/>
        <v>49</v>
      </c>
      <c r="AW25" s="5">
        <v>2.9</v>
      </c>
      <c r="AX25" s="202">
        <f t="shared" si="47"/>
        <v>54</v>
      </c>
      <c r="AY25" s="432">
        <f t="shared" si="7"/>
        <v>109.8</v>
      </c>
      <c r="AZ25" s="432">
        <f t="shared" si="33"/>
        <v>53.900000000000006</v>
      </c>
      <c r="BA25" s="432">
        <f t="shared" si="34"/>
        <v>156.6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44156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f t="shared" si="13"/>
        <v>611306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6699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5159</v>
      </c>
      <c r="U26" s="5">
        <f t="shared" si="4"/>
        <v>0</v>
      </c>
      <c r="V26" s="5">
        <f t="shared" si="18"/>
        <v>452</v>
      </c>
      <c r="W26" s="327">
        <f t="shared" si="19"/>
        <v>0</v>
      </c>
      <c r="X26" s="5">
        <f t="shared" si="20"/>
        <v>148827</v>
      </c>
      <c r="Y26" s="327">
        <f t="shared" si="41"/>
        <v>0</v>
      </c>
      <c r="Z26" s="5">
        <f t="shared" si="21"/>
        <v>97491</v>
      </c>
      <c r="AA26" s="83">
        <f t="shared" si="22"/>
        <v>0</v>
      </c>
      <c r="AB26" s="5">
        <f t="shared" si="23"/>
        <v>260</v>
      </c>
      <c r="AC26" s="5">
        <f t="shared" si="24"/>
        <v>698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2181.2800000000002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8"/>
        <v>0.9</v>
      </c>
      <c r="AT26" s="202">
        <f t="shared" si="48"/>
        <v>122</v>
      </c>
      <c r="AU26" s="429">
        <f t="shared" si="42"/>
        <v>1.1000000000000001</v>
      </c>
      <c r="AV26" s="202">
        <f t="shared" si="46"/>
        <v>49</v>
      </c>
      <c r="AW26" s="5">
        <v>2.9</v>
      </c>
      <c r="AX26" s="202">
        <f t="shared" si="47"/>
        <v>54</v>
      </c>
      <c r="AY26" s="432">
        <f t="shared" si="7"/>
        <v>109.8</v>
      </c>
      <c r="AZ26" s="432">
        <f t="shared" si="33"/>
        <v>53.900000000000006</v>
      </c>
      <c r="BA26" s="432">
        <f t="shared" si="34"/>
        <v>156.6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44157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f t="shared" si="13"/>
        <v>611306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6699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5159</v>
      </c>
      <c r="U27" s="5">
        <f t="shared" si="4"/>
        <v>0</v>
      </c>
      <c r="V27" s="5">
        <f t="shared" si="18"/>
        <v>452</v>
      </c>
      <c r="W27" s="327">
        <f t="shared" si="19"/>
        <v>0</v>
      </c>
      <c r="X27" s="5">
        <f t="shared" si="20"/>
        <v>148827</v>
      </c>
      <c r="Y27" s="327">
        <f>SUM(X27-X26)</f>
        <v>0</v>
      </c>
      <c r="Z27" s="5">
        <f t="shared" si="21"/>
        <v>97491</v>
      </c>
      <c r="AA27" s="83">
        <f t="shared" si="22"/>
        <v>0</v>
      </c>
      <c r="AB27" s="5">
        <f t="shared" si="23"/>
        <v>260</v>
      </c>
      <c r="AC27" s="5">
        <f t="shared" si="24"/>
        <v>698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2181.2800000000002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8"/>
        <v>0.9</v>
      </c>
      <c r="AT27" s="202">
        <f t="shared" si="48"/>
        <v>122</v>
      </c>
      <c r="AU27" s="429">
        <f t="shared" si="42"/>
        <v>1.1000000000000001</v>
      </c>
      <c r="AV27" s="202">
        <f t="shared" si="46"/>
        <v>49</v>
      </c>
      <c r="AW27" s="5">
        <v>2.9</v>
      </c>
      <c r="AX27" s="202">
        <f t="shared" si="47"/>
        <v>54</v>
      </c>
      <c r="AY27" s="432">
        <f t="shared" si="7"/>
        <v>109.8</v>
      </c>
      <c r="AZ27" s="432">
        <f t="shared" si="33"/>
        <v>53.900000000000006</v>
      </c>
      <c r="BA27" s="432">
        <f t="shared" si="34"/>
        <v>156.6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44158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f t="shared" si="13"/>
        <v>611306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6699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5159</v>
      </c>
      <c r="U28" s="5">
        <f t="shared" si="4"/>
        <v>0</v>
      </c>
      <c r="V28" s="5">
        <f t="shared" si="18"/>
        <v>452</v>
      </c>
      <c r="W28" s="327">
        <f t="shared" si="19"/>
        <v>0</v>
      </c>
      <c r="X28" s="5">
        <f t="shared" si="20"/>
        <v>148827</v>
      </c>
      <c r="Y28" s="327">
        <f t="shared" si="41"/>
        <v>0</v>
      </c>
      <c r="Z28" s="5">
        <f t="shared" si="21"/>
        <v>97491</v>
      </c>
      <c r="AA28" s="83">
        <f t="shared" si="22"/>
        <v>0</v>
      </c>
      <c r="AB28" s="5">
        <f t="shared" si="23"/>
        <v>260</v>
      </c>
      <c r="AC28" s="5">
        <f t="shared" si="24"/>
        <v>698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2181.2800000000002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8"/>
        <v>0.9</v>
      </c>
      <c r="AT28" s="202">
        <f t="shared" si="48"/>
        <v>122</v>
      </c>
      <c r="AU28" s="429">
        <f t="shared" si="42"/>
        <v>1.1000000000000001</v>
      </c>
      <c r="AV28" s="202">
        <f t="shared" si="46"/>
        <v>49</v>
      </c>
      <c r="AW28" s="5">
        <v>2.9</v>
      </c>
      <c r="AX28" s="202">
        <f t="shared" si="47"/>
        <v>54</v>
      </c>
      <c r="AY28" s="432">
        <f t="shared" si="7"/>
        <v>109.8</v>
      </c>
      <c r="AZ28" s="432">
        <f t="shared" si="33"/>
        <v>53.900000000000006</v>
      </c>
      <c r="BA28" s="432">
        <f t="shared" si="34"/>
        <v>156.6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44159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f t="shared" si="13"/>
        <v>611306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6699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5159</v>
      </c>
      <c r="U29" s="5">
        <f t="shared" si="4"/>
        <v>0</v>
      </c>
      <c r="V29" s="5">
        <f t="shared" si="18"/>
        <v>452</v>
      </c>
      <c r="W29" s="327">
        <f t="shared" si="19"/>
        <v>0</v>
      </c>
      <c r="X29" s="5">
        <f t="shared" si="20"/>
        <v>148827</v>
      </c>
      <c r="Y29" s="327">
        <f t="shared" si="41"/>
        <v>0</v>
      </c>
      <c r="Z29" s="5">
        <f t="shared" si="21"/>
        <v>97491</v>
      </c>
      <c r="AA29" s="83">
        <f t="shared" si="22"/>
        <v>0</v>
      </c>
      <c r="AB29" s="5">
        <f t="shared" si="23"/>
        <v>260</v>
      </c>
      <c r="AC29" s="5">
        <f t="shared" si="24"/>
        <v>698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2181.2800000000002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8"/>
        <v>0.9</v>
      </c>
      <c r="AT29" s="202">
        <f t="shared" si="48"/>
        <v>122</v>
      </c>
      <c r="AU29" s="429">
        <f t="shared" si="42"/>
        <v>1.1000000000000001</v>
      </c>
      <c r="AV29" s="202">
        <f t="shared" si="46"/>
        <v>49</v>
      </c>
      <c r="AW29" s="5">
        <v>2.9</v>
      </c>
      <c r="AX29" s="202">
        <f t="shared" si="47"/>
        <v>54</v>
      </c>
      <c r="AY29" s="432">
        <f t="shared" si="7"/>
        <v>109.8</v>
      </c>
      <c r="AZ29" s="432">
        <f t="shared" si="33"/>
        <v>53.900000000000006</v>
      </c>
      <c r="BA29" s="432">
        <f t="shared" si="34"/>
        <v>156.6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44160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f t="shared" si="13"/>
        <v>611306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6699</v>
      </c>
      <c r="L30" s="276">
        <f t="shared" si="40"/>
        <v>0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5159</v>
      </c>
      <c r="U30" s="5">
        <f t="shared" si="4"/>
        <v>0</v>
      </c>
      <c r="V30" s="5">
        <f t="shared" si="18"/>
        <v>452</v>
      </c>
      <c r="W30" s="327">
        <f t="shared" si="19"/>
        <v>0</v>
      </c>
      <c r="X30" s="5">
        <f t="shared" si="20"/>
        <v>148827</v>
      </c>
      <c r="Y30" s="327">
        <f t="shared" si="41"/>
        <v>0</v>
      </c>
      <c r="Z30" s="5">
        <f t="shared" si="21"/>
        <v>97491</v>
      </c>
      <c r="AA30" s="83">
        <f t="shared" si="22"/>
        <v>0</v>
      </c>
      <c r="AB30" s="5">
        <f t="shared" si="23"/>
        <v>260</v>
      </c>
      <c r="AC30" s="5">
        <f t="shared" si="24"/>
        <v>698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2181.2800000000002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8"/>
        <v>0.9</v>
      </c>
      <c r="AT30" s="202">
        <f t="shared" si="48"/>
        <v>122</v>
      </c>
      <c r="AU30" s="429">
        <f t="shared" si="42"/>
        <v>1.1000000000000001</v>
      </c>
      <c r="AV30" s="202">
        <f t="shared" si="46"/>
        <v>49</v>
      </c>
      <c r="AW30" s="5">
        <v>2.9</v>
      </c>
      <c r="AX30" s="202">
        <f t="shared" si="47"/>
        <v>54</v>
      </c>
      <c r="AY30" s="432">
        <f t="shared" si="7"/>
        <v>109.8</v>
      </c>
      <c r="AZ30" s="432">
        <f t="shared" si="33"/>
        <v>53.900000000000006</v>
      </c>
      <c r="BA30" s="432">
        <f t="shared" si="34"/>
        <v>156.6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44161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611306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6699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5159</v>
      </c>
      <c r="U31" s="5">
        <f t="shared" si="4"/>
        <v>0</v>
      </c>
      <c r="V31" s="5">
        <f t="shared" si="18"/>
        <v>452</v>
      </c>
      <c r="W31" s="327">
        <f t="shared" si="19"/>
        <v>0</v>
      </c>
      <c r="X31" s="5">
        <f t="shared" si="20"/>
        <v>148827</v>
      </c>
      <c r="Y31" s="327">
        <f t="shared" si="41"/>
        <v>0</v>
      </c>
      <c r="Z31" s="5">
        <f t="shared" si="21"/>
        <v>97491</v>
      </c>
      <c r="AA31" s="83">
        <f t="shared" si="22"/>
        <v>0</v>
      </c>
      <c r="AB31" s="5">
        <f t="shared" si="23"/>
        <v>260</v>
      </c>
      <c r="AC31" s="5">
        <f t="shared" si="24"/>
        <v>698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2181.2800000000002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8"/>
        <v>0.9</v>
      </c>
      <c r="AT31" s="202">
        <f t="shared" si="48"/>
        <v>122</v>
      </c>
      <c r="AU31" s="429">
        <f t="shared" si="42"/>
        <v>1.1000000000000001</v>
      </c>
      <c r="AV31" s="202">
        <f t="shared" si="46"/>
        <v>49</v>
      </c>
      <c r="AW31" s="5">
        <v>2.9</v>
      </c>
      <c r="AX31" s="202">
        <f t="shared" si="47"/>
        <v>54</v>
      </c>
      <c r="AY31" s="432">
        <f t="shared" si="7"/>
        <v>109.8</v>
      </c>
      <c r="AZ31" s="432">
        <f t="shared" si="33"/>
        <v>53.900000000000006</v>
      </c>
      <c r="BA31" s="432">
        <f t="shared" si="34"/>
        <v>156.6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44162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611306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6699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5159</v>
      </c>
      <c r="U32" s="5">
        <f t="shared" si="4"/>
        <v>0</v>
      </c>
      <c r="V32" s="5">
        <f t="shared" si="18"/>
        <v>452</v>
      </c>
      <c r="W32" s="327">
        <f t="shared" si="19"/>
        <v>0</v>
      </c>
      <c r="X32" s="5">
        <f t="shared" si="20"/>
        <v>148827</v>
      </c>
      <c r="Y32" s="327">
        <f t="shared" si="41"/>
        <v>0</v>
      </c>
      <c r="Z32" s="5">
        <f t="shared" si="21"/>
        <v>97491</v>
      </c>
      <c r="AA32" s="83">
        <f t="shared" si="22"/>
        <v>0</v>
      </c>
      <c r="AB32" s="5">
        <f t="shared" si="23"/>
        <v>260</v>
      </c>
      <c r="AC32" s="5">
        <f t="shared" si="24"/>
        <v>698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2181.2800000000002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8"/>
        <v>0.9</v>
      </c>
      <c r="AT32" s="202">
        <f t="shared" si="48"/>
        <v>122</v>
      </c>
      <c r="AU32" s="429">
        <f t="shared" si="42"/>
        <v>1.1000000000000001</v>
      </c>
      <c r="AV32" s="202">
        <f t="shared" si="46"/>
        <v>49</v>
      </c>
      <c r="AW32" s="5">
        <v>2.9</v>
      </c>
      <c r="AX32" s="202">
        <f t="shared" si="47"/>
        <v>54</v>
      </c>
      <c r="AY32" s="432">
        <f t="shared" si="7"/>
        <v>109.8</v>
      </c>
      <c r="AZ32" s="432">
        <f t="shared" si="33"/>
        <v>53.900000000000006</v>
      </c>
      <c r="BA32" s="432">
        <f t="shared" si="34"/>
        <v>156.6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611306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6699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5159</v>
      </c>
      <c r="U33" s="5">
        <f t="shared" si="4"/>
        <v>0</v>
      </c>
      <c r="V33" s="5">
        <f t="shared" si="18"/>
        <v>452</v>
      </c>
      <c r="W33" s="327">
        <f t="shared" si="19"/>
        <v>0</v>
      </c>
      <c r="X33" s="5">
        <f t="shared" si="20"/>
        <v>148827</v>
      </c>
      <c r="Y33" s="327">
        <f t="shared" si="41"/>
        <v>0</v>
      </c>
      <c r="Z33" s="5">
        <f t="shared" si="21"/>
        <v>97491</v>
      </c>
      <c r="AA33" s="83">
        <f t="shared" si="22"/>
        <v>0</v>
      </c>
      <c r="AB33" s="5">
        <f t="shared" si="23"/>
        <v>260</v>
      </c>
      <c r="AC33" s="5">
        <f t="shared" si="24"/>
        <v>698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2181.2800000000002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8"/>
        <v>0.9</v>
      </c>
      <c r="AT33" s="202">
        <f t="shared" si="48"/>
        <v>122</v>
      </c>
      <c r="AU33" s="429">
        <f t="shared" si="42"/>
        <v>1.1000000000000001</v>
      </c>
      <c r="AV33" s="202">
        <f t="shared" si="46"/>
        <v>49</v>
      </c>
      <c r="AW33" s="5">
        <v>2.9</v>
      </c>
      <c r="AX33" s="202">
        <f t="shared" si="47"/>
        <v>54</v>
      </c>
      <c r="AY33" s="432">
        <f t="shared" si="7"/>
        <v>109.8</v>
      </c>
      <c r="AZ33" s="432">
        <f t="shared" si="33"/>
        <v>53.900000000000006</v>
      </c>
      <c r="BA33" s="432">
        <f t="shared" si="34"/>
        <v>156.6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611306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6699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5159</v>
      </c>
      <c r="U34" s="5">
        <f t="shared" si="4"/>
        <v>0</v>
      </c>
      <c r="V34" s="5">
        <f t="shared" si="18"/>
        <v>452</v>
      </c>
      <c r="W34" s="327">
        <f t="shared" si="19"/>
        <v>0</v>
      </c>
      <c r="X34" s="5">
        <f t="shared" si="20"/>
        <v>148827</v>
      </c>
      <c r="Y34" s="327">
        <f t="shared" si="41"/>
        <v>0</v>
      </c>
      <c r="Z34" s="5">
        <f t="shared" si="21"/>
        <v>97491</v>
      </c>
      <c r="AA34" s="83">
        <f t="shared" si="22"/>
        <v>0</v>
      </c>
      <c r="AB34" s="5">
        <f t="shared" si="23"/>
        <v>260</v>
      </c>
      <c r="AC34" s="5">
        <f t="shared" si="24"/>
        <v>698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2181.2800000000002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8"/>
        <v>0.9</v>
      </c>
      <c r="AT34" s="202">
        <f t="shared" si="48"/>
        <v>122</v>
      </c>
      <c r="AU34" s="430">
        <f t="shared" si="42"/>
        <v>1.1000000000000001</v>
      </c>
      <c r="AV34" s="202">
        <f t="shared" si="46"/>
        <v>49</v>
      </c>
      <c r="AW34" s="5">
        <v>2.9</v>
      </c>
      <c r="AX34" s="202">
        <f t="shared" si="47"/>
        <v>54</v>
      </c>
      <c r="AY34" s="432">
        <f t="shared" si="7"/>
        <v>109.8</v>
      </c>
      <c r="AZ34" s="432">
        <f t="shared" si="33"/>
        <v>53.900000000000006</v>
      </c>
      <c r="BA34" s="432">
        <f t="shared" si="34"/>
        <v>156.6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611306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6699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5159</v>
      </c>
      <c r="U35" s="5">
        <f t="shared" si="4"/>
        <v>0</v>
      </c>
      <c r="V35" s="5">
        <f t="shared" si="18"/>
        <v>452</v>
      </c>
      <c r="W35" s="327">
        <f t="shared" si="19"/>
        <v>0</v>
      </c>
      <c r="X35" s="5">
        <f t="shared" si="20"/>
        <v>148827</v>
      </c>
      <c r="Y35" s="327">
        <f t="shared" si="41"/>
        <v>0</v>
      </c>
      <c r="Z35" s="5">
        <f t="shared" si="21"/>
        <v>97491</v>
      </c>
      <c r="AA35" s="83">
        <f t="shared" si="22"/>
        <v>0</v>
      </c>
      <c r="AB35" s="5">
        <f t="shared" si="23"/>
        <v>260</v>
      </c>
      <c r="AC35" s="5">
        <f t="shared" si="24"/>
        <v>698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2181.2800000000002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8"/>
        <v>0.9</v>
      </c>
      <c r="AT35" s="202">
        <f t="shared" si="48"/>
        <v>122</v>
      </c>
      <c r="AU35" s="431">
        <f t="shared" si="42"/>
        <v>1.1000000000000001</v>
      </c>
      <c r="AV35" s="202">
        <f t="shared" si="46"/>
        <v>49</v>
      </c>
      <c r="AW35" s="5">
        <v>2.9</v>
      </c>
      <c r="AX35" s="202">
        <f t="shared" si="47"/>
        <v>54</v>
      </c>
      <c r="AY35" s="432">
        <f t="shared" si="7"/>
        <v>109.8</v>
      </c>
      <c r="AZ35" s="432">
        <f t="shared" si="33"/>
        <v>53.900000000000006</v>
      </c>
      <c r="BA35" s="432">
        <f t="shared" si="34"/>
        <v>156.6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109443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611306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6699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5159</v>
      </c>
      <c r="U36" s="5">
        <f t="shared" ref="U36" si="58">SUM(T36-T35)</f>
        <v>0</v>
      </c>
      <c r="V36" s="5">
        <f t="shared" si="18"/>
        <v>452</v>
      </c>
      <c r="W36" s="327">
        <f t="shared" ref="W36" si="59">+V36-V35</f>
        <v>0</v>
      </c>
      <c r="X36" s="5">
        <f t="shared" si="20"/>
        <v>148827</v>
      </c>
      <c r="Y36" s="327">
        <f t="shared" ref="Y36" si="60">SUM(X36-X35)</f>
        <v>0</v>
      </c>
      <c r="Z36" s="5">
        <f t="shared" si="21"/>
        <v>97491</v>
      </c>
      <c r="AA36" s="83">
        <f t="shared" ref="AA36" si="61">Z36-Z35</f>
        <v>0</v>
      </c>
      <c r="AB36" s="5">
        <f t="shared" si="23"/>
        <v>260</v>
      </c>
      <c r="AC36" s="5">
        <f t="shared" si="24"/>
        <v>698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2181.2800000000002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8"/>
        <v>0.9</v>
      </c>
      <c r="AT36" s="202">
        <f t="shared" si="48"/>
        <v>122</v>
      </c>
      <c r="AU36" s="431">
        <f t="shared" si="42"/>
        <v>1.1000000000000001</v>
      </c>
      <c r="AV36" s="202">
        <f t="shared" si="46"/>
        <v>49</v>
      </c>
      <c r="AW36" s="5">
        <v>2.9</v>
      </c>
      <c r="AX36" s="202">
        <f t="shared" si="47"/>
        <v>54</v>
      </c>
      <c r="AY36" s="432">
        <f t="shared" ref="AY36" si="69">AS36*AT36</f>
        <v>109.8</v>
      </c>
      <c r="AZ36" s="432">
        <f t="shared" ref="AZ36" si="70">AU36*AV36</f>
        <v>53.900000000000006</v>
      </c>
      <c r="BA36" s="432">
        <f t="shared" ref="BA36" si="71">AW36*AX36</f>
        <v>156.6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126</v>
      </c>
      <c r="D37" s="325">
        <f>SUM(D6:D35)</f>
        <v>4.666666666666667</v>
      </c>
      <c r="F37" s="418">
        <f>SUM(F6:F35)</f>
        <v>0</v>
      </c>
      <c r="H37" s="416">
        <f>SUM(H6:H35)</f>
        <v>835</v>
      </c>
      <c r="I37" s="416">
        <f>SUM(I6:I35)</f>
        <v>961</v>
      </c>
      <c r="L37" s="270">
        <f>SUM(L7:L35)</f>
        <v>18</v>
      </c>
      <c r="Q37" s="502">
        <f>SUM(Q5:Q35)</f>
        <v>0</v>
      </c>
      <c r="U37" s="413">
        <f>SUM(U6:U35)</f>
        <v>0</v>
      </c>
      <c r="X37" s="326"/>
      <c r="Y37" s="325" t="e">
        <f>SUM(Y35,Y33,Y31,Y29,Y27,Y25,Y23,Y21,Y19,Y17,Y15,Y13,Y11,Y9,Y7+#REF!)</f>
        <v>#REF!</v>
      </c>
      <c r="AJ37" s="325">
        <f>SUM(AJ6:AJ35)</f>
        <v>84</v>
      </c>
      <c r="AK37" s="330" t="e">
        <f t="shared" si="5"/>
        <v>#REF!</v>
      </c>
      <c r="AL37" s="325">
        <f>SUM(AL6:AL35)</f>
        <v>84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7709.16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961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961</v>
      </c>
      <c r="H39" s="1">
        <f>SUM(H38+C38)</f>
        <v>7709.16</v>
      </c>
      <c r="K39" s="1">
        <f>SUM(H39/G39)</f>
        <v>8.0220187304890729</v>
      </c>
      <c r="AJ39" s="325">
        <f>SUM(C38-AK38)</f>
        <v>209.16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14" sqref="G14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3" t="s">
        <v>193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5"/>
    </row>
    <row r="2" spans="1:15" ht="15.75" customHeight="1" thickBot="1">
      <c r="A2" s="646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8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3">
        <f>'[2]General information '!E36</f>
        <v>0.76</v>
      </c>
      <c r="F5" s="583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>
        <v>26</v>
      </c>
      <c r="C8" s="37">
        <v>22</v>
      </c>
      <c r="D8" s="26">
        <f t="shared" si="0"/>
        <v>24</v>
      </c>
      <c r="E8" s="343">
        <v>0.61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>
        <v>22</v>
      </c>
      <c r="C9" s="37">
        <v>19</v>
      </c>
      <c r="D9" s="26">
        <f>(C9+B9)/2</f>
        <v>20.5</v>
      </c>
      <c r="E9" s="397">
        <v>0.66</v>
      </c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>
        <v>22</v>
      </c>
      <c r="C10" s="37">
        <v>17</v>
      </c>
      <c r="D10" s="26">
        <f t="shared" si="0"/>
        <v>19.5</v>
      </c>
      <c r="E10" s="357">
        <v>0.67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>
        <v>22</v>
      </c>
      <c r="C11" s="37">
        <v>18</v>
      </c>
      <c r="D11" s="26">
        <f t="shared" si="0"/>
        <v>20</v>
      </c>
      <c r="E11" s="397">
        <v>0.6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>
        <v>23</v>
      </c>
      <c r="C12" s="37">
        <v>18</v>
      </c>
      <c r="D12" s="26">
        <f t="shared" si="0"/>
        <v>20.5</v>
      </c>
      <c r="E12" s="397">
        <v>0.62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>
        <v>27</v>
      </c>
      <c r="C13" s="37">
        <v>21</v>
      </c>
      <c r="D13" s="26">
        <f>(C13+B13)/2</f>
        <v>24</v>
      </c>
      <c r="E13" s="357">
        <v>0.45</v>
      </c>
      <c r="F13" s="397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>
        <v>27</v>
      </c>
      <c r="C14" s="37">
        <v>22</v>
      </c>
      <c r="D14" s="26">
        <f t="shared" ref="D14:D34" si="3">(C14+B14)/2</f>
        <v>24.5</v>
      </c>
      <c r="E14" s="343">
        <v>0.45</v>
      </c>
      <c r="F14" s="397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/>
      <c r="C18" s="37"/>
      <c r="D18" s="26">
        <f t="shared" si="3"/>
        <v>0</v>
      </c>
      <c r="E18" s="433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/>
      <c r="C21" s="37"/>
      <c r="D21" s="26">
        <f>(C21+B21)/2</f>
        <v>0</v>
      </c>
      <c r="E21" s="343"/>
      <c r="F21" s="397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/>
      <c r="C22" s="37"/>
      <c r="D22" s="26">
        <f t="shared" si="3"/>
        <v>0</v>
      </c>
      <c r="E22" s="343"/>
      <c r="F22" s="397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/>
      <c r="C23" s="37"/>
      <c r="D23" s="26">
        <f>(C23+B23)/2</f>
        <v>0</v>
      </c>
      <c r="E23" s="343"/>
      <c r="F23" s="397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/>
      <c r="C30" s="37"/>
      <c r="D30" s="26">
        <f t="shared" si="3"/>
        <v>0</v>
      </c>
      <c r="E30" s="343"/>
      <c r="F30" s="397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22.166666666666668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L1" activePane="topRight" state="frozen"/>
      <selection pane="topRight" activeCell="AS15" sqref="AS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1" t="s">
        <v>108</v>
      </c>
      <c r="AS3" s="651" t="s">
        <v>233</v>
      </c>
      <c r="AT3" s="649" t="s">
        <v>301</v>
      </c>
      <c r="AU3" s="650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2"/>
      <c r="AS4" s="652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-614.35483870968164</v>
      </c>
      <c r="AT6" s="358">
        <v>1</v>
      </c>
      <c r="AU6" s="442"/>
      <c r="AV6" s="525">
        <f>IF(AT6&gt;0,AU6,AV5)</f>
        <v>0</v>
      </c>
      <c r="AW6" s="293">
        <f>-SUM('B5'!AI5)</f>
        <v>-205</v>
      </c>
      <c r="AX6" s="293">
        <f>-SUM(AW6-AS6)</f>
        <v>-409.35483870968164</v>
      </c>
      <c r="AY6" s="37">
        <f>SUM(AX6+AW6)</f>
        <v>-614.35483870968164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237</v>
      </c>
      <c r="C8" s="204">
        <f t="shared" si="18"/>
        <v>5099.322580645161</v>
      </c>
      <c r="D8">
        <f t="shared" si="19"/>
        <v>237</v>
      </c>
      <c r="E8" s="204">
        <f t="shared" si="18"/>
        <v>5099.322580645161</v>
      </c>
      <c r="F8">
        <f t="shared" si="20"/>
        <v>237</v>
      </c>
      <c r="G8" s="204">
        <f t="shared" si="1"/>
        <v>5099.322580645161</v>
      </c>
      <c r="H8" s="204">
        <f t="shared" si="21"/>
        <v>237</v>
      </c>
      <c r="I8" s="204">
        <f t="shared" si="2"/>
        <v>5099.322580645161</v>
      </c>
      <c r="J8" s="204">
        <f t="shared" si="22"/>
        <v>237</v>
      </c>
      <c r="K8" s="204">
        <f t="shared" si="3"/>
        <v>5099.322580645161</v>
      </c>
      <c r="L8" s="204">
        <f t="shared" si="23"/>
        <v>237</v>
      </c>
      <c r="M8" s="204">
        <f t="shared" si="4"/>
        <v>5099.322580645161</v>
      </c>
      <c r="N8" s="204">
        <f t="shared" si="24"/>
        <v>237</v>
      </c>
      <c r="O8" s="204">
        <f t="shared" si="5"/>
        <v>5099.322580645161</v>
      </c>
      <c r="P8" s="204">
        <f t="shared" si="25"/>
        <v>237</v>
      </c>
      <c r="Q8" s="204">
        <f t="shared" si="6"/>
        <v>5099.322580645161</v>
      </c>
      <c r="R8" s="204">
        <f t="shared" si="26"/>
        <v>237</v>
      </c>
      <c r="S8" s="204">
        <f t="shared" si="7"/>
        <v>5099.322580645161</v>
      </c>
      <c r="T8" s="204">
        <f t="shared" si="27"/>
        <v>237</v>
      </c>
      <c r="U8" s="204">
        <f t="shared" si="8"/>
        <v>5099.322580645161</v>
      </c>
      <c r="V8" s="204">
        <f t="shared" si="28"/>
        <v>237</v>
      </c>
      <c r="W8" s="204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4">
        <f>'B5'!C7</f>
        <v>243</v>
      </c>
      <c r="AA8" s="204">
        <f t="shared" si="30"/>
        <v>2430</v>
      </c>
      <c r="AB8" s="204">
        <f t="shared" si="31"/>
        <v>243</v>
      </c>
      <c r="AC8" s="204">
        <f t="shared" si="30"/>
        <v>2430</v>
      </c>
      <c r="AD8" s="204">
        <f t="shared" si="32"/>
        <v>243</v>
      </c>
      <c r="AE8" s="204">
        <f t="shared" si="11"/>
        <v>2430</v>
      </c>
      <c r="AF8" s="204">
        <f t="shared" si="33"/>
        <v>243</v>
      </c>
      <c r="AG8" s="204">
        <f t="shared" si="12"/>
        <v>2430</v>
      </c>
      <c r="AH8" s="204">
        <f t="shared" si="34"/>
        <v>243</v>
      </c>
      <c r="AI8" s="204">
        <f t="shared" si="13"/>
        <v>2430</v>
      </c>
      <c r="AJ8" s="204">
        <f t="shared" si="35"/>
        <v>243</v>
      </c>
      <c r="AK8" s="204">
        <f t="shared" si="14"/>
        <v>2430</v>
      </c>
      <c r="AL8" s="204">
        <f t="shared" si="36"/>
        <v>243</v>
      </c>
      <c r="AM8" s="204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4">
        <f t="shared" si="37"/>
        <v>0.78630255337309629</v>
      </c>
      <c r="AR8" s="38">
        <f t="shared" ref="AR8:AR36" si="41">SUM(AO8+Y8)</f>
        <v>73102.548387096758</v>
      </c>
      <c r="AS8" s="198">
        <f t="shared" si="38"/>
        <v>-730.69032258065999</v>
      </c>
      <c r="AT8" s="358"/>
      <c r="AU8" s="442"/>
      <c r="AV8" s="525">
        <f t="shared" ref="AV8:AV34" si="42">IF(AT8&gt;0,AU8,AV7)</f>
        <v>0</v>
      </c>
      <c r="AW8" s="293">
        <f>-SUM('B5'!AI7)</f>
        <v>0</v>
      </c>
      <c r="AX8" s="293">
        <f t="shared" si="39"/>
        <v>-730.69032258065999</v>
      </c>
      <c r="AY8" s="37">
        <f t="shared" si="40"/>
        <v>-730.69032258065999</v>
      </c>
      <c r="AZ8" s="100">
        <f>ELEC!A5</f>
        <v>0</v>
      </c>
      <c r="BA8" s="118">
        <f>'General information '!D8</f>
        <v>24</v>
      </c>
      <c r="BB8" s="397">
        <f>SUM('General information '!E8)</f>
        <v>0.61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234</v>
      </c>
      <c r="C9" s="204">
        <f t="shared" si="18"/>
        <v>5034.7741935483873</v>
      </c>
      <c r="D9">
        <f t="shared" si="19"/>
        <v>234</v>
      </c>
      <c r="E9" s="204">
        <f t="shared" si="18"/>
        <v>5034.7741935483873</v>
      </c>
      <c r="F9">
        <f t="shared" si="20"/>
        <v>234</v>
      </c>
      <c r="G9" s="204">
        <f t="shared" si="1"/>
        <v>5034.7741935483873</v>
      </c>
      <c r="H9" s="204">
        <f t="shared" si="21"/>
        <v>234</v>
      </c>
      <c r="I9" s="204">
        <f t="shared" si="2"/>
        <v>5034.7741935483873</v>
      </c>
      <c r="J9" s="204">
        <f t="shared" si="22"/>
        <v>234</v>
      </c>
      <c r="K9" s="204">
        <f t="shared" si="3"/>
        <v>5034.7741935483873</v>
      </c>
      <c r="L9" s="204">
        <f t="shared" si="23"/>
        <v>234</v>
      </c>
      <c r="M9" s="204">
        <f t="shared" si="4"/>
        <v>5034.7741935483873</v>
      </c>
      <c r="N9" s="204">
        <f t="shared" si="24"/>
        <v>234</v>
      </c>
      <c r="O9" s="204">
        <f t="shared" si="5"/>
        <v>5034.7741935483873</v>
      </c>
      <c r="P9" s="204">
        <f t="shared" si="25"/>
        <v>234</v>
      </c>
      <c r="Q9" s="204">
        <f t="shared" si="6"/>
        <v>5034.7741935483873</v>
      </c>
      <c r="R9" s="204">
        <f t="shared" si="26"/>
        <v>234</v>
      </c>
      <c r="S9" s="204">
        <f t="shared" si="7"/>
        <v>5034.7741935483873</v>
      </c>
      <c r="T9" s="204">
        <f t="shared" si="27"/>
        <v>234</v>
      </c>
      <c r="U9" s="204">
        <f t="shared" si="8"/>
        <v>5034.7741935483873</v>
      </c>
      <c r="V9" s="204">
        <f t="shared" si="28"/>
        <v>234</v>
      </c>
      <c r="W9" s="204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4">
        <f>'B5'!C8</f>
        <v>240</v>
      </c>
      <c r="AA9" s="204">
        <f t="shared" si="30"/>
        <v>2400</v>
      </c>
      <c r="AB9" s="204">
        <f t="shared" si="31"/>
        <v>240</v>
      </c>
      <c r="AC9" s="204">
        <f t="shared" si="30"/>
        <v>2400</v>
      </c>
      <c r="AD9" s="204">
        <f t="shared" si="32"/>
        <v>240</v>
      </c>
      <c r="AE9" s="204">
        <f t="shared" si="11"/>
        <v>2400</v>
      </c>
      <c r="AF9" s="204">
        <f t="shared" si="33"/>
        <v>240</v>
      </c>
      <c r="AG9" s="204">
        <f t="shared" si="12"/>
        <v>2400</v>
      </c>
      <c r="AH9" s="204">
        <f t="shared" si="34"/>
        <v>240</v>
      </c>
      <c r="AI9" s="204">
        <f t="shared" si="13"/>
        <v>2400</v>
      </c>
      <c r="AJ9" s="204">
        <f t="shared" si="35"/>
        <v>240</v>
      </c>
      <c r="AK9" s="204">
        <f t="shared" si="14"/>
        <v>2400</v>
      </c>
      <c r="AL9" s="204">
        <f t="shared" si="36"/>
        <v>240</v>
      </c>
      <c r="AM9" s="204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4">
        <f t="shared" si="37"/>
        <v>0.77640654113189478</v>
      </c>
      <c r="AR9" s="38">
        <f t="shared" si="41"/>
        <v>72182.516129032258</v>
      </c>
      <c r="AS9" s="198">
        <f t="shared" si="38"/>
        <v>-920.03225806450064</v>
      </c>
      <c r="AT9" s="358"/>
      <c r="AU9" s="442"/>
      <c r="AV9" s="525">
        <f t="shared" si="42"/>
        <v>0</v>
      </c>
      <c r="AW9" s="293">
        <f>-SUM('B5'!AI8)</f>
        <v>0</v>
      </c>
      <c r="AX9" s="293">
        <f>-SUM(AW9-AS9)</f>
        <v>-920.03225806450064</v>
      </c>
      <c r="AY9" s="37">
        <f t="shared" si="40"/>
        <v>-920.03225806450064</v>
      </c>
      <c r="AZ9" s="100">
        <f>ELEC!A6</f>
        <v>0</v>
      </c>
      <c r="BA9" s="118">
        <f>'General information '!D9</f>
        <v>20.5</v>
      </c>
      <c r="BB9" s="397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257.38396624472574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231</v>
      </c>
      <c r="C10" s="204">
        <f t="shared" si="18"/>
        <v>4970.2258064516127</v>
      </c>
      <c r="D10">
        <f t="shared" si="19"/>
        <v>231</v>
      </c>
      <c r="E10" s="204">
        <f t="shared" si="18"/>
        <v>4970.2258064516127</v>
      </c>
      <c r="F10">
        <f t="shared" si="20"/>
        <v>231</v>
      </c>
      <c r="G10" s="204">
        <f t="shared" si="1"/>
        <v>4970.2258064516127</v>
      </c>
      <c r="H10" s="204">
        <f t="shared" si="21"/>
        <v>231</v>
      </c>
      <c r="I10" s="204">
        <f t="shared" si="2"/>
        <v>4970.2258064516127</v>
      </c>
      <c r="J10" s="204">
        <f t="shared" si="22"/>
        <v>231</v>
      </c>
      <c r="K10" s="204">
        <f t="shared" si="3"/>
        <v>4970.2258064516127</v>
      </c>
      <c r="L10" s="204">
        <f t="shared" si="23"/>
        <v>231</v>
      </c>
      <c r="M10" s="204">
        <f t="shared" si="4"/>
        <v>4970.2258064516127</v>
      </c>
      <c r="N10" s="204">
        <f t="shared" si="24"/>
        <v>231</v>
      </c>
      <c r="O10" s="204">
        <f t="shared" si="5"/>
        <v>4970.2258064516127</v>
      </c>
      <c r="P10" s="204">
        <f t="shared" si="25"/>
        <v>231</v>
      </c>
      <c r="Q10" s="204">
        <f t="shared" si="6"/>
        <v>4970.2258064516127</v>
      </c>
      <c r="R10" s="204">
        <f t="shared" si="26"/>
        <v>231</v>
      </c>
      <c r="S10" s="204">
        <f t="shared" si="7"/>
        <v>4970.2258064516127</v>
      </c>
      <c r="T10" s="204">
        <f t="shared" si="27"/>
        <v>231</v>
      </c>
      <c r="U10" s="204">
        <f t="shared" si="8"/>
        <v>4970.2258064516127</v>
      </c>
      <c r="V10" s="204">
        <f t="shared" si="28"/>
        <v>231</v>
      </c>
      <c r="W10" s="204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4">
        <f>'B5'!C9</f>
        <v>238</v>
      </c>
      <c r="AA10" s="204">
        <f t="shared" si="30"/>
        <v>2380</v>
      </c>
      <c r="AB10" s="204">
        <f t="shared" si="31"/>
        <v>238</v>
      </c>
      <c r="AC10" s="204">
        <f t="shared" si="30"/>
        <v>2380</v>
      </c>
      <c r="AD10" s="204">
        <f t="shared" si="32"/>
        <v>238</v>
      </c>
      <c r="AE10" s="204">
        <f t="shared" si="11"/>
        <v>2380</v>
      </c>
      <c r="AF10" s="204">
        <f t="shared" si="33"/>
        <v>238</v>
      </c>
      <c r="AG10" s="204">
        <f t="shared" si="12"/>
        <v>2380</v>
      </c>
      <c r="AH10" s="204">
        <f t="shared" si="34"/>
        <v>238</v>
      </c>
      <c r="AI10" s="204">
        <f t="shared" si="13"/>
        <v>2380</v>
      </c>
      <c r="AJ10" s="204">
        <f t="shared" si="35"/>
        <v>238</v>
      </c>
      <c r="AK10" s="204">
        <f t="shared" si="14"/>
        <v>2380</v>
      </c>
      <c r="AL10" s="204">
        <f t="shared" si="36"/>
        <v>238</v>
      </c>
      <c r="AM10" s="204">
        <f t="shared" si="15"/>
        <v>2380</v>
      </c>
      <c r="AN10" s="35">
        <f t="shared" si="16"/>
        <v>0.85</v>
      </c>
      <c r="AO10" s="36">
        <f t="shared" si="17"/>
        <v>16660</v>
      </c>
      <c r="AQ10" s="224">
        <f t="shared" si="37"/>
        <v>0.76726345994372103</v>
      </c>
      <c r="AR10" s="38">
        <f t="shared" si="41"/>
        <v>71332.483870967742</v>
      </c>
      <c r="AS10" s="198">
        <f t="shared" si="38"/>
        <v>-850.03225806451519</v>
      </c>
      <c r="AT10" s="358"/>
      <c r="AU10" s="442"/>
      <c r="AV10" s="525">
        <f>IF(AT10&gt;0,AU10,AV9)</f>
        <v>0</v>
      </c>
      <c r="AW10" s="293">
        <f>-SUM('B5'!AI9)</f>
        <v>0</v>
      </c>
      <c r="AX10" s="293">
        <f>-SUM(AW10-AS10)</f>
        <v>-850.03225806451519</v>
      </c>
      <c r="AY10" s="37">
        <f t="shared" si="40"/>
        <v>-850.03225806451519</v>
      </c>
      <c r="AZ10" s="100">
        <f>ELEC!A7</f>
        <v>0</v>
      </c>
      <c r="BA10" s="118">
        <f>'General information '!D10</f>
        <v>19.5</v>
      </c>
      <c r="BB10" s="397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225</v>
      </c>
      <c r="C11" s="204">
        <f t="shared" si="18"/>
        <v>4841.1290322580644</v>
      </c>
      <c r="D11">
        <f>SUM(B11)</f>
        <v>225</v>
      </c>
      <c r="E11" s="204">
        <f t="shared" si="18"/>
        <v>4841.1290322580644</v>
      </c>
      <c r="F11">
        <f>SUM(D11)</f>
        <v>225</v>
      </c>
      <c r="G11" s="204">
        <f t="shared" si="1"/>
        <v>4841.1290322580644</v>
      </c>
      <c r="H11" s="204">
        <f>SUM(F11)</f>
        <v>225</v>
      </c>
      <c r="I11" s="204">
        <f t="shared" si="2"/>
        <v>4841.1290322580644</v>
      </c>
      <c r="J11" s="204">
        <f>SUM(H11)</f>
        <v>225</v>
      </c>
      <c r="K11" s="204">
        <f t="shared" si="3"/>
        <v>4841.1290322580644</v>
      </c>
      <c r="L11" s="204">
        <f>SUM(J11)</f>
        <v>225</v>
      </c>
      <c r="M11" s="204">
        <f t="shared" si="4"/>
        <v>4841.1290322580644</v>
      </c>
      <c r="N11" s="204">
        <f>SUM(L11)</f>
        <v>225</v>
      </c>
      <c r="O11" s="204">
        <f t="shared" si="5"/>
        <v>4841.1290322580644</v>
      </c>
      <c r="P11" s="204">
        <f>SUM(N11)</f>
        <v>225</v>
      </c>
      <c r="Q11" s="204">
        <f t="shared" si="6"/>
        <v>4841.1290322580644</v>
      </c>
      <c r="R11" s="204">
        <f>SUM(P11)</f>
        <v>225</v>
      </c>
      <c r="S11" s="204">
        <f t="shared" si="7"/>
        <v>4841.1290322580644</v>
      </c>
      <c r="T11" s="204">
        <f>SUM(R11)</f>
        <v>225</v>
      </c>
      <c r="U11" s="204">
        <f t="shared" si="8"/>
        <v>4841.1290322580644</v>
      </c>
      <c r="V11" s="204">
        <f>SUM(T11)</f>
        <v>225</v>
      </c>
      <c r="W11" s="204">
        <f t="shared" si="9"/>
        <v>4841.1290322580644</v>
      </c>
      <c r="X11" s="35">
        <f>SUM(Y11/73370)</f>
        <v>0.72580645161290303</v>
      </c>
      <c r="Y11" s="36">
        <f>SUM(C11+E11+G11+I11+K11+M11+O11+Q11+S11+U11+W11)</f>
        <v>53252.419354838697</v>
      </c>
      <c r="Z11" s="204">
        <f>'B5'!C10</f>
        <v>235</v>
      </c>
      <c r="AA11" s="204">
        <f t="shared" si="30"/>
        <v>2350</v>
      </c>
      <c r="AB11" s="204">
        <f>SUM(Z11)</f>
        <v>235</v>
      </c>
      <c r="AC11" s="204">
        <f t="shared" si="30"/>
        <v>2350</v>
      </c>
      <c r="AD11" s="204">
        <f>SUM(AB11)</f>
        <v>235</v>
      </c>
      <c r="AE11" s="204">
        <f t="shared" si="11"/>
        <v>2350</v>
      </c>
      <c r="AF11" s="204">
        <f>SUM(AD11)</f>
        <v>235</v>
      </c>
      <c r="AG11" s="204">
        <f t="shared" si="12"/>
        <v>2350</v>
      </c>
      <c r="AH11" s="204">
        <f>SUM(AF11)</f>
        <v>235</v>
      </c>
      <c r="AI11" s="204">
        <f t="shared" si="13"/>
        <v>2350</v>
      </c>
      <c r="AJ11" s="204">
        <f>SUM(AH11)</f>
        <v>235</v>
      </c>
      <c r="AK11" s="204">
        <f t="shared" si="14"/>
        <v>2350</v>
      </c>
      <c r="AL11" s="204">
        <f>SUM(AJ11)</f>
        <v>235</v>
      </c>
      <c r="AM11" s="204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81"/>
      <c r="AQ11" s="224">
        <f t="shared" si="37"/>
        <v>0.74973022862040117</v>
      </c>
      <c r="AR11" s="38">
        <f t="shared" si="41"/>
        <v>69702.419354838697</v>
      </c>
      <c r="AS11" s="198">
        <f>SUM(AR11-AR10-AT11)</f>
        <v>-1630.0645161290449</v>
      </c>
      <c r="AT11" s="358"/>
      <c r="AU11" s="442"/>
      <c r="AV11" s="525">
        <f>IF(AT11&gt;0,AU11,AV10)</f>
        <v>0</v>
      </c>
      <c r="AW11" s="293">
        <f>-SUM('B5'!AI10)</f>
        <v>0</v>
      </c>
      <c r="AX11" s="293">
        <f>-SUM(AW11-AS11)</f>
        <v>-1630.0645161290449</v>
      </c>
      <c r="AY11" s="37">
        <f t="shared" si="40"/>
        <v>-1630.0645161290449</v>
      </c>
      <c r="AZ11" s="100">
        <f>ELEC!A8</f>
        <v>0</v>
      </c>
      <c r="BA11" s="118">
        <f>'General information '!D11</f>
        <v>20</v>
      </c>
      <c r="BB11" s="397">
        <f>SUM('General information '!E11)</f>
        <v>0.6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227.3</v>
      </c>
      <c r="C12" s="204">
        <f t="shared" si="18"/>
        <v>4890.616129032258</v>
      </c>
      <c r="D12">
        <f t="shared" si="19"/>
        <v>227.3</v>
      </c>
      <c r="E12" s="204">
        <f t="shared" si="18"/>
        <v>4890.616129032258</v>
      </c>
      <c r="F12">
        <f t="shared" si="20"/>
        <v>227.3</v>
      </c>
      <c r="G12" s="204">
        <f t="shared" si="1"/>
        <v>4890.616129032258</v>
      </c>
      <c r="H12" s="204">
        <f t="shared" si="21"/>
        <v>227.3</v>
      </c>
      <c r="I12" s="204">
        <f t="shared" si="2"/>
        <v>4890.616129032258</v>
      </c>
      <c r="J12" s="204">
        <f t="shared" si="22"/>
        <v>227.3</v>
      </c>
      <c r="K12" s="204">
        <f t="shared" si="3"/>
        <v>4890.616129032258</v>
      </c>
      <c r="L12" s="204">
        <f t="shared" si="23"/>
        <v>227.3</v>
      </c>
      <c r="M12" s="204">
        <f t="shared" si="4"/>
        <v>4890.616129032258</v>
      </c>
      <c r="N12" s="204">
        <f t="shared" si="24"/>
        <v>227.3</v>
      </c>
      <c r="O12" s="204">
        <f t="shared" si="5"/>
        <v>4890.616129032258</v>
      </c>
      <c r="P12" s="204">
        <f t="shared" si="25"/>
        <v>227.3</v>
      </c>
      <c r="Q12" s="204">
        <f t="shared" si="6"/>
        <v>4890.616129032258</v>
      </c>
      <c r="R12" s="204">
        <f t="shared" si="26"/>
        <v>227.3</v>
      </c>
      <c r="S12" s="204">
        <f t="shared" si="7"/>
        <v>4890.616129032258</v>
      </c>
      <c r="T12" s="204">
        <f t="shared" si="27"/>
        <v>227.3</v>
      </c>
      <c r="U12" s="204">
        <f t="shared" si="8"/>
        <v>4890.616129032258</v>
      </c>
      <c r="V12" s="204">
        <f t="shared" si="28"/>
        <v>227.3</v>
      </c>
      <c r="W12" s="204">
        <f t="shared" si="9"/>
        <v>4890.616129032258</v>
      </c>
      <c r="X12" s="35">
        <f t="shared" si="10"/>
        <v>0.73322580645161273</v>
      </c>
      <c r="Y12" s="36">
        <f t="shared" si="29"/>
        <v>53796.777419354825</v>
      </c>
      <c r="Z12" s="204">
        <f>'B5'!C11</f>
        <v>234</v>
      </c>
      <c r="AA12" s="204">
        <f t="shared" si="30"/>
        <v>2340</v>
      </c>
      <c r="AB12" s="204">
        <f t="shared" si="31"/>
        <v>234</v>
      </c>
      <c r="AC12" s="204">
        <f t="shared" si="30"/>
        <v>2340</v>
      </c>
      <c r="AD12" s="204">
        <f t="shared" si="32"/>
        <v>234</v>
      </c>
      <c r="AE12" s="204">
        <f t="shared" si="11"/>
        <v>2340</v>
      </c>
      <c r="AF12" s="204">
        <f t="shared" si="33"/>
        <v>234</v>
      </c>
      <c r="AG12" s="204">
        <f t="shared" si="12"/>
        <v>2340</v>
      </c>
      <c r="AH12" s="204">
        <f t="shared" si="34"/>
        <v>234</v>
      </c>
      <c r="AI12" s="204">
        <f t="shared" si="13"/>
        <v>2340</v>
      </c>
      <c r="AJ12" s="204">
        <f t="shared" si="35"/>
        <v>234</v>
      </c>
      <c r="AK12" s="204">
        <f t="shared" si="14"/>
        <v>2340</v>
      </c>
      <c r="AL12" s="204">
        <f t="shared" si="36"/>
        <v>234</v>
      </c>
      <c r="AM12" s="204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81"/>
      <c r="AQ12" s="224">
        <f t="shared" si="37"/>
        <v>0.75483249886366377</v>
      </c>
      <c r="AR12" s="38">
        <f t="shared" si="41"/>
        <v>70176.777419354825</v>
      </c>
      <c r="AS12" s="198">
        <f>SUM(AR12-AR11-AT12)</f>
        <v>474.35806451612734</v>
      </c>
      <c r="AT12" s="273"/>
      <c r="AU12" s="484"/>
      <c r="AV12" s="525">
        <f t="shared" si="42"/>
        <v>0</v>
      </c>
      <c r="AW12" s="293">
        <f>-SUM('B5'!AI11)</f>
        <v>-238</v>
      </c>
      <c r="AX12" s="293">
        <f t="shared" si="39"/>
        <v>712.35806451612734</v>
      </c>
      <c r="AY12" s="37">
        <f t="shared" si="40"/>
        <v>474.35806451612734</v>
      </c>
      <c r="AZ12" s="100">
        <f>ELEC!A9</f>
        <v>0</v>
      </c>
      <c r="BA12" s="118">
        <f>'General information '!D12</f>
        <v>20.5</v>
      </c>
      <c r="BB12" s="397">
        <f>SUM('General information '!E12)</f>
        <v>0.62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225</v>
      </c>
      <c r="C13" s="204">
        <f t="shared" si="18"/>
        <v>4841.1290322580644</v>
      </c>
      <c r="D13">
        <f t="shared" si="19"/>
        <v>225</v>
      </c>
      <c r="E13" s="204">
        <f t="shared" si="18"/>
        <v>4841.1290322580644</v>
      </c>
      <c r="F13">
        <f t="shared" si="20"/>
        <v>225</v>
      </c>
      <c r="G13" s="204">
        <f t="shared" si="1"/>
        <v>4841.1290322580644</v>
      </c>
      <c r="H13" s="204">
        <f t="shared" si="21"/>
        <v>225</v>
      </c>
      <c r="I13" s="204">
        <f t="shared" si="2"/>
        <v>4841.1290322580644</v>
      </c>
      <c r="J13" s="204">
        <f t="shared" si="22"/>
        <v>225</v>
      </c>
      <c r="K13" s="204">
        <f t="shared" si="3"/>
        <v>4841.1290322580644</v>
      </c>
      <c r="L13" s="204">
        <f t="shared" si="23"/>
        <v>225</v>
      </c>
      <c r="M13" s="204">
        <f t="shared" si="4"/>
        <v>4841.1290322580644</v>
      </c>
      <c r="N13" s="204">
        <f t="shared" si="24"/>
        <v>225</v>
      </c>
      <c r="O13" s="204">
        <f t="shared" si="5"/>
        <v>4841.1290322580644</v>
      </c>
      <c r="P13" s="204">
        <f t="shared" si="25"/>
        <v>225</v>
      </c>
      <c r="Q13" s="204">
        <f t="shared" si="6"/>
        <v>4841.1290322580644</v>
      </c>
      <c r="R13" s="204">
        <f t="shared" si="26"/>
        <v>225</v>
      </c>
      <c r="S13" s="204">
        <f t="shared" si="7"/>
        <v>4841.1290322580644</v>
      </c>
      <c r="T13" s="204">
        <f t="shared" si="27"/>
        <v>225</v>
      </c>
      <c r="U13" s="204">
        <f t="shared" si="8"/>
        <v>4841.1290322580644</v>
      </c>
      <c r="V13" s="204">
        <f t="shared" si="28"/>
        <v>225</v>
      </c>
      <c r="W13" s="204">
        <f t="shared" si="9"/>
        <v>4841.1290322580644</v>
      </c>
      <c r="X13" s="35">
        <f t="shared" si="10"/>
        <v>0.72580645161290303</v>
      </c>
      <c r="Y13" s="36">
        <f t="shared" si="29"/>
        <v>53252.419354838697</v>
      </c>
      <c r="Z13" s="204">
        <f>'B5'!C12</f>
        <v>231</v>
      </c>
      <c r="AA13" s="204">
        <f t="shared" si="30"/>
        <v>2310</v>
      </c>
      <c r="AB13" s="204">
        <f t="shared" si="31"/>
        <v>231</v>
      </c>
      <c r="AC13" s="204">
        <f t="shared" si="30"/>
        <v>2310</v>
      </c>
      <c r="AD13" s="204">
        <f t="shared" si="32"/>
        <v>231</v>
      </c>
      <c r="AE13" s="204">
        <f t="shared" si="11"/>
        <v>2310</v>
      </c>
      <c r="AF13" s="204">
        <f t="shared" si="33"/>
        <v>231</v>
      </c>
      <c r="AG13" s="204">
        <f t="shared" si="12"/>
        <v>2310</v>
      </c>
      <c r="AH13" s="204">
        <f t="shared" si="34"/>
        <v>231</v>
      </c>
      <c r="AI13" s="204">
        <f t="shared" si="13"/>
        <v>2310</v>
      </c>
      <c r="AJ13" s="204">
        <f t="shared" si="35"/>
        <v>231</v>
      </c>
      <c r="AK13" s="204">
        <f t="shared" si="14"/>
        <v>2310</v>
      </c>
      <c r="AL13" s="204">
        <f t="shared" si="36"/>
        <v>231</v>
      </c>
      <c r="AM13" s="204">
        <f t="shared" si="15"/>
        <v>2310</v>
      </c>
      <c r="AN13" s="35">
        <f t="shared" si="16"/>
        <v>0.82499999999999996</v>
      </c>
      <c r="AO13" s="36">
        <f t="shared" si="17"/>
        <v>16170</v>
      </c>
      <c r="AP13" s="581"/>
      <c r="AQ13" s="224">
        <f t="shared" si="37"/>
        <v>0.7467185044082898</v>
      </c>
      <c r="AR13" s="38">
        <f t="shared" si="41"/>
        <v>69422.419354838697</v>
      </c>
      <c r="AS13" s="198">
        <f t="shared" si="38"/>
        <v>-754.35806451612734</v>
      </c>
      <c r="AT13" s="273"/>
      <c r="AU13" s="442"/>
      <c r="AV13" s="525">
        <f t="shared" si="42"/>
        <v>0</v>
      </c>
      <c r="AW13" s="293">
        <f>-SUM('B5'!AI12)</f>
        <v>-162</v>
      </c>
      <c r="AX13" s="293">
        <f t="shared" si="39"/>
        <v>-592.35806451612734</v>
      </c>
      <c r="AY13" s="37">
        <f t="shared" si="40"/>
        <v>-754.35806451612734</v>
      </c>
      <c r="AZ13" s="100">
        <f>ELEC!A10</f>
        <v>0</v>
      </c>
      <c r="BA13" s="118">
        <f>'General information '!D13</f>
        <v>24</v>
      </c>
      <c r="BB13" s="397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223</v>
      </c>
      <c r="C14" s="204">
        <f t="shared" si="18"/>
        <v>4798.0967741935483</v>
      </c>
      <c r="D14">
        <f t="shared" si="19"/>
        <v>223</v>
      </c>
      <c r="E14" s="204">
        <f t="shared" si="18"/>
        <v>4798.0967741935483</v>
      </c>
      <c r="F14">
        <f t="shared" si="20"/>
        <v>223</v>
      </c>
      <c r="G14" s="204">
        <f t="shared" si="1"/>
        <v>4798.0967741935483</v>
      </c>
      <c r="H14" s="204">
        <f t="shared" si="21"/>
        <v>223</v>
      </c>
      <c r="I14" s="204">
        <f t="shared" si="2"/>
        <v>4798.0967741935483</v>
      </c>
      <c r="J14" s="204">
        <f t="shared" si="22"/>
        <v>223</v>
      </c>
      <c r="K14" s="204">
        <f t="shared" si="3"/>
        <v>4798.0967741935483</v>
      </c>
      <c r="L14" s="204">
        <f t="shared" si="23"/>
        <v>223</v>
      </c>
      <c r="M14" s="204">
        <f t="shared" si="4"/>
        <v>4798.0967741935483</v>
      </c>
      <c r="N14" s="204">
        <f t="shared" si="24"/>
        <v>223</v>
      </c>
      <c r="O14" s="204">
        <f t="shared" si="5"/>
        <v>4798.0967741935483</v>
      </c>
      <c r="P14" s="204">
        <f t="shared" si="25"/>
        <v>223</v>
      </c>
      <c r="Q14" s="204">
        <f t="shared" si="6"/>
        <v>4798.0967741935483</v>
      </c>
      <c r="R14" s="204">
        <f t="shared" si="26"/>
        <v>223</v>
      </c>
      <c r="S14" s="204">
        <f t="shared" si="7"/>
        <v>4798.0967741935483</v>
      </c>
      <c r="T14" s="204">
        <f t="shared" si="27"/>
        <v>223</v>
      </c>
      <c r="U14" s="204">
        <f t="shared" si="8"/>
        <v>4798.0967741935483</v>
      </c>
      <c r="V14" s="204">
        <f t="shared" si="28"/>
        <v>223</v>
      </c>
      <c r="W14" s="204">
        <f t="shared" si="9"/>
        <v>4798.0967741935483</v>
      </c>
      <c r="X14" s="35">
        <f t="shared" si="10"/>
        <v>0.71935483870967731</v>
      </c>
      <c r="Y14" s="36">
        <f t="shared" si="29"/>
        <v>52779.064516129023</v>
      </c>
      <c r="Z14" s="204">
        <f>'B5'!C13</f>
        <v>230</v>
      </c>
      <c r="AA14" s="204">
        <f t="shared" si="30"/>
        <v>2300</v>
      </c>
      <c r="AB14" s="204">
        <f t="shared" si="31"/>
        <v>230</v>
      </c>
      <c r="AC14" s="204">
        <f t="shared" si="30"/>
        <v>2300</v>
      </c>
      <c r="AD14" s="204">
        <f t="shared" si="32"/>
        <v>230</v>
      </c>
      <c r="AE14" s="204">
        <f t="shared" si="11"/>
        <v>2300</v>
      </c>
      <c r="AF14" s="204">
        <f t="shared" si="33"/>
        <v>230</v>
      </c>
      <c r="AG14" s="204">
        <f t="shared" si="12"/>
        <v>2300</v>
      </c>
      <c r="AH14" s="204">
        <f t="shared" si="34"/>
        <v>230</v>
      </c>
      <c r="AI14" s="204">
        <f t="shared" si="13"/>
        <v>2300</v>
      </c>
      <c r="AJ14" s="204">
        <f t="shared" si="35"/>
        <v>230</v>
      </c>
      <c r="AK14" s="204">
        <f t="shared" si="14"/>
        <v>2300</v>
      </c>
      <c r="AL14" s="204">
        <f t="shared" si="36"/>
        <v>230</v>
      </c>
      <c r="AM14" s="204">
        <f t="shared" si="15"/>
        <v>2300</v>
      </c>
      <c r="AN14" s="35">
        <f t="shared" si="16"/>
        <v>0.8214285714285714</v>
      </c>
      <c r="AO14" s="36">
        <f t="shared" si="17"/>
        <v>16100</v>
      </c>
      <c r="AQ14" s="224">
        <f t="shared" si="37"/>
        <v>0.74087409396718329</v>
      </c>
      <c r="AR14" s="38">
        <f t="shared" si="41"/>
        <v>68879.06451612903</v>
      </c>
      <c r="AS14" s="198">
        <f>SUM(AR14-AR13-AT14)</f>
        <v>-543.35483870966709</v>
      </c>
      <c r="AT14" s="273"/>
      <c r="AU14" s="484"/>
      <c r="AV14" s="525">
        <f t="shared" si="42"/>
        <v>0</v>
      </c>
      <c r="AW14" s="293">
        <f>-SUM('B5'!AI13)</f>
        <v>-137</v>
      </c>
      <c r="AX14" s="293">
        <f t="shared" si="39"/>
        <v>-406.35483870966709</v>
      </c>
      <c r="AY14" s="37">
        <f t="shared" si="40"/>
        <v>-543.35483870966709</v>
      </c>
      <c r="AZ14" s="100">
        <f>ELEC!A11</f>
        <v>0</v>
      </c>
      <c r="BA14" s="118">
        <f>'General information '!D14</f>
        <v>24.5</v>
      </c>
      <c r="BB14" s="397">
        <f>SUM('General information '!E14)</f>
        <v>0.45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223</v>
      </c>
      <c r="C15" s="204">
        <f t="shared" si="18"/>
        <v>4798.0967741935483</v>
      </c>
      <c r="D15">
        <f t="shared" si="19"/>
        <v>223</v>
      </c>
      <c r="E15" s="204">
        <f t="shared" si="18"/>
        <v>4798.0967741935483</v>
      </c>
      <c r="F15">
        <f t="shared" si="20"/>
        <v>223</v>
      </c>
      <c r="G15" s="204">
        <f t="shared" si="1"/>
        <v>4798.0967741935483</v>
      </c>
      <c r="H15" s="204">
        <f t="shared" si="21"/>
        <v>223</v>
      </c>
      <c r="I15" s="204">
        <f t="shared" si="2"/>
        <v>4798.0967741935483</v>
      </c>
      <c r="J15" s="204">
        <f t="shared" si="22"/>
        <v>223</v>
      </c>
      <c r="K15" s="204">
        <f t="shared" si="3"/>
        <v>4798.0967741935483</v>
      </c>
      <c r="L15" s="204">
        <f t="shared" si="23"/>
        <v>223</v>
      </c>
      <c r="M15" s="204">
        <f t="shared" si="4"/>
        <v>4798.0967741935483</v>
      </c>
      <c r="N15" s="204">
        <f t="shared" si="24"/>
        <v>223</v>
      </c>
      <c r="O15" s="204">
        <f t="shared" si="5"/>
        <v>4798.0967741935483</v>
      </c>
      <c r="P15" s="204">
        <f t="shared" si="25"/>
        <v>223</v>
      </c>
      <c r="Q15" s="204">
        <f t="shared" si="6"/>
        <v>4798.0967741935483</v>
      </c>
      <c r="R15" s="204">
        <f t="shared" si="26"/>
        <v>223</v>
      </c>
      <c r="S15" s="204">
        <f t="shared" si="7"/>
        <v>4798.0967741935483</v>
      </c>
      <c r="T15" s="204">
        <f t="shared" si="27"/>
        <v>223</v>
      </c>
      <c r="U15" s="204">
        <f t="shared" si="8"/>
        <v>4798.0967741935483</v>
      </c>
      <c r="V15" s="204">
        <f t="shared" si="28"/>
        <v>223</v>
      </c>
      <c r="W15" s="204">
        <f t="shared" si="9"/>
        <v>4798.0967741935483</v>
      </c>
      <c r="X15" s="35">
        <f t="shared" si="10"/>
        <v>0.71935483870967731</v>
      </c>
      <c r="Y15" s="36">
        <f t="shared" si="29"/>
        <v>52779.064516129023</v>
      </c>
      <c r="Z15" s="204">
        <f>'B5'!C14</f>
        <v>230</v>
      </c>
      <c r="AA15" s="204">
        <f t="shared" si="30"/>
        <v>2300</v>
      </c>
      <c r="AB15" s="204">
        <f t="shared" si="31"/>
        <v>230</v>
      </c>
      <c r="AC15" s="204">
        <f t="shared" si="30"/>
        <v>2300</v>
      </c>
      <c r="AD15" s="204">
        <f t="shared" si="32"/>
        <v>230</v>
      </c>
      <c r="AE15" s="204">
        <f t="shared" si="11"/>
        <v>2300</v>
      </c>
      <c r="AF15" s="204">
        <f t="shared" si="33"/>
        <v>230</v>
      </c>
      <c r="AG15" s="204">
        <f t="shared" si="12"/>
        <v>2300</v>
      </c>
      <c r="AH15" s="204">
        <f t="shared" si="34"/>
        <v>230</v>
      </c>
      <c r="AI15" s="204">
        <f t="shared" si="13"/>
        <v>2300</v>
      </c>
      <c r="AJ15" s="204">
        <f t="shared" si="35"/>
        <v>230</v>
      </c>
      <c r="AK15" s="204">
        <f t="shared" si="14"/>
        <v>2300</v>
      </c>
      <c r="AL15" s="204">
        <f t="shared" si="36"/>
        <v>230</v>
      </c>
      <c r="AM15" s="204">
        <f t="shared" si="15"/>
        <v>2300</v>
      </c>
      <c r="AN15" s="35">
        <f t="shared" si="16"/>
        <v>0.8214285714285714</v>
      </c>
      <c r="AO15" s="36">
        <f t="shared" si="17"/>
        <v>16100</v>
      </c>
      <c r="AQ15" s="224">
        <f t="shared" si="37"/>
        <v>0.74087409396718329</v>
      </c>
      <c r="AR15" s="38">
        <f t="shared" si="41"/>
        <v>68879.06451612903</v>
      </c>
      <c r="AS15" s="198">
        <f>SUM(AR15-AR14-AT15)</f>
        <v>0</v>
      </c>
      <c r="AT15" s="273"/>
      <c r="AU15" s="442"/>
      <c r="AV15" s="525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7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223</v>
      </c>
      <c r="C16" s="204">
        <f t="shared" si="18"/>
        <v>4798.0967741935483</v>
      </c>
      <c r="D16">
        <f t="shared" si="19"/>
        <v>223</v>
      </c>
      <c r="E16" s="204">
        <f t="shared" si="18"/>
        <v>4798.0967741935483</v>
      </c>
      <c r="F16">
        <f t="shared" si="20"/>
        <v>223</v>
      </c>
      <c r="G16" s="204">
        <f t="shared" si="1"/>
        <v>4798.0967741935483</v>
      </c>
      <c r="H16" s="204">
        <f t="shared" si="21"/>
        <v>223</v>
      </c>
      <c r="I16" s="204">
        <f t="shared" si="2"/>
        <v>4798.0967741935483</v>
      </c>
      <c r="J16" s="204">
        <f t="shared" si="22"/>
        <v>223</v>
      </c>
      <c r="K16" s="204">
        <f t="shared" si="3"/>
        <v>4798.0967741935483</v>
      </c>
      <c r="L16" s="204">
        <f t="shared" si="23"/>
        <v>223</v>
      </c>
      <c r="M16" s="204">
        <f t="shared" si="4"/>
        <v>4798.0967741935483</v>
      </c>
      <c r="N16" s="204">
        <f t="shared" si="24"/>
        <v>223</v>
      </c>
      <c r="O16" s="204">
        <f t="shared" si="5"/>
        <v>4798.0967741935483</v>
      </c>
      <c r="P16" s="204">
        <f t="shared" si="25"/>
        <v>223</v>
      </c>
      <c r="Q16" s="204">
        <f t="shared" si="6"/>
        <v>4798.0967741935483</v>
      </c>
      <c r="R16" s="204">
        <f t="shared" si="26"/>
        <v>223</v>
      </c>
      <c r="S16" s="204">
        <f t="shared" si="7"/>
        <v>4798.0967741935483</v>
      </c>
      <c r="T16" s="204">
        <f t="shared" si="27"/>
        <v>223</v>
      </c>
      <c r="U16" s="204">
        <f t="shared" si="8"/>
        <v>4798.0967741935483</v>
      </c>
      <c r="V16" s="204">
        <f t="shared" si="28"/>
        <v>223</v>
      </c>
      <c r="W16" s="204">
        <f t="shared" si="9"/>
        <v>4798.0967741935483</v>
      </c>
      <c r="X16" s="35">
        <f t="shared" si="10"/>
        <v>0.71935483870967731</v>
      </c>
      <c r="Y16" s="36">
        <f t="shared" si="29"/>
        <v>52779.064516129023</v>
      </c>
      <c r="Z16" s="204">
        <f>'B5'!C15</f>
        <v>230</v>
      </c>
      <c r="AA16" s="204">
        <f t="shared" si="30"/>
        <v>2300</v>
      </c>
      <c r="AB16" s="204">
        <f t="shared" si="31"/>
        <v>230</v>
      </c>
      <c r="AC16" s="204">
        <f t="shared" si="30"/>
        <v>2300</v>
      </c>
      <c r="AD16" s="204">
        <f t="shared" si="32"/>
        <v>230</v>
      </c>
      <c r="AE16" s="204">
        <f t="shared" si="11"/>
        <v>2300</v>
      </c>
      <c r="AF16" s="204">
        <f t="shared" si="33"/>
        <v>230</v>
      </c>
      <c r="AG16" s="204">
        <f t="shared" si="12"/>
        <v>2300</v>
      </c>
      <c r="AH16" s="204">
        <f t="shared" si="34"/>
        <v>230</v>
      </c>
      <c r="AI16" s="204">
        <f t="shared" si="13"/>
        <v>2300</v>
      </c>
      <c r="AJ16" s="204">
        <f t="shared" si="35"/>
        <v>230</v>
      </c>
      <c r="AK16" s="204">
        <f t="shared" si="14"/>
        <v>2300</v>
      </c>
      <c r="AL16" s="204">
        <f t="shared" si="36"/>
        <v>230</v>
      </c>
      <c r="AM16" s="204">
        <f t="shared" si="15"/>
        <v>2300</v>
      </c>
      <c r="AN16" s="35">
        <f t="shared" si="16"/>
        <v>0.8214285714285714</v>
      </c>
      <c r="AO16" s="36">
        <f t="shared" si="17"/>
        <v>16100</v>
      </c>
      <c r="AQ16" s="224">
        <f t="shared" si="37"/>
        <v>0.74087409396718329</v>
      </c>
      <c r="AR16" s="38">
        <f t="shared" si="41"/>
        <v>68879.06451612903</v>
      </c>
      <c r="AS16" s="198">
        <f>SUM(AR16-AR15-AT16)</f>
        <v>0</v>
      </c>
      <c r="AT16" s="358"/>
      <c r="AU16" s="442"/>
      <c r="AV16" s="525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7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223</v>
      </c>
      <c r="C17" s="204">
        <f t="shared" si="18"/>
        <v>4798.0967741935483</v>
      </c>
      <c r="D17">
        <f t="shared" si="19"/>
        <v>223</v>
      </c>
      <c r="E17" s="204">
        <f t="shared" si="18"/>
        <v>4798.0967741935483</v>
      </c>
      <c r="F17">
        <f t="shared" si="20"/>
        <v>223</v>
      </c>
      <c r="G17" s="204">
        <f t="shared" si="1"/>
        <v>4798.0967741935483</v>
      </c>
      <c r="H17" s="204">
        <f t="shared" si="21"/>
        <v>223</v>
      </c>
      <c r="I17" s="204">
        <f t="shared" si="2"/>
        <v>4798.0967741935483</v>
      </c>
      <c r="J17" s="204">
        <f t="shared" si="22"/>
        <v>223</v>
      </c>
      <c r="K17" s="204">
        <f t="shared" si="3"/>
        <v>4798.0967741935483</v>
      </c>
      <c r="L17" s="204">
        <f t="shared" si="23"/>
        <v>223</v>
      </c>
      <c r="M17" s="204">
        <f t="shared" si="4"/>
        <v>4798.0967741935483</v>
      </c>
      <c r="N17" s="204">
        <f t="shared" si="24"/>
        <v>223</v>
      </c>
      <c r="O17" s="204">
        <f t="shared" si="5"/>
        <v>4798.0967741935483</v>
      </c>
      <c r="P17" s="204">
        <f t="shared" si="25"/>
        <v>223</v>
      </c>
      <c r="Q17" s="204">
        <f t="shared" si="6"/>
        <v>4798.0967741935483</v>
      </c>
      <c r="R17" s="204">
        <f t="shared" si="26"/>
        <v>223</v>
      </c>
      <c r="S17" s="204">
        <f t="shared" si="7"/>
        <v>4798.0967741935483</v>
      </c>
      <c r="T17" s="204">
        <f t="shared" si="27"/>
        <v>223</v>
      </c>
      <c r="U17" s="204">
        <f t="shared" si="8"/>
        <v>4798.0967741935483</v>
      </c>
      <c r="V17" s="204">
        <f t="shared" si="28"/>
        <v>223</v>
      </c>
      <c r="W17" s="204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4">
        <f>'B5'!C16</f>
        <v>230</v>
      </c>
      <c r="AA17" s="204">
        <f t="shared" si="30"/>
        <v>2300</v>
      </c>
      <c r="AB17" s="204">
        <f t="shared" si="31"/>
        <v>230</v>
      </c>
      <c r="AC17" s="204">
        <f t="shared" si="30"/>
        <v>2300</v>
      </c>
      <c r="AD17" s="204">
        <f t="shared" si="32"/>
        <v>230</v>
      </c>
      <c r="AE17" s="204">
        <f t="shared" si="11"/>
        <v>2300</v>
      </c>
      <c r="AF17" s="204">
        <f t="shared" si="33"/>
        <v>230</v>
      </c>
      <c r="AG17" s="204">
        <f t="shared" si="12"/>
        <v>2300</v>
      </c>
      <c r="AH17" s="204">
        <f t="shared" si="34"/>
        <v>230</v>
      </c>
      <c r="AI17" s="204">
        <f t="shared" si="13"/>
        <v>2300</v>
      </c>
      <c r="AJ17" s="204">
        <f t="shared" si="35"/>
        <v>230</v>
      </c>
      <c r="AK17" s="204">
        <f t="shared" si="14"/>
        <v>2300</v>
      </c>
      <c r="AL17" s="204">
        <f t="shared" si="36"/>
        <v>230</v>
      </c>
      <c r="AM17" s="204">
        <f t="shared" si="15"/>
        <v>2300</v>
      </c>
      <c r="AN17" s="35">
        <f t="shared" si="16"/>
        <v>0.8214285714285714</v>
      </c>
      <c r="AO17" s="36">
        <f>SUM(AA17+AC17+AE17+AG17+AI17+AK17+AM17)</f>
        <v>16100</v>
      </c>
      <c r="AQ17" s="224">
        <f t="shared" si="37"/>
        <v>0.74087409396718329</v>
      </c>
      <c r="AR17" s="38">
        <f t="shared" si="41"/>
        <v>68879.06451612903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223</v>
      </c>
      <c r="C18" s="204">
        <f t="shared" si="18"/>
        <v>4798.0967741935483</v>
      </c>
      <c r="D18">
        <f t="shared" si="19"/>
        <v>223</v>
      </c>
      <c r="E18" s="204">
        <f t="shared" si="18"/>
        <v>4798.0967741935483</v>
      </c>
      <c r="F18">
        <f t="shared" si="20"/>
        <v>223</v>
      </c>
      <c r="G18" s="204">
        <f t="shared" si="1"/>
        <v>4798.0967741935483</v>
      </c>
      <c r="H18" s="204">
        <f t="shared" si="21"/>
        <v>223</v>
      </c>
      <c r="I18" s="204">
        <f t="shared" si="2"/>
        <v>4798.0967741935483</v>
      </c>
      <c r="J18" s="204">
        <f t="shared" si="22"/>
        <v>223</v>
      </c>
      <c r="K18" s="204">
        <f t="shared" si="3"/>
        <v>4798.0967741935483</v>
      </c>
      <c r="L18" s="204">
        <f t="shared" si="23"/>
        <v>223</v>
      </c>
      <c r="M18" s="204">
        <f t="shared" si="4"/>
        <v>4798.0967741935483</v>
      </c>
      <c r="N18" s="204">
        <f t="shared" si="24"/>
        <v>223</v>
      </c>
      <c r="O18" s="204">
        <f t="shared" si="5"/>
        <v>4798.0967741935483</v>
      </c>
      <c r="P18" s="204">
        <f t="shared" si="25"/>
        <v>223</v>
      </c>
      <c r="Q18" s="204">
        <f t="shared" si="6"/>
        <v>4798.0967741935483</v>
      </c>
      <c r="R18" s="204">
        <f t="shared" si="26"/>
        <v>223</v>
      </c>
      <c r="S18" s="204">
        <f t="shared" si="7"/>
        <v>4798.0967741935483</v>
      </c>
      <c r="T18" s="204">
        <f t="shared" si="27"/>
        <v>223</v>
      </c>
      <c r="U18" s="204">
        <f t="shared" si="8"/>
        <v>4798.0967741935483</v>
      </c>
      <c r="V18" s="204">
        <f t="shared" si="28"/>
        <v>223</v>
      </c>
      <c r="W18" s="204">
        <f t="shared" si="9"/>
        <v>4798.0967741935483</v>
      </c>
      <c r="X18" s="35">
        <f t="shared" si="10"/>
        <v>0.71935483870967731</v>
      </c>
      <c r="Y18" s="36">
        <f t="shared" si="29"/>
        <v>52779.064516129023</v>
      </c>
      <c r="Z18" s="204">
        <f>'B5'!C17</f>
        <v>230</v>
      </c>
      <c r="AA18" s="204">
        <f t="shared" si="30"/>
        <v>2300</v>
      </c>
      <c r="AB18" s="204">
        <f t="shared" si="31"/>
        <v>230</v>
      </c>
      <c r="AC18" s="204">
        <f t="shared" si="30"/>
        <v>2300</v>
      </c>
      <c r="AD18" s="204">
        <f t="shared" si="32"/>
        <v>230</v>
      </c>
      <c r="AE18" s="204">
        <f t="shared" si="11"/>
        <v>2300</v>
      </c>
      <c r="AF18" s="204">
        <f t="shared" si="33"/>
        <v>230</v>
      </c>
      <c r="AG18" s="204">
        <f t="shared" si="12"/>
        <v>2300</v>
      </c>
      <c r="AH18" s="204">
        <f t="shared" si="34"/>
        <v>230</v>
      </c>
      <c r="AI18" s="204">
        <f t="shared" si="13"/>
        <v>2300</v>
      </c>
      <c r="AJ18" s="204">
        <f t="shared" si="35"/>
        <v>230</v>
      </c>
      <c r="AK18" s="204">
        <f t="shared" si="14"/>
        <v>2300</v>
      </c>
      <c r="AL18" s="204">
        <f t="shared" si="36"/>
        <v>230</v>
      </c>
      <c r="AM18" s="204">
        <f t="shared" si="15"/>
        <v>2300</v>
      </c>
      <c r="AN18" s="35">
        <f t="shared" si="16"/>
        <v>0.8214285714285714</v>
      </c>
      <c r="AO18" s="36">
        <f t="shared" si="17"/>
        <v>16100</v>
      </c>
      <c r="AQ18" s="224">
        <f t="shared" si="37"/>
        <v>0.74087409396718329</v>
      </c>
      <c r="AR18" s="38">
        <f t="shared" si="41"/>
        <v>68879.06451612903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223</v>
      </c>
      <c r="C19" s="204">
        <f t="shared" si="18"/>
        <v>4798.0967741935483</v>
      </c>
      <c r="D19">
        <f t="shared" si="19"/>
        <v>223</v>
      </c>
      <c r="E19" s="204">
        <f t="shared" si="18"/>
        <v>4798.0967741935483</v>
      </c>
      <c r="F19">
        <f t="shared" si="20"/>
        <v>223</v>
      </c>
      <c r="G19" s="204">
        <f t="shared" si="1"/>
        <v>4798.0967741935483</v>
      </c>
      <c r="H19" s="204">
        <f t="shared" si="21"/>
        <v>223</v>
      </c>
      <c r="I19" s="204">
        <f t="shared" si="2"/>
        <v>4798.0967741935483</v>
      </c>
      <c r="J19" s="204">
        <f t="shared" si="22"/>
        <v>223</v>
      </c>
      <c r="K19" s="204">
        <f t="shared" si="3"/>
        <v>4798.0967741935483</v>
      </c>
      <c r="L19" s="204">
        <f t="shared" si="23"/>
        <v>223</v>
      </c>
      <c r="M19" s="204">
        <f t="shared" si="4"/>
        <v>4798.0967741935483</v>
      </c>
      <c r="N19" s="204">
        <f t="shared" si="24"/>
        <v>223</v>
      </c>
      <c r="O19" s="204">
        <f t="shared" si="5"/>
        <v>4798.0967741935483</v>
      </c>
      <c r="P19" s="204">
        <f t="shared" si="25"/>
        <v>223</v>
      </c>
      <c r="Q19" s="204">
        <f t="shared" si="6"/>
        <v>4798.0967741935483</v>
      </c>
      <c r="R19" s="204">
        <f t="shared" si="26"/>
        <v>223</v>
      </c>
      <c r="S19" s="204">
        <f t="shared" si="7"/>
        <v>4798.0967741935483</v>
      </c>
      <c r="T19" s="204">
        <f t="shared" si="27"/>
        <v>223</v>
      </c>
      <c r="U19" s="204">
        <f t="shared" si="8"/>
        <v>4798.0967741935483</v>
      </c>
      <c r="V19" s="204">
        <f t="shared" si="28"/>
        <v>223</v>
      </c>
      <c r="W19" s="204">
        <f t="shared" si="9"/>
        <v>4798.0967741935483</v>
      </c>
      <c r="X19" s="35">
        <f t="shared" si="10"/>
        <v>0.71935483870967731</v>
      </c>
      <c r="Y19" s="36">
        <f t="shared" si="29"/>
        <v>52779.064516129023</v>
      </c>
      <c r="Z19" s="204">
        <f>'B5'!C18</f>
        <v>230</v>
      </c>
      <c r="AA19" s="204">
        <f t="shared" si="30"/>
        <v>2300</v>
      </c>
      <c r="AB19" s="204">
        <f t="shared" si="31"/>
        <v>230</v>
      </c>
      <c r="AC19" s="204">
        <f t="shared" si="30"/>
        <v>2300</v>
      </c>
      <c r="AD19" s="204">
        <f t="shared" si="32"/>
        <v>230</v>
      </c>
      <c r="AE19" s="204">
        <f t="shared" si="11"/>
        <v>2300</v>
      </c>
      <c r="AF19" s="204">
        <f t="shared" si="33"/>
        <v>230</v>
      </c>
      <c r="AG19" s="204">
        <f t="shared" si="12"/>
        <v>2300</v>
      </c>
      <c r="AH19" s="204">
        <f t="shared" si="34"/>
        <v>230</v>
      </c>
      <c r="AI19" s="204">
        <f t="shared" si="13"/>
        <v>2300</v>
      </c>
      <c r="AJ19" s="204">
        <f t="shared" si="35"/>
        <v>230</v>
      </c>
      <c r="AK19" s="204">
        <f t="shared" si="14"/>
        <v>2300</v>
      </c>
      <c r="AL19" s="204">
        <f t="shared" si="36"/>
        <v>230</v>
      </c>
      <c r="AM19" s="204">
        <f t="shared" si="15"/>
        <v>2300</v>
      </c>
      <c r="AN19" s="35">
        <f t="shared" si="16"/>
        <v>0.8214285714285714</v>
      </c>
      <c r="AO19" s="36">
        <f t="shared" si="17"/>
        <v>16100</v>
      </c>
      <c r="AQ19" s="224">
        <f t="shared" si="37"/>
        <v>0.74087409396718329</v>
      </c>
      <c r="AR19" s="38">
        <f t="shared" si="41"/>
        <v>68879.06451612903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223</v>
      </c>
      <c r="C20" s="204">
        <f t="shared" si="18"/>
        <v>4798.0967741935483</v>
      </c>
      <c r="D20">
        <f t="shared" si="19"/>
        <v>223</v>
      </c>
      <c r="E20" s="204">
        <f t="shared" si="18"/>
        <v>4798.0967741935483</v>
      </c>
      <c r="F20">
        <f t="shared" si="20"/>
        <v>223</v>
      </c>
      <c r="G20" s="204">
        <f t="shared" si="1"/>
        <v>4798.0967741935483</v>
      </c>
      <c r="H20" s="204">
        <f t="shared" si="21"/>
        <v>223</v>
      </c>
      <c r="I20" s="204">
        <f t="shared" si="2"/>
        <v>4798.0967741935483</v>
      </c>
      <c r="J20" s="204">
        <f t="shared" si="22"/>
        <v>223</v>
      </c>
      <c r="K20" s="204">
        <f t="shared" si="3"/>
        <v>4798.0967741935483</v>
      </c>
      <c r="L20" s="204">
        <f t="shared" si="23"/>
        <v>223</v>
      </c>
      <c r="M20" s="204">
        <f t="shared" si="4"/>
        <v>4798.0967741935483</v>
      </c>
      <c r="N20" s="204">
        <f t="shared" si="24"/>
        <v>223</v>
      </c>
      <c r="O20" s="204">
        <f t="shared" si="5"/>
        <v>4798.0967741935483</v>
      </c>
      <c r="P20" s="204">
        <f t="shared" si="25"/>
        <v>223</v>
      </c>
      <c r="Q20" s="204">
        <f t="shared" si="6"/>
        <v>4798.0967741935483</v>
      </c>
      <c r="R20" s="204">
        <f t="shared" si="26"/>
        <v>223</v>
      </c>
      <c r="S20" s="204">
        <f t="shared" si="7"/>
        <v>4798.0967741935483</v>
      </c>
      <c r="T20" s="204">
        <f t="shared" si="27"/>
        <v>223</v>
      </c>
      <c r="U20" s="204">
        <f t="shared" si="8"/>
        <v>4798.0967741935483</v>
      </c>
      <c r="V20" s="204">
        <f t="shared" si="28"/>
        <v>223</v>
      </c>
      <c r="W20" s="204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4">
        <f>'B5'!C19</f>
        <v>230</v>
      </c>
      <c r="AA20" s="204">
        <f t="shared" si="30"/>
        <v>2300</v>
      </c>
      <c r="AB20" s="204">
        <f t="shared" si="31"/>
        <v>230</v>
      </c>
      <c r="AC20" s="204">
        <f t="shared" si="30"/>
        <v>2300</v>
      </c>
      <c r="AD20" s="204">
        <f t="shared" si="32"/>
        <v>230</v>
      </c>
      <c r="AE20" s="204">
        <f t="shared" si="11"/>
        <v>2300</v>
      </c>
      <c r="AF20" s="204">
        <f t="shared" si="33"/>
        <v>230</v>
      </c>
      <c r="AG20" s="204">
        <f t="shared" si="12"/>
        <v>2300</v>
      </c>
      <c r="AH20" s="204">
        <f t="shared" si="34"/>
        <v>230</v>
      </c>
      <c r="AI20" s="204">
        <f t="shared" si="13"/>
        <v>2300</v>
      </c>
      <c r="AJ20" s="204">
        <f t="shared" si="35"/>
        <v>230</v>
      </c>
      <c r="AK20" s="204">
        <f t="shared" si="14"/>
        <v>2300</v>
      </c>
      <c r="AL20" s="204">
        <f t="shared" si="36"/>
        <v>230</v>
      </c>
      <c r="AM20" s="204">
        <f t="shared" si="15"/>
        <v>2300</v>
      </c>
      <c r="AN20" s="35">
        <f t="shared" si="16"/>
        <v>0.8214285714285714</v>
      </c>
      <c r="AO20" s="36">
        <f t="shared" si="17"/>
        <v>16100</v>
      </c>
      <c r="AQ20" s="224">
        <f t="shared" si="37"/>
        <v>0.74087409396718329</v>
      </c>
      <c r="AR20" s="38">
        <f t="shared" si="41"/>
        <v>68879.06451612903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223</v>
      </c>
      <c r="C21" s="204">
        <f t="shared" si="18"/>
        <v>4798.0967741935483</v>
      </c>
      <c r="D21">
        <f t="shared" si="19"/>
        <v>223</v>
      </c>
      <c r="E21" s="204">
        <f t="shared" si="18"/>
        <v>4798.0967741935483</v>
      </c>
      <c r="F21">
        <f t="shared" si="20"/>
        <v>223</v>
      </c>
      <c r="G21" s="204">
        <f t="shared" si="1"/>
        <v>4798.0967741935483</v>
      </c>
      <c r="H21" s="204">
        <f t="shared" si="21"/>
        <v>223</v>
      </c>
      <c r="I21" s="204">
        <f t="shared" si="2"/>
        <v>4798.0967741935483</v>
      </c>
      <c r="J21" s="204">
        <f t="shared" si="22"/>
        <v>223</v>
      </c>
      <c r="K21" s="204">
        <f t="shared" si="3"/>
        <v>4798.0967741935483</v>
      </c>
      <c r="L21" s="204">
        <f t="shared" si="23"/>
        <v>223</v>
      </c>
      <c r="M21" s="204">
        <f t="shared" si="4"/>
        <v>4798.0967741935483</v>
      </c>
      <c r="N21" s="204">
        <f t="shared" si="24"/>
        <v>223</v>
      </c>
      <c r="O21" s="204">
        <f t="shared" si="5"/>
        <v>4798.0967741935483</v>
      </c>
      <c r="P21" s="204">
        <f t="shared" si="25"/>
        <v>223</v>
      </c>
      <c r="Q21" s="204">
        <f t="shared" si="6"/>
        <v>4798.0967741935483</v>
      </c>
      <c r="R21" s="204">
        <f t="shared" si="26"/>
        <v>223</v>
      </c>
      <c r="S21" s="204">
        <f t="shared" si="7"/>
        <v>4798.0967741935483</v>
      </c>
      <c r="T21" s="204">
        <f t="shared" si="27"/>
        <v>223</v>
      </c>
      <c r="U21" s="204">
        <f t="shared" si="8"/>
        <v>4798.0967741935483</v>
      </c>
      <c r="V21" s="204">
        <f t="shared" si="28"/>
        <v>223</v>
      </c>
      <c r="W21" s="204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4">
        <f>'B5'!C20</f>
        <v>230</v>
      </c>
      <c r="AA21" s="204">
        <f t="shared" si="30"/>
        <v>2300</v>
      </c>
      <c r="AB21" s="204">
        <f t="shared" si="31"/>
        <v>230</v>
      </c>
      <c r="AC21" s="204">
        <f t="shared" si="30"/>
        <v>2300</v>
      </c>
      <c r="AD21" s="204">
        <f t="shared" si="32"/>
        <v>230</v>
      </c>
      <c r="AE21" s="204">
        <f t="shared" si="11"/>
        <v>2300</v>
      </c>
      <c r="AF21" s="204">
        <f t="shared" si="33"/>
        <v>230</v>
      </c>
      <c r="AG21" s="204">
        <f t="shared" si="12"/>
        <v>2300</v>
      </c>
      <c r="AH21" s="204">
        <f t="shared" si="34"/>
        <v>230</v>
      </c>
      <c r="AI21" s="204">
        <f t="shared" si="13"/>
        <v>2300</v>
      </c>
      <c r="AJ21" s="204">
        <f t="shared" si="35"/>
        <v>230</v>
      </c>
      <c r="AK21" s="204">
        <f t="shared" si="14"/>
        <v>2300</v>
      </c>
      <c r="AL21" s="204">
        <f t="shared" si="36"/>
        <v>230</v>
      </c>
      <c r="AM21" s="204">
        <f t="shared" si="15"/>
        <v>2300</v>
      </c>
      <c r="AN21" s="35">
        <f t="shared" si="16"/>
        <v>0.8214285714285714</v>
      </c>
      <c r="AO21" s="36">
        <f t="shared" si="17"/>
        <v>16100</v>
      </c>
      <c r="AQ21" s="224">
        <f t="shared" si="37"/>
        <v>0.74087409396718329</v>
      </c>
      <c r="AR21" s="38">
        <f t="shared" si="41"/>
        <v>68879.06451612903</v>
      </c>
      <c r="AS21" s="198">
        <f>SUM(AR21-AR20-AT21)</f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223</v>
      </c>
      <c r="C22" s="204">
        <f t="shared" si="18"/>
        <v>4798.0967741935483</v>
      </c>
      <c r="D22">
        <f t="shared" si="19"/>
        <v>223</v>
      </c>
      <c r="E22" s="204">
        <f t="shared" si="18"/>
        <v>4798.0967741935483</v>
      </c>
      <c r="F22">
        <f t="shared" si="20"/>
        <v>223</v>
      </c>
      <c r="G22" s="204">
        <f t="shared" si="1"/>
        <v>4798.0967741935483</v>
      </c>
      <c r="H22" s="204">
        <f t="shared" si="21"/>
        <v>223</v>
      </c>
      <c r="I22" s="204">
        <f t="shared" si="2"/>
        <v>4798.0967741935483</v>
      </c>
      <c r="J22" s="204">
        <f t="shared" si="22"/>
        <v>223</v>
      </c>
      <c r="K22" s="204">
        <f t="shared" si="3"/>
        <v>4798.0967741935483</v>
      </c>
      <c r="L22" s="204">
        <f t="shared" si="23"/>
        <v>223</v>
      </c>
      <c r="M22" s="204">
        <f t="shared" si="4"/>
        <v>4798.0967741935483</v>
      </c>
      <c r="N22" s="204">
        <f t="shared" si="24"/>
        <v>223</v>
      </c>
      <c r="O22" s="204">
        <f t="shared" si="5"/>
        <v>4798.0967741935483</v>
      </c>
      <c r="P22" s="204">
        <f t="shared" si="25"/>
        <v>223</v>
      </c>
      <c r="Q22" s="204">
        <f t="shared" si="6"/>
        <v>4798.0967741935483</v>
      </c>
      <c r="R22" s="204">
        <f t="shared" si="26"/>
        <v>223</v>
      </c>
      <c r="S22" s="204">
        <f t="shared" si="7"/>
        <v>4798.0967741935483</v>
      </c>
      <c r="T22" s="204">
        <f t="shared" si="27"/>
        <v>223</v>
      </c>
      <c r="U22" s="204">
        <f t="shared" si="8"/>
        <v>4798.0967741935483</v>
      </c>
      <c r="V22" s="204">
        <f t="shared" si="28"/>
        <v>223</v>
      </c>
      <c r="W22" s="204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4">
        <f>'B5'!C21</f>
        <v>230</v>
      </c>
      <c r="AA22" s="204">
        <f t="shared" si="30"/>
        <v>2300</v>
      </c>
      <c r="AB22" s="204">
        <f t="shared" si="31"/>
        <v>230</v>
      </c>
      <c r="AC22" s="204">
        <f t="shared" si="30"/>
        <v>2300</v>
      </c>
      <c r="AD22" s="204">
        <f t="shared" si="32"/>
        <v>230</v>
      </c>
      <c r="AE22" s="204">
        <f t="shared" si="11"/>
        <v>2300</v>
      </c>
      <c r="AF22" s="204">
        <f t="shared" si="33"/>
        <v>230</v>
      </c>
      <c r="AG22" s="204">
        <f t="shared" si="12"/>
        <v>2300</v>
      </c>
      <c r="AH22" s="204">
        <f t="shared" si="34"/>
        <v>230</v>
      </c>
      <c r="AI22" s="204">
        <f t="shared" si="13"/>
        <v>2300</v>
      </c>
      <c r="AJ22" s="204">
        <f t="shared" si="35"/>
        <v>230</v>
      </c>
      <c r="AK22" s="204">
        <f t="shared" si="14"/>
        <v>2300</v>
      </c>
      <c r="AL22" s="204">
        <f t="shared" si="36"/>
        <v>230</v>
      </c>
      <c r="AM22" s="204">
        <f t="shared" si="15"/>
        <v>2300</v>
      </c>
      <c r="AN22" s="35">
        <f t="shared" si="16"/>
        <v>0.8214285714285714</v>
      </c>
      <c r="AO22" s="36">
        <f t="shared" si="17"/>
        <v>16100</v>
      </c>
      <c r="AQ22" s="224">
        <f t="shared" si="37"/>
        <v>0.74087409396718329</v>
      </c>
      <c r="AR22" s="38">
        <f t="shared" si="41"/>
        <v>68879.06451612903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223</v>
      </c>
      <c r="C23" s="204">
        <f t="shared" si="18"/>
        <v>4798.0967741935483</v>
      </c>
      <c r="D23">
        <f t="shared" si="19"/>
        <v>223</v>
      </c>
      <c r="E23" s="204">
        <f t="shared" si="18"/>
        <v>4798.0967741935483</v>
      </c>
      <c r="F23">
        <f t="shared" si="20"/>
        <v>223</v>
      </c>
      <c r="G23" s="204">
        <f t="shared" si="1"/>
        <v>4798.0967741935483</v>
      </c>
      <c r="H23" s="204">
        <f t="shared" si="21"/>
        <v>223</v>
      </c>
      <c r="I23" s="204">
        <f t="shared" si="2"/>
        <v>4798.0967741935483</v>
      </c>
      <c r="J23" s="204">
        <f t="shared" si="22"/>
        <v>223</v>
      </c>
      <c r="K23" s="204">
        <f t="shared" si="3"/>
        <v>4798.0967741935483</v>
      </c>
      <c r="L23" s="204">
        <f t="shared" si="23"/>
        <v>223</v>
      </c>
      <c r="M23" s="204">
        <f t="shared" si="4"/>
        <v>4798.0967741935483</v>
      </c>
      <c r="N23" s="204">
        <f t="shared" si="24"/>
        <v>223</v>
      </c>
      <c r="O23" s="204">
        <f t="shared" si="5"/>
        <v>4798.0967741935483</v>
      </c>
      <c r="P23" s="204">
        <f t="shared" si="25"/>
        <v>223</v>
      </c>
      <c r="Q23" s="204">
        <f t="shared" si="6"/>
        <v>4798.0967741935483</v>
      </c>
      <c r="R23" s="204">
        <f t="shared" si="26"/>
        <v>223</v>
      </c>
      <c r="S23" s="204">
        <f t="shared" si="7"/>
        <v>4798.0967741935483</v>
      </c>
      <c r="T23" s="204">
        <f t="shared" si="27"/>
        <v>223</v>
      </c>
      <c r="U23" s="204">
        <f t="shared" si="8"/>
        <v>4798.0967741935483</v>
      </c>
      <c r="V23" s="204">
        <f t="shared" si="28"/>
        <v>223</v>
      </c>
      <c r="W23" s="204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4">
        <f>'B5'!C22</f>
        <v>230</v>
      </c>
      <c r="AA23" s="204">
        <f t="shared" si="30"/>
        <v>2300</v>
      </c>
      <c r="AB23" s="204">
        <f t="shared" si="31"/>
        <v>230</v>
      </c>
      <c r="AC23" s="204">
        <f t="shared" si="30"/>
        <v>2300</v>
      </c>
      <c r="AD23" s="204">
        <f t="shared" si="32"/>
        <v>230</v>
      </c>
      <c r="AE23" s="204">
        <f t="shared" si="11"/>
        <v>2300</v>
      </c>
      <c r="AF23" s="204">
        <f t="shared" si="33"/>
        <v>230</v>
      </c>
      <c r="AG23" s="204">
        <f t="shared" si="12"/>
        <v>2300</v>
      </c>
      <c r="AH23" s="204">
        <f t="shared" si="34"/>
        <v>230</v>
      </c>
      <c r="AI23" s="204">
        <f t="shared" si="13"/>
        <v>2300</v>
      </c>
      <c r="AJ23" s="204">
        <f t="shared" si="35"/>
        <v>230</v>
      </c>
      <c r="AK23" s="204">
        <f t="shared" si="14"/>
        <v>2300</v>
      </c>
      <c r="AL23" s="204">
        <f t="shared" si="36"/>
        <v>230</v>
      </c>
      <c r="AM23" s="204">
        <f t="shared" si="15"/>
        <v>2300</v>
      </c>
      <c r="AN23" s="35">
        <f t="shared" si="16"/>
        <v>0.8214285714285714</v>
      </c>
      <c r="AO23" s="36">
        <f t="shared" si="17"/>
        <v>16100</v>
      </c>
      <c r="AQ23" s="224">
        <f t="shared" si="37"/>
        <v>0.74087409396718329</v>
      </c>
      <c r="AR23" s="38">
        <f t="shared" si="41"/>
        <v>68879.06451612903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223</v>
      </c>
      <c r="C24" s="204">
        <f t="shared" si="18"/>
        <v>4798.0967741935483</v>
      </c>
      <c r="D24">
        <f t="shared" si="19"/>
        <v>223</v>
      </c>
      <c r="E24" s="204">
        <f t="shared" si="18"/>
        <v>4798.0967741935483</v>
      </c>
      <c r="F24">
        <f t="shared" si="20"/>
        <v>223</v>
      </c>
      <c r="G24" s="204">
        <f t="shared" si="1"/>
        <v>4798.0967741935483</v>
      </c>
      <c r="H24" s="204">
        <f t="shared" si="21"/>
        <v>223</v>
      </c>
      <c r="I24" s="204">
        <f t="shared" si="2"/>
        <v>4798.0967741935483</v>
      </c>
      <c r="J24" s="204">
        <f t="shared" si="22"/>
        <v>223</v>
      </c>
      <c r="K24" s="204">
        <f t="shared" si="3"/>
        <v>4798.0967741935483</v>
      </c>
      <c r="L24" s="204">
        <f t="shared" si="23"/>
        <v>223</v>
      </c>
      <c r="M24" s="204">
        <f t="shared" si="4"/>
        <v>4798.0967741935483</v>
      </c>
      <c r="N24" s="204">
        <f t="shared" si="24"/>
        <v>223</v>
      </c>
      <c r="O24" s="204">
        <f t="shared" si="5"/>
        <v>4798.0967741935483</v>
      </c>
      <c r="P24" s="204">
        <f t="shared" si="25"/>
        <v>223</v>
      </c>
      <c r="Q24" s="204">
        <f t="shared" si="6"/>
        <v>4798.0967741935483</v>
      </c>
      <c r="R24" s="204">
        <f t="shared" si="26"/>
        <v>223</v>
      </c>
      <c r="S24" s="204">
        <f t="shared" si="7"/>
        <v>4798.0967741935483</v>
      </c>
      <c r="T24" s="204">
        <f t="shared" si="27"/>
        <v>223</v>
      </c>
      <c r="U24" s="204">
        <f t="shared" si="8"/>
        <v>4798.0967741935483</v>
      </c>
      <c r="V24" s="204">
        <f t="shared" si="28"/>
        <v>223</v>
      </c>
      <c r="W24" s="204">
        <f t="shared" si="9"/>
        <v>4798.0967741935483</v>
      </c>
      <c r="X24" s="35">
        <f t="shared" si="10"/>
        <v>0.71935483870967731</v>
      </c>
      <c r="Y24" s="36">
        <f t="shared" si="29"/>
        <v>52779.064516129023</v>
      </c>
      <c r="Z24" s="204">
        <f>'B5'!C23</f>
        <v>230</v>
      </c>
      <c r="AA24" s="204">
        <f t="shared" si="30"/>
        <v>2300</v>
      </c>
      <c r="AB24" s="204">
        <f t="shared" si="31"/>
        <v>230</v>
      </c>
      <c r="AC24" s="204">
        <f t="shared" si="30"/>
        <v>2300</v>
      </c>
      <c r="AD24" s="204">
        <f t="shared" si="32"/>
        <v>230</v>
      </c>
      <c r="AE24" s="204">
        <f t="shared" si="11"/>
        <v>2300</v>
      </c>
      <c r="AF24" s="204">
        <f t="shared" si="33"/>
        <v>230</v>
      </c>
      <c r="AG24" s="204">
        <f t="shared" si="12"/>
        <v>2300</v>
      </c>
      <c r="AH24" s="204">
        <f t="shared" si="34"/>
        <v>230</v>
      </c>
      <c r="AI24" s="204">
        <f t="shared" si="13"/>
        <v>2300</v>
      </c>
      <c r="AJ24" s="204">
        <f t="shared" si="35"/>
        <v>230</v>
      </c>
      <c r="AK24" s="204">
        <f t="shared" si="14"/>
        <v>2300</v>
      </c>
      <c r="AL24" s="204">
        <f t="shared" si="36"/>
        <v>230</v>
      </c>
      <c r="AM24" s="204">
        <f t="shared" si="15"/>
        <v>2300</v>
      </c>
      <c r="AN24" s="35">
        <f t="shared" si="16"/>
        <v>0.8214285714285714</v>
      </c>
      <c r="AO24" s="36">
        <f t="shared" si="17"/>
        <v>16100</v>
      </c>
      <c r="AQ24" s="224">
        <f t="shared" si="37"/>
        <v>0.74087409396718329</v>
      </c>
      <c r="AR24" s="38">
        <f t="shared" si="41"/>
        <v>68879.06451612903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223</v>
      </c>
      <c r="C25" s="204">
        <f t="shared" si="18"/>
        <v>4798.0967741935483</v>
      </c>
      <c r="D25">
        <f t="shared" si="19"/>
        <v>223</v>
      </c>
      <c r="E25" s="204">
        <f t="shared" si="18"/>
        <v>4798.0967741935483</v>
      </c>
      <c r="F25">
        <f t="shared" si="20"/>
        <v>223</v>
      </c>
      <c r="G25" s="204">
        <f t="shared" si="1"/>
        <v>4798.0967741935483</v>
      </c>
      <c r="H25" s="204">
        <f t="shared" si="21"/>
        <v>223</v>
      </c>
      <c r="I25" s="204">
        <f t="shared" si="2"/>
        <v>4798.0967741935483</v>
      </c>
      <c r="J25" s="204">
        <f t="shared" si="22"/>
        <v>223</v>
      </c>
      <c r="K25" s="204">
        <f t="shared" si="3"/>
        <v>4798.0967741935483</v>
      </c>
      <c r="L25" s="204">
        <f t="shared" si="23"/>
        <v>223</v>
      </c>
      <c r="M25" s="204">
        <f t="shared" si="4"/>
        <v>4798.0967741935483</v>
      </c>
      <c r="N25" s="204">
        <f t="shared" si="24"/>
        <v>223</v>
      </c>
      <c r="O25" s="204">
        <f t="shared" si="5"/>
        <v>4798.0967741935483</v>
      </c>
      <c r="P25" s="204">
        <f t="shared" si="25"/>
        <v>223</v>
      </c>
      <c r="Q25" s="204">
        <f t="shared" si="6"/>
        <v>4798.0967741935483</v>
      </c>
      <c r="R25" s="204">
        <f t="shared" si="26"/>
        <v>223</v>
      </c>
      <c r="S25" s="204">
        <f t="shared" si="7"/>
        <v>4798.0967741935483</v>
      </c>
      <c r="T25" s="204">
        <f t="shared" si="27"/>
        <v>223</v>
      </c>
      <c r="U25" s="204">
        <f t="shared" si="8"/>
        <v>4798.0967741935483</v>
      </c>
      <c r="V25" s="204">
        <f t="shared" si="28"/>
        <v>223</v>
      </c>
      <c r="W25" s="204">
        <f t="shared" si="9"/>
        <v>4798.0967741935483</v>
      </c>
      <c r="X25" s="35">
        <f t="shared" si="10"/>
        <v>0.71935483870967731</v>
      </c>
      <c r="Y25" s="36">
        <f t="shared" si="29"/>
        <v>52779.064516129023</v>
      </c>
      <c r="Z25" s="204">
        <f>'B5'!C24</f>
        <v>230</v>
      </c>
      <c r="AA25" s="204">
        <f t="shared" si="30"/>
        <v>2300</v>
      </c>
      <c r="AB25" s="204">
        <f t="shared" si="31"/>
        <v>230</v>
      </c>
      <c r="AC25" s="204">
        <f t="shared" si="30"/>
        <v>2300</v>
      </c>
      <c r="AD25" s="204">
        <f t="shared" si="32"/>
        <v>230</v>
      </c>
      <c r="AE25" s="204">
        <f t="shared" si="11"/>
        <v>2300</v>
      </c>
      <c r="AF25" s="204">
        <f t="shared" si="33"/>
        <v>230</v>
      </c>
      <c r="AG25" s="204">
        <f t="shared" si="12"/>
        <v>2300</v>
      </c>
      <c r="AH25" s="204">
        <f t="shared" si="34"/>
        <v>230</v>
      </c>
      <c r="AI25" s="204">
        <f t="shared" si="13"/>
        <v>2300</v>
      </c>
      <c r="AJ25" s="204">
        <f t="shared" si="35"/>
        <v>230</v>
      </c>
      <c r="AK25" s="204">
        <f t="shared" si="14"/>
        <v>2300</v>
      </c>
      <c r="AL25" s="204">
        <f t="shared" si="36"/>
        <v>230</v>
      </c>
      <c r="AM25" s="204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4">
        <f t="shared" si="37"/>
        <v>0.74087409396718329</v>
      </c>
      <c r="AR25" s="38">
        <f t="shared" si="41"/>
        <v>68879.06451612903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223</v>
      </c>
      <c r="C26" s="204">
        <f t="shared" si="18"/>
        <v>4798.0967741935483</v>
      </c>
      <c r="D26">
        <f t="shared" si="19"/>
        <v>223</v>
      </c>
      <c r="E26" s="204">
        <f t="shared" si="18"/>
        <v>4798.0967741935483</v>
      </c>
      <c r="F26">
        <f t="shared" si="20"/>
        <v>223</v>
      </c>
      <c r="G26" s="204">
        <f t="shared" si="1"/>
        <v>4798.0967741935483</v>
      </c>
      <c r="H26" s="204">
        <f t="shared" si="21"/>
        <v>223</v>
      </c>
      <c r="I26" s="204">
        <f t="shared" si="2"/>
        <v>4798.0967741935483</v>
      </c>
      <c r="J26" s="204">
        <f t="shared" si="22"/>
        <v>223</v>
      </c>
      <c r="K26" s="204">
        <f t="shared" si="3"/>
        <v>4798.0967741935483</v>
      </c>
      <c r="L26" s="204">
        <f t="shared" si="23"/>
        <v>223</v>
      </c>
      <c r="M26" s="204">
        <f t="shared" si="4"/>
        <v>4798.0967741935483</v>
      </c>
      <c r="N26" s="204">
        <f t="shared" si="24"/>
        <v>223</v>
      </c>
      <c r="O26" s="204">
        <f t="shared" si="5"/>
        <v>4798.0967741935483</v>
      </c>
      <c r="P26" s="204">
        <f t="shared" si="25"/>
        <v>223</v>
      </c>
      <c r="Q26" s="204">
        <f t="shared" si="6"/>
        <v>4798.0967741935483</v>
      </c>
      <c r="R26" s="204">
        <f t="shared" si="26"/>
        <v>223</v>
      </c>
      <c r="S26" s="204">
        <f t="shared" si="7"/>
        <v>4798.0967741935483</v>
      </c>
      <c r="T26" s="204">
        <f t="shared" si="27"/>
        <v>223</v>
      </c>
      <c r="U26" s="204">
        <f t="shared" si="8"/>
        <v>4798.0967741935483</v>
      </c>
      <c r="V26" s="204">
        <f t="shared" si="28"/>
        <v>223</v>
      </c>
      <c r="W26" s="204">
        <f t="shared" si="9"/>
        <v>4798.0967741935483</v>
      </c>
      <c r="X26" s="35">
        <f t="shared" si="10"/>
        <v>0.71935483870967731</v>
      </c>
      <c r="Y26" s="36">
        <f t="shared" si="29"/>
        <v>52779.064516129023</v>
      </c>
      <c r="Z26" s="204">
        <f>'B5'!C25</f>
        <v>230</v>
      </c>
      <c r="AA26" s="204">
        <f t="shared" si="30"/>
        <v>2300</v>
      </c>
      <c r="AB26" s="204">
        <f t="shared" si="31"/>
        <v>230</v>
      </c>
      <c r="AC26" s="204">
        <f t="shared" si="30"/>
        <v>2300</v>
      </c>
      <c r="AD26" s="204">
        <f t="shared" si="32"/>
        <v>230</v>
      </c>
      <c r="AE26" s="204">
        <f t="shared" si="11"/>
        <v>2300</v>
      </c>
      <c r="AF26" s="204">
        <f t="shared" si="33"/>
        <v>230</v>
      </c>
      <c r="AG26" s="204">
        <f t="shared" si="12"/>
        <v>2300</v>
      </c>
      <c r="AH26" s="204">
        <f t="shared" si="34"/>
        <v>230</v>
      </c>
      <c r="AI26" s="204">
        <f t="shared" si="13"/>
        <v>2300</v>
      </c>
      <c r="AJ26" s="204">
        <f t="shared" si="35"/>
        <v>230</v>
      </c>
      <c r="AK26" s="204">
        <f t="shared" si="14"/>
        <v>2300</v>
      </c>
      <c r="AL26" s="204">
        <f t="shared" si="36"/>
        <v>230</v>
      </c>
      <c r="AM26" s="204">
        <f t="shared" si="15"/>
        <v>2300</v>
      </c>
      <c r="AN26" s="35">
        <f t="shared" si="16"/>
        <v>0.8214285714285714</v>
      </c>
      <c r="AO26" s="36">
        <f t="shared" si="17"/>
        <v>16100</v>
      </c>
      <c r="AQ26" s="224">
        <f t="shared" si="37"/>
        <v>0.74087409396718329</v>
      </c>
      <c r="AR26" s="38">
        <f t="shared" si="41"/>
        <v>68879.06451612903</v>
      </c>
      <c r="AS26" s="198">
        <f t="shared" si="38"/>
        <v>0</v>
      </c>
      <c r="AT26" s="273"/>
      <c r="AU26" s="442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223</v>
      </c>
      <c r="C27" s="204">
        <f t="shared" si="18"/>
        <v>4798.0967741935483</v>
      </c>
      <c r="D27">
        <f t="shared" si="19"/>
        <v>223</v>
      </c>
      <c r="E27" s="204">
        <f t="shared" si="18"/>
        <v>4798.0967741935483</v>
      </c>
      <c r="F27">
        <f t="shared" si="20"/>
        <v>223</v>
      </c>
      <c r="G27" s="204">
        <f t="shared" si="1"/>
        <v>4798.0967741935483</v>
      </c>
      <c r="H27" s="204">
        <f t="shared" si="21"/>
        <v>223</v>
      </c>
      <c r="I27" s="204">
        <f t="shared" si="2"/>
        <v>4798.0967741935483</v>
      </c>
      <c r="J27" s="204">
        <f t="shared" si="22"/>
        <v>223</v>
      </c>
      <c r="K27" s="204">
        <f t="shared" si="3"/>
        <v>4798.0967741935483</v>
      </c>
      <c r="L27" s="204">
        <f t="shared" si="23"/>
        <v>223</v>
      </c>
      <c r="M27" s="204">
        <f t="shared" si="4"/>
        <v>4798.0967741935483</v>
      </c>
      <c r="N27" s="204">
        <f t="shared" si="24"/>
        <v>223</v>
      </c>
      <c r="O27" s="204">
        <f t="shared" si="5"/>
        <v>4798.0967741935483</v>
      </c>
      <c r="P27" s="204">
        <f t="shared" si="25"/>
        <v>223</v>
      </c>
      <c r="Q27" s="204">
        <f t="shared" si="6"/>
        <v>4798.0967741935483</v>
      </c>
      <c r="R27" s="204">
        <f t="shared" si="26"/>
        <v>223</v>
      </c>
      <c r="S27" s="204">
        <f t="shared" si="7"/>
        <v>4798.0967741935483</v>
      </c>
      <c r="T27" s="204">
        <f t="shared" si="27"/>
        <v>223</v>
      </c>
      <c r="U27" s="204">
        <f t="shared" si="8"/>
        <v>4798.0967741935483</v>
      </c>
      <c r="V27" s="204">
        <f t="shared" si="28"/>
        <v>223</v>
      </c>
      <c r="W27" s="204">
        <f t="shared" si="9"/>
        <v>4798.0967741935483</v>
      </c>
      <c r="X27" s="35">
        <f t="shared" si="10"/>
        <v>0.71935483870967731</v>
      </c>
      <c r="Y27" s="36">
        <f t="shared" si="29"/>
        <v>52779.064516129023</v>
      </c>
      <c r="Z27" s="204">
        <f>'B5'!C26</f>
        <v>230</v>
      </c>
      <c r="AA27" s="204">
        <f t="shared" si="30"/>
        <v>2300</v>
      </c>
      <c r="AB27" s="204">
        <f t="shared" si="31"/>
        <v>230</v>
      </c>
      <c r="AC27" s="204">
        <f t="shared" si="30"/>
        <v>2300</v>
      </c>
      <c r="AD27" s="204">
        <f t="shared" si="32"/>
        <v>230</v>
      </c>
      <c r="AE27" s="204">
        <f t="shared" si="11"/>
        <v>2300</v>
      </c>
      <c r="AF27" s="204">
        <f t="shared" si="33"/>
        <v>230</v>
      </c>
      <c r="AG27" s="204">
        <f t="shared" si="12"/>
        <v>2300</v>
      </c>
      <c r="AH27" s="204">
        <f t="shared" si="34"/>
        <v>230</v>
      </c>
      <c r="AI27" s="204">
        <f t="shared" si="13"/>
        <v>2300</v>
      </c>
      <c r="AJ27" s="204">
        <f t="shared" si="35"/>
        <v>230</v>
      </c>
      <c r="AK27" s="204">
        <f t="shared" si="14"/>
        <v>2300</v>
      </c>
      <c r="AL27" s="204">
        <f t="shared" si="36"/>
        <v>230</v>
      </c>
      <c r="AM27" s="204">
        <f t="shared" si="15"/>
        <v>2300</v>
      </c>
      <c r="AN27" s="35">
        <f t="shared" si="16"/>
        <v>0.8214285714285714</v>
      </c>
      <c r="AO27" s="36">
        <f t="shared" si="17"/>
        <v>16100</v>
      </c>
      <c r="AQ27" s="224">
        <f t="shared" si="37"/>
        <v>0.74087409396718329</v>
      </c>
      <c r="AR27" s="38">
        <f t="shared" si="41"/>
        <v>68879.06451612903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223</v>
      </c>
      <c r="C28" s="204">
        <f t="shared" si="18"/>
        <v>4798.0967741935483</v>
      </c>
      <c r="D28">
        <f t="shared" si="19"/>
        <v>223</v>
      </c>
      <c r="E28" s="204">
        <f t="shared" si="18"/>
        <v>4798.0967741935483</v>
      </c>
      <c r="F28">
        <f t="shared" si="20"/>
        <v>223</v>
      </c>
      <c r="G28" s="204">
        <f t="shared" si="1"/>
        <v>4798.0967741935483</v>
      </c>
      <c r="H28" s="204">
        <f t="shared" si="21"/>
        <v>223</v>
      </c>
      <c r="I28" s="204">
        <f t="shared" si="2"/>
        <v>4798.0967741935483</v>
      </c>
      <c r="J28" s="204">
        <f t="shared" si="22"/>
        <v>223</v>
      </c>
      <c r="K28" s="204">
        <f t="shared" si="3"/>
        <v>4798.0967741935483</v>
      </c>
      <c r="L28" s="204">
        <f t="shared" si="23"/>
        <v>223</v>
      </c>
      <c r="M28" s="204">
        <f t="shared" si="4"/>
        <v>4798.0967741935483</v>
      </c>
      <c r="N28" s="204">
        <f t="shared" si="24"/>
        <v>223</v>
      </c>
      <c r="O28" s="204">
        <f t="shared" si="5"/>
        <v>4798.0967741935483</v>
      </c>
      <c r="P28" s="204">
        <f t="shared" si="25"/>
        <v>223</v>
      </c>
      <c r="Q28" s="204">
        <f t="shared" si="6"/>
        <v>4798.0967741935483</v>
      </c>
      <c r="R28" s="204">
        <f t="shared" si="26"/>
        <v>223</v>
      </c>
      <c r="S28" s="204">
        <f t="shared" si="7"/>
        <v>4798.0967741935483</v>
      </c>
      <c r="T28" s="204">
        <f t="shared" si="27"/>
        <v>223</v>
      </c>
      <c r="U28" s="204">
        <f t="shared" si="8"/>
        <v>4798.0967741935483</v>
      </c>
      <c r="V28" s="204">
        <f t="shared" si="28"/>
        <v>223</v>
      </c>
      <c r="W28" s="204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204">
        <f>'B5'!C27</f>
        <v>230</v>
      </c>
      <c r="AA28" s="204">
        <f t="shared" si="30"/>
        <v>2300</v>
      </c>
      <c r="AB28" s="204">
        <f t="shared" si="31"/>
        <v>230</v>
      </c>
      <c r="AC28" s="204">
        <f t="shared" si="30"/>
        <v>2300</v>
      </c>
      <c r="AD28" s="204">
        <f t="shared" si="32"/>
        <v>230</v>
      </c>
      <c r="AE28" s="204">
        <f t="shared" si="11"/>
        <v>2300</v>
      </c>
      <c r="AF28" s="204">
        <f t="shared" si="33"/>
        <v>230</v>
      </c>
      <c r="AG28" s="204">
        <f t="shared" si="12"/>
        <v>2300</v>
      </c>
      <c r="AH28" s="204">
        <f t="shared" si="34"/>
        <v>230</v>
      </c>
      <c r="AI28" s="204">
        <f t="shared" si="13"/>
        <v>2300</v>
      </c>
      <c r="AJ28" s="204">
        <f t="shared" si="35"/>
        <v>230</v>
      </c>
      <c r="AK28" s="204">
        <f t="shared" si="14"/>
        <v>2300</v>
      </c>
      <c r="AL28" s="204">
        <f t="shared" si="36"/>
        <v>230</v>
      </c>
      <c r="AM28" s="204">
        <f t="shared" si="15"/>
        <v>2300</v>
      </c>
      <c r="AN28" s="35">
        <f t="shared" si="16"/>
        <v>0.8214285714285714</v>
      </c>
      <c r="AO28" s="36">
        <f t="shared" si="17"/>
        <v>16100</v>
      </c>
      <c r="AQ28" s="224">
        <f t="shared" si="37"/>
        <v>0.74087409396718329</v>
      </c>
      <c r="AR28" s="38">
        <f t="shared" si="41"/>
        <v>68879.06451612903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223</v>
      </c>
      <c r="C29" s="204">
        <f t="shared" si="18"/>
        <v>4798.0967741935483</v>
      </c>
      <c r="D29">
        <f t="shared" si="19"/>
        <v>223</v>
      </c>
      <c r="E29" s="204">
        <f t="shared" si="18"/>
        <v>4798.0967741935483</v>
      </c>
      <c r="F29">
        <f t="shared" si="20"/>
        <v>223</v>
      </c>
      <c r="G29" s="204">
        <f t="shared" si="1"/>
        <v>4798.0967741935483</v>
      </c>
      <c r="H29" s="204">
        <f t="shared" si="21"/>
        <v>223</v>
      </c>
      <c r="I29" s="204">
        <f t="shared" si="2"/>
        <v>4798.0967741935483</v>
      </c>
      <c r="J29" s="204">
        <f t="shared" si="22"/>
        <v>223</v>
      </c>
      <c r="K29" s="204">
        <f t="shared" si="3"/>
        <v>4798.0967741935483</v>
      </c>
      <c r="L29" s="204">
        <f t="shared" si="23"/>
        <v>223</v>
      </c>
      <c r="M29" s="204">
        <f t="shared" si="4"/>
        <v>4798.0967741935483</v>
      </c>
      <c r="N29" s="204">
        <f t="shared" si="24"/>
        <v>223</v>
      </c>
      <c r="O29" s="204">
        <f t="shared" si="5"/>
        <v>4798.0967741935483</v>
      </c>
      <c r="P29" s="204">
        <f t="shared" si="25"/>
        <v>223</v>
      </c>
      <c r="Q29" s="204">
        <f t="shared" si="6"/>
        <v>4798.0967741935483</v>
      </c>
      <c r="R29" s="204">
        <f t="shared" si="26"/>
        <v>223</v>
      </c>
      <c r="S29" s="204">
        <f t="shared" si="7"/>
        <v>4798.0967741935483</v>
      </c>
      <c r="T29" s="204">
        <f t="shared" si="27"/>
        <v>223</v>
      </c>
      <c r="U29" s="204">
        <f t="shared" si="8"/>
        <v>4798.0967741935483</v>
      </c>
      <c r="V29" s="204">
        <f t="shared" si="28"/>
        <v>223</v>
      </c>
      <c r="W29" s="204">
        <f t="shared" si="9"/>
        <v>4798.0967741935483</v>
      </c>
      <c r="X29" s="35">
        <f t="shared" si="10"/>
        <v>0.71935483870967731</v>
      </c>
      <c r="Y29" s="36">
        <f t="shared" si="29"/>
        <v>52779.064516129023</v>
      </c>
      <c r="Z29" s="204">
        <f>'B5'!C28</f>
        <v>230</v>
      </c>
      <c r="AA29" s="204">
        <f t="shared" si="30"/>
        <v>2300</v>
      </c>
      <c r="AB29" s="204">
        <f t="shared" si="31"/>
        <v>230</v>
      </c>
      <c r="AC29" s="204">
        <f t="shared" si="30"/>
        <v>2300</v>
      </c>
      <c r="AD29" s="204">
        <f t="shared" si="32"/>
        <v>230</v>
      </c>
      <c r="AE29" s="204">
        <f t="shared" si="11"/>
        <v>2300</v>
      </c>
      <c r="AF29" s="204">
        <f t="shared" si="33"/>
        <v>230</v>
      </c>
      <c r="AG29" s="204">
        <f t="shared" si="12"/>
        <v>2300</v>
      </c>
      <c r="AH29" s="204">
        <f t="shared" si="34"/>
        <v>230</v>
      </c>
      <c r="AI29" s="204">
        <f t="shared" si="13"/>
        <v>2300</v>
      </c>
      <c r="AJ29" s="204">
        <f t="shared" si="35"/>
        <v>230</v>
      </c>
      <c r="AK29" s="204">
        <f t="shared" si="14"/>
        <v>2300</v>
      </c>
      <c r="AL29" s="204">
        <f t="shared" si="36"/>
        <v>230</v>
      </c>
      <c r="AM29" s="204">
        <f t="shared" si="15"/>
        <v>2300</v>
      </c>
      <c r="AN29" s="35">
        <f t="shared" si="16"/>
        <v>0.8214285714285714</v>
      </c>
      <c r="AO29" s="36">
        <f t="shared" si="17"/>
        <v>16100</v>
      </c>
      <c r="AQ29" s="224">
        <f t="shared" si="37"/>
        <v>0.74087409396718329</v>
      </c>
      <c r="AR29" s="38">
        <f t="shared" si="41"/>
        <v>68879.06451612903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223</v>
      </c>
      <c r="C30" s="204">
        <f t="shared" si="18"/>
        <v>4798.0967741935483</v>
      </c>
      <c r="D30">
        <f t="shared" ref="D30:D35" si="44">SUM(B30)</f>
        <v>223</v>
      </c>
      <c r="E30" s="204">
        <f t="shared" si="18"/>
        <v>4798.0967741935483</v>
      </c>
      <c r="F30">
        <f t="shared" ref="F30:F35" si="45">SUM(D30)</f>
        <v>223</v>
      </c>
      <c r="G30" s="204">
        <f t="shared" si="1"/>
        <v>4798.0967741935483</v>
      </c>
      <c r="H30" s="204">
        <f t="shared" ref="H30:H35" si="46">SUM(F30)</f>
        <v>223</v>
      </c>
      <c r="I30" s="204">
        <f t="shared" si="2"/>
        <v>4798.0967741935483</v>
      </c>
      <c r="J30" s="204">
        <f t="shared" ref="J30:J35" si="47">SUM(H30)</f>
        <v>223</v>
      </c>
      <c r="K30" s="204">
        <f t="shared" si="3"/>
        <v>4798.0967741935483</v>
      </c>
      <c r="L30" s="204">
        <f t="shared" ref="L30:L35" si="48">SUM(J30)</f>
        <v>223</v>
      </c>
      <c r="M30" s="204">
        <f t="shared" si="4"/>
        <v>4798.0967741935483</v>
      </c>
      <c r="N30" s="204">
        <f t="shared" ref="N30:N35" si="49">SUM(L30)</f>
        <v>223</v>
      </c>
      <c r="O30" s="204">
        <f t="shared" si="5"/>
        <v>4798.0967741935483</v>
      </c>
      <c r="P30" s="204">
        <f t="shared" ref="P30:P35" si="50">SUM(N30)</f>
        <v>223</v>
      </c>
      <c r="Q30" s="204">
        <f t="shared" si="6"/>
        <v>4798.0967741935483</v>
      </c>
      <c r="R30" s="204">
        <f t="shared" ref="R30:R35" si="51">SUM(P30)</f>
        <v>223</v>
      </c>
      <c r="S30" s="204">
        <f t="shared" si="7"/>
        <v>4798.0967741935483</v>
      </c>
      <c r="T30" s="204">
        <f t="shared" ref="T30:T35" si="52">SUM(R30)</f>
        <v>223</v>
      </c>
      <c r="U30" s="204">
        <f t="shared" si="8"/>
        <v>4798.0967741935483</v>
      </c>
      <c r="V30" s="204">
        <f t="shared" ref="V30:V35" si="53">SUM(T30)</f>
        <v>223</v>
      </c>
      <c r="W30" s="204">
        <f t="shared" si="9"/>
        <v>4798.0967741935483</v>
      </c>
      <c r="X30" s="35">
        <f t="shared" ref="X30:X35" si="54">SUM(Y30/73370)</f>
        <v>0.71935483870967731</v>
      </c>
      <c r="Y30" s="36">
        <f t="shared" ref="Y30:Y35" si="55">SUM(C30+E30+G30+I30+K30+M30+O30+Q30+S30+U30+W30)</f>
        <v>52779.064516129023</v>
      </c>
      <c r="Z30" s="204">
        <f>'B5'!C29</f>
        <v>230</v>
      </c>
      <c r="AA30" s="204">
        <f t="shared" si="30"/>
        <v>2300</v>
      </c>
      <c r="AB30" s="204">
        <f t="shared" ref="AB30:AB35" si="56">SUM(Z30)</f>
        <v>230</v>
      </c>
      <c r="AC30" s="204">
        <f t="shared" si="30"/>
        <v>2300</v>
      </c>
      <c r="AD30" s="204">
        <f t="shared" ref="AD30:AD35" si="57">SUM(AB30)</f>
        <v>230</v>
      </c>
      <c r="AE30" s="204">
        <f t="shared" si="11"/>
        <v>2300</v>
      </c>
      <c r="AF30" s="204">
        <f t="shared" ref="AF30:AF35" si="58">SUM(AD30)</f>
        <v>230</v>
      </c>
      <c r="AG30" s="204">
        <f t="shared" si="12"/>
        <v>2300</v>
      </c>
      <c r="AH30" s="204">
        <f t="shared" ref="AH30:AH35" si="59">SUM(AF30)</f>
        <v>230</v>
      </c>
      <c r="AI30" s="204">
        <f t="shared" si="13"/>
        <v>2300</v>
      </c>
      <c r="AJ30" s="204">
        <f t="shared" ref="AJ30:AJ35" si="60">SUM(AH30)</f>
        <v>230</v>
      </c>
      <c r="AK30" s="204">
        <f t="shared" si="14"/>
        <v>2300</v>
      </c>
      <c r="AL30" s="204">
        <f t="shared" ref="AL30:AL35" si="61">SUM(AJ30)</f>
        <v>230</v>
      </c>
      <c r="AM30" s="204">
        <f t="shared" si="15"/>
        <v>2300</v>
      </c>
      <c r="AN30" s="35">
        <f t="shared" ref="AN30:AN35" si="62">SUM(AO30/19600)</f>
        <v>0.8214285714285714</v>
      </c>
      <c r="AO30" s="36">
        <f t="shared" ref="AO30:AO35" si="63">SUM(AA30+AC30+AE30+AG30+AI30+AK30+AM30)</f>
        <v>16100</v>
      </c>
      <c r="AQ30" s="224">
        <f t="shared" si="37"/>
        <v>0.74087409396718329</v>
      </c>
      <c r="AR30" s="38">
        <f t="shared" si="41"/>
        <v>68879.06451612903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223</v>
      </c>
      <c r="C31" s="204">
        <f t="shared" si="18"/>
        <v>4798.0967741935483</v>
      </c>
      <c r="D31">
        <f t="shared" si="44"/>
        <v>223</v>
      </c>
      <c r="E31" s="204">
        <f t="shared" si="18"/>
        <v>4798.0967741935483</v>
      </c>
      <c r="F31">
        <f t="shared" si="45"/>
        <v>223</v>
      </c>
      <c r="G31" s="204">
        <f t="shared" si="1"/>
        <v>4798.0967741935483</v>
      </c>
      <c r="H31" s="204">
        <f t="shared" si="46"/>
        <v>223</v>
      </c>
      <c r="I31" s="204">
        <f t="shared" si="2"/>
        <v>4798.0967741935483</v>
      </c>
      <c r="J31" s="204">
        <f t="shared" si="47"/>
        <v>223</v>
      </c>
      <c r="K31" s="204">
        <f t="shared" si="3"/>
        <v>4798.0967741935483</v>
      </c>
      <c r="L31" s="204">
        <f t="shared" si="48"/>
        <v>223</v>
      </c>
      <c r="M31" s="204">
        <f t="shared" si="4"/>
        <v>4798.0967741935483</v>
      </c>
      <c r="N31" s="204">
        <f t="shared" si="49"/>
        <v>223</v>
      </c>
      <c r="O31" s="204">
        <f t="shared" si="5"/>
        <v>4798.0967741935483</v>
      </c>
      <c r="P31" s="204">
        <f t="shared" si="50"/>
        <v>223</v>
      </c>
      <c r="Q31" s="204">
        <f t="shared" si="6"/>
        <v>4798.0967741935483</v>
      </c>
      <c r="R31" s="204">
        <f t="shared" si="51"/>
        <v>223</v>
      </c>
      <c r="S31" s="204">
        <f t="shared" si="7"/>
        <v>4798.0967741935483</v>
      </c>
      <c r="T31" s="204">
        <f t="shared" si="52"/>
        <v>223</v>
      </c>
      <c r="U31" s="204">
        <f t="shared" si="8"/>
        <v>4798.0967741935483</v>
      </c>
      <c r="V31" s="204">
        <f t="shared" si="53"/>
        <v>223</v>
      </c>
      <c r="W31" s="204">
        <f t="shared" si="9"/>
        <v>4798.0967741935483</v>
      </c>
      <c r="X31" s="35">
        <f t="shared" si="54"/>
        <v>0.71935483870967731</v>
      </c>
      <c r="Y31" s="36">
        <f t="shared" si="55"/>
        <v>52779.064516129023</v>
      </c>
      <c r="Z31" s="204">
        <f>'B5'!C30</f>
        <v>230</v>
      </c>
      <c r="AA31" s="204">
        <f t="shared" si="30"/>
        <v>2300</v>
      </c>
      <c r="AB31" s="204">
        <f t="shared" si="56"/>
        <v>230</v>
      </c>
      <c r="AC31" s="204">
        <f t="shared" si="30"/>
        <v>2300</v>
      </c>
      <c r="AD31" s="204">
        <f t="shared" si="57"/>
        <v>230</v>
      </c>
      <c r="AE31" s="204">
        <f t="shared" si="11"/>
        <v>2300</v>
      </c>
      <c r="AF31" s="204">
        <f t="shared" si="58"/>
        <v>230</v>
      </c>
      <c r="AG31" s="204">
        <f t="shared" si="12"/>
        <v>2300</v>
      </c>
      <c r="AH31" s="204">
        <f t="shared" si="59"/>
        <v>230</v>
      </c>
      <c r="AI31" s="204">
        <f t="shared" si="13"/>
        <v>2300</v>
      </c>
      <c r="AJ31" s="204">
        <f t="shared" si="60"/>
        <v>230</v>
      </c>
      <c r="AK31" s="204">
        <f t="shared" si="14"/>
        <v>2300</v>
      </c>
      <c r="AL31" s="204">
        <f t="shared" si="61"/>
        <v>230</v>
      </c>
      <c r="AM31" s="204">
        <f t="shared" si="15"/>
        <v>2300</v>
      </c>
      <c r="AN31" s="35">
        <f t="shared" si="62"/>
        <v>0.8214285714285714</v>
      </c>
      <c r="AO31" s="36">
        <f t="shared" si="63"/>
        <v>16100</v>
      </c>
      <c r="AQ31" s="224">
        <f t="shared" si="37"/>
        <v>0.74087409396718329</v>
      </c>
      <c r="AR31" s="38">
        <f t="shared" si="41"/>
        <v>68879.06451612903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223</v>
      </c>
      <c r="C32" s="204">
        <f t="shared" si="18"/>
        <v>4798.0967741935483</v>
      </c>
      <c r="D32">
        <f t="shared" si="44"/>
        <v>223</v>
      </c>
      <c r="E32" s="204">
        <f t="shared" si="18"/>
        <v>4798.0967741935483</v>
      </c>
      <c r="F32">
        <f t="shared" si="45"/>
        <v>223</v>
      </c>
      <c r="G32" s="204">
        <f t="shared" si="1"/>
        <v>4798.0967741935483</v>
      </c>
      <c r="H32" s="204">
        <f t="shared" si="46"/>
        <v>223</v>
      </c>
      <c r="I32" s="204">
        <f t="shared" si="2"/>
        <v>4798.0967741935483</v>
      </c>
      <c r="J32" s="204">
        <f t="shared" si="47"/>
        <v>223</v>
      </c>
      <c r="K32" s="204">
        <f t="shared" si="3"/>
        <v>4798.0967741935483</v>
      </c>
      <c r="L32" s="204">
        <f t="shared" si="48"/>
        <v>223</v>
      </c>
      <c r="M32" s="204">
        <f t="shared" si="4"/>
        <v>4798.0967741935483</v>
      </c>
      <c r="N32" s="204">
        <f t="shared" si="49"/>
        <v>223</v>
      </c>
      <c r="O32" s="204">
        <f t="shared" si="5"/>
        <v>4798.0967741935483</v>
      </c>
      <c r="P32" s="204">
        <f t="shared" si="50"/>
        <v>223</v>
      </c>
      <c r="Q32" s="204">
        <f t="shared" si="6"/>
        <v>4798.0967741935483</v>
      </c>
      <c r="R32" s="204">
        <f t="shared" si="51"/>
        <v>223</v>
      </c>
      <c r="S32" s="204">
        <f t="shared" si="7"/>
        <v>4798.0967741935483</v>
      </c>
      <c r="T32" s="204">
        <f t="shared" si="52"/>
        <v>223</v>
      </c>
      <c r="U32" s="204">
        <f t="shared" si="8"/>
        <v>4798.0967741935483</v>
      </c>
      <c r="V32" s="204">
        <f t="shared" si="53"/>
        <v>223</v>
      </c>
      <c r="W32" s="204">
        <f t="shared" si="9"/>
        <v>4798.0967741935483</v>
      </c>
      <c r="X32" s="35">
        <f t="shared" si="54"/>
        <v>0.71935483870967731</v>
      </c>
      <c r="Y32" s="36">
        <f t="shared" si="55"/>
        <v>52779.064516129023</v>
      </c>
      <c r="Z32" s="204">
        <f>'B5'!C31</f>
        <v>230</v>
      </c>
      <c r="AA32" s="204">
        <f t="shared" si="30"/>
        <v>2300</v>
      </c>
      <c r="AB32" s="204">
        <f t="shared" si="56"/>
        <v>230</v>
      </c>
      <c r="AC32" s="204">
        <f t="shared" si="30"/>
        <v>2300</v>
      </c>
      <c r="AD32" s="204">
        <f t="shared" si="57"/>
        <v>230</v>
      </c>
      <c r="AE32" s="204">
        <f t="shared" si="11"/>
        <v>2300</v>
      </c>
      <c r="AF32" s="204">
        <f t="shared" si="58"/>
        <v>230</v>
      </c>
      <c r="AG32" s="204">
        <f t="shared" si="12"/>
        <v>2300</v>
      </c>
      <c r="AH32" s="204">
        <f t="shared" si="59"/>
        <v>230</v>
      </c>
      <c r="AI32" s="204">
        <f t="shared" si="13"/>
        <v>2300</v>
      </c>
      <c r="AJ32" s="204">
        <f t="shared" si="60"/>
        <v>230</v>
      </c>
      <c r="AK32" s="204">
        <f t="shared" si="14"/>
        <v>2300</v>
      </c>
      <c r="AL32" s="204">
        <f t="shared" si="61"/>
        <v>230</v>
      </c>
      <c r="AM32" s="204">
        <f t="shared" si="15"/>
        <v>2300</v>
      </c>
      <c r="AN32" s="35">
        <f t="shared" si="62"/>
        <v>0.8214285714285714</v>
      </c>
      <c r="AO32" s="36">
        <f t="shared" si="63"/>
        <v>16100</v>
      </c>
      <c r="AQ32" s="224">
        <f t="shared" si="37"/>
        <v>0.74087409396718329</v>
      </c>
      <c r="AR32" s="38">
        <f t="shared" si="41"/>
        <v>68879.06451612903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223</v>
      </c>
      <c r="C33" s="204">
        <f t="shared" si="18"/>
        <v>4798.0967741935483</v>
      </c>
      <c r="D33">
        <f t="shared" si="44"/>
        <v>223</v>
      </c>
      <c r="E33" s="204">
        <f t="shared" si="18"/>
        <v>4798.0967741935483</v>
      </c>
      <c r="F33">
        <f t="shared" si="45"/>
        <v>223</v>
      </c>
      <c r="G33" s="204">
        <f t="shared" si="1"/>
        <v>4798.0967741935483</v>
      </c>
      <c r="H33" s="204">
        <f t="shared" si="46"/>
        <v>223</v>
      </c>
      <c r="I33" s="204">
        <f t="shared" si="2"/>
        <v>4798.0967741935483</v>
      </c>
      <c r="J33" s="204">
        <f t="shared" si="47"/>
        <v>223</v>
      </c>
      <c r="K33" s="204">
        <f t="shared" si="3"/>
        <v>4798.0967741935483</v>
      </c>
      <c r="L33" s="204">
        <f t="shared" si="48"/>
        <v>223</v>
      </c>
      <c r="M33" s="204">
        <f t="shared" si="4"/>
        <v>4798.0967741935483</v>
      </c>
      <c r="N33" s="204">
        <f t="shared" si="49"/>
        <v>223</v>
      </c>
      <c r="O33" s="204">
        <f t="shared" si="5"/>
        <v>4798.0967741935483</v>
      </c>
      <c r="P33" s="204">
        <f t="shared" si="50"/>
        <v>223</v>
      </c>
      <c r="Q33" s="204">
        <f t="shared" si="6"/>
        <v>4798.0967741935483</v>
      </c>
      <c r="R33" s="204">
        <f t="shared" si="51"/>
        <v>223</v>
      </c>
      <c r="S33" s="204">
        <f t="shared" si="7"/>
        <v>4798.0967741935483</v>
      </c>
      <c r="T33" s="204">
        <f t="shared" si="52"/>
        <v>223</v>
      </c>
      <c r="U33" s="204">
        <f t="shared" si="8"/>
        <v>4798.0967741935483</v>
      </c>
      <c r="V33" s="204">
        <f t="shared" si="53"/>
        <v>223</v>
      </c>
      <c r="W33" s="204">
        <f t="shared" si="9"/>
        <v>4798.0967741935483</v>
      </c>
      <c r="X33" s="35">
        <f t="shared" si="54"/>
        <v>0.71935483870967731</v>
      </c>
      <c r="Y33" s="36">
        <f t="shared" si="55"/>
        <v>52779.064516129023</v>
      </c>
      <c r="Z33" s="204">
        <f>'B5'!C32</f>
        <v>230</v>
      </c>
      <c r="AA33" s="204">
        <f t="shared" si="30"/>
        <v>2300</v>
      </c>
      <c r="AB33" s="204">
        <f t="shared" si="56"/>
        <v>230</v>
      </c>
      <c r="AC33" s="204">
        <f t="shared" si="30"/>
        <v>2300</v>
      </c>
      <c r="AD33" s="204">
        <f t="shared" si="57"/>
        <v>230</v>
      </c>
      <c r="AE33" s="204">
        <f t="shared" si="11"/>
        <v>2300</v>
      </c>
      <c r="AF33" s="204">
        <f t="shared" si="58"/>
        <v>230</v>
      </c>
      <c r="AG33" s="204">
        <f t="shared" si="12"/>
        <v>2300</v>
      </c>
      <c r="AH33" s="204">
        <f t="shared" si="59"/>
        <v>230</v>
      </c>
      <c r="AI33" s="204">
        <f t="shared" si="13"/>
        <v>2300</v>
      </c>
      <c r="AJ33" s="204">
        <f t="shared" si="60"/>
        <v>230</v>
      </c>
      <c r="AK33" s="204">
        <f t="shared" si="14"/>
        <v>2300</v>
      </c>
      <c r="AL33" s="204">
        <f t="shared" si="61"/>
        <v>230</v>
      </c>
      <c r="AM33" s="204">
        <f t="shared" si="15"/>
        <v>2300</v>
      </c>
      <c r="AN33" s="35">
        <f t="shared" si="62"/>
        <v>0.8214285714285714</v>
      </c>
      <c r="AO33" s="36">
        <f t="shared" si="63"/>
        <v>16100</v>
      </c>
      <c r="AQ33" s="224">
        <f t="shared" si="37"/>
        <v>0.74087409396718329</v>
      </c>
      <c r="AR33" s="38">
        <f t="shared" si="41"/>
        <v>68879.06451612903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223</v>
      </c>
      <c r="C34" s="204">
        <f t="shared" si="18"/>
        <v>4798.0967741935483</v>
      </c>
      <c r="D34">
        <f t="shared" si="44"/>
        <v>223</v>
      </c>
      <c r="E34" s="204">
        <f t="shared" si="18"/>
        <v>4798.0967741935483</v>
      </c>
      <c r="F34">
        <f t="shared" si="45"/>
        <v>223</v>
      </c>
      <c r="G34" s="204">
        <f t="shared" si="1"/>
        <v>4798.0967741935483</v>
      </c>
      <c r="H34" s="204">
        <f t="shared" si="46"/>
        <v>223</v>
      </c>
      <c r="I34" s="204">
        <f t="shared" si="2"/>
        <v>4798.0967741935483</v>
      </c>
      <c r="J34" s="204">
        <f t="shared" si="47"/>
        <v>223</v>
      </c>
      <c r="K34" s="204">
        <f t="shared" si="3"/>
        <v>4798.0967741935483</v>
      </c>
      <c r="L34" s="204">
        <f t="shared" si="48"/>
        <v>223</v>
      </c>
      <c r="M34" s="204">
        <f t="shared" si="4"/>
        <v>4798.0967741935483</v>
      </c>
      <c r="N34" s="204">
        <f t="shared" si="49"/>
        <v>223</v>
      </c>
      <c r="O34" s="204">
        <f t="shared" si="5"/>
        <v>4798.0967741935483</v>
      </c>
      <c r="P34" s="204">
        <f t="shared" si="50"/>
        <v>223</v>
      </c>
      <c r="Q34" s="204">
        <f t="shared" si="6"/>
        <v>4798.0967741935483</v>
      </c>
      <c r="R34" s="204">
        <f t="shared" si="51"/>
        <v>223</v>
      </c>
      <c r="S34" s="204">
        <f t="shared" si="7"/>
        <v>4798.0967741935483</v>
      </c>
      <c r="T34" s="204">
        <f t="shared" si="52"/>
        <v>223</v>
      </c>
      <c r="U34" s="204">
        <f t="shared" si="8"/>
        <v>4798.0967741935483</v>
      </c>
      <c r="V34" s="204">
        <f t="shared" si="53"/>
        <v>223</v>
      </c>
      <c r="W34" s="204">
        <f t="shared" si="9"/>
        <v>4798.0967741935483</v>
      </c>
      <c r="X34" s="35">
        <f t="shared" si="54"/>
        <v>0.71935483870967731</v>
      </c>
      <c r="Y34" s="36">
        <f t="shared" si="55"/>
        <v>52779.064516129023</v>
      </c>
      <c r="Z34" s="204">
        <f>'B5'!C33</f>
        <v>230</v>
      </c>
      <c r="AA34" s="204">
        <f t="shared" si="30"/>
        <v>2300</v>
      </c>
      <c r="AB34" s="204">
        <f t="shared" si="56"/>
        <v>230</v>
      </c>
      <c r="AC34" s="204">
        <f t="shared" si="30"/>
        <v>2300</v>
      </c>
      <c r="AD34" s="204">
        <f t="shared" si="57"/>
        <v>230</v>
      </c>
      <c r="AE34" s="204">
        <f t="shared" si="11"/>
        <v>2300</v>
      </c>
      <c r="AF34" s="204">
        <f t="shared" si="58"/>
        <v>230</v>
      </c>
      <c r="AG34" s="204">
        <f t="shared" si="12"/>
        <v>2300</v>
      </c>
      <c r="AH34" s="204">
        <f t="shared" si="59"/>
        <v>230</v>
      </c>
      <c r="AI34" s="204">
        <f t="shared" si="13"/>
        <v>2300</v>
      </c>
      <c r="AJ34" s="204">
        <f t="shared" si="60"/>
        <v>230</v>
      </c>
      <c r="AK34" s="204">
        <f t="shared" si="14"/>
        <v>2300</v>
      </c>
      <c r="AL34" s="204">
        <f t="shared" si="61"/>
        <v>230</v>
      </c>
      <c r="AM34" s="204">
        <f t="shared" si="15"/>
        <v>2300</v>
      </c>
      <c r="AN34" s="35">
        <f t="shared" si="62"/>
        <v>0.8214285714285714</v>
      </c>
      <c r="AO34" s="36">
        <f t="shared" si="63"/>
        <v>16100</v>
      </c>
      <c r="AQ34" s="224">
        <f>SUM(AR34/92970)</f>
        <v>0.74087409396718329</v>
      </c>
      <c r="AR34" s="38">
        <f t="shared" si="41"/>
        <v>68879.06451612903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223</v>
      </c>
      <c r="C35" s="204">
        <f t="shared" si="18"/>
        <v>4798.0967741935483</v>
      </c>
      <c r="D35">
        <f t="shared" si="44"/>
        <v>223</v>
      </c>
      <c r="E35" s="204">
        <f t="shared" si="18"/>
        <v>4798.0967741935483</v>
      </c>
      <c r="F35">
        <f t="shared" si="45"/>
        <v>223</v>
      </c>
      <c r="G35" s="204">
        <f t="shared" si="1"/>
        <v>4798.0967741935483</v>
      </c>
      <c r="H35" s="204">
        <f t="shared" si="46"/>
        <v>223</v>
      </c>
      <c r="I35" s="204">
        <f t="shared" si="2"/>
        <v>4798.0967741935483</v>
      </c>
      <c r="J35" s="204">
        <f t="shared" si="47"/>
        <v>223</v>
      </c>
      <c r="K35" s="204">
        <f t="shared" si="3"/>
        <v>4798.0967741935483</v>
      </c>
      <c r="L35" s="204">
        <f t="shared" si="48"/>
        <v>223</v>
      </c>
      <c r="M35" s="204">
        <f t="shared" si="4"/>
        <v>4798.0967741935483</v>
      </c>
      <c r="N35" s="204">
        <f t="shared" si="49"/>
        <v>223</v>
      </c>
      <c r="O35" s="204">
        <f t="shared" si="5"/>
        <v>4798.0967741935483</v>
      </c>
      <c r="P35" s="204">
        <f t="shared" si="50"/>
        <v>223</v>
      </c>
      <c r="Q35" s="204">
        <f t="shared" si="6"/>
        <v>4798.0967741935483</v>
      </c>
      <c r="R35" s="204">
        <f t="shared" si="51"/>
        <v>223</v>
      </c>
      <c r="S35" s="204">
        <f t="shared" si="7"/>
        <v>4798.0967741935483</v>
      </c>
      <c r="T35" s="204">
        <f t="shared" si="52"/>
        <v>223</v>
      </c>
      <c r="U35" s="204">
        <f t="shared" si="8"/>
        <v>4798.0967741935483</v>
      </c>
      <c r="V35" s="204">
        <f t="shared" si="53"/>
        <v>223</v>
      </c>
      <c r="W35" s="204">
        <f t="shared" si="9"/>
        <v>4798.0967741935483</v>
      </c>
      <c r="X35" s="35">
        <f t="shared" si="54"/>
        <v>0.71935483870967731</v>
      </c>
      <c r="Y35" s="36">
        <f t="shared" si="55"/>
        <v>52779.064516129023</v>
      </c>
      <c r="Z35" s="204">
        <f>'B5'!C34</f>
        <v>230</v>
      </c>
      <c r="AA35" s="204">
        <f t="shared" si="30"/>
        <v>2300</v>
      </c>
      <c r="AB35" s="204">
        <f t="shared" si="56"/>
        <v>230</v>
      </c>
      <c r="AC35" s="204">
        <f t="shared" si="30"/>
        <v>2300</v>
      </c>
      <c r="AD35" s="204">
        <f t="shared" si="57"/>
        <v>230</v>
      </c>
      <c r="AE35" s="204">
        <f t="shared" si="11"/>
        <v>2300</v>
      </c>
      <c r="AF35" s="204">
        <f t="shared" si="58"/>
        <v>230</v>
      </c>
      <c r="AG35" s="204">
        <f t="shared" si="12"/>
        <v>2300</v>
      </c>
      <c r="AH35" s="204">
        <f t="shared" si="59"/>
        <v>230</v>
      </c>
      <c r="AI35" s="204">
        <f t="shared" si="13"/>
        <v>2300</v>
      </c>
      <c r="AJ35" s="204">
        <f t="shared" si="60"/>
        <v>230</v>
      </c>
      <c r="AK35" s="204">
        <f t="shared" si="14"/>
        <v>2300</v>
      </c>
      <c r="AL35" s="204">
        <f t="shared" si="61"/>
        <v>230</v>
      </c>
      <c r="AM35" s="204">
        <f t="shared" si="15"/>
        <v>2300</v>
      </c>
      <c r="AN35" s="35">
        <f t="shared" si="62"/>
        <v>0.8214285714285714</v>
      </c>
      <c r="AO35" s="36">
        <f t="shared" si="63"/>
        <v>16100</v>
      </c>
      <c r="AQ35" s="224">
        <f>SUM(AR35/92970)</f>
        <v>0.74087409396718329</v>
      </c>
      <c r="AR35" s="38">
        <f t="shared" si="41"/>
        <v>68879.06451612903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223</v>
      </c>
      <c r="C36" s="204">
        <f t="shared" ref="C36" si="64">B36*$B$4</f>
        <v>4798.0967741935483</v>
      </c>
      <c r="D36">
        <f t="shared" ref="D36" si="65">SUM(B36)</f>
        <v>223</v>
      </c>
      <c r="E36" s="204">
        <f t="shared" ref="E36" si="66">D36*$B$4</f>
        <v>4798.0967741935483</v>
      </c>
      <c r="F36">
        <f t="shared" ref="F36" si="67">SUM(D36)</f>
        <v>223</v>
      </c>
      <c r="G36" s="204">
        <f t="shared" ref="G36" si="68">F36*$B$4</f>
        <v>4798.0967741935483</v>
      </c>
      <c r="H36" s="204">
        <f t="shared" ref="H36" si="69">SUM(F36)</f>
        <v>223</v>
      </c>
      <c r="I36" s="204">
        <f t="shared" ref="I36" si="70">H36*$B$4</f>
        <v>4798.0967741935483</v>
      </c>
      <c r="J36" s="204">
        <f t="shared" ref="J36" si="71">SUM(H36)</f>
        <v>223</v>
      </c>
      <c r="K36" s="204">
        <f t="shared" ref="K36" si="72">J36*$B$4</f>
        <v>4798.0967741935483</v>
      </c>
      <c r="L36" s="204">
        <f t="shared" ref="L36" si="73">SUM(J36)</f>
        <v>223</v>
      </c>
      <c r="M36" s="204">
        <f t="shared" ref="M36" si="74">L36*$B$4</f>
        <v>4798.0967741935483</v>
      </c>
      <c r="N36" s="204">
        <f t="shared" ref="N36" si="75">SUM(L36)</f>
        <v>223</v>
      </c>
      <c r="O36" s="204">
        <f t="shared" ref="O36" si="76">N36*$B$4</f>
        <v>4798.0967741935483</v>
      </c>
      <c r="P36" s="204">
        <f t="shared" ref="P36" si="77">SUM(N36)</f>
        <v>223</v>
      </c>
      <c r="Q36" s="204">
        <f t="shared" ref="Q36" si="78">P36*$B$4</f>
        <v>4798.0967741935483</v>
      </c>
      <c r="R36" s="204">
        <f t="shared" ref="R36" si="79">SUM(P36)</f>
        <v>223</v>
      </c>
      <c r="S36" s="204">
        <f t="shared" ref="S36" si="80">R36*$B$4</f>
        <v>4798.0967741935483</v>
      </c>
      <c r="T36" s="204">
        <f t="shared" ref="T36" si="81">SUM(R36)</f>
        <v>223</v>
      </c>
      <c r="U36" s="204">
        <f t="shared" ref="U36" si="82">T36*$B$4</f>
        <v>4798.0967741935483</v>
      </c>
      <c r="V36" s="204">
        <f t="shared" ref="V36" si="83">SUM(T36)</f>
        <v>223</v>
      </c>
      <c r="W36" s="204">
        <f t="shared" ref="W36" si="84">V36*$B$4</f>
        <v>4798.0967741935483</v>
      </c>
      <c r="X36" s="35">
        <f t="shared" ref="X36" si="85">SUM(Y36/73370)</f>
        <v>0.71935483870967731</v>
      </c>
      <c r="Y36" s="36">
        <f t="shared" ref="Y36" si="86">SUM(C36+E36+G36+I36+K36+M36+O36+Q36+S36+U36+W36)</f>
        <v>52779.064516129023</v>
      </c>
      <c r="Z36" s="204">
        <f>'B5'!C35</f>
        <v>230</v>
      </c>
      <c r="AA36" s="204">
        <f t="shared" ref="AA36" si="87">SUM(Z36*$Z$4)</f>
        <v>2300</v>
      </c>
      <c r="AB36" s="204">
        <f t="shared" ref="AB36" si="88">SUM(Z36)</f>
        <v>230</v>
      </c>
      <c r="AC36" s="204">
        <f t="shared" ref="AC36" si="89">SUM(AB36*$Z$4)</f>
        <v>2300</v>
      </c>
      <c r="AD36" s="204">
        <f t="shared" ref="AD36" si="90">SUM(AB36)</f>
        <v>230</v>
      </c>
      <c r="AE36" s="204">
        <f t="shared" ref="AE36" si="91">SUM(AD36*$Z$4)</f>
        <v>2300</v>
      </c>
      <c r="AF36" s="204">
        <f t="shared" ref="AF36" si="92">SUM(AD36)</f>
        <v>230</v>
      </c>
      <c r="AG36" s="204">
        <f t="shared" ref="AG36" si="93">SUM(AF36*$Z$4)</f>
        <v>2300</v>
      </c>
      <c r="AH36" s="204">
        <f t="shared" ref="AH36" si="94">SUM(AF36)</f>
        <v>230</v>
      </c>
      <c r="AI36" s="204">
        <f t="shared" ref="AI36" si="95">SUM(AH36*$Z$4)</f>
        <v>2300</v>
      </c>
      <c r="AJ36" s="204">
        <f t="shared" ref="AJ36" si="96">SUM(AH36)</f>
        <v>230</v>
      </c>
      <c r="AK36" s="204">
        <f t="shared" ref="AK36" si="97">SUM(AJ36*$Z$4)</f>
        <v>2300</v>
      </c>
      <c r="AL36" s="204">
        <f t="shared" ref="AL36" si="98">SUM(AJ36)</f>
        <v>230</v>
      </c>
      <c r="AM36" s="204">
        <f t="shared" ref="AM36" si="99">SUM(AL36*$Z$4)</f>
        <v>2300</v>
      </c>
      <c r="AN36" s="35">
        <f t="shared" ref="AN36" si="100">SUM(AO36/19600)</f>
        <v>0.8214285714285714</v>
      </c>
      <c r="AO36" s="36">
        <f t="shared" ref="AO36" si="101">SUM(AA36+AC36+AE36+AG36+AI36+AK36+AM36)</f>
        <v>16100</v>
      </c>
      <c r="AQ36" s="224">
        <f>SUM(AR36/92970)</f>
        <v>0.74087409396718329</v>
      </c>
      <c r="AR36" s="38">
        <f t="shared" si="41"/>
        <v>68879.06451612903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</v>
      </c>
      <c r="AU37">
        <f>SUM(AU6:AU36)/AS37</f>
        <v>0</v>
      </c>
      <c r="AX37" s="204">
        <f>SUM(AX6:AX35)</f>
        <v>-5225.5483870967873</v>
      </c>
      <c r="AY37" s="204">
        <f>SUM(AY6:AY35)</f>
        <v>-6064.5483870967873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-673.83870967742087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8</v>
      </c>
      <c r="B4" s="3">
        <f>ELEC!AF5</f>
        <v>0</v>
      </c>
      <c r="C4" s="3">
        <f>ELEC!N5</f>
        <v>8515</v>
      </c>
      <c r="D4" s="3">
        <f t="shared" si="0"/>
        <v>6515</v>
      </c>
      <c r="E4" s="3">
        <f>ELEC!Q5</f>
        <v>2000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53.600000000000023</v>
      </c>
      <c r="J4" s="9">
        <f>'B5'!A6</f>
        <v>44137</v>
      </c>
    </row>
    <row r="5" spans="1:10">
      <c r="A5" s="3">
        <f>ELEC!T6+ELEC!X6+ELEC!AB6</f>
        <v>5</v>
      </c>
      <c r="B5" s="3">
        <f>ELEC!AF6</f>
        <v>2276</v>
      </c>
      <c r="C5" s="3">
        <f>ELEC!N6</f>
        <v>8156</v>
      </c>
      <c r="D5" s="3">
        <f t="shared" si="0"/>
        <v>6156</v>
      </c>
      <c r="E5" s="3">
        <f>ELEC!Q6</f>
        <v>2000</v>
      </c>
      <c r="F5" s="3">
        <f>GEN!Z5</f>
        <v>3</v>
      </c>
      <c r="G5" s="3">
        <f>WATER!C8+WATER!H8</f>
        <v>250</v>
      </c>
      <c r="H5" s="3">
        <f>WATER!L8</f>
        <v>5</v>
      </c>
      <c r="I5" s="15">
        <f>WATER!BC8+WATER!BD8+WATER!BE9-Sheet1!G5</f>
        <v>-270.10000000000002</v>
      </c>
      <c r="J5" s="9">
        <f>'B5'!A7</f>
        <v>44138</v>
      </c>
    </row>
    <row r="6" spans="1:10">
      <c r="A6" s="3">
        <f>ELEC!T7+ELEC!X7+ELEC!AB7</f>
        <v>6</v>
      </c>
      <c r="B6" s="3">
        <f>ELEC!AF7</f>
        <v>1078</v>
      </c>
      <c r="C6" s="3">
        <f>ELEC!N7</f>
        <v>7853.3999999999069</v>
      </c>
      <c r="D6" s="3">
        <f t="shared" si="0"/>
        <v>7853.3999999999069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1</v>
      </c>
      <c r="I6" s="15">
        <f>WATER!BC9+WATER!BD9+WATER!BE10-Sheet1!G6</f>
        <v>115</v>
      </c>
      <c r="J6" s="9">
        <f>'B5'!A8</f>
        <v>44139</v>
      </c>
    </row>
    <row r="7" spans="1:10">
      <c r="A7" s="3">
        <f>ELEC!T8+ELEC!X8+ELEC!AB8</f>
        <v>5</v>
      </c>
      <c r="B7" s="3">
        <f>ELEC!AF8</f>
        <v>914</v>
      </c>
      <c r="C7" s="3">
        <f>ELEC!N8</f>
        <v>7743.2000000001863</v>
      </c>
      <c r="D7" s="3">
        <f t="shared" si="0"/>
        <v>5743.2000000001863</v>
      </c>
      <c r="E7" s="3">
        <f>ELEC!Q8</f>
        <v>2000</v>
      </c>
      <c r="F7" s="3">
        <f>GEN!Z7</f>
        <v>3</v>
      </c>
      <c r="G7" s="3">
        <f>WATER!C10+WATER!H10</f>
        <v>193</v>
      </c>
      <c r="H7" s="3">
        <f>WATER!L10</f>
        <v>0</v>
      </c>
      <c r="I7" s="15">
        <f>WATER!BC10+WATER!BD10+WATER!BE11-Sheet1!G7</f>
        <v>-186.7</v>
      </c>
      <c r="J7" s="9">
        <f>'B5'!A9</f>
        <v>44140</v>
      </c>
    </row>
    <row r="8" spans="1:10">
      <c r="A8" s="3">
        <f>ELEC!T9+ELEC!X9+ELEC!AB9</f>
        <v>3</v>
      </c>
      <c r="B8" s="3">
        <f>ELEC!AF9</f>
        <v>663</v>
      </c>
      <c r="C8" s="3">
        <f>ELEC!N9</f>
        <v>6591.6000000000931</v>
      </c>
      <c r="D8" s="3">
        <f t="shared" si="0"/>
        <v>6591.6000000000931</v>
      </c>
      <c r="E8" s="3">
        <f>ELEC!Q9</f>
        <v>0</v>
      </c>
      <c r="F8" s="3">
        <f>GEN!Z8</f>
        <v>3</v>
      </c>
      <c r="G8" s="3">
        <f>WATER!C11+WATER!H11</f>
        <v>0</v>
      </c>
      <c r="H8" s="3">
        <f>WATER!L11</f>
        <v>9</v>
      </c>
      <c r="I8" s="15">
        <f>WATER!BC11+WATER!BD11+WATER!BE12-Sheet1!G8</f>
        <v>109.5</v>
      </c>
      <c r="J8" s="9">
        <f>'B5'!A10</f>
        <v>44141</v>
      </c>
    </row>
    <row r="9" spans="1:10">
      <c r="A9" s="3">
        <f>ELEC!T10+ELEC!X10+ELEC!AB10</f>
        <v>5</v>
      </c>
      <c r="B9" s="3">
        <f>ELEC!AF10</f>
        <v>884</v>
      </c>
      <c r="C9" s="3">
        <f>ELEC!N10</f>
        <v>7125.7999999998137</v>
      </c>
      <c r="D9" s="3">
        <f t="shared" si="0"/>
        <v>5125.7999999998137</v>
      </c>
      <c r="E9" s="3">
        <f>ELEC!Q10</f>
        <v>2000</v>
      </c>
      <c r="F9" s="3">
        <f>GEN!Z9</f>
        <v>3</v>
      </c>
      <c r="G9" s="3">
        <f>WATER!C12+WATER!H12</f>
        <v>190</v>
      </c>
      <c r="H9" s="3">
        <f>WATER!L12</f>
        <v>0</v>
      </c>
      <c r="I9" s="15">
        <f>WATER!BC12+WATER!BD12+WATER!BE13-Sheet1!G9</f>
        <v>-195.2</v>
      </c>
      <c r="J9" s="9">
        <f>'B5'!A11</f>
        <v>44142</v>
      </c>
    </row>
    <row r="10" spans="1:10">
      <c r="A10" s="3">
        <f>ELEC!T11+ELEC!X11+ELEC!AB11</f>
        <v>5</v>
      </c>
      <c r="B10" s="3">
        <f>ELEC!AF11</f>
        <v>987</v>
      </c>
      <c r="C10" s="3">
        <f>ELEC!N11</f>
        <v>7376</v>
      </c>
      <c r="D10" s="3">
        <f t="shared" si="0"/>
        <v>6376</v>
      </c>
      <c r="E10" s="3">
        <f>ELEC!Q11</f>
        <v>1000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61</v>
      </c>
      <c r="J10" s="9">
        <f>'B5'!A12</f>
        <v>44143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3</v>
      </c>
      <c r="G11" s="3">
        <f>WATER!C14+WATER!H14</f>
        <v>191</v>
      </c>
      <c r="H11" s="3">
        <f>WATER!L14</f>
        <v>0</v>
      </c>
      <c r="I11" s="15">
        <f>WATER!BC14+WATER!BD14+WATER!BE15-Sheet1!G11</f>
        <v>-136.1</v>
      </c>
      <c r="J11" s="9">
        <f>'B5'!A13</f>
        <v>44144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44145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44146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44147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44148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44149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44150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44151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44152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44153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44154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44155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44156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44157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44158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44159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9"/>
      <c r="B1" s="657" t="s">
        <v>119</v>
      </c>
      <c r="C1" s="657" t="s">
        <v>118</v>
      </c>
      <c r="D1" s="661" t="s">
        <v>113</v>
      </c>
      <c r="E1" s="661" t="s">
        <v>114</v>
      </c>
      <c r="F1" s="662" t="s">
        <v>120</v>
      </c>
      <c r="G1" s="663" t="s">
        <v>75</v>
      </c>
      <c r="H1" s="654" t="s">
        <v>115</v>
      </c>
      <c r="I1" s="655" t="s">
        <v>116</v>
      </c>
      <c r="J1" s="654" t="s">
        <v>117</v>
      </c>
      <c r="K1" s="653" t="s">
        <v>121</v>
      </c>
      <c r="L1" s="653" t="s">
        <v>122</v>
      </c>
      <c r="M1" s="653" t="s">
        <v>123</v>
      </c>
      <c r="N1" s="653" t="s">
        <v>124</v>
      </c>
    </row>
    <row r="2" spans="1:14">
      <c r="A2" s="660"/>
      <c r="B2" s="658"/>
      <c r="C2" s="658"/>
      <c r="D2" s="661"/>
      <c r="E2" s="661"/>
      <c r="F2" s="662"/>
      <c r="G2" s="663"/>
      <c r="H2" s="654"/>
      <c r="I2" s="656"/>
      <c r="J2" s="654"/>
      <c r="K2" s="653"/>
      <c r="L2" s="653"/>
      <c r="M2" s="653"/>
      <c r="N2" s="65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514.76793248945148</v>
      </c>
      <c r="E7" s="244">
        <f t="shared" si="0"/>
        <v>514.76793248945148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2000</v>
      </c>
      <c r="J7" s="79">
        <f>ELEC!R5</f>
        <v>6515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514.76793248945148</v>
      </c>
      <c r="E8" s="244">
        <f t="shared" si="0"/>
        <v>514.76793248945148</v>
      </c>
      <c r="F8" s="75">
        <f>WATER!L8</f>
        <v>5</v>
      </c>
      <c r="G8" s="78">
        <f>WATER!BG8</f>
        <v>87.000000000000028</v>
      </c>
      <c r="H8" s="79">
        <f>ELEC!AF6</f>
        <v>2276</v>
      </c>
      <c r="I8" s="79">
        <f>ELEC!Q6</f>
        <v>2000</v>
      </c>
      <c r="J8" s="79">
        <f>ELEC!R6</f>
        <v>6156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257.38396624472574</v>
      </c>
      <c r="E9" s="244">
        <f t="shared" si="0"/>
        <v>257.38396624472574</v>
      </c>
      <c r="F9" s="75">
        <f>WATER!L9</f>
        <v>1</v>
      </c>
      <c r="G9" s="78">
        <f>WATER!BG9</f>
        <v>-27.000000000000007</v>
      </c>
      <c r="H9" s="79">
        <f>ELEC!AF7</f>
        <v>1078</v>
      </c>
      <c r="I9" s="79">
        <f>ELEC!Q7</f>
        <v>1000</v>
      </c>
      <c r="J9" s="79">
        <f>ELEC!R7</f>
        <v>6853.3999999999069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514.76793248945148</v>
      </c>
      <c r="E10" s="244">
        <f t="shared" si="0"/>
        <v>514.76793248945148</v>
      </c>
      <c r="F10" s="75">
        <f>WATER!L10</f>
        <v>0</v>
      </c>
      <c r="G10" s="78">
        <f>WATER!BG10</f>
        <v>79.900000000000006</v>
      </c>
      <c r="H10" s="79">
        <f>ELEC!AF8</f>
        <v>914</v>
      </c>
      <c r="I10" s="79">
        <f>ELEC!Q8</f>
        <v>2000</v>
      </c>
      <c r="J10" s="79">
        <f>ELEC!R8</f>
        <v>5743.2000000001863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238</v>
      </c>
      <c r="C11" s="76">
        <f>'B5'!AH11</f>
        <v>0</v>
      </c>
      <c r="D11" s="76">
        <f>GEN!AI9</f>
        <v>0</v>
      </c>
      <c r="E11" s="244">
        <f t="shared" si="0"/>
        <v>238</v>
      </c>
      <c r="F11" s="75">
        <f>WATER!L11</f>
        <v>9</v>
      </c>
      <c r="G11" s="78">
        <f>WATER!BG11</f>
        <v>-19.599999999999994</v>
      </c>
      <c r="H11" s="79">
        <f>ELEC!AF9</f>
        <v>663</v>
      </c>
      <c r="I11" s="79">
        <f>ELEC!Q9</f>
        <v>0</v>
      </c>
      <c r="J11" s="79">
        <f>ELEC!R9</f>
        <v>6591.6000000000931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162</v>
      </c>
      <c r="C12" s="76">
        <f>'B5'!AH12</f>
        <v>0</v>
      </c>
      <c r="D12" s="76">
        <f>GEN!AI10</f>
        <v>514.76793248945148</v>
      </c>
      <c r="E12" s="244">
        <f t="shared" si="0"/>
        <v>676.76793248945148</v>
      </c>
      <c r="F12" s="75">
        <f>WATER!L12</f>
        <v>0</v>
      </c>
      <c r="G12" s="78">
        <f>WATER!BG12</f>
        <v>77.8</v>
      </c>
      <c r="H12" s="79">
        <f>ELEC!AF10</f>
        <v>884</v>
      </c>
      <c r="I12" s="79">
        <f>ELEC!Q10</f>
        <v>2000</v>
      </c>
      <c r="J12" s="79">
        <f>ELEC!R10</f>
        <v>5125.7999999998137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137</v>
      </c>
      <c r="C13" s="76">
        <f>'B5'!AH13</f>
        <v>0</v>
      </c>
      <c r="D13" s="76">
        <f>GEN!AI11</f>
        <v>257.38396624472574</v>
      </c>
      <c r="E13" s="244">
        <f t="shared" si="0"/>
        <v>394.38396624472574</v>
      </c>
      <c r="F13" s="75">
        <f>WATER!L13</f>
        <v>0</v>
      </c>
      <c r="G13" s="78">
        <f>WATER!BG13</f>
        <v>-20</v>
      </c>
      <c r="H13" s="79">
        <f>ELEC!AF11</f>
        <v>987</v>
      </c>
      <c r="I13" s="79">
        <f>ELEC!Q11</f>
        <v>1000</v>
      </c>
      <c r="J13" s="79">
        <f>ELEC!R11</f>
        <v>6376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81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4" t="s">
        <v>151</v>
      </c>
      <c r="U3" s="664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1" activePane="bottomLeft" state="frozen"/>
      <selection pane="bottomLeft" activeCell="T11" sqref="T1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v>11781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56">
        <v>9317</v>
      </c>
      <c r="C3" s="290">
        <f>B3-B2</f>
        <v>3</v>
      </c>
      <c r="D3" s="557">
        <v>267985</v>
      </c>
      <c r="E3" s="290">
        <f>SUM(D3-D2)</f>
        <v>619</v>
      </c>
      <c r="F3" s="290">
        <f t="shared" ref="F3:F32" si="0">IF(C3&gt;0,E3/C3,0)</f>
        <v>206.33333333333334</v>
      </c>
      <c r="G3" s="272">
        <f>[5]GEN!G32</f>
        <v>0</v>
      </c>
      <c r="H3" s="291">
        <v>9298</v>
      </c>
      <c r="I3" s="290" t="str">
        <f t="shared" ref="I3:I32" si="1">IF(B3-H3&lt;=0,"ok","oil change")</f>
        <v>oil change</v>
      </c>
      <c r="J3" s="557">
        <v>10698</v>
      </c>
      <c r="K3" s="290">
        <f t="shared" ref="K3:K31" si="2">J3-J2</f>
        <v>0</v>
      </c>
      <c r="L3" s="557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57">
        <v>11705</v>
      </c>
      <c r="S3" s="290">
        <f t="shared" ref="S3:S32" si="5">R3-R2</f>
        <v>0</v>
      </c>
      <c r="T3" s="557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11781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619</v>
      </c>
      <c r="AB3" s="290">
        <f>V3+N3+F3</f>
        <v>206.33333333333334</v>
      </c>
      <c r="AC3" s="290">
        <f>IF(Z3&gt;0,AA3/Z3,0)</f>
        <v>206.33333333333334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56.333333333333343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56">
        <f t="shared" ref="B4:B33" si="11">B3</f>
        <v>9317</v>
      </c>
      <c r="C4" s="290">
        <f t="shared" ref="C4:C32" si="12">B4-B3</f>
        <v>0</v>
      </c>
      <c r="D4" s="557">
        <f t="shared" ref="D4:D33" si="13">D3</f>
        <v>267985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57">
        <f t="shared" ref="J4:J33" si="16">J3</f>
        <v>10698</v>
      </c>
      <c r="K4" s="290">
        <f t="shared" si="2"/>
        <v>0</v>
      </c>
      <c r="L4" s="557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57">
        <f t="shared" ref="R4:R33" si="20">R3</f>
        <v>11705</v>
      </c>
      <c r="S4" s="290">
        <f t="shared" si="5"/>
        <v>0</v>
      </c>
      <c r="T4" s="557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11781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56">
        <f t="shared" si="11"/>
        <v>9317</v>
      </c>
      <c r="C5" s="290">
        <f t="shared" si="12"/>
        <v>0</v>
      </c>
      <c r="D5" s="557">
        <v>267985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57">
        <f t="shared" si="16"/>
        <v>10698</v>
      </c>
      <c r="K5" s="290">
        <f t="shared" si="2"/>
        <v>0</v>
      </c>
      <c r="L5" s="557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57">
        <v>11708</v>
      </c>
      <c r="S5" s="290">
        <f t="shared" si="5"/>
        <v>3</v>
      </c>
      <c r="T5" s="557">
        <v>358340</v>
      </c>
      <c r="U5" s="290">
        <f t="shared" si="6"/>
        <v>650</v>
      </c>
      <c r="V5" s="290">
        <f>IF(S5&gt;0,U5/S5,0)</f>
        <v>216.66666666666666</v>
      </c>
      <c r="W5" s="197"/>
      <c r="X5" s="291">
        <f t="shared" si="23"/>
        <v>11781</v>
      </c>
      <c r="Y5" s="290" t="str">
        <f t="shared" si="7"/>
        <v>ok</v>
      </c>
      <c r="Z5" s="290">
        <f t="shared" si="8"/>
        <v>3</v>
      </c>
      <c r="AA5" s="290">
        <f t="shared" si="24"/>
        <v>650</v>
      </c>
      <c r="AB5" s="290">
        <f t="shared" si="25"/>
        <v>216.66666666666666</v>
      </c>
      <c r="AC5" s="290">
        <f t="shared" si="26"/>
        <v>216.66666666666666</v>
      </c>
      <c r="AD5" s="73">
        <f>ELEC!Q5</f>
        <v>2000</v>
      </c>
      <c r="AE5" s="73">
        <f t="shared" ref="AE5:AE32" si="28">SUM(AD5/Z5)</f>
        <v>666.66666666666663</v>
      </c>
      <c r="AF5" s="406">
        <f t="shared" ref="AF5:AF32" si="29">SUM(AE5/1600)</f>
        <v>0.41666666666666663</v>
      </c>
      <c r="AG5" s="407">
        <f t="shared" ref="AG5:AG32" si="30">SUM(320*AF5)</f>
        <v>133.33333333333331</v>
      </c>
      <c r="AH5" s="407">
        <f t="shared" si="27"/>
        <v>83.333333333333343</v>
      </c>
      <c r="AI5" s="73">
        <f t="shared" ref="AI5:AI32" si="31">AD5*AJ5</f>
        <v>514.76793248945148</v>
      </c>
      <c r="AJ5" s="292">
        <f t="shared" si="9"/>
        <v>0.25738396624472576</v>
      </c>
      <c r="AK5" s="292">
        <f t="shared" si="10"/>
        <v>171.58931082981715</v>
      </c>
    </row>
    <row r="6" spans="1:37" ht="15.75" thickBot="1">
      <c r="A6" s="4">
        <f>ELEC!C6</f>
        <v>44139</v>
      </c>
      <c r="B6" s="556">
        <v>9319</v>
      </c>
      <c r="C6" s="290">
        <f t="shared" si="12"/>
        <v>2</v>
      </c>
      <c r="D6" s="557">
        <v>268430</v>
      </c>
      <c r="E6" s="290">
        <f t="shared" si="14"/>
        <v>445</v>
      </c>
      <c r="F6" s="290">
        <f t="shared" si="0"/>
        <v>222.5</v>
      </c>
      <c r="G6" s="197"/>
      <c r="H6" s="291">
        <f>H5</f>
        <v>9298</v>
      </c>
      <c r="I6" s="290" t="str">
        <f t="shared" si="1"/>
        <v>oil change</v>
      </c>
      <c r="J6" s="557">
        <v>10698</v>
      </c>
      <c r="K6" s="290">
        <f t="shared" si="2"/>
        <v>0</v>
      </c>
      <c r="L6" s="557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57">
        <v>11710</v>
      </c>
      <c r="S6" s="290">
        <f t="shared" si="5"/>
        <v>2</v>
      </c>
      <c r="T6" s="557">
        <v>358671</v>
      </c>
      <c r="U6" s="290">
        <f t="shared" si="6"/>
        <v>331</v>
      </c>
      <c r="V6" s="290">
        <f t="shared" si="22"/>
        <v>165.5</v>
      </c>
      <c r="W6" s="310"/>
      <c r="X6" s="291">
        <f t="shared" si="23"/>
        <v>11781</v>
      </c>
      <c r="Y6" s="290" t="str">
        <f t="shared" si="7"/>
        <v>ok</v>
      </c>
      <c r="Z6" s="290">
        <f t="shared" si="8"/>
        <v>4</v>
      </c>
      <c r="AA6" s="290">
        <f t="shared" si="24"/>
        <v>776</v>
      </c>
      <c r="AB6" s="290">
        <f t="shared" si="25"/>
        <v>388</v>
      </c>
      <c r="AC6" s="290">
        <f t="shared" si="26"/>
        <v>194</v>
      </c>
      <c r="AD6" s="73">
        <f>ELEC!Q6</f>
        <v>2000</v>
      </c>
      <c r="AE6" s="73">
        <f>SUM(AD6/Z6)</f>
        <v>500</v>
      </c>
      <c r="AF6" s="406">
        <f t="shared" si="29"/>
        <v>0.3125</v>
      </c>
      <c r="AG6" s="407">
        <f>SUM(320*AF6)</f>
        <v>100</v>
      </c>
      <c r="AH6" s="407">
        <f t="shared" si="27"/>
        <v>94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44140</v>
      </c>
      <c r="B7" s="556">
        <f t="shared" si="11"/>
        <v>9319</v>
      </c>
      <c r="C7" s="290">
        <f t="shared" si="12"/>
        <v>0</v>
      </c>
      <c r="D7" s="557">
        <f t="shared" si="13"/>
        <v>268430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57">
        <f t="shared" si="16"/>
        <v>10698</v>
      </c>
      <c r="K7" s="290">
        <f t="shared" si="2"/>
        <v>0</v>
      </c>
      <c r="L7" s="557">
        <f>L6</f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57">
        <v>11713</v>
      </c>
      <c r="S7" s="290">
        <f t="shared" si="5"/>
        <v>3</v>
      </c>
      <c r="T7" s="557">
        <v>359433</v>
      </c>
      <c r="U7" s="290">
        <f t="shared" si="6"/>
        <v>762</v>
      </c>
      <c r="V7" s="290">
        <f t="shared" si="22"/>
        <v>254</v>
      </c>
      <c r="W7" s="197"/>
      <c r="X7" s="291">
        <f t="shared" si="23"/>
        <v>11781</v>
      </c>
      <c r="Y7" s="290" t="str">
        <f t="shared" si="7"/>
        <v>ok</v>
      </c>
      <c r="Z7" s="290">
        <f t="shared" si="8"/>
        <v>3</v>
      </c>
      <c r="AA7" s="290">
        <f>U7+M7+E7</f>
        <v>762</v>
      </c>
      <c r="AB7" s="290">
        <f t="shared" si="25"/>
        <v>254</v>
      </c>
      <c r="AC7" s="290">
        <f t="shared" si="26"/>
        <v>254</v>
      </c>
      <c r="AD7" s="73">
        <f>ELEC!Q7</f>
        <v>1000</v>
      </c>
      <c r="AE7" s="73">
        <f t="shared" si="28"/>
        <v>333.33333333333331</v>
      </c>
      <c r="AF7" s="406">
        <f t="shared" si="29"/>
        <v>0.20833333333333331</v>
      </c>
      <c r="AG7" s="511" t="s">
        <v>405</v>
      </c>
      <c r="AH7" s="407" t="e">
        <f t="shared" si="27"/>
        <v>#VALUE!</v>
      </c>
      <c r="AI7" s="73">
        <f t="shared" si="31"/>
        <v>257.38396624472574</v>
      </c>
      <c r="AJ7" s="292">
        <f t="shared" si="9"/>
        <v>0.25738396624472576</v>
      </c>
      <c r="AK7" s="292">
        <f t="shared" si="10"/>
        <v>85.794655414908576</v>
      </c>
    </row>
    <row r="8" spans="1:37" ht="15.75" thickBot="1">
      <c r="A8" s="4">
        <f>ELEC!C8</f>
        <v>44141</v>
      </c>
      <c r="B8" s="556">
        <f t="shared" si="11"/>
        <v>9319</v>
      </c>
      <c r="C8" s="290">
        <f t="shared" si="12"/>
        <v>0</v>
      </c>
      <c r="D8" s="557">
        <f t="shared" si="13"/>
        <v>268430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57">
        <f t="shared" si="16"/>
        <v>10698</v>
      </c>
      <c r="K8" s="290">
        <f t="shared" si="2"/>
        <v>0</v>
      </c>
      <c r="L8" s="557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57">
        <v>11716</v>
      </c>
      <c r="S8" s="290">
        <f t="shared" si="5"/>
        <v>3</v>
      </c>
      <c r="T8" s="557">
        <v>360186.3</v>
      </c>
      <c r="U8" s="290">
        <f t="shared" si="6"/>
        <v>753.29999999998836</v>
      </c>
      <c r="V8" s="290">
        <f t="shared" si="22"/>
        <v>251.09999999999613</v>
      </c>
      <c r="W8" s="197"/>
      <c r="X8" s="291">
        <f t="shared" si="23"/>
        <v>11781</v>
      </c>
      <c r="Y8" s="290" t="str">
        <f t="shared" si="7"/>
        <v>ok</v>
      </c>
      <c r="Z8" s="290">
        <f t="shared" si="8"/>
        <v>3</v>
      </c>
      <c r="AA8" s="290">
        <f t="shared" si="24"/>
        <v>753.29999999998836</v>
      </c>
      <c r="AB8" s="290">
        <f t="shared" si="25"/>
        <v>251.09999999999613</v>
      </c>
      <c r="AC8" s="290">
        <f t="shared" si="26"/>
        <v>251.09999999999613</v>
      </c>
      <c r="AD8" s="73">
        <f>ELEC!Q8</f>
        <v>2000</v>
      </c>
      <c r="AE8" s="73">
        <f t="shared" si="28"/>
        <v>666.66666666666663</v>
      </c>
      <c r="AF8" s="406">
        <f t="shared" si="29"/>
        <v>0.41666666666666663</v>
      </c>
      <c r="AG8" s="407">
        <f t="shared" si="30"/>
        <v>133.33333333333331</v>
      </c>
      <c r="AH8" s="407">
        <f t="shared" si="27"/>
        <v>117.76666666666281</v>
      </c>
      <c r="AI8" s="73">
        <f t="shared" si="31"/>
        <v>514.76793248945148</v>
      </c>
      <c r="AJ8" s="292">
        <f t="shared" si="9"/>
        <v>0.25738396624472576</v>
      </c>
      <c r="AK8" s="292">
        <f t="shared" si="10"/>
        <v>171.58931082981715</v>
      </c>
    </row>
    <row r="9" spans="1:37" ht="15.75" thickBot="1">
      <c r="A9" s="4">
        <f>ELEC!C9</f>
        <v>44142</v>
      </c>
      <c r="B9" s="556">
        <f t="shared" si="11"/>
        <v>9319</v>
      </c>
      <c r="C9" s="290">
        <f t="shared" si="12"/>
        <v>0</v>
      </c>
      <c r="D9" s="557">
        <f t="shared" si="13"/>
        <v>268430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57">
        <f t="shared" si="16"/>
        <v>10698</v>
      </c>
      <c r="K9" s="290">
        <f t="shared" si="2"/>
        <v>0</v>
      </c>
      <c r="L9" s="557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57">
        <v>11719</v>
      </c>
      <c r="S9" s="290">
        <f t="shared" si="5"/>
        <v>3</v>
      </c>
      <c r="T9" s="557">
        <v>361137.4</v>
      </c>
      <c r="U9" s="290">
        <f t="shared" si="6"/>
        <v>951.10000000003492</v>
      </c>
      <c r="V9" s="290">
        <f t="shared" si="22"/>
        <v>317.03333333334496</v>
      </c>
      <c r="W9" s="197"/>
      <c r="X9" s="291">
        <f t="shared" si="23"/>
        <v>11781</v>
      </c>
      <c r="Y9" s="290" t="str">
        <f t="shared" si="7"/>
        <v>ok</v>
      </c>
      <c r="Z9" s="290">
        <f t="shared" si="8"/>
        <v>3</v>
      </c>
      <c r="AA9" s="290">
        <f t="shared" si="24"/>
        <v>951.10000000003492</v>
      </c>
      <c r="AB9" s="290">
        <f t="shared" si="25"/>
        <v>317.03333333334496</v>
      </c>
      <c r="AC9" s="290">
        <f t="shared" si="26"/>
        <v>317.03333333334496</v>
      </c>
      <c r="AD9" s="73">
        <f>ELEC!Q9</f>
        <v>0</v>
      </c>
      <c r="AE9" s="73">
        <f t="shared" si="28"/>
        <v>0</v>
      </c>
      <c r="AF9" s="406">
        <f t="shared" si="29"/>
        <v>0</v>
      </c>
      <c r="AG9" s="407">
        <f t="shared" si="30"/>
        <v>0</v>
      </c>
      <c r="AH9" s="407">
        <f t="shared" si="27"/>
        <v>317.03333333334496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56">
        <v>9319</v>
      </c>
      <c r="C10" s="290">
        <f t="shared" si="12"/>
        <v>0</v>
      </c>
      <c r="D10" s="557">
        <v>268430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57">
        <v>10698</v>
      </c>
      <c r="K10" s="290">
        <f t="shared" si="2"/>
        <v>0</v>
      </c>
      <c r="L10" s="557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57">
        <v>11722</v>
      </c>
      <c r="S10" s="290">
        <f t="shared" si="5"/>
        <v>3</v>
      </c>
      <c r="T10" s="557">
        <v>361915</v>
      </c>
      <c r="U10" s="290">
        <f t="shared" si="6"/>
        <v>777.59999999997672</v>
      </c>
      <c r="V10" s="290">
        <f t="shared" si="22"/>
        <v>259.19999999999226</v>
      </c>
      <c r="W10" s="197"/>
      <c r="X10" s="291">
        <f t="shared" si="23"/>
        <v>11781</v>
      </c>
      <c r="Y10" s="290" t="str">
        <f t="shared" si="7"/>
        <v>ok</v>
      </c>
      <c r="Z10" s="290">
        <f t="shared" si="8"/>
        <v>3</v>
      </c>
      <c r="AA10" s="290">
        <f t="shared" si="24"/>
        <v>777.59999999997672</v>
      </c>
      <c r="AB10" s="290">
        <f t="shared" si="25"/>
        <v>259.19999999999226</v>
      </c>
      <c r="AC10" s="290">
        <f t="shared" si="26"/>
        <v>259.19999999999226</v>
      </c>
      <c r="AD10" s="73">
        <f>ELEC!Q10</f>
        <v>2000</v>
      </c>
      <c r="AE10" s="73">
        <f t="shared" si="28"/>
        <v>666.66666666666663</v>
      </c>
      <c r="AF10" s="406">
        <f t="shared" si="29"/>
        <v>0.41666666666666663</v>
      </c>
      <c r="AG10" s="407">
        <f t="shared" si="30"/>
        <v>133.33333333333331</v>
      </c>
      <c r="AH10" s="407">
        <f t="shared" si="27"/>
        <v>125.86666666665894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44144</v>
      </c>
      <c r="B11" s="556">
        <f t="shared" si="11"/>
        <v>9319</v>
      </c>
      <c r="C11" s="290">
        <f t="shared" si="12"/>
        <v>0</v>
      </c>
      <c r="D11" s="557">
        <f t="shared" si="13"/>
        <v>268430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57">
        <f t="shared" si="16"/>
        <v>10698</v>
      </c>
      <c r="K11" s="290">
        <f t="shared" si="2"/>
        <v>0</v>
      </c>
      <c r="L11" s="557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621">
        <v>11725</v>
      </c>
      <c r="S11" s="290">
        <f t="shared" si="5"/>
        <v>3</v>
      </c>
      <c r="T11" s="557">
        <v>362694</v>
      </c>
      <c r="U11" s="290">
        <f t="shared" si="6"/>
        <v>779</v>
      </c>
      <c r="V11" s="290">
        <f t="shared" si="22"/>
        <v>259.66666666666669</v>
      </c>
      <c r="W11" s="197"/>
      <c r="X11" s="291">
        <f t="shared" si="23"/>
        <v>11781</v>
      </c>
      <c r="Y11" s="290" t="str">
        <f t="shared" si="7"/>
        <v>ok</v>
      </c>
      <c r="Z11" s="290">
        <f t="shared" si="8"/>
        <v>3</v>
      </c>
      <c r="AA11" s="290">
        <f t="shared" si="24"/>
        <v>779</v>
      </c>
      <c r="AB11" s="290">
        <f t="shared" si="25"/>
        <v>259.66666666666669</v>
      </c>
      <c r="AC11" s="290">
        <f t="shared" si="26"/>
        <v>259.66666666666669</v>
      </c>
      <c r="AD11" s="73">
        <f>ELEC!Q11</f>
        <v>1000</v>
      </c>
      <c r="AE11" s="73">
        <f t="shared" si="28"/>
        <v>333.33333333333331</v>
      </c>
      <c r="AF11" s="406">
        <f t="shared" si="29"/>
        <v>0.20833333333333331</v>
      </c>
      <c r="AG11" s="407">
        <f t="shared" si="30"/>
        <v>66.666666666666657</v>
      </c>
      <c r="AH11" s="407">
        <f t="shared" si="27"/>
        <v>193.00000000000003</v>
      </c>
      <c r="AI11" s="73">
        <f t="shared" si="31"/>
        <v>257.38396624472574</v>
      </c>
      <c r="AJ11" s="292">
        <f t="shared" si="9"/>
        <v>0.25738396624472576</v>
      </c>
      <c r="AK11" s="292">
        <f t="shared" si="32"/>
        <v>85.794655414908576</v>
      </c>
    </row>
    <row r="12" spans="1:37" ht="15.75" thickBot="1">
      <c r="A12" s="4">
        <f>ELEC!C12</f>
        <v>44145</v>
      </c>
      <c r="B12" s="556">
        <f t="shared" si="11"/>
        <v>9319</v>
      </c>
      <c r="C12" s="290">
        <f t="shared" si="12"/>
        <v>0</v>
      </c>
      <c r="D12" s="557">
        <f t="shared" si="13"/>
        <v>268430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57">
        <f t="shared" si="16"/>
        <v>10698</v>
      </c>
      <c r="K12" s="290">
        <f t="shared" si="2"/>
        <v>0</v>
      </c>
      <c r="L12" s="557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57">
        <f t="shared" si="20"/>
        <v>11725</v>
      </c>
      <c r="S12" s="290">
        <f t="shared" si="5"/>
        <v>0</v>
      </c>
      <c r="T12" s="557">
        <f t="shared" si="21"/>
        <v>362694</v>
      </c>
      <c r="U12" s="290">
        <f t="shared" si="6"/>
        <v>0</v>
      </c>
      <c r="V12" s="290">
        <f t="shared" si="22"/>
        <v>0</v>
      </c>
      <c r="W12" s="197"/>
      <c r="X12" s="291">
        <f t="shared" si="23"/>
        <v>11781</v>
      </c>
      <c r="Y12" s="290" t="str">
        <f t="shared" si="7"/>
        <v>ok</v>
      </c>
      <c r="Z12" s="290">
        <f t="shared" si="8"/>
        <v>0</v>
      </c>
      <c r="AA12" s="290">
        <f t="shared" si="24"/>
        <v>0</v>
      </c>
      <c r="AB12" s="290">
        <f t="shared" si="25"/>
        <v>0</v>
      </c>
      <c r="AC12" s="290">
        <f t="shared" si="26"/>
        <v>0</v>
      </c>
      <c r="AD12" s="73">
        <f>ELEC!Q12</f>
        <v>0</v>
      </c>
      <c r="AE12" s="73" t="e">
        <f t="shared" si="28"/>
        <v>#DIV/0!</v>
      </c>
      <c r="AF12" s="406" t="e">
        <f t="shared" si="29"/>
        <v>#DIV/0!</v>
      </c>
      <c r="AG12" s="407" t="e">
        <f t="shared" si="30"/>
        <v>#DIV/0!</v>
      </c>
      <c r="AH12" s="407" t="e">
        <f t="shared" si="27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44146</v>
      </c>
      <c r="B13" s="556">
        <f t="shared" si="11"/>
        <v>9319</v>
      </c>
      <c r="C13" s="290">
        <f t="shared" si="12"/>
        <v>0</v>
      </c>
      <c r="D13" s="557">
        <f t="shared" si="13"/>
        <v>268430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57">
        <f t="shared" si="16"/>
        <v>10698</v>
      </c>
      <c r="K13" s="290">
        <f t="shared" si="2"/>
        <v>0</v>
      </c>
      <c r="L13" s="557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57">
        <f t="shared" si="20"/>
        <v>11725</v>
      </c>
      <c r="S13" s="290">
        <f t="shared" si="5"/>
        <v>0</v>
      </c>
      <c r="T13" s="557">
        <f t="shared" si="21"/>
        <v>362694</v>
      </c>
      <c r="U13" s="290">
        <f t="shared" si="6"/>
        <v>0</v>
      </c>
      <c r="V13" s="290">
        <f t="shared" si="22"/>
        <v>0</v>
      </c>
      <c r="W13" s="197"/>
      <c r="X13" s="291">
        <f>X12+180</f>
        <v>11961</v>
      </c>
      <c r="Y13" s="290" t="str">
        <f t="shared" si="7"/>
        <v>ok</v>
      </c>
      <c r="Z13" s="290">
        <f t="shared" si="8"/>
        <v>0</v>
      </c>
      <c r="AA13" s="290">
        <f t="shared" si="24"/>
        <v>0</v>
      </c>
      <c r="AB13" s="290">
        <f t="shared" si="25"/>
        <v>0</v>
      </c>
      <c r="AC13" s="290">
        <f t="shared" si="26"/>
        <v>0</v>
      </c>
      <c r="AD13" s="73">
        <f>ELEC!Q13</f>
        <v>0</v>
      </c>
      <c r="AE13" s="73" t="e">
        <f t="shared" si="28"/>
        <v>#DIV/0!</v>
      </c>
      <c r="AF13" s="406" t="e">
        <f t="shared" si="29"/>
        <v>#DIV/0!</v>
      </c>
      <c r="AG13" s="407" t="e">
        <f t="shared" si="30"/>
        <v>#DIV/0!</v>
      </c>
      <c r="AH13" s="407" t="e">
        <f t="shared" si="27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44147</v>
      </c>
      <c r="B14" s="556">
        <f t="shared" si="11"/>
        <v>9319</v>
      </c>
      <c r="C14" s="290">
        <f t="shared" si="12"/>
        <v>0</v>
      </c>
      <c r="D14" s="557">
        <f t="shared" si="13"/>
        <v>268430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57">
        <f t="shared" si="16"/>
        <v>10698</v>
      </c>
      <c r="K14" s="290">
        <f t="shared" si="2"/>
        <v>0</v>
      </c>
      <c r="L14" s="557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57">
        <f t="shared" si="20"/>
        <v>11725</v>
      </c>
      <c r="S14" s="290">
        <f t="shared" si="5"/>
        <v>0</v>
      </c>
      <c r="T14" s="557">
        <f t="shared" si="21"/>
        <v>362694</v>
      </c>
      <c r="U14" s="290">
        <f t="shared" si="6"/>
        <v>0</v>
      </c>
      <c r="V14" s="290">
        <f t="shared" si="22"/>
        <v>0</v>
      </c>
      <c r="W14" s="197"/>
      <c r="X14" s="291">
        <f t="shared" si="23"/>
        <v>11961</v>
      </c>
      <c r="Y14" s="290" t="str">
        <f t="shared" si="7"/>
        <v>ok</v>
      </c>
      <c r="Z14" s="290">
        <f t="shared" si="8"/>
        <v>0</v>
      </c>
      <c r="AA14" s="290">
        <f t="shared" si="24"/>
        <v>0</v>
      </c>
      <c r="AB14" s="290">
        <f t="shared" si="25"/>
        <v>0</v>
      </c>
      <c r="AC14" s="290">
        <f t="shared" si="26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7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44148</v>
      </c>
      <c r="B15" s="556">
        <f t="shared" si="11"/>
        <v>9319</v>
      </c>
      <c r="C15" s="290">
        <f t="shared" si="12"/>
        <v>0</v>
      </c>
      <c r="D15" s="557">
        <f t="shared" si="13"/>
        <v>268430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57">
        <f t="shared" si="16"/>
        <v>10698</v>
      </c>
      <c r="K15" s="290">
        <f t="shared" si="2"/>
        <v>0</v>
      </c>
      <c r="L15" s="557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57">
        <f t="shared" si="20"/>
        <v>11725</v>
      </c>
      <c r="S15" s="290">
        <f t="shared" si="5"/>
        <v>0</v>
      </c>
      <c r="T15" s="557">
        <f t="shared" si="21"/>
        <v>362694</v>
      </c>
      <c r="U15" s="290">
        <f t="shared" si="6"/>
        <v>0</v>
      </c>
      <c r="V15" s="290">
        <f t="shared" si="22"/>
        <v>0</v>
      </c>
      <c r="W15" s="197"/>
      <c r="X15" s="291">
        <f t="shared" si="23"/>
        <v>11961</v>
      </c>
      <c r="Y15" s="290" t="str">
        <f t="shared" si="7"/>
        <v>ok</v>
      </c>
      <c r="Z15" s="290">
        <f t="shared" si="8"/>
        <v>0</v>
      </c>
      <c r="AA15" s="290">
        <f t="shared" si="24"/>
        <v>0</v>
      </c>
      <c r="AB15" s="290">
        <f t="shared" si="25"/>
        <v>0</v>
      </c>
      <c r="AC15" s="290">
        <f t="shared" si="26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7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44149</v>
      </c>
      <c r="B16" s="556">
        <f t="shared" si="11"/>
        <v>9319</v>
      </c>
      <c r="C16" s="290">
        <f t="shared" si="12"/>
        <v>0</v>
      </c>
      <c r="D16" s="557">
        <f t="shared" si="13"/>
        <v>268430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57">
        <f t="shared" si="16"/>
        <v>10698</v>
      </c>
      <c r="K16" s="290">
        <f t="shared" si="2"/>
        <v>0</v>
      </c>
      <c r="L16" s="557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57">
        <f t="shared" si="20"/>
        <v>11725</v>
      </c>
      <c r="S16" s="290">
        <f t="shared" si="5"/>
        <v>0</v>
      </c>
      <c r="T16" s="557">
        <f t="shared" si="21"/>
        <v>362694</v>
      </c>
      <c r="U16" s="290">
        <f t="shared" si="6"/>
        <v>0</v>
      </c>
      <c r="V16" s="290">
        <f t="shared" si="22"/>
        <v>0</v>
      </c>
      <c r="W16" s="197"/>
      <c r="X16" s="291">
        <f t="shared" si="23"/>
        <v>11961</v>
      </c>
      <c r="Y16" s="290" t="str">
        <f t="shared" si="7"/>
        <v>ok</v>
      </c>
      <c r="Z16" s="290">
        <f t="shared" si="8"/>
        <v>0</v>
      </c>
      <c r="AA16" s="290">
        <f t="shared" si="24"/>
        <v>0</v>
      </c>
      <c r="AB16" s="290">
        <f t="shared" si="25"/>
        <v>0</v>
      </c>
      <c r="AC16" s="290">
        <f t="shared" si="26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7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44150</v>
      </c>
      <c r="B17" s="556">
        <f t="shared" si="11"/>
        <v>9319</v>
      </c>
      <c r="C17" s="290">
        <f t="shared" si="12"/>
        <v>0</v>
      </c>
      <c r="D17" s="557">
        <f t="shared" si="13"/>
        <v>268430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57">
        <f t="shared" si="16"/>
        <v>10698</v>
      </c>
      <c r="K17" s="290">
        <f t="shared" si="2"/>
        <v>0</v>
      </c>
      <c r="L17" s="557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57">
        <f t="shared" si="20"/>
        <v>11725</v>
      </c>
      <c r="S17" s="290">
        <f t="shared" si="5"/>
        <v>0</v>
      </c>
      <c r="T17" s="557">
        <f t="shared" si="21"/>
        <v>362694</v>
      </c>
      <c r="U17" s="290">
        <f t="shared" si="6"/>
        <v>0</v>
      </c>
      <c r="V17" s="290">
        <f t="shared" si="22"/>
        <v>0</v>
      </c>
      <c r="W17" s="197"/>
      <c r="X17" s="291">
        <f t="shared" si="23"/>
        <v>11961</v>
      </c>
      <c r="Y17" s="290" t="str">
        <f t="shared" si="7"/>
        <v>ok</v>
      </c>
      <c r="Z17" s="290">
        <f t="shared" si="8"/>
        <v>0</v>
      </c>
      <c r="AA17" s="290">
        <f t="shared" si="24"/>
        <v>0</v>
      </c>
      <c r="AB17" s="290">
        <f t="shared" si="25"/>
        <v>0</v>
      </c>
      <c r="AC17" s="290">
        <f t="shared" si="26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7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44151</v>
      </c>
      <c r="B18" s="556">
        <f t="shared" si="11"/>
        <v>9319</v>
      </c>
      <c r="C18" s="290">
        <f t="shared" si="12"/>
        <v>0</v>
      </c>
      <c r="D18" s="557">
        <f t="shared" si="13"/>
        <v>268430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oil change</v>
      </c>
      <c r="J18" s="557">
        <f t="shared" si="16"/>
        <v>10698</v>
      </c>
      <c r="K18" s="290">
        <f t="shared" si="2"/>
        <v>0</v>
      </c>
      <c r="L18" s="557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57">
        <f t="shared" si="20"/>
        <v>11725</v>
      </c>
      <c r="S18" s="290">
        <f t="shared" si="5"/>
        <v>0</v>
      </c>
      <c r="T18" s="557">
        <f t="shared" si="21"/>
        <v>362694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11961</v>
      </c>
      <c r="Y18" s="290" t="str">
        <f t="shared" si="7"/>
        <v>ok</v>
      </c>
      <c r="Z18" s="290">
        <f t="shared" si="8"/>
        <v>0</v>
      </c>
      <c r="AA18" s="290">
        <f t="shared" si="24"/>
        <v>0</v>
      </c>
      <c r="AB18" s="290">
        <f t="shared" si="25"/>
        <v>0</v>
      </c>
      <c r="AC18" s="290">
        <f t="shared" si="26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7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44152</v>
      </c>
      <c r="B19" s="556">
        <f t="shared" si="11"/>
        <v>9319</v>
      </c>
      <c r="C19" s="290">
        <f t="shared" si="12"/>
        <v>0</v>
      </c>
      <c r="D19" s="557">
        <f t="shared" si="13"/>
        <v>268430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57">
        <f t="shared" si="16"/>
        <v>10698</v>
      </c>
      <c r="K19" s="290">
        <f t="shared" si="2"/>
        <v>0</v>
      </c>
      <c r="L19" s="557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57">
        <f t="shared" si="20"/>
        <v>11725</v>
      </c>
      <c r="S19" s="290">
        <f t="shared" si="5"/>
        <v>0</v>
      </c>
      <c r="T19" s="557">
        <f t="shared" si="21"/>
        <v>362694</v>
      </c>
      <c r="U19" s="290">
        <f t="shared" si="6"/>
        <v>0</v>
      </c>
      <c r="V19" s="290">
        <f t="shared" si="22"/>
        <v>0</v>
      </c>
      <c r="W19" s="197"/>
      <c r="X19" s="291">
        <f t="shared" si="23"/>
        <v>11961</v>
      </c>
      <c r="Y19" s="290" t="str">
        <f t="shared" si="7"/>
        <v>ok</v>
      </c>
      <c r="Z19" s="290">
        <f t="shared" si="8"/>
        <v>0</v>
      </c>
      <c r="AA19" s="290">
        <f t="shared" si="24"/>
        <v>0</v>
      </c>
      <c r="AB19" s="290">
        <f t="shared" si="25"/>
        <v>0</v>
      </c>
      <c r="AC19" s="290">
        <f t="shared" si="26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7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44153</v>
      </c>
      <c r="B20" s="556">
        <f t="shared" si="11"/>
        <v>9319</v>
      </c>
      <c r="C20" s="290">
        <f>B20-B19</f>
        <v>0</v>
      </c>
      <c r="D20" s="557">
        <f t="shared" si="13"/>
        <v>268430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oil change</v>
      </c>
      <c r="J20" s="557">
        <f t="shared" si="16"/>
        <v>10698</v>
      </c>
      <c r="K20" s="290">
        <f t="shared" si="2"/>
        <v>0</v>
      </c>
      <c r="L20" s="557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57">
        <f t="shared" si="20"/>
        <v>11725</v>
      </c>
      <c r="S20" s="290">
        <f t="shared" si="5"/>
        <v>0</v>
      </c>
      <c r="T20" s="557">
        <f t="shared" si="21"/>
        <v>362694</v>
      </c>
      <c r="U20" s="290">
        <f t="shared" ref="U20:U32" si="35">SUM(T20-T19)</f>
        <v>0</v>
      </c>
      <c r="V20" s="290">
        <f t="shared" si="22"/>
        <v>0</v>
      </c>
      <c r="W20" s="197"/>
      <c r="X20" s="291">
        <f t="shared" si="23"/>
        <v>11961</v>
      </c>
      <c r="Y20" s="290" t="str">
        <f t="shared" si="7"/>
        <v>ok</v>
      </c>
      <c r="Z20" s="290">
        <f t="shared" si="8"/>
        <v>0</v>
      </c>
      <c r="AA20" s="290">
        <f t="shared" si="24"/>
        <v>0</v>
      </c>
      <c r="AB20" s="290">
        <f t="shared" si="25"/>
        <v>0</v>
      </c>
      <c r="AC20" s="290">
        <f t="shared" si="26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7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44154</v>
      </c>
      <c r="B21" s="556">
        <f t="shared" si="11"/>
        <v>9319</v>
      </c>
      <c r="C21" s="290">
        <f t="shared" si="12"/>
        <v>0</v>
      </c>
      <c r="D21" s="557">
        <f t="shared" si="13"/>
        <v>268430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oil change</v>
      </c>
      <c r="J21" s="557">
        <f t="shared" si="16"/>
        <v>10698</v>
      </c>
      <c r="K21" s="290">
        <f t="shared" si="2"/>
        <v>0</v>
      </c>
      <c r="L21" s="557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57">
        <f t="shared" si="20"/>
        <v>11725</v>
      </c>
      <c r="S21" s="290">
        <f t="shared" si="5"/>
        <v>0</v>
      </c>
      <c r="T21" s="557">
        <f t="shared" si="21"/>
        <v>362694</v>
      </c>
      <c r="U21" s="290">
        <f t="shared" si="35"/>
        <v>0</v>
      </c>
      <c r="V21" s="290">
        <f t="shared" si="22"/>
        <v>0</v>
      </c>
      <c r="W21" s="197"/>
      <c r="X21" s="291">
        <f t="shared" si="23"/>
        <v>11961</v>
      </c>
      <c r="Y21" s="290" t="str">
        <f>Y20</f>
        <v>ok</v>
      </c>
      <c r="Z21" s="290">
        <f t="shared" si="8"/>
        <v>0</v>
      </c>
      <c r="AA21" s="290">
        <f t="shared" si="24"/>
        <v>0</v>
      </c>
      <c r="AB21" s="290">
        <f t="shared" si="25"/>
        <v>0</v>
      </c>
      <c r="AC21" s="290">
        <f t="shared" si="26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7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44155</v>
      </c>
      <c r="B22" s="556">
        <f t="shared" si="11"/>
        <v>9319</v>
      </c>
      <c r="C22" s="290">
        <f t="shared" si="12"/>
        <v>0</v>
      </c>
      <c r="D22" s="557">
        <f t="shared" si="13"/>
        <v>268430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oil change</v>
      </c>
      <c r="J22" s="557">
        <f t="shared" si="16"/>
        <v>10698</v>
      </c>
      <c r="K22" s="290">
        <f t="shared" si="2"/>
        <v>0</v>
      </c>
      <c r="L22" s="557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57">
        <f t="shared" si="20"/>
        <v>11725</v>
      </c>
      <c r="S22" s="290">
        <f t="shared" si="5"/>
        <v>0</v>
      </c>
      <c r="T22" s="557">
        <f t="shared" si="21"/>
        <v>362694</v>
      </c>
      <c r="U22" s="290">
        <f t="shared" si="35"/>
        <v>0</v>
      </c>
      <c r="V22" s="290">
        <f t="shared" si="22"/>
        <v>0</v>
      </c>
      <c r="W22" s="197"/>
      <c r="X22" s="291">
        <f t="shared" si="23"/>
        <v>11961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4"/>
        <v>0</v>
      </c>
      <c r="AB22" s="290">
        <f t="shared" si="25"/>
        <v>0</v>
      </c>
      <c r="AC22" s="290">
        <f t="shared" si="26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7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44156</v>
      </c>
      <c r="B23" s="556">
        <f t="shared" si="11"/>
        <v>9319</v>
      </c>
      <c r="C23" s="290">
        <f t="shared" si="12"/>
        <v>0</v>
      </c>
      <c r="D23" s="557">
        <f t="shared" si="13"/>
        <v>268430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oil change</v>
      </c>
      <c r="J23" s="557">
        <f t="shared" si="16"/>
        <v>10698</v>
      </c>
      <c r="K23" s="290">
        <f t="shared" si="2"/>
        <v>0</v>
      </c>
      <c r="L23" s="557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57">
        <f t="shared" si="20"/>
        <v>11725</v>
      </c>
      <c r="S23" s="290">
        <f t="shared" si="5"/>
        <v>0</v>
      </c>
      <c r="T23" s="557">
        <f t="shared" si="21"/>
        <v>362694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11961</v>
      </c>
      <c r="Y23" s="290" t="str">
        <f t="shared" si="36"/>
        <v>ok</v>
      </c>
      <c r="Z23" s="290">
        <f t="shared" si="8"/>
        <v>0</v>
      </c>
      <c r="AA23" s="290">
        <f t="shared" si="24"/>
        <v>0</v>
      </c>
      <c r="AB23" s="290">
        <f t="shared" si="25"/>
        <v>0</v>
      </c>
      <c r="AC23" s="290">
        <f t="shared" si="26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7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44157</v>
      </c>
      <c r="B24" s="556">
        <f t="shared" si="11"/>
        <v>9319</v>
      </c>
      <c r="C24" s="290">
        <f t="shared" si="12"/>
        <v>0</v>
      </c>
      <c r="D24" s="557">
        <f t="shared" si="13"/>
        <v>268430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oil change</v>
      </c>
      <c r="J24" s="557">
        <f t="shared" si="16"/>
        <v>10698</v>
      </c>
      <c r="K24" s="290">
        <f t="shared" si="2"/>
        <v>0</v>
      </c>
      <c r="L24" s="557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57">
        <f t="shared" si="20"/>
        <v>11725</v>
      </c>
      <c r="S24" s="290">
        <f t="shared" si="5"/>
        <v>0</v>
      </c>
      <c r="T24" s="557">
        <f t="shared" si="21"/>
        <v>362694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11961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56">
        <f t="shared" si="11"/>
        <v>9319</v>
      </c>
      <c r="C25" s="290">
        <f t="shared" si="12"/>
        <v>0</v>
      </c>
      <c r="D25" s="557">
        <f t="shared" si="13"/>
        <v>268430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oil change</v>
      </c>
      <c r="J25" s="557">
        <f t="shared" si="16"/>
        <v>10698</v>
      </c>
      <c r="K25" s="290">
        <f t="shared" si="2"/>
        <v>0</v>
      </c>
      <c r="L25" s="557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57">
        <f t="shared" si="20"/>
        <v>11725</v>
      </c>
      <c r="S25" s="290">
        <f t="shared" si="5"/>
        <v>0</v>
      </c>
      <c r="T25" s="557">
        <f t="shared" si="21"/>
        <v>362694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11961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44159</v>
      </c>
      <c r="B26" s="556">
        <f t="shared" si="11"/>
        <v>9319</v>
      </c>
      <c r="C26" s="290">
        <f t="shared" si="12"/>
        <v>0</v>
      </c>
      <c r="D26" s="557">
        <f t="shared" si="13"/>
        <v>268430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oil change</v>
      </c>
      <c r="J26" s="557">
        <f t="shared" si="16"/>
        <v>10698</v>
      </c>
      <c r="K26" s="290">
        <f t="shared" si="2"/>
        <v>0</v>
      </c>
      <c r="L26" s="557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57">
        <f t="shared" si="20"/>
        <v>11725</v>
      </c>
      <c r="S26" s="290">
        <f t="shared" si="5"/>
        <v>0</v>
      </c>
      <c r="T26" s="557">
        <f t="shared" si="21"/>
        <v>362694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11961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44160</v>
      </c>
      <c r="B27" s="556">
        <f t="shared" si="11"/>
        <v>9319</v>
      </c>
      <c r="C27" s="290">
        <f t="shared" si="12"/>
        <v>0</v>
      </c>
      <c r="D27" s="557">
        <f t="shared" si="13"/>
        <v>268430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oil change</v>
      </c>
      <c r="J27" s="557">
        <f t="shared" si="16"/>
        <v>10698</v>
      </c>
      <c r="K27" s="290">
        <f t="shared" si="2"/>
        <v>0</v>
      </c>
      <c r="L27" s="557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57">
        <f t="shared" si="20"/>
        <v>11725</v>
      </c>
      <c r="S27" s="290">
        <f t="shared" si="5"/>
        <v>0</v>
      </c>
      <c r="T27" s="557">
        <f t="shared" si="21"/>
        <v>362694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11961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44161</v>
      </c>
      <c r="B28" s="556">
        <f t="shared" si="11"/>
        <v>9319</v>
      </c>
      <c r="C28" s="290">
        <f t="shared" si="12"/>
        <v>0</v>
      </c>
      <c r="D28" s="557">
        <f t="shared" si="13"/>
        <v>268430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oil change</v>
      </c>
      <c r="J28" s="557">
        <f t="shared" si="16"/>
        <v>10698</v>
      </c>
      <c r="K28" s="290">
        <f t="shared" si="2"/>
        <v>0</v>
      </c>
      <c r="L28" s="557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57">
        <f t="shared" si="20"/>
        <v>11725</v>
      </c>
      <c r="S28" s="290">
        <f t="shared" si="5"/>
        <v>0</v>
      </c>
      <c r="T28" s="557">
        <f t="shared" si="21"/>
        <v>362694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11961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44162</v>
      </c>
      <c r="B29" s="556">
        <f t="shared" si="11"/>
        <v>9319</v>
      </c>
      <c r="C29" s="290">
        <f t="shared" si="12"/>
        <v>0</v>
      </c>
      <c r="D29" s="557">
        <f t="shared" si="13"/>
        <v>268430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oil change</v>
      </c>
      <c r="J29" s="557">
        <f t="shared" si="16"/>
        <v>10698</v>
      </c>
      <c r="K29" s="290">
        <f t="shared" si="2"/>
        <v>0</v>
      </c>
      <c r="L29" s="557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57">
        <f t="shared" si="20"/>
        <v>11725</v>
      </c>
      <c r="S29" s="290">
        <f t="shared" si="5"/>
        <v>0</v>
      </c>
      <c r="T29" s="557">
        <f t="shared" si="21"/>
        <v>362694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11961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56">
        <f t="shared" si="11"/>
        <v>9319</v>
      </c>
      <c r="C30" s="290">
        <f t="shared" si="12"/>
        <v>0</v>
      </c>
      <c r="D30" s="557">
        <f t="shared" si="13"/>
        <v>268430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oil change</v>
      </c>
      <c r="J30" s="557">
        <f t="shared" si="16"/>
        <v>10698</v>
      </c>
      <c r="K30" s="290">
        <f t="shared" si="2"/>
        <v>0</v>
      </c>
      <c r="L30" s="557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57">
        <f t="shared" si="20"/>
        <v>11725</v>
      </c>
      <c r="S30" s="290">
        <f t="shared" si="5"/>
        <v>0</v>
      </c>
      <c r="T30" s="557">
        <f t="shared" si="21"/>
        <v>362694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11961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56">
        <f t="shared" si="11"/>
        <v>9319</v>
      </c>
      <c r="C31" s="290">
        <f t="shared" si="12"/>
        <v>0</v>
      </c>
      <c r="D31" s="557">
        <f t="shared" si="13"/>
        <v>268430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oil change</v>
      </c>
      <c r="J31" s="557">
        <f t="shared" si="16"/>
        <v>10698</v>
      </c>
      <c r="K31" s="290">
        <f t="shared" si="2"/>
        <v>0</v>
      </c>
      <c r="L31" s="557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57">
        <f t="shared" si="20"/>
        <v>11725</v>
      </c>
      <c r="S31" s="290">
        <f t="shared" si="5"/>
        <v>0</v>
      </c>
      <c r="T31" s="557">
        <f t="shared" si="21"/>
        <v>362694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11961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56">
        <f t="shared" si="11"/>
        <v>9319</v>
      </c>
      <c r="C32" s="290">
        <f t="shared" si="12"/>
        <v>0</v>
      </c>
      <c r="D32" s="557">
        <f t="shared" si="13"/>
        <v>268430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oil change</v>
      </c>
      <c r="J32" s="557">
        <f t="shared" si="16"/>
        <v>10698</v>
      </c>
      <c r="K32" s="290">
        <f>J32-J31</f>
        <v>0</v>
      </c>
      <c r="L32" s="557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57">
        <f t="shared" si="20"/>
        <v>11725</v>
      </c>
      <c r="S32" s="290">
        <f t="shared" si="5"/>
        <v>0</v>
      </c>
      <c r="T32" s="557">
        <f t="shared" si="21"/>
        <v>362694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11961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56">
        <f t="shared" si="11"/>
        <v>9319</v>
      </c>
      <c r="C33" s="290">
        <f t="shared" ref="C33" si="38">B33-B32</f>
        <v>0</v>
      </c>
      <c r="D33" s="557">
        <f t="shared" si="13"/>
        <v>268430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oil change</v>
      </c>
      <c r="J33" s="557">
        <f t="shared" si="16"/>
        <v>10698</v>
      </c>
      <c r="K33" s="290">
        <f>J33-J32</f>
        <v>0</v>
      </c>
      <c r="L33" s="557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57">
        <f t="shared" si="20"/>
        <v>11725</v>
      </c>
      <c r="S33" s="290">
        <f t="shared" ref="S33" si="45">R33-R32</f>
        <v>0</v>
      </c>
      <c r="T33" s="557">
        <f t="shared" si="21"/>
        <v>362694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11961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25</v>
      </c>
      <c r="V34" s="40"/>
      <c r="X34">
        <v>341</v>
      </c>
      <c r="Z34" s="425">
        <f>SUM(Z3:Z32)</f>
        <v>25</v>
      </c>
    </row>
    <row r="35" spans="1:37">
      <c r="C35" s="40">
        <f>SUM(C3:C32)</f>
        <v>5</v>
      </c>
      <c r="K35" s="40">
        <f>SUM(K3:K32)</f>
        <v>0</v>
      </c>
      <c r="S35" s="40">
        <f>SUM(S3:S32)</f>
        <v>20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G8" zoomScale="80" zoomScaleNormal="80" workbookViewId="0">
      <selection activeCell="J12" sqref="J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5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2">
        <v>87620</v>
      </c>
      <c r="G4" s="160">
        <f t="shared" ref="G4:G32" si="1">F4-F3</f>
        <v>565</v>
      </c>
      <c r="H4" s="555">
        <v>306321</v>
      </c>
      <c r="I4" s="161">
        <f t="shared" ref="I4:I33" si="2">H4-H3</f>
        <v>1574</v>
      </c>
      <c r="J4" s="555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47.988941956882258</v>
      </c>
      <c r="P4" s="300">
        <f>SUM(L4:O4)</f>
        <v>353.58628855721395</v>
      </c>
      <c r="Q4" s="300">
        <f>SUM(-tanks!AX6*tanks!$AU$37)</f>
        <v>0</v>
      </c>
      <c r="R4" s="300">
        <f>SUM(P4:Q4)</f>
        <v>353.58628855721395</v>
      </c>
      <c r="S4" s="302">
        <f>SUM(ELEC!N3)</f>
        <v>8072</v>
      </c>
      <c r="T4" s="339">
        <f>IF(S4&gt;0,R4/S4,0)</f>
        <v>4.3804049623044343E-2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75"/>
      <c r="AC4" s="676"/>
    </row>
    <row r="5" spans="1:30">
      <c r="A5" s="163">
        <f>ELEC!C4</f>
        <v>44137</v>
      </c>
      <c r="B5" s="611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5">
        <v>88417</v>
      </c>
      <c r="G5" s="160">
        <f t="shared" si="1"/>
        <v>797</v>
      </c>
      <c r="H5" s="611">
        <v>308527</v>
      </c>
      <c r="I5" s="161">
        <f t="shared" si="2"/>
        <v>2206</v>
      </c>
      <c r="J5" s="611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47.988941956882258</v>
      </c>
      <c r="P5" s="300">
        <f t="shared" ref="P5:P32" si="9">SUM(L5:O5)</f>
        <v>426.01348590381428</v>
      </c>
      <c r="Q5" s="300">
        <f>SUM(-tanks!AX7*tanks!$AU$37)</f>
        <v>0</v>
      </c>
      <c r="R5" s="300">
        <f t="shared" ref="R5:R32" si="10">SUM(P5:Q5)</f>
        <v>426.01348590381428</v>
      </c>
      <c r="S5" s="302">
        <f>SUM(ELEC!N4)</f>
        <v>7352</v>
      </c>
      <c r="T5" s="339">
        <f>IF(S5&gt;0,R5/S5,0)</f>
        <v>5.7945251075056353E-2</v>
      </c>
      <c r="U5" s="252"/>
      <c r="V5" s="669"/>
      <c r="W5" s="670"/>
      <c r="X5" s="670"/>
      <c r="Y5" s="671"/>
      <c r="Z5" s="26" t="s">
        <v>203</v>
      </c>
      <c r="AA5" s="266">
        <f>'[7]EDl log'!AA22</f>
        <v>5000</v>
      </c>
      <c r="AB5" s="677"/>
      <c r="AC5" s="678"/>
    </row>
    <row r="6" spans="1:30" ht="15.75" thickBot="1">
      <c r="A6" s="163">
        <f>ELEC!C5</f>
        <v>44138</v>
      </c>
      <c r="B6" s="612">
        <v>613012</v>
      </c>
      <c r="C6" s="266">
        <f t="shared" si="0"/>
        <v>3539</v>
      </c>
      <c r="D6" s="311">
        <f t="shared" si="8"/>
        <v>3539</v>
      </c>
      <c r="E6" s="311">
        <f t="shared" ref="E6:E33" si="11">B5+D6</f>
        <v>613012</v>
      </c>
      <c r="F6" s="613">
        <v>88727</v>
      </c>
      <c r="G6" s="160">
        <f t="shared" si="1"/>
        <v>310</v>
      </c>
      <c r="H6" s="612">
        <v>310735</v>
      </c>
      <c r="I6" s="161">
        <f t="shared" si="2"/>
        <v>2208</v>
      </c>
      <c r="J6" s="612">
        <v>213550</v>
      </c>
      <c r="K6" s="162">
        <f t="shared" si="3"/>
        <v>1021</v>
      </c>
      <c r="L6" s="299">
        <f t="shared" si="4"/>
        <v>65.804311774461027</v>
      </c>
      <c r="M6" s="299">
        <f t="shared" si="5"/>
        <v>164.04378109452736</v>
      </c>
      <c r="N6" s="299">
        <f t="shared" si="6"/>
        <v>54.182421227197345</v>
      </c>
      <c r="O6" s="299">
        <f t="shared" si="7"/>
        <v>47.988941956882258</v>
      </c>
      <c r="P6" s="300">
        <f t="shared" si="9"/>
        <v>332.01945605306798</v>
      </c>
      <c r="Q6" s="300">
        <f>SUM(-tanks!AX8*tanks!$AU$37)</f>
        <v>0</v>
      </c>
      <c r="R6" s="300">
        <f t="shared" si="10"/>
        <v>332.01945605306798</v>
      </c>
      <c r="S6" s="302">
        <f>SUM(ELEC!N5)</f>
        <v>8515</v>
      </c>
      <c r="T6" s="339">
        <f t="shared" ref="T6:T32" si="12">IF(S6&gt;0,R6/S6,0)</f>
        <v>3.8992302531188253E-2</v>
      </c>
      <c r="V6" s="672"/>
      <c r="W6" s="673"/>
      <c r="X6" s="673"/>
      <c r="Y6" s="674"/>
      <c r="Z6" s="3"/>
      <c r="AA6" s="3"/>
      <c r="AB6" s="677"/>
      <c r="AC6" s="678"/>
    </row>
    <row r="7" spans="1:30" ht="15" customHeight="1">
      <c r="A7" s="163">
        <f>ELEC!C6</f>
        <v>44139</v>
      </c>
      <c r="B7" s="555">
        <v>616371</v>
      </c>
      <c r="C7" s="266">
        <f t="shared" si="0"/>
        <v>3359</v>
      </c>
      <c r="D7" s="311">
        <f t="shared" si="8"/>
        <v>3358</v>
      </c>
      <c r="E7" s="311">
        <f t="shared" si="11"/>
        <v>616370</v>
      </c>
      <c r="F7" s="602">
        <v>89359</v>
      </c>
      <c r="G7" s="160">
        <f t="shared" si="1"/>
        <v>632</v>
      </c>
      <c r="H7" s="555">
        <v>312272</v>
      </c>
      <c r="I7" s="161">
        <f t="shared" si="2"/>
        <v>1537</v>
      </c>
      <c r="J7" s="555">
        <v>214739</v>
      </c>
      <c r="K7" s="162">
        <f t="shared" si="3"/>
        <v>1189</v>
      </c>
      <c r="L7" s="299">
        <f t="shared" si="4"/>
        <v>134.15588723051408</v>
      </c>
      <c r="M7" s="299">
        <f t="shared" si="5"/>
        <v>114.19170812603649</v>
      </c>
      <c r="N7" s="299">
        <f t="shared" si="6"/>
        <v>63.097844112769486</v>
      </c>
      <c r="O7" s="299">
        <f t="shared" si="7"/>
        <v>47.988941956882258</v>
      </c>
      <c r="P7" s="300">
        <f t="shared" si="9"/>
        <v>359.43438142620232</v>
      </c>
      <c r="Q7" s="300">
        <f>SUM(-tanks!AX9*tanks!$AU$37)</f>
        <v>0</v>
      </c>
      <c r="R7" s="300">
        <f t="shared" si="10"/>
        <v>359.43438142620232</v>
      </c>
      <c r="S7" s="302">
        <f>SUM(ELEC!N6)</f>
        <v>8156</v>
      </c>
      <c r="T7" s="339">
        <f t="shared" si="12"/>
        <v>4.4069933965939473E-2</v>
      </c>
      <c r="V7" s="665" t="s">
        <v>204</v>
      </c>
      <c r="W7" s="666"/>
      <c r="X7" s="667" t="s">
        <v>205</v>
      </c>
      <c r="Y7" s="668"/>
      <c r="Z7" s="666"/>
      <c r="AA7" s="26"/>
      <c r="AB7" s="679"/>
      <c r="AC7" s="680"/>
    </row>
    <row r="8" spans="1:30" ht="15.75" customHeight="1" thickBot="1">
      <c r="A8" s="163">
        <f>ELEC!C7</f>
        <v>44140</v>
      </c>
      <c r="B8" s="615">
        <v>619680</v>
      </c>
      <c r="C8" s="266">
        <f t="shared" si="0"/>
        <v>3309</v>
      </c>
      <c r="D8" s="311">
        <f t="shared" si="8"/>
        <v>3310</v>
      </c>
      <c r="E8" s="311">
        <f t="shared" si="11"/>
        <v>619681</v>
      </c>
      <c r="F8" s="613">
        <v>89873</v>
      </c>
      <c r="G8" s="160">
        <f t="shared" si="1"/>
        <v>514</v>
      </c>
      <c r="H8" s="615">
        <v>313992</v>
      </c>
      <c r="I8" s="161">
        <f t="shared" si="2"/>
        <v>1720</v>
      </c>
      <c r="J8" s="615">
        <v>215815</v>
      </c>
      <c r="K8" s="162">
        <f>J8-J7</f>
        <v>1076</v>
      </c>
      <c r="L8" s="299">
        <f t="shared" si="4"/>
        <v>109.10779436152571</v>
      </c>
      <c r="M8" s="299">
        <f t="shared" si="5"/>
        <v>127.787728026534</v>
      </c>
      <c r="N8" s="299">
        <f t="shared" si="6"/>
        <v>57.101160862354895</v>
      </c>
      <c r="O8" s="299">
        <f t="shared" si="7"/>
        <v>47.988941956882258</v>
      </c>
      <c r="P8" s="300">
        <f t="shared" si="9"/>
        <v>341.98562520729683</v>
      </c>
      <c r="Q8" s="300">
        <f>SUM(-tanks!AX10*tanks!$AU$37)</f>
        <v>0</v>
      </c>
      <c r="R8" s="300">
        <f t="shared" si="10"/>
        <v>341.98562520729683</v>
      </c>
      <c r="S8" s="302">
        <f>SUM(ELEC!N7)</f>
        <v>7853.3999999999069</v>
      </c>
      <c r="T8" s="339">
        <f>IF(S8&gt;0,R8/S8,0)</f>
        <v>4.354618702820446E-2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5">
        <v>622992</v>
      </c>
      <c r="C9" s="266">
        <f t="shared" si="0"/>
        <v>3312</v>
      </c>
      <c r="D9" s="311">
        <f t="shared" si="8"/>
        <v>3312</v>
      </c>
      <c r="E9" s="311">
        <f t="shared" si="11"/>
        <v>622992</v>
      </c>
      <c r="F9" s="602">
        <v>90365</v>
      </c>
      <c r="G9" s="160">
        <f t="shared" si="1"/>
        <v>492</v>
      </c>
      <c r="H9" s="555">
        <v>315953</v>
      </c>
      <c r="I9" s="161">
        <f t="shared" si="2"/>
        <v>1961</v>
      </c>
      <c r="J9" s="555">
        <v>216674</v>
      </c>
      <c r="K9" s="162">
        <f>J9-J8</f>
        <v>859</v>
      </c>
      <c r="L9" s="299">
        <f t="shared" si="4"/>
        <v>104.43781094527363</v>
      </c>
      <c r="M9" s="299">
        <f t="shared" si="5"/>
        <v>145.69286898839138</v>
      </c>
      <c r="N9" s="299">
        <f t="shared" si="6"/>
        <v>45.585406301824214</v>
      </c>
      <c r="O9" s="299">
        <f t="shared" si="7"/>
        <v>47.988941956882258</v>
      </c>
      <c r="P9" s="300">
        <f t="shared" si="9"/>
        <v>343.70502819237151</v>
      </c>
      <c r="Q9" s="300">
        <f>SUM(-tanks!AX11*tanks!$AU$37)</f>
        <v>0</v>
      </c>
      <c r="R9" s="300">
        <f>SUM(P9:Q9)</f>
        <v>343.70502819237151</v>
      </c>
      <c r="S9" s="302">
        <f>SUM(ELEC!N8)</f>
        <v>7743.2000000001863</v>
      </c>
      <c r="T9" s="339">
        <f t="shared" si="12"/>
        <v>4.4387982770994323E-2</v>
      </c>
      <c r="V9" s="588">
        <f>'[1]EDl log'!V26</f>
        <v>164328</v>
      </c>
      <c r="W9" s="588">
        <f>'[1]EDl log'!W26</f>
        <v>210387</v>
      </c>
      <c r="X9" s="266" t="str">
        <f>'[3]EDl log'!X26</f>
        <v>Night</v>
      </c>
      <c r="Y9" s="584">
        <f>'[1]EDl log'!$Y$26</f>
        <v>80</v>
      </c>
      <c r="Z9" s="266">
        <f>'[3]EDl log'!Z26</f>
        <v>1</v>
      </c>
      <c r="AA9" s="560">
        <f>'[1]EDl log'!AA26</f>
        <v>46059</v>
      </c>
      <c r="AB9" s="560">
        <f>'[1]EDl log'!AB26</f>
        <v>3684720</v>
      </c>
      <c r="AC9" s="560">
        <f>'[1]EDl log'!AC26</f>
        <v>1033333</v>
      </c>
      <c r="AD9" s="610">
        <f>'[1]EDl log'!AD26</f>
        <v>0.34778833230137274</v>
      </c>
    </row>
    <row r="10" spans="1:30" ht="15.75" thickBot="1">
      <c r="A10" s="163">
        <f>ELEC!C9</f>
        <v>44142</v>
      </c>
      <c r="B10" s="555">
        <v>626047</v>
      </c>
      <c r="C10" s="266">
        <f t="shared" si="0"/>
        <v>3055</v>
      </c>
      <c r="D10" s="311">
        <f t="shared" si="8"/>
        <v>3055</v>
      </c>
      <c r="E10" s="311">
        <f t="shared" si="11"/>
        <v>626047</v>
      </c>
      <c r="F10" s="602">
        <v>90638</v>
      </c>
      <c r="G10" s="160">
        <f t="shared" si="1"/>
        <v>273</v>
      </c>
      <c r="H10" s="555">
        <v>317641</v>
      </c>
      <c r="I10" s="161">
        <f t="shared" si="2"/>
        <v>1688</v>
      </c>
      <c r="J10" s="555">
        <v>217768</v>
      </c>
      <c r="K10" s="162">
        <f t="shared" si="3"/>
        <v>1094</v>
      </c>
      <c r="L10" s="299">
        <f t="shared" si="4"/>
        <v>57.950248756218905</v>
      </c>
      <c r="M10" s="299">
        <f t="shared" si="5"/>
        <v>125.41028192371476</v>
      </c>
      <c r="N10" s="299">
        <f t="shared" si="6"/>
        <v>58.056384742951906</v>
      </c>
      <c r="O10" s="299">
        <f t="shared" si="7"/>
        <v>47.988941956882258</v>
      </c>
      <c r="P10" s="300">
        <f t="shared" si="9"/>
        <v>289.40585737976784</v>
      </c>
      <c r="Q10" s="300">
        <f>SUM(-tanks!AX12*tanks!$AU$37)</f>
        <v>0</v>
      </c>
      <c r="R10" s="300">
        <f t="shared" si="10"/>
        <v>289.40585737976784</v>
      </c>
      <c r="S10" s="302">
        <f>SUM(ELEC!N9)</f>
        <v>6591.6000000000931</v>
      </c>
      <c r="T10" s="339">
        <f t="shared" si="12"/>
        <v>4.3905251741574697E-2</v>
      </c>
      <c r="V10" s="588">
        <f>'[1]EDl log'!V27</f>
        <v>242131</v>
      </c>
      <c r="W10" s="588">
        <f>'[1]EDl log'!W27</f>
        <v>304747</v>
      </c>
      <c r="X10" s="266" t="str">
        <f>'[4]EDl log'!X27</f>
        <v>day</v>
      </c>
      <c r="Y10" s="584">
        <f>'[1]EDl log'!$Y$27</f>
        <v>112</v>
      </c>
      <c r="Z10" s="266">
        <f>'[3]EDl log'!Z27</f>
        <v>1</v>
      </c>
      <c r="AA10" s="560">
        <f>'[1]EDl log'!AA27</f>
        <v>62616</v>
      </c>
      <c r="AB10" s="560">
        <f>'[1]EDl log'!AB27</f>
        <v>7012992</v>
      </c>
      <c r="AC10" s="560">
        <f>'[1]EDl log'!AC27</f>
        <v>6200000</v>
      </c>
      <c r="AD10" s="610">
        <f>'[1]EDl log'!AD27</f>
        <v>0.47280909736170468</v>
      </c>
    </row>
    <row r="11" spans="1:30" ht="15.75" thickBot="1">
      <c r="A11" s="163">
        <f>ELEC!C10</f>
        <v>44143</v>
      </c>
      <c r="B11" s="555">
        <v>629025</v>
      </c>
      <c r="C11" s="266">
        <f t="shared" si="0"/>
        <v>2978</v>
      </c>
      <c r="D11" s="311">
        <f>SUM(G11+I11+K11)</f>
        <v>2977</v>
      </c>
      <c r="E11" s="311">
        <f t="shared" si="11"/>
        <v>629024</v>
      </c>
      <c r="F11" s="602">
        <v>91101</v>
      </c>
      <c r="G11" s="160">
        <f t="shared" si="1"/>
        <v>463</v>
      </c>
      <c r="H11" s="555">
        <v>319120</v>
      </c>
      <c r="I11" s="161">
        <f t="shared" si="2"/>
        <v>1479</v>
      </c>
      <c r="J11" s="555">
        <v>218803</v>
      </c>
      <c r="K11" s="162">
        <f t="shared" si="3"/>
        <v>1035</v>
      </c>
      <c r="L11" s="299">
        <f t="shared" si="4"/>
        <v>98.281923714759529</v>
      </c>
      <c r="M11" s="299">
        <f t="shared" si="5"/>
        <v>109.88258706467661</v>
      </c>
      <c r="N11" s="299">
        <f t="shared" si="6"/>
        <v>54.92537313432836</v>
      </c>
      <c r="O11" s="299">
        <f t="shared" si="7"/>
        <v>47.988941956882258</v>
      </c>
      <c r="P11" s="300">
        <f t="shared" si="9"/>
        <v>311.07882587064671</v>
      </c>
      <c r="Q11" s="300">
        <f>SUM(-tanks!AX13*tanks!$AU$37)</f>
        <v>0</v>
      </c>
      <c r="R11" s="300">
        <f t="shared" si="10"/>
        <v>311.07882587064671</v>
      </c>
      <c r="S11" s="302">
        <f>SUM(ELEC!N10)</f>
        <v>7125.7999999998137</v>
      </c>
      <c r="T11" s="339">
        <f t="shared" si="12"/>
        <v>4.3655284441137115E-2</v>
      </c>
      <c r="V11" s="588">
        <f>'[1]EDl log'!V28</f>
        <v>63298</v>
      </c>
      <c r="W11" s="588">
        <f>'[1]EDl log'!W28</f>
        <v>87055</v>
      </c>
      <c r="X11" s="266" t="str">
        <f>'[4]EDl log'!X28</f>
        <v>Peak</v>
      </c>
      <c r="Y11" s="584">
        <f>'[1]EDl log'!$Y$28</f>
        <v>320</v>
      </c>
      <c r="Z11" s="266">
        <f>'[3]EDl log'!Z28</f>
        <v>1</v>
      </c>
      <c r="AA11" s="560">
        <f>'[1]EDl log'!AA28</f>
        <v>23757</v>
      </c>
      <c r="AB11" s="560">
        <f>'[1]EDl log'!AB28</f>
        <v>7602240</v>
      </c>
      <c r="AC11" s="560">
        <f>'[1]EDl log'!AC28</f>
        <v>1000</v>
      </c>
      <c r="AD11" s="610">
        <f>'[1]EDl log'!AD28</f>
        <v>0.17938746847486295</v>
      </c>
    </row>
    <row r="12" spans="1:30" ht="15.75" thickBot="1">
      <c r="A12" s="163">
        <f>ELEC!C11</f>
        <v>44144</v>
      </c>
      <c r="B12" s="555">
        <f t="shared" ref="B12:B33" si="13">B11</f>
        <v>629025</v>
      </c>
      <c r="C12" s="620">
        <v>632320</v>
      </c>
      <c r="D12" s="311">
        <f t="shared" si="8"/>
        <v>3295</v>
      </c>
      <c r="E12" s="311">
        <f t="shared" si="11"/>
        <v>632320</v>
      </c>
      <c r="F12" s="613">
        <v>91759</v>
      </c>
      <c r="G12" s="160">
        <f t="shared" si="1"/>
        <v>658</v>
      </c>
      <c r="H12" s="620">
        <v>320623</v>
      </c>
      <c r="I12" s="161">
        <f t="shared" si="2"/>
        <v>1503</v>
      </c>
      <c r="J12" s="620">
        <v>219937</v>
      </c>
      <c r="K12" s="162">
        <f t="shared" si="3"/>
        <v>1134</v>
      </c>
      <c r="L12" s="299">
        <f t="shared" si="4"/>
        <v>139.67495854063017</v>
      </c>
      <c r="M12" s="299">
        <f t="shared" si="5"/>
        <v>111.66567164179105</v>
      </c>
      <c r="N12" s="299">
        <f t="shared" si="6"/>
        <v>60.179104477611943</v>
      </c>
      <c r="O12" s="299">
        <f t="shared" si="7"/>
        <v>47.988941956882258</v>
      </c>
      <c r="P12" s="300">
        <f t="shared" si="9"/>
        <v>359.50867661691541</v>
      </c>
      <c r="Q12" s="300">
        <f>SUM(-tanks!AX14*tanks!$AU$37)</f>
        <v>0</v>
      </c>
      <c r="R12" s="300">
        <f t="shared" si="10"/>
        <v>359.50867661691541</v>
      </c>
      <c r="S12" s="302">
        <f>SUM(ELEC!N11)</f>
        <v>7376</v>
      </c>
      <c r="T12" s="339">
        <f t="shared" si="12"/>
        <v>4.8740330343941894E-2</v>
      </c>
      <c r="V12" s="588"/>
      <c r="W12" s="266"/>
      <c r="X12" s="3"/>
      <c r="Y12" s="266"/>
      <c r="Z12" s="28"/>
      <c r="AA12" s="560">
        <f>'[1]EDl log'!AA29</f>
        <v>132432</v>
      </c>
      <c r="AB12" s="584">
        <f>'[3]EDl log'!AB29</f>
        <v>0</v>
      </c>
      <c r="AC12" s="589">
        <f>'[3]EDl log'!AC29</f>
        <v>0</v>
      </c>
      <c r="AD12" s="586"/>
    </row>
    <row r="13" spans="1:30" ht="15.75" thickBot="1">
      <c r="A13" s="163">
        <f>ELEC!C12</f>
        <v>44145</v>
      </c>
      <c r="B13" s="555">
        <f t="shared" si="13"/>
        <v>629025</v>
      </c>
      <c r="C13" s="266">
        <f t="shared" si="0"/>
        <v>0</v>
      </c>
      <c r="D13" s="311">
        <f t="shared" si="8"/>
        <v>0</v>
      </c>
      <c r="E13" s="311">
        <f t="shared" si="11"/>
        <v>629025</v>
      </c>
      <c r="F13" s="602">
        <f t="shared" ref="F13:F33" si="14">F12</f>
        <v>91759</v>
      </c>
      <c r="G13" s="160">
        <f t="shared" si="1"/>
        <v>0</v>
      </c>
      <c r="H13" s="555">
        <f t="shared" ref="H13:H33" si="15">H12</f>
        <v>320623</v>
      </c>
      <c r="I13" s="161">
        <f t="shared" si="2"/>
        <v>0</v>
      </c>
      <c r="J13" s="555">
        <f t="shared" ref="J13:J33" si="16">J12</f>
        <v>219937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47.988941956882258</v>
      </c>
      <c r="P13" s="300">
        <f t="shared" si="9"/>
        <v>47.988941956882258</v>
      </c>
      <c r="Q13" s="300">
        <f>SUM(-tanks!AX15*tanks!$AU$37)</f>
        <v>0</v>
      </c>
      <c r="R13" s="300">
        <f t="shared" si="10"/>
        <v>47.988941956882258</v>
      </c>
      <c r="S13" s="302">
        <f>SUM(ELEC!N12)</f>
        <v>0</v>
      </c>
      <c r="T13" s="339">
        <f t="shared" si="12"/>
        <v>0</v>
      </c>
      <c r="V13" s="588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4">
        <f>'[1]EDl log'!AB30</f>
        <v>18299952</v>
      </c>
      <c r="AC13" s="584">
        <f>'[1]EDl log'!AC30</f>
        <v>7234333</v>
      </c>
    </row>
    <row r="14" spans="1:30" ht="15.75" thickBot="1">
      <c r="A14" s="163">
        <f>ELEC!C13</f>
        <v>44146</v>
      </c>
      <c r="B14" s="555">
        <f t="shared" si="13"/>
        <v>629025</v>
      </c>
      <c r="C14" s="266">
        <f t="shared" si="0"/>
        <v>0</v>
      </c>
      <c r="D14" s="311">
        <f t="shared" si="8"/>
        <v>0</v>
      </c>
      <c r="E14" s="311">
        <f t="shared" si="11"/>
        <v>629025</v>
      </c>
      <c r="F14" s="602">
        <f t="shared" si="14"/>
        <v>91759</v>
      </c>
      <c r="G14" s="160">
        <f t="shared" si="1"/>
        <v>0</v>
      </c>
      <c r="H14" s="555">
        <f t="shared" si="15"/>
        <v>320623</v>
      </c>
      <c r="I14" s="161">
        <f t="shared" si="2"/>
        <v>0</v>
      </c>
      <c r="J14" s="555">
        <f t="shared" si="16"/>
        <v>219937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47.988941956882258</v>
      </c>
      <c r="P14" s="300">
        <f t="shared" ref="P14:P17" si="21">SUM(L14:O14)</f>
        <v>47.988941956882258</v>
      </c>
      <c r="Q14" s="300">
        <f>SUM(-tanks!AX16*tanks!$AU$37)</f>
        <v>0</v>
      </c>
      <c r="R14" s="300">
        <f t="shared" ref="R14:R17" si="22">SUM(P14:Q14)</f>
        <v>47.988941956882258</v>
      </c>
      <c r="S14" s="302">
        <f>SUM(ELEC!N13)</f>
        <v>0</v>
      </c>
      <c r="T14" s="339">
        <f t="shared" ref="T14:T17" si="23">IF(S14&gt;0,R14/S14,0)</f>
        <v>0</v>
      </c>
      <c r="V14" s="588" t="str">
        <f>'[7]EDl log'!V31</f>
        <v>Gen RH</v>
      </c>
      <c r="W14" s="585">
        <f>'[1]EDl log'!W31</f>
        <v>103</v>
      </c>
      <c r="X14" s="540">
        <f>'[1]EDl log'!$X$31</f>
        <v>3.3225806451612905</v>
      </c>
      <c r="Y14" s="584">
        <f>'[1]EDl log'!$Y$31</f>
        <v>1.6612903225806452</v>
      </c>
      <c r="Z14" s="266"/>
      <c r="AA14" s="3"/>
      <c r="AB14" s="584">
        <f>'[1]EDl log'!AB31</f>
        <v>25534285</v>
      </c>
      <c r="AC14" s="584">
        <f>'[1]EDl log'!AC31</f>
        <v>7234333</v>
      </c>
    </row>
    <row r="15" spans="1:30" ht="15.75" thickBot="1">
      <c r="A15" s="163">
        <f>ELEC!C14</f>
        <v>44147</v>
      </c>
      <c r="B15" s="555">
        <f t="shared" si="13"/>
        <v>629025</v>
      </c>
      <c r="C15" s="266">
        <f t="shared" si="0"/>
        <v>0</v>
      </c>
      <c r="D15" s="311">
        <f t="shared" si="8"/>
        <v>0</v>
      </c>
      <c r="E15" s="311">
        <f t="shared" si="11"/>
        <v>629025</v>
      </c>
      <c r="F15" s="602">
        <f t="shared" si="14"/>
        <v>91759</v>
      </c>
      <c r="G15" s="160">
        <f t="shared" si="1"/>
        <v>0</v>
      </c>
      <c r="H15" s="555">
        <f t="shared" si="15"/>
        <v>320623</v>
      </c>
      <c r="I15" s="161">
        <f t="shared" si="2"/>
        <v>0</v>
      </c>
      <c r="J15" s="555">
        <f t="shared" si="16"/>
        <v>219937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47.988941956882258</v>
      </c>
      <c r="P15" s="300">
        <f t="shared" si="21"/>
        <v>47.988941956882258</v>
      </c>
      <c r="Q15" s="300">
        <f>SUM(-tanks!AX17*tanks!$AU$37)</f>
        <v>0</v>
      </c>
      <c r="R15" s="300">
        <f t="shared" si="22"/>
        <v>47.988941956882258</v>
      </c>
      <c r="S15" s="302">
        <f>SUM(ELEC!N14)</f>
        <v>0</v>
      </c>
      <c r="T15" s="339">
        <f t="shared" si="23"/>
        <v>0</v>
      </c>
      <c r="V15" s="588" t="str">
        <f>'[7]EDl log'!V32</f>
        <v>H Deg</v>
      </c>
      <c r="W15" s="585">
        <f>'[1]EDl log'!W32</f>
        <v>0</v>
      </c>
      <c r="X15" s="560">
        <f>'[9]EDl log'!X15</f>
        <v>0</v>
      </c>
      <c r="Y15" s="266"/>
      <c r="Z15" s="266"/>
      <c r="AA15" s="3"/>
      <c r="AB15" s="584">
        <f>'[3]EDl log'!AB32</f>
        <v>0</v>
      </c>
      <c r="AC15" s="589">
        <f>'[3]EDl log'!AC32</f>
        <v>0</v>
      </c>
    </row>
    <row r="16" spans="1:30" ht="15.75" thickBot="1">
      <c r="A16" s="163">
        <f>ELEC!C15</f>
        <v>44148</v>
      </c>
      <c r="B16" s="555">
        <f t="shared" si="13"/>
        <v>629025</v>
      </c>
      <c r="C16" s="266">
        <f t="shared" si="0"/>
        <v>0</v>
      </c>
      <c r="D16" s="311">
        <f t="shared" si="8"/>
        <v>0</v>
      </c>
      <c r="E16" s="311">
        <f t="shared" si="11"/>
        <v>629025</v>
      </c>
      <c r="F16" s="602">
        <f t="shared" si="14"/>
        <v>91759</v>
      </c>
      <c r="G16" s="160">
        <f t="shared" si="1"/>
        <v>0</v>
      </c>
      <c r="H16" s="555">
        <f t="shared" si="15"/>
        <v>320623</v>
      </c>
      <c r="I16" s="161">
        <f t="shared" si="2"/>
        <v>0</v>
      </c>
      <c r="J16" s="555">
        <f t="shared" si="16"/>
        <v>219937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47.988941956882258</v>
      </c>
      <c r="P16" s="300">
        <f t="shared" si="21"/>
        <v>47.988941956882258</v>
      </c>
      <c r="Q16" s="300">
        <f>SUM(-tanks!AX18*tanks!$AU$37)</f>
        <v>0</v>
      </c>
      <c r="R16" s="300">
        <f t="shared" si="22"/>
        <v>47.988941956882258</v>
      </c>
      <c r="S16" s="302">
        <f>SUM(ELEC!N15)</f>
        <v>0</v>
      </c>
      <c r="T16" s="339">
        <f t="shared" si="23"/>
        <v>0</v>
      </c>
      <c r="V16" s="588" t="str">
        <f>'[7]EDl log'!V33</f>
        <v>C Deg</v>
      </c>
      <c r="W16" s="585">
        <f>'[1]EDl log'!W33</f>
        <v>307.69999999999982</v>
      </c>
      <c r="X16" s="560">
        <f>'[9]EDl log'!X16</f>
        <v>0</v>
      </c>
      <c r="Y16" s="560">
        <f>'[7]EDl log'!Y33</f>
        <v>0</v>
      </c>
      <c r="Z16" s="3"/>
      <c r="AA16" s="3"/>
      <c r="AB16" s="584">
        <f>'[3]EDl log'!AB33</f>
        <v>0</v>
      </c>
      <c r="AC16" s="589">
        <f>'[3]EDl log'!AC33</f>
        <v>0</v>
      </c>
    </row>
    <row r="17" spans="1:32" ht="15.75" thickBot="1">
      <c r="A17" s="163">
        <f>ELEC!C16</f>
        <v>44149</v>
      </c>
      <c r="B17" s="555">
        <f t="shared" si="13"/>
        <v>629025</v>
      </c>
      <c r="C17" s="266">
        <f t="shared" si="0"/>
        <v>0</v>
      </c>
      <c r="D17" s="311">
        <f t="shared" si="8"/>
        <v>0</v>
      </c>
      <c r="E17" s="311">
        <f t="shared" si="11"/>
        <v>629025</v>
      </c>
      <c r="F17" s="602">
        <f t="shared" si="14"/>
        <v>91759</v>
      </c>
      <c r="G17" s="160">
        <f t="shared" si="1"/>
        <v>0</v>
      </c>
      <c r="H17" s="555">
        <f t="shared" si="15"/>
        <v>320623</v>
      </c>
      <c r="I17" s="161">
        <f t="shared" si="2"/>
        <v>0</v>
      </c>
      <c r="J17" s="555">
        <f t="shared" si="16"/>
        <v>219937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47.988941956882258</v>
      </c>
      <c r="P17" s="300">
        <f t="shared" si="21"/>
        <v>47.988941956882258</v>
      </c>
      <c r="Q17" s="300">
        <f>SUM(-tanks!AX19*tanks!$AU$37)</f>
        <v>0</v>
      </c>
      <c r="R17" s="300">
        <f t="shared" si="22"/>
        <v>47.988941956882258</v>
      </c>
      <c r="S17" s="302">
        <f>SUM(ELEC!N16)</f>
        <v>0</v>
      </c>
      <c r="T17" s="339">
        <f t="shared" si="23"/>
        <v>0</v>
      </c>
      <c r="V17" s="255"/>
      <c r="W17" s="513"/>
      <c r="X17" s="17"/>
      <c r="Y17" s="436"/>
      <c r="Z17" s="513"/>
      <c r="AA17" s="513"/>
      <c r="AB17" s="584">
        <f>'[3]EDl log'!AB34</f>
        <v>0</v>
      </c>
      <c r="AC17" s="589">
        <f>'[3]EDl log'!AC34</f>
        <v>0</v>
      </c>
    </row>
    <row r="18" spans="1:32" ht="15.75" thickBot="1">
      <c r="A18" s="163">
        <f>ELEC!C17</f>
        <v>44150</v>
      </c>
      <c r="B18" s="555">
        <f t="shared" si="13"/>
        <v>629025</v>
      </c>
      <c r="C18" s="266">
        <f t="shared" si="0"/>
        <v>0</v>
      </c>
      <c r="D18" s="311">
        <f t="shared" si="8"/>
        <v>0</v>
      </c>
      <c r="E18" s="311">
        <f t="shared" si="11"/>
        <v>629025</v>
      </c>
      <c r="F18" s="602">
        <f t="shared" si="14"/>
        <v>91759</v>
      </c>
      <c r="G18" s="160">
        <f t="shared" si="1"/>
        <v>0</v>
      </c>
      <c r="H18" s="555">
        <f t="shared" si="15"/>
        <v>320623</v>
      </c>
      <c r="I18" s="161">
        <f t="shared" si="2"/>
        <v>0</v>
      </c>
      <c r="J18" s="555">
        <f t="shared" si="16"/>
        <v>219937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47.988941956882258</v>
      </c>
      <c r="P18" s="300">
        <f t="shared" si="9"/>
        <v>47.988941956882258</v>
      </c>
      <c r="Q18" s="300">
        <f>SUM(-tanks!AX20*tanks!$AU$37)</f>
        <v>0</v>
      </c>
      <c r="R18" s="300">
        <f t="shared" si="10"/>
        <v>47.988941956882258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4">
        <f>'[1]EDl log'!$AB$35</f>
        <v>2808771.35</v>
      </c>
      <c r="AC18" s="589">
        <f>'[3]EDl log'!AC35</f>
        <v>0</v>
      </c>
    </row>
    <row r="19" spans="1:32" ht="15.75" thickBot="1">
      <c r="A19" s="163">
        <f>ELEC!C18</f>
        <v>44151</v>
      </c>
      <c r="B19" s="555">
        <f t="shared" si="13"/>
        <v>629025</v>
      </c>
      <c r="C19" s="266">
        <f t="shared" si="0"/>
        <v>0</v>
      </c>
      <c r="D19" s="311">
        <f t="shared" si="8"/>
        <v>0</v>
      </c>
      <c r="E19" s="311">
        <f t="shared" si="11"/>
        <v>629025</v>
      </c>
      <c r="F19" s="602">
        <f t="shared" si="14"/>
        <v>91759</v>
      </c>
      <c r="G19" s="160">
        <f t="shared" si="1"/>
        <v>0</v>
      </c>
      <c r="H19" s="555">
        <f t="shared" si="15"/>
        <v>320623</v>
      </c>
      <c r="I19" s="161">
        <f t="shared" si="2"/>
        <v>0</v>
      </c>
      <c r="J19" s="555">
        <f t="shared" si="16"/>
        <v>219937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47.988941956882258</v>
      </c>
      <c r="P19" s="300">
        <f t="shared" si="9"/>
        <v>47.988941956882258</v>
      </c>
      <c r="Q19" s="300">
        <f>SUM(-tanks!AX21*tanks!$AU$37)</f>
        <v>0</v>
      </c>
      <c r="R19" s="300">
        <f t="shared" si="10"/>
        <v>47.988941956882258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0"/>
      <c r="Z19" s="590"/>
      <c r="AA19" s="591"/>
      <c r="AB19" s="592">
        <f>'[1]EDl log'!$AB$36</f>
        <v>28343056.350000001</v>
      </c>
      <c r="AC19" s="593">
        <f>'[3]EDl log'!AC36</f>
        <v>0</v>
      </c>
    </row>
    <row r="20" spans="1:32" ht="15.75" thickBot="1">
      <c r="A20" s="163">
        <f>ELEC!C19</f>
        <v>44152</v>
      </c>
      <c r="B20" s="555">
        <f t="shared" si="13"/>
        <v>629025</v>
      </c>
      <c r="C20" s="266">
        <f t="shared" si="0"/>
        <v>0</v>
      </c>
      <c r="D20" s="311">
        <f t="shared" si="8"/>
        <v>0</v>
      </c>
      <c r="E20" s="311">
        <f t="shared" si="11"/>
        <v>629025</v>
      </c>
      <c r="F20" s="602">
        <f t="shared" si="14"/>
        <v>91759</v>
      </c>
      <c r="G20" s="160">
        <f t="shared" si="1"/>
        <v>0</v>
      </c>
      <c r="H20" s="555">
        <f t="shared" si="15"/>
        <v>320623</v>
      </c>
      <c r="I20" s="161">
        <f t="shared" si="2"/>
        <v>0</v>
      </c>
      <c r="J20" s="555">
        <f t="shared" si="16"/>
        <v>219937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47.988941956882258</v>
      </c>
      <c r="P20" s="300">
        <f t="shared" si="9"/>
        <v>47.988941956882258</v>
      </c>
      <c r="Q20" s="300">
        <f>SUM(-tanks!AX22*tanks!$AU$37)</f>
        <v>0</v>
      </c>
      <c r="R20" s="300">
        <f t="shared" si="10"/>
        <v>47.988941956882258</v>
      </c>
      <c r="S20" s="302">
        <f>SUM(ELEC!N19)</f>
        <v>0</v>
      </c>
      <c r="T20" s="339">
        <f t="shared" si="12"/>
        <v>0</v>
      </c>
      <c r="V20" t="s">
        <v>414</v>
      </c>
      <c r="AB20" s="587"/>
    </row>
    <row r="21" spans="1:32" ht="15.75" thickBot="1">
      <c r="A21" s="163">
        <f>ELEC!C20</f>
        <v>44153</v>
      </c>
      <c r="B21" s="555">
        <f t="shared" si="13"/>
        <v>629025</v>
      </c>
      <c r="C21" s="266">
        <f t="shared" si="0"/>
        <v>0</v>
      </c>
      <c r="D21" s="311">
        <f t="shared" si="8"/>
        <v>0</v>
      </c>
      <c r="E21" s="311">
        <f t="shared" si="11"/>
        <v>629025</v>
      </c>
      <c r="F21" s="602">
        <f t="shared" si="14"/>
        <v>91759</v>
      </c>
      <c r="G21" s="160">
        <f t="shared" si="1"/>
        <v>0</v>
      </c>
      <c r="H21" s="555">
        <f t="shared" si="15"/>
        <v>320623</v>
      </c>
      <c r="I21" s="161">
        <f t="shared" si="2"/>
        <v>0</v>
      </c>
      <c r="J21" s="555">
        <f t="shared" si="16"/>
        <v>219937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47.988941956882258</v>
      </c>
      <c r="P21" s="300">
        <f t="shared" si="9"/>
        <v>47.988941956882258</v>
      </c>
      <c r="Q21" s="300">
        <f>SUM(-tanks!AX23*tanks!$AU$37)</f>
        <v>0</v>
      </c>
      <c r="R21" s="300">
        <f t="shared" si="10"/>
        <v>47.988941956882258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75"/>
      <c r="AC21" s="676"/>
    </row>
    <row r="22" spans="1:32" ht="15.75" thickBot="1">
      <c r="A22" s="163">
        <f>ELEC!C21</f>
        <v>44154</v>
      </c>
      <c r="B22" s="555">
        <f t="shared" si="13"/>
        <v>629025</v>
      </c>
      <c r="C22" s="266">
        <f t="shared" si="0"/>
        <v>0</v>
      </c>
      <c r="D22" s="311">
        <f t="shared" si="8"/>
        <v>0</v>
      </c>
      <c r="E22" s="311">
        <f t="shared" si="11"/>
        <v>629025</v>
      </c>
      <c r="F22" s="602">
        <f t="shared" si="14"/>
        <v>91759</v>
      </c>
      <c r="G22" s="160">
        <f t="shared" si="1"/>
        <v>0</v>
      </c>
      <c r="H22" s="555">
        <f t="shared" si="15"/>
        <v>320623</v>
      </c>
      <c r="I22" s="161">
        <f t="shared" si="2"/>
        <v>0</v>
      </c>
      <c r="J22" s="555">
        <f t="shared" si="16"/>
        <v>219937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47.988941956882258</v>
      </c>
      <c r="P22" s="300">
        <f t="shared" si="9"/>
        <v>47.988941956882258</v>
      </c>
      <c r="Q22" s="300">
        <f>SUM(-tanks!AX24*tanks!$AU$37)</f>
        <v>0</v>
      </c>
      <c r="R22" s="300">
        <f t="shared" si="10"/>
        <v>47.988941956882258</v>
      </c>
      <c r="S22" s="302">
        <f>SUM(ELEC!N21)</f>
        <v>0</v>
      </c>
      <c r="T22" s="339">
        <f t="shared" si="12"/>
        <v>0</v>
      </c>
      <c r="V22" s="681"/>
      <c r="W22" s="682"/>
      <c r="X22" s="682"/>
      <c r="Y22" s="683"/>
      <c r="Z22" s="26" t="s">
        <v>203</v>
      </c>
      <c r="AA22" s="26">
        <v>5000</v>
      </c>
      <c r="AB22" s="677"/>
      <c r="AC22" s="678"/>
    </row>
    <row r="23" spans="1:32" ht="15.75" thickBot="1">
      <c r="A23" s="163">
        <f>ELEC!C22</f>
        <v>44155</v>
      </c>
      <c r="B23" s="555">
        <f t="shared" si="13"/>
        <v>629025</v>
      </c>
      <c r="C23" s="266">
        <f t="shared" si="0"/>
        <v>0</v>
      </c>
      <c r="D23" s="311">
        <f t="shared" si="8"/>
        <v>0</v>
      </c>
      <c r="E23" s="311">
        <f t="shared" si="11"/>
        <v>629025</v>
      </c>
      <c r="F23" s="602">
        <f t="shared" si="14"/>
        <v>91759</v>
      </c>
      <c r="G23" s="160">
        <f t="shared" si="1"/>
        <v>0</v>
      </c>
      <c r="H23" s="555">
        <f t="shared" si="15"/>
        <v>320623</v>
      </c>
      <c r="I23" s="161">
        <f t="shared" si="2"/>
        <v>0</v>
      </c>
      <c r="J23" s="555">
        <f t="shared" si="16"/>
        <v>219937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47.988941956882258</v>
      </c>
      <c r="P23" s="300">
        <f t="shared" si="9"/>
        <v>47.988941956882258</v>
      </c>
      <c r="Q23" s="300">
        <f>SUM(-tanks!AX25*tanks!$AU$37)</f>
        <v>0</v>
      </c>
      <c r="R23" s="300">
        <f t="shared" si="10"/>
        <v>47.988941956882258</v>
      </c>
      <c r="S23" s="302">
        <f>SUM(ELEC!N22)</f>
        <v>0</v>
      </c>
      <c r="T23" s="339">
        <f t="shared" si="12"/>
        <v>0</v>
      </c>
      <c r="V23" s="684"/>
      <c r="W23" s="685"/>
      <c r="X23" s="685"/>
      <c r="Y23" s="686"/>
      <c r="Z23" s="687"/>
      <c r="AA23" s="688"/>
      <c r="AB23" s="677"/>
      <c r="AC23" s="678"/>
    </row>
    <row r="24" spans="1:32" ht="15" customHeight="1" thickBot="1">
      <c r="A24" s="163">
        <f>ELEC!C23</f>
        <v>44156</v>
      </c>
      <c r="B24" s="555">
        <f t="shared" si="13"/>
        <v>629025</v>
      </c>
      <c r="C24" s="266">
        <f t="shared" si="0"/>
        <v>0</v>
      </c>
      <c r="D24" s="311">
        <f t="shared" si="8"/>
        <v>0</v>
      </c>
      <c r="E24" s="311">
        <f t="shared" si="11"/>
        <v>629025</v>
      </c>
      <c r="F24" s="602">
        <f t="shared" si="14"/>
        <v>91759</v>
      </c>
      <c r="G24" s="160">
        <f t="shared" si="1"/>
        <v>0</v>
      </c>
      <c r="H24" s="555">
        <f t="shared" si="15"/>
        <v>320623</v>
      </c>
      <c r="I24" s="161">
        <f t="shared" si="2"/>
        <v>0</v>
      </c>
      <c r="J24" s="555">
        <f t="shared" si="16"/>
        <v>219937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47.988941956882258</v>
      </c>
      <c r="P24" s="300">
        <f t="shared" si="9"/>
        <v>47.988941956882258</v>
      </c>
      <c r="Q24" s="300">
        <f>SUM(-tanks!AX26*tanks!$AU$37)</f>
        <v>0</v>
      </c>
      <c r="R24" s="300">
        <f t="shared" si="10"/>
        <v>47.988941956882258</v>
      </c>
      <c r="S24" s="302">
        <f>SUM(ELEC!N23)</f>
        <v>0</v>
      </c>
      <c r="T24" s="339">
        <f t="shared" si="12"/>
        <v>0</v>
      </c>
      <c r="V24" s="689" t="s">
        <v>204</v>
      </c>
      <c r="W24" s="690"/>
      <c r="X24" s="691" t="s">
        <v>205</v>
      </c>
      <c r="Y24" s="692"/>
      <c r="Z24" s="693"/>
      <c r="AA24" s="170"/>
      <c r="AB24" s="679"/>
      <c r="AC24" s="680"/>
    </row>
    <row r="25" spans="1:32" ht="17.25" customHeight="1" thickBot="1">
      <c r="A25" s="163">
        <f>ELEC!C24</f>
        <v>44157</v>
      </c>
      <c r="B25" s="555">
        <f t="shared" si="13"/>
        <v>629025</v>
      </c>
      <c r="C25" s="266">
        <f t="shared" si="0"/>
        <v>0</v>
      </c>
      <c r="D25" s="311">
        <f t="shared" si="8"/>
        <v>0</v>
      </c>
      <c r="E25" s="311">
        <f t="shared" si="11"/>
        <v>629025</v>
      </c>
      <c r="F25" s="602">
        <f t="shared" si="14"/>
        <v>91759</v>
      </c>
      <c r="G25" s="160">
        <f t="shared" si="1"/>
        <v>0</v>
      </c>
      <c r="H25" s="555">
        <f t="shared" si="15"/>
        <v>320623</v>
      </c>
      <c r="I25" s="161">
        <f t="shared" si="2"/>
        <v>0</v>
      </c>
      <c r="J25" s="555">
        <f t="shared" si="16"/>
        <v>219937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47.988941956882258</v>
      </c>
      <c r="P25" s="300">
        <f t="shared" si="9"/>
        <v>47.988941956882258</v>
      </c>
      <c r="Q25" s="300">
        <f>SUM(-tanks!AX27*tanks!$AU$37)</f>
        <v>0</v>
      </c>
      <c r="R25" s="300">
        <f t="shared" si="10"/>
        <v>47.988941956882258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5">
        <f t="shared" si="13"/>
        <v>629025</v>
      </c>
      <c r="C26" s="266">
        <f t="shared" si="0"/>
        <v>0</v>
      </c>
      <c r="D26" s="311">
        <f t="shared" si="8"/>
        <v>0</v>
      </c>
      <c r="E26" s="311">
        <f t="shared" si="11"/>
        <v>629025</v>
      </c>
      <c r="F26" s="602">
        <f t="shared" si="14"/>
        <v>91759</v>
      </c>
      <c r="G26" s="160">
        <f t="shared" si="1"/>
        <v>0</v>
      </c>
      <c r="H26" s="555">
        <f t="shared" si="15"/>
        <v>320623</v>
      </c>
      <c r="I26" s="161">
        <f t="shared" si="2"/>
        <v>0</v>
      </c>
      <c r="J26" s="555">
        <f t="shared" si="16"/>
        <v>219937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47.988941956882258</v>
      </c>
      <c r="P26" s="300">
        <f t="shared" si="9"/>
        <v>47.988941956882258</v>
      </c>
      <c r="Q26" s="300">
        <f>SUM(-tanks!AX28*tanks!$AU$37)</f>
        <v>0</v>
      </c>
      <c r="R26" s="300">
        <f t="shared" si="10"/>
        <v>47.988941956882258</v>
      </c>
      <c r="S26" s="302">
        <f>SUM(ELEC!N25)</f>
        <v>0</v>
      </c>
      <c r="T26" s="339">
        <f t="shared" si="12"/>
        <v>0</v>
      </c>
      <c r="V26" s="256">
        <f>W9</f>
        <v>210387</v>
      </c>
      <c r="W26" s="170">
        <f>J33</f>
        <v>219937</v>
      </c>
      <c r="X26" s="172" t="s">
        <v>199</v>
      </c>
      <c r="Y26" s="172">
        <v>80</v>
      </c>
      <c r="Z26" s="172">
        <v>1</v>
      </c>
      <c r="AA26" s="341">
        <f>(W26-V26)*Z26</f>
        <v>9550</v>
      </c>
      <c r="AB26" s="341">
        <f>AA26*Y26</f>
        <v>764000</v>
      </c>
      <c r="AC26" s="251">
        <f>AC9</f>
        <v>1033333</v>
      </c>
      <c r="AD26" s="213">
        <f>SUM(K36)</f>
        <v>1.44882463153583E-2</v>
      </c>
    </row>
    <row r="27" spans="1:32" ht="15.75" thickBot="1">
      <c r="A27" s="163">
        <f>ELEC!C26</f>
        <v>44159</v>
      </c>
      <c r="B27" s="555">
        <f t="shared" si="13"/>
        <v>629025</v>
      </c>
      <c r="C27" s="266">
        <f t="shared" si="0"/>
        <v>0</v>
      </c>
      <c r="D27" s="311">
        <f t="shared" si="8"/>
        <v>0</v>
      </c>
      <c r="E27" s="311">
        <f t="shared" si="11"/>
        <v>629025</v>
      </c>
      <c r="F27" s="602">
        <f t="shared" si="14"/>
        <v>91759</v>
      </c>
      <c r="G27" s="160">
        <f t="shared" si="1"/>
        <v>0</v>
      </c>
      <c r="H27" s="555">
        <f t="shared" si="15"/>
        <v>320623</v>
      </c>
      <c r="I27" s="161">
        <f t="shared" si="2"/>
        <v>0</v>
      </c>
      <c r="J27" s="555">
        <f t="shared" si="16"/>
        <v>219937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47.988941956882258</v>
      </c>
      <c r="P27" s="300">
        <f t="shared" si="9"/>
        <v>47.988941956882258</v>
      </c>
      <c r="Q27" s="300">
        <f>SUM(-tanks!AX29*tanks!$AU$37)</f>
        <v>0</v>
      </c>
      <c r="R27" s="300">
        <f t="shared" si="10"/>
        <v>47.988941956882258</v>
      </c>
      <c r="S27" s="302">
        <f>SUM(ELEC!N26)</f>
        <v>0</v>
      </c>
      <c r="T27" s="339">
        <f t="shared" si="12"/>
        <v>0</v>
      </c>
      <c r="V27" s="256">
        <f t="shared" ref="V27:V28" si="27">W10</f>
        <v>304747</v>
      </c>
      <c r="W27" s="170">
        <f>H33</f>
        <v>320623</v>
      </c>
      <c r="X27" s="172" t="s">
        <v>213</v>
      </c>
      <c r="Y27" s="172">
        <v>112</v>
      </c>
      <c r="Z27" s="172">
        <v>1</v>
      </c>
      <c r="AA27" s="341">
        <f>(W27-V27)*Z27</f>
        <v>15876</v>
      </c>
      <c r="AB27" s="341">
        <f>SUM(AA27*Y27)</f>
        <v>1778112</v>
      </c>
      <c r="AC27" s="251">
        <f>AC10</f>
        <v>6200000</v>
      </c>
      <c r="AD27" s="213">
        <f>SUM(I36)</f>
        <v>2.4085382042160042E-2</v>
      </c>
    </row>
    <row r="28" spans="1:32" ht="15.75" thickBot="1">
      <c r="A28" s="163">
        <f>ELEC!C27</f>
        <v>44160</v>
      </c>
      <c r="B28" s="555">
        <f t="shared" si="13"/>
        <v>629025</v>
      </c>
      <c r="C28" s="266">
        <f t="shared" si="0"/>
        <v>0</v>
      </c>
      <c r="D28" s="311">
        <f t="shared" si="8"/>
        <v>0</v>
      </c>
      <c r="E28" s="311">
        <f t="shared" si="11"/>
        <v>629025</v>
      </c>
      <c r="F28" s="602">
        <f t="shared" si="14"/>
        <v>91759</v>
      </c>
      <c r="G28" s="160">
        <f t="shared" si="1"/>
        <v>0</v>
      </c>
      <c r="H28" s="555">
        <f t="shared" si="15"/>
        <v>320623</v>
      </c>
      <c r="I28" s="161">
        <f t="shared" si="2"/>
        <v>0</v>
      </c>
      <c r="J28" s="555">
        <f t="shared" si="16"/>
        <v>219937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47.988941956882258</v>
      </c>
      <c r="P28" s="300">
        <f t="shared" si="9"/>
        <v>47.988941956882258</v>
      </c>
      <c r="Q28" s="300">
        <f>SUM(-tanks!AX30*tanks!$AU$37)</f>
        <v>0</v>
      </c>
      <c r="R28" s="300">
        <f t="shared" si="10"/>
        <v>47.988941956882258</v>
      </c>
      <c r="S28" s="302">
        <f>SUM(ELEC!N27)</f>
        <v>0</v>
      </c>
      <c r="T28" s="339">
        <f t="shared" si="12"/>
        <v>0</v>
      </c>
      <c r="V28" s="256">
        <f t="shared" si="27"/>
        <v>87055</v>
      </c>
      <c r="W28" s="170">
        <f>F33</f>
        <v>91759</v>
      </c>
      <c r="X28" s="172" t="s">
        <v>197</v>
      </c>
      <c r="Y28" s="172">
        <v>320</v>
      </c>
      <c r="Z28" s="172">
        <v>1</v>
      </c>
      <c r="AA28" s="341">
        <f>(W28-V28)*Z28</f>
        <v>4704</v>
      </c>
      <c r="AB28" s="341">
        <f>SUM(AA28*Y28)</f>
        <v>1505280</v>
      </c>
      <c r="AC28" s="251">
        <f>AC11</f>
        <v>1000</v>
      </c>
      <c r="AD28" s="213">
        <f>SUM(G36)</f>
        <v>7.1364094939733447E-3</v>
      </c>
      <c r="AE28" s="40">
        <f>SUM(AB28*5%)</f>
        <v>75264</v>
      </c>
      <c r="AF28" s="82">
        <f>SUM(AE28/7)*31</f>
        <v>333312</v>
      </c>
    </row>
    <row r="29" spans="1:32" ht="15.75" thickBot="1">
      <c r="A29" s="163">
        <f>ELEC!C28</f>
        <v>44161</v>
      </c>
      <c r="B29" s="555">
        <f t="shared" si="13"/>
        <v>629025</v>
      </c>
      <c r="C29" s="266">
        <f t="shared" si="0"/>
        <v>0</v>
      </c>
      <c r="D29" s="311">
        <f t="shared" si="8"/>
        <v>0</v>
      </c>
      <c r="E29" s="311">
        <f t="shared" si="11"/>
        <v>629025</v>
      </c>
      <c r="F29" s="602">
        <f t="shared" si="14"/>
        <v>91759</v>
      </c>
      <c r="G29" s="160">
        <f t="shared" si="1"/>
        <v>0</v>
      </c>
      <c r="H29" s="555">
        <f t="shared" si="15"/>
        <v>320623</v>
      </c>
      <c r="I29" s="161">
        <f t="shared" si="2"/>
        <v>0</v>
      </c>
      <c r="J29" s="555">
        <f t="shared" si="16"/>
        <v>219937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47.988941956882258</v>
      </c>
      <c r="P29" s="300">
        <f t="shared" si="9"/>
        <v>47.988941956882258</v>
      </c>
      <c r="Q29" s="300">
        <f>SUM(-tanks!AX31*tanks!$AU$37)</f>
        <v>0</v>
      </c>
      <c r="R29" s="300">
        <f t="shared" si="10"/>
        <v>47.988941956882258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30130</v>
      </c>
      <c r="AB29" s="341"/>
      <c r="AC29" s="251"/>
    </row>
    <row r="30" spans="1:32" ht="14.25" customHeight="1" thickBot="1">
      <c r="A30" s="163">
        <f>ELEC!C29</f>
        <v>44162</v>
      </c>
      <c r="B30" s="555">
        <f t="shared" si="13"/>
        <v>629025</v>
      </c>
      <c r="C30" s="266">
        <f t="shared" si="0"/>
        <v>0</v>
      </c>
      <c r="D30" s="311">
        <f t="shared" si="8"/>
        <v>0</v>
      </c>
      <c r="E30" s="311">
        <f t="shared" si="11"/>
        <v>629025</v>
      </c>
      <c r="F30" s="602">
        <f t="shared" si="14"/>
        <v>91759</v>
      </c>
      <c r="G30" s="160">
        <f t="shared" si="1"/>
        <v>0</v>
      </c>
      <c r="H30" s="555">
        <f t="shared" si="15"/>
        <v>320623</v>
      </c>
      <c r="I30" s="161">
        <f t="shared" si="2"/>
        <v>0</v>
      </c>
      <c r="J30" s="555">
        <f t="shared" si="16"/>
        <v>219937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47.988941956882258</v>
      </c>
      <c r="P30" s="300">
        <f t="shared" si="9"/>
        <v>47.988941956882258</v>
      </c>
      <c r="Q30" s="300">
        <f>SUM(-tanks!AX32*tanks!$AU$37)</f>
        <v>0</v>
      </c>
      <c r="R30" s="300">
        <f t="shared" si="10"/>
        <v>47.988941956882258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4047392</v>
      </c>
      <c r="AC30" s="251">
        <f>SUM(AC26:AC29)/A37*A35</f>
        <v>2170299.9</v>
      </c>
    </row>
    <row r="31" spans="1:32" ht="15.75" thickBot="1">
      <c r="A31" s="163">
        <f>ELEC!C30</f>
        <v>44163</v>
      </c>
      <c r="B31" s="555">
        <f t="shared" si="13"/>
        <v>629025</v>
      </c>
      <c r="C31" s="266">
        <f t="shared" si="0"/>
        <v>0</v>
      </c>
      <c r="D31" s="311">
        <f t="shared" si="8"/>
        <v>0</v>
      </c>
      <c r="E31" s="311">
        <f t="shared" si="11"/>
        <v>629025</v>
      </c>
      <c r="F31" s="602">
        <f t="shared" si="14"/>
        <v>91759</v>
      </c>
      <c r="G31" s="160">
        <f t="shared" si="1"/>
        <v>0</v>
      </c>
      <c r="H31" s="555">
        <f t="shared" si="15"/>
        <v>320623</v>
      </c>
      <c r="I31" s="161">
        <f t="shared" si="2"/>
        <v>0</v>
      </c>
      <c r="J31" s="555">
        <f t="shared" si="16"/>
        <v>219937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47.988941956882258</v>
      </c>
      <c r="P31" s="300">
        <f t="shared" si="9"/>
        <v>47.988941956882258</v>
      </c>
      <c r="Q31" s="300">
        <f>SUM(-tanks!AX33*tanks!$AU$37)</f>
        <v>0</v>
      </c>
      <c r="R31" s="300">
        <f t="shared" si="10"/>
        <v>47.988941956882258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25</v>
      </c>
      <c r="X31" s="223">
        <f>SUM(W31/A35)</f>
        <v>2.7777777777777777</v>
      </c>
      <c r="Y31" s="262">
        <f>SUM(X31/2)</f>
        <v>1.3888888888888888</v>
      </c>
      <c r="Z31" s="3"/>
      <c r="AA31" s="3"/>
      <c r="AB31" s="558">
        <f>SUM(AB30+AC31)</f>
        <v>6217691.9000000004</v>
      </c>
      <c r="AC31" s="251">
        <f>SUM(AC30)</f>
        <v>2170299.9</v>
      </c>
    </row>
    <row r="32" spans="1:32" ht="15.75" thickBot="1">
      <c r="A32" s="163">
        <f>ELEC!C31</f>
        <v>44164</v>
      </c>
      <c r="B32" s="555">
        <f t="shared" si="13"/>
        <v>629025</v>
      </c>
      <c r="C32" s="266">
        <f t="shared" si="0"/>
        <v>0</v>
      </c>
      <c r="D32" s="311">
        <f t="shared" si="8"/>
        <v>0</v>
      </c>
      <c r="E32" s="311">
        <f t="shared" si="11"/>
        <v>629025</v>
      </c>
      <c r="F32" s="602">
        <f t="shared" si="14"/>
        <v>91759</v>
      </c>
      <c r="G32" s="160">
        <f t="shared" si="1"/>
        <v>0</v>
      </c>
      <c r="H32" s="555">
        <f t="shared" si="15"/>
        <v>320623</v>
      </c>
      <c r="I32" s="161">
        <f t="shared" si="2"/>
        <v>0</v>
      </c>
      <c r="J32" s="555">
        <f t="shared" si="16"/>
        <v>219937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47.988941956882258</v>
      </c>
      <c r="P32" s="300">
        <f t="shared" si="9"/>
        <v>47.988941956882258</v>
      </c>
      <c r="Q32" s="300">
        <f>SUM(-tanks!AX34*tanks!$AU$37)</f>
        <v>0</v>
      </c>
      <c r="R32" s="300">
        <f t="shared" si="10"/>
        <v>47.988941956882258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5">
        <f t="shared" si="13"/>
        <v>629025</v>
      </c>
      <c r="C33" s="266">
        <f t="shared" si="0"/>
        <v>0</v>
      </c>
      <c r="D33" s="311">
        <f t="shared" si="8"/>
        <v>0</v>
      </c>
      <c r="E33" s="311">
        <f t="shared" si="11"/>
        <v>629025</v>
      </c>
      <c r="F33" s="602">
        <f t="shared" si="14"/>
        <v>91759</v>
      </c>
      <c r="G33" s="160">
        <f>F33-F32</f>
        <v>0</v>
      </c>
      <c r="H33" s="555">
        <f t="shared" si="15"/>
        <v>320623</v>
      </c>
      <c r="I33" s="161">
        <f t="shared" si="2"/>
        <v>0</v>
      </c>
      <c r="J33" s="555">
        <f t="shared" si="16"/>
        <v>219937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47.988941956882258</v>
      </c>
      <c r="P33" s="300">
        <f>SUM(L33:O33)</f>
        <v>47.988941956882258</v>
      </c>
      <c r="Q33" s="300">
        <f>SUM(-tanks!AX35*tanks!$AU$37)</f>
        <v>0</v>
      </c>
      <c r="R33" s="300">
        <f>SUM(P33:Q33)</f>
        <v>47.988941956882258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8"/>
      <c r="B34" s="549"/>
      <c r="C34" s="550"/>
      <c r="D34" s="550"/>
      <c r="E34" s="550"/>
      <c r="F34" s="549"/>
      <c r="G34" s="549"/>
      <c r="H34" s="549"/>
      <c r="I34" s="549"/>
      <c r="J34" s="549"/>
      <c r="K34" s="554"/>
      <c r="L34" s="551"/>
      <c r="M34" s="551"/>
      <c r="N34" s="551"/>
      <c r="O34" s="551"/>
      <c r="P34" s="552"/>
      <c r="Q34" s="552"/>
      <c r="R34" s="552"/>
      <c r="S34" s="552"/>
      <c r="T34" s="553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683946.10900000005</v>
      </c>
      <c r="AC34" s="597"/>
    </row>
    <row r="35" spans="1:32" ht="15.75" thickBot="1">
      <c r="A35" s="547">
        <f>A37-COUNTIF(C4:C33,0)</f>
        <v>9</v>
      </c>
      <c r="C35" s="174">
        <f>SUM(C4:C33)/A35</f>
        <v>73239.444444444438</v>
      </c>
      <c r="D35" s="174"/>
      <c r="E35" s="174"/>
      <c r="G35" s="174">
        <f>SUM(G4:G33)/A35</f>
        <v>522.66666666666663</v>
      </c>
      <c r="I35" s="174">
        <f>SUM(I4:I33)/A35</f>
        <v>1764</v>
      </c>
      <c r="K35" s="174">
        <f>SUM(K4:K34)/A35</f>
        <v>1061.1111111111111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6901638.0090000005</v>
      </c>
      <c r="AC35" s="597"/>
    </row>
    <row r="36" spans="1:32" ht="15.75" thickBot="1">
      <c r="A36" s="211"/>
      <c r="C36" s="213">
        <f>SUM(G36:K36)</f>
        <v>4.5710037851491685E-2</v>
      </c>
      <c r="G36" s="226">
        <f>IF(C35&gt;0,G35/C35,0)</f>
        <v>7.1364094939733447E-3</v>
      </c>
      <c r="H36" s="213"/>
      <c r="I36" s="226">
        <f>SUM(I35/C35)</f>
        <v>2.4085382042160042E-2</v>
      </c>
      <c r="J36" s="213"/>
      <c r="K36" s="226">
        <f>SUM(K35/C35)</f>
        <v>1.44882463153583E-2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98">
        <f>SUM(AB31/1507.5)</f>
        <v>4124.5054063018242</v>
      </c>
      <c r="AC36" s="599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4"/>
      <c r="AA37" s="594"/>
      <c r="AB37" s="595"/>
      <c r="AC37" s="596"/>
    </row>
    <row r="38" spans="1:32">
      <c r="V38" s="218"/>
      <c r="W38" s="82">
        <f>AC30/1507.5</f>
        <v>1439.6682587064677</v>
      </c>
      <c r="Z38" s="40"/>
      <c r="AA38" s="295" t="s">
        <v>215</v>
      </c>
      <c r="AB38" s="296">
        <f>SUM(AB36)</f>
        <v>4124.5054063018242</v>
      </c>
    </row>
    <row r="39" spans="1:32">
      <c r="V39" s="218"/>
      <c r="W39" s="82">
        <f>(AB30+AB54)/1507.5</f>
        <v>2684.8371475953563</v>
      </c>
      <c r="X39" s="559"/>
      <c r="Z39" s="297">
        <f>SUM(AB38)</f>
        <v>4124.5054063018242</v>
      </c>
      <c r="AA39" s="296"/>
      <c r="AB39" s="296"/>
    </row>
    <row r="40" spans="1:32">
      <c r="V40" s="17"/>
      <c r="W40" s="82">
        <f>SUM(W38:W39)</f>
        <v>4124.5054063018242</v>
      </c>
      <c r="X40" s="559"/>
      <c r="Y40" s="82"/>
      <c r="Z40" s="297">
        <f>SUM(-tanks!AX37)*tanks!AU37</f>
        <v>0</v>
      </c>
      <c r="AA40" s="101">
        <f>SUM(AB31/A35)</f>
        <v>690854.6555555556</v>
      </c>
      <c r="AB40" s="351">
        <f>SUM(AA40*A37)</f>
        <v>20725639.666666668</v>
      </c>
    </row>
    <row r="41" spans="1:32" ht="18.75">
      <c r="W41" s="82">
        <f>(AB30+AB54)/1507.5</f>
        <v>2684.8371475953563</v>
      </c>
      <c r="Z41" s="278">
        <f>SUM(Z39:Z40)</f>
        <v>4124.5054063018242</v>
      </c>
      <c r="AA41" s="296">
        <f>SUM(AA40/1507.5)</f>
        <v>458.27837847798048</v>
      </c>
      <c r="AB41" s="350">
        <f>SUM(AB40/1507.5)</f>
        <v>13748.351354339415</v>
      </c>
    </row>
    <row r="42" spans="1:32">
      <c r="D42" s="526"/>
      <c r="E42" s="526"/>
      <c r="F42" s="526"/>
      <c r="W42" s="82">
        <f>SUM(W40:W41)</f>
        <v>6809.3425538971806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1"/>
      <c r="W45" s="562"/>
      <c r="X45" s="17"/>
      <c r="Y45" s="17"/>
      <c r="Z45" s="563"/>
      <c r="AA45" s="17"/>
      <c r="AB45" s="694"/>
      <c r="AC45" s="694"/>
      <c r="AD45" s="17"/>
      <c r="AE45" s="17"/>
      <c r="AF45" s="17"/>
    </row>
    <row r="46" spans="1:32">
      <c r="V46" s="694"/>
      <c r="W46" s="694"/>
      <c r="X46" s="694"/>
      <c r="Y46" s="694"/>
      <c r="Z46" s="563"/>
      <c r="AA46" s="563"/>
      <c r="AB46" s="694"/>
      <c r="AC46" s="694"/>
      <c r="AD46" s="17"/>
      <c r="AE46" s="17"/>
      <c r="AF46" s="17"/>
    </row>
    <row r="47" spans="1:32">
      <c r="V47" s="694"/>
      <c r="W47" s="694"/>
      <c r="X47" s="694"/>
      <c r="Y47" s="694"/>
      <c r="Z47" s="694"/>
      <c r="AA47" s="694"/>
      <c r="AB47" s="694"/>
      <c r="AC47" s="694"/>
      <c r="AD47" s="17"/>
      <c r="AE47" s="17"/>
      <c r="AF47" s="17"/>
    </row>
    <row r="48" spans="1:32">
      <c r="V48" s="695"/>
      <c r="W48" s="695"/>
      <c r="X48" s="696"/>
      <c r="Y48" s="696"/>
      <c r="Z48" s="696"/>
      <c r="AA48" s="564"/>
      <c r="AB48" s="694"/>
      <c r="AC48" s="694"/>
      <c r="AD48" s="17"/>
      <c r="AE48" s="17"/>
      <c r="AF48" s="17"/>
    </row>
    <row r="49" spans="22:32">
      <c r="V49" s="561"/>
      <c r="W49" s="561"/>
      <c r="X49" s="561"/>
      <c r="Y49" s="561"/>
      <c r="Z49" s="561"/>
      <c r="AA49" s="561"/>
      <c r="AB49" s="561"/>
      <c r="AC49" s="565"/>
      <c r="AD49" s="17"/>
      <c r="AE49" s="17"/>
      <c r="AF49" s="17"/>
    </row>
    <row r="50" spans="22:32">
      <c r="V50" s="564"/>
      <c r="W50" s="564"/>
      <c r="X50" s="566"/>
      <c r="Y50" s="566"/>
      <c r="Z50" s="566"/>
      <c r="AA50" s="73"/>
      <c r="AB50" s="73"/>
      <c r="AC50" s="73"/>
      <c r="AD50" s="567"/>
      <c r="AE50" s="17"/>
      <c r="AF50" s="17"/>
    </row>
    <row r="51" spans="22:32">
      <c r="V51" s="564"/>
      <c r="W51" s="564"/>
      <c r="X51" s="566"/>
      <c r="Y51" s="566"/>
      <c r="Z51" s="566"/>
      <c r="AA51" s="73"/>
      <c r="AB51" s="73"/>
      <c r="AC51" s="73"/>
      <c r="AD51" s="567"/>
      <c r="AE51" s="17"/>
      <c r="AF51" s="17"/>
    </row>
    <row r="52" spans="22:32">
      <c r="V52" s="564"/>
      <c r="W52" s="564"/>
      <c r="X52" s="566"/>
      <c r="Y52" s="566"/>
      <c r="Z52" s="566"/>
      <c r="AA52" s="73"/>
      <c r="AB52" s="73"/>
      <c r="AC52" s="73"/>
      <c r="AD52" s="567"/>
      <c r="AE52" s="568"/>
      <c r="AF52" s="569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70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1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2"/>
      <c r="AB59" s="573"/>
      <c r="AC59" s="574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5"/>
      <c r="AB60" s="573"/>
      <c r="AC60" s="574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3"/>
      <c r="AC61" s="574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76"/>
      <c r="AC62" s="17"/>
      <c r="AD62" s="17"/>
      <c r="AE62" s="17"/>
      <c r="AF62" s="17"/>
    </row>
    <row r="63" spans="22:32">
      <c r="V63" s="218"/>
      <c r="W63" s="569"/>
      <c r="X63" s="17"/>
      <c r="Y63" s="17"/>
      <c r="Z63" s="568"/>
      <c r="AA63" s="577"/>
      <c r="AB63" s="566"/>
      <c r="AC63" s="17"/>
      <c r="AD63" s="17"/>
      <c r="AE63" s="17"/>
      <c r="AF63" s="17"/>
    </row>
    <row r="64" spans="22:32">
      <c r="V64" s="218"/>
      <c r="W64" s="569"/>
      <c r="X64" s="17"/>
      <c r="Y64" s="17"/>
      <c r="Z64" s="426"/>
      <c r="AA64" s="566"/>
      <c r="AB64" s="566"/>
      <c r="AC64" s="17"/>
      <c r="AD64" s="17"/>
      <c r="AE64" s="17"/>
      <c r="AF64" s="17"/>
    </row>
    <row r="65" spans="22:32">
      <c r="V65" s="17"/>
      <c r="W65" s="569"/>
      <c r="X65" s="17"/>
      <c r="Y65" s="569"/>
      <c r="Z65" s="426"/>
      <c r="AA65" s="566"/>
      <c r="AB65" s="578"/>
      <c r="AC65" s="17"/>
      <c r="AD65" s="17"/>
      <c r="AE65" s="17"/>
      <c r="AF65" s="17"/>
    </row>
    <row r="66" spans="22:32" ht="18.75">
      <c r="V66" s="17"/>
      <c r="W66" s="569"/>
      <c r="X66" s="17"/>
      <c r="Y66" s="17"/>
      <c r="Z66" s="579"/>
      <c r="AA66" s="566"/>
      <c r="AB66" s="580"/>
      <c r="AC66" s="17"/>
      <c r="AD66" s="17"/>
      <c r="AE66" s="17"/>
      <c r="AF66" s="17"/>
    </row>
    <row r="67" spans="22:32">
      <c r="V67" s="17"/>
      <c r="W67" s="569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66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B14" sqref="B14:H14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5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7" t="s">
        <v>51</v>
      </c>
      <c r="B1" s="709" t="s">
        <v>320</v>
      </c>
      <c r="C1" s="710"/>
      <c r="D1" s="712"/>
      <c r="E1" s="709" t="s">
        <v>321</v>
      </c>
      <c r="F1" s="710"/>
      <c r="G1" s="711"/>
      <c r="H1" s="706" t="s">
        <v>326</v>
      </c>
      <c r="I1" s="703" t="s">
        <v>327</v>
      </c>
      <c r="J1" s="700" t="s">
        <v>43</v>
      </c>
    </row>
    <row r="2" spans="1:18" ht="38.25" thickBot="1">
      <c r="A2" s="698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7"/>
      <c r="I2" s="704"/>
      <c r="J2" s="701"/>
    </row>
    <row r="3" spans="1:18" ht="24" customHeight="1" thickBot="1">
      <c r="A3" s="699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8"/>
      <c r="I3" s="705"/>
      <c r="J3" s="702"/>
    </row>
    <row r="4" spans="1:18" ht="19.5" thickBot="1">
      <c r="A4" s="245"/>
      <c r="B4" s="515"/>
      <c r="C4" s="515"/>
      <c r="D4" s="515"/>
      <c r="E4" s="515"/>
      <c r="F4" s="515"/>
      <c r="G4" s="515"/>
      <c r="H4" s="246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617">
        <v>1.5</v>
      </c>
      <c r="C6" s="618">
        <v>7.8</v>
      </c>
      <c r="D6" s="618">
        <v>0</v>
      </c>
      <c r="E6" s="618">
        <v>1.5</v>
      </c>
      <c r="F6" s="618">
        <v>8</v>
      </c>
      <c r="G6" s="618">
        <v>0</v>
      </c>
      <c r="H6" s="616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619">
        <v>1.5</v>
      </c>
      <c r="C7" s="616">
        <v>7.8</v>
      </c>
      <c r="D7" s="616">
        <v>0</v>
      </c>
      <c r="E7" s="616">
        <v>1.5</v>
      </c>
      <c r="F7" s="616">
        <v>8</v>
      </c>
      <c r="G7" s="616">
        <v>0</v>
      </c>
      <c r="H7" s="616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619">
        <v>1.5</v>
      </c>
      <c r="C8" s="616">
        <v>7.8</v>
      </c>
      <c r="D8" s="616">
        <v>0</v>
      </c>
      <c r="E8" s="616">
        <v>1.5</v>
      </c>
      <c r="F8" s="616">
        <v>8</v>
      </c>
      <c r="G8" s="616">
        <v>0</v>
      </c>
      <c r="H8" s="616">
        <v>6689</v>
      </c>
      <c r="I8" s="516">
        <f t="shared" si="2"/>
        <v>5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619">
        <v>1.5</v>
      </c>
      <c r="C9" s="619">
        <v>7.8</v>
      </c>
      <c r="D9" s="619">
        <v>0</v>
      </c>
      <c r="E9" s="619">
        <v>1.5</v>
      </c>
      <c r="F9" s="619">
        <v>8</v>
      </c>
      <c r="G9" s="619">
        <v>0</v>
      </c>
      <c r="H9" s="616">
        <v>6690</v>
      </c>
      <c r="I9" s="516">
        <f t="shared" si="2"/>
        <v>1</v>
      </c>
      <c r="J9" s="494">
        <v>0.29166666666666669</v>
      </c>
      <c r="L9" s="99">
        <f t="shared" si="0"/>
        <v>44139</v>
      </c>
      <c r="M9" s="3">
        <f t="shared" ref="M9:M36" si="3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619">
        <v>1.5</v>
      </c>
      <c r="C10" s="616">
        <v>7.8</v>
      </c>
      <c r="D10" s="616"/>
      <c r="E10" s="616">
        <v>1.5</v>
      </c>
      <c r="F10" s="616">
        <v>8</v>
      </c>
      <c r="G10" s="616">
        <v>0</v>
      </c>
      <c r="H10" s="616">
        <v>6690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3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4">
        <v>1</v>
      </c>
      <c r="C11" s="544">
        <v>7.8</v>
      </c>
      <c r="D11" s="544"/>
      <c r="E11" s="544">
        <v>1</v>
      </c>
      <c r="F11" s="544">
        <v>8</v>
      </c>
      <c r="G11" s="544">
        <v>0</v>
      </c>
      <c r="H11" s="516">
        <v>6699</v>
      </c>
      <c r="I11" s="516">
        <f t="shared" si="2"/>
        <v>9</v>
      </c>
      <c r="J11" s="494">
        <v>0.29166666666666669</v>
      </c>
      <c r="L11" s="99">
        <f t="shared" si="0"/>
        <v>44141</v>
      </c>
      <c r="M11" s="3">
        <f t="shared" si="3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4">
        <v>1</v>
      </c>
      <c r="C12" s="544">
        <v>7.8</v>
      </c>
      <c r="D12" s="544"/>
      <c r="E12" s="544">
        <v>1.5</v>
      </c>
      <c r="F12" s="544">
        <v>8</v>
      </c>
      <c r="G12" s="544">
        <v>0</v>
      </c>
      <c r="H12" s="516">
        <f t="shared" ref="H12:H36" si="4">H11</f>
        <v>6699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3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4">
        <v>1.4</v>
      </c>
      <c r="C13" s="544">
        <v>7.8</v>
      </c>
      <c r="D13" s="544"/>
      <c r="E13" s="544">
        <v>1</v>
      </c>
      <c r="F13" s="544">
        <v>8</v>
      </c>
      <c r="G13" s="544"/>
      <c r="H13" s="516">
        <f t="shared" si="4"/>
        <v>6699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3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256">
        <v>1.3</v>
      </c>
      <c r="C14" s="620">
        <v>7.8</v>
      </c>
      <c r="D14" s="170"/>
      <c r="E14" s="170">
        <v>1.5</v>
      </c>
      <c r="F14" s="170">
        <v>8</v>
      </c>
      <c r="G14" s="170"/>
      <c r="H14" s="606">
        <v>6699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3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544"/>
      <c r="C15" s="544"/>
      <c r="D15" s="544"/>
      <c r="E15" s="544"/>
      <c r="F15" s="544"/>
      <c r="G15" s="544"/>
      <c r="H15" s="516">
        <f t="shared" si="4"/>
        <v>6699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3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544"/>
      <c r="C16" s="544"/>
      <c r="D16" s="544"/>
      <c r="E16" s="544"/>
      <c r="F16" s="544"/>
      <c r="G16" s="544"/>
      <c r="H16" s="516">
        <f t="shared" si="4"/>
        <v>6699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3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4"/>
      <c r="C17" s="544"/>
      <c r="D17" s="544"/>
      <c r="E17" s="544"/>
      <c r="F17" s="544"/>
      <c r="G17" s="544"/>
      <c r="H17" s="516">
        <f t="shared" si="4"/>
        <v>6699</v>
      </c>
      <c r="I17" s="516">
        <f t="shared" si="2"/>
        <v>0</v>
      </c>
      <c r="J17" s="494">
        <v>0.29166666666666669</v>
      </c>
      <c r="L17" s="99">
        <f t="shared" si="0"/>
        <v>44147</v>
      </c>
      <c r="M17" s="3">
        <f t="shared" si="3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4"/>
      <c r="C18" s="544"/>
      <c r="D18" s="544"/>
      <c r="E18" s="544"/>
      <c r="F18" s="544"/>
      <c r="G18" s="544"/>
      <c r="H18" s="516">
        <f t="shared" si="4"/>
        <v>6699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3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4"/>
      <c r="C19" s="544"/>
      <c r="D19" s="544"/>
      <c r="E19" s="544"/>
      <c r="F19" s="544"/>
      <c r="G19" s="544"/>
      <c r="H19" s="516">
        <f t="shared" si="4"/>
        <v>6699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3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4"/>
      <c r="C20" s="544"/>
      <c r="D20" s="544"/>
      <c r="E20" s="544"/>
      <c r="F20" s="544"/>
      <c r="G20" s="544"/>
      <c r="H20" s="516">
        <f t="shared" si="4"/>
        <v>6699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3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4"/>
      <c r="C21" s="544"/>
      <c r="D21" s="544"/>
      <c r="E21" s="544"/>
      <c r="F21" s="544"/>
      <c r="G21" s="544"/>
      <c r="H21" s="516">
        <f t="shared" si="4"/>
        <v>6699</v>
      </c>
      <c r="I21" s="516">
        <f t="shared" si="2"/>
        <v>0</v>
      </c>
      <c r="J21" s="604" t="s">
        <v>417</v>
      </c>
      <c r="L21" s="99">
        <f t="shared" si="0"/>
        <v>44151</v>
      </c>
      <c r="M21" s="3">
        <f t="shared" si="3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4"/>
      <c r="C22" s="544"/>
      <c r="D22" s="544"/>
      <c r="E22" s="544"/>
      <c r="F22" s="544"/>
      <c r="G22" s="544"/>
      <c r="H22" s="516">
        <f t="shared" si="4"/>
        <v>6699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3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4"/>
      <c r="C23" s="544"/>
      <c r="D23" s="544"/>
      <c r="E23" s="544"/>
      <c r="F23" s="544"/>
      <c r="G23" s="544"/>
      <c r="H23" s="516">
        <f t="shared" si="4"/>
        <v>6699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3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06"/>
      <c r="C24" s="605"/>
      <c r="D24" s="170"/>
      <c r="E24" s="170"/>
      <c r="F24" s="170"/>
      <c r="G24" s="170"/>
      <c r="H24" s="516">
        <f t="shared" si="4"/>
        <v>6699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3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06"/>
      <c r="C25" s="605"/>
      <c r="D25" s="170"/>
      <c r="E25" s="170"/>
      <c r="F25" s="170"/>
      <c r="G25" s="170"/>
      <c r="H25" s="516">
        <f t="shared" si="4"/>
        <v>6699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3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06"/>
      <c r="C26" s="607"/>
      <c r="D26" s="170"/>
      <c r="E26" s="170"/>
      <c r="F26" s="170"/>
      <c r="G26" s="170"/>
      <c r="H26" s="516">
        <f t="shared" si="4"/>
        <v>6699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3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/>
      <c r="C27" s="170"/>
      <c r="D27" s="170"/>
      <c r="E27" s="170"/>
      <c r="F27" s="170"/>
      <c r="G27" s="170"/>
      <c r="H27" s="516">
        <f t="shared" si="4"/>
        <v>6699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3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/>
      <c r="C28" s="608"/>
      <c r="D28" s="170"/>
      <c r="E28" s="170"/>
      <c r="F28" s="170"/>
      <c r="G28" s="170"/>
      <c r="H28" s="516">
        <f t="shared" si="4"/>
        <v>6699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3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4"/>
      <c r="C29" s="544"/>
      <c r="D29" s="544"/>
      <c r="E29" s="544"/>
      <c r="F29" s="544"/>
      <c r="G29" s="544"/>
      <c r="H29" s="516">
        <f t="shared" si="4"/>
        <v>6699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3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/>
      <c r="C30" s="516"/>
      <c r="D30" s="170"/>
      <c r="E30" s="170"/>
      <c r="F30" s="170"/>
      <c r="G30" s="170"/>
      <c r="H30" s="516">
        <f t="shared" si="4"/>
        <v>6699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3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/>
      <c r="C31" s="546"/>
      <c r="D31" s="170"/>
      <c r="E31" s="170"/>
      <c r="F31" s="170"/>
      <c r="G31" s="170"/>
      <c r="H31" s="516">
        <f t="shared" si="4"/>
        <v>6699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3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4"/>
        <v>6699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3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4"/>
        <v>6699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3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4"/>
        <v>6699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3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4"/>
        <v>6699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3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4"/>
        <v>6699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3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4" t="s">
        <v>161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</row>
    <row r="2" spans="1:28" ht="19.5">
      <c r="A2" s="725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725"/>
      <c r="R2" s="725"/>
      <c r="S2" s="725"/>
      <c r="T2" s="725"/>
      <c r="U2" s="725"/>
      <c r="V2" s="725"/>
      <c r="W2" s="725"/>
      <c r="X2" s="725"/>
    </row>
    <row r="3" spans="1:28" ht="19.5">
      <c r="A3" s="725" t="s">
        <v>162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5"/>
      <c r="P3" s="725"/>
      <c r="Q3" s="725"/>
      <c r="R3" s="725"/>
      <c r="S3" s="725"/>
      <c r="T3" s="725"/>
      <c r="U3" s="725"/>
      <c r="V3" s="725"/>
      <c r="W3" s="725"/>
      <c r="X3" s="72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5" t="s">
        <v>411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725"/>
    </row>
    <row r="6" spans="1:28" ht="15.75" thickBot="1">
      <c r="A6" s="726"/>
      <c r="B6" s="726"/>
      <c r="C6" s="726"/>
      <c r="D6" s="726"/>
      <c r="E6" s="726"/>
      <c r="F6" s="726"/>
      <c r="G6" s="726"/>
      <c r="H6" s="726"/>
      <c r="I6" s="726"/>
      <c r="J6" s="726"/>
      <c r="K6" s="726"/>
      <c r="L6" s="726"/>
      <c r="M6" s="726"/>
      <c r="N6" s="726"/>
      <c r="O6" s="726"/>
      <c r="P6" s="726"/>
      <c r="Q6" s="726"/>
      <c r="R6" s="726"/>
      <c r="S6" s="726"/>
      <c r="T6" s="726"/>
      <c r="U6" s="726"/>
      <c r="V6" s="726"/>
      <c r="W6" s="726"/>
      <c r="X6" s="726"/>
    </row>
    <row r="7" spans="1:28" ht="15.75" thickBot="1">
      <c r="A7" s="714" t="s">
        <v>163</v>
      </c>
      <c r="B7" s="715"/>
      <c r="C7" s="716" t="s">
        <v>164</v>
      </c>
      <c r="D7" s="717"/>
      <c r="E7" s="717"/>
      <c r="F7" s="717"/>
      <c r="G7" s="717"/>
      <c r="H7" s="717"/>
      <c r="I7" s="717"/>
      <c r="J7" s="717"/>
      <c r="K7" s="71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26</v>
      </c>
      <c r="S50" s="274">
        <f>'General information '!C8</f>
        <v>22</v>
      </c>
      <c r="T50" s="119">
        <f t="shared" si="13"/>
        <v>5.6999999999999993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22</v>
      </c>
      <c r="S51" s="274">
        <f>'General information '!C9</f>
        <v>19</v>
      </c>
      <c r="T51" s="119">
        <f t="shared" si="13"/>
        <v>2.1999999999999993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22</v>
      </c>
      <c r="S52" s="274">
        <f>'General information '!C10</f>
        <v>17</v>
      </c>
      <c r="T52" s="119">
        <f t="shared" si="13"/>
        <v>1.1999999999999993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22</v>
      </c>
      <c r="S53" s="274">
        <f>'General information '!C11</f>
        <v>18</v>
      </c>
      <c r="T53" s="119">
        <f t="shared" si="13"/>
        <v>1.6999999999999993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23</v>
      </c>
      <c r="S54" s="274">
        <f>'General information '!C12</f>
        <v>18</v>
      </c>
      <c r="T54" s="119">
        <f t="shared" si="13"/>
        <v>2.1999999999999993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27</v>
      </c>
      <c r="S55" s="274">
        <f>'General information '!C13</f>
        <v>21</v>
      </c>
      <c r="T55" s="119">
        <f t="shared" si="13"/>
        <v>5.6999999999999993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27</v>
      </c>
      <c r="S56" s="274">
        <f>'General information '!C14</f>
        <v>22</v>
      </c>
      <c r="T56" s="119">
        <f t="shared" si="13"/>
        <v>6.1999999999999993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0</v>
      </c>
      <c r="S57" s="274">
        <f>'General information '!C15</f>
        <v>0</v>
      </c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0</v>
      </c>
      <c r="S58" s="274">
        <f>'General information '!C16</f>
        <v>0</v>
      </c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0</v>
      </c>
      <c r="S59" s="274">
        <f>'General information '!C17</f>
        <v>0</v>
      </c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0</v>
      </c>
      <c r="S60" s="274">
        <f>'General information '!C18</f>
        <v>0</v>
      </c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0</v>
      </c>
      <c r="S61" s="274">
        <f>'General information '!C19</f>
        <v>0</v>
      </c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0</v>
      </c>
      <c r="S62" s="274">
        <f>'General information '!C20</f>
        <v>0</v>
      </c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0</v>
      </c>
      <c r="S63" s="274">
        <f>'General information '!C21</f>
        <v>0</v>
      </c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0</v>
      </c>
      <c r="S64" s="274">
        <f>'General information '!C22</f>
        <v>0</v>
      </c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0</v>
      </c>
      <c r="S65" s="274">
        <f>'General information '!C23</f>
        <v>0</v>
      </c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0</v>
      </c>
      <c r="S66" s="274">
        <f>'General information '!C24</f>
        <v>0</v>
      </c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0</v>
      </c>
      <c r="S67" s="274">
        <f>'General information '!C25</f>
        <v>0</v>
      </c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0</v>
      </c>
      <c r="S68" s="274">
        <f>'General information '!C26</f>
        <v>0</v>
      </c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0</v>
      </c>
      <c r="S69" s="274">
        <f>'General information '!C27</f>
        <v>0</v>
      </c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0</v>
      </c>
      <c r="S70" s="274">
        <f>'General information '!C28</f>
        <v>0</v>
      </c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0</v>
      </c>
      <c r="S71" s="274">
        <f>'General information '!C29</f>
        <v>0</v>
      </c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0</v>
      </c>
      <c r="S72" s="274">
        <f>'General information '!C30</f>
        <v>0</v>
      </c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0</v>
      </c>
      <c r="S73" s="274">
        <f>'General information '!C31</f>
        <v>0</v>
      </c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-384.30000000000013</v>
      </c>
      <c r="S81" s="119">
        <f>SUMIF(T48:T78,"&gt;0")</f>
        <v>34.799999999999997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9" t="s">
        <v>174</v>
      </c>
      <c r="O84" s="719" t="s">
        <v>175</v>
      </c>
      <c r="P84" s="134"/>
      <c r="T84" s="134"/>
      <c r="X84" s="134"/>
    </row>
    <row r="85" spans="1:24" ht="20.25" thickBot="1">
      <c r="D85" s="134"/>
      <c r="I85" s="721" t="s">
        <v>182</v>
      </c>
      <c r="J85" s="722"/>
      <c r="K85" s="722"/>
      <c r="L85" s="722"/>
      <c r="N85" s="720"/>
      <c r="O85" s="720"/>
      <c r="P85" s="134"/>
      <c r="R85" s="17"/>
      <c r="S85" s="17"/>
      <c r="T85" s="140"/>
      <c r="U85" s="141"/>
      <c r="X85" s="134"/>
    </row>
    <row r="86" spans="1:24" ht="18.75" thickBot="1">
      <c r="D86" s="134"/>
      <c r="I86" s="723" t="s">
        <v>183</v>
      </c>
      <c r="J86" s="723"/>
      <c r="K86" s="723"/>
      <c r="L86" s="723"/>
      <c r="N86" s="142">
        <f>B43+F43+J43+N43+R43+V43+B81+F81+J81+N81+R81+V81</f>
        <v>-1372.9</v>
      </c>
      <c r="O86" s="142">
        <f>C43+G43+K43+O43+S43+W43+C81+G81+K81+O81+S81+W81</f>
        <v>1523.6999999999991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7" t="s">
        <v>216</v>
      </c>
      <c r="B2" s="727"/>
      <c r="C2" s="727"/>
      <c r="D2" s="727"/>
      <c r="E2" s="727"/>
      <c r="F2" s="727"/>
      <c r="G2" s="727"/>
      <c r="H2" s="727"/>
      <c r="I2" s="727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9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126</v>
      </c>
      <c r="C6" s="332">
        <v>1.66</v>
      </c>
      <c r="D6" s="185">
        <f>SUM(C6*B6)*D4</f>
        <v>315308.7</v>
      </c>
      <c r="E6" s="441">
        <f>SUM(D6/D4)/F4</f>
        <v>23.24</v>
      </c>
      <c r="F6" s="186">
        <f>SUM(E6*F4)</f>
        <v>209.16</v>
      </c>
      <c r="G6" s="187">
        <f>SUM(B6*C6)</f>
        <v>209.16</v>
      </c>
      <c r="H6" s="186">
        <f>7500-H7</f>
        <v>0</v>
      </c>
      <c r="I6" s="603">
        <f>12300-I7</f>
        <v>4100</v>
      </c>
      <c r="J6" s="278"/>
    </row>
    <row r="7" spans="1:11">
      <c r="A7" s="185" t="s">
        <v>218</v>
      </c>
      <c r="B7" s="353">
        <f>WATER!H37</f>
        <v>835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2460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6217691.9000000004</v>
      </c>
      <c r="E10" s="183">
        <f>SUM(D10/D4/F4)</f>
        <v>458.27837847798048</v>
      </c>
      <c r="F10" s="183">
        <f>SUM(E10*F4)</f>
        <v>4124.5054063018242</v>
      </c>
      <c r="G10" s="517">
        <f>E10*$G$4</f>
        <v>13748.351354339415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754.85171181131386</v>
      </c>
      <c r="F12" s="181">
        <f>SUM(F6:F10)</f>
        <v>6793.6654063018241</v>
      </c>
      <c r="G12" s="180">
        <f>SUM(G6:G10)</f>
        <v>21457.511354339415</v>
      </c>
      <c r="H12" s="180">
        <f>SUM(H6:H11)</f>
        <v>56500</v>
      </c>
      <c r="I12" s="222">
        <f>SUM(I6:I11)</f>
        <v>108200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-35042.488645660589</v>
      </c>
      <c r="I14" s="427">
        <f>SUM(G12-I12)</f>
        <v>-86742.488645660589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2">
        <f>'General information '!D38</f>
        <v>22.166666666666668</v>
      </c>
      <c r="C16" s="438">
        <f>'[12]Utility Cost '!D16</f>
        <v>24.177419354838708</v>
      </c>
      <c r="D16" s="438"/>
      <c r="E16" s="439">
        <f t="shared" si="0"/>
        <v>-2.0107526881720403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25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-228</v>
      </c>
      <c r="F18" s="535">
        <f>B18-D18</f>
        <v>-266.50666666666666</v>
      </c>
    </row>
    <row r="19" spans="1:10">
      <c r="A19" s="529" t="s">
        <v>413</v>
      </c>
      <c r="B19" s="527">
        <f>SUM(B18/$F$4)</f>
        <v>2.7777777777777777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2020-11-10T08:09:35Z</dcterms:modified>
</cp:coreProperties>
</file>