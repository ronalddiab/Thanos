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19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<sst xmlns="http://schemas.openxmlformats.org/spreadsheetml/2006/main" count="139" uniqueCount="59">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</sst>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0" fillId="3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0" fontId="19" fillId="3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Submetering!S2</f>
        <v>574.93799999999999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160</v>
      </c>
    </row>
    <row r="3" spans="1:11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Submetering!S3</f>
        <v>478.02300000000002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122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Submetering!S4</f>
        <v>494.40299999999996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128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Submetering!S5</f>
        <v>543.27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122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Submetering!S6</f>
        <v>491.4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154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Submetering!S7</f>
        <v>382.2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122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Submetering!S8</f>
        <v>507.78000000000003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136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Submetering!S9</f>
        <v>595.14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137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Submetering!S10</f>
        <v>333.06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203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Submetering!S11</f>
        <v>360.90600000000001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175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Submetering!S12</f>
        <v>608.24400000000003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122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Submetering!S13</f>
        <v>392.84699999999998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199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Submetering!S14</f>
        <v>453.726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167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Submetering!S15</f>
        <v>373.73699999999997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125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Submetering!S16</f>
        <v>498.77100000000002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148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Submetering!S17</f>
        <v>401.03699999999998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193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Submetering!S18</f>
        <v>486.48599999999999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186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Submetering!S19</f>
        <v>565.11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195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Submetering!S20</f>
        <v>402.94800000000004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217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Submetering!S21</f>
        <v>439.53000000000003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245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68260</v>
      </c>
      <c r="F22" s="11">
        <v>5.0000000000000001E-3</v>
      </c>
      <c r="G22" s="12">
        <f>Submetering!S22</f>
        <v>365.00100000000003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165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64800</v>
      </c>
      <c r="F23" s="11">
        <v>5.0000000000000001E-3</v>
      </c>
      <c r="G23" s="12">
        <f>Submetering!S23</f>
        <v>491.12700000000001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122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66090</v>
      </c>
      <c r="F24" s="11">
        <v>5.0000000000000001E-3</v>
      </c>
      <c r="G24" s="12">
        <f>Submetering!S24</f>
        <v>398.85300000000001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122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65280</v>
      </c>
      <c r="F25" s="11">
        <v>5.0000000000000001E-3</v>
      </c>
      <c r="G25" s="12">
        <f>Submetering!S25</f>
        <v>494.67599999999999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206</v>
      </c>
    </row>
    <row r="26" spans="1:11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66000</v>
      </c>
      <c r="F26" s="11">
        <v>5.0000000000000001E-3</v>
      </c>
      <c r="G26" s="12">
        <f>Submetering!S26</f>
        <v>483.483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122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68930</v>
      </c>
      <c r="F27" s="11">
        <v>5.0000000000000001E-3</v>
      </c>
      <c r="G27" s="12">
        <f>Submetering!S27</f>
        <v>441.714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282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69770</v>
      </c>
      <c r="F28" s="11">
        <v>5.0000000000000001E-3</v>
      </c>
      <c r="G28" s="12">
        <f>Submetering!S28</f>
        <v>436.8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243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69010</v>
      </c>
      <c r="F29" s="11">
        <v>5.0000000000000001E-3</v>
      </c>
      <c r="G29" s="12">
        <f>Submetering!S29</f>
        <v>416.05200000000002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170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69250</v>
      </c>
      <c r="F30" s="11">
        <v>5.0000000000000001E-3</v>
      </c>
      <c r="G30" s="12">
        <f>Submetering!S30</f>
        <v>460.82400000000001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193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42890</v>
      </c>
      <c r="F31" s="11">
        <v>5.0000000000000001E-3</v>
      </c>
      <c r="G31" s="12">
        <f>Submetering!S31</f>
        <v>360.08699999999999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170</v>
      </c>
    </row>
    <row r="32" spans="1:11" x14ac:dyDescent="0.25">
      <c r="A32" s="21" t="s">
        <v>31</v>
      </c>
      <c r="B32" s="14">
        <f t="shared" si="0"/>
        <v>31</v>
      </c>
      <c r="C32" s="3">
        <v>12</v>
      </c>
      <c r="D32" s="11">
        <v>2019</v>
      </c>
      <c r="E32" s="12">
        <f>Submetering!E32+Submetering!F32+Submetering!G32+Submetering!H32+Submetering!I32+Submetering!J32+Submetering!K32+Submetering!L32+Submetering!M32+Submetering!N32+Submetering!O32+Submetering!P32+Submetering!Q32</f>
        <v>84960</v>
      </c>
      <c r="F32" s="11">
        <v>5.0000000000000001E-3</v>
      </c>
      <c r="G32" s="12">
        <f>Submetering!S32</f>
        <v>574.66500000000008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12</v>
      </c>
      <c r="D2" s="11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Hotel!AT7</f>
        <v>0</v>
      </c>
      <c r="S2" s="4">
        <f>Hotel!BA7</f>
        <v>574.93799999999999</v>
      </c>
      <c r="T2" s="4">
        <f>Hotel!AX7</f>
        <v>0</v>
      </c>
      <c r="U2" s="4">
        <f>Hotel!B7</f>
        <v>160</v>
      </c>
    </row>
    <row r="3" spans="1:21" x14ac:dyDescent="0.25">
      <c r="A3" s="21" t="s">
        <v>31</v>
      </c>
      <c r="B3" s="2">
        <f>B2+1</f>
        <v>2</v>
      </c>
      <c r="C3" s="3">
        <v>12</v>
      </c>
      <c r="D3" s="11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Hotel!AT8</f>
        <v>0</v>
      </c>
      <c r="S3" s="4">
        <f>Hotel!BA8</f>
        <v>478.02300000000002</v>
      </c>
      <c r="T3" s="4">
        <f>Hotel!AX8</f>
        <v>0</v>
      </c>
      <c r="U3" s="4">
        <f>Hotel!B8</f>
        <v>122</v>
      </c>
    </row>
    <row r="4" spans="1:21" x14ac:dyDescent="0.25">
      <c r="A4" s="21" t="s">
        <v>31</v>
      </c>
      <c r="B4" s="2">
        <f t="shared" ref="B4:B29" si="0">B3+1</f>
        <v>3</v>
      </c>
      <c r="C4" s="3">
        <v>12</v>
      </c>
      <c r="D4" s="11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Hotel!AT9</f>
        <v>0</v>
      </c>
      <c r="S4" s="4">
        <f>Hotel!BA9</f>
        <v>494.40299999999996</v>
      </c>
      <c r="T4" s="4">
        <f>Hotel!AX9</f>
        <v>0</v>
      </c>
      <c r="U4" s="4">
        <f>Hotel!B9</f>
        <v>128</v>
      </c>
    </row>
    <row r="5" spans="1:21" x14ac:dyDescent="0.25">
      <c r="A5" s="21" t="s">
        <v>31</v>
      </c>
      <c r="B5" s="2">
        <f t="shared" si="0"/>
        <v>4</v>
      </c>
      <c r="C5" s="3">
        <v>12</v>
      </c>
      <c r="D5" s="11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Hotel!AT10</f>
        <v>0</v>
      </c>
      <c r="S5" s="4">
        <f>Hotel!BA10</f>
        <v>543.27</v>
      </c>
      <c r="T5" s="4">
        <f>Hotel!AX10</f>
        <v>0</v>
      </c>
      <c r="U5" s="4">
        <f>Hotel!B10</f>
        <v>122</v>
      </c>
    </row>
    <row r="6" spans="1:21" x14ac:dyDescent="0.25">
      <c r="A6" s="21" t="s">
        <v>31</v>
      </c>
      <c r="B6" s="2">
        <f t="shared" si="0"/>
        <v>5</v>
      </c>
      <c r="C6" s="3">
        <v>12</v>
      </c>
      <c r="D6" s="11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Hotel!AT11</f>
        <v>0</v>
      </c>
      <c r="S6" s="4">
        <f>Hotel!BA11</f>
        <v>491.4</v>
      </c>
      <c r="T6" s="4">
        <f>Hotel!AX11</f>
        <v>0</v>
      </c>
      <c r="U6" s="4">
        <f>Hotel!B11</f>
        <v>154</v>
      </c>
    </row>
    <row r="7" spans="1:21" x14ac:dyDescent="0.25">
      <c r="A7" s="21" t="s">
        <v>31</v>
      </c>
      <c r="B7" s="2">
        <f t="shared" si="0"/>
        <v>6</v>
      </c>
      <c r="C7" s="3">
        <v>12</v>
      </c>
      <c r="D7" s="11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Hotel!AT12</f>
        <v>0</v>
      </c>
      <c r="S7" s="4">
        <f>Hotel!BA12</f>
        <v>382.2</v>
      </c>
      <c r="T7" s="4">
        <f>Hotel!AX12</f>
        <v>0</v>
      </c>
      <c r="U7" s="4">
        <f>Hotel!B12</f>
        <v>122</v>
      </c>
    </row>
    <row r="8" spans="1:21" x14ac:dyDescent="0.25">
      <c r="A8" s="21" t="s">
        <v>31</v>
      </c>
      <c r="B8" s="2">
        <f t="shared" si="0"/>
        <v>7</v>
      </c>
      <c r="C8" s="3">
        <v>12</v>
      </c>
      <c r="D8" s="11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Hotel!AT13</f>
        <v>0</v>
      </c>
      <c r="S8" s="4">
        <f>Hotel!BA13</f>
        <v>507.78000000000003</v>
      </c>
      <c r="T8" s="4">
        <f>Hotel!AX13</f>
        <v>0</v>
      </c>
      <c r="U8" s="4">
        <f>Hotel!B13</f>
        <v>136</v>
      </c>
    </row>
    <row r="9" spans="1:21" x14ac:dyDescent="0.25">
      <c r="A9" s="21" t="s">
        <v>31</v>
      </c>
      <c r="B9" s="2">
        <f t="shared" si="0"/>
        <v>8</v>
      </c>
      <c r="C9" s="3">
        <v>12</v>
      </c>
      <c r="D9" s="11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Hotel!AT14</f>
        <v>0</v>
      </c>
      <c r="S9" s="4">
        <f>Hotel!BA14</f>
        <v>595.14</v>
      </c>
      <c r="T9" s="4">
        <f>Hotel!AX14</f>
        <v>0</v>
      </c>
      <c r="U9" s="4">
        <f>Hotel!B14</f>
        <v>137</v>
      </c>
    </row>
    <row r="10" spans="1:21" x14ac:dyDescent="0.25">
      <c r="A10" s="21" t="s">
        <v>31</v>
      </c>
      <c r="B10" s="2">
        <f t="shared" si="0"/>
        <v>9</v>
      </c>
      <c r="C10" s="3">
        <v>12</v>
      </c>
      <c r="D10" s="11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Hotel!AT15</f>
        <v>0</v>
      </c>
      <c r="S10" s="4">
        <f>Hotel!BA15</f>
        <v>333.06</v>
      </c>
      <c r="T10" s="4">
        <f>Hotel!AX15</f>
        <v>0</v>
      </c>
      <c r="U10" s="4">
        <f>Hotel!B15</f>
        <v>203</v>
      </c>
    </row>
    <row r="11" spans="1:21" x14ac:dyDescent="0.25">
      <c r="A11" s="21" t="s">
        <v>31</v>
      </c>
      <c r="B11" s="2">
        <f t="shared" si="0"/>
        <v>10</v>
      </c>
      <c r="C11" s="3">
        <v>12</v>
      </c>
      <c r="D11" s="11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Hotel!AT16</f>
        <v>0</v>
      </c>
      <c r="S11" s="4">
        <f>Hotel!BA16</f>
        <v>360.90600000000001</v>
      </c>
      <c r="T11" s="4">
        <f>Hotel!AX16</f>
        <v>0</v>
      </c>
      <c r="U11" s="4">
        <f>Hotel!B16</f>
        <v>175</v>
      </c>
    </row>
    <row r="12" spans="1:21" x14ac:dyDescent="0.25">
      <c r="A12" s="21" t="s">
        <v>31</v>
      </c>
      <c r="B12" s="2">
        <f t="shared" si="0"/>
        <v>11</v>
      </c>
      <c r="C12" s="3">
        <v>12</v>
      </c>
      <c r="D12" s="11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Hotel!AT17</f>
        <v>0</v>
      </c>
      <c r="S12" s="4">
        <f>Hotel!BA17</f>
        <v>608.24400000000003</v>
      </c>
      <c r="T12" s="4">
        <f>Hotel!AX17</f>
        <v>0</v>
      </c>
      <c r="U12" s="4">
        <f>Hotel!B17</f>
        <v>122</v>
      </c>
    </row>
    <row r="13" spans="1:21" x14ac:dyDescent="0.25">
      <c r="A13" s="21" t="s">
        <v>31</v>
      </c>
      <c r="B13" s="2">
        <f t="shared" si="0"/>
        <v>12</v>
      </c>
      <c r="C13" s="3">
        <v>12</v>
      </c>
      <c r="D13" s="11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Hotel!AT18</f>
        <v>0</v>
      </c>
      <c r="S13" s="4">
        <f>Hotel!BA18</f>
        <v>392.84699999999998</v>
      </c>
      <c r="T13" s="4">
        <f>Hotel!AX18</f>
        <v>0</v>
      </c>
      <c r="U13" s="4">
        <f>Hotel!B18</f>
        <v>199</v>
      </c>
    </row>
    <row r="14" spans="1:21" x14ac:dyDescent="0.25">
      <c r="A14" s="21" t="s">
        <v>31</v>
      </c>
      <c r="B14" s="2">
        <f t="shared" si="0"/>
        <v>13</v>
      </c>
      <c r="C14" s="3">
        <v>12</v>
      </c>
      <c r="D14" s="11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Hotel!AT19</f>
        <v>0</v>
      </c>
      <c r="S14" s="4">
        <f>Hotel!BA19</f>
        <v>453.726</v>
      </c>
      <c r="T14" s="4">
        <f>Hotel!AX19</f>
        <v>0</v>
      </c>
      <c r="U14" s="4">
        <f>Hotel!B19</f>
        <v>167</v>
      </c>
    </row>
    <row r="15" spans="1:21" x14ac:dyDescent="0.25">
      <c r="A15" s="21" t="s">
        <v>31</v>
      </c>
      <c r="B15" s="2">
        <f t="shared" si="0"/>
        <v>14</v>
      </c>
      <c r="C15" s="3">
        <v>12</v>
      </c>
      <c r="D15" s="11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Hotel!AT20</f>
        <v>0</v>
      </c>
      <c r="S15" s="4">
        <f>Hotel!BA20</f>
        <v>373.73699999999997</v>
      </c>
      <c r="T15" s="4">
        <f>Hotel!AX20</f>
        <v>0</v>
      </c>
      <c r="U15" s="4">
        <f>Hotel!B20</f>
        <v>125</v>
      </c>
    </row>
    <row r="16" spans="1:21" x14ac:dyDescent="0.25">
      <c r="A16" s="21" t="s">
        <v>31</v>
      </c>
      <c r="B16" s="2">
        <f t="shared" si="0"/>
        <v>15</v>
      </c>
      <c r="C16" s="3">
        <v>12</v>
      </c>
      <c r="D16" s="11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Hotel!AT21</f>
        <v>0</v>
      </c>
      <c r="S16" s="4">
        <f>Hotel!BA21</f>
        <v>498.77100000000002</v>
      </c>
      <c r="T16" s="4">
        <f>Hotel!AX21</f>
        <v>0</v>
      </c>
      <c r="U16" s="4">
        <f>Hotel!B21</f>
        <v>148</v>
      </c>
    </row>
    <row r="17" spans="1:21" x14ac:dyDescent="0.25">
      <c r="A17" s="21" t="s">
        <v>31</v>
      </c>
      <c r="B17" s="2">
        <f t="shared" si="0"/>
        <v>16</v>
      </c>
      <c r="C17" s="3">
        <v>12</v>
      </c>
      <c r="D17" s="11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Hotel!AT22</f>
        <v>0</v>
      </c>
      <c r="S17" s="4">
        <f>Hotel!BA22</f>
        <v>401.03699999999998</v>
      </c>
      <c r="T17" s="4">
        <f>Hotel!AX22</f>
        <v>0</v>
      </c>
      <c r="U17" s="4">
        <f>Hotel!B22</f>
        <v>193</v>
      </c>
    </row>
    <row r="18" spans="1:21" x14ac:dyDescent="0.25">
      <c r="A18" s="21" t="s">
        <v>31</v>
      </c>
      <c r="B18" s="2">
        <f t="shared" si="0"/>
        <v>17</v>
      </c>
      <c r="C18" s="3">
        <v>12</v>
      </c>
      <c r="D18" s="11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Hotel!AT23</f>
        <v>0</v>
      </c>
      <c r="S18" s="4">
        <f>Hotel!BA23</f>
        <v>486.48599999999999</v>
      </c>
      <c r="T18" s="4">
        <f>Hotel!AX23</f>
        <v>0</v>
      </c>
      <c r="U18" s="4">
        <f>Hotel!B23</f>
        <v>186</v>
      </c>
    </row>
    <row r="19" spans="1:21" x14ac:dyDescent="0.25">
      <c r="A19" s="21" t="s">
        <v>31</v>
      </c>
      <c r="B19" s="2">
        <f t="shared" si="0"/>
        <v>18</v>
      </c>
      <c r="C19" s="3">
        <v>12</v>
      </c>
      <c r="D19" s="11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Hotel!AT24</f>
        <v>0</v>
      </c>
      <c r="S19" s="4">
        <f>Hotel!BA24</f>
        <v>565.11</v>
      </c>
      <c r="T19" s="4">
        <f>Hotel!AX24</f>
        <v>0</v>
      </c>
      <c r="U19" s="4">
        <f>Hotel!B24</f>
        <v>195</v>
      </c>
    </row>
    <row r="20" spans="1:21" x14ac:dyDescent="0.25">
      <c r="A20" s="21" t="s">
        <v>31</v>
      </c>
      <c r="B20" s="2">
        <f t="shared" si="0"/>
        <v>19</v>
      </c>
      <c r="C20" s="3">
        <v>12</v>
      </c>
      <c r="D20" s="11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Hotel!AT25</f>
        <v>0</v>
      </c>
      <c r="S20" s="4">
        <f>Hotel!BA25</f>
        <v>402.94800000000004</v>
      </c>
      <c r="T20" s="4">
        <f>Hotel!AX25</f>
        <v>0</v>
      </c>
      <c r="U20" s="4">
        <f>Hotel!B25</f>
        <v>217</v>
      </c>
    </row>
    <row r="21" spans="1:21" x14ac:dyDescent="0.25">
      <c r="A21" s="21" t="s">
        <v>31</v>
      </c>
      <c r="B21" s="2">
        <f t="shared" si="0"/>
        <v>20</v>
      </c>
      <c r="C21" s="3">
        <v>12</v>
      </c>
      <c r="D21" s="11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Hotel!AT26</f>
        <v>0</v>
      </c>
      <c r="S21" s="4">
        <f>Hotel!BA26</f>
        <v>439.53000000000003</v>
      </c>
      <c r="T21" s="4">
        <f>Hotel!AX26</f>
        <v>0</v>
      </c>
      <c r="U21" s="4">
        <f>Hotel!B26</f>
        <v>245</v>
      </c>
    </row>
    <row r="22" spans="1:21" x14ac:dyDescent="0.25">
      <c r="A22" s="21" t="s">
        <v>31</v>
      </c>
      <c r="B22" s="2">
        <f t="shared" si="0"/>
        <v>21</v>
      </c>
      <c r="C22" s="3">
        <v>12</v>
      </c>
      <c r="D22" s="11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>
        <f>Hotel!AB27</f>
        <v>8110</v>
      </c>
      <c r="Q22" s="4">
        <f>Hotel!AC27</f>
        <v>15060</v>
      </c>
      <c r="R22" s="4">
        <f>Hotel!AT27</f>
        <v>0</v>
      </c>
      <c r="S22" s="4">
        <f>Hotel!BA27</f>
        <v>365.00100000000003</v>
      </c>
      <c r="T22" s="4">
        <f>Hotel!AX27</f>
        <v>0</v>
      </c>
      <c r="U22" s="4">
        <f>Hotel!B27</f>
        <v>165</v>
      </c>
    </row>
    <row r="23" spans="1:21" x14ac:dyDescent="0.25">
      <c r="A23" s="21" t="s">
        <v>31</v>
      </c>
      <c r="B23" s="2">
        <f t="shared" si="0"/>
        <v>22</v>
      </c>
      <c r="C23" s="3">
        <v>12</v>
      </c>
      <c r="D23" s="11">
        <v>2019</v>
      </c>
      <c r="E23" s="4">
        <f>Hotel!Q28</f>
        <v>500</v>
      </c>
      <c r="F23" s="4">
        <f>Hotel!R28</f>
        <v>10570</v>
      </c>
      <c r="G23" s="4">
        <f>Hotel!S28</f>
        <v>0</v>
      </c>
      <c r="H23" s="4">
        <f>Hotel!T28</f>
        <v>1470</v>
      </c>
      <c r="I23" s="4">
        <f>Hotel!U28</f>
        <v>6510</v>
      </c>
      <c r="J23" s="4">
        <f>Hotel!V28</f>
        <v>4600</v>
      </c>
      <c r="K23" s="4">
        <f>Hotel!W28</f>
        <v>2850</v>
      </c>
      <c r="L23" s="4">
        <f>Hotel!X28</f>
        <v>4340</v>
      </c>
      <c r="M23" s="4">
        <f>Hotel!Y28</f>
        <v>4760</v>
      </c>
      <c r="N23" s="4">
        <f>Hotel!Z28</f>
        <v>2820</v>
      </c>
      <c r="O23" s="4">
        <f>Hotel!AA28</f>
        <v>3760</v>
      </c>
      <c r="P23" s="4">
        <f>Hotel!AB28</f>
        <v>7810</v>
      </c>
      <c r="Q23" s="4">
        <f>Hotel!AC28</f>
        <v>14810</v>
      </c>
      <c r="R23" s="4">
        <f>Hotel!AT28</f>
        <v>0</v>
      </c>
      <c r="S23" s="4">
        <f>Hotel!BA28</f>
        <v>491.12700000000001</v>
      </c>
      <c r="T23" s="4">
        <f>Hotel!AX28</f>
        <v>0</v>
      </c>
      <c r="U23" s="4">
        <f>Hotel!B28</f>
        <v>122</v>
      </c>
    </row>
    <row r="24" spans="1:21" x14ac:dyDescent="0.25">
      <c r="A24" s="21" t="s">
        <v>31</v>
      </c>
      <c r="B24" s="2">
        <f t="shared" si="0"/>
        <v>23</v>
      </c>
      <c r="C24" s="3">
        <v>12</v>
      </c>
      <c r="D24" s="11">
        <v>2019</v>
      </c>
      <c r="E24" s="4">
        <f>Hotel!Q29</f>
        <v>540</v>
      </c>
      <c r="F24" s="4">
        <f>Hotel!R29</f>
        <v>10670</v>
      </c>
      <c r="G24" s="4">
        <f>Hotel!S29</f>
        <v>0</v>
      </c>
      <c r="H24" s="4">
        <f>Hotel!T29</f>
        <v>1480</v>
      </c>
      <c r="I24" s="4">
        <f>Hotel!U29</f>
        <v>6850</v>
      </c>
      <c r="J24" s="4">
        <f>Hotel!V29</f>
        <v>4650</v>
      </c>
      <c r="K24" s="4">
        <f>Hotel!W29</f>
        <v>3200</v>
      </c>
      <c r="L24" s="4">
        <f>Hotel!X29</f>
        <v>4980</v>
      </c>
      <c r="M24" s="4">
        <f>Hotel!Y29</f>
        <v>4800</v>
      </c>
      <c r="N24" s="4">
        <f>Hotel!Z29</f>
        <v>2740</v>
      </c>
      <c r="O24" s="4">
        <f>Hotel!AA29</f>
        <v>3740</v>
      </c>
      <c r="P24" s="4">
        <f>Hotel!AB29</f>
        <v>7720</v>
      </c>
      <c r="Q24" s="4">
        <f>Hotel!AC29</f>
        <v>14720</v>
      </c>
      <c r="R24" s="4">
        <f>Hotel!AT29</f>
        <v>0</v>
      </c>
      <c r="S24" s="4">
        <f>Hotel!BA29</f>
        <v>398.85300000000001</v>
      </c>
      <c r="T24" s="4">
        <f>Hotel!AX29</f>
        <v>0</v>
      </c>
      <c r="U24" s="4">
        <f>Hotel!B29</f>
        <v>122</v>
      </c>
    </row>
    <row r="25" spans="1:21" x14ac:dyDescent="0.25">
      <c r="A25" s="21" t="s">
        <v>31</v>
      </c>
      <c r="B25" s="2">
        <f t="shared" si="0"/>
        <v>24</v>
      </c>
      <c r="C25" s="3">
        <v>12</v>
      </c>
      <c r="D25" s="11">
        <v>2019</v>
      </c>
      <c r="E25" s="4">
        <f>Hotel!Q30</f>
        <v>520</v>
      </c>
      <c r="F25" s="4">
        <f>Hotel!R30</f>
        <v>10490</v>
      </c>
      <c r="G25" s="4">
        <f>Hotel!S30</f>
        <v>0</v>
      </c>
      <c r="H25" s="4">
        <f>Hotel!T30</f>
        <v>1470</v>
      </c>
      <c r="I25" s="4">
        <f>Hotel!U30</f>
        <v>7040</v>
      </c>
      <c r="J25" s="4">
        <f>Hotel!V30</f>
        <v>4750</v>
      </c>
      <c r="K25" s="4">
        <f>Hotel!W30</f>
        <v>3690</v>
      </c>
      <c r="L25" s="4">
        <f>Hotel!X30</f>
        <v>4390</v>
      </c>
      <c r="M25" s="4">
        <f>Hotel!Y30</f>
        <v>4610</v>
      </c>
      <c r="N25" s="4">
        <f>Hotel!Z30</f>
        <v>2770</v>
      </c>
      <c r="O25" s="4">
        <f>Hotel!AA30</f>
        <v>3660</v>
      </c>
      <c r="P25" s="4">
        <f>Hotel!AB30</f>
        <v>7840</v>
      </c>
      <c r="Q25" s="4">
        <f>Hotel!AC30</f>
        <v>14050</v>
      </c>
      <c r="R25" s="4">
        <f>Hotel!AT30</f>
        <v>0</v>
      </c>
      <c r="S25" s="4">
        <f>Hotel!BA30</f>
        <v>494.67599999999999</v>
      </c>
      <c r="T25" s="4">
        <f>Hotel!AX30</f>
        <v>0</v>
      </c>
      <c r="U25" s="4">
        <f>Hotel!B30</f>
        <v>206</v>
      </c>
    </row>
    <row r="26" spans="1:21" x14ac:dyDescent="0.25">
      <c r="A26" s="21" t="s">
        <v>31</v>
      </c>
      <c r="B26" s="2">
        <f>B25+1</f>
        <v>25</v>
      </c>
      <c r="C26" s="3">
        <v>12</v>
      </c>
      <c r="D26" s="11">
        <v>2019</v>
      </c>
      <c r="E26" s="4">
        <f>Hotel!Q31</f>
        <v>520</v>
      </c>
      <c r="F26" s="4">
        <f>Hotel!R31</f>
        <v>10480</v>
      </c>
      <c r="G26" s="4">
        <f>Hotel!S31</f>
        <v>0</v>
      </c>
      <c r="H26" s="4">
        <f>Hotel!T31</f>
        <v>1490</v>
      </c>
      <c r="I26" s="4">
        <f>Hotel!U31</f>
        <v>7060</v>
      </c>
      <c r="J26" s="4">
        <f>Hotel!V31</f>
        <v>4840</v>
      </c>
      <c r="K26" s="4">
        <f>Hotel!W31</f>
        <v>3720</v>
      </c>
      <c r="L26" s="4">
        <f>Hotel!X31</f>
        <v>4590</v>
      </c>
      <c r="M26" s="4">
        <f>Hotel!Y31</f>
        <v>5170</v>
      </c>
      <c r="N26" s="4">
        <f>Hotel!Z31</f>
        <v>2910</v>
      </c>
      <c r="O26" s="4">
        <f>Hotel!AA31</f>
        <v>3720</v>
      </c>
      <c r="P26" s="4">
        <f>Hotel!AB31</f>
        <v>7760</v>
      </c>
      <c r="Q26" s="4">
        <f>Hotel!AC31</f>
        <v>13740</v>
      </c>
      <c r="R26" s="4">
        <f>Hotel!AT31</f>
        <v>0</v>
      </c>
      <c r="S26" s="4">
        <f>Hotel!BA31</f>
        <v>483.483</v>
      </c>
      <c r="T26" s="4">
        <f>Hotel!AX31</f>
        <v>0</v>
      </c>
      <c r="U26" s="4">
        <f>Hotel!B31</f>
        <v>122</v>
      </c>
    </row>
    <row r="27" spans="1:21" x14ac:dyDescent="0.25">
      <c r="A27" s="21" t="s">
        <v>31</v>
      </c>
      <c r="B27" s="2">
        <f t="shared" si="0"/>
        <v>26</v>
      </c>
      <c r="C27" s="3">
        <v>12</v>
      </c>
      <c r="D27" s="11">
        <v>2019</v>
      </c>
      <c r="E27" s="4">
        <f>Hotel!Q32</f>
        <v>530</v>
      </c>
      <c r="F27" s="4">
        <f>Hotel!R32</f>
        <v>11480</v>
      </c>
      <c r="G27" s="4">
        <f>Hotel!S32</f>
        <v>0</v>
      </c>
      <c r="H27" s="4">
        <f>Hotel!T32</f>
        <v>1510</v>
      </c>
      <c r="I27" s="4">
        <f>Hotel!U32</f>
        <v>7330</v>
      </c>
      <c r="J27" s="4">
        <f>Hotel!V32</f>
        <v>4920</v>
      </c>
      <c r="K27" s="4">
        <f>Hotel!W32</f>
        <v>3640</v>
      </c>
      <c r="L27" s="4">
        <f>Hotel!X32</f>
        <v>4910</v>
      </c>
      <c r="M27" s="4">
        <f>Hotel!Y32</f>
        <v>5440</v>
      </c>
      <c r="N27" s="4">
        <f>Hotel!Z32</f>
        <v>3030</v>
      </c>
      <c r="O27" s="4">
        <f>Hotel!AA32</f>
        <v>4140</v>
      </c>
      <c r="P27" s="4">
        <f>Hotel!AB32</f>
        <v>7640</v>
      </c>
      <c r="Q27" s="4">
        <f>Hotel!AC32</f>
        <v>14360</v>
      </c>
      <c r="R27" s="4">
        <f>Hotel!AT32</f>
        <v>0</v>
      </c>
      <c r="S27" s="4">
        <f>Hotel!BA32</f>
        <v>441.714</v>
      </c>
      <c r="T27" s="4">
        <f>Hotel!AX32</f>
        <v>0</v>
      </c>
      <c r="U27" s="4">
        <f>Hotel!B32</f>
        <v>282</v>
      </c>
    </row>
    <row r="28" spans="1:21" x14ac:dyDescent="0.25">
      <c r="A28" s="21" t="s">
        <v>31</v>
      </c>
      <c r="B28" s="2">
        <f t="shared" si="0"/>
        <v>27</v>
      </c>
      <c r="C28" s="3">
        <v>12</v>
      </c>
      <c r="D28" s="11">
        <v>2019</v>
      </c>
      <c r="E28" s="4">
        <f>Hotel!Q33</f>
        <v>510</v>
      </c>
      <c r="F28" s="4">
        <f>Hotel!R33</f>
        <v>11800</v>
      </c>
      <c r="G28" s="4">
        <f>Hotel!S33</f>
        <v>0</v>
      </c>
      <c r="H28" s="4">
        <f>Hotel!T33</f>
        <v>1480</v>
      </c>
      <c r="I28" s="4">
        <f>Hotel!U33</f>
        <v>7170</v>
      </c>
      <c r="J28" s="4">
        <f>Hotel!V33</f>
        <v>4770</v>
      </c>
      <c r="K28" s="4">
        <f>Hotel!W33</f>
        <v>3910</v>
      </c>
      <c r="L28" s="4">
        <f>Hotel!X33</f>
        <v>4380</v>
      </c>
      <c r="M28" s="4">
        <f>Hotel!Y33</f>
        <v>5780</v>
      </c>
      <c r="N28" s="4">
        <f>Hotel!Z33</f>
        <v>3010</v>
      </c>
      <c r="O28" s="4">
        <f>Hotel!AA33</f>
        <v>3990</v>
      </c>
      <c r="P28" s="4">
        <f>Hotel!AB33</f>
        <v>7260</v>
      </c>
      <c r="Q28" s="4">
        <f>Hotel!AC33</f>
        <v>15710</v>
      </c>
      <c r="R28" s="4">
        <f>Hotel!AT33</f>
        <v>0</v>
      </c>
      <c r="S28" s="4">
        <f>Hotel!BA33</f>
        <v>436.8</v>
      </c>
      <c r="T28" s="4">
        <f>Hotel!AX33</f>
        <v>0</v>
      </c>
      <c r="U28" s="4">
        <f>Hotel!B33</f>
        <v>243</v>
      </c>
    </row>
    <row r="29" spans="1:21" x14ac:dyDescent="0.25">
      <c r="A29" s="21" t="s">
        <v>31</v>
      </c>
      <c r="B29" s="2">
        <f t="shared" si="0"/>
        <v>28</v>
      </c>
      <c r="C29" s="3">
        <v>12</v>
      </c>
      <c r="D29" s="11">
        <v>2019</v>
      </c>
      <c r="E29" s="4">
        <f>Hotel!Q34</f>
        <v>520</v>
      </c>
      <c r="F29" s="4">
        <f>Hotel!R34</f>
        <v>11220</v>
      </c>
      <c r="G29" s="4">
        <f>Hotel!S34</f>
        <v>0</v>
      </c>
      <c r="H29" s="4">
        <f>Hotel!T34</f>
        <v>1490</v>
      </c>
      <c r="I29" s="4">
        <f>Hotel!U34</f>
        <v>7350</v>
      </c>
      <c r="J29" s="4">
        <f>Hotel!V34</f>
        <v>4830</v>
      </c>
      <c r="K29" s="4">
        <f>Hotel!W34</f>
        <v>3490</v>
      </c>
      <c r="L29" s="4">
        <f>Hotel!X34</f>
        <v>4510</v>
      </c>
      <c r="M29" s="4">
        <f>Hotel!Y34</f>
        <v>5840</v>
      </c>
      <c r="N29" s="4">
        <f>Hotel!Z34</f>
        <v>2990</v>
      </c>
      <c r="O29" s="4">
        <f>Hotel!AA34</f>
        <v>4170</v>
      </c>
      <c r="P29" s="4">
        <f>Hotel!AB34</f>
        <v>7310</v>
      </c>
      <c r="Q29" s="4">
        <f>Hotel!AC34</f>
        <v>15290</v>
      </c>
      <c r="R29" s="4">
        <f>Hotel!AT34</f>
        <v>0</v>
      </c>
      <c r="S29" s="4">
        <f>Hotel!BA34</f>
        <v>416.05200000000002</v>
      </c>
      <c r="T29" s="4">
        <f>Hotel!AX34</f>
        <v>0</v>
      </c>
      <c r="U29" s="4">
        <f>Hotel!B34</f>
        <v>170</v>
      </c>
    </row>
    <row r="30" spans="1:21" x14ac:dyDescent="0.25">
      <c r="A30" s="21" t="s">
        <v>31</v>
      </c>
      <c r="B30" s="2">
        <f>B29+1</f>
        <v>29</v>
      </c>
      <c r="C30" s="3">
        <v>12</v>
      </c>
      <c r="D30" s="11">
        <v>2019</v>
      </c>
      <c r="E30" s="4">
        <f>Hotel!Q35</f>
        <v>530</v>
      </c>
      <c r="F30" s="4">
        <f>Hotel!R35</f>
        <v>11150</v>
      </c>
      <c r="G30" s="4">
        <f>Hotel!S35</f>
        <v>0</v>
      </c>
      <c r="H30" s="4">
        <f>Hotel!T35</f>
        <v>1560</v>
      </c>
      <c r="I30" s="4">
        <f>Hotel!U35</f>
        <v>7480</v>
      </c>
      <c r="J30" s="4">
        <f>Hotel!V35</f>
        <v>4990</v>
      </c>
      <c r="K30" s="4">
        <f>Hotel!W35</f>
        <v>3100</v>
      </c>
      <c r="L30" s="4">
        <f>Hotel!X35</f>
        <v>4630</v>
      </c>
      <c r="M30" s="4">
        <f>Hotel!Y35</f>
        <v>4880</v>
      </c>
      <c r="N30" s="4">
        <f>Hotel!Z35</f>
        <v>3020</v>
      </c>
      <c r="O30" s="4">
        <f>Hotel!AA35</f>
        <v>4230</v>
      </c>
      <c r="P30" s="4">
        <f>Hotel!AB35</f>
        <v>7650</v>
      </c>
      <c r="Q30" s="4">
        <f>Hotel!AC35</f>
        <v>16030</v>
      </c>
      <c r="R30" s="4">
        <f>Hotel!AT35</f>
        <v>0</v>
      </c>
      <c r="S30" s="4">
        <f>Hotel!BA35</f>
        <v>460.82400000000001</v>
      </c>
      <c r="T30" s="4">
        <f>Hotel!AX35</f>
        <v>0</v>
      </c>
      <c r="U30" s="4">
        <f>Hotel!B35</f>
        <v>193</v>
      </c>
    </row>
    <row r="31" spans="1:21" x14ac:dyDescent="0.25">
      <c r="A31" s="21" t="s">
        <v>31</v>
      </c>
      <c r="B31" s="2">
        <f>B30+1</f>
        <v>30</v>
      </c>
      <c r="C31" s="3">
        <v>12</v>
      </c>
      <c r="D31" s="11">
        <v>2019</v>
      </c>
      <c r="E31" s="4">
        <f>Hotel!Q36</f>
        <v>380</v>
      </c>
      <c r="F31" s="4">
        <f>Hotel!R36</f>
        <v>8250</v>
      </c>
      <c r="G31" s="4">
        <f>Hotel!S36</f>
        <v>0</v>
      </c>
      <c r="H31" s="4">
        <f>Hotel!T36</f>
        <v>1030</v>
      </c>
      <c r="I31" s="4">
        <f>Hotel!U36</f>
        <v>4770</v>
      </c>
      <c r="J31" s="4">
        <f>Hotel!V36</f>
        <v>3260</v>
      </c>
      <c r="K31" s="4">
        <f>Hotel!W36</f>
        <v>2060</v>
      </c>
      <c r="L31" s="4">
        <f>Hotel!X36</f>
        <v>2690</v>
      </c>
      <c r="M31" s="4">
        <f>Hotel!Y36</f>
        <v>4320</v>
      </c>
      <c r="N31" s="4">
        <f>Hotel!Z36</f>
        <v>1940</v>
      </c>
      <c r="O31" s="4">
        <f>Hotel!AA36</f>
        <v>2560</v>
      </c>
      <c r="P31" s="4">
        <f>Hotel!AB36</f>
        <v>5220</v>
      </c>
      <c r="Q31" s="4">
        <f>Hotel!AC36</f>
        <v>6410</v>
      </c>
      <c r="R31" s="4">
        <f>Hotel!AT36</f>
        <v>0</v>
      </c>
      <c r="S31" s="4">
        <f>Hotel!BA36</f>
        <v>360.08699999999999</v>
      </c>
      <c r="T31" s="4">
        <f>Hotel!AX36</f>
        <v>0</v>
      </c>
      <c r="U31" s="4">
        <f>Hotel!B36</f>
        <v>170</v>
      </c>
    </row>
    <row r="32" spans="1:21" x14ac:dyDescent="0.25">
      <c r="A32" s="21" t="s">
        <v>31</v>
      </c>
      <c r="B32" s="2">
        <f>B31+1</f>
        <v>31</v>
      </c>
      <c r="C32" s="3">
        <v>12</v>
      </c>
      <c r="D32" s="11">
        <v>2019</v>
      </c>
      <c r="E32" s="4">
        <f>Hotel!Q37</f>
        <v>640</v>
      </c>
      <c r="F32" s="4">
        <f>Hotel!R37</f>
        <v>14560</v>
      </c>
      <c r="G32" s="4">
        <f>Hotel!S37</f>
        <v>0</v>
      </c>
      <c r="H32" s="4">
        <f>Hotel!T37</f>
        <v>1850</v>
      </c>
      <c r="I32" s="4">
        <f>Hotel!U37</f>
        <v>9010</v>
      </c>
      <c r="J32" s="4">
        <f>Hotel!V37</f>
        <v>5900</v>
      </c>
      <c r="K32" s="4">
        <f>Hotel!W37</f>
        <v>3970</v>
      </c>
      <c r="L32" s="4">
        <f>Hotel!X37</f>
        <v>5680</v>
      </c>
      <c r="M32" s="4">
        <f>Hotel!Y37</f>
        <v>6790</v>
      </c>
      <c r="N32" s="4">
        <f>Hotel!Z37</f>
        <v>3780</v>
      </c>
      <c r="O32" s="4">
        <f>Hotel!AA37</f>
        <v>4830</v>
      </c>
      <c r="P32" s="4">
        <f>Hotel!AB37</f>
        <v>9470</v>
      </c>
      <c r="Q32" s="4">
        <f>Hotel!AC37</f>
        <v>18480</v>
      </c>
      <c r="R32" s="4">
        <f>Hotel!AT37</f>
        <v>0</v>
      </c>
      <c r="S32" s="4">
        <f>Hotel!BA37</f>
        <v>574.66500000000008</v>
      </c>
      <c r="T32" s="4">
        <f>Hotel!AX37</f>
        <v>0</v>
      </c>
      <c r="U32" s="4">
        <f>Hotel!B37</f>
        <v>268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3" zoomScale="93" zoomScaleNormal="93" workbookViewId="0">
      <selection activeCell="AY11" sqref="AY1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7" customWidth="1"/>
    <col min="47" max="47" width="7.28515625" customWidth="1"/>
    <col min="48" max="50" width="11.85546875" style="50" customWidth="1"/>
    <col min="51" max="51" width="11.85546875" style="54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1"/>
      <c r="AW2" s="51"/>
      <c r="AX2" s="51"/>
      <c r="AY2" s="70">
        <v>664402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0" t="s">
        <v>23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Q4" s="62" t="s">
        <v>24</v>
      </c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4"/>
      <c r="AD4" s="28" t="s">
        <v>25</v>
      </c>
      <c r="AF4" s="65" t="s">
        <v>26</v>
      </c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29" t="s">
        <v>27</v>
      </c>
      <c r="AT4" s="66" t="s">
        <v>51</v>
      </c>
      <c r="AV4" s="67" t="s">
        <v>53</v>
      </c>
      <c r="AW4" s="67" t="s">
        <v>55</v>
      </c>
      <c r="AX4" s="67" t="s">
        <v>56</v>
      </c>
      <c r="AY4" s="56" t="s">
        <v>28</v>
      </c>
      <c r="AZ4" s="57" t="s">
        <v>29</v>
      </c>
      <c r="BA4" s="57" t="s">
        <v>48</v>
      </c>
      <c r="BB4" s="59" t="s">
        <v>30</v>
      </c>
    </row>
    <row r="5" spans="1:54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6"/>
      <c r="AV5" s="67"/>
      <c r="AW5" s="67"/>
      <c r="AX5" s="67"/>
      <c r="AY5" s="56"/>
      <c r="AZ5" s="58"/>
      <c r="BA5" s="58"/>
      <c r="BB5" s="59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1">
        <v>298912</v>
      </c>
      <c r="AW6" s="51"/>
      <c r="AX6" s="51" t="s">
        <v>57</v>
      </c>
      <c r="AY6" s="70">
        <v>664402</v>
      </c>
    </row>
    <row r="7" spans="1:54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 t="shared" ref="Q7:AC7" si="0">IF((C7-C2&lt;0), "0",C7-C2)</f>
        <v>1070</v>
      </c>
      <c r="R7" s="37">
        <f t="shared" si="0"/>
        <v>13090</v>
      </c>
      <c r="S7" s="37">
        <f t="shared" si="0"/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T7" s="48"/>
      <c r="AV7" s="52">
        <v>0</v>
      </c>
      <c r="AW7" s="51">
        <f t="shared" ref="AW7:AW39" si="14">(AV8-AV7)*1000</f>
        <v>0</v>
      </c>
      <c r="AX7" s="53">
        <f>AW7*$AX$44</f>
        <v>0</v>
      </c>
      <c r="AY7" s="70">
        <v>666508</v>
      </c>
      <c r="AZ7" s="37">
        <f>(IF((AY7-AY6&lt;0),"0",AY7-AY6))*100</f>
        <v>210600</v>
      </c>
      <c r="BA7" s="37">
        <f>AZ7*$AZ$44*60%</f>
        <v>574.93799999999999</v>
      </c>
      <c r="BB7" s="46">
        <f>BA7*0.4444</f>
        <v>255.50244720000001</v>
      </c>
    </row>
    <row r="8" spans="1:54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5">IF((D8-D7&lt;0), "0",D8-D7)</f>
        <v>12870</v>
      </c>
      <c r="S8" s="37">
        <f t="shared" ref="S8:S35" si="16">IF((E8-E7&lt;0), "0",E8-E7)</f>
        <v>90</v>
      </c>
      <c r="T8" s="37">
        <f t="shared" si="15"/>
        <v>1890</v>
      </c>
      <c r="U8" s="37">
        <f t="shared" si="15"/>
        <v>6270</v>
      </c>
      <c r="V8" s="37">
        <f t="shared" si="15"/>
        <v>4240</v>
      </c>
      <c r="W8" s="37">
        <f t="shared" si="15"/>
        <v>3300</v>
      </c>
      <c r="X8" s="37">
        <f t="shared" si="15"/>
        <v>4570</v>
      </c>
      <c r="Y8" s="37">
        <f t="shared" si="15"/>
        <v>5060</v>
      </c>
      <c r="Z8" s="37">
        <f t="shared" si="15"/>
        <v>2730</v>
      </c>
      <c r="AA8" s="37">
        <f t="shared" si="15"/>
        <v>3620</v>
      </c>
      <c r="AB8" s="37">
        <f t="shared" si="15"/>
        <v>7660</v>
      </c>
      <c r="AC8" s="37">
        <f t="shared" si="15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T8" s="48"/>
      <c r="AV8" s="52">
        <v>0</v>
      </c>
      <c r="AW8" s="51">
        <f t="shared" si="14"/>
        <v>0</v>
      </c>
      <c r="AX8" s="53">
        <f t="shared" ref="AX8:AX39" si="17">AW8*$AX$44</f>
        <v>0</v>
      </c>
      <c r="AY8" s="70">
        <v>668259</v>
      </c>
      <c r="AZ8" s="37">
        <f t="shared" ref="AZ8:AZ38" si="18">(IF((AY8-AY7&lt;0),"0",AY8-AY7))*100</f>
        <v>175100</v>
      </c>
      <c r="BA8" s="37">
        <f t="shared" ref="BA8:BA39" si="19">AZ8*$AZ$44*60%</f>
        <v>478.02300000000002</v>
      </c>
      <c r="BB8" s="46">
        <f t="shared" ref="BB8:BB38" si="20">BA8*0.4444</f>
        <v>212.43342120000003</v>
      </c>
    </row>
    <row r="9" spans="1:54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0" si="21">IF((C9-C8&lt;0), "0",C9-C8)</f>
        <v>1040</v>
      </c>
      <c r="R9" s="37">
        <f t="shared" ref="R9:R37" si="22">IF((D9-D8&lt;0), "0",D9-D8)</f>
        <v>11640</v>
      </c>
      <c r="S9" s="37">
        <f t="shared" si="16"/>
        <v>20</v>
      </c>
      <c r="T9" s="37">
        <f t="shared" ref="T9:T35" si="23">IF((F9-F8&lt;0), "0",F9-F8)</f>
        <v>1570</v>
      </c>
      <c r="U9" s="37">
        <f t="shared" ref="U9:U35" si="24">IF((G9-G8&lt;0), "0",G9-G8)</f>
        <v>5660</v>
      </c>
      <c r="V9" s="37">
        <f t="shared" ref="V9:V35" si="25">IF((H9-H8&lt;0), "0",H9-H8)</f>
        <v>4330</v>
      </c>
      <c r="W9" s="37">
        <f t="shared" ref="W9:W35" si="26">IF((I9-I8&lt;0), "0",I9-I8)</f>
        <v>3380</v>
      </c>
      <c r="X9" s="37">
        <f t="shared" ref="X9:X37" si="27">IF((J9-J8&lt;0), "0",J9-J8)</f>
        <v>4670</v>
      </c>
      <c r="Y9" s="37">
        <f t="shared" ref="Y9:Y35" si="28">IF((K9-K8&lt;0), "0",K9-K8)</f>
        <v>5060</v>
      </c>
      <c r="Z9" s="37">
        <f t="shared" ref="Z9:Z35" si="29">IF((L9-L8&lt;0), "0",L9-L8)</f>
        <v>2800</v>
      </c>
      <c r="AA9" s="37">
        <f t="shared" ref="AA9:AA35" si="30">IF((M9-M8&lt;0), "0",M9-M8)</f>
        <v>3660</v>
      </c>
      <c r="AB9" s="37">
        <f t="shared" ref="AB9:AB37" si="31">IF((N9-N8&lt;0), "0",N9-N8)</f>
        <v>7700</v>
      </c>
      <c r="AC9" s="37">
        <f t="shared" ref="AC9:AC37" si="32">IF((O9-O8&lt;0), "0",O9-O8)</f>
        <v>13650</v>
      </c>
      <c r="AD9" s="35">
        <f t="shared" ref="AD9:AD37" si="33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3" si="34">SUM(AF9:AR9)</f>
        <v>325.90000000000003</v>
      </c>
      <c r="AT9" s="48"/>
      <c r="AV9" s="52">
        <v>0</v>
      </c>
      <c r="AW9" s="51">
        <f t="shared" si="14"/>
        <v>0</v>
      </c>
      <c r="AX9" s="53">
        <f t="shared" si="17"/>
        <v>0</v>
      </c>
      <c r="AY9" s="70">
        <v>670070</v>
      </c>
      <c r="AZ9" s="37">
        <f t="shared" si="18"/>
        <v>181100</v>
      </c>
      <c r="BA9" s="37">
        <f t="shared" si="19"/>
        <v>494.40299999999996</v>
      </c>
      <c r="BB9" s="46">
        <f t="shared" si="20"/>
        <v>219.71269319999999</v>
      </c>
    </row>
    <row r="10" spans="1:54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21"/>
        <v>1030</v>
      </c>
      <c r="R10" s="37">
        <f t="shared" si="22"/>
        <v>11320</v>
      </c>
      <c r="S10" s="37">
        <f t="shared" si="16"/>
        <v>20</v>
      </c>
      <c r="T10" s="37">
        <f t="shared" si="23"/>
        <v>1550</v>
      </c>
      <c r="U10" s="37">
        <f t="shared" si="24"/>
        <v>5380</v>
      </c>
      <c r="V10" s="37">
        <f t="shared" si="25"/>
        <v>4340</v>
      </c>
      <c r="W10" s="37">
        <f t="shared" si="26"/>
        <v>3150</v>
      </c>
      <c r="X10" s="37">
        <f t="shared" si="27"/>
        <v>4700</v>
      </c>
      <c r="Y10" s="37">
        <f t="shared" si="28"/>
        <v>5250</v>
      </c>
      <c r="Z10" s="37">
        <f t="shared" si="29"/>
        <v>2780</v>
      </c>
      <c r="AA10" s="37">
        <f t="shared" si="30"/>
        <v>3440</v>
      </c>
      <c r="AB10" s="37">
        <f t="shared" si="31"/>
        <v>7980</v>
      </c>
      <c r="AC10" s="37">
        <f t="shared" si="32"/>
        <v>15270</v>
      </c>
      <c r="AD10" s="35">
        <f t="shared" si="33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34"/>
        <v>331.05</v>
      </c>
      <c r="AT10" s="48"/>
      <c r="AV10" s="52">
        <v>0</v>
      </c>
      <c r="AW10" s="51">
        <f t="shared" si="14"/>
        <v>0</v>
      </c>
      <c r="AX10" s="53">
        <f t="shared" si="17"/>
        <v>0</v>
      </c>
      <c r="AY10" s="70">
        <v>672060</v>
      </c>
      <c r="AZ10" s="37">
        <f t="shared" si="18"/>
        <v>199000</v>
      </c>
      <c r="BA10" s="37">
        <f t="shared" si="19"/>
        <v>543.27</v>
      </c>
      <c r="BB10" s="46">
        <f t="shared" si="20"/>
        <v>241.42918800000001</v>
      </c>
    </row>
    <row r="11" spans="1:54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21"/>
        <v>1030</v>
      </c>
      <c r="R11" s="37">
        <f t="shared" si="22"/>
        <v>11250</v>
      </c>
      <c r="S11" s="37">
        <f t="shared" si="16"/>
        <v>10</v>
      </c>
      <c r="T11" s="37">
        <f t="shared" si="23"/>
        <v>1550</v>
      </c>
      <c r="U11" s="37">
        <f t="shared" si="24"/>
        <v>6240</v>
      </c>
      <c r="V11" s="37">
        <f t="shared" si="25"/>
        <v>4390</v>
      </c>
      <c r="W11" s="37">
        <f t="shared" si="26"/>
        <v>3360</v>
      </c>
      <c r="X11" s="37">
        <f t="shared" si="27"/>
        <v>4740</v>
      </c>
      <c r="Y11" s="37">
        <f t="shared" si="28"/>
        <v>5270</v>
      </c>
      <c r="Z11" s="37">
        <f t="shared" si="29"/>
        <v>2900</v>
      </c>
      <c r="AA11" s="37">
        <f t="shared" si="30"/>
        <v>3660</v>
      </c>
      <c r="AB11" s="37">
        <f t="shared" si="31"/>
        <v>7820</v>
      </c>
      <c r="AC11" s="37">
        <f t="shared" si="32"/>
        <v>15330</v>
      </c>
      <c r="AD11" s="35">
        <f t="shared" si="33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34"/>
        <v>337.75</v>
      </c>
      <c r="AT11" s="48"/>
      <c r="AV11" s="52">
        <v>0</v>
      </c>
      <c r="AW11" s="51">
        <f t="shared" si="14"/>
        <v>0</v>
      </c>
      <c r="AX11" s="53">
        <f t="shared" si="17"/>
        <v>0</v>
      </c>
      <c r="AY11" s="70">
        <v>673860</v>
      </c>
      <c r="AZ11" s="37">
        <f t="shared" si="18"/>
        <v>180000</v>
      </c>
      <c r="BA11" s="37">
        <f t="shared" si="19"/>
        <v>491.4</v>
      </c>
      <c r="BB11" s="46">
        <f t="shared" si="20"/>
        <v>218.37816000000001</v>
      </c>
    </row>
    <row r="12" spans="1:54" x14ac:dyDescent="0.25">
      <c r="A12" s="23">
        <v>43805</v>
      </c>
      <c r="B12" s="40">
        <v>122</v>
      </c>
      <c r="C12" s="68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21"/>
        <v>1040</v>
      </c>
      <c r="R12" s="37">
        <f t="shared" si="22"/>
        <v>12150</v>
      </c>
      <c r="S12" s="37">
        <f t="shared" si="16"/>
        <v>50</v>
      </c>
      <c r="T12" s="37">
        <f t="shared" ref="T12:W14" si="35">IF((F12-F11&lt;0), "0",F12-F11)</f>
        <v>1570</v>
      </c>
      <c r="U12" s="37">
        <f t="shared" si="35"/>
        <v>6750</v>
      </c>
      <c r="V12" s="37">
        <f t="shared" si="35"/>
        <v>4370</v>
      </c>
      <c r="W12" s="37">
        <f t="shared" si="35"/>
        <v>3290</v>
      </c>
      <c r="X12" s="37">
        <f t="shared" si="27"/>
        <v>4800</v>
      </c>
      <c r="Y12" s="37">
        <f t="shared" si="28"/>
        <v>5570</v>
      </c>
      <c r="Z12" s="37">
        <f>IF((L12-L11&lt;0), "0",L12-L11)</f>
        <v>2880</v>
      </c>
      <c r="AA12" s="37">
        <f t="shared" si="30"/>
        <v>4000</v>
      </c>
      <c r="AB12" s="37">
        <f t="shared" si="31"/>
        <v>7740</v>
      </c>
      <c r="AC12" s="37">
        <f t="shared" si="32"/>
        <v>15220</v>
      </c>
      <c r="AD12" s="35">
        <f t="shared" si="33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34"/>
        <v>347.15000000000003</v>
      </c>
      <c r="AT12" s="48"/>
      <c r="AV12" s="52">
        <v>0</v>
      </c>
      <c r="AW12" s="51">
        <f t="shared" si="14"/>
        <v>0</v>
      </c>
      <c r="AX12" s="53">
        <f t="shared" si="17"/>
        <v>0</v>
      </c>
      <c r="AY12" s="70">
        <v>675260</v>
      </c>
      <c r="AZ12" s="37">
        <f t="shared" si="18"/>
        <v>140000</v>
      </c>
      <c r="BA12" s="37">
        <f t="shared" si="19"/>
        <v>382.2</v>
      </c>
      <c r="BB12" s="46">
        <f t="shared" si="20"/>
        <v>169.84968000000001</v>
      </c>
    </row>
    <row r="13" spans="1:54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21"/>
        <v>1040</v>
      </c>
      <c r="R13" s="37">
        <f t="shared" si="22"/>
        <v>12000</v>
      </c>
      <c r="S13" s="37">
        <f t="shared" si="16"/>
        <v>20</v>
      </c>
      <c r="T13" s="37">
        <f t="shared" si="35"/>
        <v>1560</v>
      </c>
      <c r="U13" s="37">
        <f t="shared" si="35"/>
        <v>6660</v>
      </c>
      <c r="V13" s="37">
        <f t="shared" si="35"/>
        <v>4400</v>
      </c>
      <c r="W13" s="37">
        <f t="shared" si="35"/>
        <v>3440</v>
      </c>
      <c r="X13" s="37">
        <f t="shared" si="27"/>
        <v>4730</v>
      </c>
      <c r="Y13" s="37">
        <f t="shared" si="28"/>
        <v>5570</v>
      </c>
      <c r="Z13" s="37">
        <f>IF((L13-L12&lt;0), "0",L13-L12)</f>
        <v>2910</v>
      </c>
      <c r="AA13" s="37">
        <f t="shared" si="30"/>
        <v>3940</v>
      </c>
      <c r="AB13" s="37">
        <f t="shared" si="31"/>
        <v>7850</v>
      </c>
      <c r="AC13" s="37">
        <f t="shared" si="32"/>
        <v>15090</v>
      </c>
      <c r="AD13" s="35">
        <f t="shared" si="33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34"/>
        <v>346.04999999999995</v>
      </c>
      <c r="AT13" s="48"/>
      <c r="AV13" s="52">
        <v>0</v>
      </c>
      <c r="AW13" s="51">
        <f t="shared" si="14"/>
        <v>0</v>
      </c>
      <c r="AX13" s="53">
        <f t="shared" si="17"/>
        <v>0</v>
      </c>
      <c r="AY13" s="70">
        <v>677120</v>
      </c>
      <c r="AZ13" s="37">
        <f t="shared" si="18"/>
        <v>186000</v>
      </c>
      <c r="BA13" s="37">
        <f t="shared" si="19"/>
        <v>507.78000000000003</v>
      </c>
      <c r="BB13" s="46">
        <f t="shared" si="20"/>
        <v>225.65743200000003</v>
      </c>
    </row>
    <row r="14" spans="1:54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P14" s="45"/>
      <c r="Q14" s="37">
        <f t="shared" si="21"/>
        <v>1030</v>
      </c>
      <c r="R14" s="37">
        <f t="shared" si="22"/>
        <v>10720</v>
      </c>
      <c r="S14" s="37">
        <f t="shared" si="16"/>
        <v>0</v>
      </c>
      <c r="T14" s="37">
        <f t="shared" si="35"/>
        <v>1510</v>
      </c>
      <c r="U14" s="37">
        <f t="shared" si="35"/>
        <v>6810</v>
      </c>
      <c r="V14" s="37">
        <f t="shared" si="35"/>
        <v>4500</v>
      </c>
      <c r="W14" s="37">
        <f t="shared" si="35"/>
        <v>3890</v>
      </c>
      <c r="X14" s="37">
        <f t="shared" si="27"/>
        <v>4740</v>
      </c>
      <c r="Y14" s="37">
        <f t="shared" si="28"/>
        <v>5080</v>
      </c>
      <c r="Z14" s="37">
        <f>IF((L14-L13&lt;0), "0",L14-L13)</f>
        <v>2810</v>
      </c>
      <c r="AA14" s="37">
        <f t="shared" si="30"/>
        <v>3770</v>
      </c>
      <c r="AB14" s="37">
        <f t="shared" si="31"/>
        <v>7810</v>
      </c>
      <c r="AC14" s="37">
        <f t="shared" si="32"/>
        <v>15370</v>
      </c>
      <c r="AD14" s="35">
        <f t="shared" si="33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34"/>
        <v>340.2</v>
      </c>
      <c r="AT14" s="48"/>
      <c r="AV14" s="52">
        <v>0</v>
      </c>
      <c r="AW14" s="51">
        <f t="shared" si="14"/>
        <v>0</v>
      </c>
      <c r="AX14" s="53">
        <f t="shared" si="17"/>
        <v>0</v>
      </c>
      <c r="AY14" s="70">
        <v>679300</v>
      </c>
      <c r="AZ14" s="37">
        <f t="shared" si="18"/>
        <v>218000</v>
      </c>
      <c r="BA14" s="37">
        <f t="shared" si="19"/>
        <v>595.14</v>
      </c>
      <c r="BB14" s="46">
        <f t="shared" si="20"/>
        <v>264.48021599999998</v>
      </c>
    </row>
    <row r="15" spans="1:54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21"/>
        <v>1020</v>
      </c>
      <c r="R15" s="37">
        <f t="shared" si="22"/>
        <v>10740</v>
      </c>
      <c r="S15" s="37">
        <f t="shared" si="16"/>
        <v>0</v>
      </c>
      <c r="T15" s="37">
        <f t="shared" si="23"/>
        <v>1500</v>
      </c>
      <c r="U15" s="37">
        <f t="shared" si="24"/>
        <v>6650</v>
      </c>
      <c r="V15" s="37">
        <f t="shared" si="25"/>
        <v>4420</v>
      </c>
      <c r="W15" s="37">
        <f t="shared" si="26"/>
        <v>3710</v>
      </c>
      <c r="X15" s="37">
        <f t="shared" si="27"/>
        <v>5220</v>
      </c>
      <c r="Y15" s="37">
        <f t="shared" si="28"/>
        <v>5070</v>
      </c>
      <c r="Z15" s="37">
        <f t="shared" si="29"/>
        <v>2870</v>
      </c>
      <c r="AA15" s="37">
        <f t="shared" si="30"/>
        <v>3500</v>
      </c>
      <c r="AB15" s="37">
        <f t="shared" si="31"/>
        <v>7680</v>
      </c>
      <c r="AC15" s="37">
        <f t="shared" si="32"/>
        <v>14930</v>
      </c>
      <c r="AD15" s="35">
        <f t="shared" si="33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34"/>
        <v>336.54999999999995</v>
      </c>
      <c r="AT15" s="48"/>
      <c r="AV15" s="52">
        <v>0</v>
      </c>
      <c r="AW15" s="51">
        <f t="shared" si="14"/>
        <v>0</v>
      </c>
      <c r="AX15" s="53">
        <f t="shared" si="17"/>
        <v>0</v>
      </c>
      <c r="AY15" s="70">
        <v>680520</v>
      </c>
      <c r="AZ15" s="37">
        <f t="shared" si="18"/>
        <v>122000</v>
      </c>
      <c r="BA15" s="37">
        <f t="shared" si="19"/>
        <v>333.06</v>
      </c>
      <c r="BB15" s="46">
        <f t="shared" si="20"/>
        <v>148.011864</v>
      </c>
    </row>
    <row r="16" spans="1:54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21"/>
        <v>1020</v>
      </c>
      <c r="R16" s="37">
        <f t="shared" si="22"/>
        <v>10340</v>
      </c>
      <c r="S16" s="37">
        <f t="shared" si="16"/>
        <v>0</v>
      </c>
      <c r="T16" s="37">
        <f t="shared" si="23"/>
        <v>1500</v>
      </c>
      <c r="U16" s="37">
        <f>IF((G16-G15&lt;0), "0",G16-G15)</f>
        <v>6810</v>
      </c>
      <c r="V16" s="37">
        <f>IF((H16-H15&lt;0), "0",H16-H15)</f>
        <v>4330</v>
      </c>
      <c r="W16" s="37">
        <f t="shared" si="26"/>
        <v>3240</v>
      </c>
      <c r="X16" s="37">
        <f t="shared" si="27"/>
        <v>4600</v>
      </c>
      <c r="Y16" s="37">
        <f t="shared" si="28"/>
        <v>4860</v>
      </c>
      <c r="Z16" s="37">
        <f t="shared" si="29"/>
        <v>2830</v>
      </c>
      <c r="AA16" s="37">
        <f t="shared" si="30"/>
        <v>3670</v>
      </c>
      <c r="AB16" s="37">
        <f t="shared" si="31"/>
        <v>7520</v>
      </c>
      <c r="AC16" s="37">
        <f t="shared" si="32"/>
        <v>14390</v>
      </c>
      <c r="AD16" s="35">
        <f t="shared" si="33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34"/>
        <v>325.55</v>
      </c>
      <c r="AT16" s="48"/>
      <c r="AV16" s="52">
        <v>0</v>
      </c>
      <c r="AW16" s="51">
        <f t="shared" si="14"/>
        <v>0</v>
      </c>
      <c r="AX16" s="53">
        <f t="shared" si="17"/>
        <v>0</v>
      </c>
      <c r="AY16" s="70">
        <v>681842</v>
      </c>
      <c r="AZ16" s="37">
        <f t="shared" si="18"/>
        <v>132200</v>
      </c>
      <c r="BA16" s="37">
        <f t="shared" si="19"/>
        <v>360.90600000000001</v>
      </c>
      <c r="BB16" s="46">
        <f t="shared" si="20"/>
        <v>160.38662640000001</v>
      </c>
    </row>
    <row r="17" spans="1:54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21"/>
        <v>810</v>
      </c>
      <c r="R17" s="37">
        <f t="shared" si="22"/>
        <v>11020</v>
      </c>
      <c r="S17" s="37">
        <f t="shared" si="16"/>
        <v>0</v>
      </c>
      <c r="T17" s="37">
        <f t="shared" si="23"/>
        <v>1530</v>
      </c>
      <c r="U17" s="37">
        <f>IF((G17-G16&lt;0), "0",G17-G16)</f>
        <v>6200</v>
      </c>
      <c r="V17" s="37">
        <f>IF((H17-H16&lt;0), "0",H17-H16)</f>
        <v>4380</v>
      </c>
      <c r="W17" s="37">
        <f t="shared" si="26"/>
        <v>3240</v>
      </c>
      <c r="X17" s="37">
        <f t="shared" si="27"/>
        <v>4380</v>
      </c>
      <c r="Y17" s="37">
        <f t="shared" si="28"/>
        <v>4750</v>
      </c>
      <c r="Z17" s="37">
        <f t="shared" si="29"/>
        <v>2910</v>
      </c>
      <c r="AA17" s="37">
        <f t="shared" si="30"/>
        <v>3470</v>
      </c>
      <c r="AB17" s="37">
        <f t="shared" si="31"/>
        <v>7740</v>
      </c>
      <c r="AC17" s="37">
        <f t="shared" si="32"/>
        <v>14760</v>
      </c>
      <c r="AD17" s="35">
        <f t="shared" si="33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34"/>
        <v>325.95000000000005</v>
      </c>
      <c r="AT17" s="48"/>
      <c r="AV17" s="52">
        <v>0</v>
      </c>
      <c r="AW17" s="51">
        <f t="shared" si="14"/>
        <v>0</v>
      </c>
      <c r="AX17" s="53">
        <f t="shared" si="17"/>
        <v>0</v>
      </c>
      <c r="AY17" s="70">
        <v>684070</v>
      </c>
      <c r="AZ17" s="37">
        <f t="shared" si="18"/>
        <v>222800</v>
      </c>
      <c r="BA17" s="37">
        <f t="shared" si="19"/>
        <v>608.24400000000003</v>
      </c>
      <c r="BB17" s="46">
        <f t="shared" si="20"/>
        <v>270.30363360000001</v>
      </c>
    </row>
    <row r="18" spans="1:54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21"/>
        <v>540</v>
      </c>
      <c r="R18" s="37">
        <f t="shared" si="22"/>
        <v>11880</v>
      </c>
      <c r="S18" s="37">
        <f t="shared" si="16"/>
        <v>0</v>
      </c>
      <c r="T18" s="37">
        <f t="shared" si="23"/>
        <v>1520</v>
      </c>
      <c r="U18" s="37">
        <f t="shared" si="24"/>
        <v>6690</v>
      </c>
      <c r="V18" s="37">
        <f t="shared" si="25"/>
        <v>4480</v>
      </c>
      <c r="W18" s="37">
        <f t="shared" si="26"/>
        <v>3790</v>
      </c>
      <c r="X18" s="37">
        <f t="shared" si="27"/>
        <v>3340</v>
      </c>
      <c r="Y18" s="37">
        <f t="shared" si="28"/>
        <v>4940</v>
      </c>
      <c r="Z18" s="37">
        <f t="shared" si="29"/>
        <v>2930</v>
      </c>
      <c r="AA18" s="37">
        <f t="shared" si="30"/>
        <v>3950</v>
      </c>
      <c r="AB18" s="37">
        <f t="shared" si="31"/>
        <v>7750</v>
      </c>
      <c r="AC18" s="37">
        <f t="shared" si="32"/>
        <v>15140</v>
      </c>
      <c r="AD18" s="35">
        <f t="shared" si="33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34"/>
        <v>334.74999999999994</v>
      </c>
      <c r="AT18" s="48"/>
      <c r="AV18" s="52">
        <v>0</v>
      </c>
      <c r="AW18" s="51">
        <f t="shared" si="14"/>
        <v>0</v>
      </c>
      <c r="AX18" s="53">
        <f t="shared" si="17"/>
        <v>0</v>
      </c>
      <c r="AY18" s="70">
        <v>685509</v>
      </c>
      <c r="AZ18" s="37">
        <f t="shared" si="18"/>
        <v>143900</v>
      </c>
      <c r="BA18" s="37">
        <f t="shared" si="19"/>
        <v>392.84699999999998</v>
      </c>
      <c r="BB18" s="46">
        <f t="shared" si="20"/>
        <v>174.58120679999999</v>
      </c>
    </row>
    <row r="19" spans="1:54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21"/>
        <v>520</v>
      </c>
      <c r="R19" s="37">
        <f t="shared" si="22"/>
        <v>12030</v>
      </c>
      <c r="S19" s="37">
        <f t="shared" si="16"/>
        <v>0</v>
      </c>
      <c r="T19" s="37">
        <f t="shared" si="23"/>
        <v>1490</v>
      </c>
      <c r="U19" s="37">
        <f t="shared" si="24"/>
        <v>6940</v>
      </c>
      <c r="V19" s="37">
        <f t="shared" si="25"/>
        <v>4250</v>
      </c>
      <c r="W19" s="37">
        <f t="shared" si="26"/>
        <v>3520</v>
      </c>
      <c r="X19" s="37">
        <f t="shared" si="27"/>
        <v>5280</v>
      </c>
      <c r="Y19" s="37">
        <f t="shared" si="28"/>
        <v>4810</v>
      </c>
      <c r="Z19" s="37">
        <f t="shared" si="29"/>
        <v>2860</v>
      </c>
      <c r="AA19" s="37">
        <f t="shared" si="30"/>
        <v>3670</v>
      </c>
      <c r="AB19" s="37">
        <f t="shared" si="31"/>
        <v>7770</v>
      </c>
      <c r="AC19" s="37">
        <f t="shared" si="32"/>
        <v>14370</v>
      </c>
      <c r="AD19" s="35">
        <f t="shared" si="33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34"/>
        <v>337.55000000000007</v>
      </c>
      <c r="AT19" s="48"/>
      <c r="AV19" s="52">
        <v>0</v>
      </c>
      <c r="AW19" s="51">
        <f t="shared" si="14"/>
        <v>0</v>
      </c>
      <c r="AX19" s="53">
        <f t="shared" si="17"/>
        <v>0</v>
      </c>
      <c r="AY19" s="70">
        <v>687171</v>
      </c>
      <c r="AZ19" s="37">
        <f t="shared" si="18"/>
        <v>166200</v>
      </c>
      <c r="BA19" s="37">
        <f t="shared" si="19"/>
        <v>453.726</v>
      </c>
      <c r="BB19" s="46">
        <f t="shared" si="20"/>
        <v>201.63583440000002</v>
      </c>
    </row>
    <row r="20" spans="1:54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21"/>
        <v>530</v>
      </c>
      <c r="R20" s="37">
        <f t="shared" si="22"/>
        <v>11510</v>
      </c>
      <c r="S20" s="37">
        <f t="shared" si="16"/>
        <v>0</v>
      </c>
      <c r="T20" s="37">
        <f t="shared" si="23"/>
        <v>1490</v>
      </c>
      <c r="U20" s="37">
        <f t="shared" si="24"/>
        <v>6260</v>
      </c>
      <c r="V20" s="37">
        <f t="shared" si="25"/>
        <v>4240</v>
      </c>
      <c r="W20" s="37">
        <f t="shared" si="26"/>
        <v>3790</v>
      </c>
      <c r="X20" s="37">
        <f t="shared" si="27"/>
        <v>4350</v>
      </c>
      <c r="Y20" s="37">
        <f t="shared" si="28"/>
        <v>4810</v>
      </c>
      <c r="Z20" s="37">
        <f t="shared" si="29"/>
        <v>2760</v>
      </c>
      <c r="AA20" s="37">
        <f t="shared" si="30"/>
        <v>3700</v>
      </c>
      <c r="AB20" s="37">
        <f t="shared" si="31"/>
        <v>7760</v>
      </c>
      <c r="AC20" s="37">
        <f t="shared" si="32"/>
        <v>14990</v>
      </c>
      <c r="AD20" s="35">
        <f t="shared" si="33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34"/>
        <v>330.95</v>
      </c>
      <c r="AT20" s="48"/>
      <c r="AV20" s="52">
        <v>0</v>
      </c>
      <c r="AW20" s="51">
        <f t="shared" si="14"/>
        <v>0</v>
      </c>
      <c r="AX20" s="53">
        <f t="shared" si="17"/>
        <v>0</v>
      </c>
      <c r="AY20" s="70">
        <v>688540</v>
      </c>
      <c r="AZ20" s="37">
        <f t="shared" si="18"/>
        <v>136900</v>
      </c>
      <c r="BA20" s="37">
        <f t="shared" si="19"/>
        <v>373.73699999999997</v>
      </c>
      <c r="BB20" s="46">
        <f t="shared" si="20"/>
        <v>166.0887228</v>
      </c>
    </row>
    <row r="21" spans="1:54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21"/>
        <v>540</v>
      </c>
      <c r="R21" s="37">
        <f t="shared" si="22"/>
        <v>11740</v>
      </c>
      <c r="S21" s="37">
        <f t="shared" si="16"/>
        <v>0</v>
      </c>
      <c r="T21" s="37">
        <f t="shared" si="23"/>
        <v>1520</v>
      </c>
      <c r="U21" s="37">
        <f t="shared" si="24"/>
        <v>6190</v>
      </c>
      <c r="V21" s="37">
        <f t="shared" si="25"/>
        <v>4390</v>
      </c>
      <c r="W21" s="37">
        <f t="shared" si="26"/>
        <v>3170</v>
      </c>
      <c r="X21" s="37">
        <f t="shared" si="27"/>
        <v>4470</v>
      </c>
      <c r="Y21" s="37">
        <f t="shared" si="28"/>
        <v>4800</v>
      </c>
      <c r="Z21" s="37">
        <f t="shared" si="29"/>
        <v>2750</v>
      </c>
      <c r="AA21" s="37">
        <f t="shared" si="30"/>
        <v>3630</v>
      </c>
      <c r="AB21" s="37">
        <f t="shared" si="31"/>
        <v>8130</v>
      </c>
      <c r="AC21" s="37">
        <f t="shared" si="32"/>
        <v>15040</v>
      </c>
      <c r="AD21" s="35">
        <f t="shared" si="33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34"/>
        <v>331.84999999999997</v>
      </c>
      <c r="AT21" s="48"/>
      <c r="AV21" s="52">
        <v>0</v>
      </c>
      <c r="AW21" s="51">
        <f t="shared" si="14"/>
        <v>0</v>
      </c>
      <c r="AX21" s="53">
        <f t="shared" si="17"/>
        <v>0</v>
      </c>
      <c r="AY21" s="70">
        <v>690367</v>
      </c>
      <c r="AZ21" s="37">
        <f t="shared" si="18"/>
        <v>182700</v>
      </c>
      <c r="BA21" s="37">
        <f t="shared" si="19"/>
        <v>498.77100000000002</v>
      </c>
      <c r="BB21" s="46">
        <f t="shared" si="20"/>
        <v>221.65383240000003</v>
      </c>
    </row>
    <row r="22" spans="1:54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69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69">
        <v>11471660</v>
      </c>
      <c r="Q22" s="37">
        <f t="shared" si="21"/>
        <v>530</v>
      </c>
      <c r="R22" s="37">
        <f t="shared" si="22"/>
        <v>11610</v>
      </c>
      <c r="S22" s="37">
        <f t="shared" si="16"/>
        <v>0</v>
      </c>
      <c r="T22" s="37">
        <f t="shared" si="23"/>
        <v>1490</v>
      </c>
      <c r="U22" s="37">
        <f t="shared" si="24"/>
        <v>6170</v>
      </c>
      <c r="V22" s="37">
        <f t="shared" si="25"/>
        <v>4370</v>
      </c>
      <c r="W22" s="37">
        <f t="shared" si="26"/>
        <v>3420</v>
      </c>
      <c r="X22" s="37">
        <f t="shared" si="27"/>
        <v>4210</v>
      </c>
      <c r="Y22" s="37">
        <f t="shared" si="28"/>
        <v>4620</v>
      </c>
      <c r="Z22" s="37">
        <f t="shared" si="29"/>
        <v>2930</v>
      </c>
      <c r="AA22" s="37">
        <f t="shared" si="30"/>
        <v>3630</v>
      </c>
      <c r="AB22" s="37">
        <f t="shared" si="31"/>
        <v>8030</v>
      </c>
      <c r="AC22" s="37">
        <f t="shared" si="32"/>
        <v>14500</v>
      </c>
      <c r="AD22" s="35">
        <f t="shared" si="33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34"/>
        <v>327.55</v>
      </c>
      <c r="AT22" s="48"/>
      <c r="AV22" s="52">
        <v>0</v>
      </c>
      <c r="AW22" s="51">
        <f t="shared" si="14"/>
        <v>0</v>
      </c>
      <c r="AX22" s="53">
        <f t="shared" si="17"/>
        <v>0</v>
      </c>
      <c r="AY22" s="70">
        <v>691836</v>
      </c>
      <c r="AZ22" s="37">
        <f t="shared" si="18"/>
        <v>146900</v>
      </c>
      <c r="BA22" s="37">
        <f t="shared" si="19"/>
        <v>401.03699999999998</v>
      </c>
      <c r="BB22" s="46">
        <f t="shared" si="20"/>
        <v>178.22084279999999</v>
      </c>
    </row>
    <row r="23" spans="1:54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21"/>
        <v>540</v>
      </c>
      <c r="R23" s="37">
        <f t="shared" si="22"/>
        <v>10840</v>
      </c>
      <c r="S23" s="37">
        <f t="shared" si="16"/>
        <v>0</v>
      </c>
      <c r="T23" s="37">
        <f t="shared" si="23"/>
        <v>1490</v>
      </c>
      <c r="U23" s="37">
        <f t="shared" si="24"/>
        <v>6640</v>
      </c>
      <c r="V23" s="37">
        <f t="shared" si="25"/>
        <v>4560</v>
      </c>
      <c r="W23" s="37">
        <f t="shared" si="26"/>
        <v>3440</v>
      </c>
      <c r="X23" s="37">
        <f t="shared" si="27"/>
        <v>4360</v>
      </c>
      <c r="Y23" s="37">
        <f t="shared" si="28"/>
        <v>4740</v>
      </c>
      <c r="Z23" s="37">
        <f t="shared" si="29"/>
        <v>2890</v>
      </c>
      <c r="AA23" s="37">
        <f t="shared" si="30"/>
        <v>3660</v>
      </c>
      <c r="AB23" s="37">
        <f t="shared" si="31"/>
        <v>8150</v>
      </c>
      <c r="AC23" s="37">
        <f t="shared" si="32"/>
        <v>14730</v>
      </c>
      <c r="AD23" s="35">
        <f t="shared" si="33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34"/>
        <v>330.20000000000005</v>
      </c>
      <c r="AT23" s="48"/>
      <c r="AV23" s="52">
        <v>0</v>
      </c>
      <c r="AW23" s="51">
        <f t="shared" si="14"/>
        <v>0</v>
      </c>
      <c r="AX23" s="53">
        <f t="shared" si="17"/>
        <v>0</v>
      </c>
      <c r="AY23" s="70">
        <v>693618</v>
      </c>
      <c r="AZ23" s="37">
        <f t="shared" si="18"/>
        <v>178200</v>
      </c>
      <c r="BA23" s="37">
        <f t="shared" si="19"/>
        <v>486.48599999999999</v>
      </c>
      <c r="BB23" s="46">
        <f t="shared" si="20"/>
        <v>216.19437840000001</v>
      </c>
    </row>
    <row r="24" spans="1:54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21"/>
        <v>3850</v>
      </c>
      <c r="R24" s="37">
        <f t="shared" si="22"/>
        <v>7390</v>
      </c>
      <c r="S24" s="37">
        <f t="shared" si="16"/>
        <v>0</v>
      </c>
      <c r="T24" s="37">
        <f t="shared" si="23"/>
        <v>1500</v>
      </c>
      <c r="U24" s="37">
        <f t="shared" si="24"/>
        <v>6720</v>
      </c>
      <c r="V24" s="37">
        <f t="shared" si="25"/>
        <v>4730</v>
      </c>
      <c r="W24" s="37">
        <f t="shared" si="26"/>
        <v>3550</v>
      </c>
      <c r="X24" s="37">
        <f t="shared" si="27"/>
        <v>4400</v>
      </c>
      <c r="Y24" s="37">
        <f t="shared" si="28"/>
        <v>5000</v>
      </c>
      <c r="Z24" s="37">
        <f t="shared" si="29"/>
        <v>2920</v>
      </c>
      <c r="AA24" s="37">
        <f t="shared" si="30"/>
        <v>3570</v>
      </c>
      <c r="AB24" s="37">
        <f t="shared" si="31"/>
        <v>8160</v>
      </c>
      <c r="AC24" s="37">
        <f t="shared" si="32"/>
        <v>15000</v>
      </c>
      <c r="AD24" s="35">
        <f t="shared" si="33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34"/>
        <v>333.95</v>
      </c>
      <c r="AT24" s="48"/>
      <c r="AV24" s="52">
        <v>0</v>
      </c>
      <c r="AW24" s="51">
        <f t="shared" si="14"/>
        <v>0</v>
      </c>
      <c r="AX24" s="53">
        <f t="shared" si="17"/>
        <v>0</v>
      </c>
      <c r="AY24" s="70">
        <v>695688</v>
      </c>
      <c r="AZ24" s="37">
        <f t="shared" si="18"/>
        <v>207000</v>
      </c>
      <c r="BA24" s="37">
        <f t="shared" si="19"/>
        <v>565.11</v>
      </c>
      <c r="BB24" s="46">
        <f t="shared" si="20"/>
        <v>251.13488400000003</v>
      </c>
    </row>
    <row r="25" spans="1:54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6">IF((C25-C24&lt;0), "0",C25-C24)</f>
        <v>530</v>
      </c>
      <c r="R25" s="37">
        <f t="shared" si="22"/>
        <v>11360</v>
      </c>
      <c r="S25" s="37">
        <f t="shared" si="36"/>
        <v>0</v>
      </c>
      <c r="T25" s="37">
        <f t="shared" si="36"/>
        <v>1540</v>
      </c>
      <c r="U25" s="37">
        <f t="shared" si="36"/>
        <v>6840</v>
      </c>
      <c r="V25" s="37">
        <f t="shared" si="36"/>
        <v>4830</v>
      </c>
      <c r="W25" s="37">
        <f t="shared" si="36"/>
        <v>4000</v>
      </c>
      <c r="X25" s="37">
        <f t="shared" si="36"/>
        <v>4610</v>
      </c>
      <c r="Y25" s="37">
        <f t="shared" si="36"/>
        <v>5230</v>
      </c>
      <c r="Z25" s="37">
        <f t="shared" si="36"/>
        <v>2980</v>
      </c>
      <c r="AA25" s="37">
        <f t="shared" si="36"/>
        <v>3930</v>
      </c>
      <c r="AB25" s="37">
        <f t="shared" si="36"/>
        <v>8220</v>
      </c>
      <c r="AC25" s="37">
        <f t="shared" si="36"/>
        <v>15100</v>
      </c>
      <c r="AD25" s="35">
        <f t="shared" si="33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34"/>
        <v>345.85</v>
      </c>
      <c r="AT25" s="48"/>
      <c r="AV25" s="52">
        <v>0</v>
      </c>
      <c r="AW25" s="51">
        <f t="shared" si="14"/>
        <v>0</v>
      </c>
      <c r="AX25" s="53">
        <f t="shared" si="17"/>
        <v>0</v>
      </c>
      <c r="AY25" s="70">
        <v>697164</v>
      </c>
      <c r="AZ25" s="37">
        <f t="shared" si="18"/>
        <v>147600</v>
      </c>
      <c r="BA25" s="37">
        <f t="shared" si="19"/>
        <v>402.94800000000004</v>
      </c>
      <c r="BB25" s="46">
        <f t="shared" si="20"/>
        <v>179.07009120000004</v>
      </c>
    </row>
    <row r="26" spans="1:54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6"/>
        <v>520</v>
      </c>
      <c r="R26" s="37">
        <f t="shared" si="22"/>
        <v>11020</v>
      </c>
      <c r="S26" s="37">
        <f t="shared" si="36"/>
        <v>0</v>
      </c>
      <c r="T26" s="37">
        <f t="shared" si="36"/>
        <v>1480</v>
      </c>
      <c r="U26" s="37">
        <f t="shared" si="36"/>
        <v>6940</v>
      </c>
      <c r="V26" s="37">
        <f t="shared" si="36"/>
        <v>4730</v>
      </c>
      <c r="W26" s="37">
        <f t="shared" si="36"/>
        <v>3840</v>
      </c>
      <c r="X26" s="37">
        <f t="shared" si="36"/>
        <v>4670</v>
      </c>
      <c r="Y26" s="37">
        <f t="shared" si="36"/>
        <v>5100</v>
      </c>
      <c r="Z26" s="37">
        <f t="shared" si="36"/>
        <v>2960</v>
      </c>
      <c r="AA26" s="37">
        <f t="shared" si="36"/>
        <v>4090</v>
      </c>
      <c r="AB26" s="37">
        <f t="shared" si="36"/>
        <v>7980</v>
      </c>
      <c r="AC26" s="37">
        <f t="shared" si="36"/>
        <v>14810</v>
      </c>
      <c r="AD26" s="35">
        <f t="shared" si="33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34"/>
        <v>340.7</v>
      </c>
      <c r="AT26" s="48"/>
      <c r="AV26" s="52">
        <v>0</v>
      </c>
      <c r="AW26" s="51">
        <f t="shared" si="14"/>
        <v>0</v>
      </c>
      <c r="AX26" s="53">
        <f t="shared" si="17"/>
        <v>0</v>
      </c>
      <c r="AY26" s="70">
        <v>698774</v>
      </c>
      <c r="AZ26" s="37">
        <f t="shared" si="18"/>
        <v>161000</v>
      </c>
      <c r="BA26" s="37">
        <f t="shared" si="19"/>
        <v>439.53000000000003</v>
      </c>
      <c r="BB26" s="46">
        <f t="shared" si="20"/>
        <v>195.32713200000003</v>
      </c>
    </row>
    <row r="27" spans="1:54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8776730</v>
      </c>
      <c r="O27" s="24">
        <v>11546360</v>
      </c>
      <c r="Q27" s="37">
        <f t="shared" si="36"/>
        <v>520</v>
      </c>
      <c r="R27" s="37">
        <f t="shared" si="22"/>
        <v>11220</v>
      </c>
      <c r="S27" s="37">
        <f t="shared" si="36"/>
        <v>0</v>
      </c>
      <c r="T27" s="37">
        <f t="shared" si="36"/>
        <v>1500</v>
      </c>
      <c r="U27" s="37">
        <f t="shared" si="36"/>
        <v>7090</v>
      </c>
      <c r="V27" s="37">
        <f t="shared" si="36"/>
        <v>4790</v>
      </c>
      <c r="W27" s="37">
        <f t="shared" si="36"/>
        <v>3450</v>
      </c>
      <c r="X27" s="37">
        <f t="shared" si="36"/>
        <v>4640</v>
      </c>
      <c r="Y27" s="37">
        <f t="shared" si="36"/>
        <v>5040</v>
      </c>
      <c r="Z27" s="37">
        <f t="shared" si="36"/>
        <v>2960</v>
      </c>
      <c r="AA27" s="37">
        <f t="shared" si="36"/>
        <v>3880</v>
      </c>
      <c r="AB27" s="37">
        <f t="shared" si="36"/>
        <v>8110</v>
      </c>
      <c r="AC27" s="37">
        <f t="shared" si="36"/>
        <v>15060</v>
      </c>
      <c r="AD27" s="35">
        <f t="shared" si="33"/>
        <v>68260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40.550000000000004</v>
      </c>
      <c r="AR27" s="20">
        <f t="shared" si="13"/>
        <v>75.3</v>
      </c>
      <c r="AS27" s="35">
        <f t="shared" si="34"/>
        <v>341.3</v>
      </c>
      <c r="AT27" s="48"/>
      <c r="AV27" s="52">
        <v>0</v>
      </c>
      <c r="AW27" s="51">
        <f t="shared" si="14"/>
        <v>0</v>
      </c>
      <c r="AX27" s="53">
        <f t="shared" si="17"/>
        <v>0</v>
      </c>
      <c r="AY27" s="70">
        <v>700111</v>
      </c>
      <c r="AZ27" s="37">
        <f t="shared" si="18"/>
        <v>133700</v>
      </c>
      <c r="BA27" s="37">
        <f t="shared" si="19"/>
        <v>365.00100000000003</v>
      </c>
      <c r="BB27" s="46">
        <f t="shared" si="20"/>
        <v>162.20644440000001</v>
      </c>
    </row>
    <row r="28" spans="1:54" x14ac:dyDescent="0.25">
      <c r="A28" s="23">
        <v>43821</v>
      </c>
      <c r="B28" s="40">
        <v>122</v>
      </c>
      <c r="C28" s="24">
        <v>5917960</v>
      </c>
      <c r="D28" s="24">
        <v>12300580</v>
      </c>
      <c r="E28" s="24">
        <v>1470300</v>
      </c>
      <c r="F28" s="24">
        <v>2631820</v>
      </c>
      <c r="G28" s="24">
        <v>8031190</v>
      </c>
      <c r="H28" s="24">
        <v>3840530</v>
      </c>
      <c r="I28" s="24">
        <v>3804980</v>
      </c>
      <c r="J28" s="24">
        <v>4318330</v>
      </c>
      <c r="K28" s="24">
        <v>6944510</v>
      </c>
      <c r="L28" s="24">
        <v>2491560</v>
      </c>
      <c r="M28" s="24">
        <v>6389860</v>
      </c>
      <c r="N28" s="24">
        <v>8784540</v>
      </c>
      <c r="O28" s="24">
        <v>11561170</v>
      </c>
      <c r="Q28" s="37">
        <f t="shared" si="21"/>
        <v>500</v>
      </c>
      <c r="R28" s="37">
        <f t="shared" si="22"/>
        <v>10570</v>
      </c>
      <c r="S28" s="37">
        <f t="shared" si="16"/>
        <v>0</v>
      </c>
      <c r="T28" s="37">
        <f t="shared" si="23"/>
        <v>1470</v>
      </c>
      <c r="U28" s="37">
        <f t="shared" si="24"/>
        <v>6510</v>
      </c>
      <c r="V28" s="37">
        <f t="shared" si="25"/>
        <v>4600</v>
      </c>
      <c r="W28" s="37">
        <f t="shared" si="26"/>
        <v>2850</v>
      </c>
      <c r="X28" s="37">
        <f t="shared" si="27"/>
        <v>4340</v>
      </c>
      <c r="Y28" s="37">
        <f t="shared" si="28"/>
        <v>4760</v>
      </c>
      <c r="Z28" s="37">
        <f t="shared" si="29"/>
        <v>2820</v>
      </c>
      <c r="AA28" s="37">
        <f t="shared" si="30"/>
        <v>3760</v>
      </c>
      <c r="AB28" s="37">
        <f t="shared" si="31"/>
        <v>7810</v>
      </c>
      <c r="AC28" s="37">
        <f t="shared" si="32"/>
        <v>14810</v>
      </c>
      <c r="AD28" s="35">
        <f t="shared" si="33"/>
        <v>64800</v>
      </c>
      <c r="AF28" s="20">
        <f t="shared" si="1"/>
        <v>2.5</v>
      </c>
      <c r="AG28" s="20">
        <f t="shared" si="2"/>
        <v>52.85</v>
      </c>
      <c r="AH28" s="20">
        <f t="shared" si="3"/>
        <v>0</v>
      </c>
      <c r="AI28" s="20">
        <f t="shared" si="4"/>
        <v>7.3500000000000005</v>
      </c>
      <c r="AJ28" s="20">
        <f t="shared" si="5"/>
        <v>32.549999999999997</v>
      </c>
      <c r="AK28" s="20">
        <f t="shared" si="6"/>
        <v>23</v>
      </c>
      <c r="AL28" s="20">
        <f t="shared" si="7"/>
        <v>14.25</v>
      </c>
      <c r="AM28" s="20">
        <f t="shared" si="8"/>
        <v>21.7</v>
      </c>
      <c r="AN28" s="20">
        <f t="shared" si="9"/>
        <v>23.8</v>
      </c>
      <c r="AO28" s="20">
        <f t="shared" si="10"/>
        <v>14.1</v>
      </c>
      <c r="AP28" s="20">
        <f t="shared" si="11"/>
        <v>18.8</v>
      </c>
      <c r="AQ28" s="20">
        <f t="shared" si="12"/>
        <v>39.050000000000004</v>
      </c>
      <c r="AR28" s="20">
        <f t="shared" si="13"/>
        <v>74.05</v>
      </c>
      <c r="AS28" s="35">
        <f t="shared" si="34"/>
        <v>324</v>
      </c>
      <c r="AT28" s="48"/>
      <c r="AV28" s="52">
        <v>0</v>
      </c>
      <c r="AW28" s="51">
        <f t="shared" si="14"/>
        <v>0</v>
      </c>
      <c r="AX28" s="53">
        <f t="shared" si="17"/>
        <v>0</v>
      </c>
      <c r="AY28" s="70">
        <v>701910</v>
      </c>
      <c r="AZ28" s="37">
        <f t="shared" si="18"/>
        <v>179900</v>
      </c>
      <c r="BA28" s="37">
        <f t="shared" si="19"/>
        <v>491.12700000000001</v>
      </c>
      <c r="BB28" s="46">
        <f t="shared" si="20"/>
        <v>218.25683880000003</v>
      </c>
    </row>
    <row r="29" spans="1:54" x14ac:dyDescent="0.25">
      <c r="A29" s="23">
        <v>43822</v>
      </c>
      <c r="B29" s="40">
        <v>122</v>
      </c>
      <c r="C29" s="24">
        <v>5918500</v>
      </c>
      <c r="D29" s="24">
        <v>12311250</v>
      </c>
      <c r="E29" s="24">
        <v>1470300</v>
      </c>
      <c r="F29" s="24">
        <v>2633300</v>
      </c>
      <c r="G29" s="24">
        <v>8038040</v>
      </c>
      <c r="H29" s="24">
        <v>3845180</v>
      </c>
      <c r="I29" s="24">
        <v>3808180</v>
      </c>
      <c r="J29" s="24">
        <v>4323310</v>
      </c>
      <c r="K29" s="24">
        <v>6949310</v>
      </c>
      <c r="L29" s="24">
        <v>2494300</v>
      </c>
      <c r="M29" s="24">
        <v>6393600</v>
      </c>
      <c r="N29" s="24">
        <v>8792260</v>
      </c>
      <c r="O29" s="24">
        <v>11575890</v>
      </c>
      <c r="Q29" s="37">
        <f t="shared" si="21"/>
        <v>540</v>
      </c>
      <c r="R29" s="37">
        <f t="shared" si="22"/>
        <v>10670</v>
      </c>
      <c r="S29" s="37">
        <f t="shared" si="16"/>
        <v>0</v>
      </c>
      <c r="T29" s="37">
        <f t="shared" si="23"/>
        <v>1480</v>
      </c>
      <c r="U29" s="37">
        <f t="shared" si="24"/>
        <v>6850</v>
      </c>
      <c r="V29" s="37">
        <f t="shared" si="25"/>
        <v>4650</v>
      </c>
      <c r="W29" s="37">
        <f t="shared" si="26"/>
        <v>3200</v>
      </c>
      <c r="X29" s="37">
        <f t="shared" si="27"/>
        <v>4980</v>
      </c>
      <c r="Y29" s="37">
        <f t="shared" si="28"/>
        <v>4800</v>
      </c>
      <c r="Z29" s="37">
        <f t="shared" si="29"/>
        <v>2740</v>
      </c>
      <c r="AA29" s="37">
        <f t="shared" si="30"/>
        <v>3740</v>
      </c>
      <c r="AB29" s="37">
        <f t="shared" si="31"/>
        <v>7720</v>
      </c>
      <c r="AC29" s="37">
        <f t="shared" si="32"/>
        <v>14720</v>
      </c>
      <c r="AD29" s="35">
        <f t="shared" si="33"/>
        <v>66090</v>
      </c>
      <c r="AF29" s="20">
        <f t="shared" si="1"/>
        <v>2.7</v>
      </c>
      <c r="AG29" s="20">
        <f t="shared" si="2"/>
        <v>53.35</v>
      </c>
      <c r="AH29" s="20">
        <f t="shared" si="3"/>
        <v>0</v>
      </c>
      <c r="AI29" s="20">
        <f t="shared" si="4"/>
        <v>7.4</v>
      </c>
      <c r="AJ29" s="20">
        <f t="shared" si="5"/>
        <v>34.25</v>
      </c>
      <c r="AK29" s="20">
        <f t="shared" si="6"/>
        <v>23.25</v>
      </c>
      <c r="AL29" s="20">
        <f t="shared" si="7"/>
        <v>16</v>
      </c>
      <c r="AM29" s="20">
        <f t="shared" si="8"/>
        <v>24.900000000000002</v>
      </c>
      <c r="AN29" s="20">
        <f t="shared" si="9"/>
        <v>24</v>
      </c>
      <c r="AO29" s="20">
        <f t="shared" si="10"/>
        <v>13.700000000000001</v>
      </c>
      <c r="AP29" s="20">
        <f t="shared" si="11"/>
        <v>18.7</v>
      </c>
      <c r="AQ29" s="20">
        <f t="shared" si="12"/>
        <v>38.6</v>
      </c>
      <c r="AR29" s="20">
        <f t="shared" si="13"/>
        <v>73.600000000000009</v>
      </c>
      <c r="AS29" s="35">
        <f t="shared" si="34"/>
        <v>330.45</v>
      </c>
      <c r="AT29" s="48"/>
      <c r="AV29" s="52">
        <v>0</v>
      </c>
      <c r="AW29" s="51">
        <f t="shared" si="14"/>
        <v>0</v>
      </c>
      <c r="AX29" s="53">
        <f t="shared" si="17"/>
        <v>0</v>
      </c>
      <c r="AY29" s="70">
        <v>703371</v>
      </c>
      <c r="AZ29" s="37">
        <f t="shared" si="18"/>
        <v>146100</v>
      </c>
      <c r="BA29" s="37">
        <f t="shared" si="19"/>
        <v>398.85300000000001</v>
      </c>
      <c r="BB29" s="46">
        <f t="shared" si="20"/>
        <v>177.25027320000001</v>
      </c>
    </row>
    <row r="30" spans="1:54" x14ac:dyDescent="0.25">
      <c r="A30" s="23">
        <v>43823</v>
      </c>
      <c r="B30" s="40">
        <v>206</v>
      </c>
      <c r="C30" s="24">
        <v>5919020</v>
      </c>
      <c r="D30" s="24">
        <v>12321740</v>
      </c>
      <c r="E30" s="24">
        <v>1470300</v>
      </c>
      <c r="F30" s="24">
        <v>2634770</v>
      </c>
      <c r="G30" s="24">
        <v>8045080</v>
      </c>
      <c r="H30" s="24">
        <v>3849930</v>
      </c>
      <c r="I30" s="24">
        <v>3811870</v>
      </c>
      <c r="J30" s="24">
        <v>4327700</v>
      </c>
      <c r="K30" s="24">
        <v>6953920</v>
      </c>
      <c r="L30" s="24">
        <v>2497070</v>
      </c>
      <c r="M30" s="24">
        <v>6397260</v>
      </c>
      <c r="N30" s="24">
        <v>8800100</v>
      </c>
      <c r="O30" s="24">
        <v>11589940</v>
      </c>
      <c r="Q30" s="37">
        <f t="shared" si="21"/>
        <v>520</v>
      </c>
      <c r="R30" s="37">
        <f t="shared" si="22"/>
        <v>10490</v>
      </c>
      <c r="S30" s="37">
        <f t="shared" si="16"/>
        <v>0</v>
      </c>
      <c r="T30" s="37">
        <f t="shared" si="23"/>
        <v>1470</v>
      </c>
      <c r="U30" s="37">
        <f t="shared" si="24"/>
        <v>7040</v>
      </c>
      <c r="V30" s="37">
        <f t="shared" si="25"/>
        <v>4750</v>
      </c>
      <c r="W30" s="37">
        <f t="shared" si="26"/>
        <v>3690</v>
      </c>
      <c r="X30" s="37">
        <f t="shared" si="27"/>
        <v>4390</v>
      </c>
      <c r="Y30" s="37">
        <f t="shared" si="28"/>
        <v>4610</v>
      </c>
      <c r="Z30" s="37">
        <f t="shared" si="29"/>
        <v>2770</v>
      </c>
      <c r="AA30" s="37">
        <f t="shared" si="30"/>
        <v>3660</v>
      </c>
      <c r="AB30" s="37">
        <f t="shared" si="31"/>
        <v>7840</v>
      </c>
      <c r="AC30" s="37">
        <f t="shared" si="32"/>
        <v>14050</v>
      </c>
      <c r="AD30" s="35">
        <f t="shared" si="33"/>
        <v>65280</v>
      </c>
      <c r="AF30" s="20">
        <f t="shared" si="1"/>
        <v>2.6</v>
      </c>
      <c r="AG30" s="20">
        <f t="shared" si="2"/>
        <v>52.45</v>
      </c>
      <c r="AH30" s="20">
        <f t="shared" si="3"/>
        <v>0</v>
      </c>
      <c r="AI30" s="20">
        <f t="shared" si="4"/>
        <v>7.3500000000000005</v>
      </c>
      <c r="AJ30" s="20">
        <f t="shared" si="5"/>
        <v>35.200000000000003</v>
      </c>
      <c r="AK30" s="20">
        <f t="shared" si="6"/>
        <v>23.75</v>
      </c>
      <c r="AL30" s="20">
        <f t="shared" si="7"/>
        <v>18.45</v>
      </c>
      <c r="AM30" s="20">
        <f t="shared" si="8"/>
        <v>21.95</v>
      </c>
      <c r="AN30" s="20">
        <f t="shared" si="9"/>
        <v>23.05</v>
      </c>
      <c r="AO30" s="20">
        <f t="shared" si="10"/>
        <v>13.85</v>
      </c>
      <c r="AP30" s="20">
        <f t="shared" si="11"/>
        <v>18.3</v>
      </c>
      <c r="AQ30" s="20">
        <f t="shared" si="12"/>
        <v>39.200000000000003</v>
      </c>
      <c r="AR30" s="20">
        <f t="shared" si="13"/>
        <v>70.25</v>
      </c>
      <c r="AS30" s="35">
        <f t="shared" si="34"/>
        <v>326.40000000000003</v>
      </c>
      <c r="AT30" s="48"/>
      <c r="AV30" s="52">
        <v>0</v>
      </c>
      <c r="AW30" s="51">
        <f t="shared" si="14"/>
        <v>0</v>
      </c>
      <c r="AX30" s="53">
        <f t="shared" si="17"/>
        <v>0</v>
      </c>
      <c r="AY30" s="70">
        <v>705183</v>
      </c>
      <c r="AZ30" s="37">
        <f t="shared" si="18"/>
        <v>181200</v>
      </c>
      <c r="BA30" s="37">
        <f t="shared" si="19"/>
        <v>494.67599999999999</v>
      </c>
      <c r="BB30" s="46">
        <f t="shared" si="20"/>
        <v>219.8340144</v>
      </c>
    </row>
    <row r="31" spans="1:54" x14ac:dyDescent="0.25">
      <c r="A31" s="23">
        <v>43824</v>
      </c>
      <c r="B31" s="40">
        <v>122</v>
      </c>
      <c r="C31" s="24">
        <v>5919540</v>
      </c>
      <c r="D31" s="24">
        <v>12332220</v>
      </c>
      <c r="E31" s="24">
        <v>1470300</v>
      </c>
      <c r="F31" s="24">
        <v>2636260</v>
      </c>
      <c r="G31" s="24">
        <v>8052140</v>
      </c>
      <c r="H31" s="24">
        <v>3854770</v>
      </c>
      <c r="I31" s="24">
        <v>3815590</v>
      </c>
      <c r="J31" s="24">
        <v>4332290</v>
      </c>
      <c r="K31" s="24">
        <v>6959090</v>
      </c>
      <c r="L31" s="24">
        <v>2499980</v>
      </c>
      <c r="M31" s="24">
        <v>6400980</v>
      </c>
      <c r="N31" s="24">
        <v>8807860</v>
      </c>
      <c r="O31" s="24">
        <v>11603680</v>
      </c>
      <c r="Q31" s="37">
        <f>IF((C31-C30&lt;0), "0",C31-C30)</f>
        <v>520</v>
      </c>
      <c r="R31" s="37">
        <f t="shared" si="22"/>
        <v>10480</v>
      </c>
      <c r="S31" s="37">
        <f t="shared" si="16"/>
        <v>0</v>
      </c>
      <c r="T31" s="37">
        <f t="shared" si="23"/>
        <v>1490</v>
      </c>
      <c r="U31" s="37">
        <f t="shared" si="24"/>
        <v>7060</v>
      </c>
      <c r="V31" s="37">
        <f t="shared" si="25"/>
        <v>4840</v>
      </c>
      <c r="W31" s="37">
        <f t="shared" si="26"/>
        <v>3720</v>
      </c>
      <c r="X31" s="37">
        <f t="shared" si="27"/>
        <v>4590</v>
      </c>
      <c r="Y31" s="37">
        <f t="shared" si="28"/>
        <v>5170</v>
      </c>
      <c r="Z31" s="37">
        <f t="shared" si="29"/>
        <v>2910</v>
      </c>
      <c r="AA31" s="37">
        <f t="shared" si="30"/>
        <v>3720</v>
      </c>
      <c r="AB31" s="37">
        <f t="shared" si="31"/>
        <v>7760</v>
      </c>
      <c r="AC31" s="37">
        <f t="shared" si="32"/>
        <v>13740</v>
      </c>
      <c r="AD31" s="35">
        <f t="shared" si="33"/>
        <v>66000</v>
      </c>
      <c r="AF31" s="20">
        <f t="shared" si="1"/>
        <v>2.6</v>
      </c>
      <c r="AG31" s="20">
        <f t="shared" si="2"/>
        <v>52.4</v>
      </c>
      <c r="AH31" s="20">
        <f t="shared" si="3"/>
        <v>0</v>
      </c>
      <c r="AI31" s="20">
        <f t="shared" si="4"/>
        <v>7.45</v>
      </c>
      <c r="AJ31" s="20">
        <f t="shared" si="5"/>
        <v>35.300000000000004</v>
      </c>
      <c r="AK31" s="20">
        <f t="shared" si="6"/>
        <v>24.2</v>
      </c>
      <c r="AL31" s="20">
        <f t="shared" si="7"/>
        <v>18.600000000000001</v>
      </c>
      <c r="AM31" s="20">
        <f t="shared" si="8"/>
        <v>22.95</v>
      </c>
      <c r="AN31" s="20">
        <f t="shared" si="9"/>
        <v>25.85</v>
      </c>
      <c r="AO31" s="20">
        <f t="shared" si="10"/>
        <v>14.55</v>
      </c>
      <c r="AP31" s="20">
        <f t="shared" si="11"/>
        <v>18.600000000000001</v>
      </c>
      <c r="AQ31" s="20">
        <f t="shared" si="12"/>
        <v>38.800000000000004</v>
      </c>
      <c r="AR31" s="20">
        <f t="shared" si="13"/>
        <v>68.7</v>
      </c>
      <c r="AS31" s="35">
        <f t="shared" si="34"/>
        <v>330</v>
      </c>
      <c r="AT31" s="48"/>
      <c r="AV31" s="52">
        <v>0</v>
      </c>
      <c r="AW31" s="51">
        <f t="shared" si="14"/>
        <v>0</v>
      </c>
      <c r="AX31" s="53">
        <f t="shared" si="17"/>
        <v>0</v>
      </c>
      <c r="AY31" s="70">
        <v>706954</v>
      </c>
      <c r="AZ31" s="37">
        <f t="shared" si="18"/>
        <v>177100</v>
      </c>
      <c r="BA31" s="37">
        <f t="shared" si="19"/>
        <v>483.483</v>
      </c>
      <c r="BB31" s="46">
        <f t="shared" si="20"/>
        <v>214.85984520000002</v>
      </c>
    </row>
    <row r="32" spans="1:54" x14ac:dyDescent="0.25">
      <c r="A32" s="23">
        <v>43825</v>
      </c>
      <c r="B32" s="40">
        <v>282</v>
      </c>
      <c r="C32" s="24">
        <v>5920070</v>
      </c>
      <c r="D32" s="24">
        <v>12343700</v>
      </c>
      <c r="E32" s="24">
        <v>1470300</v>
      </c>
      <c r="F32" s="24">
        <v>2637770</v>
      </c>
      <c r="G32" s="24">
        <v>8059470</v>
      </c>
      <c r="H32" s="24">
        <v>3859690</v>
      </c>
      <c r="I32" s="24">
        <v>3819230</v>
      </c>
      <c r="J32" s="24">
        <v>4337200</v>
      </c>
      <c r="K32" s="24">
        <v>6964530</v>
      </c>
      <c r="L32" s="24">
        <v>2503010</v>
      </c>
      <c r="M32" s="24">
        <v>6405120</v>
      </c>
      <c r="N32" s="24">
        <v>8815500</v>
      </c>
      <c r="O32" s="24">
        <v>11618040</v>
      </c>
      <c r="Q32" s="37">
        <f>IF((C32-C31&lt;0), "0",C32-C31)</f>
        <v>530</v>
      </c>
      <c r="R32" s="37">
        <f t="shared" si="22"/>
        <v>11480</v>
      </c>
      <c r="S32" s="37">
        <f t="shared" si="16"/>
        <v>0</v>
      </c>
      <c r="T32" s="37">
        <f t="shared" si="23"/>
        <v>1510</v>
      </c>
      <c r="U32" s="37">
        <f t="shared" si="24"/>
        <v>7330</v>
      </c>
      <c r="V32" s="37">
        <f t="shared" si="25"/>
        <v>4920</v>
      </c>
      <c r="W32" s="37">
        <f t="shared" si="26"/>
        <v>3640</v>
      </c>
      <c r="X32" s="37">
        <f t="shared" si="27"/>
        <v>4910</v>
      </c>
      <c r="Y32" s="37">
        <f t="shared" si="28"/>
        <v>5440</v>
      </c>
      <c r="Z32" s="37">
        <f t="shared" si="29"/>
        <v>3030</v>
      </c>
      <c r="AA32" s="37">
        <f t="shared" si="30"/>
        <v>4140</v>
      </c>
      <c r="AB32" s="37">
        <f t="shared" si="31"/>
        <v>7640</v>
      </c>
      <c r="AC32" s="37">
        <f t="shared" si="32"/>
        <v>14360</v>
      </c>
      <c r="AD32" s="35">
        <f t="shared" si="33"/>
        <v>68930</v>
      </c>
      <c r="AF32" s="20">
        <f t="shared" si="1"/>
        <v>2.65</v>
      </c>
      <c r="AG32" s="20">
        <f t="shared" si="2"/>
        <v>57.4</v>
      </c>
      <c r="AH32" s="20">
        <f t="shared" si="3"/>
        <v>0</v>
      </c>
      <c r="AI32" s="20">
        <f t="shared" si="4"/>
        <v>7.55</v>
      </c>
      <c r="AJ32" s="20">
        <f t="shared" si="5"/>
        <v>36.65</v>
      </c>
      <c r="AK32" s="20">
        <f t="shared" si="6"/>
        <v>24.6</v>
      </c>
      <c r="AL32" s="20">
        <f t="shared" si="7"/>
        <v>18.2</v>
      </c>
      <c r="AM32" s="20">
        <f t="shared" si="8"/>
        <v>24.55</v>
      </c>
      <c r="AN32" s="20">
        <f t="shared" si="9"/>
        <v>27.2</v>
      </c>
      <c r="AO32" s="20">
        <f t="shared" si="10"/>
        <v>15.15</v>
      </c>
      <c r="AP32" s="20">
        <f t="shared" si="11"/>
        <v>20.7</v>
      </c>
      <c r="AQ32" s="20">
        <f t="shared" si="12"/>
        <v>38.200000000000003</v>
      </c>
      <c r="AR32" s="20">
        <f t="shared" si="13"/>
        <v>71.8</v>
      </c>
      <c r="AS32" s="35">
        <f t="shared" si="34"/>
        <v>344.65</v>
      </c>
      <c r="AT32" s="48"/>
      <c r="AV32" s="52">
        <v>0</v>
      </c>
      <c r="AW32" s="51">
        <f t="shared" si="14"/>
        <v>0</v>
      </c>
      <c r="AX32" s="53">
        <f t="shared" si="17"/>
        <v>0</v>
      </c>
      <c r="AY32" s="70">
        <v>708572</v>
      </c>
      <c r="AZ32" s="37">
        <f t="shared" si="18"/>
        <v>161800</v>
      </c>
      <c r="BA32" s="37">
        <f t="shared" si="19"/>
        <v>441.714</v>
      </c>
      <c r="BB32" s="46">
        <f t="shared" si="20"/>
        <v>196.29770160000001</v>
      </c>
    </row>
    <row r="33" spans="1:54" x14ac:dyDescent="0.25">
      <c r="A33" s="23">
        <v>43826</v>
      </c>
      <c r="B33" s="40">
        <v>243</v>
      </c>
      <c r="C33" s="24">
        <v>5920580</v>
      </c>
      <c r="D33" s="24">
        <v>12355500</v>
      </c>
      <c r="E33" s="24">
        <v>1470300</v>
      </c>
      <c r="F33" s="24">
        <v>2639250</v>
      </c>
      <c r="G33" s="24">
        <v>8066640</v>
      </c>
      <c r="H33" s="24">
        <v>3864460</v>
      </c>
      <c r="I33" s="24">
        <v>3823140</v>
      </c>
      <c r="J33" s="24">
        <v>4341580</v>
      </c>
      <c r="K33" s="24">
        <v>6970310</v>
      </c>
      <c r="L33" s="24">
        <v>2506020</v>
      </c>
      <c r="M33" s="24">
        <v>6409110</v>
      </c>
      <c r="N33" s="24">
        <v>8822760</v>
      </c>
      <c r="O33" s="24">
        <v>11633750</v>
      </c>
      <c r="Q33" s="37">
        <f>IF((C33-C32&lt;0), "0",C33-C32)</f>
        <v>510</v>
      </c>
      <c r="R33" s="37">
        <f t="shared" si="22"/>
        <v>11800</v>
      </c>
      <c r="S33" s="37">
        <f t="shared" si="16"/>
        <v>0</v>
      </c>
      <c r="T33" s="37">
        <f t="shared" si="23"/>
        <v>1480</v>
      </c>
      <c r="U33" s="37">
        <f t="shared" si="24"/>
        <v>7170</v>
      </c>
      <c r="V33" s="37">
        <f t="shared" si="25"/>
        <v>4770</v>
      </c>
      <c r="W33" s="37">
        <f t="shared" si="26"/>
        <v>3910</v>
      </c>
      <c r="X33" s="37">
        <f t="shared" si="27"/>
        <v>4380</v>
      </c>
      <c r="Y33" s="37">
        <f t="shared" si="28"/>
        <v>5780</v>
      </c>
      <c r="Z33" s="37">
        <f t="shared" si="29"/>
        <v>3010</v>
      </c>
      <c r="AA33" s="37">
        <f t="shared" si="30"/>
        <v>3990</v>
      </c>
      <c r="AB33" s="37">
        <f t="shared" si="31"/>
        <v>7260</v>
      </c>
      <c r="AC33" s="37">
        <f t="shared" si="32"/>
        <v>15710</v>
      </c>
      <c r="AD33" s="35">
        <f t="shared" si="33"/>
        <v>69770</v>
      </c>
      <c r="AF33" s="20">
        <f t="shared" si="1"/>
        <v>2.5500000000000003</v>
      </c>
      <c r="AG33" s="20">
        <f t="shared" si="2"/>
        <v>59</v>
      </c>
      <c r="AH33" s="20">
        <f t="shared" si="3"/>
        <v>0</v>
      </c>
      <c r="AI33" s="20">
        <f t="shared" si="4"/>
        <v>7.4</v>
      </c>
      <c r="AJ33" s="20">
        <f t="shared" si="5"/>
        <v>35.85</v>
      </c>
      <c r="AK33" s="20">
        <f t="shared" si="6"/>
        <v>23.85</v>
      </c>
      <c r="AL33" s="20">
        <f t="shared" si="7"/>
        <v>19.55</v>
      </c>
      <c r="AM33" s="20">
        <f t="shared" si="8"/>
        <v>21.900000000000002</v>
      </c>
      <c r="AN33" s="20">
        <f t="shared" si="9"/>
        <v>28.900000000000002</v>
      </c>
      <c r="AO33" s="20">
        <f t="shared" si="10"/>
        <v>15.05</v>
      </c>
      <c r="AP33" s="20">
        <f t="shared" si="11"/>
        <v>19.95</v>
      </c>
      <c r="AQ33" s="20">
        <f t="shared" si="12"/>
        <v>36.300000000000004</v>
      </c>
      <c r="AR33" s="20">
        <f t="shared" si="13"/>
        <v>78.55</v>
      </c>
      <c r="AS33" s="35">
        <f t="shared" si="34"/>
        <v>348.85</v>
      </c>
      <c r="AT33" s="48"/>
      <c r="AV33" s="52">
        <v>0</v>
      </c>
      <c r="AW33" s="51">
        <f t="shared" si="14"/>
        <v>0</v>
      </c>
      <c r="AX33" s="53">
        <f t="shared" si="17"/>
        <v>0</v>
      </c>
      <c r="AY33" s="70">
        <v>710172</v>
      </c>
      <c r="AZ33" s="37">
        <f t="shared" si="18"/>
        <v>160000</v>
      </c>
      <c r="BA33" s="37">
        <f t="shared" si="19"/>
        <v>436.8</v>
      </c>
      <c r="BB33" s="46">
        <f t="shared" si="20"/>
        <v>194.11392000000001</v>
      </c>
    </row>
    <row r="34" spans="1:54" x14ac:dyDescent="0.25">
      <c r="A34" s="23">
        <v>43827</v>
      </c>
      <c r="B34" s="40">
        <v>170</v>
      </c>
      <c r="C34" s="24">
        <v>5921100</v>
      </c>
      <c r="D34" s="24">
        <v>12366720</v>
      </c>
      <c r="E34" s="24">
        <v>1470300</v>
      </c>
      <c r="F34" s="24">
        <v>2640740</v>
      </c>
      <c r="G34" s="24">
        <v>8073990</v>
      </c>
      <c r="H34" s="24">
        <v>3869290</v>
      </c>
      <c r="I34" s="24">
        <v>3826630</v>
      </c>
      <c r="J34" s="24">
        <v>4346090</v>
      </c>
      <c r="K34" s="24">
        <v>6976150</v>
      </c>
      <c r="L34" s="24">
        <v>2509010</v>
      </c>
      <c r="M34" s="24">
        <v>6413280</v>
      </c>
      <c r="N34" s="24">
        <v>8830070</v>
      </c>
      <c r="O34" s="24">
        <v>11649040</v>
      </c>
      <c r="Q34" s="37">
        <f>IF((C34-C33&lt;0), "0",C34-C33)</f>
        <v>520</v>
      </c>
      <c r="R34" s="37">
        <f t="shared" si="22"/>
        <v>11220</v>
      </c>
      <c r="S34" s="37">
        <f t="shared" si="16"/>
        <v>0</v>
      </c>
      <c r="T34" s="37">
        <f t="shared" si="23"/>
        <v>1490</v>
      </c>
      <c r="U34" s="37">
        <f t="shared" si="24"/>
        <v>7350</v>
      </c>
      <c r="V34" s="37">
        <f t="shared" si="25"/>
        <v>4830</v>
      </c>
      <c r="W34" s="37">
        <f t="shared" si="26"/>
        <v>3490</v>
      </c>
      <c r="X34" s="37">
        <f t="shared" si="27"/>
        <v>4510</v>
      </c>
      <c r="Y34" s="37">
        <f t="shared" si="28"/>
        <v>5840</v>
      </c>
      <c r="Z34" s="37">
        <f t="shared" si="29"/>
        <v>2990</v>
      </c>
      <c r="AA34" s="37">
        <f t="shared" si="30"/>
        <v>4170</v>
      </c>
      <c r="AB34" s="37">
        <f t="shared" si="31"/>
        <v>7310</v>
      </c>
      <c r="AC34" s="37">
        <f t="shared" si="32"/>
        <v>15290</v>
      </c>
      <c r="AD34" s="35">
        <f t="shared" si="33"/>
        <v>69010</v>
      </c>
      <c r="AF34" s="20">
        <f>Q34*$D$39</f>
        <v>2.6</v>
      </c>
      <c r="AG34" s="20">
        <f t="shared" si="2"/>
        <v>56.1</v>
      </c>
      <c r="AH34" s="20">
        <f t="shared" si="3"/>
        <v>0</v>
      </c>
      <c r="AI34" s="20">
        <f t="shared" si="4"/>
        <v>7.45</v>
      </c>
      <c r="AJ34" s="20">
        <f t="shared" si="5"/>
        <v>36.75</v>
      </c>
      <c r="AK34" s="20">
        <f t="shared" si="6"/>
        <v>24.150000000000002</v>
      </c>
      <c r="AL34" s="20">
        <f t="shared" si="7"/>
        <v>17.45</v>
      </c>
      <c r="AM34" s="20">
        <f t="shared" si="8"/>
        <v>22.55</v>
      </c>
      <c r="AN34" s="20">
        <f t="shared" si="9"/>
        <v>29.2</v>
      </c>
      <c r="AO34" s="20">
        <f t="shared" si="10"/>
        <v>14.950000000000001</v>
      </c>
      <c r="AP34" s="20">
        <f t="shared" si="11"/>
        <v>20.85</v>
      </c>
      <c r="AQ34" s="20">
        <f t="shared" si="12"/>
        <v>36.550000000000004</v>
      </c>
      <c r="AR34" s="20">
        <f t="shared" si="13"/>
        <v>76.45</v>
      </c>
      <c r="AS34" s="35">
        <f>SUM(AF34:AR34)</f>
        <v>345.04999999999995</v>
      </c>
      <c r="AT34" s="48"/>
      <c r="AV34" s="52">
        <v>0</v>
      </c>
      <c r="AW34" s="51">
        <f t="shared" si="14"/>
        <v>0</v>
      </c>
      <c r="AX34" s="53">
        <f t="shared" si="17"/>
        <v>0</v>
      </c>
      <c r="AY34" s="70">
        <v>711696</v>
      </c>
      <c r="AZ34" s="37">
        <f t="shared" si="18"/>
        <v>152400</v>
      </c>
      <c r="BA34" s="37">
        <f t="shared" si="19"/>
        <v>416.05200000000002</v>
      </c>
      <c r="BB34" s="46">
        <f t="shared" si="20"/>
        <v>184.89350880000001</v>
      </c>
    </row>
    <row r="35" spans="1:54" x14ac:dyDescent="0.25">
      <c r="A35" s="23">
        <v>43828</v>
      </c>
      <c r="B35" s="40">
        <v>193</v>
      </c>
      <c r="C35" s="24">
        <v>5921630</v>
      </c>
      <c r="D35" s="24">
        <v>12377870</v>
      </c>
      <c r="E35" s="24">
        <v>1470300</v>
      </c>
      <c r="F35" s="24">
        <v>2642300</v>
      </c>
      <c r="G35" s="24">
        <v>8081470</v>
      </c>
      <c r="H35" s="24">
        <v>3874280</v>
      </c>
      <c r="I35" s="24">
        <v>3829730</v>
      </c>
      <c r="J35" s="24">
        <v>4350720</v>
      </c>
      <c r="K35" s="24">
        <v>6981030</v>
      </c>
      <c r="L35" s="24">
        <v>2512030</v>
      </c>
      <c r="M35" s="24">
        <v>6417510</v>
      </c>
      <c r="N35" s="24">
        <v>8837720</v>
      </c>
      <c r="O35" s="24">
        <v>11665070</v>
      </c>
      <c r="Q35" s="37">
        <f>IF((C35-C34&lt;0), "0",C35-C34)</f>
        <v>530</v>
      </c>
      <c r="R35" s="37">
        <f t="shared" si="22"/>
        <v>11150</v>
      </c>
      <c r="S35" s="37">
        <f t="shared" si="16"/>
        <v>0</v>
      </c>
      <c r="T35" s="37">
        <f t="shared" si="23"/>
        <v>1560</v>
      </c>
      <c r="U35" s="37">
        <f t="shared" si="24"/>
        <v>7480</v>
      </c>
      <c r="V35" s="37">
        <f t="shared" si="25"/>
        <v>4990</v>
      </c>
      <c r="W35" s="37">
        <f t="shared" si="26"/>
        <v>3100</v>
      </c>
      <c r="X35" s="37">
        <f t="shared" si="27"/>
        <v>4630</v>
      </c>
      <c r="Y35" s="37">
        <f t="shared" si="28"/>
        <v>4880</v>
      </c>
      <c r="Z35" s="37">
        <f t="shared" si="29"/>
        <v>3020</v>
      </c>
      <c r="AA35" s="37">
        <f t="shared" si="30"/>
        <v>4230</v>
      </c>
      <c r="AB35" s="37">
        <f t="shared" si="31"/>
        <v>7650</v>
      </c>
      <c r="AC35" s="37">
        <f t="shared" si="32"/>
        <v>16030</v>
      </c>
      <c r="AD35" s="35">
        <f t="shared" si="33"/>
        <v>69250</v>
      </c>
      <c r="AF35" s="20">
        <f t="shared" si="1"/>
        <v>2.65</v>
      </c>
      <c r="AG35" s="20">
        <f t="shared" si="2"/>
        <v>55.75</v>
      </c>
      <c r="AH35" s="20">
        <f t="shared" si="3"/>
        <v>0</v>
      </c>
      <c r="AI35" s="20">
        <f t="shared" si="4"/>
        <v>7.8</v>
      </c>
      <c r="AJ35" s="20">
        <f t="shared" si="5"/>
        <v>37.4</v>
      </c>
      <c r="AK35" s="20">
        <f t="shared" si="6"/>
        <v>24.95</v>
      </c>
      <c r="AL35" s="20">
        <f t="shared" si="7"/>
        <v>15.5</v>
      </c>
      <c r="AM35" s="20">
        <f t="shared" si="8"/>
        <v>23.150000000000002</v>
      </c>
      <c r="AN35" s="20">
        <f t="shared" si="9"/>
        <v>24.400000000000002</v>
      </c>
      <c r="AO35" s="20">
        <f t="shared" si="10"/>
        <v>15.1</v>
      </c>
      <c r="AP35" s="20">
        <f t="shared" si="11"/>
        <v>21.150000000000002</v>
      </c>
      <c r="AQ35" s="20">
        <f t="shared" si="12"/>
        <v>38.25</v>
      </c>
      <c r="AR35" s="20">
        <f t="shared" si="13"/>
        <v>80.150000000000006</v>
      </c>
      <c r="AS35" s="35">
        <f>SUM(AF35:AR35)</f>
        <v>346.25</v>
      </c>
      <c r="AT35" s="48"/>
      <c r="AV35" s="52">
        <v>0</v>
      </c>
      <c r="AW35" s="51">
        <f t="shared" si="14"/>
        <v>0</v>
      </c>
      <c r="AX35" s="53">
        <f t="shared" si="17"/>
        <v>0</v>
      </c>
      <c r="AY35" s="70">
        <v>713384</v>
      </c>
      <c r="AZ35" s="37">
        <f t="shared" si="18"/>
        <v>168800</v>
      </c>
      <c r="BA35" s="37">
        <f t="shared" si="19"/>
        <v>460.82400000000001</v>
      </c>
      <c r="BB35" s="46">
        <f t="shared" si="20"/>
        <v>204.7901856</v>
      </c>
    </row>
    <row r="36" spans="1:54" x14ac:dyDescent="0.25">
      <c r="A36" s="23">
        <v>43829</v>
      </c>
      <c r="B36" s="40">
        <v>170</v>
      </c>
      <c r="C36" s="24">
        <v>5922010</v>
      </c>
      <c r="D36" s="24">
        <v>12386120</v>
      </c>
      <c r="E36" s="24">
        <v>1470300</v>
      </c>
      <c r="F36" s="24">
        <v>2643330</v>
      </c>
      <c r="G36" s="24">
        <v>8086240</v>
      </c>
      <c r="H36" s="24">
        <v>3877540</v>
      </c>
      <c r="I36" s="24">
        <v>3831790</v>
      </c>
      <c r="J36" s="24">
        <v>4353410</v>
      </c>
      <c r="K36" s="24">
        <v>6985350</v>
      </c>
      <c r="L36" s="24">
        <v>2513970</v>
      </c>
      <c r="M36" s="24">
        <v>6420070</v>
      </c>
      <c r="N36" s="24">
        <v>8842940</v>
      </c>
      <c r="O36" s="24">
        <v>11671480</v>
      </c>
      <c r="Q36" s="37">
        <f t="shared" ref="Q36:AA36" si="37">IF((C36-C35&lt;0), "0",C36-C35)</f>
        <v>380</v>
      </c>
      <c r="R36" s="37">
        <f t="shared" si="22"/>
        <v>8250</v>
      </c>
      <c r="S36" s="37">
        <f t="shared" si="37"/>
        <v>0</v>
      </c>
      <c r="T36" s="37">
        <f t="shared" si="37"/>
        <v>1030</v>
      </c>
      <c r="U36" s="37">
        <f t="shared" si="37"/>
        <v>4770</v>
      </c>
      <c r="V36" s="37">
        <f t="shared" si="37"/>
        <v>3260</v>
      </c>
      <c r="W36" s="37">
        <f t="shared" si="37"/>
        <v>2060</v>
      </c>
      <c r="X36" s="37">
        <f t="shared" si="27"/>
        <v>2690</v>
      </c>
      <c r="Y36" s="37">
        <f t="shared" si="37"/>
        <v>4320</v>
      </c>
      <c r="Z36" s="37">
        <f t="shared" si="37"/>
        <v>1940</v>
      </c>
      <c r="AA36" s="37">
        <f t="shared" si="37"/>
        <v>2560</v>
      </c>
      <c r="AB36" s="37">
        <f t="shared" si="31"/>
        <v>5220</v>
      </c>
      <c r="AC36" s="37">
        <f t="shared" si="32"/>
        <v>6410</v>
      </c>
      <c r="AD36" s="35">
        <f t="shared" si="33"/>
        <v>42890</v>
      </c>
      <c r="AF36" s="20">
        <f t="shared" si="1"/>
        <v>1.9000000000000001</v>
      </c>
      <c r="AG36" s="20">
        <f t="shared" si="2"/>
        <v>41.25</v>
      </c>
      <c r="AH36" s="20">
        <f t="shared" si="3"/>
        <v>0</v>
      </c>
      <c r="AI36" s="20">
        <f t="shared" si="4"/>
        <v>5.15</v>
      </c>
      <c r="AJ36" s="20">
        <f t="shared" si="5"/>
        <v>23.85</v>
      </c>
      <c r="AK36" s="20">
        <f t="shared" si="6"/>
        <v>16.3</v>
      </c>
      <c r="AL36" s="20">
        <f t="shared" si="7"/>
        <v>10.3</v>
      </c>
      <c r="AM36" s="20">
        <f t="shared" si="8"/>
        <v>13.450000000000001</v>
      </c>
      <c r="AN36" s="20">
        <f t="shared" si="9"/>
        <v>21.6</v>
      </c>
      <c r="AO36" s="20">
        <f t="shared" si="10"/>
        <v>9.7000000000000011</v>
      </c>
      <c r="AP36" s="20">
        <f t="shared" si="11"/>
        <v>12.8</v>
      </c>
      <c r="AQ36" s="20">
        <f t="shared" si="12"/>
        <v>26.1</v>
      </c>
      <c r="AR36" s="20">
        <f t="shared" si="13"/>
        <v>32.049999999999997</v>
      </c>
      <c r="AS36" s="35">
        <f>SUM(AF36:AR36)</f>
        <v>214.45</v>
      </c>
      <c r="AT36" s="48"/>
      <c r="AV36" s="52">
        <v>0</v>
      </c>
      <c r="AW36" s="51">
        <f t="shared" si="14"/>
        <v>0</v>
      </c>
      <c r="AX36" s="53">
        <f t="shared" si="17"/>
        <v>0</v>
      </c>
      <c r="AY36" s="70">
        <v>714703</v>
      </c>
      <c r="AZ36" s="37">
        <f t="shared" si="18"/>
        <v>131900</v>
      </c>
      <c r="BA36" s="37">
        <f t="shared" si="19"/>
        <v>360.08699999999999</v>
      </c>
      <c r="BB36" s="46">
        <f t="shared" si="20"/>
        <v>160.02266280000001</v>
      </c>
    </row>
    <row r="37" spans="1:54" x14ac:dyDescent="0.25">
      <c r="A37" s="23">
        <v>43830</v>
      </c>
      <c r="B37" s="40">
        <v>268</v>
      </c>
      <c r="C37" s="24">
        <v>5922650</v>
      </c>
      <c r="D37" s="24">
        <v>12400680</v>
      </c>
      <c r="E37" s="24">
        <v>1470300</v>
      </c>
      <c r="F37" s="24">
        <v>2645180</v>
      </c>
      <c r="G37" s="24">
        <v>8095250</v>
      </c>
      <c r="H37" s="24">
        <v>3883440</v>
      </c>
      <c r="I37" s="24">
        <v>3835760</v>
      </c>
      <c r="J37" s="24">
        <v>4359090</v>
      </c>
      <c r="K37" s="24">
        <v>6992140</v>
      </c>
      <c r="L37" s="24">
        <v>2517750</v>
      </c>
      <c r="M37" s="24">
        <v>6424900</v>
      </c>
      <c r="N37" s="24">
        <v>8852410</v>
      </c>
      <c r="O37" s="24">
        <v>11689960</v>
      </c>
      <c r="Q37" s="37">
        <f t="shared" ref="Q37" si="38">IF((C37-C36&lt;0), "0",C37-C36)</f>
        <v>640</v>
      </c>
      <c r="R37" s="37">
        <f t="shared" si="22"/>
        <v>14560</v>
      </c>
      <c r="S37" s="37">
        <f t="shared" ref="S37" si="39">IF((E37-E36&lt;0), "0",E37-E36)</f>
        <v>0</v>
      </c>
      <c r="T37" s="37">
        <f t="shared" ref="T37" si="40">IF((F37-F36&lt;0), "0",F37-F36)</f>
        <v>1850</v>
      </c>
      <c r="U37" s="37">
        <f t="shared" ref="U37" si="41">IF((G37-G36&lt;0), "0",G37-G36)</f>
        <v>9010</v>
      </c>
      <c r="V37" s="37">
        <f t="shared" ref="V37" si="42">IF((H37-H36&lt;0), "0",H37-H36)</f>
        <v>5900</v>
      </c>
      <c r="W37" s="37">
        <f t="shared" ref="W37" si="43">IF((I37-I36&lt;0), "0",I37-I36)</f>
        <v>3970</v>
      </c>
      <c r="X37" s="37">
        <f t="shared" si="27"/>
        <v>5680</v>
      </c>
      <c r="Y37" s="37">
        <f t="shared" ref="Y37" si="44">IF((K37-K36&lt;0), "0",K37-K36)</f>
        <v>6790</v>
      </c>
      <c r="Z37" s="37">
        <f t="shared" ref="Z37" si="45">IF((L37-L36&lt;0), "0",L37-L36)</f>
        <v>3780</v>
      </c>
      <c r="AA37" s="37">
        <f t="shared" ref="AA37" si="46">IF((M37-M36&lt;0), "0",M37-M36)</f>
        <v>4830</v>
      </c>
      <c r="AB37" s="37">
        <f t="shared" si="31"/>
        <v>9470</v>
      </c>
      <c r="AC37" s="37">
        <f t="shared" si="32"/>
        <v>18480</v>
      </c>
      <c r="AD37" s="35">
        <f t="shared" si="33"/>
        <v>84960</v>
      </c>
      <c r="AF37" s="20">
        <f t="shared" ref="AF37" si="47">Q37*$D$39</f>
        <v>3.2</v>
      </c>
      <c r="AG37" s="20">
        <f t="shared" ref="AG37" si="48">R37*$D$39</f>
        <v>72.8</v>
      </c>
      <c r="AH37" s="20">
        <f t="shared" ref="AH37" si="49">S37*$D$39</f>
        <v>0</v>
      </c>
      <c r="AI37" s="20">
        <f t="shared" ref="AI37" si="50">T37*$D$39</f>
        <v>9.25</v>
      </c>
      <c r="AJ37" s="20">
        <f t="shared" ref="AJ37" si="51">U37*$D$39</f>
        <v>45.050000000000004</v>
      </c>
      <c r="AK37" s="20">
        <f t="shared" ref="AK37" si="52">V37*$D$39</f>
        <v>29.5</v>
      </c>
      <c r="AL37" s="20">
        <f t="shared" ref="AL37" si="53">W37*$D$39</f>
        <v>19.850000000000001</v>
      </c>
      <c r="AM37" s="20">
        <f t="shared" ref="AM37" si="54">X37*$D$39</f>
        <v>28.400000000000002</v>
      </c>
      <c r="AN37" s="20">
        <f t="shared" ref="AN37" si="55">Y37*$D$39</f>
        <v>33.950000000000003</v>
      </c>
      <c r="AO37" s="20">
        <f t="shared" ref="AO37" si="56">Z37*$D$39</f>
        <v>18.900000000000002</v>
      </c>
      <c r="AP37" s="20">
        <f t="shared" ref="AP37" si="57">AA37*$D$39</f>
        <v>24.150000000000002</v>
      </c>
      <c r="AQ37" s="20">
        <f t="shared" ref="AQ37" si="58">AB37*$D$39</f>
        <v>47.35</v>
      </c>
      <c r="AR37" s="20">
        <f t="shared" ref="AR37" si="59">AC37*$D$39</f>
        <v>92.4</v>
      </c>
      <c r="AS37" s="35">
        <f>SUM(AF37:AR37)</f>
        <v>424.79999999999995</v>
      </c>
      <c r="AT37" s="48"/>
      <c r="AV37" s="52">
        <v>0</v>
      </c>
      <c r="AW37" s="51">
        <f t="shared" si="14"/>
        <v>0</v>
      </c>
      <c r="AX37" s="53">
        <f t="shared" si="17"/>
        <v>0</v>
      </c>
      <c r="AY37" s="70">
        <v>716808</v>
      </c>
      <c r="AZ37" s="37">
        <f t="shared" si="18"/>
        <v>210500</v>
      </c>
      <c r="BA37" s="37">
        <f t="shared" si="19"/>
        <v>574.66500000000008</v>
      </c>
      <c r="BB37" s="46">
        <f t="shared" si="20"/>
        <v>255.38112600000005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24940</v>
      </c>
      <c r="R38" s="38">
        <f t="shared" ref="R38:AD38" si="60">SUM(R7:R37)</f>
        <v>348410</v>
      </c>
      <c r="S38" s="38">
        <f t="shared" si="60"/>
        <v>270</v>
      </c>
      <c r="T38" s="38">
        <f t="shared" si="60"/>
        <v>46770</v>
      </c>
      <c r="U38" s="38">
        <f t="shared" si="60"/>
        <v>207540</v>
      </c>
      <c r="V38" s="38">
        <f t="shared" si="60"/>
        <v>141090</v>
      </c>
      <c r="W38" s="38">
        <f t="shared" si="60"/>
        <v>107260</v>
      </c>
      <c r="X38" s="38">
        <f t="shared" si="60"/>
        <v>141280</v>
      </c>
      <c r="Y38" s="38">
        <f t="shared" si="60"/>
        <v>158550</v>
      </c>
      <c r="Z38" s="38">
        <f t="shared" si="60"/>
        <v>89420</v>
      </c>
      <c r="AA38" s="38">
        <f t="shared" si="60"/>
        <v>117170</v>
      </c>
      <c r="AB38" s="38">
        <f t="shared" si="60"/>
        <v>241310</v>
      </c>
      <c r="AC38" s="38">
        <f t="shared" si="60"/>
        <v>452940</v>
      </c>
      <c r="AD38" s="38">
        <f t="shared" si="60"/>
        <v>2076950</v>
      </c>
      <c r="AF38" s="35">
        <f>SUM(AF7:AF37)</f>
        <v>124.7</v>
      </c>
      <c r="AG38" s="35">
        <f t="shared" ref="AG38:AT38" si="61">SUM(AG7:AG37)</f>
        <v>1742.05</v>
      </c>
      <c r="AH38" s="35">
        <f t="shared" si="61"/>
        <v>1.35</v>
      </c>
      <c r="AI38" s="35">
        <f t="shared" si="61"/>
        <v>233.85</v>
      </c>
      <c r="AJ38" s="35">
        <f t="shared" si="61"/>
        <v>1037.7000000000003</v>
      </c>
      <c r="AK38" s="35">
        <f t="shared" si="61"/>
        <v>705.44999999999993</v>
      </c>
      <c r="AL38" s="35">
        <f t="shared" si="61"/>
        <v>536.29999999999995</v>
      </c>
      <c r="AM38" s="35">
        <f t="shared" si="61"/>
        <v>706.4</v>
      </c>
      <c r="AN38" s="35">
        <f t="shared" si="61"/>
        <v>792.75</v>
      </c>
      <c r="AO38" s="35">
        <f t="shared" si="61"/>
        <v>447.10000000000008</v>
      </c>
      <c r="AP38" s="35">
        <f t="shared" si="61"/>
        <v>585.8499999999998</v>
      </c>
      <c r="AQ38" s="35">
        <f t="shared" si="61"/>
        <v>1206.5499999999997</v>
      </c>
      <c r="AR38" s="35">
        <f t="shared" si="61"/>
        <v>2264.7000000000003</v>
      </c>
      <c r="AS38" s="35">
        <f t="shared" si="61"/>
        <v>10384.75</v>
      </c>
      <c r="AT38" s="49">
        <f t="shared" si="61"/>
        <v>0</v>
      </c>
      <c r="AV38" s="52">
        <v>0</v>
      </c>
      <c r="AW38" s="51">
        <f t="shared" si="14"/>
        <v>0</v>
      </c>
      <c r="AX38" s="53">
        <f t="shared" si="17"/>
        <v>0</v>
      </c>
      <c r="AY38" s="55"/>
      <c r="AZ38" s="37">
        <f t="shared" si="18"/>
        <v>0</v>
      </c>
      <c r="BA38" s="37">
        <f>SUM(BA7:BA37)</f>
        <v>14306.838</v>
      </c>
      <c r="BB38" s="46">
        <f t="shared" si="20"/>
        <v>6357.9588071999997</v>
      </c>
    </row>
    <row r="39" spans="1:54" x14ac:dyDescent="0.25">
      <c r="B39" s="39">
        <f>SUM(B7:B37)</f>
        <v>5319</v>
      </c>
      <c r="D39">
        <v>5.0000000000000001E-3</v>
      </c>
      <c r="AV39" s="52">
        <v>0</v>
      </c>
      <c r="AW39" s="51">
        <f t="shared" si="14"/>
        <v>0</v>
      </c>
      <c r="AX39" s="53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0">
        <v>0.52800000000000002</v>
      </c>
      <c r="AX44" s="50">
        <v>3.79E-3</v>
      </c>
      <c r="AY44" s="54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2023-02-15T18:17:53Z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