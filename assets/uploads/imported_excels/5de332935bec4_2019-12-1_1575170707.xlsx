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19770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2" i="7" l="1"/>
  <c r="AX30" i="7" l="1"/>
  <c r="BV27" i="7" l="1"/>
  <c r="BP24" i="7"/>
  <c r="BP25" i="7"/>
  <c r="BP26" i="7"/>
  <c r="AN27" i="7"/>
  <c r="AX22" i="6" l="1"/>
  <c r="AX23" i="6"/>
  <c r="G2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G22" i="3" s="1"/>
  <c r="AZ22" i="6"/>
  <c r="BA22" i="6"/>
  <c r="BB22" i="6"/>
  <c r="AY23" i="6"/>
  <c r="G23" i="3" s="1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32" i="3" l="1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AG33" i="6" l="1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<sst xmlns="http://schemas.openxmlformats.org/spreadsheetml/2006/main" count="298" uniqueCount="138">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</sst>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K23" sqref="K2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95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102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97.6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92.6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100.3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88.5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101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>
        <f>'FS Desroches Daily'!CM11</f>
        <v>95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>
        <f>'FS Desroches Daily'!CM12</f>
        <v>87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82.4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85.6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95.5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>
        <f>'FS Desroches Daily'!CM16</f>
        <v>104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109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>
        <f>'FS Desroches Daily'!CM18</f>
        <v>59.2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>
        <f>'FS Desroches Daily'!CM19</f>
        <v>86.2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>
        <f>'FS Desroches Daily'!CM20</f>
        <v>83.5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>
        <f>'FS Desroches Daily'!CM21</f>
        <v>90.8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>
        <f>Submetering!E20+Submetering!F20+Submetering!G20+Submetering!H20-Submetering!AV20</f>
        <v>9590.0000000001728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88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7729.999999999779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>
        <f>'FS Desroches Daily'!CM23</f>
        <v>77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10.988999999999999</v>
      </c>
      <c r="H22" s="11">
        <f t="shared" si="2"/>
        <v>0.99</v>
      </c>
      <c r="I22" s="12">
        <f>'FS Desroches Daily'!CM24</f>
        <v>85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>
        <f>Submetering!E23+Submetering!F23+Submetering!G23+Submetering!H23-Submetering!AV23</f>
        <v>9769.999999999558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88</v>
      </c>
      <c r="J23" s="11">
        <f t="shared" si="3"/>
        <v>10.487297712684205</v>
      </c>
      <c r="K23" s="13">
        <f>'FS Desroches Daily'!CN25</f>
        <v>38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10480.000000000306</v>
      </c>
      <c r="F24" s="11">
        <f t="shared" si="1"/>
        <v>0.58765030286592534</v>
      </c>
      <c r="G24" s="12">
        <f>(Submetering!AX24+Submetering!AY24+Submetering!AZ24+Submetering!BA24+Submetering!BB24)</f>
        <v>31.135499999999997</v>
      </c>
      <c r="H24" s="11">
        <f t="shared" si="2"/>
        <v>0.99</v>
      </c>
      <c r="I24" s="12">
        <f>'FS Desroches Daily'!CM26</f>
        <v>90</v>
      </c>
      <c r="J24" s="11">
        <f t="shared" si="3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11780.000000000115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95.8</v>
      </c>
      <c r="J25" s="11">
        <f t="shared" si="3"/>
        <v>10.487297712684205</v>
      </c>
      <c r="K25" s="13">
        <f>'FS Desroches Daily'!CN27</f>
        <v>36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9250.0000000000091</v>
      </c>
      <c r="F26" s="11">
        <f t="shared" si="1"/>
        <v>0.58765030286592534</v>
      </c>
      <c r="G26" s="12">
        <f>(Submetering!AX26+Submetering!AY26+Submetering!AZ26+Submetering!BA26+Submetering!BB26)</f>
        <v>27.472499999999997</v>
      </c>
      <c r="H26" s="11">
        <f t="shared" si="2"/>
        <v>0.99</v>
      </c>
      <c r="I26" s="12">
        <f>'FS Desroches Daily'!CM28</f>
        <v>83.7</v>
      </c>
      <c r="J26" s="11">
        <f t="shared" si="3"/>
        <v>10.487297712684205</v>
      </c>
      <c r="K26" s="13">
        <f>'FS Desroches Daily'!CN28</f>
        <v>34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7969.9999999998454</v>
      </c>
      <c r="F27" s="11">
        <f t="shared" si="1"/>
        <v>0.58765030286592534</v>
      </c>
      <c r="G27" s="12">
        <f>(Submetering!AX27+Submetering!AY27+Submetering!AZ27+Submetering!BA27+Submetering!BB27)</f>
        <v>31.135499999999997</v>
      </c>
      <c r="H27" s="11">
        <f t="shared" si="2"/>
        <v>0.99</v>
      </c>
      <c r="I27" s="12">
        <f>'FS Desroches Daily'!CM29</f>
        <v>82.1</v>
      </c>
      <c r="J27" s="11">
        <f t="shared" si="3"/>
        <v>10.487297712684205</v>
      </c>
      <c r="K27" s="13">
        <f>'FS Desroches Daily'!CN29</f>
        <v>30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8810.0000000003965</v>
      </c>
      <c r="F28" s="11">
        <f t="shared" si="1"/>
        <v>0.58765030286592534</v>
      </c>
      <c r="G28" s="12">
        <f>(Submetering!AX28+Submetering!AY28+Submetering!AZ28+Submetering!BA28+Submetering!BB28)</f>
        <v>27.472499999999997</v>
      </c>
      <c r="H28" s="11">
        <f t="shared" si="2"/>
        <v>0.99</v>
      </c>
      <c r="I28" s="12">
        <f>'FS Desroches Daily'!CM30</f>
        <v>88.2</v>
      </c>
      <c r="J28" s="11">
        <f t="shared" si="3"/>
        <v>10.487297712684205</v>
      </c>
      <c r="K28" s="13">
        <f>'FS Desroches Daily'!CN30</f>
        <v>26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9149.999999999085</v>
      </c>
      <c r="F29" s="11">
        <f t="shared" si="1"/>
        <v>0.58765030286592534</v>
      </c>
      <c r="G29" s="12">
        <f>(Submetering!AX29+Submetering!AY29+Submetering!AZ29+Submetering!BA29+Submetering!BB29)</f>
        <v>29.303999999999998</v>
      </c>
      <c r="H29" s="11">
        <f t="shared" si="2"/>
        <v>0.99</v>
      </c>
      <c r="I29" s="12">
        <f>'FS Desroches Daily'!CM31</f>
        <v>77</v>
      </c>
      <c r="J29" s="11">
        <f t="shared" si="3"/>
        <v>10.487297712684205</v>
      </c>
      <c r="K29" s="13">
        <f>'FS Desroches Daily'!CN31</f>
        <v>26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8930.0000000002019</v>
      </c>
      <c r="F30" s="11">
        <f t="shared" si="1"/>
        <v>0.58765030286592534</v>
      </c>
      <c r="G30" s="12">
        <f>(Submetering!AX30+Submetering!AY30+Submetering!AZ30+Submetering!BA30+Submetering!BB30)</f>
        <v>25.640999999999998</v>
      </c>
      <c r="H30" s="11">
        <f t="shared" si="2"/>
        <v>0.99</v>
      </c>
      <c r="I30" s="12">
        <f>'FS Desroches Daily'!CM32</f>
        <v>81.5</v>
      </c>
      <c r="J30" s="11">
        <f t="shared" si="3"/>
        <v>10.487297712684205</v>
      </c>
      <c r="K30" s="13">
        <f>'FS Desroches Daily'!CN32</f>
        <v>23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6799.9999999999727</v>
      </c>
      <c r="F31" s="11">
        <f t="shared" si="1"/>
        <v>0.58765030286592534</v>
      </c>
      <c r="G31" s="12">
        <f>(Submetering!AX31+Submetering!AY31+Submetering!AZ31+Submetering!BA31+Submetering!BB31)</f>
        <v>45.787500000000001</v>
      </c>
      <c r="H31" s="11">
        <f t="shared" si="2"/>
        <v>0.99</v>
      </c>
      <c r="I31" s="12">
        <f>'FS Desroches Daily'!CM33</f>
        <v>81.5</v>
      </c>
      <c r="J31" s="11">
        <f t="shared" si="3"/>
        <v>10.487297712684205</v>
      </c>
      <c r="K31" s="13">
        <f>'FS Desroches Daily'!CN33</f>
        <v>21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 t="e">
        <f>Submetering!E32+Submetering!F32+Submetering!G32+Submetering!H32-Submetering!AV32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74.7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22" sqref="AX22"/>
    </sheetView>
  </sheetViews>
  <sheetFormatPr defaultColWidth="11.5703125" defaultRowHeight="15" x14ac:dyDescent="0.25"/>
  <cols>
    <col min="1" max="1" width="27" style="58" customWidth="1"/>
    <col min="2" max="2" width="11.5703125" style="58"/>
    <col min="3" max="3" width="11.5703125" style="18"/>
    <col min="4" max="4" width="13.42578125" style="58" customWidth="1"/>
    <col min="5" max="5" width="13" style="17" customWidth="1"/>
    <col min="6" max="6" width="12.5703125" style="18" customWidth="1"/>
    <col min="7" max="7" width="13" style="60" customWidth="1"/>
    <col min="8" max="8" width="11.5703125" style="18"/>
    <col min="9" max="9" width="11.5703125" style="58"/>
    <col min="10" max="10" width="11.5703125" style="18"/>
    <col min="11" max="11" width="11.5703125" style="58"/>
    <col min="12" max="12" width="12" style="58" bestFit="1" customWidth="1"/>
    <col min="13" max="20" width="11.5703125" style="58"/>
    <col min="21" max="31" width="11.5703125" style="67"/>
    <col min="32" max="32" width="11.5703125" style="58"/>
    <col min="33" max="42" width="11.5703125" style="18"/>
    <col min="43" max="55" width="11.5703125" style="58"/>
    <col min="56" max="56" width="12" style="59" bestFit="1" customWidth="1"/>
    <col min="57" max="16384" width="11.5703125" style="59"/>
  </cols>
  <sheetData>
    <row r="1" spans="1:56" s="9" customFormat="1" ht="55.5" customHeight="1" x14ac:dyDescent="0.25">
      <c r="A1" s="49" t="s">
        <v>1</v>
      </c>
      <c r="B1" s="49" t="s">
        <v>2</v>
      </c>
      <c r="C1" s="50" t="s">
        <v>3</v>
      </c>
      <c r="D1" s="49" t="s">
        <v>4</v>
      </c>
      <c r="E1" s="61" t="s">
        <v>70</v>
      </c>
      <c r="F1" s="61" t="s">
        <v>71</v>
      </c>
      <c r="G1" s="61" t="s">
        <v>72</v>
      </c>
      <c r="H1" s="61" t="s">
        <v>73</v>
      </c>
      <c r="I1" s="61" t="s">
        <v>74</v>
      </c>
      <c r="J1" s="61" t="s">
        <v>75</v>
      </c>
      <c r="K1" s="61" t="s">
        <v>76</v>
      </c>
      <c r="L1" s="61" t="s">
        <v>77</v>
      </c>
      <c r="M1" s="61" t="s">
        <v>113</v>
      </c>
      <c r="N1" s="61" t="s">
        <v>112</v>
      </c>
      <c r="O1" s="61" t="s">
        <v>78</v>
      </c>
      <c r="P1" s="61" t="s">
        <v>79</v>
      </c>
      <c r="Q1" s="61" t="s">
        <v>80</v>
      </c>
      <c r="R1" s="61" t="s">
        <v>81</v>
      </c>
      <c r="S1" s="61" t="s">
        <v>82</v>
      </c>
      <c r="T1" s="61" t="s">
        <v>83</v>
      </c>
      <c r="U1" s="65" t="s">
        <v>84</v>
      </c>
      <c r="V1" s="65" t="s">
        <v>85</v>
      </c>
      <c r="W1" s="65" t="s">
        <v>86</v>
      </c>
      <c r="X1" s="65" t="s">
        <v>87</v>
      </c>
      <c r="Y1" s="65" t="s">
        <v>88</v>
      </c>
      <c r="Z1" s="65" t="s">
        <v>89</v>
      </c>
      <c r="AA1" s="65" t="s">
        <v>90</v>
      </c>
      <c r="AB1" s="65" t="s">
        <v>91</v>
      </c>
      <c r="AC1" s="65" t="s">
        <v>92</v>
      </c>
      <c r="AD1" s="65" t="s">
        <v>93</v>
      </c>
      <c r="AE1" s="65" t="s">
        <v>94</v>
      </c>
      <c r="AF1" s="61" t="s">
        <v>95</v>
      </c>
      <c r="AG1" s="64" t="s">
        <v>96</v>
      </c>
      <c r="AH1" s="64" t="s">
        <v>97</v>
      </c>
      <c r="AI1" s="64" t="s">
        <v>98</v>
      </c>
      <c r="AJ1" s="64" t="s">
        <v>99</v>
      </c>
      <c r="AK1" s="64" t="s">
        <v>100</v>
      </c>
      <c r="AL1" s="64" t="s">
        <v>101</v>
      </c>
      <c r="AM1" s="64" t="s">
        <v>102</v>
      </c>
      <c r="AN1" s="64" t="s">
        <v>103</v>
      </c>
      <c r="AO1" s="64" t="s">
        <v>104</v>
      </c>
      <c r="AP1" s="64" t="s">
        <v>105</v>
      </c>
      <c r="AQ1" s="61" t="s">
        <v>106</v>
      </c>
      <c r="AR1" s="61" t="s">
        <v>107</v>
      </c>
      <c r="AS1" s="61" t="s">
        <v>108</v>
      </c>
      <c r="AT1" s="61" t="s">
        <v>109</v>
      </c>
      <c r="AU1" s="61" t="s">
        <v>110</v>
      </c>
      <c r="AV1" s="61" t="s">
        <v>111</v>
      </c>
      <c r="AW1" s="61" t="s">
        <v>51</v>
      </c>
      <c r="AX1" s="61" t="s">
        <v>114</v>
      </c>
      <c r="AY1" s="61" t="s">
        <v>117</v>
      </c>
      <c r="AZ1" s="61" t="s">
        <v>118</v>
      </c>
      <c r="BA1" s="61" t="s">
        <v>115</v>
      </c>
      <c r="BB1" s="61" t="s">
        <v>116</v>
      </c>
      <c r="BC1" s="61" t="s">
        <v>9</v>
      </c>
    </row>
    <row r="2" spans="1:56" s="16" customFormat="1" x14ac:dyDescent="0.25">
      <c r="A2" s="58" t="s">
        <v>11</v>
      </c>
      <c r="B2" s="15">
        <v>1</v>
      </c>
      <c r="C2" s="18">
        <v>11</v>
      </c>
      <c r="D2" s="58">
        <v>2019</v>
      </c>
      <c r="E2" s="62">
        <f>'FS Desroches Daily'!D4</f>
        <v>2000.0000000000018</v>
      </c>
      <c r="F2" s="63">
        <f>'FS Desroches Daily'!F4</f>
        <v>2999.9999999996694</v>
      </c>
      <c r="G2" s="62">
        <f>'FS Desroches Daily'!H4</f>
        <v>3600.0000000000477</v>
      </c>
      <c r="H2" s="63">
        <f>'FS Desroches Daily'!J4</f>
        <v>1250</v>
      </c>
      <c r="I2" s="62">
        <f>'FS Desroches Daily'!L4</f>
        <v>2599.9999999999359</v>
      </c>
      <c r="J2" s="63">
        <f>'FS Desroches Daily'!N4</f>
        <v>1390.0000000001</v>
      </c>
      <c r="K2" s="13">
        <f>'FS Desroches Daily'!P4</f>
        <v>13</v>
      </c>
      <c r="L2" s="62">
        <f>'FS Desroches Daily'!R4</f>
        <v>5</v>
      </c>
      <c r="M2" s="62">
        <f>'FS Desroches Daily'!T4</f>
        <v>1445</v>
      </c>
      <c r="N2" s="62">
        <f>'FS Desroches Daily'!V4</f>
        <v>450</v>
      </c>
      <c r="O2" s="62">
        <f>'FS Desroches Daily'!X4</f>
        <v>349.99999999999432</v>
      </c>
      <c r="P2" s="62">
        <f>'FS Desroches Daily'!Z4</f>
        <v>2699.9999999999245</v>
      </c>
      <c r="Q2" s="62">
        <f>'FS Desroches Daily'!AB4</f>
        <v>390.00000000001478</v>
      </c>
      <c r="R2" s="62">
        <f>'FS Desroches Daily'!AD4</f>
        <v>449.99999999998863</v>
      </c>
      <c r="S2" s="62">
        <f>'FS Desroches Daily'!AF4</f>
        <v>560.00000000000227</v>
      </c>
      <c r="T2" s="62">
        <f>'FS Desroches Daily'!AH4</f>
        <v>1.5</v>
      </c>
      <c r="U2" s="66">
        <f>'FS Desroches Daily'!AJ4</f>
        <v>420.00000000001592</v>
      </c>
      <c r="V2" s="66">
        <f>'FS Desroches Daily'!AL4</f>
        <v>4.9999999999997158E-2</v>
      </c>
      <c r="W2" s="66">
        <f>'FS Desroches Daily'!AN4</f>
        <v>0.17999999999999261</v>
      </c>
      <c r="X2" s="66">
        <f>'FS Desroches Daily'!AP4</f>
        <v>0.19999999999998863</v>
      </c>
      <c r="Y2" s="66">
        <f>'FS Desroches Daily'!AR4</f>
        <v>149.99999999997726</v>
      </c>
      <c r="Z2" s="66">
        <f>'FS Desroches Daily'!AT4</f>
        <v>180.00000000000682</v>
      </c>
      <c r="AA2" s="66">
        <f>'FS Desroches Daily'!AT4</f>
        <v>180.00000000000682</v>
      </c>
      <c r="AB2" s="66">
        <f>'FS Desroches Daily'!AV4</f>
        <v>130.00000000002387</v>
      </c>
      <c r="AC2" s="66">
        <f>'FS Desroches Daily'!AZ4</f>
        <v>140.0000000000432</v>
      </c>
      <c r="AD2" s="66">
        <f>'FS Desroches Daily'!BB4</f>
        <v>310.00000000000227</v>
      </c>
      <c r="AE2" s="66">
        <f>'FS Desroches Daily'!BD4</f>
        <v>10.000000000019327</v>
      </c>
      <c r="AF2" s="62">
        <f>'FS Desroches Daily'!BF4</f>
        <v>51</v>
      </c>
      <c r="AG2" s="63">
        <f>'FS Desroches Daily'!BH4</f>
        <v>30.000000000001137</v>
      </c>
      <c r="AH2" s="63">
        <f>'FS Desroches Daily'!BJ4</f>
        <v>30.000000000029559</v>
      </c>
      <c r="AI2" s="63">
        <f>'FS Desroches Daily'!BL4</f>
        <v>30.000000000001137</v>
      </c>
      <c r="AJ2" s="63">
        <f>'FS Desroches Daily'!BN4</f>
        <v>29.999999999972715</v>
      </c>
      <c r="AK2" s="63">
        <f>'FS Desroches Daily'!BP4</f>
        <v>30.000000000029559</v>
      </c>
      <c r="AL2" s="63">
        <f>'FS Desroches Daily'!BR4</f>
        <v>38</v>
      </c>
      <c r="AM2" s="63">
        <f>'FS Desroches Daily'!BT4</f>
        <v>30.000000000001137</v>
      </c>
      <c r="AN2" s="63">
        <f>'FS Desroches Daily'!BV4</f>
        <v>21</v>
      </c>
      <c r="AO2" s="63">
        <f>'FS Desroches Daily'!BX4</f>
        <v>30.000000000001137</v>
      </c>
      <c r="AP2" s="63">
        <f>'FS Desroches Daily'!BZ4</f>
        <v>38</v>
      </c>
      <c r="AQ2" s="62">
        <f>'FS Desroches Daily'!CB4</f>
        <v>0</v>
      </c>
      <c r="AR2" s="62">
        <f>'FS Desroches Daily'!CD4</f>
        <v>0</v>
      </c>
      <c r="AS2" s="62">
        <f>'FS Desroches Daily'!CF4</f>
        <v>0</v>
      </c>
      <c r="AT2" s="62">
        <f>'FS Desroches Daily'!CH4</f>
        <v>0</v>
      </c>
      <c r="AU2" s="62">
        <f>'FS Desroches Daily'!CJ4</f>
        <v>0</v>
      </c>
      <c r="AV2" s="62">
        <f>'FS Desroches Daily'!CL4</f>
        <v>0</v>
      </c>
      <c r="AW2" s="62">
        <f>'FS Desroches Daily'!CM4</f>
        <v>95</v>
      </c>
      <c r="AX2" s="62">
        <f>IF(LPG!F9-LPG!F8&lt;0,"0",(LPG!F9-LPG!F8)*1.8315)</f>
        <v>14.651999999999999</v>
      </c>
      <c r="AY2" s="62">
        <f>IF(LPG!H9-LPG!H8&lt;0,"0",(LPG!H9-LPG!H8)*1.8315)</f>
        <v>3.6629999999999998</v>
      </c>
      <c r="AZ2" s="62">
        <f>IF(LPG!J9-LPG!J8&lt;0,"0",(LPG!J9-LPG!J8)*1.8315)</f>
        <v>0</v>
      </c>
      <c r="BA2" s="62">
        <f>IF(LPG!M9-LPG!M8&lt;0,"0",(LPG!M9-LPG!M8)*1.8315)</f>
        <v>3.6629999999999998</v>
      </c>
      <c r="BB2" s="62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8" t="s">
        <v>11</v>
      </c>
      <c r="B3" s="15">
        <f>B2+1</f>
        <v>2</v>
      </c>
      <c r="C3" s="18">
        <v>11</v>
      </c>
      <c r="D3" s="58">
        <v>2019</v>
      </c>
      <c r="E3" s="62">
        <f>'FS Desroches Daily'!D5</f>
        <v>2299.9999999999686</v>
      </c>
      <c r="F3" s="63">
        <f>'FS Desroches Daily'!F5</f>
        <v>3100.0000000003247</v>
      </c>
      <c r="G3" s="62">
        <f>'FS Desroches Daily'!H5</f>
        <v>3500.0000000000587</v>
      </c>
      <c r="H3" s="63">
        <f>'FS Desroches Daily'!J5</f>
        <v>1240.0000000000091</v>
      </c>
      <c r="I3" s="62">
        <f>'FS Desroches Daily'!L5</f>
        <v>2300.000000000191</v>
      </c>
      <c r="J3" s="63">
        <f>'FS Desroches Daily'!N5</f>
        <v>1349.9999999999091</v>
      </c>
      <c r="K3" s="13">
        <f>'FS Desroches Daily'!P5</f>
        <v>16</v>
      </c>
      <c r="L3" s="62">
        <f>'FS Desroches Daily'!R5</f>
        <v>5</v>
      </c>
      <c r="M3" s="62">
        <f>'FS Desroches Daily'!T5</f>
        <v>1445</v>
      </c>
      <c r="N3" s="62">
        <f>'FS Desroches Daily'!V5</f>
        <v>450</v>
      </c>
      <c r="O3" s="62">
        <f>'FS Desroches Daily'!X5</f>
        <v>360.00000000001364</v>
      </c>
      <c r="P3" s="62">
        <f>'FS Desroches Daily'!Z5</f>
        <v>2900.0000000001246</v>
      </c>
      <c r="Q3" s="62">
        <f>'FS Desroches Daily'!AB5</f>
        <v>430.00000000000682</v>
      </c>
      <c r="R3" s="62">
        <f>'FS Desroches Daily'!AD5</f>
        <v>379.99999999999545</v>
      </c>
      <c r="S3" s="62">
        <f>'FS Desroches Daily'!AF5</f>
        <v>500</v>
      </c>
      <c r="T3" s="62">
        <f>'FS Desroches Daily'!AH5</f>
        <v>1.6999999999999318</v>
      </c>
      <c r="U3" s="66">
        <f>'FS Desroches Daily'!AJ5</f>
        <v>559.99999999994543</v>
      </c>
      <c r="V3" s="66">
        <f>'FS Desroches Daily'!AL5</f>
        <v>4.9999999999997158E-2</v>
      </c>
      <c r="W3" s="66">
        <f>'FS Desroches Daily'!AN5</f>
        <v>0.1600000000000108</v>
      </c>
      <c r="X3" s="66">
        <f>'FS Desroches Daily'!AP5</f>
        <v>0.1600000000000108</v>
      </c>
      <c r="Y3" s="66">
        <f>'FS Desroches Daily'!AR5</f>
        <v>170.00000000001592</v>
      </c>
      <c r="Z3" s="66">
        <f>'FS Desroches Daily'!AT5</f>
        <v>189.99999999999773</v>
      </c>
      <c r="AA3" s="66">
        <f>'FS Desroches Daily'!AT5</f>
        <v>189.99999999999773</v>
      </c>
      <c r="AB3" s="66">
        <f>'FS Desroches Daily'!AV5</f>
        <v>79.999999999984084</v>
      </c>
      <c r="AC3" s="66">
        <f>'FS Desroches Daily'!AZ5</f>
        <v>159.99999999996817</v>
      </c>
      <c r="AD3" s="66">
        <f>'FS Desroches Daily'!BB5</f>
        <v>269.99999999998181</v>
      </c>
      <c r="AE3" s="66">
        <f>'FS Desroches Daily'!BD5</f>
        <v>19.99999999998181</v>
      </c>
      <c r="AF3" s="62">
        <f>'FS Desroches Daily'!BF5</f>
        <v>52</v>
      </c>
      <c r="AG3" s="63">
        <f>'FS Desroches Daily'!BH5</f>
        <v>30.000000000001137</v>
      </c>
      <c r="AH3" s="63">
        <f>'FS Desroches Daily'!BJ5</f>
        <v>29.999999999972715</v>
      </c>
      <c r="AI3" s="63">
        <f>'FS Desroches Daily'!BL5</f>
        <v>30.000000000001137</v>
      </c>
      <c r="AJ3" s="63">
        <f>'FS Desroches Daily'!BN5</f>
        <v>30.000000000001137</v>
      </c>
      <c r="AK3" s="63">
        <f>'FS Desroches Daily'!BP5</f>
        <v>29.999999999972715</v>
      </c>
      <c r="AL3" s="63">
        <f>'FS Desroches Daily'!BR5</f>
        <v>28</v>
      </c>
      <c r="AM3" s="63">
        <f>'FS Desroches Daily'!BT5</f>
        <v>39.999999999992042</v>
      </c>
      <c r="AN3" s="63">
        <f>'FS Desroches Daily'!BV5</f>
        <v>16</v>
      </c>
      <c r="AO3" s="63">
        <f>'FS Desroches Daily'!BX5</f>
        <v>39.999999999992042</v>
      </c>
      <c r="AP3" s="63">
        <f>'FS Desroches Daily'!BZ5</f>
        <v>27</v>
      </c>
      <c r="AQ3" s="62">
        <f>'FS Desroches Daily'!CB5</f>
        <v>0</v>
      </c>
      <c r="AR3" s="62">
        <f>'FS Desroches Daily'!CD5</f>
        <v>0</v>
      </c>
      <c r="AS3" s="62">
        <f>'FS Desroches Daily'!CF5</f>
        <v>0</v>
      </c>
      <c r="AT3" s="62">
        <f>'FS Desroches Daily'!CH5</f>
        <v>0</v>
      </c>
      <c r="AU3" s="62">
        <f>'FS Desroches Daily'!CJ5</f>
        <v>0</v>
      </c>
      <c r="AV3" s="62">
        <f>'FS Desroches Daily'!CL5</f>
        <v>0</v>
      </c>
      <c r="AW3" s="62">
        <f>'FS Desroches Daily'!CM5</f>
        <v>102</v>
      </c>
      <c r="AX3" s="62">
        <f>IF(LPG!F10-LPG!F9&lt;0,"0",(LPG!F10-LPG!F9)*1.8315)</f>
        <v>10.988999999999999</v>
      </c>
      <c r="AY3" s="62">
        <f>IF(LPG!H10-LPG!H9&lt;0,"0",(LPG!H10-LPG!H9)*1.8315)</f>
        <v>3.6629999999999998</v>
      </c>
      <c r="AZ3" s="62">
        <f>IF(LPG!J10-LPG!J9&lt;0,"0",(LPG!J10-LPG!J9)*1.8315)</f>
        <v>1.8314999999999999</v>
      </c>
      <c r="BA3" s="62">
        <f>IF(LPG!M10-LPG!M9&lt;0,"0",(LPG!M10-LPG!M9)*1.8315)</f>
        <v>1.8314999999999999</v>
      </c>
      <c r="BB3" s="62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8" t="s">
        <v>11</v>
      </c>
      <c r="B4" s="15">
        <f t="shared" ref="B4:B32" si="0">B3+1</f>
        <v>3</v>
      </c>
      <c r="C4" s="18">
        <v>11</v>
      </c>
      <c r="D4" s="58">
        <v>2019</v>
      </c>
      <c r="E4" s="62">
        <f>'FS Desroches Daily'!D6</f>
        <v>2200.0000000002019</v>
      </c>
      <c r="F4" s="63">
        <f>'FS Desroches Daily'!F6</f>
        <v>3299.9999999998586</v>
      </c>
      <c r="G4" s="62">
        <f>'FS Desroches Daily'!H6</f>
        <v>3199.9999999998695</v>
      </c>
      <c r="H4" s="63">
        <f>'FS Desroches Daily'!J6</f>
        <v>1410.0000000000819</v>
      </c>
      <c r="I4" s="62">
        <f>'FS Desroches Daily'!L6</f>
        <v>2299.9999999999686</v>
      </c>
      <c r="J4" s="63">
        <f>'FS Desroches Daily'!N6</f>
        <v>1700.0000000000455</v>
      </c>
      <c r="K4" s="13">
        <f>'FS Desroches Daily'!P6</f>
        <v>19</v>
      </c>
      <c r="L4" s="62">
        <f>'FS Desroches Daily'!R6</f>
        <v>7</v>
      </c>
      <c r="M4" s="62">
        <f>'FS Desroches Daily'!T6</f>
        <v>1649</v>
      </c>
      <c r="N4" s="62">
        <f>'FS Desroches Daily'!V6</f>
        <v>630</v>
      </c>
      <c r="O4" s="62">
        <f>'FS Desroches Daily'!X6</f>
        <v>389.99999999998636</v>
      </c>
      <c r="P4" s="62">
        <f>'FS Desroches Daily'!Z6</f>
        <v>2899.9999999999027</v>
      </c>
      <c r="Q4" s="62">
        <f>'FS Desroches Daily'!AB6</f>
        <v>409.99999999999659</v>
      </c>
      <c r="R4" s="62">
        <f>'FS Desroches Daily'!AD6</f>
        <v>390.00000000001478</v>
      </c>
      <c r="S4" s="62">
        <f>'FS Desroches Daily'!AF6</f>
        <v>649.99999999997726</v>
      </c>
      <c r="T4" s="62">
        <f>'FS Desroches Daily'!AH6</f>
        <v>0.70000000000004547</v>
      </c>
      <c r="U4" s="66">
        <f>'FS Desroches Daily'!AJ6</f>
        <v>960.00000000003638</v>
      </c>
      <c r="V4" s="66">
        <f>'FS Desroches Daily'!AL6</f>
        <v>2.0000000000010232E-2</v>
      </c>
      <c r="W4" s="66">
        <f>'FS Desroches Daily'!AN6</f>
        <v>7.9999999999998295E-2</v>
      </c>
      <c r="X4" s="66">
        <f>'FS Desroches Daily'!AP6</f>
        <v>0.19999999999998863</v>
      </c>
      <c r="Y4" s="66">
        <f>'FS Desroches Daily'!AR6</f>
        <v>120.00000000000455</v>
      </c>
      <c r="Z4" s="66">
        <f>'FS Desroches Daily'!AT6</f>
        <v>230.00000000001819</v>
      </c>
      <c r="AA4" s="66">
        <f>'FS Desroches Daily'!AT6</f>
        <v>230.00000000001819</v>
      </c>
      <c r="AB4" s="66">
        <f>'FS Desroches Daily'!AV6</f>
        <v>90.000000000003411</v>
      </c>
      <c r="AC4" s="66">
        <f>'FS Desroches Daily'!AZ6</f>
        <v>80.000000000040927</v>
      </c>
      <c r="AD4" s="66">
        <f>'FS Desroches Daily'!BB6</f>
        <v>240.00000000000909</v>
      </c>
      <c r="AE4" s="66">
        <f>'FS Desroches Daily'!BD6</f>
        <v>10.000000000019327</v>
      </c>
      <c r="AF4" s="62">
        <f>'FS Desroches Daily'!BF6</f>
        <v>44</v>
      </c>
      <c r="AG4" s="63">
        <f>'FS Desroches Daily'!BH6</f>
        <v>19.99999999998181</v>
      </c>
      <c r="AH4" s="63">
        <f>'FS Desroches Daily'!BJ6</f>
        <v>40.000000000020464</v>
      </c>
      <c r="AI4" s="63">
        <f>'FS Desroches Daily'!BL6</f>
        <v>39.999999999992042</v>
      </c>
      <c r="AJ4" s="63">
        <f>'FS Desroches Daily'!BN6</f>
        <v>30.000000000001137</v>
      </c>
      <c r="AK4" s="63">
        <f>'FS Desroches Daily'!BP6</f>
        <v>40.000000000020464</v>
      </c>
      <c r="AL4" s="63">
        <f>'FS Desroches Daily'!BR6</f>
        <v>26</v>
      </c>
      <c r="AM4" s="63">
        <f>'FS Desroches Daily'!BT6</f>
        <v>40.000000000020464</v>
      </c>
      <c r="AN4" s="63">
        <f>'FS Desroches Daily'!BV6</f>
        <v>31</v>
      </c>
      <c r="AO4" s="63">
        <f>'FS Desroches Daily'!BX6</f>
        <v>40.000000000020464</v>
      </c>
      <c r="AP4" s="63">
        <f>'FS Desroches Daily'!BZ6</f>
        <v>27</v>
      </c>
      <c r="AQ4" s="62">
        <f>'FS Desroches Daily'!CB6</f>
        <v>0</v>
      </c>
      <c r="AR4" s="62">
        <f>'FS Desroches Daily'!CD6</f>
        <v>0</v>
      </c>
      <c r="AS4" s="62">
        <f>'FS Desroches Daily'!CF6</f>
        <v>0</v>
      </c>
      <c r="AT4" s="62">
        <f>'FS Desroches Daily'!CH6</f>
        <v>0</v>
      </c>
      <c r="AU4" s="62">
        <f>'FS Desroches Daily'!CJ6</f>
        <v>0</v>
      </c>
      <c r="AV4" s="62">
        <f>'FS Desroches Daily'!CL6</f>
        <v>0</v>
      </c>
      <c r="AW4" s="62">
        <f>'FS Desroches Daily'!CM6</f>
        <v>97.6</v>
      </c>
      <c r="AX4" s="62">
        <f>IF(LPG!F11-LPG!F10&lt;0,"0",(LPG!F11-LPG!F10)*1.8315)</f>
        <v>12.820499999999999</v>
      </c>
      <c r="AY4" s="62">
        <f>IF(LPG!H11-LPG!H10&lt;0,"0",(LPG!H11-LPG!H10)*1.8315)</f>
        <v>1.8314999999999999</v>
      </c>
      <c r="AZ4" s="62">
        <f>IF(LPG!J11-LPG!J10&lt;0,"0",(LPG!J11-LPG!J10)*1.8315)</f>
        <v>1.8314999999999999</v>
      </c>
      <c r="BA4" s="62">
        <f>IF(LPG!M11-LPG!M10&lt;0,"0",(LPG!M11-LPG!M10)*1.8315)</f>
        <v>3.6629999999999998</v>
      </c>
      <c r="BB4" s="62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8" t="s">
        <v>11</v>
      </c>
      <c r="B5" s="15">
        <f t="shared" si="0"/>
        <v>4</v>
      </c>
      <c r="C5" s="18">
        <v>11</v>
      </c>
      <c r="D5" s="58">
        <v>2019</v>
      </c>
      <c r="E5" s="62">
        <f>'FS Desroches Daily'!D7</f>
        <v>2499.9999999999468</v>
      </c>
      <c r="F5" s="63">
        <f>'FS Desroches Daily'!F7</f>
        <v>3600.0000000000477</v>
      </c>
      <c r="G5" s="62">
        <f>'FS Desroches Daily'!H7</f>
        <v>3500.0000000000587</v>
      </c>
      <c r="H5" s="63">
        <f>'FS Desroches Daily'!J7</f>
        <v>1639.9999999999864</v>
      </c>
      <c r="I5" s="62">
        <f>'FS Desroches Daily'!L7</f>
        <v>2299.9999999999686</v>
      </c>
      <c r="J5" s="63">
        <f>'FS Desroches Daily'!N7</f>
        <v>1970.0000000000273</v>
      </c>
      <c r="K5" s="13">
        <f>'FS Desroches Daily'!P7</f>
        <v>22</v>
      </c>
      <c r="L5" s="62">
        <f>'FS Desroches Daily'!R7</f>
        <v>9</v>
      </c>
      <c r="M5" s="62">
        <f>'FS Desroches Daily'!T7</f>
        <v>1406</v>
      </c>
      <c r="N5" s="62">
        <f>'FS Desroches Daily'!V7</f>
        <v>628</v>
      </c>
      <c r="O5" s="62">
        <f>'FS Desroches Daily'!X7</f>
        <v>480.00000000001819</v>
      </c>
      <c r="P5" s="62">
        <f>'FS Desroches Daily'!Z7</f>
        <v>3100.0000000001028</v>
      </c>
      <c r="Q5" s="62">
        <f>'FS Desroches Daily'!AB7</f>
        <v>519.99999999998181</v>
      </c>
      <c r="R5" s="62">
        <f>'FS Desroches Daily'!AD7</f>
        <v>509.99999999999091</v>
      </c>
      <c r="S5" s="62">
        <f>'FS Desroches Daily'!AF7</f>
        <v>819.99999999999318</v>
      </c>
      <c r="T5" s="62">
        <f>'FS Desroches Daily'!AH7</f>
        <v>3</v>
      </c>
      <c r="U5" s="66">
        <f>'FS Desroches Daily'!AJ7</f>
        <v>930.00000000000682</v>
      </c>
      <c r="V5" s="66">
        <f>'FS Desroches Daily'!AL7</f>
        <v>4.9999999999997158E-2</v>
      </c>
      <c r="W5" s="66">
        <f>'FS Desroches Daily'!AN7</f>
        <v>4.9999999999997158E-2</v>
      </c>
      <c r="X5" s="66">
        <f>'FS Desroches Daily'!AP7</f>
        <v>0.12000000000000455</v>
      </c>
      <c r="Y5" s="66">
        <f>'FS Desroches Daily'!AR7</f>
        <v>69.999999999993179</v>
      </c>
      <c r="Z5" s="66">
        <f>'FS Desroches Daily'!AT7</f>
        <v>250</v>
      </c>
      <c r="AA5" s="66">
        <f>'FS Desroches Daily'!AT7</f>
        <v>250</v>
      </c>
      <c r="AB5" s="66">
        <f>'FS Desroches Daily'!AV7</f>
        <v>99.999999999994316</v>
      </c>
      <c r="AC5" s="66">
        <f>'FS Desroches Daily'!AZ7</f>
        <v>89.999999999974989</v>
      </c>
      <c r="AD5" s="66">
        <f>'FS Desroches Daily'!BB7</f>
        <v>319.99999999999318</v>
      </c>
      <c r="AE5" s="66">
        <f>'FS Desroches Daily'!BD7</f>
        <v>19.99999999998181</v>
      </c>
      <c r="AF5" s="62">
        <f>'FS Desroches Daily'!BF7</f>
        <v>71</v>
      </c>
      <c r="AG5" s="63">
        <f>'FS Desroches Daily'!BH7</f>
        <v>50.000000000011369</v>
      </c>
      <c r="AH5" s="63">
        <f>'FS Desroches Daily'!BJ7</f>
        <v>60.000000000002274</v>
      </c>
      <c r="AI5" s="63">
        <f>'FS Desroches Daily'!BL7</f>
        <v>50.000000000011369</v>
      </c>
      <c r="AJ5" s="63">
        <f>'FS Desroches Daily'!BN7</f>
        <v>50.000000000011369</v>
      </c>
      <c r="AK5" s="63">
        <f>'FS Desroches Daily'!BP7</f>
        <v>39.99999999996362</v>
      </c>
      <c r="AL5" s="63">
        <f>'FS Desroches Daily'!BR7</f>
        <v>47</v>
      </c>
      <c r="AM5" s="63">
        <f>'FS Desroches Daily'!BT7</f>
        <v>49.999999999982947</v>
      </c>
      <c r="AN5" s="63">
        <f>'FS Desroches Daily'!BV7</f>
        <v>36</v>
      </c>
      <c r="AO5" s="63">
        <f>'FS Desroches Daily'!BX7</f>
        <v>49.999999999982947</v>
      </c>
      <c r="AP5" s="63">
        <f>'FS Desroches Daily'!BZ7</f>
        <v>50</v>
      </c>
      <c r="AQ5" s="62">
        <f>'FS Desroches Daily'!CB7</f>
        <v>0</v>
      </c>
      <c r="AR5" s="62">
        <f>'FS Desroches Daily'!CD7</f>
        <v>0</v>
      </c>
      <c r="AS5" s="62">
        <f>'FS Desroches Daily'!CF7</f>
        <v>0</v>
      </c>
      <c r="AT5" s="62">
        <f>'FS Desroches Daily'!CH7</f>
        <v>0</v>
      </c>
      <c r="AU5" s="62">
        <f>'FS Desroches Daily'!CJ7</f>
        <v>0</v>
      </c>
      <c r="AV5" s="62">
        <f>'FS Desroches Daily'!CL7</f>
        <v>0</v>
      </c>
      <c r="AW5" s="62">
        <f>'FS Desroches Daily'!CM7</f>
        <v>92.6</v>
      </c>
      <c r="AX5" s="62">
        <f>IF(LPG!F12-LPG!F11&lt;0,"0",(LPG!F12-LPG!F11)*1.8315)</f>
        <v>14.651999999999999</v>
      </c>
      <c r="AY5" s="62">
        <f>IF(LPG!H12-LPG!H11&lt;0,"0",(LPG!H12-LPG!H11)*1.8315)</f>
        <v>3.6629999999999998</v>
      </c>
      <c r="AZ5" s="62">
        <f>IF(LPG!J12-LPG!J11&lt;0,"0",(LPG!J12-LPG!J11)*1.8315)</f>
        <v>0</v>
      </c>
      <c r="BA5" s="62">
        <f>IF(LPG!M12-LPG!M11&lt;0,"0",(LPG!M12-LPG!M11)*1.8315)</f>
        <v>5.4944999999999995</v>
      </c>
      <c r="BB5" s="62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8" t="s">
        <v>11</v>
      </c>
      <c r="B6" s="15">
        <f t="shared" si="0"/>
        <v>5</v>
      </c>
      <c r="C6" s="18">
        <v>11</v>
      </c>
      <c r="D6" s="58">
        <v>2019</v>
      </c>
      <c r="E6" s="62">
        <f>'FS Desroches Daily'!D8</f>
        <v>2399.9999999999577</v>
      </c>
      <c r="F6" s="63">
        <f>'FS Desroches Daily'!F8</f>
        <v>3499.9999999998367</v>
      </c>
      <c r="G6" s="62">
        <f>'FS Desroches Daily'!H8</f>
        <v>3600.0000000000477</v>
      </c>
      <c r="H6" s="63">
        <f>'FS Desroches Daily'!J8</f>
        <v>1509.9999999999909</v>
      </c>
      <c r="I6" s="62">
        <f>'FS Desroches Daily'!L8</f>
        <v>2599.9999999999359</v>
      </c>
      <c r="J6" s="63">
        <f>'FS Desroches Daily'!N8</f>
        <v>1719.9999999999136</v>
      </c>
      <c r="K6" s="13">
        <f>'FS Desroches Daily'!P8</f>
        <v>24</v>
      </c>
      <c r="L6" s="62">
        <f>'FS Desroches Daily'!R8</f>
        <v>8</v>
      </c>
      <c r="M6" s="62">
        <f>'FS Desroches Daily'!T8</f>
        <v>1647</v>
      </c>
      <c r="N6" s="62">
        <f>'FS Desroches Daily'!V8</f>
        <v>678</v>
      </c>
      <c r="O6" s="62">
        <f>'FS Desroches Daily'!X8</f>
        <v>439.99999999999773</v>
      </c>
      <c r="P6" s="62">
        <f>'FS Desroches Daily'!Z8</f>
        <v>2999.9999999998918</v>
      </c>
      <c r="Q6" s="62">
        <f>'FS Desroches Daily'!AB8</f>
        <v>310.00000000000227</v>
      </c>
      <c r="R6" s="62">
        <f>'FS Desroches Daily'!AD8</f>
        <v>550.00000000001137</v>
      </c>
      <c r="S6" s="62">
        <f>'FS Desroches Daily'!AF8</f>
        <v>879.99999999999545</v>
      </c>
      <c r="T6" s="62">
        <f>'FS Desroches Daily'!AH8</f>
        <v>1.5</v>
      </c>
      <c r="U6" s="66">
        <f>'FS Desroches Daily'!AJ8</f>
        <v>889.99999999998636</v>
      </c>
      <c r="V6" s="66">
        <f>'FS Desroches Daily'!AL8</f>
        <v>3.9999999999992042E-2</v>
      </c>
      <c r="W6" s="66">
        <f>'FS Desroches Daily'!AN8</f>
        <v>4.9999999999997158E-2</v>
      </c>
      <c r="X6" s="66">
        <f>'FS Desroches Daily'!AP8</f>
        <v>0.25</v>
      </c>
      <c r="Y6" s="66">
        <f>'FS Desroches Daily'!AR8</f>
        <v>110.00000000001364</v>
      </c>
      <c r="Z6" s="66">
        <f>'FS Desroches Daily'!AT8</f>
        <v>250</v>
      </c>
      <c r="AA6" s="66">
        <f>'FS Desroches Daily'!AT8</f>
        <v>250</v>
      </c>
      <c r="AB6" s="66">
        <f>'FS Desroches Daily'!AV8</f>
        <v>99.999999999994316</v>
      </c>
      <c r="AC6" s="66">
        <f>'FS Desroches Daily'!AZ8</f>
        <v>110.00000000001364</v>
      </c>
      <c r="AD6" s="66">
        <f>'FS Desroches Daily'!BB8</f>
        <v>280.00000000002956</v>
      </c>
      <c r="AE6" s="66">
        <f>'FS Desroches Daily'!BD8</f>
        <v>20.000000000010232</v>
      </c>
      <c r="AF6" s="62">
        <f>'FS Desroches Daily'!BF8</f>
        <v>63</v>
      </c>
      <c r="AG6" s="63">
        <f>'FS Desroches Daily'!BH8</f>
        <v>30.000000000001137</v>
      </c>
      <c r="AH6" s="63">
        <f>'FS Desroches Daily'!BJ8</f>
        <v>39.99999999996362</v>
      </c>
      <c r="AI6" s="63">
        <f>'FS Desroches Daily'!BL8</f>
        <v>30.000000000001137</v>
      </c>
      <c r="AJ6" s="63">
        <f>'FS Desroches Daily'!BN8</f>
        <v>39.999999999992042</v>
      </c>
      <c r="AK6" s="63">
        <f>'FS Desroches Daily'!BP8</f>
        <v>50.000000000011369</v>
      </c>
      <c r="AL6" s="63">
        <f>'FS Desroches Daily'!BR8</f>
        <v>35</v>
      </c>
      <c r="AM6" s="63">
        <f>'FS Desroches Daily'!BT8</f>
        <v>39.999999999992042</v>
      </c>
      <c r="AN6" s="63">
        <f>'FS Desroches Daily'!BV8</f>
        <v>26</v>
      </c>
      <c r="AO6" s="63">
        <f>'FS Desroches Daily'!BX8</f>
        <v>30.000000000001137</v>
      </c>
      <c r="AP6" s="63">
        <f>'FS Desroches Daily'!BZ8</f>
        <v>37</v>
      </c>
      <c r="AQ6" s="62">
        <f>'FS Desroches Daily'!CB8</f>
        <v>0</v>
      </c>
      <c r="AR6" s="62">
        <f>'FS Desroches Daily'!CD8</f>
        <v>0</v>
      </c>
      <c r="AS6" s="62">
        <f>'FS Desroches Daily'!CF8</f>
        <v>0</v>
      </c>
      <c r="AT6" s="62">
        <f>'FS Desroches Daily'!CH8</f>
        <v>0</v>
      </c>
      <c r="AU6" s="62">
        <f>'FS Desroches Daily'!CJ8</f>
        <v>0</v>
      </c>
      <c r="AV6" s="62">
        <f>'FS Desroches Daily'!CL8</f>
        <v>0</v>
      </c>
      <c r="AW6" s="62">
        <f>'FS Desroches Daily'!CM8</f>
        <v>100.3</v>
      </c>
      <c r="AX6" s="62">
        <f>IF(LPG!F13-LPG!F12&lt;0,"0",(LPG!F13-LPG!F12)*1.8315)</f>
        <v>14.651999999999999</v>
      </c>
      <c r="AY6" s="62">
        <f>IF(LPG!H13-LPG!H12&lt;0,"0",(LPG!H13-LPG!H12)*1.8315)</f>
        <v>5.4944999999999995</v>
      </c>
      <c r="AZ6" s="62">
        <f>IF(LPG!J13-LPG!J12&lt;0,"0",(LPG!J13-LPG!J12)*1.8315)</f>
        <v>1.8314999999999999</v>
      </c>
      <c r="BA6" s="62">
        <f>IF(LPG!M13-LPG!M12&lt;0,"0",(LPG!M13-LPG!M12)*1.8315)</f>
        <v>5.4944999999999995</v>
      </c>
      <c r="BB6" s="62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8" t="s">
        <v>11</v>
      </c>
      <c r="B7" s="15">
        <f t="shared" si="0"/>
        <v>6</v>
      </c>
      <c r="C7" s="18">
        <v>11</v>
      </c>
      <c r="D7" s="58">
        <v>2019</v>
      </c>
      <c r="E7" s="62">
        <f>'FS Desroches Daily'!D9</f>
        <v>2399.9999999999577</v>
      </c>
      <c r="F7" s="63">
        <f>'FS Desroches Daily'!F9</f>
        <v>3400.0000000000696</v>
      </c>
      <c r="G7" s="62">
        <f>'FS Desroches Daily'!H9</f>
        <v>3500.0000000000587</v>
      </c>
      <c r="H7" s="63">
        <f>'FS Desroches Daily'!J9</f>
        <v>1519.9999999999818</v>
      </c>
      <c r="I7" s="62">
        <f>'FS Desroches Daily'!L9</f>
        <v>2499.9999999999468</v>
      </c>
      <c r="J7" s="63">
        <f>'FS Desroches Daily'!N9</f>
        <v>1840.0000000000318</v>
      </c>
      <c r="K7" s="13">
        <f>'FS Desroches Daily'!P9</f>
        <v>21</v>
      </c>
      <c r="L7" s="62">
        <f>'FS Desroches Daily'!R9</f>
        <v>8</v>
      </c>
      <c r="M7" s="62">
        <f>'FS Desroches Daily'!T9</f>
        <v>1250</v>
      </c>
      <c r="N7" s="62">
        <f>'FS Desroches Daily'!V9</f>
        <v>523</v>
      </c>
      <c r="O7" s="62">
        <f>'FS Desroches Daily'!X9</f>
        <v>449.99999999998863</v>
      </c>
      <c r="P7" s="62">
        <f>'FS Desroches Daily'!Z9</f>
        <v>3000.0000000001137</v>
      </c>
      <c r="Q7" s="62">
        <f>'FS Desroches Daily'!AB9</f>
        <v>439.99999999999773</v>
      </c>
      <c r="R7" s="62">
        <f>'FS Desroches Daily'!AD9</f>
        <v>399.99999999997726</v>
      </c>
      <c r="S7" s="62">
        <f>'FS Desroches Daily'!AF9</f>
        <v>930.00000000000682</v>
      </c>
      <c r="T7" s="62">
        <f>'FS Desroches Daily'!AH9</f>
        <v>1.6000000000000227</v>
      </c>
      <c r="U7" s="66">
        <f>'FS Desroches Daily'!AJ9</f>
        <v>600.00000000002274</v>
      </c>
      <c r="V7" s="66">
        <f>'FS Desroches Daily'!AL9</f>
        <v>6.0000000000002274E-2</v>
      </c>
      <c r="W7" s="66">
        <f>'FS Desroches Daily'!AN9</f>
        <v>7.000000000000739E-2</v>
      </c>
      <c r="X7" s="66">
        <f>'FS Desroches Daily'!AP9</f>
        <v>0.18000000000000682</v>
      </c>
      <c r="Y7" s="66">
        <f>'FS Desroches Daily'!AR9</f>
        <v>99.999999999994316</v>
      </c>
      <c r="Z7" s="66">
        <f>'FS Desroches Daily'!AT9</f>
        <v>370.00000000000455</v>
      </c>
      <c r="AA7" s="66">
        <f>'FS Desroches Daily'!AT9</f>
        <v>370.00000000000455</v>
      </c>
      <c r="AB7" s="66">
        <f>'FS Desroches Daily'!AV9</f>
        <v>80.000000000012506</v>
      </c>
      <c r="AC7" s="66">
        <f>'FS Desroches Daily'!AZ9</f>
        <v>109.9999999999568</v>
      </c>
      <c r="AD7" s="66">
        <f>'FS Desroches Daily'!BB9</f>
        <v>279.99999999997272</v>
      </c>
      <c r="AE7" s="66">
        <f>'FS Desroches Daily'!BD9</f>
        <v>20.000000000010232</v>
      </c>
      <c r="AF7" s="62">
        <f>'FS Desroches Daily'!BF9</f>
        <v>59</v>
      </c>
      <c r="AG7" s="63">
        <f>'FS Desroches Daily'!BH9</f>
        <v>39.999999999992042</v>
      </c>
      <c r="AH7" s="63">
        <f>'FS Desroches Daily'!BJ9</f>
        <v>50.000000000011369</v>
      </c>
      <c r="AI7" s="63">
        <f>'FS Desroches Daily'!BL9</f>
        <v>39.999999999992042</v>
      </c>
      <c r="AJ7" s="63">
        <f>'FS Desroches Daily'!BN9</f>
        <v>50.000000000011369</v>
      </c>
      <c r="AK7" s="63">
        <f>'FS Desroches Daily'!BP9</f>
        <v>40.000000000020464</v>
      </c>
      <c r="AL7" s="63">
        <f>'FS Desroches Daily'!BR9</f>
        <v>42</v>
      </c>
      <c r="AM7" s="63">
        <f>'FS Desroches Daily'!BT9</f>
        <v>30.000000000001137</v>
      </c>
      <c r="AN7" s="63">
        <f>'FS Desroches Daily'!BV9</f>
        <v>33</v>
      </c>
      <c r="AO7" s="63">
        <f>'FS Desroches Daily'!BX9</f>
        <v>39.999999999992042</v>
      </c>
      <c r="AP7" s="63">
        <f>'FS Desroches Daily'!BZ9</f>
        <v>57</v>
      </c>
      <c r="AQ7" s="62">
        <f>'FS Desroches Daily'!CB9</f>
        <v>0</v>
      </c>
      <c r="AR7" s="62">
        <f>'FS Desroches Daily'!CD9</f>
        <v>0</v>
      </c>
      <c r="AS7" s="62">
        <f>'FS Desroches Daily'!CF9</f>
        <v>0</v>
      </c>
      <c r="AT7" s="62">
        <f>'FS Desroches Daily'!CH9</f>
        <v>0</v>
      </c>
      <c r="AU7" s="62">
        <f>'FS Desroches Daily'!CJ9</f>
        <v>0</v>
      </c>
      <c r="AV7" s="62">
        <f>'FS Desroches Daily'!CL9</f>
        <v>0</v>
      </c>
      <c r="AW7" s="62">
        <f>'FS Desroches Daily'!CM9</f>
        <v>88.5</v>
      </c>
      <c r="AX7" s="62">
        <f>IF(LPG!F14-LPG!F13&lt;0,"0",(LPG!F14-LPG!F13)*1.8315)</f>
        <v>16.483499999999999</v>
      </c>
      <c r="AY7" s="62">
        <f>IF(LPG!H14-LPG!H13&lt;0,"0",(LPG!H14-LPG!H13)*1.8315)</f>
        <v>1.8314999999999999</v>
      </c>
      <c r="AZ7" s="62">
        <f>IF(LPG!J14-LPG!J13&lt;0,"0",(LPG!J14-LPG!J13)*1.8315)</f>
        <v>1.8314999999999999</v>
      </c>
      <c r="BA7" s="62">
        <f>IF(LPG!M14-LPG!M13&lt;0,"0",(LPG!M14-LPG!M13)*1.8315)</f>
        <v>0</v>
      </c>
      <c r="BB7" s="62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8" t="s">
        <v>11</v>
      </c>
      <c r="B8" s="15">
        <f t="shared" si="0"/>
        <v>7</v>
      </c>
      <c r="C8" s="18">
        <v>11</v>
      </c>
      <c r="D8" s="58">
        <v>2019</v>
      </c>
      <c r="E8" s="62">
        <f>'FS Desroches Daily'!D10</f>
        <v>2599.9999999999359</v>
      </c>
      <c r="F8" s="63">
        <f>'FS Desroches Daily'!F10</f>
        <v>3700.0000000002588</v>
      </c>
      <c r="G8" s="62">
        <f>'FS Desroches Daily'!H10</f>
        <v>3399.9999999998477</v>
      </c>
      <c r="H8" s="63">
        <f>'FS Desroches Daily'!J10</f>
        <v>1659.9999999999682</v>
      </c>
      <c r="I8" s="62">
        <f>'FS Desroches Daily'!L10</f>
        <v>2500.0000000001687</v>
      </c>
      <c r="J8" s="63">
        <f>'FS Desroches Daily'!N10</f>
        <v>2170.0000000000728</v>
      </c>
      <c r="K8" s="13">
        <f>'FS Desroches Daily'!P10</f>
        <v>22</v>
      </c>
      <c r="L8" s="62">
        <f>'FS Desroches Daily'!R10</f>
        <v>9</v>
      </c>
      <c r="M8" s="62">
        <f>'FS Desroches Daily'!T10</f>
        <v>1204</v>
      </c>
      <c r="N8" s="62">
        <f>'FS Desroches Daily'!V10</f>
        <v>580</v>
      </c>
      <c r="O8" s="62">
        <f>'FS Desroches Daily'!X10</f>
        <v>449.99999999998863</v>
      </c>
      <c r="P8" s="62">
        <f>'FS Desroches Daily'!Z10</f>
        <v>3099.9999999998809</v>
      </c>
      <c r="Q8" s="62">
        <f>'FS Desroches Daily'!AB10</f>
        <v>490.00000000000909</v>
      </c>
      <c r="R8" s="62">
        <f>'FS Desroches Daily'!AD10</f>
        <v>370.00000000000455</v>
      </c>
      <c r="S8" s="62">
        <f>'FS Desroches Daily'!AF10</f>
        <v>899.99999999997726</v>
      </c>
      <c r="T8" s="62">
        <f>'FS Desroches Daily'!AH10</f>
        <v>1.6999999999999318</v>
      </c>
      <c r="U8" s="66">
        <f>'FS Desroches Daily'!AJ10</f>
        <v>519.99999999998181</v>
      </c>
      <c r="V8" s="66">
        <f>'FS Desroches Daily'!AL10</f>
        <v>7.000000000000739E-2</v>
      </c>
      <c r="W8" s="66">
        <f>'FS Desroches Daily'!AN10</f>
        <v>9.9999999999994316E-2</v>
      </c>
      <c r="X8" s="66">
        <f>'FS Desroches Daily'!AP10</f>
        <v>0.20999999999999375</v>
      </c>
      <c r="Y8" s="66">
        <f>'FS Desroches Daily'!AR10</f>
        <v>120.00000000000455</v>
      </c>
      <c r="Z8" s="66">
        <f>'FS Desroches Daily'!AT10</f>
        <v>310.00000000000227</v>
      </c>
      <c r="AA8" s="66">
        <f>'FS Desroches Daily'!AT10</f>
        <v>310.00000000000227</v>
      </c>
      <c r="AB8" s="66">
        <f>'FS Desroches Daily'!AV10</f>
        <v>129.99999999999545</v>
      </c>
      <c r="AC8" s="66">
        <f>'FS Desroches Daily'!AZ10</f>
        <v>160.00000000002501</v>
      </c>
      <c r="AD8" s="66">
        <f>'FS Desroches Daily'!BB10</f>
        <v>259.99999999999091</v>
      </c>
      <c r="AE8" s="66">
        <f>'FS Desroches Daily'!BD10</f>
        <v>19.99999999998181</v>
      </c>
      <c r="AF8" s="62">
        <f>'FS Desroches Daily'!BF10</f>
        <v>50</v>
      </c>
      <c r="AG8" s="63">
        <f>'FS Desroches Daily'!BH10</f>
        <v>30.000000000001137</v>
      </c>
      <c r="AH8" s="63">
        <f>'FS Desroches Daily'!BJ10</f>
        <v>40.000000000020464</v>
      </c>
      <c r="AI8" s="63">
        <f>'FS Desroches Daily'!BL10</f>
        <v>60.000000000002274</v>
      </c>
      <c r="AJ8" s="63">
        <f>'FS Desroches Daily'!BN10</f>
        <v>39.999999999992042</v>
      </c>
      <c r="AK8" s="63">
        <f>'FS Desroches Daily'!BP10</f>
        <v>40.000000000020464</v>
      </c>
      <c r="AL8" s="63">
        <f>'FS Desroches Daily'!BR10</f>
        <v>43</v>
      </c>
      <c r="AM8" s="63">
        <f>'FS Desroches Daily'!BT10</f>
        <v>30.000000000001137</v>
      </c>
      <c r="AN8" s="63">
        <f>'FS Desroches Daily'!BV10</f>
        <v>30</v>
      </c>
      <c r="AO8" s="63">
        <f>'FS Desroches Daily'!BX10</f>
        <v>40.000000000020464</v>
      </c>
      <c r="AP8" s="63">
        <f>'FS Desroches Daily'!BZ10</f>
        <v>31</v>
      </c>
      <c r="AQ8" s="62">
        <f>'FS Desroches Daily'!CB10</f>
        <v>0</v>
      </c>
      <c r="AR8" s="62">
        <f>'FS Desroches Daily'!CD10</f>
        <v>0</v>
      </c>
      <c r="AS8" s="62">
        <f>'FS Desroches Daily'!CF10</f>
        <v>0</v>
      </c>
      <c r="AT8" s="62">
        <f>'FS Desroches Daily'!CH10</f>
        <v>0</v>
      </c>
      <c r="AU8" s="62">
        <f>'FS Desroches Daily'!CJ10</f>
        <v>0</v>
      </c>
      <c r="AV8" s="62">
        <f>'FS Desroches Daily'!CL10</f>
        <v>0</v>
      </c>
      <c r="AW8" s="62">
        <f>'FS Desroches Daily'!CM10</f>
        <v>101</v>
      </c>
      <c r="AX8" s="62">
        <f>IF(LPG!F15-LPG!F14&lt;0,"0",(LPG!F15-LPG!F14)*1.8315)</f>
        <v>14.651999999999999</v>
      </c>
      <c r="AY8" s="62">
        <f>IF(LPG!H15-LPG!H14&lt;0,"0",(LPG!H15-LPG!H14)*1.8315)</f>
        <v>3.6629999999999998</v>
      </c>
      <c r="AZ8" s="62">
        <f>IF(LPG!J15-LPG!J14&lt;0,"0",(LPG!J15-LPG!J14)*1.8315)</f>
        <v>0</v>
      </c>
      <c r="BA8" s="62">
        <f>IF(LPG!M15-LPG!M14&lt;0,"0",(LPG!M15-LPG!M14)*1.8315)</f>
        <v>5.4944999999999995</v>
      </c>
      <c r="BB8" s="62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8" t="s">
        <v>11</v>
      </c>
      <c r="B9" s="15">
        <f t="shared" si="0"/>
        <v>8</v>
      </c>
      <c r="C9" s="18">
        <v>11</v>
      </c>
      <c r="D9" s="58">
        <v>2019</v>
      </c>
      <c r="E9" s="62">
        <f>'FS Desroches Daily'!D11</f>
        <v>2500.0000000001687</v>
      </c>
      <c r="F9" s="63">
        <f>'FS Desroches Daily'!F11</f>
        <v>3599.9999999996035</v>
      </c>
      <c r="G9" s="62">
        <f>'FS Desroches Daily'!H11</f>
        <v>3300.0000000000805</v>
      </c>
      <c r="H9" s="63">
        <f>'FS Desroches Daily'!J11</f>
        <v>1500</v>
      </c>
      <c r="I9" s="62">
        <f>'FS Desroches Daily'!L11</f>
        <v>2399.9999999999577</v>
      </c>
      <c r="J9" s="63">
        <f>'FS Desroches Daily'!N11</f>
        <v>1959.9999999999227</v>
      </c>
      <c r="K9" s="13">
        <f>'FS Desroches Daily'!P11</f>
        <v>19</v>
      </c>
      <c r="L9" s="62">
        <f>'FS Desroches Daily'!R11</f>
        <v>7</v>
      </c>
      <c r="M9" s="62">
        <f>'FS Desroches Daily'!T11</f>
        <v>1204</v>
      </c>
      <c r="N9" s="62">
        <f>'FS Desroches Daily'!V11</f>
        <v>580</v>
      </c>
      <c r="O9" s="62">
        <f>'FS Desroches Daily'!X11</f>
        <v>459.99999999997954</v>
      </c>
      <c r="P9" s="62">
        <f>'FS Desroches Daily'!Z11</f>
        <v>3200.0000000000919</v>
      </c>
      <c r="Q9" s="62">
        <f>'FS Desroches Daily'!AB11</f>
        <v>430.00000000000682</v>
      </c>
      <c r="R9" s="62">
        <f>'FS Desroches Daily'!AD11</f>
        <v>560.00000000000227</v>
      </c>
      <c r="S9" s="62">
        <f>'FS Desroches Daily'!AF11</f>
        <v>790.00000000002046</v>
      </c>
      <c r="T9" s="62">
        <f>'FS Desroches Daily'!AH11</f>
        <v>1.8000000000000682</v>
      </c>
      <c r="U9" s="66">
        <f>'FS Desroches Daily'!AJ11</f>
        <v>469.99999999997044</v>
      </c>
      <c r="V9" s="66">
        <f>'FS Desroches Daily'!AL11</f>
        <v>6.9999999999993179E-2</v>
      </c>
      <c r="W9" s="66">
        <f>'FS Desroches Daily'!AN11</f>
        <v>0.20999999999999375</v>
      </c>
      <c r="X9" s="66">
        <f>'FS Desroches Daily'!AP11</f>
        <v>0.18000000000000682</v>
      </c>
      <c r="Y9" s="66">
        <f>'FS Desroches Daily'!AR11</f>
        <v>89.999999999974989</v>
      </c>
      <c r="Z9" s="66">
        <f>'FS Desroches Daily'!AT11</f>
        <v>329.99999999998408</v>
      </c>
      <c r="AA9" s="66">
        <f>'FS Desroches Daily'!AT11</f>
        <v>329.99999999998408</v>
      </c>
      <c r="AB9" s="66">
        <f>'FS Desroches Daily'!AV11</f>
        <v>110.00000000001364</v>
      </c>
      <c r="AC9" s="66">
        <f>'FS Desroches Daily'!AZ11</f>
        <v>120.00000000000455</v>
      </c>
      <c r="AD9" s="66">
        <f>'FS Desroches Daily'!BB11</f>
        <v>230.00000000001819</v>
      </c>
      <c r="AE9" s="66">
        <f>'FS Desroches Daily'!BD11</f>
        <v>20.000000000010232</v>
      </c>
      <c r="AF9" s="62">
        <f>'FS Desroches Daily'!BF11</f>
        <v>63</v>
      </c>
      <c r="AG9" s="63">
        <f>'FS Desroches Daily'!BH11</f>
        <v>30.000000000001137</v>
      </c>
      <c r="AH9" s="63">
        <f>'FS Desroches Daily'!BJ11</f>
        <v>39.99999999996362</v>
      </c>
      <c r="AI9" s="63">
        <f>'FS Desroches Daily'!BL11</f>
        <v>40.000000000020464</v>
      </c>
      <c r="AJ9" s="63">
        <f>'FS Desroches Daily'!BN11</f>
        <v>39.999999999992042</v>
      </c>
      <c r="AK9" s="63">
        <f>'FS Desroches Daily'!BP11</f>
        <v>39.99999999996362</v>
      </c>
      <c r="AL9" s="63">
        <f>'FS Desroches Daily'!BR11</f>
        <v>38</v>
      </c>
      <c r="AM9" s="63">
        <f>'FS Desroches Daily'!BT11</f>
        <v>40.000000000020464</v>
      </c>
      <c r="AN9" s="63">
        <f>'FS Desroches Daily'!BV11</f>
        <v>34</v>
      </c>
      <c r="AO9" s="63">
        <f>'FS Desroches Daily'!BX11</f>
        <v>30.000000000001137</v>
      </c>
      <c r="AP9" s="63">
        <f>'FS Desroches Daily'!BZ11</f>
        <v>37</v>
      </c>
      <c r="AQ9" s="62">
        <f>'FS Desroches Daily'!CB11</f>
        <v>0</v>
      </c>
      <c r="AR9" s="62">
        <f>'FS Desroches Daily'!CD11</f>
        <v>0</v>
      </c>
      <c r="AS9" s="62">
        <f>'FS Desroches Daily'!CF11</f>
        <v>0</v>
      </c>
      <c r="AT9" s="62">
        <f>'FS Desroches Daily'!CH11</f>
        <v>0</v>
      </c>
      <c r="AU9" s="62">
        <f>'FS Desroches Daily'!CJ11</f>
        <v>0</v>
      </c>
      <c r="AV9" s="62">
        <f>'FS Desroches Daily'!CL11</f>
        <v>0</v>
      </c>
      <c r="AW9" s="62">
        <f>'FS Desroches Daily'!CM11</f>
        <v>95</v>
      </c>
      <c r="AX9" s="62">
        <f>IF(LPG!F16-LPG!F15&lt;0,"0",(LPG!F16-LPG!F15)*1.8315)</f>
        <v>12.820499999999999</v>
      </c>
      <c r="AY9" s="62">
        <f>IF(LPG!H16-LPG!H15&lt;0,"0",(LPG!H16-LPG!H15)*1.8315)</f>
        <v>1.8314999999999999</v>
      </c>
      <c r="AZ9" s="62">
        <f>IF(LPG!J16-LPG!J15&lt;0,"0",(LPG!J16-LPG!J15)*1.8315)</f>
        <v>1.8314999999999999</v>
      </c>
      <c r="BA9" s="62">
        <f>IF(LPG!M16-LPG!M15&lt;0,"0",(LPG!M16-LPG!M15)*1.8315)</f>
        <v>1.8314999999999999</v>
      </c>
      <c r="BB9" s="62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8" t="s">
        <v>11</v>
      </c>
      <c r="B10" s="15">
        <f t="shared" si="0"/>
        <v>9</v>
      </c>
      <c r="C10" s="18">
        <v>11</v>
      </c>
      <c r="D10" s="58">
        <v>2019</v>
      </c>
      <c r="E10" s="62">
        <f>'FS Desroches Daily'!D12</f>
        <v>2000.0000000000018</v>
      </c>
      <c r="F10" s="63">
        <f>'FS Desroches Daily'!F12</f>
        <v>3000.0000000001137</v>
      </c>
      <c r="G10" s="62">
        <f>'FS Desroches Daily'!H12</f>
        <v>3200.0000000000919</v>
      </c>
      <c r="H10" s="63">
        <f>'FS Desroches Daily'!J12</f>
        <v>1170.0000000000728</v>
      </c>
      <c r="I10" s="62">
        <f>'FS Desroches Daily'!L12</f>
        <v>2399.9999999999577</v>
      </c>
      <c r="J10" s="63">
        <f>'FS Desroches Daily'!N12</f>
        <v>1509.9999999999909</v>
      </c>
      <c r="K10" s="13">
        <f>'FS Desroches Daily'!P12</f>
        <v>18</v>
      </c>
      <c r="L10" s="62">
        <f>'FS Desroches Daily'!R12</f>
        <v>6</v>
      </c>
      <c r="M10" s="62">
        <f>'FS Desroches Daily'!T12</f>
        <v>1539</v>
      </c>
      <c r="N10" s="62">
        <f>'FS Desroches Daily'!V12</f>
        <v>347</v>
      </c>
      <c r="O10" s="62">
        <f>'FS Desroches Daily'!X12</f>
        <v>320.00000000005002</v>
      </c>
      <c r="P10" s="62">
        <f>'FS Desroches Daily'!Z12</f>
        <v>2599.9999999999359</v>
      </c>
      <c r="Q10" s="62">
        <f>'FS Desroches Daily'!AB12</f>
        <v>389.99999999998636</v>
      </c>
      <c r="R10" s="62">
        <f>'FS Desroches Daily'!AD12</f>
        <v>580.00000000001251</v>
      </c>
      <c r="S10" s="62">
        <f>'FS Desroches Daily'!AF12</f>
        <v>610.00000000001364</v>
      </c>
      <c r="T10" s="62">
        <f>'FS Desroches Daily'!AH12</f>
        <v>2</v>
      </c>
      <c r="U10" s="66">
        <f>'FS Desroches Daily'!AJ12</f>
        <v>430.00000000000682</v>
      </c>
      <c r="V10" s="66">
        <f>'FS Desroches Daily'!AL12</f>
        <v>4.0000000000006253E-2</v>
      </c>
      <c r="W10" s="66">
        <f>'FS Desroches Daily'!AN12</f>
        <v>0.20000000000000284</v>
      </c>
      <c r="X10" s="66">
        <f>'FS Desroches Daily'!AP12</f>
        <v>0.17000000000000171</v>
      </c>
      <c r="Y10" s="66">
        <f>'FS Desroches Daily'!AR12</f>
        <v>90.000000000003411</v>
      </c>
      <c r="Z10" s="66">
        <f>'FS Desroches Daily'!AT12</f>
        <v>290.00000000002046</v>
      </c>
      <c r="AA10" s="66">
        <f>'FS Desroches Daily'!AT12</f>
        <v>290.00000000002046</v>
      </c>
      <c r="AB10" s="66">
        <f>'FS Desroches Daily'!AV12</f>
        <v>69.999999999993179</v>
      </c>
      <c r="AC10" s="66">
        <f>'FS Desroches Daily'!AZ12</f>
        <v>160.00000000002501</v>
      </c>
      <c r="AD10" s="66">
        <f>'FS Desroches Daily'!BB12</f>
        <v>230.00000000001819</v>
      </c>
      <c r="AE10" s="66">
        <f>'FS Desroches Daily'!BD12</f>
        <v>20.000000000010232</v>
      </c>
      <c r="AF10" s="62">
        <f>'FS Desroches Daily'!BF12</f>
        <v>50</v>
      </c>
      <c r="AG10" s="63">
        <f>'FS Desroches Daily'!BH12</f>
        <v>30.000000000001137</v>
      </c>
      <c r="AH10" s="63">
        <f>'FS Desroches Daily'!BJ12</f>
        <v>40.000000000020464</v>
      </c>
      <c r="AI10" s="63">
        <f>'FS Desroches Daily'!BL12</f>
        <v>29.999999999972715</v>
      </c>
      <c r="AJ10" s="63">
        <f>'FS Desroches Daily'!BN12</f>
        <v>40.000000000020464</v>
      </c>
      <c r="AK10" s="63">
        <f>'FS Desroches Daily'!BP12</f>
        <v>30.000000000029559</v>
      </c>
      <c r="AL10" s="63">
        <f>'FS Desroches Daily'!BR12</f>
        <v>21</v>
      </c>
      <c r="AM10" s="63">
        <f>'FS Desroches Daily'!BT12</f>
        <v>39.999999999992042</v>
      </c>
      <c r="AN10" s="63">
        <f>'FS Desroches Daily'!BV12</f>
        <v>29</v>
      </c>
      <c r="AO10" s="63">
        <f>'FS Desroches Daily'!BX12</f>
        <v>30.000000000001137</v>
      </c>
      <c r="AP10" s="63">
        <f>'FS Desroches Daily'!BZ12</f>
        <v>45</v>
      </c>
      <c r="AQ10" s="62">
        <f>'FS Desroches Daily'!CB12</f>
        <v>0</v>
      </c>
      <c r="AR10" s="62">
        <f>'FS Desroches Daily'!CD12</f>
        <v>0</v>
      </c>
      <c r="AS10" s="62">
        <f>'FS Desroches Daily'!CF12</f>
        <v>0</v>
      </c>
      <c r="AT10" s="62">
        <f>'FS Desroches Daily'!CH12</f>
        <v>0</v>
      </c>
      <c r="AU10" s="62">
        <f>'FS Desroches Daily'!CJ12</f>
        <v>0</v>
      </c>
      <c r="AV10" s="62">
        <f>'FS Desroches Daily'!CL12</f>
        <v>0</v>
      </c>
      <c r="AW10" s="62">
        <f>'FS Desroches Daily'!CM12</f>
        <v>87</v>
      </c>
      <c r="AX10" s="62">
        <f>IF(LPG!F17-LPG!F16&lt;0,"0",(LPG!F17-LPG!F16)*1.8315)</f>
        <v>14.651999999999999</v>
      </c>
      <c r="AY10" s="62">
        <f>IF(LPG!H17-LPG!H16&lt;0,"0",(LPG!H17-LPG!H16)*1.8315)</f>
        <v>3.6629999999999998</v>
      </c>
      <c r="AZ10" s="62">
        <f>IF(LPG!J17-LPG!J16&lt;0,"0",(LPG!J17-LPG!J16)*1.8315)</f>
        <v>0</v>
      </c>
      <c r="BA10" s="62">
        <f>IF(LPG!M17-LPG!M16&lt;0,"0",(LPG!M17-LPG!M16)*1.8315)</f>
        <v>3.6629999999999998</v>
      </c>
      <c r="BB10" s="62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8" t="s">
        <v>11</v>
      </c>
      <c r="B11" s="15">
        <f t="shared" si="0"/>
        <v>10</v>
      </c>
      <c r="C11" s="18">
        <v>11</v>
      </c>
      <c r="D11" s="58">
        <v>2019</v>
      </c>
      <c r="E11" s="62">
        <f>'FS Desroches Daily'!D13</f>
        <v>2399.9999999999577</v>
      </c>
      <c r="F11" s="63">
        <f>'FS Desroches Daily'!F13</f>
        <v>3099.9999999998809</v>
      </c>
      <c r="G11" s="62">
        <f>'FS Desroches Daily'!H13</f>
        <v>3299.9999999998586</v>
      </c>
      <c r="H11" s="63">
        <f>'FS Desroches Daily'!J13</f>
        <v>1409.9999999999682</v>
      </c>
      <c r="I11" s="62">
        <f>'FS Desroches Daily'!L13</f>
        <v>2099.9999999999909</v>
      </c>
      <c r="J11" s="63">
        <f>'FS Desroches Daily'!N13</f>
        <v>1670.0000000000728</v>
      </c>
      <c r="K11" s="13">
        <f>'FS Desroches Daily'!P13</f>
        <v>20</v>
      </c>
      <c r="L11" s="62">
        <f>'FS Desroches Daily'!R13</f>
        <v>7</v>
      </c>
      <c r="M11" s="62">
        <f>'FS Desroches Daily'!T13</f>
        <v>1317</v>
      </c>
      <c r="N11" s="62">
        <f>'FS Desroches Daily'!V13</f>
        <v>532</v>
      </c>
      <c r="O11" s="62">
        <f>'FS Desroches Daily'!X13</f>
        <v>339.99999999997499</v>
      </c>
      <c r="P11" s="62">
        <f>'FS Desroches Daily'!Z13</f>
        <v>2900.0000000001246</v>
      </c>
      <c r="Q11" s="62">
        <f>'FS Desroches Daily'!AB13</f>
        <v>430.00000000000682</v>
      </c>
      <c r="R11" s="62">
        <f>'FS Desroches Daily'!AD13</f>
        <v>500</v>
      </c>
      <c r="S11" s="62">
        <f>'FS Desroches Daily'!AF13</f>
        <v>659.99999999996817</v>
      </c>
      <c r="T11" s="62">
        <f>'FS Desroches Daily'!AH13</f>
        <v>1.7999999999999545</v>
      </c>
      <c r="U11" s="66">
        <f>'FS Desroches Daily'!AJ13</f>
        <v>430.00000000000682</v>
      </c>
      <c r="V11" s="66">
        <f>'FS Desroches Daily'!AL13</f>
        <v>3.9999999999992042E-2</v>
      </c>
      <c r="W11" s="66">
        <f>'FS Desroches Daily'!AN13</f>
        <v>0.18000000000000682</v>
      </c>
      <c r="X11" s="66">
        <f>'FS Desroches Daily'!AP13</f>
        <v>0.26999999999999602</v>
      </c>
      <c r="Y11" s="66">
        <f>'FS Desroches Daily'!AR13</f>
        <v>60.000000000002274</v>
      </c>
      <c r="Z11" s="66">
        <f>'FS Desroches Daily'!AT13</f>
        <v>279.99999999997272</v>
      </c>
      <c r="AA11" s="66">
        <f>'FS Desroches Daily'!AT13</f>
        <v>279.99999999997272</v>
      </c>
      <c r="AB11" s="66">
        <f>'FS Desroches Daily'!AV13</f>
        <v>80.000000000012506</v>
      </c>
      <c r="AC11" s="66">
        <f>'FS Desroches Daily'!AZ13</f>
        <v>239.99999999995225</v>
      </c>
      <c r="AD11" s="66">
        <f>'FS Desroches Daily'!BB13</f>
        <v>269.99999999998181</v>
      </c>
      <c r="AE11" s="66">
        <f>'FS Desroches Daily'!BD13</f>
        <v>9.9999999999909051</v>
      </c>
      <c r="AF11" s="62">
        <f>'FS Desroches Daily'!BF13</f>
        <v>52</v>
      </c>
      <c r="AG11" s="63">
        <f>'FS Desroches Daily'!BH13</f>
        <v>30.000000000001137</v>
      </c>
      <c r="AH11" s="63">
        <f>'FS Desroches Daily'!BJ13</f>
        <v>29.999999999972715</v>
      </c>
      <c r="AI11" s="63">
        <f>'FS Desroches Daily'!BL13</f>
        <v>40.000000000020464</v>
      </c>
      <c r="AJ11" s="63">
        <f>'FS Desroches Daily'!BN13</f>
        <v>39.999999999992042</v>
      </c>
      <c r="AK11" s="63">
        <f>'FS Desroches Daily'!BP13</f>
        <v>39.99999999996362</v>
      </c>
      <c r="AL11" s="63">
        <f>'FS Desroches Daily'!BR13</f>
        <v>30</v>
      </c>
      <c r="AM11" s="63">
        <f>'FS Desroches Daily'!BT13</f>
        <v>30.000000000001137</v>
      </c>
      <c r="AN11" s="63">
        <f>'FS Desroches Daily'!BV13</f>
        <v>25</v>
      </c>
      <c r="AO11" s="63">
        <f>'FS Desroches Daily'!BX13</f>
        <v>30.000000000001137</v>
      </c>
      <c r="AP11" s="63">
        <f>'FS Desroches Daily'!BZ13</f>
        <v>45</v>
      </c>
      <c r="AQ11" s="62">
        <f>'FS Desroches Daily'!CB13</f>
        <v>0</v>
      </c>
      <c r="AR11" s="62">
        <f>'FS Desroches Daily'!CD13</f>
        <v>0</v>
      </c>
      <c r="AS11" s="62">
        <f>'FS Desroches Daily'!CF13</f>
        <v>0</v>
      </c>
      <c r="AT11" s="62">
        <f>'FS Desroches Daily'!CH13</f>
        <v>0</v>
      </c>
      <c r="AU11" s="62">
        <f>'FS Desroches Daily'!CJ13</f>
        <v>0</v>
      </c>
      <c r="AV11" s="62">
        <f>'FS Desroches Daily'!CL13</f>
        <v>0</v>
      </c>
      <c r="AW11" s="62">
        <f>'FS Desroches Daily'!CM13</f>
        <v>82.4</v>
      </c>
      <c r="AX11" s="62">
        <f>IF(LPG!F18-LPG!F17&lt;0,"0",(LPG!F18-LPG!F17)*1.8315)</f>
        <v>16.483499999999999</v>
      </c>
      <c r="AY11" s="62">
        <f>IF(LPG!H18-LPG!H17&lt;0,"0",(LPG!H18-LPG!H17)*1.8315)</f>
        <v>3.6629999999999998</v>
      </c>
      <c r="AZ11" s="62">
        <f>IF(LPG!J18-LPG!J17&lt;0,"0",(LPG!J18-LPG!J17)*1.8315)</f>
        <v>1.8314999999999999</v>
      </c>
      <c r="BA11" s="62">
        <f>IF(LPG!M18-LPG!M17&lt;0,"0",(LPG!M18-LPG!M17)*1.8315)</f>
        <v>3.6629999999999998</v>
      </c>
      <c r="BB11" s="62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8" t="s">
        <v>11</v>
      </c>
      <c r="B12" s="15">
        <f t="shared" si="0"/>
        <v>11</v>
      </c>
      <c r="C12" s="18">
        <v>11</v>
      </c>
      <c r="D12" s="58">
        <v>2019</v>
      </c>
      <c r="E12" s="62">
        <f>'FS Desroches Daily'!D14</f>
        <v>2699.9999999999245</v>
      </c>
      <c r="F12" s="63">
        <f>'FS Desroches Daily'!F14</f>
        <v>3200.0000000000919</v>
      </c>
      <c r="G12" s="62">
        <f>'FS Desroches Daily'!H14</f>
        <v>3300.0000000000805</v>
      </c>
      <c r="H12" s="63">
        <f>'FS Desroches Daily'!J14</f>
        <v>1480.0000000000182</v>
      </c>
      <c r="I12" s="62">
        <f>'FS Desroches Daily'!L14</f>
        <v>2000.0000000000018</v>
      </c>
      <c r="J12" s="63">
        <f>'FS Desroches Daily'!N14</f>
        <v>1819.9999999999363</v>
      </c>
      <c r="K12" s="13">
        <f>'FS Desroches Daily'!P14</f>
        <v>21</v>
      </c>
      <c r="L12" s="62">
        <f>'FS Desroches Daily'!R14</f>
        <v>8</v>
      </c>
      <c r="M12" s="62">
        <f>'FS Desroches Daily'!T14</f>
        <v>1407</v>
      </c>
      <c r="N12" s="62">
        <f>'FS Desroches Daily'!V14</f>
        <v>489</v>
      </c>
      <c r="O12" s="62">
        <f>'FS Desroches Daily'!X14</f>
        <v>319.99999999999318</v>
      </c>
      <c r="P12" s="62">
        <f>'FS Desroches Daily'!Z14</f>
        <v>2799.9999999999136</v>
      </c>
      <c r="Q12" s="62">
        <f>'FS Desroches Daily'!AB14</f>
        <v>469.99999999999886</v>
      </c>
      <c r="R12" s="62">
        <f>'FS Desroches Daily'!AD14</f>
        <v>549.99999999998295</v>
      </c>
      <c r="S12" s="62">
        <f>'FS Desroches Daily'!AF14</f>
        <v>780.00000000002956</v>
      </c>
      <c r="T12" s="62">
        <f>'FS Desroches Daily'!AH14</f>
        <v>1</v>
      </c>
      <c r="U12" s="66">
        <f>'FS Desroches Daily'!AJ14</f>
        <v>490.00000000000909</v>
      </c>
      <c r="V12" s="66">
        <f>'FS Desroches Daily'!AL14</f>
        <v>6.0000000000002274E-2</v>
      </c>
      <c r="W12" s="66">
        <f>'FS Desroches Daily'!AN14</f>
        <v>0.20999999999999375</v>
      </c>
      <c r="X12" s="66">
        <f>'FS Desroches Daily'!AP14</f>
        <v>0.28999999999999204</v>
      </c>
      <c r="Y12" s="66">
        <f>'FS Desroches Daily'!AR14</f>
        <v>90.000000000003411</v>
      </c>
      <c r="Z12" s="66">
        <f>'FS Desroches Daily'!AT14</f>
        <v>259.99999999999091</v>
      </c>
      <c r="AA12" s="66">
        <f>'FS Desroches Daily'!AT14</f>
        <v>259.99999999999091</v>
      </c>
      <c r="AB12" s="66">
        <f>'FS Desroches Daily'!AV14</f>
        <v>69.999999999993179</v>
      </c>
      <c r="AC12" s="66">
        <f>'FS Desroches Daily'!AZ14</f>
        <v>280.00000000002956</v>
      </c>
      <c r="AD12" s="66">
        <f>'FS Desroches Daily'!BB14</f>
        <v>259.99999999999091</v>
      </c>
      <c r="AE12" s="66">
        <f>'FS Desroches Daily'!BD14</f>
        <v>9.9999999999909051</v>
      </c>
      <c r="AF12" s="62">
        <f>'FS Desroches Daily'!BF14</f>
        <v>0</v>
      </c>
      <c r="AG12" s="63">
        <f>'FS Desroches Daily'!BH14</f>
        <v>30.000000000001137</v>
      </c>
      <c r="AH12" s="63">
        <f>'FS Desroches Daily'!BJ14</f>
        <v>40.000000000020464</v>
      </c>
      <c r="AI12" s="63">
        <f>'FS Desroches Daily'!BL14</f>
        <v>39.999999999992042</v>
      </c>
      <c r="AJ12" s="63">
        <f>'FS Desroches Daily'!BN14</f>
        <v>39.999999999992042</v>
      </c>
      <c r="AK12" s="63">
        <f>'FS Desroches Daily'!BP14</f>
        <v>40.000000000020464</v>
      </c>
      <c r="AL12" s="63">
        <f>'FS Desroches Daily'!BR14</f>
        <v>34</v>
      </c>
      <c r="AM12" s="63">
        <f>'FS Desroches Daily'!BT14</f>
        <v>39.999999999992042</v>
      </c>
      <c r="AN12" s="63">
        <f>'FS Desroches Daily'!BV14</f>
        <v>35</v>
      </c>
      <c r="AO12" s="63">
        <f>'FS Desroches Daily'!BX14</f>
        <v>30.000000000001137</v>
      </c>
      <c r="AP12" s="63">
        <f>'FS Desroches Daily'!BZ14</f>
        <v>37</v>
      </c>
      <c r="AQ12" s="62">
        <f>'FS Desroches Daily'!CB14</f>
        <v>0</v>
      </c>
      <c r="AR12" s="62">
        <f>'FS Desroches Daily'!CD14</f>
        <v>0</v>
      </c>
      <c r="AS12" s="62">
        <f>'FS Desroches Daily'!CF14</f>
        <v>0</v>
      </c>
      <c r="AT12" s="62">
        <f>'FS Desroches Daily'!CH14</f>
        <v>0</v>
      </c>
      <c r="AU12" s="62">
        <f>'FS Desroches Daily'!CJ14</f>
        <v>0</v>
      </c>
      <c r="AV12" s="62">
        <f>'FS Desroches Daily'!CL14</f>
        <v>0</v>
      </c>
      <c r="AW12" s="62">
        <f>'FS Desroches Daily'!CM14</f>
        <v>85.6</v>
      </c>
      <c r="AX12" s="62">
        <f>IF(LPG!F19-LPG!F18&lt;0,"0",(LPG!F19-LPG!F18)*1.8315)</f>
        <v>16.483499999999999</v>
      </c>
      <c r="AY12" s="62">
        <f>IF(LPG!H19-LPG!H18&lt;0,"0",(LPG!H19-LPG!H18)*1.8315)</f>
        <v>3.6629999999999998</v>
      </c>
      <c r="AZ12" s="62">
        <f>IF(LPG!J19-LPG!J18&lt;0,"0",(LPG!J19-LPG!J18)*1.8315)</f>
        <v>0</v>
      </c>
      <c r="BA12" s="62">
        <f>IF(LPG!M19-LPG!M18&lt;0,"0",(LPG!M19-LPG!M18)*1.8315)</f>
        <v>7.3259999999999996</v>
      </c>
      <c r="BB12" s="62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8" t="s">
        <v>11</v>
      </c>
      <c r="B13" s="15">
        <f t="shared" si="0"/>
        <v>12</v>
      </c>
      <c r="C13" s="18">
        <v>11</v>
      </c>
      <c r="D13" s="58">
        <v>2019</v>
      </c>
      <c r="E13" s="62">
        <f>'FS Desroches Daily'!D15</f>
        <v>2600.0000000001578</v>
      </c>
      <c r="F13" s="63">
        <f>'FS Desroches Daily'!F15</f>
        <v>3100.0000000003247</v>
      </c>
      <c r="G13" s="62">
        <f>'FS Desroches Daily'!H15</f>
        <v>3199.9999999998695</v>
      </c>
      <c r="H13" s="63">
        <f>'FS Desroches Daily'!J15</f>
        <v>1379.9999999999955</v>
      </c>
      <c r="I13" s="62">
        <f>'FS Desroches Daily'!L15</f>
        <v>2299.9999999999686</v>
      </c>
      <c r="J13" s="63">
        <f>'FS Desroches Daily'!N15</f>
        <v>1740.0000000000091</v>
      </c>
      <c r="K13" s="13">
        <f>'FS Desroches Daily'!P15</f>
        <v>20</v>
      </c>
      <c r="L13" s="62">
        <f>'FS Desroches Daily'!R15</f>
        <v>7</v>
      </c>
      <c r="M13" s="62">
        <f>'FS Desroches Daily'!T15</f>
        <v>1199</v>
      </c>
      <c r="N13" s="62">
        <f>'FS Desroches Daily'!V15</f>
        <v>375</v>
      </c>
      <c r="O13" s="62">
        <f>'FS Desroches Daily'!X15</f>
        <v>329.99999999998408</v>
      </c>
      <c r="P13" s="62">
        <f>'FS Desroches Daily'!Z15</f>
        <v>2900.0000000001246</v>
      </c>
      <c r="Q13" s="62">
        <f>'FS Desroches Daily'!AB15</f>
        <v>490.00000000000909</v>
      </c>
      <c r="R13" s="62">
        <f>'FS Desroches Daily'!AD15</f>
        <v>439.99999999999773</v>
      </c>
      <c r="S13" s="62">
        <f>'FS Desroches Daily'!AF15</f>
        <v>719.99999999997044</v>
      </c>
      <c r="T13" s="62">
        <f>'FS Desroches Daily'!AH15</f>
        <v>1.3000000000000682</v>
      </c>
      <c r="U13" s="66">
        <f>'FS Desroches Daily'!AJ15</f>
        <v>550.00000000001137</v>
      </c>
      <c r="V13" s="66">
        <f>'FS Desroches Daily'!AL15</f>
        <v>4.0000000000006253E-2</v>
      </c>
      <c r="W13" s="66">
        <f>'FS Desroches Daily'!AN15</f>
        <v>0.20000000000000284</v>
      </c>
      <c r="X13" s="66">
        <f>'FS Desroches Daily'!AP15</f>
        <v>0.26000000000000512</v>
      </c>
      <c r="Y13" s="66">
        <f>'FS Desroches Daily'!AR15</f>
        <v>210.00000000000796</v>
      </c>
      <c r="Z13" s="66">
        <f>'FS Desroches Daily'!AT15</f>
        <v>240.00000000000909</v>
      </c>
      <c r="AA13" s="66">
        <f>'FS Desroches Daily'!AT15</f>
        <v>240.00000000000909</v>
      </c>
      <c r="AB13" s="66">
        <f>'FS Desroches Daily'!AV15</f>
        <v>69.999999999993179</v>
      </c>
      <c r="AC13" s="66">
        <f>'FS Desroches Daily'!AZ15</f>
        <v>279.99999999997272</v>
      </c>
      <c r="AD13" s="66">
        <f>'FS Desroches Daily'!BB15</f>
        <v>120.00000000000455</v>
      </c>
      <c r="AE13" s="66">
        <f>'FS Desroches Daily'!BD15</f>
        <v>10.000000000019327</v>
      </c>
      <c r="AF13" s="62">
        <f>'FS Desroches Daily'!BF15</f>
        <v>97</v>
      </c>
      <c r="AG13" s="63">
        <f>'FS Desroches Daily'!BH15</f>
        <v>30.000000000001137</v>
      </c>
      <c r="AH13" s="63">
        <f>'FS Desroches Daily'!BJ15</f>
        <v>40.000000000020464</v>
      </c>
      <c r="AI13" s="63">
        <f>'FS Desroches Daily'!BL15</f>
        <v>39.999999999992042</v>
      </c>
      <c r="AJ13" s="63">
        <f>'FS Desroches Daily'!BN15</f>
        <v>40.000000000020464</v>
      </c>
      <c r="AK13" s="63">
        <f>'FS Desroches Daily'!BP15</f>
        <v>40.000000000020464</v>
      </c>
      <c r="AL13" s="63">
        <f>'FS Desroches Daily'!BR15</f>
        <v>34</v>
      </c>
      <c r="AM13" s="63">
        <f>'FS Desroches Daily'!BT15</f>
        <v>39.999999999992042</v>
      </c>
      <c r="AN13" s="63">
        <f>'FS Desroches Daily'!BV15</f>
        <v>35</v>
      </c>
      <c r="AO13" s="63">
        <f>'FS Desroches Daily'!BX15</f>
        <v>30.000000000001137</v>
      </c>
      <c r="AP13" s="63">
        <f>'FS Desroches Daily'!BZ15</f>
        <v>37</v>
      </c>
      <c r="AQ13" s="62">
        <f>'FS Desroches Daily'!CB15</f>
        <v>0</v>
      </c>
      <c r="AR13" s="62">
        <f>'FS Desroches Daily'!CD15</f>
        <v>0</v>
      </c>
      <c r="AS13" s="62">
        <f>'FS Desroches Daily'!CF15</f>
        <v>0</v>
      </c>
      <c r="AT13" s="62">
        <f>'FS Desroches Daily'!CH15</f>
        <v>0</v>
      </c>
      <c r="AU13" s="62">
        <f>'FS Desroches Daily'!CJ15</f>
        <v>0</v>
      </c>
      <c r="AV13" s="62">
        <f>'FS Desroches Daily'!CL15</f>
        <v>0</v>
      </c>
      <c r="AW13" s="62">
        <f>'FS Desroches Daily'!CM15</f>
        <v>95.5</v>
      </c>
      <c r="AX13" s="62">
        <f>IF(LPG!F20-LPG!F19&lt;0,"0",(LPG!F20-LPG!F19)*1.8315)</f>
        <v>16.483499999999999</v>
      </c>
      <c r="AY13" s="62">
        <f>IF(LPG!H20-LPG!H19&lt;0,"0",(LPG!H20-LPG!H19)*1.8315)</f>
        <v>3.6629999999999998</v>
      </c>
      <c r="AZ13" s="62">
        <f>IF(LPG!J20-LPG!J19&lt;0,"0",(LPG!J20-LPG!J19)*1.8315)</f>
        <v>1.8314999999999999</v>
      </c>
      <c r="BA13" s="62">
        <f>IF(LPG!M20-LPG!M19&lt;0,"0",(LPG!M20-LPG!M19)*1.8315)</f>
        <v>5.4944999999999995</v>
      </c>
      <c r="BB13" s="62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8" t="s">
        <v>11</v>
      </c>
      <c r="B14" s="15">
        <f t="shared" si="0"/>
        <v>13</v>
      </c>
      <c r="C14" s="18">
        <v>11</v>
      </c>
      <c r="D14" s="58">
        <v>2019</v>
      </c>
      <c r="E14" s="62">
        <f>'FS Desroches Daily'!D16</f>
        <v>2299.9999999999686</v>
      </c>
      <c r="F14" s="63">
        <f>'FS Desroches Daily'!F16</f>
        <v>3299.9999999998586</v>
      </c>
      <c r="G14" s="62">
        <f>'FS Desroches Daily'!H16</f>
        <v>3700.0000000000364</v>
      </c>
      <c r="H14" s="63">
        <f>'FS Desroches Daily'!J16</f>
        <v>1529.9999999999727</v>
      </c>
      <c r="I14" s="62">
        <f>'FS Desroches Daily'!L16</f>
        <v>2499.9999999999468</v>
      </c>
      <c r="J14" s="63">
        <f>'FS Desroches Daily'!N16</f>
        <v>1789.9999999999636</v>
      </c>
      <c r="K14" s="13">
        <f>'FS Desroches Daily'!P16</f>
        <v>22</v>
      </c>
      <c r="L14" s="62">
        <f>'FS Desroches Daily'!R16</f>
        <v>9</v>
      </c>
      <c r="M14" s="62">
        <f>'FS Desroches Daily'!T16</f>
        <v>1531</v>
      </c>
      <c r="N14" s="62">
        <f>'FS Desroches Daily'!V16</f>
        <v>617</v>
      </c>
      <c r="O14" s="62">
        <f>'FS Desroches Daily'!X16</f>
        <v>420.00000000001592</v>
      </c>
      <c r="P14" s="62">
        <f>'FS Desroches Daily'!Z16</f>
        <v>2799.9999999999136</v>
      </c>
      <c r="Q14" s="62">
        <f>'FS Desroches Daily'!AB16</f>
        <v>360.00000000001364</v>
      </c>
      <c r="R14" s="62">
        <f>'FS Desroches Daily'!AD16</f>
        <v>410.00000000002501</v>
      </c>
      <c r="S14" s="62">
        <f>'FS Desroches Daily'!AF16</f>
        <v>870.00000000000455</v>
      </c>
      <c r="T14" s="62">
        <f>'FS Desroches Daily'!AH16</f>
        <v>2.8999999999999773</v>
      </c>
      <c r="U14" s="66">
        <f>'FS Desroches Daily'!AJ16</f>
        <v>479.99999999996135</v>
      </c>
      <c r="V14" s="66">
        <f>'FS Desroches Daily'!AL16</f>
        <v>4.9999999999997158E-2</v>
      </c>
      <c r="W14" s="66">
        <f>'FS Desroches Daily'!AN16</f>
        <v>0.15999999999999659</v>
      </c>
      <c r="X14" s="66">
        <f>'FS Desroches Daily'!AP16</f>
        <v>0.25</v>
      </c>
      <c r="Y14" s="66">
        <f>'FS Desroches Daily'!AR16</f>
        <v>109.99999999998522</v>
      </c>
      <c r="Z14" s="66">
        <f>'FS Desroches Daily'!AT16</f>
        <v>300.00000000001137</v>
      </c>
      <c r="AA14" s="66">
        <f>'FS Desroches Daily'!AT16</f>
        <v>300.00000000001137</v>
      </c>
      <c r="AB14" s="66">
        <f>'FS Desroches Daily'!AV16</f>
        <v>60.000000000002274</v>
      </c>
      <c r="AC14" s="66">
        <f>'FS Desroches Daily'!AZ16</f>
        <v>240.00000000000909</v>
      </c>
      <c r="AD14" s="66">
        <f>'FS Desroches Daily'!BB16</f>
        <v>69.999999999993179</v>
      </c>
      <c r="AE14" s="66">
        <f>'FS Desroches Daily'!BD16</f>
        <v>19.99999999998181</v>
      </c>
      <c r="AF14" s="62">
        <f>'FS Desroches Daily'!BF16</f>
        <v>52</v>
      </c>
      <c r="AG14" s="63">
        <f>'FS Desroches Daily'!BH16</f>
        <v>30.000000000001137</v>
      </c>
      <c r="AH14" s="63">
        <f>'FS Desroches Daily'!BJ16</f>
        <v>39.99999999996362</v>
      </c>
      <c r="AI14" s="63">
        <f>'FS Desroches Daily'!BL16</f>
        <v>40.000000000020464</v>
      </c>
      <c r="AJ14" s="63">
        <f>'FS Desroches Daily'!BN16</f>
        <v>39.999999999992042</v>
      </c>
      <c r="AK14" s="63">
        <f>'FS Desroches Daily'!BP16</f>
        <v>29.999999999972715</v>
      </c>
      <c r="AL14" s="63">
        <f>'FS Desroches Daily'!BR16</f>
        <v>28</v>
      </c>
      <c r="AM14" s="63">
        <f>'FS Desroches Daily'!BT16</f>
        <v>40.000000000020464</v>
      </c>
      <c r="AN14" s="63">
        <f>'FS Desroches Daily'!BV16</f>
        <v>29</v>
      </c>
      <c r="AO14" s="63">
        <f>'FS Desroches Daily'!BX16</f>
        <v>39.999999999992042</v>
      </c>
      <c r="AP14" s="63">
        <f>'FS Desroches Daily'!BZ16</f>
        <v>51</v>
      </c>
      <c r="AQ14" s="62">
        <f>'FS Desroches Daily'!CB16</f>
        <v>0</v>
      </c>
      <c r="AR14" s="62">
        <f>'FS Desroches Daily'!CD16</f>
        <v>15.100000000000364</v>
      </c>
      <c r="AS14" s="62">
        <f>'FS Desroches Daily'!CF16</f>
        <v>1.6999999999998181</v>
      </c>
      <c r="AT14" s="62">
        <f>'FS Desroches Daily'!CH16</f>
        <v>33.599999999998545</v>
      </c>
      <c r="AU14" s="62">
        <f>'FS Desroches Daily'!CJ16</f>
        <v>350</v>
      </c>
      <c r="AV14" s="62">
        <f>'FS Desroches Daily'!CL16</f>
        <v>0</v>
      </c>
      <c r="AW14" s="62">
        <f>'FS Desroches Daily'!CM16</f>
        <v>104</v>
      </c>
      <c r="AX14" s="62">
        <f>IF(LPG!F21-LPG!F20&lt;0,"0",(LPG!F21-LPG!F20)*1.8315)</f>
        <v>32.966999999999999</v>
      </c>
      <c r="AY14" s="62">
        <f>IF(LPG!H21-LPG!H20&lt;0,"0",(LPG!H21-LPG!H20)*1.8315)</f>
        <v>7.3259999999999996</v>
      </c>
      <c r="AZ14" s="62">
        <f>IF(LPG!J21-LPG!J20&lt;0,"0",(LPG!J21-LPG!J20)*1.8315)</f>
        <v>1.8314999999999999</v>
      </c>
      <c r="BA14" s="62">
        <f>IF(LPG!M21-LPG!M20&lt;0,"0",(LPG!M21-LPG!M20)*1.8315)</f>
        <v>7.3259999999999996</v>
      </c>
      <c r="BB14" s="62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8" t="s">
        <v>11</v>
      </c>
      <c r="B15" s="15">
        <f t="shared" si="0"/>
        <v>14</v>
      </c>
      <c r="C15" s="18">
        <v>11</v>
      </c>
      <c r="D15" s="58">
        <v>2019</v>
      </c>
      <c r="E15" s="62">
        <f>'FS Desroches Daily'!D17</f>
        <v>2399.9999999999577</v>
      </c>
      <c r="F15" s="63">
        <f>'FS Desroches Daily'!F17</f>
        <v>3899.9999999997926</v>
      </c>
      <c r="G15" s="62">
        <f>'FS Desroches Daily'!H17</f>
        <v>3600.0000000000477</v>
      </c>
      <c r="H15" s="63">
        <f>'FS Desroches Daily'!J17</f>
        <v>1759.9999999999909</v>
      </c>
      <c r="I15" s="62">
        <f>'FS Desroches Daily'!L17</f>
        <v>2500.0000000001687</v>
      </c>
      <c r="J15" s="63">
        <f>'FS Desroches Daily'!N17</f>
        <v>2500</v>
      </c>
      <c r="K15" s="13">
        <f>'FS Desroches Daily'!P17</f>
        <v>18</v>
      </c>
      <c r="L15" s="62">
        <f>'FS Desroches Daily'!R17</f>
        <v>9</v>
      </c>
      <c r="M15" s="62">
        <f>'FS Desroches Daily'!T17</f>
        <v>1345</v>
      </c>
      <c r="N15" s="62">
        <f>'FS Desroches Daily'!V17</f>
        <v>601</v>
      </c>
      <c r="O15" s="62">
        <f>'FS Desroches Daily'!X17</f>
        <v>569.99999999999318</v>
      </c>
      <c r="P15" s="62">
        <f>'FS Desroches Daily'!Z17</f>
        <v>3200.0000000000919</v>
      </c>
      <c r="Q15" s="62">
        <f>'FS Desroches Daily'!AB17</f>
        <v>529.99999999997272</v>
      </c>
      <c r="R15" s="62">
        <f>'FS Desroches Daily'!AD17</f>
        <v>489.99999999998067</v>
      </c>
      <c r="S15" s="62">
        <f>'FS Desroches Daily'!AF17</f>
        <v>1150.0000000000341</v>
      </c>
      <c r="T15" s="62">
        <f>'FS Desroches Daily'!AH17</f>
        <v>1.8999999999999773</v>
      </c>
      <c r="U15" s="66">
        <f>'FS Desroches Daily'!AJ17</f>
        <v>540.00000000002046</v>
      </c>
      <c r="V15" s="66">
        <f>'FS Desroches Daily'!AL17</f>
        <v>6.9999999999993179E-2</v>
      </c>
      <c r="W15" s="66">
        <f>'FS Desroches Daily'!AN17</f>
        <v>3.0000000000001137E-2</v>
      </c>
      <c r="X15" s="66">
        <f>'FS Desroches Daily'!AP17</f>
        <v>0.18999999999999773</v>
      </c>
      <c r="Y15" s="66">
        <f>'FS Desroches Daily'!AR17</f>
        <v>100.00000000002274</v>
      </c>
      <c r="Z15" s="66">
        <f>'FS Desroches Daily'!AT17</f>
        <v>389.99999999998636</v>
      </c>
      <c r="AA15" s="66">
        <f>'FS Desroches Daily'!AT17</f>
        <v>389.99999999998636</v>
      </c>
      <c r="AB15" s="66">
        <f>'FS Desroches Daily'!AV17</f>
        <v>90.000000000003411</v>
      </c>
      <c r="AC15" s="66">
        <f>'FS Desroches Daily'!AZ17</f>
        <v>230.00000000001819</v>
      </c>
      <c r="AD15" s="66">
        <f>'FS Desroches Daily'!BB17</f>
        <v>40.000000000020464</v>
      </c>
      <c r="AE15" s="66">
        <f>'FS Desroches Daily'!BD17</f>
        <v>30.000000000001137</v>
      </c>
      <c r="AF15" s="62">
        <f>'FS Desroches Daily'!BF17</f>
        <v>48</v>
      </c>
      <c r="AG15" s="63">
        <f>'FS Desroches Daily'!BH17</f>
        <v>39.999999999992042</v>
      </c>
      <c r="AH15" s="63">
        <f>'FS Desroches Daily'!BJ17</f>
        <v>40.000000000020464</v>
      </c>
      <c r="AI15" s="63">
        <f>'FS Desroches Daily'!BL17</f>
        <v>49.999999999982947</v>
      </c>
      <c r="AJ15" s="63">
        <f>'FS Desroches Daily'!BN17</f>
        <v>49.999999999982947</v>
      </c>
      <c r="AK15" s="63">
        <f>'FS Desroches Daily'!BP17</f>
        <v>50.000000000011369</v>
      </c>
      <c r="AL15" s="63">
        <f>'FS Desroches Daily'!BR17</f>
        <v>31</v>
      </c>
      <c r="AM15" s="63">
        <f>'FS Desroches Daily'!BT17</f>
        <v>39.999999999992042</v>
      </c>
      <c r="AN15" s="63">
        <f>'FS Desroches Daily'!BV17</f>
        <v>35</v>
      </c>
      <c r="AO15" s="63">
        <f>'FS Desroches Daily'!BX17</f>
        <v>39.999999999992042</v>
      </c>
      <c r="AP15" s="63">
        <f>'FS Desroches Daily'!BZ17</f>
        <v>55</v>
      </c>
      <c r="AQ15" s="62">
        <f>'FS Desroches Daily'!CB17</f>
        <v>87.200000000000728</v>
      </c>
      <c r="AR15" s="62">
        <f>'FS Desroches Daily'!CD17</f>
        <v>15.299999999999272</v>
      </c>
      <c r="AS15" s="62">
        <f>'FS Desroches Daily'!CF17</f>
        <v>11.600000000000364</v>
      </c>
      <c r="AT15" s="62">
        <f>'FS Desroches Daily'!CH17</f>
        <v>30</v>
      </c>
      <c r="AU15" s="62">
        <f>'FS Desroches Daily'!CJ17</f>
        <v>351</v>
      </c>
      <c r="AV15" s="62">
        <f>'FS Desroches Daily'!CL17</f>
        <v>750</v>
      </c>
      <c r="AW15" s="62">
        <f>'FS Desroches Daily'!CM17</f>
        <v>109</v>
      </c>
      <c r="AX15" s="62">
        <f>IF(LPG!F22-LPG!F21&lt;0,"0",(LPG!F22-LPG!F21)*1.8315)</f>
        <v>16.483499999999999</v>
      </c>
      <c r="AY15" s="62">
        <f>IF(LPG!H22-LPG!H21&lt;0,"0",(LPG!H22-LPG!H21)*1.8315)</f>
        <v>3.6629999999999998</v>
      </c>
      <c r="AZ15" s="62">
        <f>IF(LPG!J22-LPG!J21&lt;0,"0",(LPG!J22-LPG!J21)*1.8315)</f>
        <v>1.8314999999999999</v>
      </c>
      <c r="BA15" s="62">
        <f>IF(LPG!M22-LPG!M21&lt;0,"0",(LPG!M22-LPG!M21)*1.8315)</f>
        <v>7.3259999999999996</v>
      </c>
      <c r="BB15" s="62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8" t="s">
        <v>11</v>
      </c>
      <c r="B16" s="15">
        <f t="shared" si="0"/>
        <v>15</v>
      </c>
      <c r="C16" s="18">
        <v>11</v>
      </c>
      <c r="D16" s="58">
        <v>2019</v>
      </c>
      <c r="E16" s="62">
        <f>'FS Desroches Daily'!D18</f>
        <v>2499.9999999999468</v>
      </c>
      <c r="F16" s="63">
        <f>'FS Desroches Daily'!F18</f>
        <v>3600.0000000000477</v>
      </c>
      <c r="G16" s="62">
        <f>'FS Desroches Daily'!H18</f>
        <v>3299.9999999998586</v>
      </c>
      <c r="H16" s="63">
        <f>'FS Desroches Daily'!J18</f>
        <v>1490.0000000000091</v>
      </c>
      <c r="I16" s="62">
        <f>'FS Desroches Daily'!L18</f>
        <v>5399.999999999849</v>
      </c>
      <c r="J16" s="63">
        <f>'FS Desroches Daily'!N18</f>
        <v>2120.0000000000045</v>
      </c>
      <c r="K16" s="13">
        <f>'FS Desroches Daily'!P18</f>
        <v>24</v>
      </c>
      <c r="L16" s="62">
        <f>'FS Desroches Daily'!R18</f>
        <v>8</v>
      </c>
      <c r="M16" s="62">
        <f>'FS Desroches Daily'!T18</f>
        <v>1000</v>
      </c>
      <c r="N16" s="62">
        <f>'FS Desroches Daily'!V18</f>
        <v>420</v>
      </c>
      <c r="O16" s="62">
        <f>'FS Desroches Daily'!X18</f>
        <v>439.99999999999773</v>
      </c>
      <c r="P16" s="62">
        <f>'FS Desroches Daily'!Z18</f>
        <v>3099.9999999998809</v>
      </c>
      <c r="Q16" s="62">
        <f>'FS Desroches Daily'!AB18</f>
        <v>490.00000000000909</v>
      </c>
      <c r="R16" s="62">
        <f>'FS Desroches Daily'!AD18</f>
        <v>599.99999999999432</v>
      </c>
      <c r="S16" s="62">
        <f>'FS Desroches Daily'!AF18</f>
        <v>939.99999999999773</v>
      </c>
      <c r="T16" s="62">
        <f>'FS Desroches Daily'!AH18</f>
        <v>1.6000000000000227</v>
      </c>
      <c r="U16" s="66">
        <f>'FS Desroches Daily'!AJ18</f>
        <v>610.00000000001364</v>
      </c>
      <c r="V16" s="66">
        <f>'FS Desroches Daily'!AL18</f>
        <v>5.0000000000011369E-2</v>
      </c>
      <c r="W16" s="66">
        <f>'FS Desroches Daily'!AN18</f>
        <v>0.20000000000000284</v>
      </c>
      <c r="X16" s="66">
        <f>'FS Desroches Daily'!AP18</f>
        <v>0.20000000000000284</v>
      </c>
      <c r="Y16" s="66">
        <f>'FS Desroches Daily'!AR18</f>
        <v>250</v>
      </c>
      <c r="Z16" s="66">
        <f>'FS Desroches Daily'!AT18</f>
        <v>300.00000000001137</v>
      </c>
      <c r="AA16" s="66">
        <f>'FS Desroches Daily'!AT18</f>
        <v>300.00000000001137</v>
      </c>
      <c r="AB16" s="66">
        <f>'FS Desroches Daily'!AV18</f>
        <v>120.00000000000455</v>
      </c>
      <c r="AC16" s="66">
        <f>'FS Desroches Daily'!AZ18</f>
        <v>180.00000000000682</v>
      </c>
      <c r="AD16" s="66">
        <f>'FS Desroches Daily'!BB18</f>
        <v>39.99999999996362</v>
      </c>
      <c r="AE16" s="66">
        <f>'FS Desroches Daily'!BD18</f>
        <v>9.9999999999909051</v>
      </c>
      <c r="AF16" s="62">
        <f>'FS Desroches Daily'!BF18</f>
        <v>48</v>
      </c>
      <c r="AG16" s="63">
        <f>'FS Desroches Daily'!BH18</f>
        <v>30.000000000001137</v>
      </c>
      <c r="AH16" s="63">
        <f>'FS Desroches Daily'!BJ18</f>
        <v>40.000000000020464</v>
      </c>
      <c r="AI16" s="63">
        <f>'FS Desroches Daily'!BL18</f>
        <v>50.000000000011369</v>
      </c>
      <c r="AJ16" s="63">
        <f>'FS Desroches Daily'!BN18</f>
        <v>50.000000000011369</v>
      </c>
      <c r="AK16" s="63">
        <f>'FS Desroches Daily'!BP18</f>
        <v>50.000000000011369</v>
      </c>
      <c r="AL16" s="63">
        <f>'FS Desroches Daily'!BR18</f>
        <v>31</v>
      </c>
      <c r="AM16" s="63">
        <f>'FS Desroches Daily'!BT18</f>
        <v>39.999999999992042</v>
      </c>
      <c r="AN16" s="63">
        <f>'FS Desroches Daily'!BV18</f>
        <v>35</v>
      </c>
      <c r="AO16" s="63">
        <f>'FS Desroches Daily'!BX18</f>
        <v>39.999999999992042</v>
      </c>
      <c r="AP16" s="63">
        <f>'FS Desroches Daily'!BZ18</f>
        <v>55</v>
      </c>
      <c r="AQ16" s="62">
        <f>'FS Desroches Daily'!CB18</f>
        <v>38.099999999998545</v>
      </c>
      <c r="AR16" s="62">
        <f>'FS Desroches Daily'!CD18</f>
        <v>11.799999999999272</v>
      </c>
      <c r="AS16" s="62">
        <f>'FS Desroches Daily'!CF18</f>
        <v>7.2999999999992724</v>
      </c>
      <c r="AT16" s="62">
        <f>'FS Desroches Daily'!CH18</f>
        <v>43</v>
      </c>
      <c r="AU16" s="62">
        <f>'FS Desroches Daily'!CJ18</f>
        <v>361</v>
      </c>
      <c r="AV16" s="62">
        <f>'FS Desroches Daily'!CL18</f>
        <v>689.99999999999773</v>
      </c>
      <c r="AW16" s="62">
        <f>'FS Desroches Daily'!CM18</f>
        <v>59.2</v>
      </c>
      <c r="AX16" s="62">
        <f>IF(LPG!F23-LPG!F22&lt;0,"0",(LPG!F23-LPG!F22)*1.8315)</f>
        <v>16.483499999999999</v>
      </c>
      <c r="AY16" s="62">
        <f>IF(LPG!H23-LPG!H22&lt;0,"0",(LPG!H23-LPG!H22)*1.8315)</f>
        <v>1.8314999999999999</v>
      </c>
      <c r="AZ16" s="62">
        <f>IF(LPG!J23-LPG!J22&lt;0,"0",(LPG!J23-LPG!J22)*1.8315)</f>
        <v>1.8314999999999999</v>
      </c>
      <c r="BA16" s="62">
        <f>IF(LPG!M23-LPG!M22&lt;0,"0",(LPG!M23-LPG!M22)*1.8315)</f>
        <v>5.4944999999999995</v>
      </c>
      <c r="BB16" s="62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8" t="s">
        <v>11</v>
      </c>
      <c r="B17" s="15">
        <f t="shared" si="0"/>
        <v>16</v>
      </c>
      <c r="C17" s="18">
        <v>11</v>
      </c>
      <c r="D17" s="58">
        <v>2019</v>
      </c>
      <c r="E17" s="62">
        <f>'FS Desroches Daily'!D19</f>
        <v>2099.9999999999909</v>
      </c>
      <c r="F17" s="63">
        <f>'FS Desroches Daily'!F19</f>
        <v>3500.0000000002806</v>
      </c>
      <c r="G17" s="62">
        <f>'FS Desroches Daily'!H19</f>
        <v>3500.0000000002806</v>
      </c>
      <c r="H17" s="63">
        <f>'FS Desroches Daily'!J19</f>
        <v>1519.9999999999818</v>
      </c>
      <c r="I17" s="62">
        <f>'FS Desroches Daily'!L19</f>
        <v>2400.0000000001796</v>
      </c>
      <c r="J17" s="63">
        <f>'FS Desroches Daily'!N19</f>
        <v>1990.0000000000091</v>
      </c>
      <c r="K17" s="13">
        <f>'FS Desroches Daily'!P19</f>
        <v>16</v>
      </c>
      <c r="L17" s="62">
        <f>'FS Desroches Daily'!R19</f>
        <v>9</v>
      </c>
      <c r="M17" s="62">
        <f>'FS Desroches Daily'!T19</f>
        <v>1234</v>
      </c>
      <c r="N17" s="62">
        <f>'FS Desroches Daily'!V19</f>
        <v>369</v>
      </c>
      <c r="O17" s="62">
        <f>'FS Desroches Daily'!X19</f>
        <v>410.00000000002501</v>
      </c>
      <c r="P17" s="62">
        <f>'FS Desroches Daily'!Z19</f>
        <v>3000.0000000001137</v>
      </c>
      <c r="Q17" s="62">
        <f>'FS Desroches Daily'!AB19</f>
        <v>449.99999999998863</v>
      </c>
      <c r="R17" s="62">
        <f>'FS Desroches Daily'!AD19</f>
        <v>510.00000000001933</v>
      </c>
      <c r="S17" s="62">
        <f>'FS Desroches Daily'!AF19</f>
        <v>919.99999999995907</v>
      </c>
      <c r="T17" s="62">
        <f>'FS Desroches Daily'!AH19</f>
        <v>1.8999999999999773</v>
      </c>
      <c r="U17" s="66">
        <f>'FS Desroches Daily'!AJ19</f>
        <v>459.99999999997954</v>
      </c>
      <c r="V17" s="66">
        <f>'FS Desroches Daily'!AL19</f>
        <v>6.0000000000002274E-2</v>
      </c>
      <c r="W17" s="66">
        <f>'FS Desroches Daily'!AN19</f>
        <v>0.14000000000000057</v>
      </c>
      <c r="X17" s="66">
        <f>'FS Desroches Daily'!AP19</f>
        <v>0.14000000000000057</v>
      </c>
      <c r="Y17" s="66">
        <f>'FS Desroches Daily'!AR19</f>
        <v>189.99999999999773</v>
      </c>
      <c r="Z17" s="66">
        <f>'FS Desroches Daily'!AT19</f>
        <v>329.99999999998408</v>
      </c>
      <c r="AA17" s="66">
        <f>'FS Desroches Daily'!AT19</f>
        <v>329.99999999998408</v>
      </c>
      <c r="AB17" s="66">
        <f>'FS Desroches Daily'!AV19</f>
        <v>79.999999999984084</v>
      </c>
      <c r="AC17" s="66">
        <f>'FS Desroches Daily'!AZ19</f>
        <v>50.000000000011369</v>
      </c>
      <c r="AD17" s="66">
        <f>'FS Desroches Daily'!BB19</f>
        <v>30.000000000029559</v>
      </c>
      <c r="AE17" s="66">
        <f>'FS Desroches Daily'!BD19</f>
        <v>20.000000000010232</v>
      </c>
      <c r="AF17" s="62">
        <f>'FS Desroches Daily'!BF19</f>
        <v>53</v>
      </c>
      <c r="AG17" s="63">
        <f>'FS Desroches Daily'!BH19</f>
        <v>39.999999999992042</v>
      </c>
      <c r="AH17" s="63">
        <f>'FS Desroches Daily'!BJ19</f>
        <v>39.99999999996362</v>
      </c>
      <c r="AI17" s="63">
        <f>'FS Desroches Daily'!BL19</f>
        <v>39.999999999992042</v>
      </c>
      <c r="AJ17" s="63">
        <f>'FS Desroches Daily'!BN19</f>
        <v>39.999999999992042</v>
      </c>
      <c r="AK17" s="63">
        <f>'FS Desroches Daily'!BP19</f>
        <v>19.99999999998181</v>
      </c>
      <c r="AL17" s="63">
        <f>'FS Desroches Daily'!BR19</f>
        <v>20</v>
      </c>
      <c r="AM17" s="63">
        <f>'FS Desroches Daily'!BT19</f>
        <v>30.000000000001137</v>
      </c>
      <c r="AN17" s="63">
        <f>'FS Desroches Daily'!BV19</f>
        <v>27</v>
      </c>
      <c r="AO17" s="63">
        <f>'FS Desroches Daily'!BX19</f>
        <v>10.000000000019327</v>
      </c>
      <c r="AP17" s="63">
        <f>'FS Desroches Daily'!BZ19</f>
        <v>35</v>
      </c>
      <c r="AQ17" s="62">
        <f>'FS Desroches Daily'!CB19</f>
        <v>43</v>
      </c>
      <c r="AR17" s="62">
        <f>'FS Desroches Daily'!CD19</f>
        <v>10.900000000001455</v>
      </c>
      <c r="AS17" s="62">
        <f>'FS Desroches Daily'!CF19</f>
        <v>6.5</v>
      </c>
      <c r="AT17" s="62">
        <f>'FS Desroches Daily'!CH19</f>
        <v>28.80000000000291</v>
      </c>
      <c r="AU17" s="62">
        <f>'FS Desroches Daily'!CJ19</f>
        <v>345</v>
      </c>
      <c r="AV17" s="62">
        <f>'FS Desroches Daily'!CL19</f>
        <v>750</v>
      </c>
      <c r="AW17" s="62">
        <f>'FS Desroches Daily'!CM19</f>
        <v>86.2</v>
      </c>
      <c r="AX17" s="62">
        <f>IF(LPG!F24-LPG!F23&lt;0,"0",(LPG!F24-LPG!F23)*1.8315)</f>
        <v>14.651999999999999</v>
      </c>
      <c r="AY17" s="62">
        <f>IF(LPG!H24-LPG!H23&lt;0,"0",(LPG!H24-LPG!H23)*1.8315)</f>
        <v>3.6629999999999998</v>
      </c>
      <c r="AZ17" s="62">
        <f>IF(LPG!J24-LPG!J23&lt;0,"0",(LPG!J24-LPG!J23)*1.8315)</f>
        <v>0</v>
      </c>
      <c r="BA17" s="62">
        <f>IF(LPG!M24-LPG!M23&lt;0,"0",(LPG!M24-LPG!M23)*1.8315)</f>
        <v>5.4944999999999995</v>
      </c>
      <c r="BB17" s="62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8" t="s">
        <v>11</v>
      </c>
      <c r="B18" s="15">
        <f t="shared" si="0"/>
        <v>17</v>
      </c>
      <c r="C18" s="18">
        <v>11</v>
      </c>
      <c r="D18" s="58">
        <v>2019</v>
      </c>
      <c r="E18" s="62">
        <f>'FS Desroches Daily'!D20</f>
        <v>1700.0000000000348</v>
      </c>
      <c r="F18" s="63">
        <f>'FS Desroches Daily'!F20</f>
        <v>3499.9999999998367</v>
      </c>
      <c r="G18" s="62">
        <f>'FS Desroches Daily'!H20</f>
        <v>2999.9999999996694</v>
      </c>
      <c r="H18" s="63">
        <f>'FS Desroches Daily'!J20</f>
        <v>1370.0000000000045</v>
      </c>
      <c r="I18" s="62">
        <f>'FS Desroches Daily'!L20</f>
        <v>2399.9999999999577</v>
      </c>
      <c r="J18" s="63">
        <f>'FS Desroches Daily'!N20</f>
        <v>1759.9999999999909</v>
      </c>
      <c r="K18" s="13">
        <f>'FS Desroches Daily'!P20</f>
        <v>25</v>
      </c>
      <c r="L18" s="62">
        <f>'FS Desroches Daily'!R20</f>
        <v>6</v>
      </c>
      <c r="M18" s="62">
        <f>'FS Desroches Daily'!T20</f>
        <v>1209</v>
      </c>
      <c r="N18" s="62">
        <f>'FS Desroches Daily'!V20</f>
        <v>354</v>
      </c>
      <c r="O18" s="62">
        <f>'FS Desroches Daily'!X20</f>
        <v>459.99999999997954</v>
      </c>
      <c r="P18" s="62">
        <f>'FS Desroches Daily'!Z20</f>
        <v>2999.9999999998918</v>
      </c>
      <c r="Q18" s="62">
        <f>'FS Desroches Daily'!AB20</f>
        <v>400.00000000003411</v>
      </c>
      <c r="R18" s="62">
        <f>'FS Desroches Daily'!AD20</f>
        <v>560.00000000000227</v>
      </c>
      <c r="S18" s="62">
        <f>'FS Desroches Daily'!AF20</f>
        <v>690.00000000005457</v>
      </c>
      <c r="T18" s="62">
        <f>'FS Desroches Daily'!AH20</f>
        <v>1.5</v>
      </c>
      <c r="U18" s="66">
        <f>'FS Desroches Daily'!AJ20</f>
        <v>480.00000000001819</v>
      </c>
      <c r="V18" s="66">
        <f>'FS Desroches Daily'!AL20</f>
        <v>3.9999999999992042E-2</v>
      </c>
      <c r="W18" s="66">
        <f>'FS Desroches Daily'!AN20</f>
        <v>0.12999999999999545</v>
      </c>
      <c r="X18" s="66">
        <f>'FS Desroches Daily'!AP20</f>
        <v>0.12999999999999545</v>
      </c>
      <c r="Y18" s="66">
        <f>'FS Desroches Daily'!AR20</f>
        <v>69.999999999993179</v>
      </c>
      <c r="Z18" s="66">
        <f>'FS Desroches Daily'!AT20</f>
        <v>290.00000000002046</v>
      </c>
      <c r="AA18" s="66">
        <f>'FS Desroches Daily'!AT20</f>
        <v>290.00000000002046</v>
      </c>
      <c r="AB18" s="66">
        <f>'FS Desroches Daily'!AV20</f>
        <v>69.999999999993179</v>
      </c>
      <c r="AC18" s="66">
        <f>'FS Desroches Daily'!AZ20</f>
        <v>39.99999999996362</v>
      </c>
      <c r="AD18" s="66">
        <f>'FS Desroches Daily'!BB20</f>
        <v>50.000000000011369</v>
      </c>
      <c r="AE18" s="66">
        <f>'FS Desroches Daily'!BD20</f>
        <v>0</v>
      </c>
      <c r="AF18" s="62">
        <f>'FS Desroches Daily'!BF20</f>
        <v>55</v>
      </c>
      <c r="AG18" s="63">
        <f>'FS Desroches Daily'!BH20</f>
        <v>20.000000000010232</v>
      </c>
      <c r="AH18" s="63">
        <f>'FS Desroches Daily'!BJ20</f>
        <v>40.000000000020464</v>
      </c>
      <c r="AI18" s="63">
        <f>'FS Desroches Daily'!BL20</f>
        <v>39.999999999992042</v>
      </c>
      <c r="AJ18" s="63">
        <f>'FS Desroches Daily'!BN20</f>
        <v>40.000000000020464</v>
      </c>
      <c r="AK18" s="63">
        <f>'FS Desroches Daily'!BP20</f>
        <v>29.999999999972715</v>
      </c>
      <c r="AL18" s="63">
        <f>'FS Desroches Daily'!BR20</f>
        <v>22</v>
      </c>
      <c r="AM18" s="63">
        <f>'FS Desroches Daily'!BT20</f>
        <v>40.000000000020464</v>
      </c>
      <c r="AN18" s="63">
        <f>'FS Desroches Daily'!BV20</f>
        <v>34</v>
      </c>
      <c r="AO18" s="63">
        <f>'FS Desroches Daily'!BX20</f>
        <v>30.000000000001137</v>
      </c>
      <c r="AP18" s="63">
        <f>'FS Desroches Daily'!BZ20</f>
        <v>46</v>
      </c>
      <c r="AQ18" s="62">
        <f>'FS Desroches Daily'!CB20</f>
        <v>53.099999999998545</v>
      </c>
      <c r="AR18" s="62">
        <f>'FS Desroches Daily'!CD20</f>
        <v>12.799999999999272</v>
      </c>
      <c r="AS18" s="62">
        <f>'FS Desroches Daily'!CF20</f>
        <v>8.6000000000003638</v>
      </c>
      <c r="AT18" s="62">
        <f>'FS Desroches Daily'!CH20</f>
        <v>29.899999999994179</v>
      </c>
      <c r="AU18" s="62">
        <f>'FS Desroches Daily'!CJ20</f>
        <v>306</v>
      </c>
      <c r="AV18" s="62">
        <f>'FS Desroches Daily'!CL20</f>
        <v>509.99999999999091</v>
      </c>
      <c r="AW18" s="62">
        <f>'FS Desroches Daily'!CM20</f>
        <v>83.5</v>
      </c>
      <c r="AX18" s="62">
        <f>IF(LPG!F25-LPG!F24&lt;0,"0",(LPG!F25-LPG!F24)*1.8315)</f>
        <v>16.483499999999999</v>
      </c>
      <c r="AY18" s="62">
        <f>IF(LPG!H25-LPG!H24&lt;0,"0",(LPG!H25-LPG!H24)*1.8315)</f>
        <v>3.6629999999999998</v>
      </c>
      <c r="AZ18" s="62">
        <f>IF(LPG!J25-LPG!J24&lt;0,"0",(LPG!J25-LPG!J24)*1.8315)</f>
        <v>1.8314999999999999</v>
      </c>
      <c r="BA18" s="62">
        <f>IF(LPG!M25-LPG!M24&lt;0,"0",(LPG!M25-LPG!M24)*1.8315)</f>
        <v>7.3259999999999996</v>
      </c>
      <c r="BB18" s="62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8" t="s">
        <v>11</v>
      </c>
      <c r="B19" s="15">
        <f t="shared" si="0"/>
        <v>18</v>
      </c>
      <c r="C19" s="18">
        <v>11</v>
      </c>
      <c r="D19" s="58">
        <v>2019</v>
      </c>
      <c r="E19" s="62">
        <f>'FS Desroches Daily'!D21</f>
        <v>1800.0000000000239</v>
      </c>
      <c r="F19" s="63">
        <f>'FS Desroches Daily'!F21</f>
        <v>3000.0000000001137</v>
      </c>
      <c r="G19" s="62">
        <f>'FS Desroches Daily'!H21</f>
        <v>3200.0000000000919</v>
      </c>
      <c r="H19" s="63">
        <f>'FS Desroches Daily'!J21</f>
        <v>1370.0000000000045</v>
      </c>
      <c r="I19" s="62">
        <f>'FS Desroches Daily'!L21</f>
        <v>2199.9999999999795</v>
      </c>
      <c r="J19" s="63">
        <f>'FS Desroches Daily'!N21</f>
        <v>1740.0000000000091</v>
      </c>
      <c r="K19" s="13">
        <f>'FS Desroches Daily'!P21</f>
        <v>18</v>
      </c>
      <c r="L19" s="62">
        <f>'FS Desroches Daily'!R21</f>
        <v>8</v>
      </c>
      <c r="M19" s="62">
        <f>'FS Desroches Daily'!T21</f>
        <v>724</v>
      </c>
      <c r="N19" s="62">
        <f>'FS Desroches Daily'!V21</f>
        <v>477</v>
      </c>
      <c r="O19" s="62">
        <f>'FS Desroches Daily'!X21</f>
        <v>460.00000000003638</v>
      </c>
      <c r="P19" s="62">
        <f>'FS Desroches Daily'!Z21</f>
        <v>2599.9999999999359</v>
      </c>
      <c r="Q19" s="62">
        <f>'FS Desroches Daily'!AB21</f>
        <v>439.99999999999773</v>
      </c>
      <c r="R19" s="62">
        <f>'FS Desroches Daily'!AD21</f>
        <v>939.99999999999773</v>
      </c>
      <c r="S19" s="62">
        <f>'FS Desroches Daily'!AF21</f>
        <v>779.99999999997272</v>
      </c>
      <c r="T19" s="62">
        <f>'FS Desroches Daily'!AH21</f>
        <v>1.6000000000000227</v>
      </c>
      <c r="U19" s="66">
        <f>'FS Desroches Daily'!AJ21</f>
        <v>500</v>
      </c>
      <c r="V19" s="66">
        <f>'FS Desroches Daily'!AL21</f>
        <v>4.9999999999997158E-2</v>
      </c>
      <c r="W19" s="66">
        <f>'FS Desroches Daily'!AN21</f>
        <v>0.32999999999999829</v>
      </c>
      <c r="X19" s="66">
        <f>'FS Desroches Daily'!AP21</f>
        <v>0.14000000000000057</v>
      </c>
      <c r="Y19" s="66">
        <f>'FS Desroches Daily'!AR21</f>
        <v>79.999999999984084</v>
      </c>
      <c r="Z19" s="66">
        <f>'FS Desroches Daily'!AT21</f>
        <v>319.99999999999318</v>
      </c>
      <c r="AA19" s="66">
        <f>'FS Desroches Daily'!AT21</f>
        <v>319.99999999999318</v>
      </c>
      <c r="AB19" s="66">
        <f>'FS Desroches Daily'!AV21</f>
        <v>70.0000000000216</v>
      </c>
      <c r="AC19" s="66">
        <f>'FS Desroches Daily'!AZ21</f>
        <v>40.000000000020464</v>
      </c>
      <c r="AD19" s="66">
        <f>'FS Desroches Daily'!BB21</f>
        <v>39.99999999996362</v>
      </c>
      <c r="AE19" s="66">
        <f>'FS Desroches Daily'!BD21</f>
        <v>20.000000000010232</v>
      </c>
      <c r="AF19" s="62">
        <f>'FS Desroches Daily'!BF21</f>
        <v>46</v>
      </c>
      <c r="AG19" s="63">
        <f>'FS Desroches Daily'!BH21</f>
        <v>30.000000000001137</v>
      </c>
      <c r="AH19" s="63">
        <f>'FS Desroches Daily'!BJ21</f>
        <v>29.999999999972715</v>
      </c>
      <c r="AI19" s="63">
        <f>'FS Desroches Daily'!BL21</f>
        <v>40.000000000020464</v>
      </c>
      <c r="AJ19" s="63">
        <f>'FS Desroches Daily'!BN21</f>
        <v>39.999999999992042</v>
      </c>
      <c r="AK19" s="63">
        <f>'FS Desroches Daily'!BP21</f>
        <v>40.000000000020464</v>
      </c>
      <c r="AL19" s="63">
        <f>'FS Desroches Daily'!BR21</f>
        <v>23</v>
      </c>
      <c r="AM19" s="63">
        <f>'FS Desroches Daily'!BT21</f>
        <v>29.999999999972715</v>
      </c>
      <c r="AN19" s="63">
        <f>'FS Desroches Daily'!BV21</f>
        <v>30</v>
      </c>
      <c r="AO19" s="63">
        <f>'FS Desroches Daily'!BX21</f>
        <v>30.000000000001137</v>
      </c>
      <c r="AP19" s="63">
        <f>'FS Desroches Daily'!BZ21</f>
        <v>55</v>
      </c>
      <c r="AQ19" s="62">
        <f>'FS Desroches Daily'!CB21</f>
        <v>24.600000000002183</v>
      </c>
      <c r="AR19" s="62">
        <f>'FS Desroches Daily'!CD21</f>
        <v>14.700000000000728</v>
      </c>
      <c r="AS19" s="62">
        <f>'FS Desroches Daily'!CF21</f>
        <v>11.699999999999818</v>
      </c>
      <c r="AT19" s="62">
        <f>'FS Desroches Daily'!CH21</f>
        <v>49.80000000000291</v>
      </c>
      <c r="AU19" s="62">
        <f>'FS Desroches Daily'!CJ21</f>
        <v>334</v>
      </c>
      <c r="AV19" s="62">
        <f>'FS Desroches Daily'!CL21</f>
        <v>529.99999999997272</v>
      </c>
      <c r="AW19" s="62">
        <f>'FS Desroches Daily'!CM21</f>
        <v>90.8</v>
      </c>
      <c r="AX19" s="62">
        <f>IF(LPG!F26-LPG!F25&lt;0,"0",(LPG!F26-LPG!F25)*1.8315)</f>
        <v>16.483499999999999</v>
      </c>
      <c r="AY19" s="62">
        <f>IF(LPG!H26-LPG!H25&lt;0,"0",(LPG!H26-LPG!H25)*1.8315)</f>
        <v>3.6629999999999998</v>
      </c>
      <c r="AZ19" s="62">
        <f>IF(LPG!J26-LPG!J25&lt;0,"0",(LPG!J26-LPG!J25)*1.8315)</f>
        <v>0</v>
      </c>
      <c r="BA19" s="62">
        <f>IF(LPG!M26-LPG!M25&lt;0,"0",(LPG!M26-LPG!M25)*1.8315)</f>
        <v>5.4944999999999995</v>
      </c>
      <c r="BB19" s="62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8" t="s">
        <v>11</v>
      </c>
      <c r="B20" s="15">
        <f t="shared" si="0"/>
        <v>19</v>
      </c>
      <c r="C20" s="18">
        <v>11</v>
      </c>
      <c r="D20" s="58">
        <v>2019</v>
      </c>
      <c r="E20" s="62">
        <f>'FS Desroches Daily'!D22</f>
        <v>1800.0000000000239</v>
      </c>
      <c r="F20" s="63">
        <f>'FS Desroches Daily'!F22</f>
        <v>3400.0000000000696</v>
      </c>
      <c r="G20" s="62">
        <f>'FS Desroches Daily'!H22</f>
        <v>3400.0000000000696</v>
      </c>
      <c r="H20" s="63">
        <f>'FS Desroches Daily'!J22</f>
        <v>1450.0000000000455</v>
      </c>
      <c r="I20" s="62">
        <f>'FS Desroches Daily'!L22</f>
        <v>2499.9999999999468</v>
      </c>
      <c r="J20" s="63">
        <f>'FS Desroches Daily'!N22</f>
        <v>1629.9999999999955</v>
      </c>
      <c r="K20" s="13">
        <f>'FS Desroches Daily'!P22</f>
        <v>22</v>
      </c>
      <c r="L20" s="62">
        <f>'FS Desroches Daily'!R22</f>
        <v>8</v>
      </c>
      <c r="M20" s="62">
        <f>'FS Desroches Daily'!T22</f>
        <v>1203</v>
      </c>
      <c r="N20" s="62">
        <f>'FS Desroches Daily'!V22</f>
        <v>483</v>
      </c>
      <c r="O20" s="62">
        <f>'FS Desroches Daily'!X22</f>
        <v>479.99999999996135</v>
      </c>
      <c r="P20" s="62">
        <f>'FS Desroches Daily'!Z22</f>
        <v>2800.0000000001355</v>
      </c>
      <c r="Q20" s="62">
        <f>'FS Desroches Daily'!AB22</f>
        <v>449.99999999998863</v>
      </c>
      <c r="R20" s="62">
        <f>'FS Desroches Daily'!AD22</f>
        <v>400.00000000000568</v>
      </c>
      <c r="S20" s="62">
        <f>'FS Desroches Daily'!AF22</f>
        <v>680.00000000000682</v>
      </c>
      <c r="T20" s="62">
        <f>'FS Desroches Daily'!AH22</f>
        <v>1.5</v>
      </c>
      <c r="U20" s="66">
        <f>'FS Desroches Daily'!AJ22</f>
        <v>529.99999999997272</v>
      </c>
      <c r="V20" s="66">
        <f>'FS Desroches Daily'!AL22</f>
        <v>6.0000000000002274E-2</v>
      </c>
      <c r="W20" s="66">
        <f>'FS Desroches Daily'!AN22</f>
        <v>0.15000000000000568</v>
      </c>
      <c r="X20" s="66">
        <f>'FS Desroches Daily'!AP22</f>
        <v>0.15000000000000568</v>
      </c>
      <c r="Y20" s="66">
        <f>'FS Desroches Daily'!AR22</f>
        <v>70.0000000000216</v>
      </c>
      <c r="Z20" s="66">
        <f>'FS Desroches Daily'!AT22</f>
        <v>310.00000000000227</v>
      </c>
      <c r="AA20" s="66">
        <f>'FS Desroches Daily'!AT22</f>
        <v>310.00000000000227</v>
      </c>
      <c r="AB20" s="66">
        <f>'FS Desroches Daily'!AV22</f>
        <v>79.999999999984084</v>
      </c>
      <c r="AC20" s="66">
        <f>'FS Desroches Daily'!AZ22</f>
        <v>39.99999999996362</v>
      </c>
      <c r="AD20" s="66">
        <f>'FS Desroches Daily'!BB22</f>
        <v>40.000000000020464</v>
      </c>
      <c r="AE20" s="66">
        <f>'FS Desroches Daily'!BD22</f>
        <v>9.9999999999909051</v>
      </c>
      <c r="AF20" s="62">
        <f>'FS Desroches Daily'!BF22</f>
        <v>49</v>
      </c>
      <c r="AG20" s="63">
        <f>'FS Desroches Daily'!BH22</f>
        <v>20.000000000010232</v>
      </c>
      <c r="AH20" s="63">
        <f>'FS Desroches Daily'!BJ22</f>
        <v>40.000000000020464</v>
      </c>
      <c r="AI20" s="63">
        <f>'FS Desroches Daily'!BL22</f>
        <v>39.999999999992042</v>
      </c>
      <c r="AJ20" s="63">
        <f>'FS Desroches Daily'!BN22</f>
        <v>39.999999999992042</v>
      </c>
      <c r="AK20" s="63">
        <f>'FS Desroches Daily'!BP22</f>
        <v>40.000000000020464</v>
      </c>
      <c r="AL20" s="63">
        <f>'FS Desroches Daily'!BR22</f>
        <v>33</v>
      </c>
      <c r="AM20" s="63">
        <f>'FS Desroches Daily'!BT22</f>
        <v>40.000000000020464</v>
      </c>
      <c r="AN20" s="63">
        <f>'FS Desroches Daily'!BV22</f>
        <v>28</v>
      </c>
      <c r="AO20" s="63">
        <f>'FS Desroches Daily'!BX22</f>
        <v>30.000000000001137</v>
      </c>
      <c r="AP20" s="63">
        <f>'FS Desroches Daily'!BZ22</f>
        <v>42</v>
      </c>
      <c r="AQ20" s="62">
        <f>'FS Desroches Daily'!CB22</f>
        <v>26</v>
      </c>
      <c r="AR20" s="62">
        <f>'FS Desroches Daily'!CD22</f>
        <v>11</v>
      </c>
      <c r="AS20" s="62">
        <f>'FS Desroches Daily'!CF22</f>
        <v>10</v>
      </c>
      <c r="AT20" s="62">
        <f>'FS Desroches Daily'!CH22</f>
        <v>25</v>
      </c>
      <c r="AU20" s="62">
        <f>'FS Desroches Daily'!CJ22</f>
        <v>283</v>
      </c>
      <c r="AV20" s="62">
        <f>'FS Desroches Daily'!CL22</f>
        <v>460.00000000003638</v>
      </c>
      <c r="AW20" s="62">
        <f>'FS Desroches Daily'!CM22</f>
        <v>88</v>
      </c>
      <c r="AX20" s="62">
        <f>IF(LPG!F27-LPG!F26&lt;0,"0",(LPG!F27-LPG!F26)*1.8315)</f>
        <v>14.651999999999999</v>
      </c>
      <c r="AY20" s="62">
        <f>IF(LPG!H27-LPG!H26&lt;0,"0",(LPG!H27-LPG!H26)*1.8315)</f>
        <v>3.6629999999999998</v>
      </c>
      <c r="AZ20" s="62">
        <f>IF(LPG!J27-LPG!J26&lt;0,"0",(LPG!J27-LPG!J26)*1.8315)</f>
        <v>1.8314999999999999</v>
      </c>
      <c r="BA20" s="62">
        <f>IF(LPG!M27-LPG!M26&lt;0,"0",(LPG!M27-LPG!M26)*1.8315)</f>
        <v>3.6629999999999998</v>
      </c>
      <c r="BB20" s="62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8" t="s">
        <v>11</v>
      </c>
      <c r="B21" s="15">
        <f t="shared" si="0"/>
        <v>20</v>
      </c>
      <c r="C21" s="18">
        <v>11</v>
      </c>
      <c r="D21" s="58">
        <v>2019</v>
      </c>
      <c r="E21" s="62">
        <f>'FS Desroches Daily'!D23</f>
        <v>1600.0000000000459</v>
      </c>
      <c r="F21" s="63">
        <f>'FS Desroches Daily'!F23</f>
        <v>2899.9999999999027</v>
      </c>
      <c r="G21" s="62">
        <f>'FS Desroches Daily'!H23</f>
        <v>2899.9999999999027</v>
      </c>
      <c r="H21" s="63">
        <f>'FS Desroches Daily'!J23</f>
        <v>1209.9999999999227</v>
      </c>
      <c r="I21" s="62">
        <f>'FS Desroches Daily'!L23</f>
        <v>2099.9999999999909</v>
      </c>
      <c r="J21" s="63">
        <f>'FS Desroches Daily'!N23</f>
        <v>1440.0000000000546</v>
      </c>
      <c r="K21" s="13">
        <f>'FS Desroches Daily'!P23</f>
        <v>19</v>
      </c>
      <c r="L21" s="62">
        <f>'FS Desroches Daily'!R23</f>
        <v>5</v>
      </c>
      <c r="M21" s="62">
        <f>'FS Desroches Daily'!T23</f>
        <v>1317</v>
      </c>
      <c r="N21" s="62">
        <f>'FS Desroches Daily'!V23</f>
        <v>545</v>
      </c>
      <c r="O21" s="62">
        <f>'FS Desroches Daily'!X23</f>
        <v>360.00000000001364</v>
      </c>
      <c r="P21" s="62">
        <f>'FS Desroches Daily'!Z23</f>
        <v>2599.9999999999359</v>
      </c>
      <c r="Q21" s="62">
        <f>'FS Desroches Daily'!AB23</f>
        <v>389.99999999998636</v>
      </c>
      <c r="R21" s="62">
        <f>'FS Desroches Daily'!AD23</f>
        <v>329.99999999998408</v>
      </c>
      <c r="S21" s="62">
        <f>'FS Desroches Daily'!AF23</f>
        <v>620.00000000000455</v>
      </c>
      <c r="T21" s="62">
        <f>'FS Desroches Daily'!AH23</f>
        <v>1.5</v>
      </c>
      <c r="U21" s="66">
        <f>'FS Desroches Daily'!AJ23</f>
        <v>490.00000000000909</v>
      </c>
      <c r="V21" s="66">
        <f>'FS Desroches Daily'!AL23</f>
        <v>7.000000000000739E-2</v>
      </c>
      <c r="W21" s="66">
        <f>'FS Desroches Daily'!AN23</f>
        <v>0.12999999999999545</v>
      </c>
      <c r="X21" s="66">
        <f>'FS Desroches Daily'!AP23</f>
        <v>0.14000000000000057</v>
      </c>
      <c r="Y21" s="66">
        <f>'FS Desroches Daily'!AR23</f>
        <v>60.000000000002274</v>
      </c>
      <c r="Z21" s="66">
        <f>'FS Desroches Daily'!AT23</f>
        <v>289.99999999996362</v>
      </c>
      <c r="AA21" s="66">
        <f>'FS Desroches Daily'!AT23</f>
        <v>289.99999999996362</v>
      </c>
      <c r="AB21" s="66">
        <f>'FS Desroches Daily'!AV23</f>
        <v>60.000000000002274</v>
      </c>
      <c r="AC21" s="66">
        <f>'FS Desroches Daily'!AZ23</f>
        <v>40.000000000020464</v>
      </c>
      <c r="AD21" s="66">
        <f>'FS Desroches Daily'!BB23</f>
        <v>40.000000000020464</v>
      </c>
      <c r="AE21" s="66">
        <f>'FS Desroches Daily'!BD23</f>
        <v>20.000000000010232</v>
      </c>
      <c r="AF21" s="62">
        <f>'FS Desroches Daily'!BF23</f>
        <v>47</v>
      </c>
      <c r="AG21" s="63">
        <f>'FS Desroches Daily'!BH23</f>
        <v>30.000000000001137</v>
      </c>
      <c r="AH21" s="63">
        <f>'FS Desroches Daily'!BJ23</f>
        <v>30.000000000029559</v>
      </c>
      <c r="AI21" s="63">
        <f>'FS Desroches Daily'!BL23</f>
        <v>39.999999999992042</v>
      </c>
      <c r="AJ21" s="63">
        <f>'FS Desroches Daily'!BN23</f>
        <v>30.000000000001137</v>
      </c>
      <c r="AK21" s="63">
        <f>'FS Desroches Daily'!BP23</f>
        <v>19.99999999998181</v>
      </c>
      <c r="AL21" s="63">
        <f>'FS Desroches Daily'!BR23</f>
        <v>32</v>
      </c>
      <c r="AM21" s="63">
        <f>'FS Desroches Daily'!BT23</f>
        <v>19.99999999998181</v>
      </c>
      <c r="AN21" s="63">
        <f>'FS Desroches Daily'!BV23</f>
        <v>41</v>
      </c>
      <c r="AO21" s="63">
        <f>'FS Desroches Daily'!BX23</f>
        <v>30.000000000001137</v>
      </c>
      <c r="AP21" s="63">
        <f>'FS Desroches Daily'!BZ23</f>
        <v>41</v>
      </c>
      <c r="AQ21" s="62">
        <f>'FS Desroches Daily'!CB23</f>
        <v>21.5</v>
      </c>
      <c r="AR21" s="62">
        <f>'FS Desroches Daily'!CD23</f>
        <v>17.199999999998909</v>
      </c>
      <c r="AS21" s="62">
        <f>'FS Desroches Daily'!CF23</f>
        <v>12.5</v>
      </c>
      <c r="AT21" s="62">
        <f>'FS Desroches Daily'!CH23</f>
        <v>53</v>
      </c>
      <c r="AU21" s="62">
        <f>'FS Desroches Daily'!CJ23</f>
        <v>372</v>
      </c>
      <c r="AV21" s="62">
        <f>'FS Desroches Daily'!CL23</f>
        <v>879.99999999999545</v>
      </c>
      <c r="AW21" s="62">
        <f>'FS Desroches Daily'!CM23</f>
        <v>77</v>
      </c>
      <c r="AX21" s="62">
        <f>IF(LPG!F28-LPG!F27&lt;0,"0",(LPG!F28-LPG!F27)*1.8315)</f>
        <v>16.483499999999999</v>
      </c>
      <c r="AY21" s="62">
        <f>IF(LPG!H28-LPG!H27&lt;0,"0",(LPG!H28-LPG!H27)*1.8315)</f>
        <v>1.8314999999999999</v>
      </c>
      <c r="AZ21" s="62">
        <f>IF(LPG!J28-LPG!J27&lt;0,"0",(LPG!J28-LPG!J27)*1.8315)</f>
        <v>1.8314999999999999</v>
      </c>
      <c r="BA21" s="62">
        <f>IF(LPG!M28-LPG!M27&lt;0,"0",(LPG!M28-LPG!M27)*1.8315)</f>
        <v>7.3259999999999996</v>
      </c>
      <c r="BB21" s="62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8" t="s">
        <v>11</v>
      </c>
      <c r="B22" s="15">
        <f t="shared" si="0"/>
        <v>21</v>
      </c>
      <c r="C22" s="18">
        <v>11</v>
      </c>
      <c r="D22" s="58">
        <v>2019</v>
      </c>
      <c r="E22" s="62">
        <f>'FS Desroches Daily'!D24</f>
        <v>1900.0000000000127</v>
      </c>
      <c r="F22" s="63">
        <f>'FS Desroches Daily'!F24</f>
        <v>3499.9999999998367</v>
      </c>
      <c r="G22" s="62">
        <f>'FS Desroches Daily'!H24</f>
        <v>3500.0000000002806</v>
      </c>
      <c r="H22" s="63">
        <f>'FS Desroches Daily'!J24</f>
        <v>1500</v>
      </c>
      <c r="I22" s="62">
        <f>'FS Desroches Daily'!L24</f>
        <v>2499.9999999999468</v>
      </c>
      <c r="J22" s="63">
        <f>'FS Desroches Daily'!N24</f>
        <v>1809.9999999999454</v>
      </c>
      <c r="K22" s="13">
        <f>'FS Desroches Daily'!P24</f>
        <v>20</v>
      </c>
      <c r="L22" s="62">
        <f>'FS Desroches Daily'!R24</f>
        <v>8</v>
      </c>
      <c r="M22" s="62">
        <f>'FS Desroches Daily'!T24</f>
        <v>1178</v>
      </c>
      <c r="N22" s="62">
        <f>'FS Desroches Daily'!V24</f>
        <v>387</v>
      </c>
      <c r="O22" s="62">
        <f>'FS Desroches Daily'!X24</f>
        <v>430.00000000000682</v>
      </c>
      <c r="P22" s="62">
        <f>'FS Desroches Daily'!Z24</f>
        <v>2999.9999999998918</v>
      </c>
      <c r="Q22" s="62">
        <f>'FS Desroches Daily'!AB24</f>
        <v>480.00000000001819</v>
      </c>
      <c r="R22" s="62">
        <f>'FS Desroches Daily'!AD24</f>
        <v>409.99999999999659</v>
      </c>
      <c r="S22" s="62">
        <f>'FS Desroches Daily'!AF24</f>
        <v>779.99999999997272</v>
      </c>
      <c r="T22" s="62">
        <f>'FS Desroches Daily'!AH24</f>
        <v>1.6999999999999318</v>
      </c>
      <c r="U22" s="66">
        <f>'FS Desroches Daily'!AJ24</f>
        <v>470.00000000002728</v>
      </c>
      <c r="V22" s="66">
        <f>'FS Desroches Daily'!AL24</f>
        <v>8.99999999999892E-2</v>
      </c>
      <c r="W22" s="66">
        <f>'FS Desroches Daily'!AN24</f>
        <v>0.1600000000000108</v>
      </c>
      <c r="X22" s="66">
        <f>'FS Desroches Daily'!AP24</f>
        <v>0.14999999999999147</v>
      </c>
      <c r="Y22" s="66">
        <f>'FS Desroches Daily'!AR24</f>
        <v>69.999999999993179</v>
      </c>
      <c r="Z22" s="66">
        <f>'FS Desroches Daily'!AT24</f>
        <v>320.00000000005002</v>
      </c>
      <c r="AA22" s="66">
        <f>'FS Desroches Daily'!AT24</f>
        <v>320.00000000005002</v>
      </c>
      <c r="AB22" s="66">
        <f>'FS Desroches Daily'!AV24</f>
        <v>80.000000000012506</v>
      </c>
      <c r="AC22" s="66">
        <f>'FS Desroches Daily'!AZ24</f>
        <v>60.000000000002274</v>
      </c>
      <c r="AD22" s="66">
        <f>'FS Desroches Daily'!BB24</f>
        <v>39.99999999996362</v>
      </c>
      <c r="AE22" s="66">
        <f>'FS Desroches Daily'!BD24</f>
        <v>19.99999999998181</v>
      </c>
      <c r="AF22" s="62">
        <f>'FS Desroches Daily'!BF24</f>
        <v>60</v>
      </c>
      <c r="AG22" s="63">
        <f>'FS Desroches Daily'!BH24</f>
        <v>19.99999999998181</v>
      </c>
      <c r="AH22" s="63">
        <f>'FS Desroches Daily'!BJ24</f>
        <v>39.99999999996362</v>
      </c>
      <c r="AI22" s="63">
        <f>'FS Desroches Daily'!BL24</f>
        <v>30.000000000001137</v>
      </c>
      <c r="AJ22" s="63">
        <f>'FS Desroches Daily'!BN24</f>
        <v>30.000000000001137</v>
      </c>
      <c r="AK22" s="63">
        <f>'FS Desroches Daily'!BP24</f>
        <v>30.000000000029559</v>
      </c>
      <c r="AL22" s="63">
        <f>'FS Desroches Daily'!BR24</f>
        <v>33</v>
      </c>
      <c r="AM22" s="63">
        <f>'FS Desroches Daily'!BT24</f>
        <v>30.000000000001137</v>
      </c>
      <c r="AN22" s="63">
        <f>'FS Desroches Daily'!BV24</f>
        <v>33</v>
      </c>
      <c r="AO22" s="63">
        <f>'FS Desroches Daily'!BX24</f>
        <v>30.000000000001137</v>
      </c>
      <c r="AP22" s="63">
        <f>'FS Desroches Daily'!BZ24</f>
        <v>52</v>
      </c>
      <c r="AQ22" s="62">
        <f>'FS Desroches Daily'!CB24</f>
        <v>24</v>
      </c>
      <c r="AR22" s="62">
        <f>'FS Desroches Daily'!CD24</f>
        <v>13.899999999999636</v>
      </c>
      <c r="AS22" s="62">
        <f>'FS Desroches Daily'!CF24</f>
        <v>14</v>
      </c>
      <c r="AT22" s="62">
        <f>'FS Desroches Daily'!CH24</f>
        <v>105.90000000000146</v>
      </c>
      <c r="AU22" s="62">
        <f>'FS Desroches Daily'!CJ24</f>
        <v>313</v>
      </c>
      <c r="AV22" s="62">
        <f>'FS Desroches Daily'!CL24</f>
        <v>730.00000000001819</v>
      </c>
      <c r="AW22" s="62">
        <f>'FS Desroches Daily'!CM24</f>
        <v>85</v>
      </c>
      <c r="AX22" s="62">
        <f>IF(LPG!F29-LPG!F28&lt;0,"0",(LPG!F29-LPG!F28)*1.8315)</f>
        <v>7.3259999999999996</v>
      </c>
      <c r="AY22" s="62">
        <f>IF(LPG!H29-LPG!H28&lt;0,"0",(LPG!H29-LPG!H28)*1.8315)</f>
        <v>1.8314999999999999</v>
      </c>
      <c r="AZ22" s="62">
        <f>IF(LPG!J29-LPG!J28&lt;0,"0",(LPG!J29-LPG!J28)*1.8315)</f>
        <v>0</v>
      </c>
      <c r="BA22" s="62">
        <f>IF(LPG!M29-LPG!M28&lt;0,"0",(LPG!M29-LPG!M28)*1.8315)</f>
        <v>0</v>
      </c>
      <c r="BB22" s="62">
        <f>IF(LPG!Q29-LPG!Q28&lt;0,"0",(LPG!Q29-LPG!Q28)*1.8315)</f>
        <v>1.8314999999999999</v>
      </c>
      <c r="BC22" s="13">
        <f>'FS Desroches Daily'!CN24</f>
        <v>46</v>
      </c>
      <c r="BD22" s="9"/>
    </row>
    <row r="23" spans="1:56" s="16" customFormat="1" x14ac:dyDescent="0.25">
      <c r="A23" s="58" t="s">
        <v>11</v>
      </c>
      <c r="B23" s="15">
        <f t="shared" si="0"/>
        <v>22</v>
      </c>
      <c r="C23" s="18">
        <v>11</v>
      </c>
      <c r="D23" s="58">
        <v>2019</v>
      </c>
      <c r="E23" s="62">
        <f>'FS Desroches Daily'!D25</f>
        <v>1999.9999999997797</v>
      </c>
      <c r="F23" s="63">
        <f>'FS Desroches Daily'!F25</f>
        <v>3499.9999999998367</v>
      </c>
      <c r="G23" s="62">
        <f>'FS Desroches Daily'!H25</f>
        <v>3299.9999999998586</v>
      </c>
      <c r="H23" s="63">
        <f>'FS Desroches Daily'!J25</f>
        <v>1590.0000000000318</v>
      </c>
      <c r="I23" s="62">
        <f>'FS Desroches Daily'!L25</f>
        <v>2600.0000000001578</v>
      </c>
      <c r="J23" s="63">
        <f>'FS Desroches Daily'!N25</f>
        <v>1930.0000000000637</v>
      </c>
      <c r="K23" s="13">
        <f>'FS Desroches Daily'!P25</f>
        <v>21</v>
      </c>
      <c r="L23" s="62">
        <f>'FS Desroches Daily'!R25</f>
        <v>9</v>
      </c>
      <c r="M23" s="62">
        <f>'FS Desroches Daily'!T25</f>
        <v>1417</v>
      </c>
      <c r="N23" s="62">
        <f>'FS Desroches Daily'!V25</f>
        <v>575</v>
      </c>
      <c r="O23" s="62">
        <f>'FS Desroches Daily'!X25</f>
        <v>529.99999999997272</v>
      </c>
      <c r="P23" s="62">
        <f>'FS Desroches Daily'!Z25</f>
        <v>3100.0000000001028</v>
      </c>
      <c r="Q23" s="62">
        <f>'FS Desroches Daily'!AB25</f>
        <v>459.99999999997954</v>
      </c>
      <c r="R23" s="62">
        <f>'FS Desroches Daily'!AD25</f>
        <v>460.00000000000796</v>
      </c>
      <c r="S23" s="62">
        <f>'FS Desroches Daily'!AF25</f>
        <v>910.00000000002501</v>
      </c>
      <c r="T23" s="62">
        <f>'FS Desroches Daily'!AH25</f>
        <v>1.9000000000000909</v>
      </c>
      <c r="U23" s="66">
        <f>'FS Desroches Daily'!AJ25</f>
        <v>529.99999999997272</v>
      </c>
      <c r="V23" s="66">
        <f>'FS Desroches Daily'!AL25</f>
        <v>9.0000000000003411E-2</v>
      </c>
      <c r="W23" s="66">
        <f>'FS Desroches Daily'!AN25</f>
        <v>0.22999999999998977</v>
      </c>
      <c r="X23" s="66">
        <f>'FS Desroches Daily'!AP25</f>
        <v>0.1600000000000108</v>
      </c>
      <c r="Y23" s="66">
        <f>'FS Desroches Daily'!AR25</f>
        <v>90.000000000003411</v>
      </c>
      <c r="Z23" s="66">
        <f>'FS Desroches Daily'!AT25</f>
        <v>339.99999999997499</v>
      </c>
      <c r="AA23" s="66">
        <f>'FS Desroches Daily'!AT25</f>
        <v>339.99999999997499</v>
      </c>
      <c r="AB23" s="66">
        <f>'FS Desroches Daily'!AV25</f>
        <v>129.99999999999545</v>
      </c>
      <c r="AC23" s="66">
        <f>'FS Desroches Daily'!AZ25</f>
        <v>50.000000000011369</v>
      </c>
      <c r="AD23" s="66">
        <f>'FS Desroches Daily'!BB25</f>
        <v>50.000000000011369</v>
      </c>
      <c r="AE23" s="66">
        <f>'FS Desroches Daily'!BD25</f>
        <v>20.000000000010232</v>
      </c>
      <c r="AF23" s="62">
        <f>'FS Desroches Daily'!BF25</f>
        <v>50</v>
      </c>
      <c r="AG23" s="63">
        <f>'FS Desroches Daily'!BH25</f>
        <v>39.999999999992042</v>
      </c>
      <c r="AH23" s="63">
        <f>'FS Desroches Daily'!BJ25</f>
        <v>60.000000000002274</v>
      </c>
      <c r="AI23" s="63">
        <f>'FS Desroches Daily'!BL25</f>
        <v>60.000000000002274</v>
      </c>
      <c r="AJ23" s="63">
        <f>'FS Desroches Daily'!BN25</f>
        <v>50.000000000011369</v>
      </c>
      <c r="AK23" s="63">
        <f>'FS Desroches Daily'!BP25</f>
        <v>0</v>
      </c>
      <c r="AL23" s="63">
        <f>'FS Desroches Daily'!BR25</f>
        <v>48</v>
      </c>
      <c r="AM23" s="63">
        <f>'FS Desroches Daily'!BT25</f>
        <v>60.000000000002274</v>
      </c>
      <c r="AN23" s="63">
        <f>'FS Desroches Daily'!BV25</f>
        <v>50</v>
      </c>
      <c r="AO23" s="63">
        <f>'FS Desroches Daily'!BX25</f>
        <v>39.999999999992042</v>
      </c>
      <c r="AP23" s="63">
        <f>'FS Desroches Daily'!BZ25</f>
        <v>75</v>
      </c>
      <c r="AQ23" s="62">
        <f>'FS Desroches Daily'!CB25</f>
        <v>18.200000000000728</v>
      </c>
      <c r="AR23" s="62">
        <f>'FS Desroches Daily'!CD25</f>
        <v>10.700000000000728</v>
      </c>
      <c r="AS23" s="62">
        <f>'FS Desroches Daily'!CF25</f>
        <v>8.6999999999998181</v>
      </c>
      <c r="AT23" s="62">
        <f>'FS Desroches Daily'!CH25</f>
        <v>52</v>
      </c>
      <c r="AU23" s="62">
        <f>'FS Desroches Daily'!CJ25</f>
        <v>333</v>
      </c>
      <c r="AV23" s="62">
        <f>'FS Desroches Daily'!CL25</f>
        <v>619.9999999999477</v>
      </c>
      <c r="AW23" s="62">
        <f>'FS Desroches Daily'!CM25</f>
        <v>88</v>
      </c>
      <c r="AX23" s="62">
        <f>IF(LPG!F30-LPG!F29&lt;0,"0",(LPG!F30-LPG!F29)*1.8315)</f>
        <v>9.1574999999999989</v>
      </c>
      <c r="AY23" s="62">
        <f>IF(LPG!H30-LPG!H29&lt;0,"0",(LPG!H30-LPG!H29)*1.8315)</f>
        <v>1.8314999999999999</v>
      </c>
      <c r="AZ23" s="62">
        <f>IF(LPG!J30-LPG!J29&lt;0,"0",(LPG!J30-LPG!J29)*1.8315)</f>
        <v>0</v>
      </c>
      <c r="BA23" s="62">
        <f>IF(LPG!M30-LPG!M29&lt;0,"0",(LPG!M30-LPG!M29)*1.8315)</f>
        <v>5.4944999999999995</v>
      </c>
      <c r="BB23" s="62">
        <f>IF(LPG!Q30-LPG!Q29&lt;0,"0",(LPG!Q30-LPG!Q29)*1.8315)</f>
        <v>3.6629999999999998</v>
      </c>
      <c r="BC23" s="13">
        <f>'FS Desroches Daily'!CN25</f>
        <v>38</v>
      </c>
      <c r="BD23" s="9"/>
    </row>
    <row r="24" spans="1:56" s="16" customFormat="1" x14ac:dyDescent="0.25">
      <c r="A24" s="58" t="s">
        <v>11</v>
      </c>
      <c r="B24" s="15">
        <f t="shared" si="0"/>
        <v>23</v>
      </c>
      <c r="C24" s="18">
        <v>11</v>
      </c>
      <c r="D24" s="58">
        <v>2019</v>
      </c>
      <c r="E24" s="62">
        <f>'FS Desroches Daily'!D26</f>
        <v>2300.000000000191</v>
      </c>
      <c r="F24" s="63">
        <f>'FS Desroches Daily'!F26</f>
        <v>3700.0000000002588</v>
      </c>
      <c r="G24" s="62">
        <f>'FS Desroches Daily'!H26</f>
        <v>3499.9999999998367</v>
      </c>
      <c r="H24" s="63">
        <f>'FS Desroches Daily'!J26</f>
        <v>1600.0000000000227</v>
      </c>
      <c r="I24" s="62">
        <f>'FS Desroches Daily'!L26</f>
        <v>2799.9999999999136</v>
      </c>
      <c r="J24" s="63">
        <f>'FS Desroches Daily'!N26</f>
        <v>1750</v>
      </c>
      <c r="K24" s="13">
        <f>'FS Desroches Daily'!P26</f>
        <v>19</v>
      </c>
      <c r="L24" s="62">
        <f>'FS Desroches Daily'!R26</f>
        <v>9</v>
      </c>
      <c r="M24" s="62">
        <f>'FS Desroches Daily'!T26</f>
        <v>987</v>
      </c>
      <c r="N24" s="62">
        <f>'FS Desroches Daily'!V26</f>
        <v>400</v>
      </c>
      <c r="O24" s="62">
        <f>'FS Desroches Daily'!X26</f>
        <v>420.00000000001592</v>
      </c>
      <c r="P24" s="62">
        <f>'FS Desroches Daily'!Z26</f>
        <v>3100.0000000001028</v>
      </c>
      <c r="Q24" s="62">
        <f>'FS Desroches Daily'!AB26</f>
        <v>329.99999999998408</v>
      </c>
      <c r="R24" s="62">
        <f>'FS Desroches Daily'!AD26</f>
        <v>449.99999999998863</v>
      </c>
      <c r="S24" s="62">
        <f>'FS Desroches Daily'!AF26</f>
        <v>870.00000000000455</v>
      </c>
      <c r="T24" s="62">
        <f>'FS Desroches Daily'!AH26</f>
        <v>1.7999999999999545</v>
      </c>
      <c r="U24" s="66">
        <f>'FS Desroches Daily'!AJ26</f>
        <v>790.00000000002046</v>
      </c>
      <c r="V24" s="66">
        <f>'FS Desroches Daily'!AL26</f>
        <v>6.0000000000002274E-2</v>
      </c>
      <c r="W24" s="66">
        <f>'FS Desroches Daily'!AN26</f>
        <v>0.21999999999999886</v>
      </c>
      <c r="X24" s="66">
        <f>'FS Desroches Daily'!AP26</f>
        <v>0.17999999999999261</v>
      </c>
      <c r="Y24" s="66">
        <f>'FS Desroches Daily'!AR26</f>
        <v>79.999999999984084</v>
      </c>
      <c r="Z24" s="66">
        <f>'FS Desroches Daily'!AT26</f>
        <v>310.00000000000227</v>
      </c>
      <c r="AA24" s="66">
        <f>'FS Desroches Daily'!AT26</f>
        <v>310.00000000000227</v>
      </c>
      <c r="AB24" s="66">
        <f>'FS Desroches Daily'!AV26</f>
        <v>99.999999999994316</v>
      </c>
      <c r="AC24" s="66">
        <f>'FS Desroches Daily'!AZ26</f>
        <v>69.999999999993179</v>
      </c>
      <c r="AD24" s="66">
        <f>'FS Desroches Daily'!BB26</f>
        <v>40.000000000020464</v>
      </c>
      <c r="AE24" s="66">
        <f>'FS Desroches Daily'!BD26</f>
        <v>20.000000000010232</v>
      </c>
      <c r="AF24" s="62">
        <f>'FS Desroches Daily'!BF26</f>
        <v>48</v>
      </c>
      <c r="AG24" s="63">
        <f>'FS Desroches Daily'!BH26</f>
        <v>20.000000000010232</v>
      </c>
      <c r="AH24" s="63">
        <f>'FS Desroches Daily'!BJ26</f>
        <v>30.000000000029559</v>
      </c>
      <c r="AI24" s="63">
        <f>'FS Desroches Daily'!BL26</f>
        <v>39.999999999992042</v>
      </c>
      <c r="AJ24" s="63">
        <f>'FS Desroches Daily'!BN26</f>
        <v>30.000000000001137</v>
      </c>
      <c r="AK24" s="63">
        <f>'FS Desroches Daily'!BP26</f>
        <v>89.999999999974989</v>
      </c>
      <c r="AL24" s="63">
        <f>'FS Desroches Daily'!BR26</f>
        <v>33</v>
      </c>
      <c r="AM24" s="63">
        <f>'FS Desroches Daily'!BT26</f>
        <v>30.000000000001137</v>
      </c>
      <c r="AN24" s="63">
        <f>'FS Desroches Daily'!BV26</f>
        <v>31</v>
      </c>
      <c r="AO24" s="63">
        <f>'FS Desroches Daily'!BX26</f>
        <v>30.000000000001137</v>
      </c>
      <c r="AP24" s="63">
        <f>'FS Desroches Daily'!BZ26</f>
        <v>40</v>
      </c>
      <c r="AQ24" s="62">
        <f>'FS Desroches Daily'!CB26</f>
        <v>22.099999999998545</v>
      </c>
      <c r="AR24" s="62">
        <f>'FS Desroches Daily'!CD26</f>
        <v>17.799999999999272</v>
      </c>
      <c r="AS24" s="62">
        <f>'FS Desroches Daily'!CF26</f>
        <v>2</v>
      </c>
      <c r="AT24" s="62">
        <f>'FS Desroches Daily'!CH26</f>
        <v>34</v>
      </c>
      <c r="AU24" s="62">
        <f>'FS Desroches Daily'!CJ26</f>
        <v>320</v>
      </c>
      <c r="AV24" s="62">
        <f>'FS Desroches Daily'!CL26</f>
        <v>620.00000000000455</v>
      </c>
      <c r="AW24" s="62">
        <f>'FS Desroches Daily'!CM26</f>
        <v>90</v>
      </c>
      <c r="AX24" s="62">
        <f>IF(LPG!F31-LPG!F30&lt;0,"0",(LPG!F31-LPG!F30)*1.8315)</f>
        <v>14.651999999999999</v>
      </c>
      <c r="AY24" s="62">
        <f>IF(LPG!H31-LPG!H30&lt;0,"0",(LPG!H31-LPG!H30)*1.8315)</f>
        <v>3.6629999999999998</v>
      </c>
      <c r="AZ24" s="62">
        <f>IF(LPG!J31-LPG!J30&lt;0,"0",(LPG!J31-LPG!J30)*1.8315)</f>
        <v>3.6629999999999998</v>
      </c>
      <c r="BA24" s="62">
        <f>IF(LPG!M31-LPG!M30&lt;0,"0",(LPG!M31-LPG!M30)*1.8315)</f>
        <v>5.4944999999999995</v>
      </c>
      <c r="BB24" s="62">
        <f>IF(LPG!Q31-LPG!Q30&lt;0,"0",(LPG!Q31-LPG!Q30)*1.8315)</f>
        <v>3.6629999999999998</v>
      </c>
      <c r="BC24" s="13">
        <f>'FS Desroches Daily'!CN26</f>
        <v>35</v>
      </c>
      <c r="BD24" s="9"/>
    </row>
    <row r="25" spans="1:56" s="16" customFormat="1" x14ac:dyDescent="0.25">
      <c r="A25" s="58" t="s">
        <v>11</v>
      </c>
      <c r="B25" s="15">
        <f t="shared" si="0"/>
        <v>24</v>
      </c>
      <c r="C25" s="18">
        <v>11</v>
      </c>
      <c r="D25" s="58">
        <v>2019</v>
      </c>
      <c r="E25" s="62">
        <f>'FS Desroches Daily'!D27</f>
        <v>2899.9999999999027</v>
      </c>
      <c r="F25" s="63">
        <f>'FS Desroches Daily'!F27</f>
        <v>4000.0000000000036</v>
      </c>
      <c r="G25" s="62">
        <f>'FS Desroches Daily'!H27</f>
        <v>3700.0000000002588</v>
      </c>
      <c r="H25" s="63">
        <f>'FS Desroches Daily'!J27</f>
        <v>1919.9999999999591</v>
      </c>
      <c r="I25" s="62">
        <f>'FS Desroches Daily'!L27</f>
        <v>3100.0000000001028</v>
      </c>
      <c r="J25" s="63">
        <f>'FS Desroches Daily'!N27</f>
        <v>2139.9999999999864</v>
      </c>
      <c r="K25" s="13">
        <f>'FS Desroches Daily'!P27</f>
        <v>23</v>
      </c>
      <c r="L25" s="62">
        <f>'FS Desroches Daily'!R27</f>
        <v>10</v>
      </c>
      <c r="M25" s="62">
        <f>'FS Desroches Daily'!T27</f>
        <v>1848</v>
      </c>
      <c r="N25" s="62">
        <f>'FS Desroches Daily'!V27</f>
        <v>786</v>
      </c>
      <c r="O25" s="62">
        <f>'FS Desroches Daily'!X27</f>
        <v>470.00000000002728</v>
      </c>
      <c r="P25" s="62">
        <f>'FS Desroches Daily'!Z27</f>
        <v>3299.9999999998586</v>
      </c>
      <c r="Q25" s="62">
        <f>'FS Desroches Daily'!AB27</f>
        <v>560.00000000000227</v>
      </c>
      <c r="R25" s="62">
        <f>'FS Desroches Daily'!AD27</f>
        <v>500</v>
      </c>
      <c r="S25" s="62">
        <f>'FS Desroches Daily'!AF27</f>
        <v>990.00000000000909</v>
      </c>
      <c r="T25" s="62">
        <f>'FS Desroches Daily'!AH27</f>
        <v>1.8999999999999773</v>
      </c>
      <c r="U25" s="66">
        <f>'FS Desroches Daily'!AJ27</f>
        <v>930.00000000000682</v>
      </c>
      <c r="V25" s="66">
        <f>'FS Desroches Daily'!AL27</f>
        <v>4.9999999999997158E-2</v>
      </c>
      <c r="W25" s="66">
        <f>'FS Desroches Daily'!AN27</f>
        <v>0.27000000000001023</v>
      </c>
      <c r="X25" s="66">
        <f>'FS Desroches Daily'!AP27</f>
        <v>0.31000000000000227</v>
      </c>
      <c r="Y25" s="66">
        <f>'FS Desroches Daily'!AR27</f>
        <v>90.000000000003411</v>
      </c>
      <c r="Z25" s="66">
        <f>'FS Desroches Daily'!AT27</f>
        <v>259.99999999999091</v>
      </c>
      <c r="AA25" s="66">
        <f>'FS Desroches Daily'!AT27</f>
        <v>259.99999999999091</v>
      </c>
      <c r="AB25" s="66">
        <f>'FS Desroches Daily'!AV27</f>
        <v>170.00000000001592</v>
      </c>
      <c r="AC25" s="66">
        <f>'FS Desroches Daily'!AZ27</f>
        <v>89.999999999974989</v>
      </c>
      <c r="AD25" s="66">
        <f>'FS Desroches Daily'!BB27</f>
        <v>29.999999999972715</v>
      </c>
      <c r="AE25" s="66">
        <f>'FS Desroches Daily'!BD27</f>
        <v>9.9999999999909051</v>
      </c>
      <c r="AF25" s="62">
        <f>'FS Desroches Daily'!BF27</f>
        <v>53</v>
      </c>
      <c r="AG25" s="63">
        <f>'FS Desroches Daily'!BH27</f>
        <v>20.000000000010232</v>
      </c>
      <c r="AH25" s="63">
        <f>'FS Desroches Daily'!BJ27</f>
        <v>49.999999999954525</v>
      </c>
      <c r="AI25" s="63">
        <f>'FS Desroches Daily'!BL27</f>
        <v>40.000000000020464</v>
      </c>
      <c r="AJ25" s="63">
        <f>'FS Desroches Daily'!BN27</f>
        <v>49.999999999982947</v>
      </c>
      <c r="AK25" s="63">
        <f>'FS Desroches Daily'!BP27</f>
        <v>40.000000000020464</v>
      </c>
      <c r="AL25" s="63">
        <f>'FS Desroches Daily'!BR27</f>
        <v>37</v>
      </c>
      <c r="AM25" s="63">
        <f>'FS Desroches Daily'!BT27</f>
        <v>50.000000000011369</v>
      </c>
      <c r="AN25" s="63">
        <f>'FS Desroches Daily'!BV27</f>
        <v>41</v>
      </c>
      <c r="AO25" s="63">
        <f>'FS Desroches Daily'!BX27</f>
        <v>39.999999999992042</v>
      </c>
      <c r="AP25" s="63">
        <f>'FS Desroches Daily'!BZ27</f>
        <v>67</v>
      </c>
      <c r="AQ25" s="62">
        <f>'FS Desroches Daily'!CB27</f>
        <v>36.099999999998545</v>
      </c>
      <c r="AR25" s="62">
        <f>'FS Desroches Daily'!CD27</f>
        <v>12.600000000000364</v>
      </c>
      <c r="AS25" s="62">
        <f>'FS Desroches Daily'!CF27</f>
        <v>10.700000000000728</v>
      </c>
      <c r="AT25" s="62">
        <f>'FS Desroches Daily'!CH27</f>
        <v>91.900000000001455</v>
      </c>
      <c r="AU25" s="62">
        <f>'FS Desroches Daily'!CJ27</f>
        <v>400</v>
      </c>
      <c r="AV25" s="62">
        <f>'FS Desroches Daily'!CL27</f>
        <v>740.00000000000909</v>
      </c>
      <c r="AW25" s="62">
        <f>'FS Desroches Daily'!CM27</f>
        <v>95.8</v>
      </c>
      <c r="AX25" s="62">
        <f>IF(LPG!F32-LPG!F31&lt;0,"0",(LPG!F32-LPG!F31)*1.8315)</f>
        <v>12.820499999999999</v>
      </c>
      <c r="AY25" s="62">
        <f>IF(LPG!H32-LPG!H31&lt;0,"0",(LPG!H32-LPG!H31)*1.8315)</f>
        <v>3.6629999999999998</v>
      </c>
      <c r="AZ25" s="62">
        <f>IF(LPG!J32-LPG!J31&lt;0,"0",(LPG!J32-LPG!J31)*1.8315)</f>
        <v>1.8314999999999999</v>
      </c>
      <c r="BA25" s="62">
        <f>IF(LPG!M32-LPG!M31&lt;0,"0",(LPG!M32-LPG!M31)*1.8315)</f>
        <v>0</v>
      </c>
      <c r="BB25" s="62">
        <f>IF(LPG!Q32-LPG!Q31&lt;0,"0",(LPG!Q32-LPG!Q31)*1.8315)</f>
        <v>3.6629999999999998</v>
      </c>
      <c r="BC25" s="13">
        <f>'FS Desroches Daily'!CN27</f>
        <v>36</v>
      </c>
      <c r="BD25" s="9"/>
    </row>
    <row r="26" spans="1:56" s="16" customFormat="1" x14ac:dyDescent="0.25">
      <c r="A26" s="58" t="s">
        <v>11</v>
      </c>
      <c r="B26" s="15">
        <f>B25+1</f>
        <v>25</v>
      </c>
      <c r="C26" s="18">
        <v>11</v>
      </c>
      <c r="D26" s="58">
        <v>2019</v>
      </c>
      <c r="E26" s="62">
        <f>'FS Desroches Daily'!D28</f>
        <v>2000.0000000000018</v>
      </c>
      <c r="F26" s="63">
        <f>'FS Desroches Daily'!F28</f>
        <v>3200.0000000000919</v>
      </c>
      <c r="G26" s="62">
        <f>'FS Desroches Daily'!H28</f>
        <v>3299.9999999998586</v>
      </c>
      <c r="H26" s="63">
        <f>'FS Desroches Daily'!J28</f>
        <v>1420.0000000000728</v>
      </c>
      <c r="I26" s="62">
        <f>'FS Desroches Daily'!L28</f>
        <v>2599.9999999999359</v>
      </c>
      <c r="J26" s="63">
        <f>'FS Desroches Daily'!N28</f>
        <v>1689.9999999999409</v>
      </c>
      <c r="K26" s="13">
        <f>'FS Desroches Daily'!P28</f>
        <v>16</v>
      </c>
      <c r="L26" s="62">
        <f>'FS Desroches Daily'!R28</f>
        <v>11</v>
      </c>
      <c r="M26" s="62">
        <f>'FS Desroches Daily'!T28</f>
        <v>1483</v>
      </c>
      <c r="N26" s="62">
        <f>'FS Desroches Daily'!V28</f>
        <v>595</v>
      </c>
      <c r="O26" s="62">
        <f>'FS Desroches Daily'!X28</f>
        <v>399.99999999997726</v>
      </c>
      <c r="P26" s="62">
        <f>'FS Desroches Daily'!Z28</f>
        <v>3100.0000000001028</v>
      </c>
      <c r="Q26" s="62">
        <f>'FS Desroches Daily'!AB28</f>
        <v>540.00000000002046</v>
      </c>
      <c r="R26" s="62">
        <f>'FS Desroches Daily'!AD28</f>
        <v>409.99999999999659</v>
      </c>
      <c r="S26" s="62">
        <f>'FS Desroches Daily'!AF28</f>
        <v>669.99999999995907</v>
      </c>
      <c r="T26" s="62">
        <f>'FS Desroches Daily'!AH28</f>
        <v>1.8999999999999773</v>
      </c>
      <c r="U26" s="66">
        <f>'FS Desroches Daily'!AJ28</f>
        <v>740.00000000000909</v>
      </c>
      <c r="V26" s="66">
        <f>'FS Desroches Daily'!AL28</f>
        <v>6.0000000000002274E-2</v>
      </c>
      <c r="W26" s="66">
        <f>'FS Desroches Daily'!AN28</f>
        <v>0.22999999999998977</v>
      </c>
      <c r="X26" s="66">
        <f>'FS Desroches Daily'!AP28</f>
        <v>0.23999999999999488</v>
      </c>
      <c r="Y26" s="66">
        <f>'FS Desroches Daily'!AR28</f>
        <v>69.999999999993179</v>
      </c>
      <c r="Z26" s="66">
        <f>'FS Desroches Daily'!AT28</f>
        <v>160.00000000002501</v>
      </c>
      <c r="AA26" s="66">
        <f>'FS Desroches Daily'!AT28</f>
        <v>160.00000000002501</v>
      </c>
      <c r="AB26" s="66">
        <f>'FS Desroches Daily'!AV28</f>
        <v>159.99999999999659</v>
      </c>
      <c r="AC26" s="66">
        <f>'FS Desroches Daily'!AZ28</f>
        <v>70.000000000050022</v>
      </c>
      <c r="AD26" s="66">
        <f>'FS Desroches Daily'!BB28</f>
        <v>50.000000000011369</v>
      </c>
      <c r="AE26" s="66">
        <f>'FS Desroches Daily'!BD28</f>
        <v>20.000000000010232</v>
      </c>
      <c r="AF26" s="62">
        <f>'FS Desroches Daily'!BF28</f>
        <v>73</v>
      </c>
      <c r="AG26" s="63">
        <f>'FS Desroches Daily'!BH28</f>
        <v>39.999999999992042</v>
      </c>
      <c r="AH26" s="63">
        <f>'FS Desroches Daily'!BJ28</f>
        <v>40.000000000020464</v>
      </c>
      <c r="AI26" s="63">
        <f>'FS Desroches Daily'!BL28</f>
        <v>60.000000000002274</v>
      </c>
      <c r="AJ26" s="63">
        <f>'FS Desroches Daily'!BN28</f>
        <v>40.000000000020464</v>
      </c>
      <c r="AK26" s="63">
        <f>'FS Desroches Daily'!BP28</f>
        <v>49.999999999954525</v>
      </c>
      <c r="AL26" s="63">
        <f>'FS Desroches Daily'!BR28</f>
        <v>44</v>
      </c>
      <c r="AM26" s="63">
        <f>'FS Desroches Daily'!BT28</f>
        <v>39.999999999992042</v>
      </c>
      <c r="AN26" s="63">
        <f>'FS Desroches Daily'!BV28</f>
        <v>40</v>
      </c>
      <c r="AO26" s="63">
        <f>'FS Desroches Daily'!BX28</f>
        <v>39.999999999992042</v>
      </c>
      <c r="AP26" s="63">
        <f>'FS Desroches Daily'!BZ28</f>
        <v>58</v>
      </c>
      <c r="AQ26" s="62">
        <f>'FS Desroches Daily'!CB28</f>
        <v>28.80000000000291</v>
      </c>
      <c r="AR26" s="62">
        <f>'FS Desroches Daily'!CD28</f>
        <v>15.399999999999636</v>
      </c>
      <c r="AS26" s="62">
        <f>'FS Desroches Daily'!CF28</f>
        <v>10.799999999999272</v>
      </c>
      <c r="AT26" s="62">
        <f>'FS Desroches Daily'!CH28</f>
        <v>58.69999999999709</v>
      </c>
      <c r="AU26" s="62">
        <f>'FS Desroches Daily'!CJ28</f>
        <v>323</v>
      </c>
      <c r="AV26" s="62">
        <f>'FS Desroches Daily'!CL28</f>
        <v>670.00000000001592</v>
      </c>
      <c r="AW26" s="62">
        <f>'FS Desroches Daily'!CM28</f>
        <v>83.7</v>
      </c>
      <c r="AX26" s="62">
        <f>IF(LPG!F33-LPG!F32&lt;0,"0",(LPG!F33-LPG!F32)*1.8315)</f>
        <v>14.651999999999999</v>
      </c>
      <c r="AY26" s="62">
        <f>IF(LPG!H33-LPG!H32&lt;0,"0",(LPG!H33-LPG!H32)*1.8315)</f>
        <v>3.6629999999999998</v>
      </c>
      <c r="AZ26" s="62">
        <f>IF(LPG!J33-LPG!J32&lt;0,"0",(LPG!J33-LPG!J32)*1.8315)</f>
        <v>0</v>
      </c>
      <c r="BA26" s="62">
        <f>IF(LPG!M33-LPG!M32&lt;0,"0",(LPG!M33-LPG!M32)*1.8315)</f>
        <v>5.4944999999999995</v>
      </c>
      <c r="BB26" s="62">
        <f>IF(LPG!Q33-LPG!Q32&lt;0,"0",(LPG!Q33-LPG!Q32)*1.8315)</f>
        <v>3.6629999999999998</v>
      </c>
      <c r="BC26" s="13">
        <f>'FS Desroches Daily'!CN28</f>
        <v>34</v>
      </c>
      <c r="BD26" s="9"/>
    </row>
    <row r="27" spans="1:56" s="16" customFormat="1" x14ac:dyDescent="0.25">
      <c r="A27" s="58" t="s">
        <v>11</v>
      </c>
      <c r="B27" s="15">
        <f t="shared" si="0"/>
        <v>26</v>
      </c>
      <c r="C27" s="18">
        <v>11</v>
      </c>
      <c r="D27" s="58">
        <v>2019</v>
      </c>
      <c r="E27" s="62">
        <f>'FS Desroches Daily'!D29</f>
        <v>1400.0000000000678</v>
      </c>
      <c r="F27" s="63">
        <f>'FS Desroches Daily'!F29</f>
        <v>2899.9999999999027</v>
      </c>
      <c r="G27" s="62">
        <f>'FS Desroches Daily'!H29</f>
        <v>3099.9999999998809</v>
      </c>
      <c r="H27" s="63">
        <f>'FS Desroches Daily'!J29</f>
        <v>1139.9999999999864</v>
      </c>
      <c r="I27" s="62">
        <f>'FS Desroches Daily'!L29</f>
        <v>2099.9999999999909</v>
      </c>
      <c r="J27" s="63">
        <f>'FS Desroches Daily'!N29</f>
        <v>1360.0000000000136</v>
      </c>
      <c r="K27" s="13">
        <f>'FS Desroches Daily'!P29</f>
        <v>23</v>
      </c>
      <c r="L27" s="62">
        <f>'FS Desroches Daily'!R29</f>
        <v>4</v>
      </c>
      <c r="M27" s="62">
        <f>'FS Desroches Daily'!T29</f>
        <v>1257</v>
      </c>
      <c r="N27" s="62">
        <f>'FS Desroches Daily'!V29</f>
        <v>527</v>
      </c>
      <c r="O27" s="62">
        <f>'FS Desroches Daily'!X29</f>
        <v>300.00000000001137</v>
      </c>
      <c r="P27" s="62">
        <f>'FS Desroches Daily'!Z29</f>
        <v>2699.9999999999245</v>
      </c>
      <c r="Q27" s="62">
        <f>'FS Desroches Daily'!AB29</f>
        <v>339.99999999997499</v>
      </c>
      <c r="R27" s="62">
        <f>'FS Desroches Daily'!AD29</f>
        <v>290.00000000002046</v>
      </c>
      <c r="S27" s="62">
        <f>'FS Desroches Daily'!AF29</f>
        <v>640.0000000000432</v>
      </c>
      <c r="T27" s="62">
        <f>'FS Desroches Daily'!AH29</f>
        <v>2</v>
      </c>
      <c r="U27" s="66">
        <f>'FS Desroches Daily'!AJ29</f>
        <v>319.99999999999318</v>
      </c>
      <c r="V27" s="66">
        <f>'FS Desroches Daily'!AL29</f>
        <v>6.0000000000002274E-2</v>
      </c>
      <c r="W27" s="66">
        <f>'FS Desroches Daily'!AN29</f>
        <v>0.15000000000000568</v>
      </c>
      <c r="X27" s="66">
        <f>'FS Desroches Daily'!AP29</f>
        <v>0.15000000000000568</v>
      </c>
      <c r="Y27" s="66">
        <f>'FS Desroches Daily'!AR29</f>
        <v>70.0000000000216</v>
      </c>
      <c r="Z27" s="66">
        <f>'FS Desroches Daily'!AT29</f>
        <v>99.999999999965894</v>
      </c>
      <c r="AA27" s="66">
        <f>'FS Desroches Daily'!AT29</f>
        <v>99.999999999965894</v>
      </c>
      <c r="AB27" s="66">
        <f>'FS Desroches Daily'!AV29</f>
        <v>129.99999999999545</v>
      </c>
      <c r="AC27" s="66">
        <f>'FS Desroches Daily'!AZ29</f>
        <v>59.99999999994543</v>
      </c>
      <c r="AD27" s="66">
        <f>'FS Desroches Daily'!BB29</f>
        <v>40.000000000020464</v>
      </c>
      <c r="AE27" s="66">
        <f>'FS Desroches Daily'!BD29</f>
        <v>9.9999999999909051</v>
      </c>
      <c r="AF27" s="62">
        <f>'FS Desroches Daily'!BF29</f>
        <v>56</v>
      </c>
      <c r="AG27" s="63">
        <f>'FS Desroches Daily'!BH29</f>
        <v>20.000000000010232</v>
      </c>
      <c r="AH27" s="63">
        <f>'FS Desroches Daily'!BJ29</f>
        <v>50.000000000011369</v>
      </c>
      <c r="AI27" s="63">
        <f>'FS Desroches Daily'!BL29</f>
        <v>39.999999999992042</v>
      </c>
      <c r="AJ27" s="63">
        <f>'FS Desroches Daily'!BN29</f>
        <v>39.999999999992042</v>
      </c>
      <c r="AK27" s="63">
        <f>'FS Desroches Daily'!BP29</f>
        <v>40.000000000020464</v>
      </c>
      <c r="AL27" s="63">
        <f>'FS Desroches Daily'!BR29</f>
        <v>47</v>
      </c>
      <c r="AM27" s="63">
        <f>'FS Desroches Daily'!BT29</f>
        <v>0</v>
      </c>
      <c r="AN27" s="63">
        <f>'FS Desroches Daily'!BV29</f>
        <v>33</v>
      </c>
      <c r="AO27" s="63">
        <f>'FS Desroches Daily'!BX29</f>
        <v>30.000000000001137</v>
      </c>
      <c r="AP27" s="63">
        <f>'FS Desroches Daily'!BZ29</f>
        <v>46</v>
      </c>
      <c r="AQ27" s="62">
        <f>'FS Desroches Daily'!CB29</f>
        <v>29.899999999997817</v>
      </c>
      <c r="AR27" s="62">
        <f>'FS Desroches Daily'!CD29</f>
        <v>11.5</v>
      </c>
      <c r="AS27" s="62">
        <f>'FS Desroches Daily'!CF29</f>
        <v>13</v>
      </c>
      <c r="AT27" s="62">
        <f>'FS Desroches Daily'!CH29</f>
        <v>69.80000000000291</v>
      </c>
      <c r="AU27" s="62">
        <f>'FS Desroches Daily'!CJ29</f>
        <v>293</v>
      </c>
      <c r="AV27" s="62">
        <f>'FS Desroches Daily'!CL29</f>
        <v>569.99999999999318</v>
      </c>
      <c r="AW27" s="62">
        <f>'FS Desroches Daily'!CM29</f>
        <v>82.1</v>
      </c>
      <c r="AX27" s="62">
        <f>IF(LPG!F34-LPG!F33&lt;0,"0",(LPG!F34-LPG!F33)*1.8315)</f>
        <v>12.820499999999999</v>
      </c>
      <c r="AY27" s="62">
        <f>IF(LPG!H34-LPG!H33&lt;0,"0",(LPG!H34-LPG!H33)*1.8315)</f>
        <v>3.6629999999999998</v>
      </c>
      <c r="AZ27" s="62">
        <f>IF(LPG!J34-LPG!J33&lt;0,"0",(LPG!J34-LPG!J33)*1.8315)</f>
        <v>1.8314999999999999</v>
      </c>
      <c r="BA27" s="62">
        <f>IF(LPG!M34-LPG!M33&lt;0,"0",(LPG!M34-LPG!M33)*1.8315)</f>
        <v>5.4944999999999995</v>
      </c>
      <c r="BB27" s="62">
        <f>IF(LPG!Q34-LPG!Q33&lt;0,"0",(LPG!Q34-LPG!Q33)*1.8315)</f>
        <v>7.3259999999999996</v>
      </c>
      <c r="BC27" s="13">
        <f>'FS Desroches Daily'!CN29</f>
        <v>30</v>
      </c>
      <c r="BD27" s="9"/>
    </row>
    <row r="28" spans="1:56" s="16" customFormat="1" x14ac:dyDescent="0.25">
      <c r="A28" s="58" t="s">
        <v>11</v>
      </c>
      <c r="B28" s="15">
        <f t="shared" si="0"/>
        <v>27</v>
      </c>
      <c r="C28" s="18">
        <v>11</v>
      </c>
      <c r="D28" s="58">
        <v>2019</v>
      </c>
      <c r="E28" s="62">
        <f>'FS Desroches Daily'!D30</f>
        <v>1700.0000000000348</v>
      </c>
      <c r="F28" s="63">
        <f>'FS Desroches Daily'!F30</f>
        <v>3200.0000000000919</v>
      </c>
      <c r="G28" s="62">
        <f>'FS Desroches Daily'!H30</f>
        <v>3100.0000000003247</v>
      </c>
      <c r="H28" s="63">
        <f>'FS Desroches Daily'!J30</f>
        <v>1399.9999999999773</v>
      </c>
      <c r="I28" s="62">
        <f>'FS Desroches Daily'!L30</f>
        <v>2399.9999999999577</v>
      </c>
      <c r="J28" s="63">
        <f>'FS Desroches Daily'!N30</f>
        <v>1540.0000000000773</v>
      </c>
      <c r="K28" s="13">
        <f>'FS Desroches Daily'!P30</f>
        <v>19</v>
      </c>
      <c r="L28" s="62">
        <f>'FS Desroches Daily'!R30</f>
        <v>8</v>
      </c>
      <c r="M28" s="62">
        <f>'FS Desroches Daily'!T30</f>
        <v>1301</v>
      </c>
      <c r="N28" s="62">
        <f>'FS Desroches Daily'!V30</f>
        <v>545</v>
      </c>
      <c r="O28" s="62">
        <f>'FS Desroches Daily'!X30</f>
        <v>339.99999999997499</v>
      </c>
      <c r="P28" s="62">
        <f>'FS Desroches Daily'!Z30</f>
        <v>2799.9999999999136</v>
      </c>
      <c r="Q28" s="62">
        <f>'FS Desroches Daily'!AB30</f>
        <v>490.00000000000909</v>
      </c>
      <c r="R28" s="62">
        <f>'FS Desroches Daily'!AD30</f>
        <v>310.00000000000227</v>
      </c>
      <c r="S28" s="62">
        <f>'FS Desroches Daily'!AF30</f>
        <v>629.99999999999545</v>
      </c>
      <c r="T28" s="62">
        <f>'FS Desroches Daily'!AH30</f>
        <v>1.4000000000000909</v>
      </c>
      <c r="U28" s="66">
        <f>'FS Desroches Daily'!AJ30</f>
        <v>389.99999999998636</v>
      </c>
      <c r="V28" s="66">
        <f>'FS Desroches Daily'!AL30</f>
        <v>3.9999999999992042E-2</v>
      </c>
      <c r="W28" s="66">
        <f>'FS Desroches Daily'!AN30</f>
        <v>0.21999999999999886</v>
      </c>
      <c r="X28" s="66">
        <f>'FS Desroches Daily'!AP30</f>
        <v>0.17999999999999261</v>
      </c>
      <c r="Y28" s="66">
        <f>'FS Desroches Daily'!AR30</f>
        <v>79.999999999984084</v>
      </c>
      <c r="Z28" s="66">
        <f>'FS Desroches Daily'!AT30</f>
        <v>110.00000000001364</v>
      </c>
      <c r="AA28" s="66">
        <f>'FS Desroches Daily'!AT30</f>
        <v>110.00000000001364</v>
      </c>
      <c r="AB28" s="66">
        <f>'FS Desroches Daily'!AV30</f>
        <v>129.99999999999545</v>
      </c>
      <c r="AC28" s="66">
        <f>'FS Desroches Daily'!AZ30</f>
        <v>50.000000000011369</v>
      </c>
      <c r="AD28" s="66">
        <f>'FS Desroches Daily'!BB30</f>
        <v>39.99999999996362</v>
      </c>
      <c r="AE28" s="66">
        <f>'FS Desroches Daily'!BD30</f>
        <v>20.000000000010232</v>
      </c>
      <c r="AF28" s="62">
        <f>'FS Desroches Daily'!BF30</f>
        <v>44</v>
      </c>
      <c r="AG28" s="63">
        <f>'FS Desroches Daily'!BH30</f>
        <v>39.999999999992042</v>
      </c>
      <c r="AH28" s="63">
        <f>'FS Desroches Daily'!BJ30</f>
        <v>39.99999999996362</v>
      </c>
      <c r="AI28" s="63">
        <f>'FS Desroches Daily'!BL30</f>
        <v>30.000000000001137</v>
      </c>
      <c r="AJ28" s="63">
        <f>'FS Desroches Daily'!BN30</f>
        <v>30.000000000001137</v>
      </c>
      <c r="AK28" s="63">
        <f>'FS Desroches Daily'!BP30</f>
        <v>40.000000000020464</v>
      </c>
      <c r="AL28" s="63">
        <f>'FS Desroches Daily'!BR30</f>
        <v>35</v>
      </c>
      <c r="AM28" s="63">
        <f>'FS Desroches Daily'!BT30</f>
        <v>69.999999999993179</v>
      </c>
      <c r="AN28" s="63">
        <f>'FS Desroches Daily'!BV30</f>
        <v>25</v>
      </c>
      <c r="AO28" s="63">
        <f>'FS Desroches Daily'!BX30</f>
        <v>30.000000000001137</v>
      </c>
      <c r="AP28" s="63">
        <f>'FS Desroches Daily'!BZ30</f>
        <v>50</v>
      </c>
      <c r="AQ28" s="62">
        <f>'FS Desroches Daily'!CB30</f>
        <v>34.799999999999272</v>
      </c>
      <c r="AR28" s="62">
        <f>'FS Desroches Daily'!CD30</f>
        <v>12.100000000000364</v>
      </c>
      <c r="AS28" s="62">
        <f>'FS Desroches Daily'!CF30</f>
        <v>9</v>
      </c>
      <c r="AT28" s="62">
        <f>'FS Desroches Daily'!CH30</f>
        <v>82.899999999994179</v>
      </c>
      <c r="AU28" s="62">
        <f>'FS Desroches Daily'!CJ30</f>
        <v>322</v>
      </c>
      <c r="AV28" s="62">
        <f>'FS Desroches Daily'!CL30</f>
        <v>590.00000000003183</v>
      </c>
      <c r="AW28" s="62">
        <f>'FS Desroches Daily'!CM30</f>
        <v>88.2</v>
      </c>
      <c r="AX28" s="62">
        <f>IF(LPG!F35-LPG!F34&lt;0,"0",(LPG!F35-LPG!F34)*1.8315)</f>
        <v>14.651999999999999</v>
      </c>
      <c r="AY28" s="62">
        <f>IF(LPG!H35-LPG!H34&lt;0,"0",(LPG!H35-LPG!H34)*1.8315)</f>
        <v>3.6629999999999998</v>
      </c>
      <c r="AZ28" s="62">
        <f>IF(LPG!J35-LPG!J34&lt;0,"0",(LPG!J35-LPG!J34)*1.8315)</f>
        <v>0</v>
      </c>
      <c r="BA28" s="62">
        <f>IF(LPG!M35-LPG!M34&lt;0,"0",(LPG!M35-LPG!M34)*1.8315)</f>
        <v>3.6629999999999998</v>
      </c>
      <c r="BB28" s="62">
        <f>IF(LPG!Q35-LPG!Q34&lt;0,"0",(LPG!Q35-LPG!Q34)*1.8315)</f>
        <v>5.4944999999999995</v>
      </c>
      <c r="BC28" s="13">
        <f>'FS Desroches Daily'!CN30</f>
        <v>26</v>
      </c>
      <c r="BD28" s="9"/>
    </row>
    <row r="29" spans="1:56" s="16" customFormat="1" x14ac:dyDescent="0.25">
      <c r="A29" s="58" t="s">
        <v>11</v>
      </c>
      <c r="B29" s="15">
        <f t="shared" si="0"/>
        <v>28</v>
      </c>
      <c r="C29" s="18">
        <v>11</v>
      </c>
      <c r="D29" s="58">
        <v>2019</v>
      </c>
      <c r="E29" s="62">
        <f>'FS Desroches Daily'!D31</f>
        <v>1799.9999999998017</v>
      </c>
      <c r="F29" s="63">
        <f>'FS Desroches Daily'!F31</f>
        <v>3199.9999999996476</v>
      </c>
      <c r="G29" s="62">
        <f>'FS Desroches Daily'!H31</f>
        <v>3199.9999999996476</v>
      </c>
      <c r="H29" s="63">
        <f>'FS Desroches Daily'!J31</f>
        <v>1519.9999999999818</v>
      </c>
      <c r="I29" s="62">
        <f>'FS Desroches Daily'!L31</f>
        <v>2599.9999999999359</v>
      </c>
      <c r="J29" s="63">
        <f>'FS Desroches Daily'!N31</f>
        <v>1559.9999999999454</v>
      </c>
      <c r="K29" s="13">
        <f>'FS Desroches Daily'!P31</f>
        <v>21</v>
      </c>
      <c r="L29" s="62">
        <f>'FS Desroches Daily'!R31</f>
        <v>8</v>
      </c>
      <c r="M29" s="62">
        <f>'FS Desroches Daily'!T31</f>
        <v>1159</v>
      </c>
      <c r="N29" s="62">
        <f>'FS Desroches Daily'!V31</f>
        <v>491</v>
      </c>
      <c r="O29" s="62">
        <f>'FS Desroches Daily'!X31</f>
        <v>310.00000000000227</v>
      </c>
      <c r="P29" s="62">
        <f>'FS Desroches Daily'!Z31</f>
        <v>2800.0000000001355</v>
      </c>
      <c r="Q29" s="62">
        <f>'FS Desroches Daily'!AB31</f>
        <v>379.99999999999545</v>
      </c>
      <c r="R29" s="62">
        <f>'FS Desroches Daily'!AD31</f>
        <v>269.99999999998181</v>
      </c>
      <c r="S29" s="62">
        <f>'FS Desroches Daily'!AF31</f>
        <v>699.99999999998863</v>
      </c>
      <c r="T29" s="62">
        <f>'FS Desroches Daily'!AH31</f>
        <v>1.5</v>
      </c>
      <c r="U29" s="66">
        <f>'FS Desroches Daily'!AJ31</f>
        <v>430.00000000000682</v>
      </c>
      <c r="V29" s="66">
        <f>'FS Desroches Daily'!AL31</f>
        <v>7.000000000000739E-2</v>
      </c>
      <c r="W29" s="66">
        <f>'FS Desroches Daily'!AN31</f>
        <v>0.23000000000000398</v>
      </c>
      <c r="X29" s="66">
        <f>'FS Desroches Daily'!AP31</f>
        <v>0.17000000000000171</v>
      </c>
      <c r="Y29" s="66">
        <f>'FS Desroches Daily'!AR31</f>
        <v>69.999999999993179</v>
      </c>
      <c r="Z29" s="66">
        <f>'FS Desroches Daily'!AT31</f>
        <v>129.99999999999545</v>
      </c>
      <c r="AA29" s="66">
        <f>'FS Desroches Daily'!AT31</f>
        <v>129.99999999999545</v>
      </c>
      <c r="AB29" s="66">
        <f>'FS Desroches Daily'!AV31</f>
        <v>150.00000000000568</v>
      </c>
      <c r="AC29" s="66">
        <f>'FS Desroches Daily'!AZ31</f>
        <v>40.000000000020464</v>
      </c>
      <c r="AD29" s="66">
        <f>'FS Desroches Daily'!BB31</f>
        <v>50.000000000011369</v>
      </c>
      <c r="AE29" s="66">
        <f>'FS Desroches Daily'!BD31</f>
        <v>30.000000000001137</v>
      </c>
      <c r="AF29" s="62">
        <f>'FS Desroches Daily'!BF31</f>
        <v>51</v>
      </c>
      <c r="AG29" s="63">
        <f>'FS Desroches Daily'!BH31</f>
        <v>20.000000000010232</v>
      </c>
      <c r="AH29" s="63">
        <f>'FS Desroches Daily'!BJ31</f>
        <v>30.000000000029559</v>
      </c>
      <c r="AI29" s="63">
        <f>'FS Desroches Daily'!BL31</f>
        <v>39.999999999992042</v>
      </c>
      <c r="AJ29" s="63">
        <f>'FS Desroches Daily'!BN31</f>
        <v>30.000000000001137</v>
      </c>
      <c r="AK29" s="63">
        <f>'FS Desroches Daily'!BP31</f>
        <v>39.99999999996362</v>
      </c>
      <c r="AL29" s="63">
        <f>'FS Desroches Daily'!BR31</f>
        <v>30</v>
      </c>
      <c r="AM29" s="63">
        <f>'FS Desroches Daily'!BT31</f>
        <v>30.000000000001137</v>
      </c>
      <c r="AN29" s="63">
        <f>'FS Desroches Daily'!BV31</f>
        <v>31</v>
      </c>
      <c r="AO29" s="63">
        <f>'FS Desroches Daily'!BX31</f>
        <v>20.000000000010232</v>
      </c>
      <c r="AP29" s="63">
        <f>'FS Desroches Daily'!BZ31</f>
        <v>43</v>
      </c>
      <c r="AQ29" s="62">
        <f>'FS Desroches Daily'!CB31</f>
        <v>28.100000000002183</v>
      </c>
      <c r="AR29" s="62">
        <f>'FS Desroches Daily'!CD31</f>
        <v>9.6000000000003638</v>
      </c>
      <c r="AS29" s="62">
        <f>'FS Desroches Daily'!CF31</f>
        <v>2</v>
      </c>
      <c r="AT29" s="62">
        <f>'FS Desroches Daily'!CH31</f>
        <v>51.30000000000291</v>
      </c>
      <c r="AU29" s="62">
        <f>'FS Desroches Daily'!CJ31</f>
        <v>336</v>
      </c>
      <c r="AV29" s="62">
        <f>'FS Desroches Daily'!CL31</f>
        <v>569.99999999999318</v>
      </c>
      <c r="AW29" s="62">
        <f>'FS Desroches Daily'!CM31</f>
        <v>77</v>
      </c>
      <c r="AX29" s="62">
        <f>IF(LPG!F36-LPG!F35&lt;0,"0",(LPG!F36-LPG!F35)*1.8315)</f>
        <v>16.483499999999999</v>
      </c>
      <c r="AY29" s="62">
        <f>IF(LPG!H36-LPG!H35&lt;0,"0",(LPG!H36-LPG!H35)*1.8315)</f>
        <v>3.6629999999999998</v>
      </c>
      <c r="AZ29" s="62">
        <f>IF(LPG!J36-LPG!J35&lt;0,"0",(LPG!J36-LPG!J35)*1.8315)</f>
        <v>0</v>
      </c>
      <c r="BA29" s="62">
        <f>IF(LPG!M36-LPG!M35&lt;0,"0",(LPG!M36-LPG!M35)*1.8315)</f>
        <v>5.4944999999999995</v>
      </c>
      <c r="BB29" s="62">
        <f>IF(LPG!Q36-LPG!Q35&lt;0,"0",(LPG!Q36-LPG!Q35)*1.8315)</f>
        <v>3.6629999999999998</v>
      </c>
      <c r="BC29" s="13">
        <f>'FS Desroches Daily'!CN31</f>
        <v>26</v>
      </c>
      <c r="BD29" s="9"/>
    </row>
    <row r="30" spans="1:56" s="16" customFormat="1" x14ac:dyDescent="0.25">
      <c r="A30" s="58" t="s">
        <v>11</v>
      </c>
      <c r="B30" s="15">
        <f t="shared" si="0"/>
        <v>29</v>
      </c>
      <c r="C30" s="18">
        <v>11</v>
      </c>
      <c r="D30" s="58">
        <v>2019</v>
      </c>
      <c r="E30" s="62">
        <f>'FS Desroches Daily'!D32</f>
        <v>1700.0000000000348</v>
      </c>
      <c r="F30" s="63">
        <f>'FS Desroches Daily'!F32</f>
        <v>3200.0000000000919</v>
      </c>
      <c r="G30" s="62">
        <f>'FS Desroches Daily'!H32</f>
        <v>3200.0000000000919</v>
      </c>
      <c r="H30" s="63">
        <f>'FS Desroches Daily'!J32</f>
        <v>1409.9999999999682</v>
      </c>
      <c r="I30" s="62">
        <f>'FS Desroches Daily'!L32</f>
        <v>2700.0000000001469</v>
      </c>
      <c r="J30" s="63">
        <f>'FS Desroches Daily'!N32</f>
        <v>1519.9999999999818</v>
      </c>
      <c r="K30" s="13">
        <f>'FS Desroches Daily'!P32</f>
        <v>18</v>
      </c>
      <c r="L30" s="62">
        <f>'FS Desroches Daily'!R32</f>
        <v>7</v>
      </c>
      <c r="M30" s="62">
        <f>'FS Desroches Daily'!T32</f>
        <v>1201</v>
      </c>
      <c r="N30" s="62">
        <f>'FS Desroches Daily'!V32</f>
        <v>535</v>
      </c>
      <c r="O30" s="62">
        <f>'FS Desroches Daily'!X32</f>
        <v>310.00000000000227</v>
      </c>
      <c r="P30" s="62">
        <f>'FS Desroches Daily'!Z32</f>
        <v>2799.9999999999136</v>
      </c>
      <c r="Q30" s="62">
        <f>'FS Desroches Daily'!AB32</f>
        <v>439.99999999999773</v>
      </c>
      <c r="R30" s="62">
        <f>'FS Desroches Daily'!AD32</f>
        <v>250</v>
      </c>
      <c r="S30" s="62">
        <f>'FS Desroches Daily'!AF32</f>
        <v>719.99999999997044</v>
      </c>
      <c r="T30" s="62">
        <f>'FS Desroches Daily'!AH32</f>
        <v>1.1999999999999318</v>
      </c>
      <c r="U30" s="66">
        <f>'FS Desroches Daily'!AJ32</f>
        <v>420.00000000001592</v>
      </c>
      <c r="V30" s="66">
        <f>'FS Desroches Daily'!AL32</f>
        <v>7.9999999999998295E-2</v>
      </c>
      <c r="W30" s="66">
        <f>'FS Desroches Daily'!AN32</f>
        <v>0.14000000000000057</v>
      </c>
      <c r="X30" s="66">
        <f>'FS Desroches Daily'!AP32</f>
        <v>0.10000000000000853</v>
      </c>
      <c r="Y30" s="66">
        <f>'FS Desroches Daily'!AR32</f>
        <v>80.000000000012506</v>
      </c>
      <c r="Z30" s="66">
        <f>'FS Desroches Daily'!AT32</f>
        <v>100.00000000002274</v>
      </c>
      <c r="AA30" s="66">
        <f>'FS Desroches Daily'!AT32</f>
        <v>100.00000000002274</v>
      </c>
      <c r="AB30" s="66">
        <f>'FS Desroches Daily'!AV32</f>
        <v>139.99999999998636</v>
      </c>
      <c r="AC30" s="66">
        <f>'FS Desroches Daily'!AZ32</f>
        <v>60.000000000002274</v>
      </c>
      <c r="AD30" s="66">
        <f>'FS Desroches Daily'!BB32</f>
        <v>50.000000000011369</v>
      </c>
      <c r="AE30" s="66">
        <f>'FS Desroches Daily'!BD32</f>
        <v>19.99999999998181</v>
      </c>
      <c r="AF30" s="62">
        <f>'FS Desroches Daily'!BF32</f>
        <v>44</v>
      </c>
      <c r="AG30" s="63">
        <f>'FS Desroches Daily'!BH32</f>
        <v>30.000000000001137</v>
      </c>
      <c r="AH30" s="63">
        <f>'FS Desroches Daily'!BJ32</f>
        <v>40.000000000020464</v>
      </c>
      <c r="AI30" s="63">
        <f>'FS Desroches Daily'!BL32</f>
        <v>30.000000000001137</v>
      </c>
      <c r="AJ30" s="63">
        <f>'FS Desroches Daily'!BN32</f>
        <v>30.000000000001137</v>
      </c>
      <c r="AK30" s="63">
        <f>'FS Desroches Daily'!BP32</f>
        <v>30.000000000029559</v>
      </c>
      <c r="AL30" s="63">
        <f>'FS Desroches Daily'!BR32</f>
        <v>39</v>
      </c>
      <c r="AM30" s="63">
        <f>'FS Desroches Daily'!BT32</f>
        <v>40.000000000020464</v>
      </c>
      <c r="AN30" s="63">
        <f>'FS Desroches Daily'!BV32</f>
        <v>23</v>
      </c>
      <c r="AO30" s="63">
        <f>'FS Desroches Daily'!BX32</f>
        <v>39.999999999992042</v>
      </c>
      <c r="AP30" s="63">
        <f>'FS Desroches Daily'!BZ32</f>
        <v>51</v>
      </c>
      <c r="AQ30" s="62">
        <f>'FS Desroches Daily'!CB32</f>
        <v>28.799999999999272</v>
      </c>
      <c r="AR30" s="62">
        <f>'FS Desroches Daily'!CD32</f>
        <v>14.600000000000364</v>
      </c>
      <c r="AS30" s="62">
        <f>'FS Desroches Daily'!CF32</f>
        <v>9</v>
      </c>
      <c r="AT30" s="62">
        <f>'FS Desroches Daily'!CH32</f>
        <v>86</v>
      </c>
      <c r="AU30" s="62">
        <f>'FS Desroches Daily'!CJ32</f>
        <v>319</v>
      </c>
      <c r="AV30" s="62">
        <f>'FS Desroches Daily'!CL32</f>
        <v>579.99999999998408</v>
      </c>
      <c r="AW30" s="62">
        <f>'FS Desroches Daily'!CM32</f>
        <v>81.5</v>
      </c>
      <c r="AX30" s="62">
        <f>IF(LPG!F37-LPG!F36&lt;0,"0",(LPG!F37-LPG!F36)*1.8315)</f>
        <v>14.651999999999999</v>
      </c>
      <c r="AY30" s="62">
        <f>IF(LPG!H37-LPG!H36&lt;0,"0",(LPG!H37-LPG!H36)*1.8315)</f>
        <v>1.8314999999999999</v>
      </c>
      <c r="AZ30" s="62">
        <f>IF(LPG!J37-LPG!J36&lt;0,"0",(LPG!J37-LPG!J36)*1.8315)</f>
        <v>0</v>
      </c>
      <c r="BA30" s="62">
        <f>IF(LPG!M37-LPG!M36&lt;0,"0",(LPG!M37-LPG!M36)*1.8315)</f>
        <v>3.6629999999999998</v>
      </c>
      <c r="BB30" s="62">
        <f>IF(LPG!Q37-LPG!Q36&lt;0,"0",(LPG!Q37-LPG!Q36)*1.8315)</f>
        <v>5.4944999999999995</v>
      </c>
      <c r="BC30" s="13">
        <f>'FS Desroches Daily'!CN32</f>
        <v>23</v>
      </c>
      <c r="BD30" s="9"/>
    </row>
    <row r="31" spans="1:56" s="16" customFormat="1" x14ac:dyDescent="0.25">
      <c r="A31" s="58" t="s">
        <v>11</v>
      </c>
      <c r="B31" s="15">
        <f t="shared" si="0"/>
        <v>30</v>
      </c>
      <c r="C31" s="18">
        <v>11</v>
      </c>
      <c r="D31" s="58">
        <v>2019</v>
      </c>
      <c r="E31" s="62">
        <f>'FS Desroches Daily'!D33</f>
        <v>1100.000000000101</v>
      </c>
      <c r="F31" s="63">
        <f>'FS Desroches Daily'!F33</f>
        <v>2699.9999999999245</v>
      </c>
      <c r="G31" s="62">
        <f>'FS Desroches Daily'!H33</f>
        <v>2499.9999999999468</v>
      </c>
      <c r="H31" s="63">
        <f>'FS Desroches Daily'!J33</f>
        <v>1100.0000000000227</v>
      </c>
      <c r="I31" s="62">
        <f>'FS Desroches Daily'!L33</f>
        <v>2299.9999999999686</v>
      </c>
      <c r="J31" s="63">
        <f>'FS Desroches Daily'!N33</f>
        <v>1070.00000000005</v>
      </c>
      <c r="K31" s="13">
        <f>'FS Desroches Daily'!P33</f>
        <v>18</v>
      </c>
      <c r="L31" s="62">
        <f>'FS Desroches Daily'!R33</f>
        <v>7</v>
      </c>
      <c r="M31" s="62">
        <f>'FS Desroches Daily'!T33</f>
        <v>1112</v>
      </c>
      <c r="N31" s="62">
        <f>'FS Desroches Daily'!V33</f>
        <v>521</v>
      </c>
      <c r="O31" s="62">
        <f>'FS Desroches Daily'!X33</f>
        <v>310.00000000000227</v>
      </c>
      <c r="P31" s="62">
        <f>'FS Desroches Daily'!Z33</f>
        <v>2499.9999999999468</v>
      </c>
      <c r="Q31" s="62">
        <f>'FS Desroches Daily'!AB33</f>
        <v>220.00000000002728</v>
      </c>
      <c r="R31" s="62">
        <f>'FS Desroches Daily'!AD33</f>
        <v>260.00000000001933</v>
      </c>
      <c r="S31" s="62">
        <f>'FS Desroches Daily'!AF33</f>
        <v>530.00000000002956</v>
      </c>
      <c r="T31" s="62">
        <f>'FS Desroches Daily'!AH33</f>
        <v>1.3999999999999773</v>
      </c>
      <c r="U31" s="66">
        <f>'FS Desroches Daily'!AJ33</f>
        <v>379.99999999999545</v>
      </c>
      <c r="V31" s="66">
        <f>'FS Desroches Daily'!AL33</f>
        <v>6.0000000000002274E-2</v>
      </c>
      <c r="W31" s="66">
        <f>'FS Desroches Daily'!AN33</f>
        <v>8.99999999999892E-2</v>
      </c>
      <c r="X31" s="66">
        <f>'FS Desroches Daily'!AP33</f>
        <v>4.9999999999997158E-2</v>
      </c>
      <c r="Y31" s="66">
        <f>'FS Desroches Daily'!AR33</f>
        <v>39.999999999992042</v>
      </c>
      <c r="Z31" s="66">
        <f>'FS Desroches Daily'!AT33</f>
        <v>69.999999999993179</v>
      </c>
      <c r="AA31" s="66">
        <f>'FS Desroches Daily'!AT33</f>
        <v>69.999999999993179</v>
      </c>
      <c r="AB31" s="66">
        <f>'FS Desroches Daily'!AV33</f>
        <v>129.99999999999545</v>
      </c>
      <c r="AC31" s="66">
        <f>'FS Desroches Daily'!AZ33</f>
        <v>29.999999999972715</v>
      </c>
      <c r="AD31" s="66">
        <f>'FS Desroches Daily'!BB33</f>
        <v>29.999999999972715</v>
      </c>
      <c r="AE31" s="66">
        <f>'FS Desroches Daily'!BD33</f>
        <v>20.000000000010232</v>
      </c>
      <c r="AF31" s="62">
        <f>'FS Desroches Daily'!BF33</f>
        <v>40</v>
      </c>
      <c r="AG31" s="63">
        <f>'FS Desroches Daily'!BH33</f>
        <v>19.99999999998181</v>
      </c>
      <c r="AH31" s="63">
        <f>'FS Desroches Daily'!BJ33</f>
        <v>29.999999999972715</v>
      </c>
      <c r="AI31" s="63">
        <f>'FS Desroches Daily'!BL33</f>
        <v>39.999999999992042</v>
      </c>
      <c r="AJ31" s="63">
        <f>'FS Desroches Daily'!BN33</f>
        <v>30.000000000001137</v>
      </c>
      <c r="AK31" s="63">
        <f>'FS Desroches Daily'!BP33</f>
        <v>29.999999999972715</v>
      </c>
      <c r="AL31" s="63">
        <f>'FS Desroches Daily'!BR33</f>
        <v>23</v>
      </c>
      <c r="AM31" s="63">
        <f>'FS Desroches Daily'!BT33</f>
        <v>30.000000000001137</v>
      </c>
      <c r="AN31" s="63">
        <f>'FS Desroches Daily'!BV33</f>
        <v>24</v>
      </c>
      <c r="AO31" s="63">
        <f>'FS Desroches Daily'!BX33</f>
        <v>20.000000000010232</v>
      </c>
      <c r="AP31" s="63">
        <f>'FS Desroches Daily'!BZ33</f>
        <v>36</v>
      </c>
      <c r="AQ31" s="62">
        <f>'FS Desroches Daily'!CB33</f>
        <v>27.799999999999272</v>
      </c>
      <c r="AR31" s="62">
        <f>'FS Desroches Daily'!CD33</f>
        <v>9.6999999999989086</v>
      </c>
      <c r="AS31" s="62">
        <f>'FS Desroches Daily'!CF33</f>
        <v>0</v>
      </c>
      <c r="AT31" s="62">
        <f>'FS Desroches Daily'!CH33</f>
        <v>55.80000000000291</v>
      </c>
      <c r="AU31" s="62">
        <f>'FS Desroches Daily'!CJ33</f>
        <v>253</v>
      </c>
      <c r="AV31" s="62">
        <f>'FS Desroches Daily'!CL33</f>
        <v>600.00000000002274</v>
      </c>
      <c r="AW31" s="62">
        <f>'FS Desroches Daily'!CM33</f>
        <v>81.5</v>
      </c>
      <c r="AX31" s="62">
        <f>IF(LPG!F38-LPG!F37&lt;0,"0",(LPG!F38-LPG!F37)*1.8315)</f>
        <v>23.8095</v>
      </c>
      <c r="AY31" s="62">
        <f>IF(LPG!H38-LPG!H37&lt;0,"0",(LPG!H38-LPG!H37)*1.8315)</f>
        <v>7.3259999999999996</v>
      </c>
      <c r="AZ31" s="62">
        <f>IF(LPG!J38-LPG!J37&lt;0,"0",(LPG!J38-LPG!J37)*1.8315)</f>
        <v>0</v>
      </c>
      <c r="BA31" s="62">
        <f>IF(LPG!M38-LPG!M37&lt;0,"0",(LPG!M38-LPG!M37)*1.8315)</f>
        <v>0</v>
      </c>
      <c r="BB31" s="62">
        <f>IF(LPG!Q38-LPG!Q37&lt;0,"0",(LPG!Q38-LPG!Q37)*1.8315)</f>
        <v>14.651999999999999</v>
      </c>
      <c r="BC31" s="13">
        <f>'FS Desroches Daily'!CN33</f>
        <v>21</v>
      </c>
      <c r="BD31" s="9"/>
    </row>
    <row r="32" spans="1:56" x14ac:dyDescent="0.25">
      <c r="A32" s="58" t="s">
        <v>11</v>
      </c>
      <c r="B32" s="15">
        <f t="shared" si="0"/>
        <v>31</v>
      </c>
      <c r="C32" s="18">
        <v>11</v>
      </c>
      <c r="D32" s="58">
        <v>2019</v>
      </c>
      <c r="E32" s="62" t="str">
        <f>'FS Desroches Daily'!D34</f>
        <v>0</v>
      </c>
      <c r="F32" s="63" t="str">
        <f>'FS Desroches Daily'!F34</f>
        <v>0</v>
      </c>
      <c r="G32" s="62" t="str">
        <f>'FS Desroches Daily'!H34</f>
        <v>0</v>
      </c>
      <c r="H32" s="63" t="str">
        <f>'FS Desroches Daily'!J34</f>
        <v>0</v>
      </c>
      <c r="I32" s="62" t="str">
        <f>'FS Desroches Daily'!L34</f>
        <v>0</v>
      </c>
      <c r="J32" s="63" t="str">
        <f>'FS Desroches Daily'!N34</f>
        <v/>
      </c>
      <c r="K32" s="13" t="str">
        <f>'FS Desroches Daily'!P34</f>
        <v/>
      </c>
      <c r="L32" s="62" t="str">
        <f>'FS Desroches Daily'!R34</f>
        <v/>
      </c>
      <c r="M32" s="62" t="str">
        <f>'FS Desroches Daily'!T34</f>
        <v/>
      </c>
      <c r="N32" s="62" t="str">
        <f>'FS Desroches Daily'!V34</f>
        <v/>
      </c>
      <c r="O32" s="62" t="str">
        <f>'FS Desroches Daily'!X34</f>
        <v/>
      </c>
      <c r="P32" s="62" t="str">
        <f>'FS Desroches Daily'!Z34</f>
        <v/>
      </c>
      <c r="Q32" s="62" t="str">
        <f>'FS Desroches Daily'!AB34</f>
        <v/>
      </c>
      <c r="R32" s="62" t="str">
        <f>'FS Desroches Daily'!AD34</f>
        <v/>
      </c>
      <c r="S32" s="62" t="str">
        <f>'FS Desroches Daily'!AF34</f>
        <v/>
      </c>
      <c r="T32" s="62" t="str">
        <f>'FS Desroches Daily'!AH34</f>
        <v/>
      </c>
      <c r="U32" s="66" t="str">
        <f>'FS Desroches Daily'!AJ34</f>
        <v/>
      </c>
      <c r="V32" s="66" t="str">
        <f>'FS Desroches Daily'!AL34</f>
        <v/>
      </c>
      <c r="W32" s="66" t="str">
        <f>'FS Desroches Daily'!AN34</f>
        <v/>
      </c>
      <c r="X32" s="66" t="str">
        <f>'FS Desroches Daily'!AP34</f>
        <v/>
      </c>
      <c r="Y32" s="66" t="str">
        <f>'FS Desroches Daily'!AR34</f>
        <v/>
      </c>
      <c r="Z32" s="66" t="str">
        <f>'FS Desroches Daily'!AT34</f>
        <v/>
      </c>
      <c r="AA32" s="66" t="str">
        <f>'FS Desroches Daily'!AT34</f>
        <v/>
      </c>
      <c r="AB32" s="66" t="str">
        <f>'FS Desroches Daily'!AV34</f>
        <v/>
      </c>
      <c r="AC32" s="66" t="str">
        <f>'FS Desroches Daily'!AZ34</f>
        <v/>
      </c>
      <c r="AD32" s="66" t="str">
        <f>'FS Desroches Daily'!BB34</f>
        <v/>
      </c>
      <c r="AE32" s="66" t="str">
        <f>'FS Desroches Daily'!BD34</f>
        <v/>
      </c>
      <c r="AF32" s="62" t="str">
        <f>'FS Desroches Daily'!BF34</f>
        <v/>
      </c>
      <c r="AG32" s="63" t="str">
        <f>'FS Desroches Daily'!BH34</f>
        <v/>
      </c>
      <c r="AH32" s="63" t="str">
        <f>'FS Desroches Daily'!BJ34</f>
        <v/>
      </c>
      <c r="AI32" s="63" t="str">
        <f>'FS Desroches Daily'!BL34</f>
        <v/>
      </c>
      <c r="AJ32" s="63" t="str">
        <f>'FS Desroches Daily'!BN34</f>
        <v/>
      </c>
      <c r="AK32" s="63" t="str">
        <f>'FS Desroches Daily'!BP34</f>
        <v/>
      </c>
      <c r="AL32" s="63" t="str">
        <f>'FS Desroches Daily'!BR34</f>
        <v/>
      </c>
      <c r="AM32" s="63" t="str">
        <f>'FS Desroches Daily'!BT34</f>
        <v/>
      </c>
      <c r="AN32" s="63" t="str">
        <f>'FS Desroches Daily'!BV34</f>
        <v/>
      </c>
      <c r="AO32" s="63" t="str">
        <f>'FS Desroches Daily'!BX34</f>
        <v/>
      </c>
      <c r="AP32" s="63" t="str">
        <f>'FS Desroches Daily'!BZ34</f>
        <v/>
      </c>
      <c r="AQ32" s="62" t="str">
        <f>'FS Desroches Daily'!CB34</f>
        <v/>
      </c>
      <c r="AR32" s="62" t="str">
        <f>'FS Desroches Daily'!CD34</f>
        <v/>
      </c>
      <c r="AS32" s="62" t="str">
        <f>'FS Desroches Daily'!CF34</f>
        <v/>
      </c>
      <c r="AT32" s="62" t="str">
        <f>'FS Desroches Daily'!CH34</f>
        <v/>
      </c>
      <c r="AU32" s="62" t="str">
        <f>'FS Desroches Daily'!CJ34</f>
        <v/>
      </c>
      <c r="AV32" s="62" t="str">
        <f>'FS Desroches Daily'!CL34</f>
        <v/>
      </c>
      <c r="AW32" s="62">
        <f>'FS Desroches Daily'!CM34</f>
        <v>74.7</v>
      </c>
      <c r="AX32" s="62" t="str">
        <f>IF(LPG!F39-LPG!F38&lt;0,"0",(LPG!F39-LPG!F38)*1.8315)</f>
        <v>0</v>
      </c>
      <c r="AY32" s="62" t="str">
        <f>IF(LPG!H39-LPG!H38&lt;0,"0",(LPG!H39-LPG!H38)*1.8315)</f>
        <v>0</v>
      </c>
      <c r="AZ32" s="62" t="str">
        <f>IF(LPG!J39-LPG!J38&lt;0,"0",(LPG!J39-LPG!J38)*1.8315)</f>
        <v>0</v>
      </c>
      <c r="BA32" s="62" t="str">
        <f>IF(LPG!M39-LPG!M38&lt;0,"0",(LPG!M39-LPG!M38)*1.8315)</f>
        <v>0</v>
      </c>
      <c r="BB32" s="6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6">
        <f>SUM(E2:E32)</f>
        <v>63600.000000000102</v>
      </c>
      <c r="F33" s="17">
        <f t="shared" ref="F33:BC33" si="1">SUM(F2:F32)</f>
        <v>99799.99999999968</v>
      </c>
      <c r="G33" s="17">
        <f t="shared" si="1"/>
        <v>99599.999999999913</v>
      </c>
      <c r="H33" s="17">
        <f t="shared" si="1"/>
        <v>43470.000000000022</v>
      </c>
      <c r="I33" s="17">
        <f t="shared" si="1"/>
        <v>76000.000000000073</v>
      </c>
      <c r="J33" s="17">
        <f t="shared" si="1"/>
        <v>52180.000000000065</v>
      </c>
      <c r="K33" s="17">
        <f t="shared" si="1"/>
        <v>597</v>
      </c>
      <c r="L33" s="17">
        <f t="shared" si="1"/>
        <v>229</v>
      </c>
      <c r="M33" s="17">
        <f t="shared" si="1"/>
        <v>39218</v>
      </c>
      <c r="N33" s="17">
        <f t="shared" si="1"/>
        <v>15490</v>
      </c>
      <c r="O33" s="17">
        <f t="shared" si="1"/>
        <v>12109.999999999984</v>
      </c>
      <c r="P33" s="17">
        <f t="shared" si="1"/>
        <v>87399.999999999913</v>
      </c>
      <c r="Q33" s="17">
        <f t="shared" si="1"/>
        <v>12950.000000000018</v>
      </c>
      <c r="R33" s="17">
        <f t="shared" si="1"/>
        <v>13530</v>
      </c>
      <c r="S33" s="17">
        <f t="shared" si="1"/>
        <v>22889.999999999989</v>
      </c>
      <c r="T33" s="17">
        <f t="shared" si="1"/>
        <v>50.699999999999932</v>
      </c>
      <c r="U33" s="66">
        <f t="shared" si="1"/>
        <v>16740.000000000011</v>
      </c>
      <c r="V33" s="66">
        <f t="shared" si="1"/>
        <v>1.7000000000000028</v>
      </c>
      <c r="W33" s="66">
        <f t="shared" si="1"/>
        <v>4.8999999999999915</v>
      </c>
      <c r="X33" s="66">
        <f t="shared" si="1"/>
        <v>5.519999999999996</v>
      </c>
      <c r="Y33" s="66">
        <f t="shared" si="1"/>
        <v>3049.9999999999827</v>
      </c>
      <c r="Z33" s="66">
        <f t="shared" si="1"/>
        <v>7610.0000000000127</v>
      </c>
      <c r="AA33" s="66">
        <f t="shared" si="1"/>
        <v>7610.0000000000127</v>
      </c>
      <c r="AB33" s="66">
        <f t="shared" si="1"/>
        <v>3060.0000000000018</v>
      </c>
      <c r="AC33" s="66">
        <f t="shared" si="1"/>
        <v>3370.0000000000045</v>
      </c>
      <c r="AD33" s="66">
        <f t="shared" si="1"/>
        <v>3839.999999999975</v>
      </c>
      <c r="AE33" s="66">
        <f t="shared" si="1"/>
        <v>510.00000000001933</v>
      </c>
      <c r="AF33" s="17">
        <f t="shared" si="1"/>
        <v>1569</v>
      </c>
      <c r="AG33" s="63">
        <f t="shared" si="1"/>
        <v>889.99999999998636</v>
      </c>
      <c r="AH33" s="63">
        <f t="shared" si="1"/>
        <v>1189.9999999999977</v>
      </c>
      <c r="AI33" s="63">
        <f t="shared" si="1"/>
        <v>1219.9999999999989</v>
      </c>
      <c r="AJ33" s="63">
        <f t="shared" si="1"/>
        <v>1159.9999999999966</v>
      </c>
      <c r="AK33" s="63">
        <f t="shared" si="1"/>
        <v>1129.9999999999955</v>
      </c>
      <c r="AL33" s="63">
        <f t="shared" si="1"/>
        <v>1005</v>
      </c>
      <c r="AM33" s="63">
        <f t="shared" si="1"/>
        <v>1110.0000000000136</v>
      </c>
      <c r="AN33" s="63">
        <f t="shared" si="1"/>
        <v>941</v>
      </c>
      <c r="AO33" s="63">
        <f t="shared" si="1"/>
        <v>990.00000000000909</v>
      </c>
      <c r="AP33" s="63">
        <f t="shared" si="1"/>
        <v>1366</v>
      </c>
      <c r="AQ33" s="17">
        <f t="shared" si="1"/>
        <v>572.09999999999854</v>
      </c>
      <c r="AR33" s="17">
        <f t="shared" si="1"/>
        <v>236.69999999999891</v>
      </c>
      <c r="AS33" s="17">
        <f t="shared" si="1"/>
        <v>149.09999999999945</v>
      </c>
      <c r="AT33" s="17">
        <f t="shared" si="1"/>
        <v>981.40000000000146</v>
      </c>
      <c r="AU33" s="17">
        <f t="shared" si="1"/>
        <v>5914</v>
      </c>
      <c r="AV33" s="17">
        <f t="shared" si="1"/>
        <v>10860.000000000011</v>
      </c>
      <c r="AW33" s="17">
        <f t="shared" si="1"/>
        <v>2747.6999999999994</v>
      </c>
      <c r="AX33" s="17">
        <f t="shared" si="1"/>
        <v>461.5379999999999</v>
      </c>
      <c r="AY33" s="17">
        <f t="shared" si="1"/>
        <v>104.39549999999997</v>
      </c>
      <c r="AZ33" s="17">
        <f t="shared" si="1"/>
        <v>31.13549999999999</v>
      </c>
      <c r="BA33" s="17">
        <f t="shared" si="1"/>
        <v>131.86799999999999</v>
      </c>
      <c r="BB33" s="17">
        <f t="shared" si="1"/>
        <v>175.82400000000001</v>
      </c>
      <c r="BC33" s="17">
        <f t="shared" si="1"/>
        <v>1115</v>
      </c>
    </row>
    <row r="35" spans="5:55" x14ac:dyDescent="0.25">
      <c r="E35" s="69">
        <f>E33/E37</f>
        <v>0.18182441936258578</v>
      </c>
      <c r="G35" s="60">
        <f>G33-M36</f>
        <v>44891.999999999913</v>
      </c>
      <c r="AE35" s="66">
        <f>SUM(U33:AE33)</f>
        <v>45802.120000000032</v>
      </c>
      <c r="AG35" s="63">
        <f>SUM(AG33:AP33)</f>
        <v>11001.999999999998</v>
      </c>
    </row>
    <row r="36" spans="5:55" x14ac:dyDescent="0.25">
      <c r="G36" s="60">
        <f>G35-633*14</f>
        <v>36029.999999999913</v>
      </c>
      <c r="M36" s="60">
        <f>M33+N33</f>
        <v>54708</v>
      </c>
    </row>
    <row r="37" spans="5:55" x14ac:dyDescent="0.25">
      <c r="E37" s="17">
        <f>E33+F33+G33+H33+J33-633*14</f>
        <v>349787.99999999971</v>
      </c>
      <c r="G37" s="68">
        <f>M36/E37</f>
        <v>0.15640330714604286</v>
      </c>
      <c r="M37" s="66">
        <f>AE35</f>
        <v>45802.120000000032</v>
      </c>
    </row>
    <row r="38" spans="5:55" x14ac:dyDescent="0.25">
      <c r="L38" s="58">
        <f>M38/E37</f>
        <v>3.145333745011266E-2</v>
      </c>
      <c r="M38" s="60">
        <f>AG35</f>
        <v>11001.999999999998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CA1" zoomScale="70" zoomScaleNormal="70" workbookViewId="0">
      <pane ySplit="1" topLeftCell="A8" activePane="bottomLeft" state="frozen"/>
      <selection pane="bottomLeft" activeCell="CM35" sqref="CM35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1" bestFit="1" customWidth="1"/>
    <col min="5" max="5" width="13.7109375" customWidth="1"/>
    <col min="6" max="6" width="13.85546875" style="42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3" customWidth="1"/>
    <col min="17" max="17" width="13.42578125" customWidth="1"/>
    <col min="18" max="18" width="13.42578125" style="43" customWidth="1"/>
    <col min="19" max="19" width="13.42578125" customWidth="1"/>
    <col min="20" max="20" width="13.42578125" style="43" customWidth="1"/>
    <col min="21" max="21" width="13.42578125" customWidth="1"/>
    <col min="22" max="22" width="13.42578125" style="43" customWidth="1"/>
    <col min="23" max="23" width="13.42578125" customWidth="1"/>
    <col min="24" max="24" width="13.42578125" style="43" customWidth="1"/>
    <col min="25" max="25" width="13.42578125" customWidth="1"/>
    <col min="26" max="26" width="13.42578125" style="43" customWidth="1"/>
    <col min="27" max="27" width="14.42578125" customWidth="1"/>
    <col min="28" max="28" width="10.5703125" style="43" customWidth="1"/>
    <col min="29" max="29" width="13.42578125" customWidth="1"/>
    <col min="30" max="30" width="11" style="43" customWidth="1"/>
    <col min="31" max="31" width="13.42578125" customWidth="1"/>
    <col min="32" max="32" width="13.42578125" style="43" customWidth="1"/>
    <col min="33" max="33" width="11.85546875" customWidth="1"/>
    <col min="34" max="34" width="9.5703125" style="43" customWidth="1"/>
    <col min="35" max="35" width="13.140625" customWidth="1"/>
    <col min="36" max="36" width="12.5703125" style="43" customWidth="1"/>
    <col min="37" max="37" width="13.42578125" customWidth="1"/>
    <col min="38" max="38" width="16" style="43" customWidth="1"/>
    <col min="39" max="39" width="13.42578125" style="1" customWidth="1"/>
    <col min="40" max="40" width="13.42578125" style="43" customWidth="1"/>
    <col min="41" max="41" width="13.42578125" style="1" customWidth="1"/>
    <col min="42" max="42" width="13.42578125" style="43" customWidth="1"/>
    <col min="43" max="43" width="13.42578125" style="1" customWidth="1"/>
    <col min="44" max="44" width="13.42578125" style="43" customWidth="1"/>
    <col min="45" max="45" width="13.42578125" style="1" customWidth="1"/>
    <col min="46" max="46" width="13.42578125" style="43" customWidth="1"/>
    <col min="47" max="47" width="13.42578125" style="1" customWidth="1"/>
    <col min="48" max="48" width="13.42578125" style="43" customWidth="1"/>
    <col min="49" max="49" width="13.42578125" style="1" customWidth="1"/>
    <col min="50" max="50" width="13.42578125" style="43" customWidth="1"/>
    <col min="51" max="51" width="13.42578125" style="1" customWidth="1"/>
    <col min="52" max="52" width="13.42578125" style="43" customWidth="1"/>
    <col min="53" max="53" width="13.42578125" style="1" customWidth="1"/>
    <col min="54" max="54" width="13.42578125" style="43" customWidth="1"/>
    <col min="55" max="55" width="13.42578125" style="1" customWidth="1"/>
    <col min="56" max="56" width="13.42578125" style="43" customWidth="1"/>
    <col min="57" max="57" width="13.42578125" style="1" customWidth="1"/>
    <col min="58" max="58" width="13.42578125" style="43" customWidth="1"/>
    <col min="59" max="59" width="13.42578125" style="1" customWidth="1"/>
    <col min="60" max="60" width="13.42578125" style="43" customWidth="1"/>
    <col min="61" max="61" width="13.42578125" style="1" customWidth="1"/>
    <col min="62" max="62" width="13.42578125" style="43" customWidth="1"/>
    <col min="63" max="63" width="13.42578125" style="1" customWidth="1"/>
    <col min="64" max="64" width="13.42578125" style="43" customWidth="1"/>
    <col min="65" max="65" width="13.42578125" style="1" customWidth="1"/>
    <col min="66" max="66" width="13.42578125" style="43" customWidth="1"/>
    <col min="67" max="67" width="13.42578125" style="1" customWidth="1"/>
    <col min="68" max="68" width="13.42578125" style="43" customWidth="1"/>
    <col min="69" max="69" width="13.42578125" style="1" customWidth="1"/>
    <col min="70" max="70" width="13.42578125" style="43" customWidth="1"/>
    <col min="71" max="71" width="13.42578125" style="1" customWidth="1"/>
    <col min="72" max="72" width="13.42578125" style="43" customWidth="1"/>
    <col min="73" max="73" width="13.42578125" style="1" customWidth="1"/>
    <col min="74" max="74" width="13.42578125" style="43" customWidth="1"/>
    <col min="75" max="75" width="13.42578125" style="1" customWidth="1"/>
    <col min="76" max="76" width="13.42578125" style="43" customWidth="1"/>
    <col min="77" max="77" width="13.42578125" style="1" customWidth="1"/>
    <col min="78" max="78" width="13.42578125" style="43" customWidth="1"/>
    <col min="79" max="79" width="13.42578125" style="1" customWidth="1"/>
    <col min="80" max="80" width="13.42578125" style="43" customWidth="1"/>
    <col min="81" max="81" width="13.42578125" style="1" customWidth="1"/>
    <col min="82" max="82" width="13.42578125" style="43" customWidth="1"/>
    <col min="83" max="83" width="13.42578125" style="1" customWidth="1"/>
    <col min="84" max="84" width="13.42578125" style="43" customWidth="1"/>
    <col min="85" max="85" width="13.42578125" style="1" customWidth="1"/>
    <col min="86" max="86" width="13.42578125" style="43" customWidth="1"/>
    <col min="87" max="87" width="13.42578125" style="1" customWidth="1"/>
    <col min="88" max="88" width="13.42578125" style="43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8" customFormat="1" ht="61.5" customHeight="1" thickBot="1" x14ac:dyDescent="0.45">
      <c r="A1" s="23" t="s">
        <v>39</v>
      </c>
      <c r="B1" s="45"/>
      <c r="C1" s="82" t="s">
        <v>14</v>
      </c>
      <c r="D1" s="83"/>
      <c r="E1" s="82" t="s">
        <v>15</v>
      </c>
      <c r="F1" s="83"/>
      <c r="G1" s="82" t="s">
        <v>16</v>
      </c>
      <c r="H1" s="83"/>
      <c r="I1" s="82" t="s">
        <v>17</v>
      </c>
      <c r="J1" s="83"/>
      <c r="K1" s="82" t="s">
        <v>18</v>
      </c>
      <c r="L1" s="83"/>
      <c r="M1" s="82" t="s">
        <v>19</v>
      </c>
      <c r="N1" s="83"/>
      <c r="O1" s="82" t="s">
        <v>20</v>
      </c>
      <c r="P1" s="83"/>
      <c r="Q1" s="82" t="s">
        <v>21</v>
      </c>
      <c r="R1" s="83"/>
      <c r="S1" s="82" t="s">
        <v>119</v>
      </c>
      <c r="T1" s="83"/>
      <c r="U1" s="82" t="s">
        <v>120</v>
      </c>
      <c r="V1" s="83"/>
      <c r="W1" s="84" t="s">
        <v>121</v>
      </c>
      <c r="X1" s="85"/>
      <c r="Y1" s="82" t="s">
        <v>122</v>
      </c>
      <c r="Z1" s="83"/>
      <c r="AA1" s="82" t="s">
        <v>123</v>
      </c>
      <c r="AB1" s="83"/>
      <c r="AC1" s="82" t="s">
        <v>124</v>
      </c>
      <c r="AD1" s="83"/>
      <c r="AE1" s="82" t="s">
        <v>125</v>
      </c>
      <c r="AF1" s="83"/>
      <c r="AG1" s="82" t="s">
        <v>22</v>
      </c>
      <c r="AH1" s="83"/>
      <c r="AI1" s="82" t="s">
        <v>126</v>
      </c>
      <c r="AJ1" s="83"/>
      <c r="AK1" s="82" t="s">
        <v>127</v>
      </c>
      <c r="AL1" s="83"/>
      <c r="AM1" s="82" t="s">
        <v>128</v>
      </c>
      <c r="AN1" s="83"/>
      <c r="AO1" s="82" t="s">
        <v>129</v>
      </c>
      <c r="AP1" s="83"/>
      <c r="AQ1" s="82" t="s">
        <v>130</v>
      </c>
      <c r="AR1" s="83"/>
      <c r="AS1" s="82" t="s">
        <v>131</v>
      </c>
      <c r="AT1" s="83"/>
      <c r="AU1" s="82" t="s">
        <v>137</v>
      </c>
      <c r="AV1" s="83"/>
      <c r="AW1" s="82" t="s">
        <v>136</v>
      </c>
      <c r="AX1" s="83"/>
      <c r="AY1" s="82" t="s">
        <v>135</v>
      </c>
      <c r="AZ1" s="83"/>
      <c r="BA1" s="82" t="s">
        <v>134</v>
      </c>
      <c r="BB1" s="83"/>
      <c r="BC1" s="82" t="s">
        <v>23</v>
      </c>
      <c r="BD1" s="83"/>
      <c r="BE1" s="82" t="s">
        <v>132</v>
      </c>
      <c r="BF1" s="83"/>
      <c r="BG1" s="82" t="s">
        <v>24</v>
      </c>
      <c r="BH1" s="83"/>
      <c r="BI1" s="82" t="s">
        <v>25</v>
      </c>
      <c r="BJ1" s="83"/>
      <c r="BK1" s="82" t="s">
        <v>26</v>
      </c>
      <c r="BL1" s="83"/>
      <c r="BM1" s="82" t="s">
        <v>27</v>
      </c>
      <c r="BN1" s="83"/>
      <c r="BO1" s="82" t="s">
        <v>28</v>
      </c>
      <c r="BP1" s="83"/>
      <c r="BQ1" s="82" t="s">
        <v>29</v>
      </c>
      <c r="BR1" s="83"/>
      <c r="BS1" s="82" t="s">
        <v>30</v>
      </c>
      <c r="BT1" s="83"/>
      <c r="BU1" s="82" t="s">
        <v>31</v>
      </c>
      <c r="BV1" s="83"/>
      <c r="BW1" s="82" t="s">
        <v>32</v>
      </c>
      <c r="BX1" s="83"/>
      <c r="BY1" s="82" t="s">
        <v>33</v>
      </c>
      <c r="BZ1" s="83"/>
      <c r="CA1" s="82" t="s">
        <v>133</v>
      </c>
      <c r="CB1" s="83"/>
      <c r="CC1" s="82" t="s">
        <v>34</v>
      </c>
      <c r="CD1" s="83"/>
      <c r="CE1" s="82" t="s">
        <v>35</v>
      </c>
      <c r="CF1" s="83"/>
      <c r="CG1" s="82" t="s">
        <v>36</v>
      </c>
      <c r="CH1" s="83"/>
      <c r="CI1" s="82" t="s">
        <v>50</v>
      </c>
      <c r="CJ1" s="83"/>
      <c r="CK1" s="82" t="s">
        <v>38</v>
      </c>
      <c r="CL1" s="83"/>
      <c r="CM1" s="75" t="s">
        <v>48</v>
      </c>
      <c r="CN1" s="73"/>
      <c r="CO1" s="47"/>
    </row>
    <row r="2" spans="1:93" ht="44.25" customHeight="1" thickBot="1" x14ac:dyDescent="0.45">
      <c r="A2" s="24" t="s">
        <v>0</v>
      </c>
      <c r="B2" s="45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1" t="s">
        <v>46</v>
      </c>
      <c r="CL2" s="29" t="s">
        <v>40</v>
      </c>
      <c r="CM2" s="74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5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80">
        <v>37201</v>
      </c>
      <c r="CA3" s="70"/>
      <c r="CC3" s="70"/>
      <c r="CE3" s="70"/>
      <c r="CG3" s="70"/>
      <c r="CI3" s="70"/>
      <c r="CK3" s="70"/>
      <c r="CN3" s="33" t="s">
        <v>10</v>
      </c>
      <c r="CO3" s="33"/>
    </row>
    <row r="4" spans="1:93" ht="25.5" customHeight="1" thickBot="1" x14ac:dyDescent="0.45">
      <c r="A4" s="31">
        <v>43770</v>
      </c>
      <c r="B4" s="45"/>
      <c r="C4" s="20">
        <v>1.2546999999999999</v>
      </c>
      <c r="D4" s="44">
        <f>IF((C4-C3&lt;0), "0",(C4-C3)*1000000)</f>
        <v>2000.0000000000018</v>
      </c>
      <c r="E4" s="20">
        <v>2.1206999999999998</v>
      </c>
      <c r="F4" s="44">
        <f>IF((E4-E3&lt;0), "0",(E4-E3)*1000000)</f>
        <v>2999.9999999996694</v>
      </c>
      <c r="G4" s="20">
        <v>1.9599</v>
      </c>
      <c r="H4" s="44">
        <f>IF((G4-G3&lt;0), "0",(G4-G3)*1000000)</f>
        <v>3600.0000000000477</v>
      </c>
      <c r="I4" s="20">
        <v>916.92</v>
      </c>
      <c r="J4" s="44">
        <f>IF((I4-I3&lt;0), "0",(I4-I3)*1000)</f>
        <v>1250</v>
      </c>
      <c r="K4" s="20">
        <v>1.3939999999999999</v>
      </c>
      <c r="L4" s="44">
        <f t="shared" ref="L4:L34" si="0">IF((K4-K3&lt;0), "0",(K4-K3)*1000000)</f>
        <v>2599.9999999999359</v>
      </c>
      <c r="M4" s="20">
        <v>869.44</v>
      </c>
      <c r="N4" s="44">
        <f>IF((M4-M3&lt;0), "",(M4-M3)*1000)</f>
        <v>1390.0000000001</v>
      </c>
      <c r="O4" s="20">
        <v>9678</v>
      </c>
      <c r="P4" s="44">
        <f>IF((O4-O3&lt;0), "",O4-O3)</f>
        <v>13</v>
      </c>
      <c r="Q4" s="20">
        <v>3856</v>
      </c>
      <c r="R4" s="44">
        <f>IF((Q4-Q3&lt;0), "",Q4-Q3)</f>
        <v>5</v>
      </c>
      <c r="S4" s="20">
        <v>634115</v>
      </c>
      <c r="T4" s="44">
        <f>IF((S4-S3&lt;0), "",S4-S3)</f>
        <v>1445</v>
      </c>
      <c r="U4" s="20">
        <v>256963</v>
      </c>
      <c r="V4" s="44">
        <f>IF((U4-U3&lt;0), "",U4-U3)</f>
        <v>450</v>
      </c>
      <c r="W4" s="20">
        <v>255.87</v>
      </c>
      <c r="X4" s="44">
        <f>IF((W4-W3&lt;0), "",(W4-W3)*1000)</f>
        <v>349.99999999999432</v>
      </c>
      <c r="Y4" s="20">
        <v>1.8859999999999999</v>
      </c>
      <c r="Z4" s="44">
        <f>IF((Y4-Y3&lt;0), "",(Y4-Y3)*1000000)</f>
        <v>2699.9999999999245</v>
      </c>
      <c r="AA4" s="20">
        <v>251.62</v>
      </c>
      <c r="AB4" s="44">
        <f>IF((AA4-AA3&lt;0), "",(AA4-AA3)*1000)</f>
        <v>390.00000000001478</v>
      </c>
      <c r="AC4" s="20">
        <v>228.47</v>
      </c>
      <c r="AD4" s="44">
        <f>IF((AC4-AC3&lt;0), "",(AC4-AC3)*1000)</f>
        <v>449.99999999998863</v>
      </c>
      <c r="AE4" s="20">
        <v>329.41</v>
      </c>
      <c r="AF4" s="44">
        <f>IF((AE4-AE3&lt;0), "",(AE4-AE3)*1000)</f>
        <v>560.00000000000227</v>
      </c>
      <c r="AG4" s="20">
        <v>880.1</v>
      </c>
      <c r="AH4" s="44">
        <f>IF((AG4-AG3&lt;0), "",AG4-AG3)</f>
        <v>1.5</v>
      </c>
      <c r="AI4" s="20">
        <v>317.47000000000003</v>
      </c>
      <c r="AJ4" s="44">
        <f>IF((AI4-AI3&lt;0), "",(AI4-AI3)*1000)</f>
        <v>420.00000000001592</v>
      </c>
      <c r="AK4" s="20">
        <v>112.41</v>
      </c>
      <c r="AL4" s="44">
        <f>IF((AK4-AK3&lt;0), "",AK4-AK3)</f>
        <v>4.9999999999997158E-2</v>
      </c>
      <c r="AM4" s="20">
        <v>111.24</v>
      </c>
      <c r="AN4" s="44">
        <f>IF((AM4-AM3&lt;0), "",AM4-AM3)</f>
        <v>0.17999999999999261</v>
      </c>
      <c r="AO4" s="20">
        <v>110.21</v>
      </c>
      <c r="AP4" s="44">
        <f>IF((AO4-AO3&lt;0), "",AO4-AO3)</f>
        <v>0.19999999999998863</v>
      </c>
      <c r="AQ4" s="20">
        <v>189.64</v>
      </c>
      <c r="AR4" s="44">
        <f>IF((AQ4-AQ3&lt;0), "",(AQ4-AQ3)*1000)</f>
        <v>149.99999999997726</v>
      </c>
      <c r="AS4" s="20">
        <v>307.25</v>
      </c>
      <c r="AT4" s="44">
        <f>IF((AS4-AS3&lt;0), "",(AS4-AS3)*1000)</f>
        <v>180.00000000000682</v>
      </c>
      <c r="AU4" s="20">
        <v>236.52</v>
      </c>
      <c r="AV4" s="44">
        <f>IF((AU4-AU3&lt;0), "",(AU4-AU3)*1000)</f>
        <v>130.00000000002387</v>
      </c>
      <c r="AW4" s="20">
        <v>266.97000000000003</v>
      </c>
      <c r="AX4" s="44">
        <f>IF((AW4-AW3&lt;0), "",(AW4-AW3)*1000)</f>
        <v>40.000000000020464</v>
      </c>
      <c r="AY4" s="20">
        <v>320.98</v>
      </c>
      <c r="AZ4" s="44">
        <f>IF((AY4-AY3&lt;0), "",(AY4-AY3)*1000)</f>
        <v>140.0000000000432</v>
      </c>
      <c r="BA4" s="20">
        <v>338.12</v>
      </c>
      <c r="BB4" s="44">
        <f>IF((BA4-BA3&lt;0), "",(BA4-BA3)*1000)</f>
        <v>310.00000000000227</v>
      </c>
      <c r="BC4" s="20">
        <v>195.4</v>
      </c>
      <c r="BD4" s="44">
        <f>IF((BC4-BC3&lt;0), "",(BC4-BC3)*1000)</f>
        <v>10.000000000019327</v>
      </c>
      <c r="BE4" s="21">
        <v>19079</v>
      </c>
      <c r="BF4" s="44">
        <f>IF((BE4-BE3&lt;0), "",BE4-BE3)</f>
        <v>51</v>
      </c>
      <c r="BG4" s="21">
        <v>217.49</v>
      </c>
      <c r="BH4" s="44">
        <f>IF((BG4-BG3&lt;0), "",(BG4-BG3)*1000)</f>
        <v>30.000000000001137</v>
      </c>
      <c r="BI4" s="21">
        <v>273.22000000000003</v>
      </c>
      <c r="BJ4" s="44">
        <f>IF((BI4-BI3&lt;0), "",(BI4-BI3)*1000)</f>
        <v>30.000000000029559</v>
      </c>
      <c r="BK4" s="21">
        <v>221.07</v>
      </c>
      <c r="BL4" s="44">
        <f>IF((BK4-BK3&lt;0), "",(BK4-BK3)*1000)</f>
        <v>30.000000000001137</v>
      </c>
      <c r="BM4" s="21">
        <v>204.39</v>
      </c>
      <c r="BN4" s="44">
        <f>IF((BM4-BM3&lt;0), "",(BM4-BM3)*1000)</f>
        <v>29.999999999972715</v>
      </c>
      <c r="BO4" s="21">
        <v>267.92</v>
      </c>
      <c r="BP4" s="44">
        <f>IF((BO4-BO3&lt;0), "",(BO4-BO3)*1000)</f>
        <v>30.000000000029559</v>
      </c>
      <c r="BQ4" s="21">
        <v>31560</v>
      </c>
      <c r="BR4" s="44">
        <f>IF((BQ4-BQ3&lt;0), "",BQ4-BQ3)</f>
        <v>38</v>
      </c>
      <c r="BS4" s="21">
        <v>185.5</v>
      </c>
      <c r="BT4" s="44">
        <f>IF((BS4-BS3&lt;0), "",(BS4-BS3)*1000)</f>
        <v>30.000000000001137</v>
      </c>
      <c r="BU4" s="21">
        <v>22520</v>
      </c>
      <c r="BV4" s="44">
        <f>IF((BU4-BU3&lt;0), "",BU4-BU3)</f>
        <v>21</v>
      </c>
      <c r="BW4" s="21">
        <v>214.94</v>
      </c>
      <c r="BX4" s="44">
        <f>IF((BW4-BW3&lt;0), "",(BW4-BW3)*1000)</f>
        <v>30.000000000001137</v>
      </c>
      <c r="BY4" s="80">
        <v>37239</v>
      </c>
      <c r="BZ4" s="44">
        <f>IF((BY4-BY3&lt;0), "",BY4-BY3)</f>
        <v>38</v>
      </c>
      <c r="CA4" s="70"/>
      <c r="CB4" s="44">
        <f>IF((CA4-CA3&lt;0), "",CA4-CA3)</f>
        <v>0</v>
      </c>
      <c r="CC4" s="70"/>
      <c r="CD4" s="44">
        <f>IF((CC4-CC3&lt;0), "",CC4-CC3)</f>
        <v>0</v>
      </c>
      <c r="CE4" s="70"/>
      <c r="CF4" s="44">
        <f>IF((CE4-CE3&lt;0), "",CE4-CE3)</f>
        <v>0</v>
      </c>
      <c r="CG4" s="70"/>
      <c r="CH4" s="44">
        <f>IF((CG4-CG3&lt;0), "",CG4-CG3)</f>
        <v>0</v>
      </c>
      <c r="CI4" s="70"/>
      <c r="CJ4" s="44">
        <f>IF((CI4-CI3&lt;0), "",CI4-CI3)</f>
        <v>0</v>
      </c>
      <c r="CK4" s="70"/>
      <c r="CL4" s="44">
        <f>IF((CK4-CK3&lt;0), "",(CK4-CK3)*1000)</f>
        <v>0</v>
      </c>
      <c r="CM4" s="44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5"/>
      <c r="C5" s="20">
        <v>1.2569999999999999</v>
      </c>
      <c r="D5" s="44">
        <f t="shared" ref="D5:D34" si="1">IF((C5-C4&lt;0), "0",(C5-C4)*1000000)</f>
        <v>2299.9999999999686</v>
      </c>
      <c r="E5" s="20">
        <v>2.1238000000000001</v>
      </c>
      <c r="F5" s="44">
        <f t="shared" ref="F5:F34" si="2">IF((E5-E4&lt;0), "0",(E5-E4)*1000000)</f>
        <v>3100.0000000003247</v>
      </c>
      <c r="G5" s="20">
        <v>1.9634</v>
      </c>
      <c r="H5" s="44">
        <f t="shared" ref="H5:H34" si="3">IF((G5-G4&lt;0), "0",(G5-G4)*1000000)</f>
        <v>3500.0000000000587</v>
      </c>
      <c r="I5" s="20">
        <v>918.16</v>
      </c>
      <c r="J5" s="44">
        <f t="shared" ref="J5:J34" si="4">IF((I5-I4&lt;0), "0",(I5-I4)*1000)</f>
        <v>1240.0000000000091</v>
      </c>
      <c r="K5" s="20">
        <v>1.3963000000000001</v>
      </c>
      <c r="L5" s="44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80">
        <v>37266</v>
      </c>
      <c r="BZ5" s="34">
        <f t="shared" ref="BZ5:BZ34" si="16">IF((BY5-BY4&lt;0), "",BY5-BY4)</f>
        <v>27</v>
      </c>
      <c r="CA5" s="70"/>
      <c r="CB5" s="34">
        <f t="shared" ref="CB5:CB34" si="17">IF((CA5-CA4&lt;0), "",CA5-CA4)</f>
        <v>0</v>
      </c>
      <c r="CC5" s="70"/>
      <c r="CD5" s="34">
        <f t="shared" ref="CD5:CD34" si="18">IF((CC5-CC4&lt;0), "",CC5-CC4)</f>
        <v>0</v>
      </c>
      <c r="CE5" s="70"/>
      <c r="CF5" s="34">
        <f t="shared" ref="CF5:CF34" si="19">IF((CE5-CE4&lt;0), "",CE5-CE4)</f>
        <v>0</v>
      </c>
      <c r="CG5" s="70"/>
      <c r="CH5" s="34">
        <f t="shared" ref="CH5:CH34" si="20">IF((CG5-CG4&lt;0), "",CG5-CG4)</f>
        <v>0</v>
      </c>
      <c r="CI5" s="70"/>
      <c r="CJ5" s="34">
        <f t="shared" ref="CJ5:CJ34" si="21">IF((CI5-CI4&lt;0), "",CI5-CI4)</f>
        <v>0</v>
      </c>
      <c r="CK5" s="70"/>
      <c r="CL5" s="44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5"/>
      <c r="C6" s="20">
        <v>1.2592000000000001</v>
      </c>
      <c r="D6" s="44">
        <f t="shared" si="1"/>
        <v>2200.0000000002019</v>
      </c>
      <c r="E6" s="20">
        <v>2.1271</v>
      </c>
      <c r="F6" s="44">
        <f t="shared" si="2"/>
        <v>3299.9999999998586</v>
      </c>
      <c r="G6" s="20">
        <v>1.9665999999999999</v>
      </c>
      <c r="H6" s="44">
        <f t="shared" si="3"/>
        <v>3199.9999999998695</v>
      </c>
      <c r="I6" s="20">
        <v>919.57</v>
      </c>
      <c r="J6" s="44">
        <f t="shared" si="4"/>
        <v>1410.0000000000819</v>
      </c>
      <c r="K6" s="20">
        <v>1.3986000000000001</v>
      </c>
      <c r="L6" s="44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80">
        <v>37293</v>
      </c>
      <c r="BZ6" s="34">
        <f t="shared" si="16"/>
        <v>27</v>
      </c>
      <c r="CA6" s="70"/>
      <c r="CB6" s="34">
        <f t="shared" si="17"/>
        <v>0</v>
      </c>
      <c r="CC6" s="70"/>
      <c r="CD6" s="34">
        <f t="shared" si="18"/>
        <v>0</v>
      </c>
      <c r="CE6" s="70"/>
      <c r="CF6" s="34">
        <f t="shared" si="19"/>
        <v>0</v>
      </c>
      <c r="CG6" s="70"/>
      <c r="CH6" s="34">
        <f t="shared" si="20"/>
        <v>0</v>
      </c>
      <c r="CI6" s="70"/>
      <c r="CJ6" s="34">
        <f t="shared" si="21"/>
        <v>0</v>
      </c>
      <c r="CK6" s="70"/>
      <c r="CL6" s="44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5"/>
      <c r="C7" s="20">
        <v>1.2617</v>
      </c>
      <c r="D7" s="44">
        <f t="shared" si="1"/>
        <v>2499.9999999999468</v>
      </c>
      <c r="E7" s="20">
        <v>2.1307</v>
      </c>
      <c r="F7" s="44">
        <f t="shared" si="2"/>
        <v>3600.0000000000477</v>
      </c>
      <c r="G7" s="20">
        <v>1.9701</v>
      </c>
      <c r="H7" s="44">
        <f t="shared" si="3"/>
        <v>3500.0000000000587</v>
      </c>
      <c r="I7" s="20">
        <v>921.21</v>
      </c>
      <c r="J7" s="44">
        <f t="shared" si="4"/>
        <v>1639.9999999999864</v>
      </c>
      <c r="K7" s="20">
        <v>1.4009</v>
      </c>
      <c r="L7" s="44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80">
        <v>37343</v>
      </c>
      <c r="BZ7" s="34">
        <f t="shared" si="16"/>
        <v>50</v>
      </c>
      <c r="CA7" s="70"/>
      <c r="CB7" s="34">
        <f t="shared" si="17"/>
        <v>0</v>
      </c>
      <c r="CC7" s="70"/>
      <c r="CD7" s="34">
        <f t="shared" si="18"/>
        <v>0</v>
      </c>
      <c r="CE7" s="70"/>
      <c r="CF7" s="34">
        <f t="shared" si="19"/>
        <v>0</v>
      </c>
      <c r="CG7" s="70"/>
      <c r="CH7" s="34">
        <f t="shared" si="20"/>
        <v>0</v>
      </c>
      <c r="CI7" s="70"/>
      <c r="CJ7" s="34">
        <f t="shared" si="21"/>
        <v>0</v>
      </c>
      <c r="CK7" s="70"/>
      <c r="CL7" s="44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5"/>
      <c r="C8" s="20">
        <v>1.2641</v>
      </c>
      <c r="D8" s="44">
        <f t="shared" si="1"/>
        <v>2399.9999999999577</v>
      </c>
      <c r="E8" s="20">
        <v>2.1341999999999999</v>
      </c>
      <c r="F8" s="44">
        <f t="shared" si="2"/>
        <v>3499.9999999998367</v>
      </c>
      <c r="G8" s="20">
        <v>1.9737</v>
      </c>
      <c r="H8" s="44">
        <f t="shared" si="3"/>
        <v>3600.0000000000477</v>
      </c>
      <c r="I8" s="20">
        <v>922.72</v>
      </c>
      <c r="J8" s="44">
        <f t="shared" si="4"/>
        <v>1509.9999999999909</v>
      </c>
      <c r="K8" s="20">
        <v>1.4035</v>
      </c>
      <c r="L8" s="44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80">
        <v>37380</v>
      </c>
      <c r="BZ8" s="34">
        <f t="shared" si="16"/>
        <v>37</v>
      </c>
      <c r="CA8" s="70"/>
      <c r="CB8" s="34">
        <f t="shared" si="17"/>
        <v>0</v>
      </c>
      <c r="CC8" s="70"/>
      <c r="CD8" s="34">
        <f t="shared" si="18"/>
        <v>0</v>
      </c>
      <c r="CE8" s="70"/>
      <c r="CF8" s="34">
        <f t="shared" si="19"/>
        <v>0</v>
      </c>
      <c r="CG8" s="70"/>
      <c r="CH8" s="34">
        <f t="shared" si="20"/>
        <v>0</v>
      </c>
      <c r="CI8" s="70"/>
      <c r="CJ8" s="34">
        <f t="shared" si="21"/>
        <v>0</v>
      </c>
      <c r="CK8" s="70"/>
      <c r="CL8" s="44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5"/>
      <c r="C9" s="20">
        <v>1.2665</v>
      </c>
      <c r="D9" s="44">
        <f t="shared" si="1"/>
        <v>2399.9999999999577</v>
      </c>
      <c r="E9" s="20">
        <v>2.1375999999999999</v>
      </c>
      <c r="F9" s="44">
        <f t="shared" si="2"/>
        <v>3400.0000000000696</v>
      </c>
      <c r="G9" s="20">
        <v>1.9772000000000001</v>
      </c>
      <c r="H9" s="44">
        <f t="shared" si="3"/>
        <v>3500.0000000000587</v>
      </c>
      <c r="I9" s="20">
        <v>924.24</v>
      </c>
      <c r="J9" s="44">
        <f t="shared" si="4"/>
        <v>1519.9999999999818</v>
      </c>
      <c r="K9" s="20">
        <v>1.4059999999999999</v>
      </c>
      <c r="L9" s="44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80">
        <v>37437</v>
      </c>
      <c r="BZ9" s="34">
        <f t="shared" si="16"/>
        <v>57</v>
      </c>
      <c r="CA9" s="70"/>
      <c r="CB9" s="34">
        <f t="shared" si="17"/>
        <v>0</v>
      </c>
      <c r="CC9" s="70"/>
      <c r="CD9" s="34">
        <f t="shared" si="18"/>
        <v>0</v>
      </c>
      <c r="CE9" s="70"/>
      <c r="CF9" s="34">
        <f t="shared" si="19"/>
        <v>0</v>
      </c>
      <c r="CG9" s="70"/>
      <c r="CH9" s="34">
        <f t="shared" si="20"/>
        <v>0</v>
      </c>
      <c r="CI9" s="70"/>
      <c r="CJ9" s="34">
        <f t="shared" si="21"/>
        <v>0</v>
      </c>
      <c r="CK9" s="70"/>
      <c r="CL9" s="44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5"/>
      <c r="C10" s="20">
        <v>1.2690999999999999</v>
      </c>
      <c r="D10" s="44">
        <f t="shared" si="1"/>
        <v>2599.9999999999359</v>
      </c>
      <c r="E10" s="20">
        <v>2.1413000000000002</v>
      </c>
      <c r="F10" s="44">
        <f t="shared" si="2"/>
        <v>3700.0000000002588</v>
      </c>
      <c r="G10" s="20">
        <v>1.9805999999999999</v>
      </c>
      <c r="H10" s="44">
        <f t="shared" si="3"/>
        <v>3399.9999999998477</v>
      </c>
      <c r="I10" s="20">
        <v>925.9</v>
      </c>
      <c r="J10" s="44">
        <f t="shared" si="4"/>
        <v>1659.9999999999682</v>
      </c>
      <c r="K10" s="20">
        <v>1.4085000000000001</v>
      </c>
      <c r="L10" s="44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80">
        <v>37468</v>
      </c>
      <c r="BZ10" s="34">
        <f t="shared" si="16"/>
        <v>31</v>
      </c>
      <c r="CA10" s="70"/>
      <c r="CB10" s="34">
        <f t="shared" si="17"/>
        <v>0</v>
      </c>
      <c r="CC10" s="70"/>
      <c r="CD10" s="34">
        <f t="shared" si="18"/>
        <v>0</v>
      </c>
      <c r="CE10" s="70"/>
      <c r="CF10" s="34">
        <f t="shared" si="19"/>
        <v>0</v>
      </c>
      <c r="CG10" s="70"/>
      <c r="CH10" s="34">
        <f t="shared" si="20"/>
        <v>0</v>
      </c>
      <c r="CI10" s="70"/>
      <c r="CJ10" s="34">
        <f t="shared" si="21"/>
        <v>0</v>
      </c>
      <c r="CK10" s="70"/>
      <c r="CL10" s="44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5"/>
      <c r="C11" s="20">
        <v>1.2716000000000001</v>
      </c>
      <c r="D11" s="44">
        <f t="shared" si="1"/>
        <v>2500.0000000001687</v>
      </c>
      <c r="E11" s="20">
        <v>2.1448999999999998</v>
      </c>
      <c r="F11" s="44">
        <f t="shared" si="2"/>
        <v>3599.9999999996035</v>
      </c>
      <c r="G11" s="20">
        <v>1.9839</v>
      </c>
      <c r="H11" s="44">
        <f t="shared" si="3"/>
        <v>3300.0000000000805</v>
      </c>
      <c r="I11" s="20">
        <v>927.4</v>
      </c>
      <c r="J11" s="44">
        <f t="shared" si="4"/>
        <v>1500</v>
      </c>
      <c r="K11" s="20">
        <v>1.4109</v>
      </c>
      <c r="L11" s="44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80">
        <v>37505</v>
      </c>
      <c r="BZ11" s="34">
        <f t="shared" si="16"/>
        <v>37</v>
      </c>
      <c r="CA11" s="70"/>
      <c r="CB11" s="34">
        <f t="shared" si="17"/>
        <v>0</v>
      </c>
      <c r="CC11" s="70"/>
      <c r="CD11" s="34">
        <f t="shared" si="18"/>
        <v>0</v>
      </c>
      <c r="CE11" s="70"/>
      <c r="CF11" s="34">
        <f t="shared" si="19"/>
        <v>0</v>
      </c>
      <c r="CG11" s="70"/>
      <c r="CH11" s="34">
        <f t="shared" si="20"/>
        <v>0</v>
      </c>
      <c r="CI11" s="70"/>
      <c r="CJ11" s="34">
        <f t="shared" si="21"/>
        <v>0</v>
      </c>
      <c r="CK11" s="70"/>
      <c r="CL11" s="44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5"/>
      <c r="C12" s="20">
        <v>1.2736000000000001</v>
      </c>
      <c r="D12" s="44">
        <f t="shared" si="1"/>
        <v>2000.0000000000018</v>
      </c>
      <c r="E12" s="20">
        <v>2.1478999999999999</v>
      </c>
      <c r="F12" s="44">
        <f t="shared" si="2"/>
        <v>3000.0000000001137</v>
      </c>
      <c r="G12" s="20">
        <v>1.9871000000000001</v>
      </c>
      <c r="H12" s="44">
        <f t="shared" si="3"/>
        <v>3200.0000000000919</v>
      </c>
      <c r="I12" s="20">
        <v>928.57</v>
      </c>
      <c r="J12" s="44">
        <f t="shared" si="4"/>
        <v>1170.0000000000728</v>
      </c>
      <c r="K12" s="20">
        <v>1.4133</v>
      </c>
      <c r="L12" s="44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80">
        <v>37550</v>
      </c>
      <c r="BZ12" s="34">
        <f t="shared" si="16"/>
        <v>45</v>
      </c>
      <c r="CA12" s="70"/>
      <c r="CB12" s="34">
        <f t="shared" si="17"/>
        <v>0</v>
      </c>
      <c r="CC12" s="70"/>
      <c r="CD12" s="34">
        <f t="shared" si="18"/>
        <v>0</v>
      </c>
      <c r="CE12" s="70"/>
      <c r="CF12" s="34">
        <f t="shared" si="19"/>
        <v>0</v>
      </c>
      <c r="CG12" s="70"/>
      <c r="CH12" s="34">
        <f t="shared" si="20"/>
        <v>0</v>
      </c>
      <c r="CI12" s="70"/>
      <c r="CJ12" s="34">
        <f t="shared" si="21"/>
        <v>0</v>
      </c>
      <c r="CK12" s="70"/>
      <c r="CL12" s="44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5"/>
      <c r="C13" s="20">
        <v>1.276</v>
      </c>
      <c r="D13" s="44">
        <f t="shared" si="1"/>
        <v>2399.9999999999577</v>
      </c>
      <c r="E13" s="20">
        <v>2.1509999999999998</v>
      </c>
      <c r="F13" s="44">
        <f t="shared" si="2"/>
        <v>3099.9999999998809</v>
      </c>
      <c r="G13" s="20">
        <v>1.9903999999999999</v>
      </c>
      <c r="H13" s="44">
        <f t="shared" si="3"/>
        <v>3299.9999999998586</v>
      </c>
      <c r="I13" s="20">
        <v>929.98</v>
      </c>
      <c r="J13" s="44">
        <f t="shared" si="4"/>
        <v>1409.9999999999682</v>
      </c>
      <c r="K13" s="20">
        <v>1.4154</v>
      </c>
      <c r="L13" s="44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80">
        <v>37595</v>
      </c>
      <c r="BZ13" s="34">
        <f t="shared" si="16"/>
        <v>45</v>
      </c>
      <c r="CA13" s="70"/>
      <c r="CB13" s="34">
        <f t="shared" si="17"/>
        <v>0</v>
      </c>
      <c r="CC13" s="70"/>
      <c r="CD13" s="34">
        <f t="shared" si="18"/>
        <v>0</v>
      </c>
      <c r="CE13" s="70"/>
      <c r="CF13" s="34">
        <f t="shared" si="19"/>
        <v>0</v>
      </c>
      <c r="CG13" s="70"/>
      <c r="CH13" s="34">
        <f t="shared" si="20"/>
        <v>0</v>
      </c>
      <c r="CI13" s="70"/>
      <c r="CJ13" s="34">
        <f t="shared" si="21"/>
        <v>0</v>
      </c>
      <c r="CK13" s="70"/>
      <c r="CL13" s="44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5"/>
      <c r="C14" s="20">
        <v>1.2786999999999999</v>
      </c>
      <c r="D14" s="44">
        <f t="shared" si="1"/>
        <v>2699.9999999999245</v>
      </c>
      <c r="E14" s="20">
        <v>2.1541999999999999</v>
      </c>
      <c r="F14" s="44">
        <f t="shared" si="2"/>
        <v>3200.0000000000919</v>
      </c>
      <c r="G14" s="20">
        <v>1.9937</v>
      </c>
      <c r="H14" s="44">
        <f t="shared" si="3"/>
        <v>3300.0000000000805</v>
      </c>
      <c r="I14" s="20">
        <v>931.46</v>
      </c>
      <c r="J14" s="44">
        <f t="shared" si="4"/>
        <v>1480.0000000000182</v>
      </c>
      <c r="K14" s="20">
        <v>1.4174</v>
      </c>
      <c r="L14" s="44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80">
        <v>37632</v>
      </c>
      <c r="BZ14" s="34">
        <f t="shared" si="16"/>
        <v>37</v>
      </c>
      <c r="CA14" s="70"/>
      <c r="CB14" s="34">
        <f t="shared" si="17"/>
        <v>0</v>
      </c>
      <c r="CC14" s="70"/>
      <c r="CD14" s="34">
        <f t="shared" si="18"/>
        <v>0</v>
      </c>
      <c r="CE14" s="70"/>
      <c r="CF14" s="34">
        <f t="shared" si="19"/>
        <v>0</v>
      </c>
      <c r="CG14" s="70"/>
      <c r="CH14" s="34">
        <f t="shared" si="20"/>
        <v>0</v>
      </c>
      <c r="CI14" s="70"/>
      <c r="CJ14" s="34">
        <f t="shared" si="21"/>
        <v>0</v>
      </c>
      <c r="CK14" s="70"/>
      <c r="CL14" s="44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5"/>
      <c r="C15" s="20">
        <v>1.2813000000000001</v>
      </c>
      <c r="D15" s="44">
        <f t="shared" si="1"/>
        <v>2600.0000000001578</v>
      </c>
      <c r="E15" s="20">
        <v>2.1573000000000002</v>
      </c>
      <c r="F15" s="44">
        <f t="shared" si="2"/>
        <v>3100.0000000003247</v>
      </c>
      <c r="G15" s="20">
        <v>1.9968999999999999</v>
      </c>
      <c r="H15" s="44">
        <f t="shared" si="3"/>
        <v>3199.9999999998695</v>
      </c>
      <c r="I15" s="20">
        <v>932.84</v>
      </c>
      <c r="J15" s="44">
        <f t="shared" si="4"/>
        <v>1379.9999999999955</v>
      </c>
      <c r="K15" s="20">
        <v>1.4197</v>
      </c>
      <c r="L15" s="44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80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2"/>
      <c r="CL15" s="44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5"/>
      <c r="C16" s="20">
        <v>1.2836000000000001</v>
      </c>
      <c r="D16" s="44">
        <f t="shared" si="1"/>
        <v>2299.9999999999686</v>
      </c>
      <c r="E16" s="20">
        <v>2.1606000000000001</v>
      </c>
      <c r="F16" s="44">
        <f t="shared" si="2"/>
        <v>3299.9999999998586</v>
      </c>
      <c r="G16" s="20">
        <v>2.0005999999999999</v>
      </c>
      <c r="H16" s="44">
        <f t="shared" si="3"/>
        <v>3700.0000000000364</v>
      </c>
      <c r="I16" s="20">
        <v>934.37</v>
      </c>
      <c r="J16" s="44">
        <f t="shared" si="4"/>
        <v>1529.9999999999727</v>
      </c>
      <c r="K16" s="20">
        <v>1.4221999999999999</v>
      </c>
      <c r="L16" s="44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80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4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5"/>
      <c r="C17" s="32">
        <v>1.286</v>
      </c>
      <c r="D17" s="44">
        <f t="shared" si="1"/>
        <v>2399.9999999999577</v>
      </c>
      <c r="E17" s="32">
        <v>2.1644999999999999</v>
      </c>
      <c r="F17" s="44">
        <f t="shared" si="2"/>
        <v>3899.9999999997926</v>
      </c>
      <c r="G17" s="32">
        <v>2.0042</v>
      </c>
      <c r="H17" s="44">
        <f t="shared" si="3"/>
        <v>3600.0000000000477</v>
      </c>
      <c r="I17" s="32">
        <v>936.13</v>
      </c>
      <c r="J17" s="44">
        <f t="shared" si="4"/>
        <v>1759.9999999999909</v>
      </c>
      <c r="K17" s="20">
        <v>1.4247000000000001</v>
      </c>
      <c r="L17" s="44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80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4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5"/>
      <c r="C18" s="32">
        <v>1.2885</v>
      </c>
      <c r="D18" s="44">
        <f t="shared" si="1"/>
        <v>2499.9999999999468</v>
      </c>
      <c r="E18" s="32">
        <v>2.1680999999999999</v>
      </c>
      <c r="F18" s="44">
        <f t="shared" si="2"/>
        <v>3600.0000000000477</v>
      </c>
      <c r="G18" s="32">
        <v>2.0074999999999998</v>
      </c>
      <c r="H18" s="44">
        <f t="shared" si="3"/>
        <v>3299.9999999998586</v>
      </c>
      <c r="I18" s="32">
        <v>937.62</v>
      </c>
      <c r="J18" s="44">
        <f t="shared" si="4"/>
        <v>1490.0000000000091</v>
      </c>
      <c r="K18" s="32">
        <v>1.4300999999999999</v>
      </c>
      <c r="L18" s="44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80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4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5"/>
      <c r="C19" s="32">
        <v>1.2906</v>
      </c>
      <c r="D19" s="44">
        <f t="shared" si="1"/>
        <v>2099.9999999999909</v>
      </c>
      <c r="E19" s="32">
        <v>2.1716000000000002</v>
      </c>
      <c r="F19" s="44">
        <f t="shared" si="2"/>
        <v>3500.0000000002806</v>
      </c>
      <c r="G19" s="32">
        <v>2.0110000000000001</v>
      </c>
      <c r="H19" s="44">
        <f t="shared" si="3"/>
        <v>3500.0000000002806</v>
      </c>
      <c r="I19" s="32">
        <v>939.14</v>
      </c>
      <c r="J19" s="44">
        <f t="shared" si="4"/>
        <v>1519.9999999999818</v>
      </c>
      <c r="K19" s="32">
        <v>1.4325000000000001</v>
      </c>
      <c r="L19" s="44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80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4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5"/>
      <c r="C20" s="32">
        <v>1.2923</v>
      </c>
      <c r="D20" s="44">
        <f t="shared" si="1"/>
        <v>1700.0000000000348</v>
      </c>
      <c r="E20" s="32">
        <v>2.1751</v>
      </c>
      <c r="F20" s="44">
        <f t="shared" si="2"/>
        <v>3499.9999999998367</v>
      </c>
      <c r="G20" s="32">
        <v>2.0139999999999998</v>
      </c>
      <c r="H20" s="44">
        <f t="shared" si="3"/>
        <v>2999.9999999996694</v>
      </c>
      <c r="I20" s="32">
        <v>940.51</v>
      </c>
      <c r="J20" s="44">
        <f t="shared" si="4"/>
        <v>1370.0000000000045</v>
      </c>
      <c r="K20" s="32">
        <v>1.4349000000000001</v>
      </c>
      <c r="L20" s="44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80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4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5"/>
      <c r="C21" s="32">
        <v>1.2941</v>
      </c>
      <c r="D21" s="44">
        <f t="shared" si="1"/>
        <v>1800.0000000000239</v>
      </c>
      <c r="E21" s="32">
        <v>2.1781000000000001</v>
      </c>
      <c r="F21" s="44">
        <f t="shared" si="2"/>
        <v>3000.0000000001137</v>
      </c>
      <c r="G21" s="32">
        <v>2.0171999999999999</v>
      </c>
      <c r="H21" s="44">
        <f t="shared" si="3"/>
        <v>3200.0000000000919</v>
      </c>
      <c r="I21" s="32">
        <v>941.88</v>
      </c>
      <c r="J21" s="44">
        <f t="shared" si="4"/>
        <v>1370.0000000000045</v>
      </c>
      <c r="K21" s="32">
        <v>1.4371</v>
      </c>
      <c r="L21" s="44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80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4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5"/>
      <c r="C22" s="32">
        <v>1.2959000000000001</v>
      </c>
      <c r="D22" s="44">
        <f t="shared" si="1"/>
        <v>1800.0000000000239</v>
      </c>
      <c r="E22" s="32">
        <v>2.1815000000000002</v>
      </c>
      <c r="F22" s="44">
        <f t="shared" si="2"/>
        <v>3400.0000000000696</v>
      </c>
      <c r="G22" s="32">
        <v>2.0206</v>
      </c>
      <c r="H22" s="44">
        <f t="shared" si="3"/>
        <v>3400.0000000000696</v>
      </c>
      <c r="I22" s="32">
        <v>943.33</v>
      </c>
      <c r="J22" s="44">
        <f t="shared" si="4"/>
        <v>1450.0000000000455</v>
      </c>
      <c r="K22" s="32">
        <v>1.4396</v>
      </c>
      <c r="L22" s="44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80">
        <v>38008</v>
      </c>
      <c r="BZ22" s="34">
        <f t="shared" si="16"/>
        <v>42</v>
      </c>
      <c r="CA22" s="20">
        <v>22630.2</v>
      </c>
      <c r="CB22" s="34">
        <f t="shared" si="17"/>
        <v>26</v>
      </c>
      <c r="CC22" s="20">
        <v>9669.2000000000007</v>
      </c>
      <c r="CD22" s="34">
        <f t="shared" si="18"/>
        <v>11</v>
      </c>
      <c r="CE22" s="20">
        <v>4511.2</v>
      </c>
      <c r="CF22" s="34">
        <f t="shared" si="19"/>
        <v>10</v>
      </c>
      <c r="CG22" s="20">
        <v>33999</v>
      </c>
      <c r="CH22" s="34">
        <f t="shared" si="20"/>
        <v>25</v>
      </c>
      <c r="CI22" s="20">
        <v>801425</v>
      </c>
      <c r="CJ22" s="34">
        <f t="shared" si="21"/>
        <v>283</v>
      </c>
      <c r="CK22" s="20">
        <v>460.3</v>
      </c>
      <c r="CL22" s="44">
        <f t="shared" si="22"/>
        <v>460.00000000003638</v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5"/>
      <c r="C23" s="32">
        <v>1.2975000000000001</v>
      </c>
      <c r="D23" s="44">
        <f t="shared" si="1"/>
        <v>1600.0000000000459</v>
      </c>
      <c r="E23" s="32">
        <v>2.1844000000000001</v>
      </c>
      <c r="F23" s="44">
        <f t="shared" si="2"/>
        <v>2899.9999999999027</v>
      </c>
      <c r="G23" s="32">
        <v>2.0234999999999999</v>
      </c>
      <c r="H23" s="44">
        <f t="shared" si="3"/>
        <v>2899.9999999999027</v>
      </c>
      <c r="I23" s="32">
        <v>944.54</v>
      </c>
      <c r="J23" s="44">
        <f t="shared" si="4"/>
        <v>1209.9999999999227</v>
      </c>
      <c r="K23" s="32">
        <v>1.4417</v>
      </c>
      <c r="L23" s="44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21.5</v>
      </c>
      <c r="CC23" s="32">
        <v>9686.4</v>
      </c>
      <c r="CD23" s="34">
        <f t="shared" si="18"/>
        <v>17.199999999998909</v>
      </c>
      <c r="CE23" s="32">
        <v>4523.7</v>
      </c>
      <c r="CF23" s="34">
        <f t="shared" si="19"/>
        <v>12.5</v>
      </c>
      <c r="CG23" s="32">
        <v>34052</v>
      </c>
      <c r="CH23" s="34">
        <f t="shared" si="20"/>
        <v>53</v>
      </c>
      <c r="CI23" s="32">
        <v>801797</v>
      </c>
      <c r="CJ23" s="34">
        <f t="shared" si="21"/>
        <v>372</v>
      </c>
      <c r="CK23" s="32">
        <v>461.18</v>
      </c>
      <c r="CL23" s="44">
        <f t="shared" si="22"/>
        <v>879.99999999999545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5"/>
      <c r="C24" s="32">
        <v>1.2994000000000001</v>
      </c>
      <c r="D24" s="44">
        <f t="shared" si="1"/>
        <v>1900.0000000000127</v>
      </c>
      <c r="E24" s="32">
        <v>2.1879</v>
      </c>
      <c r="F24" s="44">
        <f t="shared" si="2"/>
        <v>3499.9999999998367</v>
      </c>
      <c r="G24" s="32">
        <v>2.0270000000000001</v>
      </c>
      <c r="H24" s="44">
        <f t="shared" si="3"/>
        <v>3500.0000000002806</v>
      </c>
      <c r="I24" s="32">
        <v>946.04</v>
      </c>
      <c r="J24" s="44">
        <f t="shared" si="4"/>
        <v>1500</v>
      </c>
      <c r="K24" s="32">
        <v>1.4441999999999999</v>
      </c>
      <c r="L24" s="44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34157.9</v>
      </c>
      <c r="CH24" s="34">
        <f t="shared" si="20"/>
        <v>105.90000000000146</v>
      </c>
      <c r="CI24" s="32">
        <v>802110</v>
      </c>
      <c r="CJ24" s="34">
        <f t="shared" si="21"/>
        <v>313</v>
      </c>
      <c r="CK24" s="32">
        <v>461.91</v>
      </c>
      <c r="CL24" s="44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5"/>
      <c r="C25" s="32">
        <v>1.3013999999999999</v>
      </c>
      <c r="D25" s="44">
        <f t="shared" si="1"/>
        <v>1999.9999999997797</v>
      </c>
      <c r="E25" s="32">
        <v>2.1913999999999998</v>
      </c>
      <c r="F25" s="44">
        <f t="shared" si="2"/>
        <v>3499.9999999998367</v>
      </c>
      <c r="G25" s="32">
        <v>2.0303</v>
      </c>
      <c r="H25" s="44">
        <f t="shared" si="3"/>
        <v>3299.9999999998586</v>
      </c>
      <c r="I25" s="32">
        <v>947.63</v>
      </c>
      <c r="J25" s="44">
        <f t="shared" si="4"/>
        <v>1590.0000000000318</v>
      </c>
      <c r="K25" s="32">
        <v>1.4468000000000001</v>
      </c>
      <c r="L25" s="44">
        <f t="shared" si="0"/>
        <v>2600.0000000001578</v>
      </c>
      <c r="M25" s="32">
        <v>907.6</v>
      </c>
      <c r="N25" s="34">
        <f t="shared" si="23"/>
        <v>1930.0000000000637</v>
      </c>
      <c r="O25" s="32">
        <v>10105</v>
      </c>
      <c r="P25" s="34">
        <f t="shared" si="5"/>
        <v>21</v>
      </c>
      <c r="Q25" s="32">
        <v>4016</v>
      </c>
      <c r="R25" s="34">
        <f t="shared" si="6"/>
        <v>9</v>
      </c>
      <c r="S25" s="32">
        <v>661540</v>
      </c>
      <c r="T25" s="34">
        <f t="shared" si="7"/>
        <v>1417</v>
      </c>
      <c r="U25" s="32">
        <v>267603</v>
      </c>
      <c r="V25" s="34">
        <f t="shared" si="8"/>
        <v>575</v>
      </c>
      <c r="W25" s="32">
        <v>264.77</v>
      </c>
      <c r="X25" s="34">
        <f t="shared" si="24"/>
        <v>529.99999999997272</v>
      </c>
      <c r="Y25" s="32">
        <v>1.9476</v>
      </c>
      <c r="Z25" s="34">
        <f t="shared" si="25"/>
        <v>3100.0000000001028</v>
      </c>
      <c r="AA25" s="32">
        <v>260.88</v>
      </c>
      <c r="AB25" s="34">
        <f t="shared" si="26"/>
        <v>459.99999999997954</v>
      </c>
      <c r="AC25" s="32">
        <v>238.81</v>
      </c>
      <c r="AD25" s="34">
        <f t="shared" si="27"/>
        <v>460.00000000000796</v>
      </c>
      <c r="AE25" s="1">
        <v>345.99</v>
      </c>
      <c r="AF25" s="34">
        <f t="shared" si="28"/>
        <v>910.00000000002501</v>
      </c>
      <c r="AG25" s="1">
        <v>916.2</v>
      </c>
      <c r="AH25" s="34">
        <f t="shared" si="9"/>
        <v>1.9000000000000909</v>
      </c>
      <c r="AI25" s="32">
        <v>329.39</v>
      </c>
      <c r="AJ25" s="34">
        <f t="shared" si="29"/>
        <v>529.99999999997272</v>
      </c>
      <c r="AK25" s="32">
        <v>113.58</v>
      </c>
      <c r="AL25" s="34">
        <f t="shared" si="10"/>
        <v>9.0000000000003411E-2</v>
      </c>
      <c r="AM25" s="32">
        <v>114.41</v>
      </c>
      <c r="AN25" s="34">
        <f t="shared" si="11"/>
        <v>0.22999999999998977</v>
      </c>
      <c r="AO25" s="32">
        <v>114.15</v>
      </c>
      <c r="AP25" s="34">
        <f t="shared" si="12"/>
        <v>0.1600000000000108</v>
      </c>
      <c r="AQ25" s="32">
        <v>191.96</v>
      </c>
      <c r="AR25" s="34">
        <f t="shared" si="30"/>
        <v>90.000000000003411</v>
      </c>
      <c r="AS25" s="32">
        <v>313.44</v>
      </c>
      <c r="AT25" s="34">
        <f t="shared" si="31"/>
        <v>339.99999999997499</v>
      </c>
      <c r="AU25" s="32">
        <v>238.34</v>
      </c>
      <c r="AV25" s="34">
        <f t="shared" si="32"/>
        <v>129.99999999999545</v>
      </c>
      <c r="AW25" s="32">
        <v>269.94</v>
      </c>
      <c r="AX25" s="34">
        <f t="shared" si="33"/>
        <v>129.99999999999545</v>
      </c>
      <c r="AY25" s="32">
        <v>323.74</v>
      </c>
      <c r="AZ25" s="34">
        <f t="shared" si="34"/>
        <v>50.000000000011369</v>
      </c>
      <c r="BA25" s="32">
        <v>341.32</v>
      </c>
      <c r="BB25" s="34">
        <f t="shared" si="35"/>
        <v>50.000000000011369</v>
      </c>
      <c r="BC25" s="32">
        <v>195.75</v>
      </c>
      <c r="BD25" s="34">
        <f t="shared" si="36"/>
        <v>20.000000000010232</v>
      </c>
      <c r="BE25" s="32">
        <v>20188</v>
      </c>
      <c r="BF25" s="34">
        <f t="shared" si="13"/>
        <v>50</v>
      </c>
      <c r="BG25" s="32">
        <v>218.14</v>
      </c>
      <c r="BH25" s="34">
        <f t="shared" si="37"/>
        <v>39.999999999992042</v>
      </c>
      <c r="BI25" s="32">
        <v>274.07</v>
      </c>
      <c r="BJ25" s="34">
        <f t="shared" si="38"/>
        <v>60.000000000002274</v>
      </c>
      <c r="BK25" s="32">
        <v>221.94</v>
      </c>
      <c r="BL25" s="34">
        <f t="shared" si="39"/>
        <v>60.000000000002274</v>
      </c>
      <c r="BM25" s="32">
        <v>205.24</v>
      </c>
      <c r="BN25" s="34">
        <f t="shared" si="40"/>
        <v>50.000000000011369</v>
      </c>
      <c r="BO25" s="32">
        <v>268.66000000000003</v>
      </c>
      <c r="BP25" s="34">
        <f t="shared" si="41"/>
        <v>0</v>
      </c>
      <c r="BQ25" s="32">
        <v>32239</v>
      </c>
      <c r="BR25" s="34">
        <f t="shared" si="14"/>
        <v>48</v>
      </c>
      <c r="BS25" s="32">
        <v>186.29</v>
      </c>
      <c r="BT25" s="34">
        <f t="shared" si="42"/>
        <v>60.000000000002274</v>
      </c>
      <c r="BU25" s="32">
        <v>23192</v>
      </c>
      <c r="BV25" s="34">
        <f t="shared" si="15"/>
        <v>50</v>
      </c>
      <c r="BW25" s="32">
        <v>215.65</v>
      </c>
      <c r="BX25" s="34">
        <f t="shared" si="43"/>
        <v>39.999999999992042</v>
      </c>
      <c r="BY25" s="32">
        <v>38176</v>
      </c>
      <c r="BZ25" s="34">
        <f t="shared" si="16"/>
        <v>75</v>
      </c>
      <c r="CA25" s="32">
        <v>22693.9</v>
      </c>
      <c r="CB25" s="34">
        <f t="shared" si="17"/>
        <v>18.200000000000728</v>
      </c>
      <c r="CC25" s="32">
        <v>9711</v>
      </c>
      <c r="CD25" s="34">
        <f t="shared" si="18"/>
        <v>10.700000000000728</v>
      </c>
      <c r="CE25" s="32">
        <v>4546.3999999999996</v>
      </c>
      <c r="CF25" s="34">
        <f t="shared" si="19"/>
        <v>8.6999999999998181</v>
      </c>
      <c r="CG25" s="32">
        <v>34209.9</v>
      </c>
      <c r="CH25" s="34">
        <f t="shared" si="20"/>
        <v>52</v>
      </c>
      <c r="CI25" s="32">
        <v>802443</v>
      </c>
      <c r="CJ25" s="34">
        <f t="shared" si="21"/>
        <v>333</v>
      </c>
      <c r="CK25" s="32">
        <v>462.53</v>
      </c>
      <c r="CL25" s="44">
        <f t="shared" si="22"/>
        <v>619.9999999999477</v>
      </c>
      <c r="CM25" s="34">
        <v>88</v>
      </c>
      <c r="CN25" s="35">
        <v>38</v>
      </c>
      <c r="CO25" s="35">
        <v>70</v>
      </c>
    </row>
    <row r="26" spans="1:93" ht="25.5" customHeight="1" x14ac:dyDescent="0.4">
      <c r="A26" s="31">
        <v>43792</v>
      </c>
      <c r="B26" s="45"/>
      <c r="C26" s="32">
        <v>1.3037000000000001</v>
      </c>
      <c r="D26" s="44">
        <f t="shared" si="1"/>
        <v>2300.000000000191</v>
      </c>
      <c r="E26" s="32">
        <v>2.1951000000000001</v>
      </c>
      <c r="F26" s="44">
        <f t="shared" si="2"/>
        <v>3700.0000000002588</v>
      </c>
      <c r="G26" s="32">
        <v>2.0337999999999998</v>
      </c>
      <c r="H26" s="44">
        <f t="shared" si="3"/>
        <v>3499.9999999998367</v>
      </c>
      <c r="I26" s="32">
        <v>949.23</v>
      </c>
      <c r="J26" s="44">
        <f t="shared" si="4"/>
        <v>1600.0000000000227</v>
      </c>
      <c r="K26" s="32">
        <v>1.4496</v>
      </c>
      <c r="L26" s="44">
        <f t="shared" si="0"/>
        <v>2799.9999999999136</v>
      </c>
      <c r="M26" s="32">
        <v>909.35</v>
      </c>
      <c r="N26" s="34">
        <f t="shared" si="23"/>
        <v>1750</v>
      </c>
      <c r="O26" s="32">
        <v>10124</v>
      </c>
      <c r="P26" s="34">
        <f t="shared" si="5"/>
        <v>19</v>
      </c>
      <c r="Q26" s="32">
        <v>4025</v>
      </c>
      <c r="R26" s="34">
        <f t="shared" si="6"/>
        <v>9</v>
      </c>
      <c r="S26" s="32">
        <v>662527</v>
      </c>
      <c r="T26" s="34">
        <f t="shared" si="7"/>
        <v>987</v>
      </c>
      <c r="U26" s="32">
        <v>268003</v>
      </c>
      <c r="V26" s="34">
        <f t="shared" si="8"/>
        <v>400</v>
      </c>
      <c r="W26" s="32">
        <v>265.19</v>
      </c>
      <c r="X26" s="34">
        <f t="shared" si="24"/>
        <v>420.00000000001592</v>
      </c>
      <c r="Y26" s="32">
        <v>1.9507000000000001</v>
      </c>
      <c r="Z26" s="34">
        <f t="shared" si="25"/>
        <v>3100.0000000001028</v>
      </c>
      <c r="AA26" s="32">
        <v>261.20999999999998</v>
      </c>
      <c r="AB26" s="34">
        <f t="shared" si="26"/>
        <v>329.99999999998408</v>
      </c>
      <c r="AC26" s="32">
        <v>239.26</v>
      </c>
      <c r="AD26" s="34">
        <f t="shared" si="27"/>
        <v>449.99999999998863</v>
      </c>
      <c r="AE26" s="1">
        <v>346.86</v>
      </c>
      <c r="AF26" s="34">
        <f t="shared" si="28"/>
        <v>870.00000000000455</v>
      </c>
      <c r="AG26" s="1">
        <v>918</v>
      </c>
      <c r="AH26" s="34">
        <f t="shared" si="9"/>
        <v>1.7999999999999545</v>
      </c>
      <c r="AI26" s="32">
        <v>330.18</v>
      </c>
      <c r="AJ26" s="34">
        <f t="shared" si="29"/>
        <v>790.00000000002046</v>
      </c>
      <c r="AK26" s="32">
        <v>113.64</v>
      </c>
      <c r="AL26" s="34">
        <f t="shared" si="10"/>
        <v>6.0000000000002274E-2</v>
      </c>
      <c r="AM26" s="32">
        <v>114.63</v>
      </c>
      <c r="AN26" s="34">
        <f t="shared" si="11"/>
        <v>0.21999999999999886</v>
      </c>
      <c r="AO26" s="32">
        <v>114.33</v>
      </c>
      <c r="AP26" s="34">
        <f t="shared" si="12"/>
        <v>0.17999999999999261</v>
      </c>
      <c r="AQ26" s="32">
        <v>192.04</v>
      </c>
      <c r="AR26" s="34">
        <f t="shared" si="30"/>
        <v>79.999999999984084</v>
      </c>
      <c r="AS26" s="32">
        <v>313.75</v>
      </c>
      <c r="AT26" s="34">
        <f t="shared" si="31"/>
        <v>310.00000000000227</v>
      </c>
      <c r="AU26" s="32">
        <v>238.44</v>
      </c>
      <c r="AV26" s="34">
        <f t="shared" si="32"/>
        <v>99.999999999994316</v>
      </c>
      <c r="AW26" s="32">
        <v>270.06</v>
      </c>
      <c r="AX26" s="34">
        <f t="shared" si="33"/>
        <v>120.00000000000455</v>
      </c>
      <c r="AY26" s="32">
        <v>323.81</v>
      </c>
      <c r="AZ26" s="34">
        <f t="shared" si="34"/>
        <v>69.999999999993179</v>
      </c>
      <c r="BA26" s="32">
        <v>341.36</v>
      </c>
      <c r="BB26" s="34">
        <f t="shared" si="35"/>
        <v>40.000000000020464</v>
      </c>
      <c r="BC26" s="32">
        <v>195.77</v>
      </c>
      <c r="BD26" s="34">
        <f t="shared" si="36"/>
        <v>20.000000000010232</v>
      </c>
      <c r="BE26" s="32">
        <v>20236</v>
      </c>
      <c r="BF26" s="34">
        <f t="shared" si="13"/>
        <v>48</v>
      </c>
      <c r="BG26" s="32">
        <v>218.16</v>
      </c>
      <c r="BH26" s="34">
        <f t="shared" si="37"/>
        <v>20.000000000010232</v>
      </c>
      <c r="BI26" s="32">
        <v>274.10000000000002</v>
      </c>
      <c r="BJ26" s="34">
        <f t="shared" si="38"/>
        <v>30.000000000029559</v>
      </c>
      <c r="BK26" s="32">
        <v>221.98</v>
      </c>
      <c r="BL26" s="34">
        <f t="shared" si="39"/>
        <v>39.999999999992042</v>
      </c>
      <c r="BM26" s="32">
        <v>205.27</v>
      </c>
      <c r="BN26" s="34">
        <f t="shared" si="40"/>
        <v>30.000000000001137</v>
      </c>
      <c r="BO26" s="32">
        <v>268.75</v>
      </c>
      <c r="BP26" s="34">
        <f t="shared" si="41"/>
        <v>89.999999999974989</v>
      </c>
      <c r="BQ26" s="32">
        <v>32272</v>
      </c>
      <c r="BR26" s="34">
        <f t="shared" si="14"/>
        <v>33</v>
      </c>
      <c r="BS26" s="32">
        <v>186.32</v>
      </c>
      <c r="BT26" s="34">
        <f t="shared" si="42"/>
        <v>30.000000000001137</v>
      </c>
      <c r="BU26" s="32">
        <v>23223</v>
      </c>
      <c r="BV26" s="34">
        <f t="shared" si="15"/>
        <v>31</v>
      </c>
      <c r="BW26" s="32">
        <v>215.68</v>
      </c>
      <c r="BX26" s="34">
        <f t="shared" si="43"/>
        <v>30.000000000001137</v>
      </c>
      <c r="BY26" s="32">
        <v>38216</v>
      </c>
      <c r="BZ26" s="34">
        <f t="shared" si="16"/>
        <v>40</v>
      </c>
      <c r="CA26" s="32">
        <v>22716</v>
      </c>
      <c r="CB26" s="34">
        <f t="shared" si="17"/>
        <v>22.099999999998545</v>
      </c>
      <c r="CC26" s="32">
        <v>9728.7999999999993</v>
      </c>
      <c r="CD26" s="34">
        <f t="shared" si="18"/>
        <v>17.799999999999272</v>
      </c>
      <c r="CE26" s="32">
        <v>4548.3999999999996</v>
      </c>
      <c r="CF26" s="34">
        <f t="shared" si="19"/>
        <v>2</v>
      </c>
      <c r="CG26" s="32">
        <v>34243.9</v>
      </c>
      <c r="CH26" s="34">
        <f t="shared" si="20"/>
        <v>34</v>
      </c>
      <c r="CI26" s="32">
        <v>802763</v>
      </c>
      <c r="CJ26" s="34">
        <f t="shared" si="21"/>
        <v>320</v>
      </c>
      <c r="CK26" s="32">
        <v>463.15</v>
      </c>
      <c r="CL26" s="44">
        <f t="shared" si="22"/>
        <v>620.00000000000455</v>
      </c>
      <c r="CM26" s="34">
        <v>90</v>
      </c>
      <c r="CN26" s="35">
        <v>35</v>
      </c>
      <c r="CO26" s="35">
        <v>74</v>
      </c>
    </row>
    <row r="27" spans="1:93" ht="25.5" customHeight="1" x14ac:dyDescent="0.4">
      <c r="A27" s="31">
        <v>43793</v>
      </c>
      <c r="B27" s="45"/>
      <c r="C27" s="32">
        <v>1.3066</v>
      </c>
      <c r="D27" s="44">
        <f t="shared" si="1"/>
        <v>2899.9999999999027</v>
      </c>
      <c r="E27" s="32">
        <v>2.1991000000000001</v>
      </c>
      <c r="F27" s="44">
        <f t="shared" si="2"/>
        <v>4000.0000000000036</v>
      </c>
      <c r="G27" s="32">
        <v>2.0375000000000001</v>
      </c>
      <c r="H27" s="44">
        <f t="shared" si="3"/>
        <v>3700.0000000002588</v>
      </c>
      <c r="I27" s="32">
        <v>951.15</v>
      </c>
      <c r="J27" s="44">
        <f t="shared" si="4"/>
        <v>1919.9999999999591</v>
      </c>
      <c r="K27" s="32">
        <v>1.4527000000000001</v>
      </c>
      <c r="L27" s="44">
        <f t="shared" si="0"/>
        <v>3100.0000000001028</v>
      </c>
      <c r="M27" s="32">
        <v>911.49</v>
      </c>
      <c r="N27" s="34">
        <f t="shared" si="23"/>
        <v>2139.9999999999864</v>
      </c>
      <c r="O27" s="32">
        <v>10147</v>
      </c>
      <c r="P27" s="34">
        <f t="shared" si="5"/>
        <v>23</v>
      </c>
      <c r="Q27" s="32">
        <v>4035</v>
      </c>
      <c r="R27" s="34">
        <f t="shared" si="6"/>
        <v>10</v>
      </c>
      <c r="S27" s="32">
        <v>664375</v>
      </c>
      <c r="T27" s="34">
        <f t="shared" si="7"/>
        <v>1848</v>
      </c>
      <c r="U27" s="32">
        <v>268789</v>
      </c>
      <c r="V27" s="34">
        <f t="shared" si="8"/>
        <v>786</v>
      </c>
      <c r="W27" s="32">
        <v>265.66000000000003</v>
      </c>
      <c r="X27" s="34">
        <f t="shared" si="24"/>
        <v>470.00000000002728</v>
      </c>
      <c r="Y27" s="32">
        <v>1.954</v>
      </c>
      <c r="Z27" s="34">
        <f t="shared" si="25"/>
        <v>3299.9999999998586</v>
      </c>
      <c r="AA27" s="32">
        <v>261.77</v>
      </c>
      <c r="AB27" s="34">
        <f t="shared" si="26"/>
        <v>560.00000000000227</v>
      </c>
      <c r="AC27" s="32">
        <v>239.76</v>
      </c>
      <c r="AD27" s="34">
        <f t="shared" si="27"/>
        <v>500</v>
      </c>
      <c r="AE27" s="1">
        <v>347.85</v>
      </c>
      <c r="AF27" s="34">
        <f t="shared" si="28"/>
        <v>990.00000000000909</v>
      </c>
      <c r="AG27" s="1">
        <v>919.9</v>
      </c>
      <c r="AH27" s="34">
        <f t="shared" si="9"/>
        <v>1.8999999999999773</v>
      </c>
      <c r="AI27" s="32">
        <v>331.11</v>
      </c>
      <c r="AJ27" s="34">
        <f t="shared" si="29"/>
        <v>930.00000000000682</v>
      </c>
      <c r="AK27" s="32">
        <v>113.69</v>
      </c>
      <c r="AL27" s="34">
        <f t="shared" si="10"/>
        <v>4.9999999999997158E-2</v>
      </c>
      <c r="AM27" s="32">
        <v>114.9</v>
      </c>
      <c r="AN27" s="34">
        <f t="shared" si="11"/>
        <v>0.27000000000001023</v>
      </c>
      <c r="AO27" s="32">
        <v>114.64</v>
      </c>
      <c r="AP27" s="34">
        <f t="shared" si="12"/>
        <v>0.31000000000000227</v>
      </c>
      <c r="AQ27" s="32">
        <v>192.13</v>
      </c>
      <c r="AR27" s="34">
        <f t="shared" si="30"/>
        <v>90.000000000003411</v>
      </c>
      <c r="AS27" s="32">
        <v>314.01</v>
      </c>
      <c r="AT27" s="34">
        <f t="shared" si="31"/>
        <v>259.99999999999091</v>
      </c>
      <c r="AU27" s="32">
        <v>238.61</v>
      </c>
      <c r="AV27" s="34">
        <f t="shared" si="32"/>
        <v>170.00000000001592</v>
      </c>
      <c r="AW27" s="32">
        <v>270.20999999999998</v>
      </c>
      <c r="AX27" s="34">
        <f t="shared" si="33"/>
        <v>149.99999999997726</v>
      </c>
      <c r="AY27" s="32">
        <v>323.89999999999998</v>
      </c>
      <c r="AZ27" s="34">
        <f t="shared" si="34"/>
        <v>89.999999999974989</v>
      </c>
      <c r="BA27" s="32">
        <v>341.39</v>
      </c>
      <c r="BB27" s="34">
        <f t="shared" si="35"/>
        <v>29.999999999972715</v>
      </c>
      <c r="BC27" s="32">
        <v>195.78</v>
      </c>
      <c r="BD27" s="34">
        <f t="shared" si="36"/>
        <v>9.9999999999909051</v>
      </c>
      <c r="BE27" s="32">
        <v>20289</v>
      </c>
      <c r="BF27" s="34">
        <f t="shared" si="13"/>
        <v>53</v>
      </c>
      <c r="BG27" s="32">
        <v>218.18</v>
      </c>
      <c r="BH27" s="34">
        <f t="shared" si="37"/>
        <v>20.000000000010232</v>
      </c>
      <c r="BI27" s="32">
        <v>274.14999999999998</v>
      </c>
      <c r="BJ27" s="34">
        <f t="shared" si="38"/>
        <v>49.999999999954525</v>
      </c>
      <c r="BK27" s="32">
        <v>222.02</v>
      </c>
      <c r="BL27" s="34">
        <f t="shared" si="39"/>
        <v>40.000000000020464</v>
      </c>
      <c r="BM27" s="32">
        <v>205.32</v>
      </c>
      <c r="BN27" s="34">
        <f t="shared" si="40"/>
        <v>49.999999999982947</v>
      </c>
      <c r="BO27" s="32">
        <v>268.79000000000002</v>
      </c>
      <c r="BP27" s="34">
        <f t="shared" si="41"/>
        <v>40.000000000020464</v>
      </c>
      <c r="BQ27" s="32">
        <v>32309</v>
      </c>
      <c r="BR27" s="34">
        <f t="shared" si="14"/>
        <v>37</v>
      </c>
      <c r="BS27" s="32">
        <v>186.37</v>
      </c>
      <c r="BT27" s="34">
        <f t="shared" si="42"/>
        <v>50.000000000011369</v>
      </c>
      <c r="BU27" s="32">
        <v>23264</v>
      </c>
      <c r="BV27" s="34">
        <f t="shared" si="15"/>
        <v>41</v>
      </c>
      <c r="BW27" s="32">
        <v>215.72</v>
      </c>
      <c r="BX27" s="34">
        <f t="shared" si="43"/>
        <v>39.999999999992042</v>
      </c>
      <c r="BY27" s="32">
        <v>38283</v>
      </c>
      <c r="BZ27" s="34">
        <f t="shared" si="16"/>
        <v>67</v>
      </c>
      <c r="CA27" s="32">
        <v>22752.1</v>
      </c>
      <c r="CB27" s="34">
        <f t="shared" si="17"/>
        <v>36.099999999998545</v>
      </c>
      <c r="CC27" s="32">
        <v>9741.4</v>
      </c>
      <c r="CD27" s="34">
        <f t="shared" si="18"/>
        <v>12.600000000000364</v>
      </c>
      <c r="CE27" s="32">
        <v>4559.1000000000004</v>
      </c>
      <c r="CF27" s="34">
        <f t="shared" si="19"/>
        <v>10.700000000000728</v>
      </c>
      <c r="CG27" s="32">
        <v>34335.800000000003</v>
      </c>
      <c r="CH27" s="34">
        <f t="shared" si="20"/>
        <v>91.900000000001455</v>
      </c>
      <c r="CI27" s="32">
        <v>803163</v>
      </c>
      <c r="CJ27" s="34">
        <f t="shared" si="21"/>
        <v>400</v>
      </c>
      <c r="CK27" s="32">
        <v>463.89</v>
      </c>
      <c r="CL27" s="44">
        <f t="shared" si="22"/>
        <v>740.00000000000909</v>
      </c>
      <c r="CM27" s="34">
        <v>95.8</v>
      </c>
      <c r="CN27" s="35">
        <v>36</v>
      </c>
      <c r="CO27" s="35">
        <v>74</v>
      </c>
    </row>
    <row r="28" spans="1:93" ht="25.5" customHeight="1" x14ac:dyDescent="0.4">
      <c r="A28" s="31">
        <v>43794</v>
      </c>
      <c r="B28" s="45"/>
      <c r="C28" s="32">
        <v>1.3086</v>
      </c>
      <c r="D28" s="44">
        <f t="shared" si="1"/>
        <v>2000.0000000000018</v>
      </c>
      <c r="E28" s="32">
        <v>2.2023000000000001</v>
      </c>
      <c r="F28" s="44">
        <f t="shared" si="2"/>
        <v>3200.0000000000919</v>
      </c>
      <c r="G28" s="32">
        <v>2.0407999999999999</v>
      </c>
      <c r="H28" s="44">
        <f t="shared" si="3"/>
        <v>3299.9999999998586</v>
      </c>
      <c r="I28" s="32">
        <v>952.57</v>
      </c>
      <c r="J28" s="44">
        <f t="shared" si="4"/>
        <v>1420.0000000000728</v>
      </c>
      <c r="K28" s="32">
        <v>1.4553</v>
      </c>
      <c r="L28" s="44">
        <f t="shared" si="0"/>
        <v>2599.9999999999359</v>
      </c>
      <c r="M28" s="32">
        <v>913.18</v>
      </c>
      <c r="N28" s="34">
        <f t="shared" si="23"/>
        <v>1689.9999999999409</v>
      </c>
      <c r="O28" s="32">
        <v>10163</v>
      </c>
      <c r="P28" s="34">
        <f t="shared" si="5"/>
        <v>16</v>
      </c>
      <c r="Q28" s="32">
        <v>4046</v>
      </c>
      <c r="R28" s="34">
        <f t="shared" si="6"/>
        <v>11</v>
      </c>
      <c r="S28" s="32">
        <v>665858</v>
      </c>
      <c r="T28" s="34">
        <f t="shared" si="7"/>
        <v>1483</v>
      </c>
      <c r="U28" s="32">
        <v>269384</v>
      </c>
      <c r="V28" s="34">
        <f t="shared" si="8"/>
        <v>595</v>
      </c>
      <c r="W28" s="32">
        <v>266.06</v>
      </c>
      <c r="X28" s="34">
        <f t="shared" si="24"/>
        <v>399.99999999997726</v>
      </c>
      <c r="Y28" s="32">
        <v>1.9571000000000001</v>
      </c>
      <c r="Z28" s="34">
        <f t="shared" si="25"/>
        <v>3100.0000000001028</v>
      </c>
      <c r="AA28" s="32">
        <v>262.31</v>
      </c>
      <c r="AB28" s="34">
        <f t="shared" si="26"/>
        <v>540.00000000002046</v>
      </c>
      <c r="AC28" s="32">
        <v>240.17</v>
      </c>
      <c r="AD28" s="34">
        <f t="shared" si="27"/>
        <v>409.99999999999659</v>
      </c>
      <c r="AE28" s="1">
        <v>348.52</v>
      </c>
      <c r="AF28" s="34">
        <f t="shared" si="28"/>
        <v>669.99999999995907</v>
      </c>
      <c r="AG28" s="1">
        <v>921.8</v>
      </c>
      <c r="AH28" s="34">
        <f t="shared" si="9"/>
        <v>1.8999999999999773</v>
      </c>
      <c r="AI28" s="32">
        <v>331.85</v>
      </c>
      <c r="AJ28" s="34">
        <f t="shared" si="29"/>
        <v>740.00000000000909</v>
      </c>
      <c r="AK28" s="32">
        <v>113.75</v>
      </c>
      <c r="AL28" s="34">
        <f t="shared" si="10"/>
        <v>6.0000000000002274E-2</v>
      </c>
      <c r="AM28" s="32">
        <v>115.13</v>
      </c>
      <c r="AN28" s="34">
        <f t="shared" si="11"/>
        <v>0.22999999999998977</v>
      </c>
      <c r="AO28" s="32">
        <v>114.88</v>
      </c>
      <c r="AP28" s="34">
        <f t="shared" si="12"/>
        <v>0.23999999999999488</v>
      </c>
      <c r="AQ28" s="32">
        <v>192.2</v>
      </c>
      <c r="AR28" s="34">
        <f t="shared" si="30"/>
        <v>69.999999999993179</v>
      </c>
      <c r="AS28" s="32">
        <v>314.17</v>
      </c>
      <c r="AT28" s="34">
        <f t="shared" si="31"/>
        <v>160.00000000002501</v>
      </c>
      <c r="AU28" s="32">
        <v>238.77</v>
      </c>
      <c r="AV28" s="34">
        <f t="shared" si="32"/>
        <v>159.99999999999659</v>
      </c>
      <c r="AW28" s="32">
        <v>270.36</v>
      </c>
      <c r="AX28" s="34">
        <f t="shared" si="33"/>
        <v>150.00000000003411</v>
      </c>
      <c r="AY28" s="32">
        <v>323.97000000000003</v>
      </c>
      <c r="AZ28" s="34">
        <f t="shared" si="34"/>
        <v>70.000000000050022</v>
      </c>
      <c r="BA28" s="32">
        <v>341.44</v>
      </c>
      <c r="BB28" s="34">
        <f t="shared" si="35"/>
        <v>50.000000000011369</v>
      </c>
      <c r="BC28" s="32">
        <v>195.8</v>
      </c>
      <c r="BD28" s="34">
        <f t="shared" si="36"/>
        <v>20.000000000010232</v>
      </c>
      <c r="BE28" s="32">
        <v>20362</v>
      </c>
      <c r="BF28" s="34">
        <f t="shared" si="13"/>
        <v>73</v>
      </c>
      <c r="BG28" s="32">
        <v>218.22</v>
      </c>
      <c r="BH28" s="34">
        <f t="shared" si="37"/>
        <v>39.999999999992042</v>
      </c>
      <c r="BI28" s="32">
        <v>274.19</v>
      </c>
      <c r="BJ28" s="34">
        <f t="shared" si="38"/>
        <v>40.000000000020464</v>
      </c>
      <c r="BK28" s="32">
        <v>222.08</v>
      </c>
      <c r="BL28" s="34">
        <f t="shared" si="39"/>
        <v>60.000000000002274</v>
      </c>
      <c r="BM28" s="32">
        <v>205.36</v>
      </c>
      <c r="BN28" s="34">
        <f t="shared" si="40"/>
        <v>40.000000000020464</v>
      </c>
      <c r="BO28" s="32">
        <v>268.83999999999997</v>
      </c>
      <c r="BP28" s="34">
        <f t="shared" si="41"/>
        <v>49.999999999954525</v>
      </c>
      <c r="BQ28" s="32">
        <v>32353</v>
      </c>
      <c r="BR28" s="34">
        <f t="shared" si="14"/>
        <v>44</v>
      </c>
      <c r="BS28" s="32">
        <v>186.41</v>
      </c>
      <c r="BT28" s="34">
        <f t="shared" si="42"/>
        <v>39.999999999992042</v>
      </c>
      <c r="BU28" s="32">
        <v>23304</v>
      </c>
      <c r="BV28" s="34">
        <f t="shared" si="15"/>
        <v>40</v>
      </c>
      <c r="BW28" s="32">
        <v>215.76</v>
      </c>
      <c r="BX28" s="34">
        <f t="shared" si="43"/>
        <v>39.999999999992042</v>
      </c>
      <c r="BY28" s="32">
        <v>38341</v>
      </c>
      <c r="BZ28" s="34">
        <f t="shared" si="16"/>
        <v>58</v>
      </c>
      <c r="CA28" s="32">
        <v>22780.9</v>
      </c>
      <c r="CB28" s="34">
        <f t="shared" si="17"/>
        <v>28.80000000000291</v>
      </c>
      <c r="CC28" s="32">
        <v>9756.7999999999993</v>
      </c>
      <c r="CD28" s="34">
        <f t="shared" si="18"/>
        <v>15.399999999999636</v>
      </c>
      <c r="CE28" s="32">
        <v>4569.8999999999996</v>
      </c>
      <c r="CF28" s="34">
        <f t="shared" si="19"/>
        <v>10.799999999999272</v>
      </c>
      <c r="CG28" s="32">
        <v>34394.5</v>
      </c>
      <c r="CH28" s="34">
        <f t="shared" si="20"/>
        <v>58.69999999999709</v>
      </c>
      <c r="CI28" s="32">
        <v>803486</v>
      </c>
      <c r="CJ28" s="34">
        <f t="shared" si="21"/>
        <v>323</v>
      </c>
      <c r="CK28" s="32">
        <v>464.56</v>
      </c>
      <c r="CL28" s="44">
        <f t="shared" si="22"/>
        <v>670.00000000001592</v>
      </c>
      <c r="CM28" s="34">
        <v>83.7</v>
      </c>
      <c r="CN28" s="35">
        <v>34</v>
      </c>
      <c r="CO28" s="35">
        <v>68</v>
      </c>
    </row>
    <row r="29" spans="1:93" ht="25.5" customHeight="1" x14ac:dyDescent="0.4">
      <c r="A29" s="31">
        <v>43795</v>
      </c>
      <c r="B29" s="45"/>
      <c r="C29" s="32">
        <v>1.31</v>
      </c>
      <c r="D29" s="44">
        <f t="shared" si="1"/>
        <v>1400.0000000000678</v>
      </c>
      <c r="E29" s="32">
        <v>2.2052</v>
      </c>
      <c r="F29" s="44">
        <f t="shared" si="2"/>
        <v>2899.9999999999027</v>
      </c>
      <c r="G29" s="32">
        <v>2.0438999999999998</v>
      </c>
      <c r="H29" s="44">
        <f t="shared" si="3"/>
        <v>3099.9999999998809</v>
      </c>
      <c r="I29" s="32">
        <v>953.71</v>
      </c>
      <c r="J29" s="44">
        <f t="shared" si="4"/>
        <v>1139.9999999999864</v>
      </c>
      <c r="K29" s="32">
        <v>1.4574</v>
      </c>
      <c r="L29" s="44">
        <f t="shared" si="0"/>
        <v>2099.9999999999909</v>
      </c>
      <c r="M29" s="32">
        <v>914.54</v>
      </c>
      <c r="N29" s="34">
        <f t="shared" si="23"/>
        <v>1360.0000000000136</v>
      </c>
      <c r="O29" s="32">
        <v>10186</v>
      </c>
      <c r="P29" s="34">
        <f t="shared" si="5"/>
        <v>23</v>
      </c>
      <c r="Q29" s="32">
        <v>4050</v>
      </c>
      <c r="R29" s="34">
        <f t="shared" si="6"/>
        <v>4</v>
      </c>
      <c r="S29" s="32">
        <v>667115</v>
      </c>
      <c r="T29" s="34">
        <f t="shared" si="7"/>
        <v>1257</v>
      </c>
      <c r="U29" s="32">
        <v>269911</v>
      </c>
      <c r="V29" s="34">
        <f t="shared" si="8"/>
        <v>527</v>
      </c>
      <c r="W29" s="32">
        <v>266.36</v>
      </c>
      <c r="X29" s="34">
        <f t="shared" si="24"/>
        <v>300.00000000001137</v>
      </c>
      <c r="Y29" s="32">
        <v>1.9598</v>
      </c>
      <c r="Z29" s="34">
        <f t="shared" si="25"/>
        <v>2699.9999999999245</v>
      </c>
      <c r="AA29" s="32">
        <v>262.64999999999998</v>
      </c>
      <c r="AB29" s="34">
        <f t="shared" si="26"/>
        <v>339.99999999997499</v>
      </c>
      <c r="AC29" s="32">
        <v>240.46</v>
      </c>
      <c r="AD29" s="34">
        <f t="shared" si="27"/>
        <v>290.00000000002046</v>
      </c>
      <c r="AE29" s="1">
        <v>349.16</v>
      </c>
      <c r="AF29" s="34">
        <f t="shared" si="28"/>
        <v>640.0000000000432</v>
      </c>
      <c r="AG29" s="1">
        <v>923.8</v>
      </c>
      <c r="AH29" s="34">
        <f t="shared" si="9"/>
        <v>2</v>
      </c>
      <c r="AI29" s="32">
        <v>332.17</v>
      </c>
      <c r="AJ29" s="34">
        <f t="shared" si="29"/>
        <v>319.99999999999318</v>
      </c>
      <c r="AK29" s="32">
        <v>113.81</v>
      </c>
      <c r="AL29" s="34">
        <f t="shared" si="10"/>
        <v>6.0000000000002274E-2</v>
      </c>
      <c r="AM29" s="32">
        <v>115.28</v>
      </c>
      <c r="AN29" s="34">
        <f t="shared" si="11"/>
        <v>0.15000000000000568</v>
      </c>
      <c r="AO29" s="32">
        <v>115.03</v>
      </c>
      <c r="AP29" s="34">
        <f t="shared" si="12"/>
        <v>0.15000000000000568</v>
      </c>
      <c r="AQ29" s="32">
        <v>192.27</v>
      </c>
      <c r="AR29" s="34">
        <f t="shared" si="30"/>
        <v>70.0000000000216</v>
      </c>
      <c r="AS29" s="32">
        <v>314.27</v>
      </c>
      <c r="AT29" s="34">
        <f t="shared" si="31"/>
        <v>99.999999999965894</v>
      </c>
      <c r="AU29" s="32">
        <v>238.9</v>
      </c>
      <c r="AV29" s="34">
        <f t="shared" si="32"/>
        <v>129.99999999999545</v>
      </c>
      <c r="AW29" s="32">
        <v>270.45999999999998</v>
      </c>
      <c r="AX29" s="34">
        <f t="shared" si="33"/>
        <v>99.999999999965894</v>
      </c>
      <c r="AY29" s="32">
        <v>324.02999999999997</v>
      </c>
      <c r="AZ29" s="34">
        <f t="shared" si="34"/>
        <v>59.99999999994543</v>
      </c>
      <c r="BA29" s="32">
        <v>341.48</v>
      </c>
      <c r="BB29" s="34">
        <f t="shared" si="35"/>
        <v>40.000000000020464</v>
      </c>
      <c r="BC29" s="32">
        <v>195.81</v>
      </c>
      <c r="BD29" s="34">
        <f t="shared" si="36"/>
        <v>9.9999999999909051</v>
      </c>
      <c r="BE29" s="32">
        <v>20418</v>
      </c>
      <c r="BF29" s="34">
        <f t="shared" si="13"/>
        <v>56</v>
      </c>
      <c r="BG29" s="32">
        <v>218.24</v>
      </c>
      <c r="BH29" s="34">
        <f t="shared" si="37"/>
        <v>20.000000000010232</v>
      </c>
      <c r="BI29" s="32">
        <v>274.24</v>
      </c>
      <c r="BJ29" s="34">
        <f t="shared" si="38"/>
        <v>50.000000000011369</v>
      </c>
      <c r="BK29" s="32">
        <v>222.12</v>
      </c>
      <c r="BL29" s="34">
        <f t="shared" si="39"/>
        <v>39.999999999992042</v>
      </c>
      <c r="BM29" s="32">
        <v>205.4</v>
      </c>
      <c r="BN29" s="34">
        <f t="shared" si="40"/>
        <v>39.999999999992042</v>
      </c>
      <c r="BO29" s="32">
        <v>268.88</v>
      </c>
      <c r="BP29" s="34">
        <f t="shared" si="41"/>
        <v>40.000000000020464</v>
      </c>
      <c r="BQ29" s="32">
        <v>32400</v>
      </c>
      <c r="BR29" s="34">
        <f t="shared" si="14"/>
        <v>47</v>
      </c>
      <c r="BS29" s="32">
        <v>186.41</v>
      </c>
      <c r="BT29" s="34">
        <f t="shared" si="42"/>
        <v>0</v>
      </c>
      <c r="BU29" s="32">
        <v>23337</v>
      </c>
      <c r="BV29" s="34">
        <f t="shared" si="15"/>
        <v>33</v>
      </c>
      <c r="BW29" s="32">
        <v>215.79</v>
      </c>
      <c r="BX29" s="34">
        <f t="shared" si="43"/>
        <v>30.000000000001137</v>
      </c>
      <c r="BY29" s="32">
        <v>38387</v>
      </c>
      <c r="BZ29" s="34">
        <f t="shared" si="16"/>
        <v>46</v>
      </c>
      <c r="CA29" s="32">
        <v>22810.799999999999</v>
      </c>
      <c r="CB29" s="34">
        <f t="shared" si="17"/>
        <v>29.899999999997817</v>
      </c>
      <c r="CC29" s="32">
        <v>9768.2999999999993</v>
      </c>
      <c r="CD29" s="34">
        <f t="shared" si="18"/>
        <v>11.5</v>
      </c>
      <c r="CE29" s="32">
        <v>4582.8999999999996</v>
      </c>
      <c r="CF29" s="34">
        <f t="shared" si="19"/>
        <v>13</v>
      </c>
      <c r="CG29" s="32">
        <v>34464.300000000003</v>
      </c>
      <c r="CH29" s="34">
        <f t="shared" si="20"/>
        <v>69.80000000000291</v>
      </c>
      <c r="CI29" s="32">
        <v>803779</v>
      </c>
      <c r="CJ29" s="34">
        <f t="shared" si="21"/>
        <v>293</v>
      </c>
      <c r="CK29" s="32">
        <v>465.13</v>
      </c>
      <c r="CL29" s="44">
        <f t="shared" si="22"/>
        <v>569.99999999999318</v>
      </c>
      <c r="CM29" s="34">
        <v>82.1</v>
      </c>
      <c r="CN29" s="35">
        <v>30</v>
      </c>
      <c r="CO29" s="35">
        <v>63</v>
      </c>
    </row>
    <row r="30" spans="1:93" ht="25.5" customHeight="1" x14ac:dyDescent="0.4">
      <c r="A30" s="31">
        <v>43796</v>
      </c>
      <c r="B30" s="45"/>
      <c r="C30" s="32">
        <v>1.3117000000000001</v>
      </c>
      <c r="D30" s="44">
        <f t="shared" si="1"/>
        <v>1700.0000000000348</v>
      </c>
      <c r="E30" s="32">
        <v>2.2084000000000001</v>
      </c>
      <c r="F30" s="44">
        <f t="shared" si="2"/>
        <v>3200.0000000000919</v>
      </c>
      <c r="G30" s="32">
        <v>2.0470000000000002</v>
      </c>
      <c r="H30" s="44">
        <f t="shared" si="3"/>
        <v>3100.0000000003247</v>
      </c>
      <c r="I30" s="32">
        <v>955.11</v>
      </c>
      <c r="J30" s="44">
        <f t="shared" si="4"/>
        <v>1399.9999999999773</v>
      </c>
      <c r="K30" s="32">
        <v>1.4598</v>
      </c>
      <c r="L30" s="44">
        <f t="shared" si="0"/>
        <v>2399.9999999999577</v>
      </c>
      <c r="M30" s="32">
        <v>916.08</v>
      </c>
      <c r="N30" s="34">
        <f t="shared" si="23"/>
        <v>1540.0000000000773</v>
      </c>
      <c r="O30" s="32">
        <v>10205</v>
      </c>
      <c r="P30" s="34">
        <f t="shared" si="5"/>
        <v>19</v>
      </c>
      <c r="Q30" s="32">
        <v>4058</v>
      </c>
      <c r="R30" s="34">
        <f t="shared" si="6"/>
        <v>8</v>
      </c>
      <c r="S30" s="32">
        <v>668416</v>
      </c>
      <c r="T30" s="34">
        <f t="shared" si="7"/>
        <v>1301</v>
      </c>
      <c r="U30" s="32">
        <v>270456</v>
      </c>
      <c r="V30" s="34">
        <f t="shared" si="8"/>
        <v>545</v>
      </c>
      <c r="W30" s="32">
        <v>266.7</v>
      </c>
      <c r="X30" s="34">
        <f t="shared" si="24"/>
        <v>339.99999999997499</v>
      </c>
      <c r="Y30" s="32">
        <v>1.9625999999999999</v>
      </c>
      <c r="Z30" s="34">
        <f t="shared" si="25"/>
        <v>2799.9999999999136</v>
      </c>
      <c r="AA30" s="32">
        <v>263.14</v>
      </c>
      <c r="AB30" s="34">
        <f t="shared" si="26"/>
        <v>490.00000000000909</v>
      </c>
      <c r="AC30" s="32">
        <v>240.77</v>
      </c>
      <c r="AD30" s="34">
        <f t="shared" si="27"/>
        <v>310.00000000000227</v>
      </c>
      <c r="AE30" s="1">
        <v>349.79</v>
      </c>
      <c r="AF30" s="34">
        <f t="shared" si="28"/>
        <v>629.99999999999545</v>
      </c>
      <c r="AG30" s="1">
        <v>925.2</v>
      </c>
      <c r="AH30" s="34">
        <f t="shared" si="9"/>
        <v>1.4000000000000909</v>
      </c>
      <c r="AI30" s="32">
        <v>332.56</v>
      </c>
      <c r="AJ30" s="34">
        <f t="shared" si="29"/>
        <v>389.99999999998636</v>
      </c>
      <c r="AK30" s="32">
        <v>113.85</v>
      </c>
      <c r="AL30" s="34">
        <f t="shared" si="10"/>
        <v>3.9999999999992042E-2</v>
      </c>
      <c r="AM30" s="32">
        <v>115.5</v>
      </c>
      <c r="AN30" s="34">
        <f t="shared" si="11"/>
        <v>0.21999999999999886</v>
      </c>
      <c r="AO30" s="32">
        <v>115.21</v>
      </c>
      <c r="AP30" s="34">
        <f t="shared" si="12"/>
        <v>0.17999999999999261</v>
      </c>
      <c r="AQ30" s="32">
        <v>192.35</v>
      </c>
      <c r="AR30" s="34">
        <f t="shared" si="30"/>
        <v>79.999999999984084</v>
      </c>
      <c r="AS30" s="32">
        <v>314.38</v>
      </c>
      <c r="AT30" s="34">
        <f t="shared" si="31"/>
        <v>110.00000000001364</v>
      </c>
      <c r="AU30" s="32">
        <v>239.03</v>
      </c>
      <c r="AV30" s="34">
        <f t="shared" si="32"/>
        <v>129.99999999999545</v>
      </c>
      <c r="AW30" s="32">
        <v>270.57</v>
      </c>
      <c r="AX30" s="34">
        <f t="shared" si="33"/>
        <v>110.00000000001364</v>
      </c>
      <c r="AY30" s="32">
        <v>324.08</v>
      </c>
      <c r="AZ30" s="34">
        <f t="shared" si="34"/>
        <v>50.000000000011369</v>
      </c>
      <c r="BA30" s="32">
        <v>341.52</v>
      </c>
      <c r="BB30" s="34">
        <f t="shared" si="35"/>
        <v>39.99999999996362</v>
      </c>
      <c r="BC30" s="32">
        <v>195.83</v>
      </c>
      <c r="BD30" s="34">
        <f t="shared" si="36"/>
        <v>20.000000000010232</v>
      </c>
      <c r="BE30" s="32">
        <v>20462</v>
      </c>
      <c r="BF30" s="34">
        <f t="shared" si="13"/>
        <v>44</v>
      </c>
      <c r="BG30" s="32">
        <v>218.28</v>
      </c>
      <c r="BH30" s="34">
        <f t="shared" si="37"/>
        <v>39.999999999992042</v>
      </c>
      <c r="BI30" s="32">
        <v>274.27999999999997</v>
      </c>
      <c r="BJ30" s="34">
        <f t="shared" si="38"/>
        <v>39.99999999996362</v>
      </c>
      <c r="BK30" s="32">
        <v>222.15</v>
      </c>
      <c r="BL30" s="34">
        <f t="shared" si="39"/>
        <v>30.000000000001137</v>
      </c>
      <c r="BM30" s="32">
        <v>205.43</v>
      </c>
      <c r="BN30" s="34">
        <f t="shared" si="40"/>
        <v>30.000000000001137</v>
      </c>
      <c r="BO30" s="32">
        <v>268.92</v>
      </c>
      <c r="BP30" s="34">
        <f t="shared" si="41"/>
        <v>40.000000000020464</v>
      </c>
      <c r="BQ30" s="32">
        <v>32435</v>
      </c>
      <c r="BR30" s="34">
        <f t="shared" si="14"/>
        <v>35</v>
      </c>
      <c r="BS30" s="32">
        <v>186.48</v>
      </c>
      <c r="BT30" s="34">
        <f t="shared" si="42"/>
        <v>69.999999999993179</v>
      </c>
      <c r="BU30" s="32">
        <v>23362</v>
      </c>
      <c r="BV30" s="34">
        <f t="shared" si="15"/>
        <v>25</v>
      </c>
      <c r="BW30" s="32">
        <v>215.82</v>
      </c>
      <c r="BX30" s="34">
        <f t="shared" si="43"/>
        <v>30.000000000001137</v>
      </c>
      <c r="BY30" s="32">
        <v>38437</v>
      </c>
      <c r="BZ30" s="34">
        <f t="shared" si="16"/>
        <v>50</v>
      </c>
      <c r="CA30" s="32">
        <v>22845.599999999999</v>
      </c>
      <c r="CB30" s="34">
        <f t="shared" si="17"/>
        <v>34.799999999999272</v>
      </c>
      <c r="CC30" s="32">
        <v>9780.4</v>
      </c>
      <c r="CD30" s="34">
        <f t="shared" si="18"/>
        <v>12.100000000000364</v>
      </c>
      <c r="CE30" s="32">
        <v>4591.8999999999996</v>
      </c>
      <c r="CF30" s="34">
        <f t="shared" si="19"/>
        <v>9</v>
      </c>
      <c r="CG30" s="32">
        <v>34547.199999999997</v>
      </c>
      <c r="CH30" s="34">
        <f t="shared" si="20"/>
        <v>82.899999999994179</v>
      </c>
      <c r="CI30" s="32">
        <v>804101</v>
      </c>
      <c r="CJ30" s="34">
        <f t="shared" si="21"/>
        <v>322</v>
      </c>
      <c r="CK30" s="32">
        <v>465.72</v>
      </c>
      <c r="CL30" s="44">
        <f t="shared" si="22"/>
        <v>590.00000000003183</v>
      </c>
      <c r="CM30" s="34">
        <v>88.2</v>
      </c>
      <c r="CN30" s="35">
        <v>26</v>
      </c>
      <c r="CO30" s="35">
        <v>53</v>
      </c>
    </row>
    <row r="31" spans="1:93" ht="25.5" customHeight="1" x14ac:dyDescent="0.4">
      <c r="A31" s="31">
        <v>43797</v>
      </c>
      <c r="B31" s="46"/>
      <c r="C31" s="32">
        <v>1.3134999999999999</v>
      </c>
      <c r="D31" s="44">
        <f t="shared" si="1"/>
        <v>1799.9999999998017</v>
      </c>
      <c r="E31" s="36">
        <v>2.2115999999999998</v>
      </c>
      <c r="F31" s="44">
        <f t="shared" si="2"/>
        <v>3199.9999999996476</v>
      </c>
      <c r="G31" s="36">
        <v>2.0501999999999998</v>
      </c>
      <c r="H31" s="44">
        <f t="shared" si="3"/>
        <v>3199.9999999996476</v>
      </c>
      <c r="I31" s="36">
        <v>956.63</v>
      </c>
      <c r="J31" s="44">
        <f t="shared" si="4"/>
        <v>1519.9999999999818</v>
      </c>
      <c r="K31" s="36">
        <v>1.4623999999999999</v>
      </c>
      <c r="L31" s="44">
        <f t="shared" si="0"/>
        <v>2599.9999999999359</v>
      </c>
      <c r="M31" s="36">
        <v>917.64</v>
      </c>
      <c r="N31" s="34">
        <f t="shared" si="23"/>
        <v>1559.9999999999454</v>
      </c>
      <c r="O31" s="36">
        <v>10226</v>
      </c>
      <c r="P31" s="37">
        <f t="shared" si="5"/>
        <v>21</v>
      </c>
      <c r="Q31" s="36">
        <v>4066</v>
      </c>
      <c r="R31" s="37">
        <f t="shared" si="6"/>
        <v>8</v>
      </c>
      <c r="S31" s="36">
        <v>669575</v>
      </c>
      <c r="T31" s="37">
        <f t="shared" si="7"/>
        <v>1159</v>
      </c>
      <c r="U31" s="36">
        <v>270947</v>
      </c>
      <c r="V31" s="37">
        <f t="shared" si="8"/>
        <v>491</v>
      </c>
      <c r="W31" s="36">
        <v>267.01</v>
      </c>
      <c r="X31" s="34">
        <f t="shared" si="24"/>
        <v>310.00000000000227</v>
      </c>
      <c r="Y31" s="36">
        <v>1.9654</v>
      </c>
      <c r="Z31" s="34">
        <f t="shared" si="25"/>
        <v>2800.0000000001355</v>
      </c>
      <c r="AA31" s="36">
        <v>263.52</v>
      </c>
      <c r="AB31" s="34">
        <f t="shared" si="26"/>
        <v>379.99999999999545</v>
      </c>
      <c r="AC31" s="36">
        <v>241.04</v>
      </c>
      <c r="AD31" s="34">
        <f t="shared" si="27"/>
        <v>269.99999999998181</v>
      </c>
      <c r="AE31" s="1">
        <v>350.49</v>
      </c>
      <c r="AF31" s="34">
        <f t="shared" si="28"/>
        <v>699.99999999998863</v>
      </c>
      <c r="AG31" s="1">
        <v>926.7</v>
      </c>
      <c r="AH31" s="37">
        <f t="shared" si="9"/>
        <v>1.5</v>
      </c>
      <c r="AI31" s="36">
        <v>332.99</v>
      </c>
      <c r="AJ31" s="34">
        <f t="shared" si="29"/>
        <v>430.00000000000682</v>
      </c>
      <c r="AK31" s="36">
        <v>113.92</v>
      </c>
      <c r="AL31" s="34">
        <f t="shared" si="10"/>
        <v>7.000000000000739E-2</v>
      </c>
      <c r="AM31" s="36">
        <v>115.73</v>
      </c>
      <c r="AN31" s="34">
        <f t="shared" si="11"/>
        <v>0.23000000000000398</v>
      </c>
      <c r="AO31" s="36">
        <v>115.38</v>
      </c>
      <c r="AP31" s="34">
        <f t="shared" si="12"/>
        <v>0.17000000000000171</v>
      </c>
      <c r="AQ31" s="36">
        <v>192.42</v>
      </c>
      <c r="AR31" s="34">
        <f t="shared" si="30"/>
        <v>69.999999999993179</v>
      </c>
      <c r="AS31" s="36">
        <v>314.51</v>
      </c>
      <c r="AT31" s="34">
        <f t="shared" si="31"/>
        <v>129.99999999999545</v>
      </c>
      <c r="AU31" s="36">
        <v>239.18</v>
      </c>
      <c r="AV31" s="34">
        <f t="shared" si="32"/>
        <v>150.00000000000568</v>
      </c>
      <c r="AW31" s="36">
        <v>270.7</v>
      </c>
      <c r="AX31" s="34">
        <f t="shared" si="33"/>
        <v>129.99999999999545</v>
      </c>
      <c r="AY31" s="36">
        <v>324.12</v>
      </c>
      <c r="AZ31" s="34">
        <f t="shared" si="34"/>
        <v>40.000000000020464</v>
      </c>
      <c r="BA31" s="36">
        <v>341.57</v>
      </c>
      <c r="BB31" s="34">
        <f t="shared" si="35"/>
        <v>50.000000000011369</v>
      </c>
      <c r="BC31" s="36">
        <v>195.86</v>
      </c>
      <c r="BD31" s="34">
        <f t="shared" si="36"/>
        <v>30.000000000001137</v>
      </c>
      <c r="BE31" s="36">
        <v>20513</v>
      </c>
      <c r="BF31" s="37">
        <f t="shared" si="13"/>
        <v>51</v>
      </c>
      <c r="BG31" s="36">
        <v>218.3</v>
      </c>
      <c r="BH31" s="34">
        <f t="shared" si="37"/>
        <v>20.000000000010232</v>
      </c>
      <c r="BI31" s="36">
        <v>274.31</v>
      </c>
      <c r="BJ31" s="34">
        <f t="shared" si="38"/>
        <v>30.000000000029559</v>
      </c>
      <c r="BK31" s="36">
        <v>222.19</v>
      </c>
      <c r="BL31" s="34">
        <f t="shared" si="39"/>
        <v>39.999999999992042</v>
      </c>
      <c r="BM31" s="36">
        <v>205.46</v>
      </c>
      <c r="BN31" s="34">
        <f t="shared" si="40"/>
        <v>30.000000000001137</v>
      </c>
      <c r="BO31" s="36">
        <v>268.95999999999998</v>
      </c>
      <c r="BP31" s="34">
        <f t="shared" si="41"/>
        <v>39.99999999996362</v>
      </c>
      <c r="BQ31" s="36">
        <v>32465</v>
      </c>
      <c r="BR31" s="34">
        <f t="shared" si="14"/>
        <v>30</v>
      </c>
      <c r="BS31" s="36">
        <v>186.51</v>
      </c>
      <c r="BT31" s="34">
        <f t="shared" si="42"/>
        <v>30.000000000001137</v>
      </c>
      <c r="BU31" s="36">
        <v>23393</v>
      </c>
      <c r="BV31" s="34">
        <f t="shared" si="15"/>
        <v>31</v>
      </c>
      <c r="BW31" s="36">
        <v>215.84</v>
      </c>
      <c r="BX31" s="34">
        <f t="shared" si="43"/>
        <v>20.000000000010232</v>
      </c>
      <c r="BY31" s="36">
        <v>38480</v>
      </c>
      <c r="BZ31" s="34">
        <f t="shared" si="16"/>
        <v>43</v>
      </c>
      <c r="CA31" s="36">
        <v>22873.7</v>
      </c>
      <c r="CB31" s="37">
        <f t="shared" si="17"/>
        <v>28.100000000002183</v>
      </c>
      <c r="CC31" s="36">
        <v>9790</v>
      </c>
      <c r="CD31" s="37">
        <f t="shared" si="18"/>
        <v>9.6000000000003638</v>
      </c>
      <c r="CE31" s="77">
        <v>4593.8999999999996</v>
      </c>
      <c r="CF31" s="37">
        <f t="shared" si="19"/>
        <v>2</v>
      </c>
      <c r="CG31" s="36">
        <v>34598.5</v>
      </c>
      <c r="CH31" s="37">
        <f t="shared" si="20"/>
        <v>51.30000000000291</v>
      </c>
      <c r="CI31" s="36">
        <v>804437</v>
      </c>
      <c r="CJ31" s="37">
        <f t="shared" si="21"/>
        <v>336</v>
      </c>
      <c r="CK31" s="36">
        <v>466.29</v>
      </c>
      <c r="CL31" s="44">
        <f t="shared" si="22"/>
        <v>569.99999999999318</v>
      </c>
      <c r="CM31" s="37">
        <v>77</v>
      </c>
      <c r="CN31" s="38">
        <v>26</v>
      </c>
      <c r="CO31" s="38">
        <v>53</v>
      </c>
    </row>
    <row r="32" spans="1:93" ht="25.5" customHeight="1" x14ac:dyDescent="0.3">
      <c r="A32" s="31">
        <v>43798</v>
      </c>
      <c r="B32" s="39"/>
      <c r="C32" s="32">
        <v>1.3151999999999999</v>
      </c>
      <c r="D32" s="44">
        <f t="shared" si="1"/>
        <v>1700.0000000000348</v>
      </c>
      <c r="E32" s="39">
        <v>2.2147999999999999</v>
      </c>
      <c r="F32" s="44">
        <f t="shared" si="2"/>
        <v>3200.0000000000919</v>
      </c>
      <c r="G32" s="32">
        <v>2.0533999999999999</v>
      </c>
      <c r="H32" s="44">
        <f t="shared" si="3"/>
        <v>3200.0000000000919</v>
      </c>
      <c r="I32" s="32">
        <v>958.04</v>
      </c>
      <c r="J32" s="44">
        <f t="shared" si="4"/>
        <v>1409.9999999999682</v>
      </c>
      <c r="K32" s="39">
        <v>1.4651000000000001</v>
      </c>
      <c r="L32" s="44">
        <f t="shared" si="0"/>
        <v>2700.0000000001469</v>
      </c>
      <c r="M32" s="39">
        <v>919.16</v>
      </c>
      <c r="N32" s="34">
        <f t="shared" si="23"/>
        <v>1519.9999999999818</v>
      </c>
      <c r="O32" s="40">
        <v>10244</v>
      </c>
      <c r="P32" s="37">
        <f t="shared" si="5"/>
        <v>18</v>
      </c>
      <c r="Q32" s="32">
        <v>4073</v>
      </c>
      <c r="R32" s="37">
        <f t="shared" si="6"/>
        <v>7</v>
      </c>
      <c r="S32" s="32">
        <v>670776</v>
      </c>
      <c r="T32" s="37">
        <f t="shared" si="7"/>
        <v>1201</v>
      </c>
      <c r="U32" s="32">
        <v>271482</v>
      </c>
      <c r="V32" s="37">
        <f t="shared" si="8"/>
        <v>535</v>
      </c>
      <c r="W32" s="32">
        <v>267.32</v>
      </c>
      <c r="X32" s="34">
        <f t="shared" si="24"/>
        <v>310.00000000000227</v>
      </c>
      <c r="Y32" s="39">
        <v>1.9681999999999999</v>
      </c>
      <c r="Z32" s="34">
        <f t="shared" si="25"/>
        <v>2799.9999999999136</v>
      </c>
      <c r="AA32" s="39">
        <v>263.95999999999998</v>
      </c>
      <c r="AB32" s="34">
        <f t="shared" si="26"/>
        <v>439.99999999999773</v>
      </c>
      <c r="AC32" s="39">
        <v>241.29</v>
      </c>
      <c r="AD32" s="34">
        <f t="shared" si="27"/>
        <v>250</v>
      </c>
      <c r="AE32" s="32">
        <v>351.21</v>
      </c>
      <c r="AF32" s="34">
        <f t="shared" si="28"/>
        <v>719.99999999997044</v>
      </c>
      <c r="AG32" s="32">
        <v>927.9</v>
      </c>
      <c r="AH32" s="37">
        <f t="shared" si="9"/>
        <v>1.1999999999999318</v>
      </c>
      <c r="AI32" s="32">
        <v>333.41</v>
      </c>
      <c r="AJ32" s="34">
        <f t="shared" si="29"/>
        <v>420.00000000001592</v>
      </c>
      <c r="AK32" s="32">
        <v>114</v>
      </c>
      <c r="AL32" s="34">
        <f t="shared" si="10"/>
        <v>7.9999999999998295E-2</v>
      </c>
      <c r="AM32" s="32">
        <v>115.87</v>
      </c>
      <c r="AN32" s="34">
        <f t="shared" si="11"/>
        <v>0.14000000000000057</v>
      </c>
      <c r="AO32" s="32">
        <v>115.48</v>
      </c>
      <c r="AP32" s="34">
        <f t="shared" si="12"/>
        <v>0.10000000000000853</v>
      </c>
      <c r="AQ32" s="32">
        <v>192.5</v>
      </c>
      <c r="AR32" s="34">
        <f t="shared" si="30"/>
        <v>80.000000000012506</v>
      </c>
      <c r="AS32" s="32">
        <v>314.61</v>
      </c>
      <c r="AT32" s="34">
        <f t="shared" si="31"/>
        <v>100.00000000002274</v>
      </c>
      <c r="AU32" s="32">
        <v>239.32</v>
      </c>
      <c r="AV32" s="34">
        <f t="shared" si="32"/>
        <v>139.99999999998636</v>
      </c>
      <c r="AW32" s="32">
        <v>270.81</v>
      </c>
      <c r="AX32" s="34">
        <f t="shared" si="33"/>
        <v>110.00000000001364</v>
      </c>
      <c r="AY32" s="32">
        <v>324.18</v>
      </c>
      <c r="AZ32" s="34">
        <f t="shared" si="34"/>
        <v>60.000000000002274</v>
      </c>
      <c r="BA32" s="32">
        <v>341.62</v>
      </c>
      <c r="BB32" s="34">
        <f t="shared" si="35"/>
        <v>50.000000000011369</v>
      </c>
      <c r="BC32" s="32">
        <v>195.88</v>
      </c>
      <c r="BD32" s="34">
        <f t="shared" si="36"/>
        <v>19.99999999998181</v>
      </c>
      <c r="BE32" s="32">
        <v>20557</v>
      </c>
      <c r="BF32" s="37">
        <f t="shared" si="13"/>
        <v>44</v>
      </c>
      <c r="BG32" s="32">
        <v>218.33</v>
      </c>
      <c r="BH32" s="34">
        <f t="shared" si="37"/>
        <v>30.000000000001137</v>
      </c>
      <c r="BI32" s="32">
        <v>274.35000000000002</v>
      </c>
      <c r="BJ32" s="34">
        <f t="shared" si="38"/>
        <v>40.000000000020464</v>
      </c>
      <c r="BK32" s="32">
        <v>222.22</v>
      </c>
      <c r="BL32" s="34">
        <f t="shared" si="39"/>
        <v>30.000000000001137</v>
      </c>
      <c r="BM32" s="32">
        <v>205.49</v>
      </c>
      <c r="BN32" s="34">
        <f t="shared" si="40"/>
        <v>30.000000000001137</v>
      </c>
      <c r="BO32" s="32">
        <v>268.99</v>
      </c>
      <c r="BP32" s="34">
        <f t="shared" si="41"/>
        <v>30.000000000029559</v>
      </c>
      <c r="BQ32" s="32">
        <v>32504</v>
      </c>
      <c r="BR32" s="34">
        <f t="shared" si="14"/>
        <v>39</v>
      </c>
      <c r="BS32" s="32">
        <v>186.55</v>
      </c>
      <c r="BT32" s="34">
        <f t="shared" si="42"/>
        <v>40.000000000020464</v>
      </c>
      <c r="BU32" s="32">
        <v>23416</v>
      </c>
      <c r="BV32" s="34">
        <f t="shared" si="15"/>
        <v>23</v>
      </c>
      <c r="BW32" s="32">
        <v>215.88</v>
      </c>
      <c r="BX32" s="34">
        <f t="shared" si="43"/>
        <v>39.999999999992042</v>
      </c>
      <c r="BY32" s="32">
        <v>38531</v>
      </c>
      <c r="BZ32" s="34">
        <f t="shared" si="16"/>
        <v>51</v>
      </c>
      <c r="CA32" s="32">
        <v>22902.5</v>
      </c>
      <c r="CB32" s="37">
        <f t="shared" si="17"/>
        <v>28.799999999999272</v>
      </c>
      <c r="CC32" s="32">
        <v>9804.6</v>
      </c>
      <c r="CD32" s="37">
        <f t="shared" si="18"/>
        <v>14.600000000000364</v>
      </c>
      <c r="CE32" s="32">
        <v>4602.8999999999996</v>
      </c>
      <c r="CF32" s="37">
        <f t="shared" si="19"/>
        <v>9</v>
      </c>
      <c r="CG32" s="32">
        <v>34684.5</v>
      </c>
      <c r="CH32" s="37">
        <f t="shared" si="20"/>
        <v>86</v>
      </c>
      <c r="CI32" s="32">
        <v>804756</v>
      </c>
      <c r="CJ32" s="37">
        <f t="shared" si="21"/>
        <v>319</v>
      </c>
      <c r="CK32" s="32">
        <v>466.87</v>
      </c>
      <c r="CL32" s="44">
        <f t="shared" si="22"/>
        <v>579.99999999998408</v>
      </c>
      <c r="CM32" s="37">
        <v>81.5</v>
      </c>
      <c r="CN32" s="35">
        <v>23</v>
      </c>
      <c r="CO32" s="35">
        <v>48</v>
      </c>
    </row>
    <row r="33" spans="1:93" ht="25.5" customHeight="1" x14ac:dyDescent="0.3">
      <c r="A33" s="31">
        <v>43799</v>
      </c>
      <c r="B33" s="39"/>
      <c r="C33" s="32">
        <v>1.3163</v>
      </c>
      <c r="D33" s="44">
        <f t="shared" si="1"/>
        <v>1100.000000000101</v>
      </c>
      <c r="E33" s="39">
        <v>2.2174999999999998</v>
      </c>
      <c r="F33" s="44">
        <f t="shared" si="2"/>
        <v>2699.9999999999245</v>
      </c>
      <c r="G33" s="32">
        <v>2.0558999999999998</v>
      </c>
      <c r="H33" s="44">
        <f t="shared" si="3"/>
        <v>2499.9999999999468</v>
      </c>
      <c r="I33" s="77">
        <v>959.14</v>
      </c>
      <c r="J33" s="44">
        <f t="shared" si="4"/>
        <v>1100.0000000000227</v>
      </c>
      <c r="K33" s="39">
        <v>1.4674</v>
      </c>
      <c r="L33" s="44">
        <f t="shared" si="0"/>
        <v>2299.9999999999686</v>
      </c>
      <c r="M33" s="39">
        <v>920.23</v>
      </c>
      <c r="N33" s="34">
        <f t="shared" si="23"/>
        <v>1070.00000000005</v>
      </c>
      <c r="O33" s="40">
        <v>10262</v>
      </c>
      <c r="P33" s="37">
        <f>IF((O33-O32&lt;0), "",O33-O32)</f>
        <v>18</v>
      </c>
      <c r="Q33" s="39">
        <v>4080</v>
      </c>
      <c r="R33" s="37">
        <f t="shared" si="6"/>
        <v>7</v>
      </c>
      <c r="S33" s="39">
        <v>671888</v>
      </c>
      <c r="T33" s="37">
        <f t="shared" si="7"/>
        <v>1112</v>
      </c>
      <c r="U33" s="39">
        <v>272003</v>
      </c>
      <c r="V33" s="37">
        <f t="shared" si="8"/>
        <v>521</v>
      </c>
      <c r="W33" s="39">
        <v>267.63</v>
      </c>
      <c r="X33" s="34">
        <f t="shared" si="24"/>
        <v>310.00000000000227</v>
      </c>
      <c r="Y33" s="39">
        <v>1.9706999999999999</v>
      </c>
      <c r="Z33" s="34">
        <f t="shared" si="25"/>
        <v>2499.9999999999468</v>
      </c>
      <c r="AA33" s="39">
        <v>264.18</v>
      </c>
      <c r="AB33" s="34">
        <f t="shared" si="26"/>
        <v>220.00000000002728</v>
      </c>
      <c r="AC33" s="39">
        <v>241.55</v>
      </c>
      <c r="AD33" s="34">
        <f t="shared" si="27"/>
        <v>260.00000000001933</v>
      </c>
      <c r="AE33" s="39">
        <v>351.74</v>
      </c>
      <c r="AF33" s="34">
        <f t="shared" si="28"/>
        <v>530.00000000002956</v>
      </c>
      <c r="AG33" s="39">
        <v>929.3</v>
      </c>
      <c r="AH33" s="37">
        <f t="shared" si="9"/>
        <v>1.3999999999999773</v>
      </c>
      <c r="AI33" s="39">
        <v>333.79</v>
      </c>
      <c r="AJ33" s="34">
        <f t="shared" si="29"/>
        <v>379.99999999999545</v>
      </c>
      <c r="AK33" s="39">
        <v>114.06</v>
      </c>
      <c r="AL33" s="34">
        <f t="shared" si="10"/>
        <v>6.0000000000002274E-2</v>
      </c>
      <c r="AM33" s="32">
        <v>115.96</v>
      </c>
      <c r="AN33" s="34">
        <f t="shared" si="11"/>
        <v>8.99999999999892E-2</v>
      </c>
      <c r="AO33" s="32">
        <v>115.53</v>
      </c>
      <c r="AP33" s="34">
        <f t="shared" si="12"/>
        <v>4.9999999999997158E-2</v>
      </c>
      <c r="AQ33" s="32">
        <v>192.54</v>
      </c>
      <c r="AR33" s="34">
        <f t="shared" si="30"/>
        <v>39.999999999992042</v>
      </c>
      <c r="AS33" s="32">
        <v>314.68</v>
      </c>
      <c r="AT33" s="34">
        <f t="shared" si="31"/>
        <v>69.999999999993179</v>
      </c>
      <c r="AU33" s="32">
        <v>239.45</v>
      </c>
      <c r="AV33" s="34">
        <f t="shared" si="32"/>
        <v>129.99999999999545</v>
      </c>
      <c r="AW33" s="32">
        <v>270.91000000000003</v>
      </c>
      <c r="AX33" s="34">
        <f t="shared" si="33"/>
        <v>100.00000000002274</v>
      </c>
      <c r="AY33" s="32">
        <v>324.20999999999998</v>
      </c>
      <c r="AZ33" s="34">
        <f t="shared" si="34"/>
        <v>29.999999999972715</v>
      </c>
      <c r="BA33" s="32">
        <v>341.65</v>
      </c>
      <c r="BB33" s="34">
        <f t="shared" si="35"/>
        <v>29.999999999972715</v>
      </c>
      <c r="BC33" s="32">
        <v>195.9</v>
      </c>
      <c r="BD33" s="34">
        <f t="shared" si="36"/>
        <v>20.000000000010232</v>
      </c>
      <c r="BE33" s="32">
        <v>20597</v>
      </c>
      <c r="BF33" s="37">
        <f t="shared" si="13"/>
        <v>40</v>
      </c>
      <c r="BG33" s="32">
        <v>218.35</v>
      </c>
      <c r="BH33" s="34">
        <f t="shared" si="37"/>
        <v>19.99999999998181</v>
      </c>
      <c r="BI33" s="32">
        <v>274.38</v>
      </c>
      <c r="BJ33" s="34">
        <f t="shared" si="38"/>
        <v>29.999999999972715</v>
      </c>
      <c r="BK33" s="32">
        <v>222.26</v>
      </c>
      <c r="BL33" s="34">
        <f t="shared" si="39"/>
        <v>39.999999999992042</v>
      </c>
      <c r="BM33" s="32">
        <v>205.52</v>
      </c>
      <c r="BN33" s="34">
        <f t="shared" si="40"/>
        <v>30.000000000001137</v>
      </c>
      <c r="BO33" s="32">
        <v>269.02</v>
      </c>
      <c r="BP33" s="34">
        <f t="shared" si="41"/>
        <v>29.999999999972715</v>
      </c>
      <c r="BQ33" s="32">
        <v>32527</v>
      </c>
      <c r="BR33" s="34">
        <f t="shared" si="14"/>
        <v>23</v>
      </c>
      <c r="BS33" s="32">
        <v>186.58</v>
      </c>
      <c r="BT33" s="34">
        <f t="shared" si="42"/>
        <v>30.000000000001137</v>
      </c>
      <c r="BU33" s="32">
        <v>23440</v>
      </c>
      <c r="BV33" s="34">
        <f t="shared" si="15"/>
        <v>24</v>
      </c>
      <c r="BW33" s="32">
        <v>215.9</v>
      </c>
      <c r="BX33" s="34">
        <f t="shared" si="43"/>
        <v>20.000000000010232</v>
      </c>
      <c r="BY33" s="32">
        <v>38567</v>
      </c>
      <c r="BZ33" s="34">
        <f t="shared" si="16"/>
        <v>36</v>
      </c>
      <c r="CA33" s="32">
        <v>22930.3</v>
      </c>
      <c r="CB33" s="37">
        <f t="shared" si="17"/>
        <v>27.799999999999272</v>
      </c>
      <c r="CC33" s="32">
        <v>9814.2999999999993</v>
      </c>
      <c r="CD33" s="37">
        <f t="shared" si="18"/>
        <v>9.6999999999989086</v>
      </c>
      <c r="CE33" s="32">
        <v>4602.8999999999996</v>
      </c>
      <c r="CF33" s="37">
        <f t="shared" si="19"/>
        <v>0</v>
      </c>
      <c r="CG33" s="32">
        <v>34740.300000000003</v>
      </c>
      <c r="CH33" s="37">
        <f t="shared" si="20"/>
        <v>55.80000000000291</v>
      </c>
      <c r="CI33" s="32">
        <v>805009</v>
      </c>
      <c r="CJ33" s="37">
        <f t="shared" si="21"/>
        <v>253</v>
      </c>
      <c r="CK33" s="32">
        <v>467.47</v>
      </c>
      <c r="CL33" s="44">
        <f t="shared" si="22"/>
        <v>600.00000000002274</v>
      </c>
      <c r="CM33" s="37">
        <v>81.5</v>
      </c>
      <c r="CN33" s="35">
        <v>21</v>
      </c>
      <c r="CO33" s="35">
        <v>42</v>
      </c>
    </row>
    <row r="34" spans="1:93" ht="25.5" customHeight="1" x14ac:dyDescent="0.3">
      <c r="A34" s="31" t="s">
        <v>10</v>
      </c>
      <c r="B34" s="39"/>
      <c r="C34" s="32">
        <v>0</v>
      </c>
      <c r="D34" s="44" t="str">
        <f t="shared" si="1"/>
        <v>0</v>
      </c>
      <c r="E34" s="39"/>
      <c r="F34" s="44" t="str">
        <f t="shared" si="2"/>
        <v>0</v>
      </c>
      <c r="G34" s="32"/>
      <c r="H34" s="44" t="str">
        <f t="shared" si="3"/>
        <v>0</v>
      </c>
      <c r="I34" s="39"/>
      <c r="J34" s="44" t="str">
        <f t="shared" si="4"/>
        <v>0</v>
      </c>
      <c r="K34" s="39"/>
      <c r="L34" s="44" t="str">
        <f t="shared" si="0"/>
        <v>0</v>
      </c>
      <c r="M34" s="39"/>
      <c r="N34" s="34" t="str">
        <f t="shared" si="23"/>
        <v/>
      </c>
      <c r="O34" s="40"/>
      <c r="P34" s="37" t="str">
        <f>IF((O34-O33&lt;0), "",O34-O33)</f>
        <v/>
      </c>
      <c r="Q34" s="39"/>
      <c r="R34" s="37" t="str">
        <f t="shared" si="6"/>
        <v/>
      </c>
      <c r="S34" s="39"/>
      <c r="T34" s="37" t="str">
        <f t="shared" si="7"/>
        <v/>
      </c>
      <c r="U34" s="39"/>
      <c r="V34" s="37" t="str">
        <f t="shared" si="8"/>
        <v/>
      </c>
      <c r="W34" s="39"/>
      <c r="X34" s="34" t="str">
        <f t="shared" si="24"/>
        <v/>
      </c>
      <c r="Y34" s="39"/>
      <c r="Z34" s="34" t="str">
        <f t="shared" si="25"/>
        <v/>
      </c>
      <c r="AA34" s="39"/>
      <c r="AB34" s="34" t="str">
        <f t="shared" si="26"/>
        <v/>
      </c>
      <c r="AC34" s="39"/>
      <c r="AD34" s="34" t="str">
        <f t="shared" si="27"/>
        <v/>
      </c>
      <c r="AE34" s="39"/>
      <c r="AF34" s="34" t="str">
        <f t="shared" si="28"/>
        <v/>
      </c>
      <c r="AG34" s="39"/>
      <c r="AH34" s="37" t="str">
        <f t="shared" si="9"/>
        <v/>
      </c>
      <c r="AI34" s="39"/>
      <c r="AJ34" s="34" t="str">
        <f t="shared" si="29"/>
        <v/>
      </c>
      <c r="AK34" s="39"/>
      <c r="AL34" s="34" t="str">
        <f t="shared" si="10"/>
        <v/>
      </c>
      <c r="AM34" s="32"/>
      <c r="AN34" s="34" t="str">
        <f t="shared" si="11"/>
        <v/>
      </c>
      <c r="AO34" s="32"/>
      <c r="AP34" s="34" t="str">
        <f t="shared" si="12"/>
        <v/>
      </c>
      <c r="AQ34" s="32"/>
      <c r="AR34" s="34" t="str">
        <f t="shared" si="30"/>
        <v/>
      </c>
      <c r="AS34" s="32"/>
      <c r="AT34" s="34" t="str">
        <f t="shared" si="31"/>
        <v/>
      </c>
      <c r="AU34" s="32"/>
      <c r="AV34" s="34" t="str">
        <f t="shared" si="32"/>
        <v/>
      </c>
      <c r="AW34" s="32"/>
      <c r="AX34" s="34" t="str">
        <f t="shared" si="33"/>
        <v/>
      </c>
      <c r="AY34" s="32"/>
      <c r="AZ34" s="34" t="str">
        <f t="shared" si="34"/>
        <v/>
      </c>
      <c r="BA34" s="32"/>
      <c r="BB34" s="34" t="str">
        <f t="shared" si="35"/>
        <v/>
      </c>
      <c r="BC34" s="32"/>
      <c r="BD34" s="34" t="str">
        <f t="shared" si="36"/>
        <v/>
      </c>
      <c r="BE34" s="32"/>
      <c r="BF34" s="37" t="str">
        <f t="shared" si="13"/>
        <v/>
      </c>
      <c r="BG34" s="32"/>
      <c r="BH34" s="34" t="str">
        <f t="shared" si="37"/>
        <v/>
      </c>
      <c r="BI34" s="32"/>
      <c r="BJ34" s="34" t="str">
        <f t="shared" si="38"/>
        <v/>
      </c>
      <c r="BK34" s="32"/>
      <c r="BL34" s="34" t="str">
        <f t="shared" si="39"/>
        <v/>
      </c>
      <c r="BM34" s="32"/>
      <c r="BN34" s="34" t="str">
        <f t="shared" si="40"/>
        <v/>
      </c>
      <c r="BO34" s="32"/>
      <c r="BP34" s="34" t="str">
        <f t="shared" si="41"/>
        <v/>
      </c>
      <c r="BQ34" s="32"/>
      <c r="BR34" s="34" t="str">
        <f t="shared" si="14"/>
        <v/>
      </c>
      <c r="BS34" s="32"/>
      <c r="BT34" s="34" t="str">
        <f t="shared" si="42"/>
        <v/>
      </c>
      <c r="BU34" s="32"/>
      <c r="BV34" s="34" t="str">
        <f t="shared" si="15"/>
        <v/>
      </c>
      <c r="BW34" s="32"/>
      <c r="BX34" s="34" t="str">
        <f t="shared" si="43"/>
        <v/>
      </c>
      <c r="BY34" s="32"/>
      <c r="BZ34" s="37" t="str">
        <f t="shared" si="16"/>
        <v/>
      </c>
      <c r="CA34" s="32"/>
      <c r="CB34" s="37" t="str">
        <f t="shared" si="17"/>
        <v/>
      </c>
      <c r="CC34" s="32"/>
      <c r="CD34" s="37" t="str">
        <f t="shared" si="18"/>
        <v/>
      </c>
      <c r="CE34" s="32"/>
      <c r="CF34" s="37" t="str">
        <f t="shared" si="19"/>
        <v/>
      </c>
      <c r="CG34" s="32"/>
      <c r="CH34" s="37" t="str">
        <f t="shared" si="20"/>
        <v/>
      </c>
      <c r="CI34" s="32"/>
      <c r="CJ34" s="37" t="str">
        <f t="shared" si="21"/>
        <v/>
      </c>
      <c r="CK34" s="32"/>
      <c r="CL34" s="44" t="str">
        <f t="shared" si="22"/>
        <v/>
      </c>
      <c r="CM34" s="37">
        <v>74.7</v>
      </c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10" workbookViewId="0">
      <selection activeCell="Q39" sqref="Q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98" t="s">
        <v>0</v>
      </c>
      <c r="B4" s="101" t="s">
        <v>54</v>
      </c>
      <c r="C4" s="101" t="s">
        <v>55</v>
      </c>
      <c r="D4" s="104" t="s">
        <v>56</v>
      </c>
      <c r="E4" s="87" t="s">
        <v>57</v>
      </c>
      <c r="F4" s="107"/>
      <c r="G4" s="107"/>
      <c r="H4" s="107"/>
      <c r="I4" s="107"/>
      <c r="J4" s="88"/>
      <c r="K4" s="95" t="s">
        <v>58</v>
      </c>
      <c r="L4" s="96"/>
      <c r="M4" s="97"/>
      <c r="N4" s="86" t="s">
        <v>37</v>
      </c>
      <c r="O4" s="86"/>
      <c r="P4" s="86"/>
      <c r="Q4" s="86"/>
    </row>
    <row r="5" spans="1:17" ht="33.75" customHeight="1" x14ac:dyDescent="0.25">
      <c r="A5" s="99"/>
      <c r="B5" s="102"/>
      <c r="C5" s="102"/>
      <c r="D5" s="105"/>
      <c r="E5" s="87" t="s">
        <v>59</v>
      </c>
      <c r="F5" s="88"/>
      <c r="G5" s="87" t="s">
        <v>60</v>
      </c>
      <c r="H5" s="88"/>
      <c r="I5" s="87" t="s">
        <v>61</v>
      </c>
      <c r="J5" s="88"/>
      <c r="K5" s="89" t="s">
        <v>62</v>
      </c>
      <c r="L5" s="90"/>
      <c r="M5" s="91"/>
      <c r="N5" s="92" t="s">
        <v>63</v>
      </c>
      <c r="O5" s="93"/>
      <c r="P5" s="93"/>
      <c r="Q5" s="94"/>
    </row>
    <row r="6" spans="1:17" x14ac:dyDescent="0.25">
      <c r="A6" s="100"/>
      <c r="B6" s="103"/>
      <c r="C6" s="103"/>
      <c r="D6" s="106"/>
      <c r="E6" s="51" t="s">
        <v>64</v>
      </c>
      <c r="F6" s="51" t="s">
        <v>65</v>
      </c>
      <c r="G6" s="51" t="s">
        <v>66</v>
      </c>
      <c r="H6" s="51" t="s">
        <v>67</v>
      </c>
      <c r="I6" s="51" t="s">
        <v>68</v>
      </c>
      <c r="J6" s="51" t="s">
        <v>67</v>
      </c>
      <c r="K6" s="52" t="s">
        <v>69</v>
      </c>
      <c r="L6" s="52" t="s">
        <v>66</v>
      </c>
      <c r="M6" s="52" t="s">
        <v>65</v>
      </c>
      <c r="N6" s="53" t="s">
        <v>64</v>
      </c>
      <c r="O6" s="53" t="s">
        <v>66</v>
      </c>
      <c r="P6" s="53" t="s">
        <v>68</v>
      </c>
      <c r="Q6" s="53" t="s">
        <v>65</v>
      </c>
    </row>
    <row r="7" spans="1:17" x14ac:dyDescent="0.25">
      <c r="A7" s="54"/>
      <c r="B7" s="32"/>
      <c r="C7" s="32"/>
      <c r="D7" s="32"/>
      <c r="E7" s="55"/>
      <c r="F7" s="55"/>
      <c r="G7" s="55"/>
      <c r="H7" s="55"/>
      <c r="I7" s="55"/>
      <c r="J7" s="55"/>
      <c r="K7" s="56"/>
      <c r="L7" s="56"/>
      <c r="M7" s="56"/>
      <c r="N7" s="57"/>
      <c r="O7" s="57"/>
      <c r="P7" s="57"/>
      <c r="Q7" s="57"/>
    </row>
    <row r="8" spans="1:17" x14ac:dyDescent="0.25">
      <c r="A8" s="81">
        <v>43769</v>
      </c>
      <c r="B8" s="32">
        <v>51</v>
      </c>
      <c r="C8" s="32">
        <v>41</v>
      </c>
      <c r="D8" s="32">
        <v>119</v>
      </c>
      <c r="E8" s="55">
        <v>13</v>
      </c>
      <c r="F8" s="55">
        <v>3626</v>
      </c>
      <c r="G8" s="55">
        <v>0</v>
      </c>
      <c r="H8" s="55">
        <v>1087</v>
      </c>
      <c r="I8" s="55">
        <v>85</v>
      </c>
      <c r="J8" s="55">
        <v>184</v>
      </c>
      <c r="K8" s="56">
        <v>85</v>
      </c>
      <c r="L8" s="56">
        <v>10</v>
      </c>
      <c r="M8" s="56">
        <v>810</v>
      </c>
      <c r="N8" s="57">
        <v>84</v>
      </c>
      <c r="O8" s="57">
        <v>35</v>
      </c>
      <c r="P8" s="57">
        <v>80</v>
      </c>
      <c r="Q8" s="57">
        <v>1823</v>
      </c>
    </row>
    <row r="9" spans="1:17" x14ac:dyDescent="0.25">
      <c r="A9" s="81">
        <v>43770</v>
      </c>
      <c r="B9" s="32">
        <v>52</v>
      </c>
      <c r="C9" s="32">
        <v>42</v>
      </c>
      <c r="D9" s="32">
        <v>126</v>
      </c>
      <c r="E9" s="55">
        <v>5</v>
      </c>
      <c r="F9" s="55">
        <v>3634</v>
      </c>
      <c r="G9" s="55">
        <v>0</v>
      </c>
      <c r="H9" s="55">
        <v>1089</v>
      </c>
      <c r="I9" s="55">
        <v>85</v>
      </c>
      <c r="J9" s="55">
        <v>184</v>
      </c>
      <c r="K9" s="56">
        <v>85</v>
      </c>
      <c r="L9" s="56">
        <v>10</v>
      </c>
      <c r="M9" s="56">
        <v>812</v>
      </c>
      <c r="N9" s="57">
        <v>84</v>
      </c>
      <c r="O9" s="57">
        <v>30</v>
      </c>
      <c r="P9" s="57">
        <v>80</v>
      </c>
      <c r="Q9" s="57">
        <v>1826</v>
      </c>
    </row>
    <row r="10" spans="1:17" x14ac:dyDescent="0.25">
      <c r="A10" s="81">
        <v>43771</v>
      </c>
      <c r="B10" s="32">
        <v>39</v>
      </c>
      <c r="C10" s="32">
        <v>32</v>
      </c>
      <c r="D10" s="32">
        <v>91</v>
      </c>
      <c r="E10" s="55">
        <v>0</v>
      </c>
      <c r="F10" s="55">
        <v>3640</v>
      </c>
      <c r="G10" s="55">
        <v>0</v>
      </c>
      <c r="H10" s="55">
        <v>1091</v>
      </c>
      <c r="I10" s="55">
        <v>85</v>
      </c>
      <c r="J10" s="55">
        <v>185</v>
      </c>
      <c r="K10" s="56">
        <v>85</v>
      </c>
      <c r="L10" s="56">
        <v>8</v>
      </c>
      <c r="M10" s="56">
        <v>813</v>
      </c>
      <c r="N10" s="57">
        <v>84</v>
      </c>
      <c r="O10" s="57">
        <v>30</v>
      </c>
      <c r="P10" s="57">
        <v>80</v>
      </c>
      <c r="Q10" s="57">
        <v>1830</v>
      </c>
    </row>
    <row r="11" spans="1:17" x14ac:dyDescent="0.25">
      <c r="A11" s="81">
        <v>43772</v>
      </c>
      <c r="B11" s="32">
        <v>45</v>
      </c>
      <c r="C11" s="32">
        <v>37</v>
      </c>
      <c r="D11" s="32">
        <v>96</v>
      </c>
      <c r="E11" s="55">
        <v>0</v>
      </c>
      <c r="F11" s="55">
        <v>3647</v>
      </c>
      <c r="G11" s="55">
        <v>0</v>
      </c>
      <c r="H11" s="55">
        <v>1092</v>
      </c>
      <c r="I11" s="55">
        <v>80</v>
      </c>
      <c r="J11" s="55">
        <v>186</v>
      </c>
      <c r="K11" s="56">
        <v>85</v>
      </c>
      <c r="L11" s="56">
        <v>8</v>
      </c>
      <c r="M11" s="56">
        <v>815</v>
      </c>
      <c r="N11" s="57">
        <v>84</v>
      </c>
      <c r="O11" s="57">
        <v>25</v>
      </c>
      <c r="P11" s="57">
        <v>80</v>
      </c>
      <c r="Q11" s="57">
        <v>1833</v>
      </c>
    </row>
    <row r="12" spans="1:17" x14ac:dyDescent="0.25">
      <c r="A12" s="81">
        <v>43773</v>
      </c>
      <c r="B12" s="32">
        <v>41</v>
      </c>
      <c r="C12" s="32">
        <v>36</v>
      </c>
      <c r="D12" s="32">
        <v>83</v>
      </c>
      <c r="E12" s="55">
        <v>0</v>
      </c>
      <c r="F12" s="55">
        <v>3655</v>
      </c>
      <c r="G12" s="55">
        <v>0</v>
      </c>
      <c r="H12" s="55">
        <v>1094</v>
      </c>
      <c r="I12" s="55">
        <v>70</v>
      </c>
      <c r="J12" s="55">
        <v>186</v>
      </c>
      <c r="K12" s="56">
        <v>85</v>
      </c>
      <c r="L12" s="56">
        <v>5</v>
      </c>
      <c r="M12" s="56">
        <v>818</v>
      </c>
      <c r="N12" s="57">
        <v>84</v>
      </c>
      <c r="O12" s="57">
        <v>20</v>
      </c>
      <c r="P12" s="57">
        <v>80</v>
      </c>
      <c r="Q12" s="57">
        <v>1835</v>
      </c>
    </row>
    <row r="13" spans="1:17" x14ac:dyDescent="0.25">
      <c r="A13" s="81">
        <v>43774</v>
      </c>
      <c r="B13" s="32">
        <v>42</v>
      </c>
      <c r="C13" s="32">
        <v>36</v>
      </c>
      <c r="D13" s="32">
        <v>82</v>
      </c>
      <c r="E13" s="55">
        <v>0</v>
      </c>
      <c r="F13" s="55">
        <v>3663</v>
      </c>
      <c r="G13" s="55">
        <v>0</v>
      </c>
      <c r="H13" s="55">
        <v>1097</v>
      </c>
      <c r="I13" s="55">
        <v>55</v>
      </c>
      <c r="J13" s="55">
        <v>187</v>
      </c>
      <c r="K13" s="56">
        <v>85</v>
      </c>
      <c r="L13" s="56">
        <v>3</v>
      </c>
      <c r="M13" s="56">
        <v>821</v>
      </c>
      <c r="N13" s="57">
        <v>84</v>
      </c>
      <c r="O13" s="57">
        <v>20</v>
      </c>
      <c r="P13" s="57">
        <v>80</v>
      </c>
      <c r="Q13" s="57">
        <v>1838</v>
      </c>
    </row>
    <row r="14" spans="1:17" x14ac:dyDescent="0.25">
      <c r="A14" s="81">
        <v>43775</v>
      </c>
      <c r="B14" s="32">
        <v>42</v>
      </c>
      <c r="C14" s="32">
        <v>36</v>
      </c>
      <c r="D14" s="32">
        <v>82</v>
      </c>
      <c r="E14" s="55">
        <v>0</v>
      </c>
      <c r="F14" s="55">
        <v>3672</v>
      </c>
      <c r="G14" s="55">
        <v>0</v>
      </c>
      <c r="H14" s="55">
        <v>1098</v>
      </c>
      <c r="I14" s="55">
        <v>45</v>
      </c>
      <c r="J14" s="55">
        <v>188</v>
      </c>
      <c r="K14" s="56">
        <v>85</v>
      </c>
      <c r="L14" s="56">
        <v>3</v>
      </c>
      <c r="M14" s="56">
        <v>821</v>
      </c>
      <c r="N14" s="57">
        <v>84</v>
      </c>
      <c r="O14" s="57">
        <v>15</v>
      </c>
      <c r="P14" s="57">
        <v>80</v>
      </c>
      <c r="Q14" s="57">
        <v>1841</v>
      </c>
    </row>
    <row r="15" spans="1:17" x14ac:dyDescent="0.25">
      <c r="A15" s="81">
        <v>43776</v>
      </c>
      <c r="B15" s="32">
        <v>55</v>
      </c>
      <c r="C15" s="32">
        <v>45</v>
      </c>
      <c r="D15" s="32">
        <v>93</v>
      </c>
      <c r="E15" s="55">
        <v>0</v>
      </c>
      <c r="F15" s="55">
        <v>3680</v>
      </c>
      <c r="G15" s="55">
        <v>0</v>
      </c>
      <c r="H15" s="55">
        <v>1100</v>
      </c>
      <c r="I15" s="55">
        <v>30</v>
      </c>
      <c r="J15" s="55">
        <v>188</v>
      </c>
      <c r="K15" s="56">
        <v>85</v>
      </c>
      <c r="L15" s="56">
        <v>3</v>
      </c>
      <c r="M15" s="56">
        <v>824</v>
      </c>
      <c r="N15" s="57">
        <v>84</v>
      </c>
      <c r="O15" s="57">
        <v>15</v>
      </c>
      <c r="P15" s="57">
        <v>80</v>
      </c>
      <c r="Q15" s="57">
        <v>1845</v>
      </c>
    </row>
    <row r="16" spans="1:17" x14ac:dyDescent="0.25">
      <c r="A16" s="81">
        <v>43777</v>
      </c>
      <c r="B16" s="32">
        <v>63</v>
      </c>
      <c r="C16" s="32">
        <v>50</v>
      </c>
      <c r="D16" s="32">
        <v>107</v>
      </c>
      <c r="E16" s="55">
        <v>0</v>
      </c>
      <c r="F16" s="55">
        <v>3687</v>
      </c>
      <c r="G16" s="55">
        <v>0</v>
      </c>
      <c r="H16" s="55">
        <v>1101</v>
      </c>
      <c r="I16" s="55">
        <v>20</v>
      </c>
      <c r="J16" s="55">
        <v>189</v>
      </c>
      <c r="K16" s="56">
        <v>85</v>
      </c>
      <c r="L16" s="56">
        <v>0</v>
      </c>
      <c r="M16" s="56">
        <v>825</v>
      </c>
      <c r="N16" s="57">
        <v>84</v>
      </c>
      <c r="O16" s="57">
        <v>10</v>
      </c>
      <c r="P16" s="57">
        <v>80</v>
      </c>
      <c r="Q16" s="57">
        <v>1849</v>
      </c>
    </row>
    <row r="17" spans="1:17" x14ac:dyDescent="0.25">
      <c r="A17" s="81">
        <v>43778</v>
      </c>
      <c r="B17" s="32">
        <v>55</v>
      </c>
      <c r="C17" s="32">
        <v>44</v>
      </c>
      <c r="D17" s="32">
        <v>99</v>
      </c>
      <c r="E17" s="55">
        <v>85</v>
      </c>
      <c r="F17" s="55">
        <v>3695</v>
      </c>
      <c r="G17" s="55">
        <v>85</v>
      </c>
      <c r="H17" s="55">
        <v>1103</v>
      </c>
      <c r="I17" s="55">
        <v>10</v>
      </c>
      <c r="J17" s="55">
        <v>189</v>
      </c>
      <c r="K17" s="56">
        <v>85</v>
      </c>
      <c r="L17" s="56">
        <v>0</v>
      </c>
      <c r="M17" s="56">
        <v>827</v>
      </c>
      <c r="N17" s="57">
        <v>84</v>
      </c>
      <c r="O17" s="57">
        <v>8</v>
      </c>
      <c r="P17" s="57">
        <v>80</v>
      </c>
      <c r="Q17" s="57">
        <v>1853</v>
      </c>
    </row>
    <row r="18" spans="1:17" x14ac:dyDescent="0.25">
      <c r="A18" s="81">
        <v>43779</v>
      </c>
      <c r="B18" s="32">
        <v>37</v>
      </c>
      <c r="C18" s="32">
        <v>34</v>
      </c>
      <c r="D18" s="32">
        <v>80</v>
      </c>
      <c r="E18" s="55">
        <v>85</v>
      </c>
      <c r="F18" s="55">
        <v>3704</v>
      </c>
      <c r="G18" s="55">
        <v>85</v>
      </c>
      <c r="H18" s="55">
        <v>1105</v>
      </c>
      <c r="I18" s="55">
        <v>0</v>
      </c>
      <c r="J18" s="55">
        <v>190</v>
      </c>
      <c r="K18" s="56">
        <v>85</v>
      </c>
      <c r="L18" s="56">
        <v>0</v>
      </c>
      <c r="M18" s="56">
        <v>829</v>
      </c>
      <c r="N18" s="57">
        <v>84</v>
      </c>
      <c r="O18" s="57">
        <v>5</v>
      </c>
      <c r="P18" s="57">
        <v>80</v>
      </c>
      <c r="Q18" s="57">
        <v>1856</v>
      </c>
    </row>
    <row r="19" spans="1:17" x14ac:dyDescent="0.25">
      <c r="A19" s="81">
        <v>43780</v>
      </c>
      <c r="B19" s="32">
        <v>41</v>
      </c>
      <c r="C19" s="32">
        <v>38</v>
      </c>
      <c r="D19" s="32">
        <v>87</v>
      </c>
      <c r="E19" s="55">
        <v>75</v>
      </c>
      <c r="F19" s="55">
        <v>3713</v>
      </c>
      <c r="G19" s="55">
        <v>85</v>
      </c>
      <c r="H19" s="55">
        <v>1107</v>
      </c>
      <c r="I19" s="55">
        <v>0</v>
      </c>
      <c r="J19" s="55">
        <v>190</v>
      </c>
      <c r="K19" s="56">
        <v>84</v>
      </c>
      <c r="L19" s="56">
        <v>0</v>
      </c>
      <c r="M19" s="56">
        <v>833</v>
      </c>
      <c r="N19" s="57">
        <v>84</v>
      </c>
      <c r="O19" s="57">
        <v>5</v>
      </c>
      <c r="P19" s="57">
        <v>80</v>
      </c>
      <c r="Q19" s="57">
        <v>1858</v>
      </c>
    </row>
    <row r="20" spans="1:17" x14ac:dyDescent="0.25">
      <c r="A20" s="81">
        <v>43781</v>
      </c>
      <c r="B20" s="32">
        <v>35</v>
      </c>
      <c r="C20" s="32">
        <v>36</v>
      </c>
      <c r="D20" s="32">
        <v>83</v>
      </c>
      <c r="E20" s="55">
        <v>60</v>
      </c>
      <c r="F20" s="55">
        <v>3722</v>
      </c>
      <c r="G20" s="55">
        <v>85</v>
      </c>
      <c r="H20" s="55">
        <v>1109</v>
      </c>
      <c r="I20" s="55">
        <v>0</v>
      </c>
      <c r="J20" s="55">
        <v>191</v>
      </c>
      <c r="K20" s="56">
        <v>80</v>
      </c>
      <c r="L20" s="56">
        <v>0</v>
      </c>
      <c r="M20" s="56">
        <v>836</v>
      </c>
      <c r="N20" s="57">
        <v>84</v>
      </c>
      <c r="O20" s="57">
        <v>3</v>
      </c>
      <c r="P20" s="57">
        <v>80</v>
      </c>
      <c r="Q20" s="57">
        <v>1862</v>
      </c>
    </row>
    <row r="21" spans="1:17" x14ac:dyDescent="0.25">
      <c r="A21" s="81">
        <v>43782</v>
      </c>
      <c r="B21" s="32">
        <v>48</v>
      </c>
      <c r="C21" s="32">
        <v>41</v>
      </c>
      <c r="D21" s="32">
        <v>96</v>
      </c>
      <c r="E21" s="55">
        <v>30</v>
      </c>
      <c r="F21" s="55">
        <v>3740</v>
      </c>
      <c r="G21" s="55">
        <v>85</v>
      </c>
      <c r="H21" s="55">
        <v>1113</v>
      </c>
      <c r="I21" s="55">
        <v>0</v>
      </c>
      <c r="J21" s="55">
        <v>192</v>
      </c>
      <c r="K21" s="56">
        <v>80</v>
      </c>
      <c r="L21" s="56">
        <v>0</v>
      </c>
      <c r="M21" s="56">
        <v>840</v>
      </c>
      <c r="N21" s="57">
        <v>84</v>
      </c>
      <c r="O21" s="57">
        <v>0</v>
      </c>
      <c r="P21" s="57">
        <v>80</v>
      </c>
      <c r="Q21" s="57">
        <v>1868</v>
      </c>
    </row>
    <row r="22" spans="1:17" x14ac:dyDescent="0.25">
      <c r="A22" s="81">
        <v>43783</v>
      </c>
      <c r="B22" s="32">
        <v>48</v>
      </c>
      <c r="C22" s="32">
        <v>41</v>
      </c>
      <c r="D22" s="32">
        <v>96</v>
      </c>
      <c r="E22" s="55">
        <v>20</v>
      </c>
      <c r="F22" s="55">
        <v>3749</v>
      </c>
      <c r="G22" s="55">
        <v>85</v>
      </c>
      <c r="H22" s="55">
        <v>1115</v>
      </c>
      <c r="I22" s="55">
        <v>0</v>
      </c>
      <c r="J22" s="55">
        <v>193</v>
      </c>
      <c r="K22" s="56">
        <v>72</v>
      </c>
      <c r="L22" s="56">
        <v>0</v>
      </c>
      <c r="M22" s="56">
        <v>844</v>
      </c>
      <c r="N22" s="57">
        <v>84</v>
      </c>
      <c r="O22" s="57">
        <v>0</v>
      </c>
      <c r="P22" s="57">
        <v>80</v>
      </c>
      <c r="Q22" s="57">
        <v>1871</v>
      </c>
    </row>
    <row r="23" spans="1:17" x14ac:dyDescent="0.25">
      <c r="A23" s="81">
        <v>43784</v>
      </c>
      <c r="B23" s="32">
        <v>39</v>
      </c>
      <c r="C23" s="32">
        <v>40</v>
      </c>
      <c r="D23" s="32">
        <v>89</v>
      </c>
      <c r="E23" s="55">
        <v>85</v>
      </c>
      <c r="F23" s="55">
        <v>3758</v>
      </c>
      <c r="G23" s="55">
        <v>85</v>
      </c>
      <c r="H23" s="55">
        <v>1116</v>
      </c>
      <c r="I23" s="55">
        <v>85</v>
      </c>
      <c r="J23" s="55">
        <v>194</v>
      </c>
      <c r="K23" s="56">
        <v>70</v>
      </c>
      <c r="L23" s="56">
        <v>85</v>
      </c>
      <c r="M23" s="56">
        <v>847</v>
      </c>
      <c r="N23" s="57">
        <v>85</v>
      </c>
      <c r="O23" s="57">
        <v>85</v>
      </c>
      <c r="P23" s="57">
        <v>80</v>
      </c>
      <c r="Q23" s="57">
        <v>1874</v>
      </c>
    </row>
    <row r="24" spans="1:17" x14ac:dyDescent="0.25">
      <c r="A24" s="81">
        <v>43785</v>
      </c>
      <c r="B24" s="32">
        <v>44</v>
      </c>
      <c r="C24" s="32">
        <v>38</v>
      </c>
      <c r="D24" s="32">
        <v>84</v>
      </c>
      <c r="E24" s="55">
        <v>85</v>
      </c>
      <c r="F24" s="55">
        <v>3766</v>
      </c>
      <c r="G24" s="55">
        <v>70</v>
      </c>
      <c r="H24" s="55">
        <v>1118</v>
      </c>
      <c r="I24" s="55">
        <v>85</v>
      </c>
      <c r="J24" s="55">
        <v>194</v>
      </c>
      <c r="K24" s="56">
        <v>65</v>
      </c>
      <c r="L24" s="56">
        <v>85</v>
      </c>
      <c r="M24" s="56">
        <v>850</v>
      </c>
      <c r="N24" s="57">
        <v>75</v>
      </c>
      <c r="O24" s="57">
        <v>85</v>
      </c>
      <c r="P24" s="57">
        <v>80</v>
      </c>
      <c r="Q24" s="57">
        <v>1879</v>
      </c>
    </row>
    <row r="25" spans="1:17" x14ac:dyDescent="0.25">
      <c r="A25" s="81">
        <v>43786</v>
      </c>
      <c r="B25" s="32">
        <v>42</v>
      </c>
      <c r="C25" s="32">
        <v>38</v>
      </c>
      <c r="D25" s="32">
        <v>82</v>
      </c>
      <c r="E25" s="55">
        <v>85</v>
      </c>
      <c r="F25" s="55">
        <v>3775</v>
      </c>
      <c r="G25" s="55">
        <v>55</v>
      </c>
      <c r="H25" s="55">
        <v>1120</v>
      </c>
      <c r="I25" s="55">
        <v>85</v>
      </c>
      <c r="J25" s="55">
        <v>195</v>
      </c>
      <c r="K25" s="56">
        <v>60</v>
      </c>
      <c r="L25" s="56">
        <v>85</v>
      </c>
      <c r="M25" s="56">
        <v>854</v>
      </c>
      <c r="N25" s="57">
        <v>75</v>
      </c>
      <c r="O25" s="57">
        <v>85</v>
      </c>
      <c r="P25" s="57">
        <v>80</v>
      </c>
      <c r="Q25" s="57">
        <v>1883</v>
      </c>
    </row>
    <row r="26" spans="1:17" x14ac:dyDescent="0.25">
      <c r="A26" s="81">
        <v>43787</v>
      </c>
      <c r="B26" s="32">
        <v>44</v>
      </c>
      <c r="C26" s="32">
        <v>40</v>
      </c>
      <c r="D26" s="32">
        <v>85</v>
      </c>
      <c r="E26" s="55">
        <v>85</v>
      </c>
      <c r="F26" s="55">
        <v>3784</v>
      </c>
      <c r="G26" s="55">
        <v>40</v>
      </c>
      <c r="H26" s="55">
        <v>1122</v>
      </c>
      <c r="I26" s="55">
        <v>85</v>
      </c>
      <c r="J26" s="55">
        <v>195</v>
      </c>
      <c r="K26" s="56">
        <v>60</v>
      </c>
      <c r="L26" s="56">
        <v>85</v>
      </c>
      <c r="M26" s="56">
        <v>857</v>
      </c>
      <c r="N26" s="57">
        <v>70</v>
      </c>
      <c r="O26" s="57">
        <v>85</v>
      </c>
      <c r="P26" s="57">
        <v>80</v>
      </c>
      <c r="Q26" s="57">
        <v>1885</v>
      </c>
    </row>
    <row r="27" spans="1:17" x14ac:dyDescent="0.25">
      <c r="A27" s="81">
        <v>43788</v>
      </c>
      <c r="B27" s="32">
        <v>41</v>
      </c>
      <c r="C27" s="32">
        <v>41</v>
      </c>
      <c r="D27" s="32">
        <v>74</v>
      </c>
      <c r="E27" s="55">
        <v>85</v>
      </c>
      <c r="F27" s="55">
        <v>3792</v>
      </c>
      <c r="G27" s="55">
        <v>30</v>
      </c>
      <c r="H27" s="55">
        <v>1124</v>
      </c>
      <c r="I27" s="55">
        <v>85</v>
      </c>
      <c r="J27" s="55">
        <v>196</v>
      </c>
      <c r="K27" s="56">
        <v>60</v>
      </c>
      <c r="L27" s="56">
        <v>85</v>
      </c>
      <c r="M27" s="56">
        <v>859</v>
      </c>
      <c r="N27" s="57">
        <v>65</v>
      </c>
      <c r="O27" s="57">
        <v>85</v>
      </c>
      <c r="P27" s="57">
        <v>80</v>
      </c>
      <c r="Q27" s="57">
        <v>1887</v>
      </c>
    </row>
    <row r="28" spans="1:17" x14ac:dyDescent="0.25">
      <c r="A28" s="81">
        <v>43789</v>
      </c>
      <c r="B28" s="32">
        <v>37</v>
      </c>
      <c r="C28" s="32">
        <v>39</v>
      </c>
      <c r="D28" s="32">
        <v>79</v>
      </c>
      <c r="E28" s="55">
        <v>85</v>
      </c>
      <c r="F28" s="55">
        <v>3801</v>
      </c>
      <c r="G28" s="55">
        <v>20</v>
      </c>
      <c r="H28" s="55">
        <v>1125</v>
      </c>
      <c r="I28" s="55">
        <v>85</v>
      </c>
      <c r="J28" s="55">
        <v>197</v>
      </c>
      <c r="K28" s="56">
        <v>50</v>
      </c>
      <c r="L28" s="56">
        <v>85</v>
      </c>
      <c r="M28" s="56">
        <v>863</v>
      </c>
      <c r="N28" s="57">
        <v>65</v>
      </c>
      <c r="O28" s="57">
        <v>85</v>
      </c>
      <c r="P28" s="57">
        <v>80</v>
      </c>
      <c r="Q28" s="57">
        <v>1890</v>
      </c>
    </row>
    <row r="29" spans="1:17" x14ac:dyDescent="0.25">
      <c r="A29" s="81">
        <v>43790</v>
      </c>
      <c r="B29" s="77">
        <v>37</v>
      </c>
      <c r="C29" s="77">
        <v>39</v>
      </c>
      <c r="D29" s="77">
        <v>79</v>
      </c>
      <c r="E29" s="78">
        <v>85</v>
      </c>
      <c r="F29" s="78">
        <v>3805</v>
      </c>
      <c r="G29" s="78">
        <v>20</v>
      </c>
      <c r="H29" s="78">
        <v>1126</v>
      </c>
      <c r="I29" s="78">
        <v>85</v>
      </c>
      <c r="J29" s="78">
        <v>197</v>
      </c>
      <c r="K29" s="79">
        <v>50</v>
      </c>
      <c r="L29" s="79">
        <v>85</v>
      </c>
      <c r="M29" s="79">
        <v>863</v>
      </c>
      <c r="N29" s="76">
        <v>65</v>
      </c>
      <c r="O29" s="76">
        <v>85</v>
      </c>
      <c r="P29" s="76">
        <v>80</v>
      </c>
      <c r="Q29" s="76">
        <v>1891</v>
      </c>
    </row>
    <row r="30" spans="1:17" x14ac:dyDescent="0.25">
      <c r="A30" s="81">
        <v>43791</v>
      </c>
      <c r="B30" s="32">
        <v>46</v>
      </c>
      <c r="C30" s="32">
        <v>44</v>
      </c>
      <c r="D30" s="32">
        <v>93</v>
      </c>
      <c r="E30" s="55">
        <v>85</v>
      </c>
      <c r="F30" s="55">
        <v>3810</v>
      </c>
      <c r="G30" s="55">
        <v>8</v>
      </c>
      <c r="H30" s="55">
        <v>1127</v>
      </c>
      <c r="I30" s="55">
        <v>85</v>
      </c>
      <c r="J30" s="55">
        <v>197</v>
      </c>
      <c r="K30" s="56">
        <v>45</v>
      </c>
      <c r="L30" s="56">
        <v>85</v>
      </c>
      <c r="M30" s="56">
        <v>866</v>
      </c>
      <c r="N30" s="57">
        <v>60</v>
      </c>
      <c r="O30" s="57">
        <v>85</v>
      </c>
      <c r="P30" s="57">
        <v>80</v>
      </c>
      <c r="Q30" s="57">
        <v>1893</v>
      </c>
    </row>
    <row r="31" spans="1:17" x14ac:dyDescent="0.25">
      <c r="A31" s="81">
        <v>43792</v>
      </c>
      <c r="B31" s="32">
        <v>38</v>
      </c>
      <c r="C31" s="32">
        <v>34</v>
      </c>
      <c r="D31" s="32">
        <v>70</v>
      </c>
      <c r="E31" s="55">
        <v>85</v>
      </c>
      <c r="F31" s="55">
        <v>3818</v>
      </c>
      <c r="G31" s="55">
        <v>0</v>
      </c>
      <c r="H31" s="55">
        <v>1129</v>
      </c>
      <c r="I31" s="55">
        <v>85</v>
      </c>
      <c r="J31" s="55">
        <v>199</v>
      </c>
      <c r="K31" s="56">
        <v>40</v>
      </c>
      <c r="L31" s="56">
        <v>85</v>
      </c>
      <c r="M31" s="56">
        <v>869</v>
      </c>
      <c r="N31" s="57">
        <v>60</v>
      </c>
      <c r="O31" s="57">
        <v>85</v>
      </c>
      <c r="P31" s="57">
        <v>80</v>
      </c>
      <c r="Q31" s="57">
        <v>1895</v>
      </c>
    </row>
    <row r="32" spans="1:17" x14ac:dyDescent="0.25">
      <c r="A32" s="81">
        <v>43793</v>
      </c>
      <c r="B32" s="32">
        <v>35</v>
      </c>
      <c r="C32" s="32">
        <v>36</v>
      </c>
      <c r="D32" s="32">
        <v>74</v>
      </c>
      <c r="E32" s="55">
        <v>85</v>
      </c>
      <c r="F32" s="55">
        <v>3825</v>
      </c>
      <c r="G32" s="55">
        <v>0</v>
      </c>
      <c r="H32" s="55">
        <v>1131</v>
      </c>
      <c r="I32" s="55">
        <v>85</v>
      </c>
      <c r="J32" s="55">
        <v>200</v>
      </c>
      <c r="K32" s="56">
        <v>40</v>
      </c>
      <c r="L32" s="56">
        <v>85</v>
      </c>
      <c r="M32" s="56">
        <v>869</v>
      </c>
      <c r="N32" s="57">
        <v>60</v>
      </c>
      <c r="O32" s="57">
        <v>85</v>
      </c>
      <c r="P32" s="57">
        <v>80</v>
      </c>
      <c r="Q32" s="57">
        <v>1897</v>
      </c>
    </row>
    <row r="33" spans="1:17" x14ac:dyDescent="0.25">
      <c r="A33" s="81">
        <v>43794</v>
      </c>
      <c r="B33" s="32">
        <v>35</v>
      </c>
      <c r="C33" s="32">
        <v>36</v>
      </c>
      <c r="D33" s="32">
        <v>74</v>
      </c>
      <c r="E33" s="55">
        <v>75</v>
      </c>
      <c r="F33" s="55">
        <v>3833</v>
      </c>
      <c r="G33" s="55">
        <v>0</v>
      </c>
      <c r="H33" s="55">
        <v>1133</v>
      </c>
      <c r="I33" s="55">
        <v>85</v>
      </c>
      <c r="J33" s="55">
        <v>200</v>
      </c>
      <c r="K33" s="56">
        <v>35</v>
      </c>
      <c r="L33" s="56">
        <v>85</v>
      </c>
      <c r="M33" s="56">
        <v>872</v>
      </c>
      <c r="N33" s="57">
        <v>55</v>
      </c>
      <c r="O33" s="57">
        <v>85</v>
      </c>
      <c r="P33" s="57">
        <v>80</v>
      </c>
      <c r="Q33" s="57">
        <v>1899</v>
      </c>
    </row>
    <row r="34" spans="1:17" x14ac:dyDescent="0.25">
      <c r="A34" s="81">
        <v>43795</v>
      </c>
      <c r="B34" s="32">
        <v>32</v>
      </c>
      <c r="C34" s="32">
        <v>34</v>
      </c>
      <c r="D34" s="32">
        <v>68</v>
      </c>
      <c r="E34" s="55">
        <v>60</v>
      </c>
      <c r="F34" s="55">
        <v>3840</v>
      </c>
      <c r="G34" s="55">
        <v>0</v>
      </c>
      <c r="H34" s="55">
        <v>1135</v>
      </c>
      <c r="I34" s="55">
        <v>85</v>
      </c>
      <c r="J34" s="55">
        <v>201</v>
      </c>
      <c r="K34" s="56">
        <v>35</v>
      </c>
      <c r="L34" s="56">
        <v>85</v>
      </c>
      <c r="M34" s="56">
        <v>875</v>
      </c>
      <c r="N34" s="57">
        <v>50</v>
      </c>
      <c r="O34" s="57">
        <v>85</v>
      </c>
      <c r="P34" s="57">
        <v>80</v>
      </c>
      <c r="Q34" s="57">
        <v>1903</v>
      </c>
    </row>
    <row r="35" spans="1:17" x14ac:dyDescent="0.25">
      <c r="A35" s="81">
        <v>43796</v>
      </c>
      <c r="B35" s="32">
        <v>34</v>
      </c>
      <c r="C35" s="32">
        <v>30</v>
      </c>
      <c r="D35" s="32">
        <v>63</v>
      </c>
      <c r="E35" s="55">
        <v>50</v>
      </c>
      <c r="F35" s="55">
        <v>3848</v>
      </c>
      <c r="G35" s="55">
        <v>0</v>
      </c>
      <c r="H35" s="55">
        <v>1137</v>
      </c>
      <c r="I35" s="55">
        <v>85</v>
      </c>
      <c r="J35" s="55">
        <v>201</v>
      </c>
      <c r="K35" s="56">
        <v>30</v>
      </c>
      <c r="L35" s="56">
        <v>85</v>
      </c>
      <c r="M35" s="56">
        <v>877</v>
      </c>
      <c r="N35" s="57">
        <v>50</v>
      </c>
      <c r="O35" s="57">
        <v>85</v>
      </c>
      <c r="P35" s="57">
        <v>80</v>
      </c>
      <c r="Q35" s="57">
        <v>1906</v>
      </c>
    </row>
    <row r="36" spans="1:17" x14ac:dyDescent="0.25">
      <c r="A36" s="81">
        <v>43797</v>
      </c>
      <c r="B36" s="32">
        <v>30</v>
      </c>
      <c r="C36" s="32">
        <v>26</v>
      </c>
      <c r="D36" s="32">
        <v>53</v>
      </c>
      <c r="E36" s="55">
        <v>35</v>
      </c>
      <c r="F36" s="55">
        <v>3857</v>
      </c>
      <c r="G36" s="55">
        <v>0</v>
      </c>
      <c r="H36" s="55">
        <v>1139</v>
      </c>
      <c r="I36" s="55">
        <v>85</v>
      </c>
      <c r="J36" s="55">
        <v>201</v>
      </c>
      <c r="K36" s="56">
        <v>30</v>
      </c>
      <c r="L36" s="56">
        <v>85</v>
      </c>
      <c r="M36" s="56">
        <v>880</v>
      </c>
      <c r="N36" s="57">
        <v>45</v>
      </c>
      <c r="O36" s="57">
        <v>85</v>
      </c>
      <c r="P36" s="57">
        <v>80</v>
      </c>
      <c r="Q36" s="57">
        <v>1908</v>
      </c>
    </row>
    <row r="37" spans="1:17" x14ac:dyDescent="0.25">
      <c r="A37" s="81">
        <v>43798</v>
      </c>
      <c r="B37" s="77">
        <v>30</v>
      </c>
      <c r="C37" s="77">
        <v>26</v>
      </c>
      <c r="D37" s="77">
        <v>53</v>
      </c>
      <c r="E37" s="55">
        <v>20</v>
      </c>
      <c r="F37" s="55">
        <v>3865</v>
      </c>
      <c r="G37" s="55">
        <v>0</v>
      </c>
      <c r="H37" s="55">
        <v>1140</v>
      </c>
      <c r="I37" s="55">
        <v>85</v>
      </c>
      <c r="J37" s="55">
        <v>201</v>
      </c>
      <c r="K37" s="56">
        <v>25</v>
      </c>
      <c r="L37" s="56">
        <v>85</v>
      </c>
      <c r="M37" s="56">
        <v>882</v>
      </c>
      <c r="N37" s="57">
        <v>40</v>
      </c>
      <c r="O37" s="57">
        <v>85</v>
      </c>
      <c r="P37" s="57">
        <v>80</v>
      </c>
      <c r="Q37" s="57">
        <v>1911</v>
      </c>
    </row>
    <row r="38" spans="1:17" x14ac:dyDescent="0.25">
      <c r="A38" s="81">
        <v>43799</v>
      </c>
      <c r="B38" s="32">
        <v>20</v>
      </c>
      <c r="C38" s="32">
        <v>21</v>
      </c>
      <c r="D38" s="32">
        <v>42</v>
      </c>
      <c r="E38" s="55">
        <v>10</v>
      </c>
      <c r="F38" s="55">
        <v>3878</v>
      </c>
      <c r="G38" s="55">
        <v>0</v>
      </c>
      <c r="H38" s="55">
        <v>1144</v>
      </c>
      <c r="I38" s="55">
        <v>85</v>
      </c>
      <c r="J38" s="55">
        <v>201</v>
      </c>
      <c r="K38" s="56">
        <v>25</v>
      </c>
      <c r="L38" s="56">
        <v>85</v>
      </c>
      <c r="M38" s="56">
        <v>882</v>
      </c>
      <c r="N38" s="57">
        <v>30</v>
      </c>
      <c r="O38" s="57">
        <v>85</v>
      </c>
      <c r="P38" s="57">
        <v>80</v>
      </c>
      <c r="Q38" s="57">
        <v>1919</v>
      </c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2019-12-01T01:32:46Z</dcterms:modified>
</cp:coreProperties>
</file>