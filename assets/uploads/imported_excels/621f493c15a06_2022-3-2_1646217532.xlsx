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bookViews>
    <workbookView xWindow="0" yWindow="0" windowWidth="20400" windowHeight="775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3" l="1"/>
  <c r="L33" i="3"/>
  <c r="E32" i="3" l="1"/>
  <c r="F32" i="3" s="1"/>
  <c r="H32" i="3"/>
  <c r="I32" i="3"/>
  <c r="K32" i="3"/>
  <c r="L32" i="3" s="1"/>
  <c r="E33" i="3"/>
  <c r="F33" i="3" s="1"/>
  <c r="H33" i="3"/>
  <c r="I33" i="3"/>
  <c r="K33" i="3"/>
  <c r="E34" i="3"/>
  <c r="F34" i="3"/>
  <c r="H34" i="3"/>
  <c r="I34" i="3"/>
  <c r="K34" i="3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1" i="2"/>
  <c r="G32" i="2"/>
  <c r="E32" i="2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I30" i="2"/>
  <c r="I32" i="2"/>
  <c r="K4" i="3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E30" i="2"/>
  <c r="E31" i="2"/>
  <c r="H4" i="3"/>
  <c r="I4" i="3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G30" i="2"/>
  <c r="G31" i="2"/>
  <c r="E4" i="3"/>
  <c r="F4" i="3" s="1"/>
  <c r="I29" i="2" l="1"/>
  <c r="L31" i="3"/>
  <c r="I28" i="2"/>
  <c r="L30" i="3"/>
  <c r="I27" i="2"/>
  <c r="L29" i="3"/>
  <c r="I26" i="2"/>
  <c r="L28" i="3"/>
  <c r="I25" i="2"/>
  <c r="L27" i="3"/>
  <c r="I24" i="2"/>
  <c r="L26" i="3"/>
  <c r="I23" i="2"/>
  <c r="L25" i="3"/>
  <c r="I22" i="2"/>
  <c r="L24" i="3"/>
  <c r="I21" i="2"/>
  <c r="L23" i="3"/>
  <c r="I20" i="2"/>
  <c r="L22" i="3"/>
  <c r="I19" i="2"/>
  <c r="L21" i="3"/>
  <c r="I18" i="2"/>
  <c r="L20" i="3"/>
  <c r="I17" i="2"/>
  <c r="L19" i="3"/>
  <c r="I16" i="2"/>
  <c r="L18" i="3"/>
  <c r="I15" i="2"/>
  <c r="L17" i="3"/>
  <c r="I14" i="2"/>
  <c r="L16" i="3"/>
  <c r="I13" i="2"/>
  <c r="L15" i="3"/>
  <c r="I12" i="2"/>
  <c r="L14" i="3"/>
  <c r="I11" i="2"/>
  <c r="L13" i="3"/>
  <c r="I10" i="2"/>
  <c r="L12" i="3"/>
  <c r="I9" i="2"/>
  <c r="L11" i="3"/>
  <c r="I8" i="2"/>
  <c r="L10" i="3"/>
  <c r="I7" i="2"/>
  <c r="L9" i="3"/>
  <c r="I6" i="2"/>
  <c r="L8" i="3"/>
  <c r="I5" i="2"/>
  <c r="L7" i="3"/>
  <c r="I4" i="2"/>
  <c r="L6" i="3"/>
  <c r="I3" i="2"/>
  <c r="L5" i="3"/>
  <c r="I2" i="2"/>
  <c r="K35" i="3"/>
  <c r="L4" i="3"/>
  <c r="E2" i="2"/>
  <c r="I35" i="3"/>
  <c r="G2" i="2"/>
  <c r="F35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L35" i="3" l="1"/>
</calcChain>
</file>

<file path=xl/sharedStrings.xml><?xml version="1.0" encoding="utf-8"?>
<sst xmlns="http://schemas.openxmlformats.org/spreadsheetml/2006/main" count="63" uniqueCount="28">
  <si>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</si>
  <si>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</si>
  <si>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</si>
  <si>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</si>
  <si>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</si>
  <si>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</si>
  <si>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</si>
  <si>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</si>
  <si>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</si>
  <si>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</si>
  <si>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</si>
  <si>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</si>
  <si>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</si>
  <si>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</si>
  <si>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</si>
  <si>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</si>
  <si>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</si>
  <si>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</si>
  <si>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</si>
  <si>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</si>
  <si>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</si>
  <si>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</si>
  <si>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</si>
  <si>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</si>
  <si>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</si>
  <si>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</si>
  <si>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</si>
  <si>
    <t>Conv x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</si>
</sst>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_ ;[Red]\-0\ "/>
    <numFmt numFmtId="166" formatCode="[$-809]dd\ mmmm\ yyyy;@"/>
    <numFmt numFmtId="167" formatCode="0;[Red]0"/>
    <numFmt numFmtId="168" formatCode="#,##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7" xfId="0" applyNumberFormat="1" applyFont="1" applyBorder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7" xfId="0" applyNumberFormat="1" applyFont="1" applyBorder="1" applyAlignment="1">
      <alignment horizontal="center"/>
    </xf>
    <xf numFmtId="1" fontId="0" fillId="0" borderId="18" xfId="0" applyNumberFormat="1" applyFont="1" applyBorder="1" applyAlignment="1">
      <alignment horizontal="center"/>
    </xf>
    <xf numFmtId="166" fontId="2" fillId="2" borderId="16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3" xfId="0" applyNumberFormat="1" applyFont="1" applyBorder="1" applyAlignment="1">
      <alignment horizontal="center" vertical="center"/>
    </xf>
    <xf numFmtId="164" fontId="0" fillId="4" borderId="12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1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3" fontId="0" fillId="0" borderId="20" xfId="0" applyNumberFormat="1" applyBorder="1"/>
    <xf numFmtId="168" fontId="0" fillId="0" borderId="20" xfId="0" applyNumberFormat="1" applyBorder="1"/>
    <xf numFmtId="164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2" fillId="5" borderId="2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8" fillId="0" borderId="20" xfId="0" applyNumberFormat="1" applyFont="1" applyBorder="1"/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opLeftCell="A13" workbookViewId="0">
      <selection activeCell="D2" sqref="D2:D3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2</v>
      </c>
      <c r="D2" s="6">
        <v>2022</v>
      </c>
      <c r="E2" s="8">
        <f>'FSRW Meter Readings'!I4</f>
        <v>13200</v>
      </c>
      <c r="F2" s="9">
        <v>0.06</v>
      </c>
      <c r="G2" s="8">
        <f>'FSRW Meter Readings'!F4</f>
        <v>2441.5299999999997</v>
      </c>
      <c r="H2" s="9">
        <v>0.4</v>
      </c>
      <c r="I2" s="8">
        <f>'FSRW Meter Readings'!K4</f>
        <v>8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2</v>
      </c>
      <c r="D3" s="6">
        <v>2022</v>
      </c>
      <c r="E3" s="8">
        <f>'FSRW Meter Readings'!I5</f>
        <v>16800</v>
      </c>
      <c r="F3" s="9">
        <v>0.06</v>
      </c>
      <c r="G3" s="8">
        <f>'FSRW Meter Readings'!F5</f>
        <v>3165.9399999999996</v>
      </c>
      <c r="H3" s="9">
        <v>0.4</v>
      </c>
      <c r="I3" s="8">
        <f>'FSRW Meter Readings'!K5</f>
        <v>16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2</v>
      </c>
      <c r="D4" s="6">
        <v>2022</v>
      </c>
      <c r="E4" s="8">
        <f>'FSRW Meter Readings'!I6</f>
        <v>16800</v>
      </c>
      <c r="F4" s="9">
        <v>0.06</v>
      </c>
      <c r="G4" s="8">
        <f>'FSRW Meter Readings'!F6</f>
        <v>3353.75</v>
      </c>
      <c r="H4" s="9">
        <v>0.4</v>
      </c>
      <c r="I4" s="8">
        <f>'FSRW Meter Readings'!K6</f>
        <v>15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2</v>
      </c>
      <c r="D5" s="6">
        <v>2022</v>
      </c>
      <c r="E5" s="8">
        <f>'FSRW Meter Readings'!I7</f>
        <v>19200</v>
      </c>
      <c r="F5" s="9">
        <v>0.06</v>
      </c>
      <c r="G5" s="8">
        <f>'FSRW Meter Readings'!F7</f>
        <v>3246.43</v>
      </c>
      <c r="H5" s="9">
        <v>0.4</v>
      </c>
      <c r="I5" s="8">
        <f>'FSRW Meter Readings'!K7</f>
        <v>15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2</v>
      </c>
      <c r="D6" s="6">
        <v>2022</v>
      </c>
      <c r="E6" s="8">
        <f>'FSRW Meter Readings'!I8</f>
        <v>15600</v>
      </c>
      <c r="F6" s="9">
        <v>0.06</v>
      </c>
      <c r="G6" s="8">
        <f>'FSRW Meter Readings'!F8</f>
        <v>2951.2999999999997</v>
      </c>
      <c r="H6" s="9">
        <v>0.4</v>
      </c>
      <c r="I6" s="8">
        <f>'FSRW Meter Readings'!K8</f>
        <v>20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2</v>
      </c>
      <c r="D7" s="6">
        <v>2022</v>
      </c>
      <c r="E7" s="8">
        <f>'FSRW Meter Readings'!I9</f>
        <v>14400</v>
      </c>
      <c r="F7" s="9">
        <v>0.06</v>
      </c>
      <c r="G7" s="8">
        <f>'FSRW Meter Readings'!F9</f>
        <v>2924.47</v>
      </c>
      <c r="H7" s="9">
        <v>0.4</v>
      </c>
      <c r="I7" s="8">
        <f>'FSRW Meter Readings'!K9</f>
        <v>20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2</v>
      </c>
      <c r="D8" s="6">
        <v>2022</v>
      </c>
      <c r="E8" s="8">
        <f>'FSRW Meter Readings'!I10</f>
        <v>15600</v>
      </c>
      <c r="F8" s="9">
        <v>0.06</v>
      </c>
      <c r="G8" s="8">
        <f>'FSRW Meter Readings'!F10</f>
        <v>2790.3199999999997</v>
      </c>
      <c r="H8" s="9">
        <v>0.4</v>
      </c>
      <c r="I8" s="8">
        <f>'FSRW Meter Readings'!K10</f>
        <v>14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2</v>
      </c>
      <c r="D9" s="6">
        <v>2022</v>
      </c>
      <c r="E9" s="8">
        <f>'FSRW Meter Readings'!I11</f>
        <v>16800</v>
      </c>
      <c r="F9" s="9">
        <v>0.06</v>
      </c>
      <c r="G9" s="8">
        <f>'FSRW Meter Readings'!F11</f>
        <v>2656.1699999999996</v>
      </c>
      <c r="H9" s="9">
        <v>0.4</v>
      </c>
      <c r="I9" s="8">
        <f>'FSRW Meter Readings'!K11</f>
        <v>13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2</v>
      </c>
      <c r="D10" s="6">
        <v>2022</v>
      </c>
      <c r="E10" s="8">
        <f>'FSRW Meter Readings'!I12</f>
        <v>13200</v>
      </c>
      <c r="F10" s="9">
        <v>0.06</v>
      </c>
      <c r="G10" s="8">
        <f>'FSRW Meter Readings'!F12</f>
        <v>2200.06</v>
      </c>
      <c r="H10" s="9">
        <v>0.4</v>
      </c>
      <c r="I10" s="8">
        <f>'FSRW Meter Readings'!K12</f>
        <v>13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2</v>
      </c>
      <c r="D11" s="6">
        <v>2022</v>
      </c>
      <c r="E11" s="8">
        <f>'FSRW Meter Readings'!I13</f>
        <v>15600</v>
      </c>
      <c r="F11" s="9">
        <v>0.06</v>
      </c>
      <c r="G11" s="8">
        <f>'FSRW Meter Readings'!F13</f>
        <v>2522.02</v>
      </c>
      <c r="H11" s="9">
        <v>0.4</v>
      </c>
      <c r="I11" s="8">
        <f>'FSRW Meter Readings'!K13</f>
        <v>15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2</v>
      </c>
      <c r="D12" s="6">
        <v>2022</v>
      </c>
      <c r="E12" s="8">
        <f>'FSRW Meter Readings'!I14</f>
        <v>18000</v>
      </c>
      <c r="F12" s="9">
        <v>0.06</v>
      </c>
      <c r="G12" s="8">
        <f>'FSRW Meter Readings'!F14</f>
        <v>3165.9399999999996</v>
      </c>
      <c r="H12" s="9">
        <v>0.4</v>
      </c>
      <c r="I12" s="8">
        <f>'FSRW Meter Readings'!K14</f>
        <v>15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2</v>
      </c>
      <c r="D13" s="6">
        <v>2022</v>
      </c>
      <c r="E13" s="8">
        <f>'FSRW Meter Readings'!I15</f>
        <v>15600</v>
      </c>
      <c r="F13" s="9">
        <v>0.06</v>
      </c>
      <c r="G13" s="8">
        <f>'FSRW Meter Readings'!F15</f>
        <v>3165.9399999999996</v>
      </c>
      <c r="H13" s="9">
        <v>0.4</v>
      </c>
      <c r="I13" s="8">
        <f>'FSRW Meter Readings'!K15</f>
        <v>23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2</v>
      </c>
      <c r="D14" s="6">
        <v>2022</v>
      </c>
      <c r="E14" s="8">
        <f>'FSRW Meter Readings'!I16</f>
        <v>18000</v>
      </c>
      <c r="F14" s="9">
        <v>0.06</v>
      </c>
      <c r="G14" s="8">
        <f>'FSRW Meter Readings'!F16</f>
        <v>3085.45</v>
      </c>
      <c r="H14" s="9">
        <v>0.4</v>
      </c>
      <c r="I14" s="8">
        <f>'FSRW Meter Readings'!K16</f>
        <v>22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2</v>
      </c>
      <c r="D15" s="6">
        <v>2022</v>
      </c>
      <c r="E15" s="8">
        <f>'FSRW Meter Readings'!I17</f>
        <v>15600</v>
      </c>
      <c r="F15" s="9">
        <v>0.06</v>
      </c>
      <c r="G15" s="8">
        <f>'FSRW Meter Readings'!F17</f>
        <v>2656.1699999999996</v>
      </c>
      <c r="H15" s="9">
        <v>0.4</v>
      </c>
      <c r="I15" s="8">
        <f>'FSRW Meter Readings'!K17</f>
        <v>18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2</v>
      </c>
      <c r="D16" s="6">
        <v>2022</v>
      </c>
      <c r="E16" s="8">
        <f>'FSRW Meter Readings'!I18</f>
        <v>15600</v>
      </c>
      <c r="F16" s="9">
        <v>0.06</v>
      </c>
      <c r="G16" s="8">
        <f>'FSRW Meter Readings'!F18</f>
        <v>2414.6999999999998</v>
      </c>
      <c r="H16" s="9">
        <v>0.4</v>
      </c>
      <c r="I16" s="8">
        <f>'FSRW Meter Readings'!K18</f>
        <v>17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2</v>
      </c>
      <c r="D17" s="6">
        <v>2022</v>
      </c>
      <c r="E17" s="8">
        <f>'FSRW Meter Readings'!I19</f>
        <v>14400</v>
      </c>
      <c r="F17" s="9">
        <v>0.06</v>
      </c>
      <c r="G17" s="8">
        <f>'FSRW Meter Readings'!F19</f>
        <v>2709.83</v>
      </c>
      <c r="H17" s="9">
        <v>0.4</v>
      </c>
      <c r="I17" s="8">
        <f>'FSRW Meter Readings'!K19</f>
        <v>13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2</v>
      </c>
      <c r="D18" s="6">
        <v>2022</v>
      </c>
      <c r="E18" s="8">
        <f>'FSRW Meter Readings'!I20</f>
        <v>16800</v>
      </c>
      <c r="F18" s="9">
        <v>0.06</v>
      </c>
      <c r="G18" s="8">
        <f>'FSRW Meter Readings'!F20</f>
        <v>2709.83</v>
      </c>
      <c r="H18" s="9">
        <v>0.4</v>
      </c>
      <c r="I18" s="8">
        <f>'FSRW Meter Readings'!K20</f>
        <v>14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2</v>
      </c>
      <c r="D19" s="6">
        <v>2022</v>
      </c>
      <c r="E19" s="8">
        <f>'FSRW Meter Readings'!I21</f>
        <v>16800</v>
      </c>
      <c r="F19" s="9">
        <v>0.06</v>
      </c>
      <c r="G19" s="8">
        <f>'FSRW Meter Readings'!F21</f>
        <v>2978.1299999999997</v>
      </c>
      <c r="H19" s="9">
        <v>0.4</v>
      </c>
      <c r="I19" s="8">
        <f>'FSRW Meter Readings'!K21</f>
        <v>21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2</v>
      </c>
      <c r="D20" s="6">
        <v>2022</v>
      </c>
      <c r="E20" s="8">
        <f>'FSRW Meter Readings'!I22</f>
        <v>16800</v>
      </c>
      <c r="F20" s="9">
        <v>0.06</v>
      </c>
      <c r="G20" s="8">
        <f>'FSRW Meter Readings'!F22</f>
        <v>2843.98</v>
      </c>
      <c r="H20" s="9">
        <v>0.4</v>
      </c>
      <c r="I20" s="8">
        <f>'FSRW Meter Readings'!K22</f>
        <v>19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2</v>
      </c>
      <c r="D21" s="6">
        <v>2022</v>
      </c>
      <c r="E21" s="8">
        <f>'FSRW Meter Readings'!I23</f>
        <v>16800</v>
      </c>
      <c r="F21" s="9">
        <v>0.06</v>
      </c>
      <c r="G21" s="8">
        <f>'FSRW Meter Readings'!F23</f>
        <v>3058.62</v>
      </c>
      <c r="H21" s="9">
        <v>0.4</v>
      </c>
      <c r="I21" s="8">
        <f>'FSRW Meter Readings'!K23</f>
        <v>26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2</v>
      </c>
      <c r="D22" s="6">
        <v>2022</v>
      </c>
      <c r="E22" s="8">
        <f>'FSRW Meter Readings'!I24</f>
        <v>20400</v>
      </c>
      <c r="F22" s="9">
        <v>0.06</v>
      </c>
      <c r="G22" s="8">
        <f>'FSRW Meter Readings'!F24</f>
        <v>3970.8399999999997</v>
      </c>
      <c r="H22" s="9">
        <v>0.4</v>
      </c>
      <c r="I22" s="8">
        <f>'FSRW Meter Readings'!K24</f>
        <v>30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2</v>
      </c>
      <c r="D23" s="6">
        <v>2022</v>
      </c>
      <c r="E23" s="8">
        <f>'FSRW Meter Readings'!I25</f>
        <v>10800</v>
      </c>
      <c r="F23" s="9">
        <v>0.06</v>
      </c>
      <c r="G23" s="8">
        <f>'FSRW Meter Readings'!F25</f>
        <v>2468.3599999999997</v>
      </c>
      <c r="H23" s="9">
        <v>0.4</v>
      </c>
      <c r="I23" s="8">
        <f>'FSRW Meter Readings'!K25</f>
        <v>10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2</v>
      </c>
      <c r="D24" s="6">
        <v>2022</v>
      </c>
      <c r="E24" s="8">
        <f>'FSRW Meter Readings'!I26</f>
        <v>18000</v>
      </c>
      <c r="F24" s="9">
        <v>0.06</v>
      </c>
      <c r="G24" s="8">
        <f>'FSRW Meter Readings'!F26</f>
        <v>4695.25</v>
      </c>
      <c r="H24" s="9">
        <v>0.4</v>
      </c>
      <c r="I24" s="8">
        <f>'FSRW Meter Readings'!K26</f>
        <v>24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2</v>
      </c>
      <c r="D25" s="6">
        <v>2022</v>
      </c>
      <c r="E25" s="8">
        <f>'FSRW Meter Readings'!I27</f>
        <v>15600</v>
      </c>
      <c r="F25" s="9">
        <v>0.06</v>
      </c>
      <c r="G25" s="8">
        <f>'FSRW Meter Readings'!F27</f>
        <v>3407.41</v>
      </c>
      <c r="H25" s="9">
        <v>0.4</v>
      </c>
      <c r="I25" s="8">
        <f>'FSRW Meter Readings'!K27</f>
        <v>17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2</v>
      </c>
      <c r="D26" s="6">
        <v>2022</v>
      </c>
      <c r="E26" s="8">
        <f>'FSRW Meter Readings'!I28</f>
        <v>19200</v>
      </c>
      <c r="F26" s="9">
        <v>0.06</v>
      </c>
      <c r="G26" s="8">
        <f>'FSRW Meter Readings'!F28</f>
        <v>4131.82</v>
      </c>
      <c r="H26" s="9">
        <v>0.4</v>
      </c>
      <c r="I26" s="8">
        <f>'FSRW Meter Readings'!K28</f>
        <v>24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2</v>
      </c>
      <c r="D27" s="6">
        <v>2022</v>
      </c>
      <c r="E27" s="8">
        <f>'FSRW Meter Readings'!I29</f>
        <v>16800</v>
      </c>
      <c r="F27" s="9">
        <v>0.06</v>
      </c>
      <c r="G27" s="8">
        <f>'FSRW Meter Readings'!F29</f>
        <v>3514.7299999999996</v>
      </c>
      <c r="H27" s="9">
        <v>0.4</v>
      </c>
      <c r="I27" s="8">
        <f>'FSRW Meter Readings'!K29</f>
        <v>22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2</v>
      </c>
      <c r="D28" s="6">
        <v>2022</v>
      </c>
      <c r="E28" s="8">
        <f>'FSRW Meter Readings'!I30</f>
        <v>18000</v>
      </c>
      <c r="F28" s="9">
        <v>0.06</v>
      </c>
      <c r="G28" s="8">
        <f>'FSRW Meter Readings'!F30</f>
        <v>3112.2799999999997</v>
      </c>
      <c r="H28" s="9">
        <v>0.4</v>
      </c>
      <c r="I28" s="8">
        <f>'FSRW Meter Readings'!K30</f>
        <v>21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2</v>
      </c>
      <c r="D29" s="6">
        <v>2022</v>
      </c>
      <c r="E29" s="8">
        <f>'FSRW Meter Readings'!I31</f>
        <v>15600</v>
      </c>
      <c r="F29" s="9">
        <v>0.06</v>
      </c>
      <c r="G29" s="8">
        <f>'FSRW Meter Readings'!F31</f>
        <v>2843.98</v>
      </c>
      <c r="H29" s="9">
        <v>0.4</v>
      </c>
      <c r="I29" s="8">
        <f>'FSRW Meter Readings'!K31</f>
        <v>19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2</v>
      </c>
      <c r="D30" s="6">
        <v>2022</v>
      </c>
      <c r="E30" s="8">
        <f>'FSRW Meter Readings'!I32</f>
        <v>0</v>
      </c>
      <c r="F30" s="9">
        <v>0.06</v>
      </c>
      <c r="G30" s="8">
        <f>'FSRW Meter Readings'!F32</f>
        <v>0</v>
      </c>
      <c r="H30" s="9">
        <v>0.4</v>
      </c>
      <c r="I30" s="8" t="str">
        <f>'FSRW Meter Readings'!K32</f>
        <v>0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2</v>
      </c>
      <c r="D31" s="6">
        <v>2022</v>
      </c>
      <c r="E31" s="8">
        <f>'FSRW Meter Readings'!I33</f>
        <v>0</v>
      </c>
      <c r="F31" s="9">
        <v>0.06</v>
      </c>
      <c r="G31" s="8">
        <f>'FSRW Meter Readings'!F33</f>
        <v>0</v>
      </c>
      <c r="H31" s="9">
        <v>0.4</v>
      </c>
      <c r="I31" s="8">
        <f>'FSRW Meter Readings'!K33</f>
        <v>0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2</v>
      </c>
      <c r="D32" s="6">
        <v>2022</v>
      </c>
      <c r="E32" s="8">
        <f>'FSRW Meter Readings'!I34</f>
        <v>0</v>
      </c>
      <c r="F32" s="9">
        <v>0.06</v>
      </c>
      <c r="G32" s="8">
        <f>'FSRW Meter Readings'!F34</f>
        <v>0</v>
      </c>
      <c r="H32" s="9">
        <v>0.4</v>
      </c>
      <c r="I32" s="8">
        <f>'FSRW Meter Readings'!K34</f>
        <v>0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27" workbookViewId="0">
      <selection activeCell="J30" sqref="J30"/>
    </sheetView>
  </sheetViews>
  <sheetFormatPr defaultColWidth="8.85546875" defaultRowHeight="15" x14ac:dyDescent="0.25"/>
  <cols>
    <col min="1" max="1" width="16.85546875" style="29" bestFit="1" customWidth="1"/>
    <col min="2" max="3" width="15.140625" style="35" customWidth="1"/>
    <col min="4" max="4" width="13.7109375" style="17" bestFit="1" customWidth="1"/>
    <col min="5" max="5" width="12.85546875" style="15" customWidth="1"/>
    <col min="6" max="6" width="12.85546875" style="17" customWidth="1"/>
    <col min="7" max="7" width="10.5703125" style="16" bestFit="1" customWidth="1"/>
    <col min="8" max="8" width="12.85546875" style="14" customWidth="1"/>
    <col min="9" max="9" width="12.85546875" style="17" customWidth="1"/>
    <col min="10" max="10" width="11" style="16" customWidth="1"/>
    <col min="11" max="11" width="12.85546875" style="14" customWidth="1"/>
    <col min="12" max="12" width="8.85546875" style="53"/>
    <col min="13" max="16384" width="8.85546875" style="16"/>
  </cols>
  <sheetData>
    <row r="1" spans="1:12" ht="45" customHeight="1" thickBot="1" x14ac:dyDescent="0.3">
      <c r="A1" s="58" t="s">
        <v>16</v>
      </c>
      <c r="B1" s="60" t="s">
        <v>19</v>
      </c>
      <c r="C1" s="60" t="s">
        <v>13</v>
      </c>
      <c r="D1" s="62" t="s">
        <v>23</v>
      </c>
      <c r="E1" s="63"/>
      <c r="F1" s="64"/>
      <c r="G1" s="62" t="s">
        <v>24</v>
      </c>
      <c r="H1" s="63"/>
      <c r="I1" s="65"/>
      <c r="J1" s="56" t="s">
        <v>26</v>
      </c>
      <c r="K1" s="57"/>
      <c r="L1" s="57"/>
    </row>
    <row r="2" spans="1:12" s="13" customFormat="1" ht="64.900000000000006" customHeight="1" thickBot="1" x14ac:dyDescent="0.3">
      <c r="A2" s="59"/>
      <c r="B2" s="61"/>
      <c r="C2" s="61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  <c r="L2" s="52" t="s">
        <v>27</v>
      </c>
    </row>
    <row r="3" spans="1:12" ht="30" customHeight="1" x14ac:dyDescent="0.25">
      <c r="A3" s="38">
        <v>44592</v>
      </c>
      <c r="B3" s="32" t="s">
        <v>20</v>
      </c>
      <c r="C3" s="32" t="s">
        <v>20</v>
      </c>
      <c r="D3" s="36">
        <v>176680</v>
      </c>
      <c r="E3" s="30"/>
      <c r="F3" s="43" t="s">
        <v>20</v>
      </c>
      <c r="G3" s="37">
        <v>49631</v>
      </c>
      <c r="H3" s="30"/>
      <c r="I3" s="46" t="s">
        <v>20</v>
      </c>
      <c r="J3" s="18">
        <v>103266</v>
      </c>
      <c r="K3" s="42" t="s">
        <v>20</v>
      </c>
    </row>
    <row r="4" spans="1:12" ht="30" customHeight="1" x14ac:dyDescent="0.25">
      <c r="A4" s="38">
        <v>44593</v>
      </c>
      <c r="B4" s="32">
        <v>0</v>
      </c>
      <c r="C4" s="32">
        <v>0</v>
      </c>
      <c r="D4" s="48">
        <v>176771</v>
      </c>
      <c r="E4" s="31">
        <f>IF(D4-D3&lt;0,"0",D4-D3)</f>
        <v>91</v>
      </c>
      <c r="F4" s="44">
        <f>E4*26.83</f>
        <v>2441.5299999999997</v>
      </c>
      <c r="G4" s="48">
        <v>49642</v>
      </c>
      <c r="H4" s="31">
        <f>IF(G4-G3&lt;0,"0",G4-G3)</f>
        <v>11</v>
      </c>
      <c r="I4" s="47">
        <f>H4*1200</f>
        <v>13200</v>
      </c>
      <c r="J4" s="49">
        <v>103274</v>
      </c>
      <c r="K4" s="31">
        <f>IF(J4-J3&lt;0,"0",J4-J3)</f>
        <v>8</v>
      </c>
      <c r="L4" s="54">
        <f>SUM(K4*4.7)</f>
        <v>37.6</v>
      </c>
    </row>
    <row r="5" spans="1:12" ht="30" customHeight="1" x14ac:dyDescent="0.25">
      <c r="A5" s="38">
        <v>44594</v>
      </c>
      <c r="B5" s="32">
        <v>0</v>
      </c>
      <c r="C5" s="32">
        <v>0</v>
      </c>
      <c r="D5" s="55">
        <v>176889</v>
      </c>
      <c r="E5" s="31">
        <f t="shared" ref="E5:E34" si="0">IF(D5-D4&lt;0,"0",D5-D4)</f>
        <v>118</v>
      </c>
      <c r="F5" s="44">
        <f t="shared" ref="F5:F34" si="1">E5*26.83</f>
        <v>3165.9399999999996</v>
      </c>
      <c r="G5" s="48">
        <v>49656</v>
      </c>
      <c r="H5" s="31">
        <f t="shared" ref="H5:H34" si="2">IF(G5-G4&lt;0,"0",G5-G4)</f>
        <v>14</v>
      </c>
      <c r="I5" s="47">
        <f t="shared" ref="I5:I34" si="3">H5*1200</f>
        <v>16800</v>
      </c>
      <c r="J5" s="49">
        <v>103290</v>
      </c>
      <c r="K5" s="31">
        <f t="shared" ref="K5:K34" si="4">IF(J5-J4&lt;0,"0",J5-J4)</f>
        <v>16</v>
      </c>
      <c r="L5" s="54">
        <f t="shared" ref="L5:L34" si="5">SUM(K5*4.7)</f>
        <v>75.2</v>
      </c>
    </row>
    <row r="6" spans="1:12" ht="30" customHeight="1" x14ac:dyDescent="0.25">
      <c r="A6" s="38">
        <v>44595</v>
      </c>
      <c r="B6" s="32">
        <v>0</v>
      </c>
      <c r="C6" s="32">
        <v>0</v>
      </c>
      <c r="D6" s="48">
        <v>177014</v>
      </c>
      <c r="E6" s="31">
        <f t="shared" si="0"/>
        <v>125</v>
      </c>
      <c r="F6" s="44">
        <f t="shared" si="1"/>
        <v>3353.75</v>
      </c>
      <c r="G6" s="48">
        <v>49670</v>
      </c>
      <c r="H6" s="31">
        <f t="shared" si="2"/>
        <v>14</v>
      </c>
      <c r="I6" s="47">
        <f t="shared" si="3"/>
        <v>16800</v>
      </c>
      <c r="J6" s="49">
        <v>103305</v>
      </c>
      <c r="K6" s="31">
        <f t="shared" si="4"/>
        <v>15</v>
      </c>
      <c r="L6" s="54">
        <f t="shared" si="5"/>
        <v>70.5</v>
      </c>
    </row>
    <row r="7" spans="1:12" ht="30" customHeight="1" x14ac:dyDescent="0.25">
      <c r="A7" s="38">
        <v>44596</v>
      </c>
      <c r="B7" s="32">
        <v>0</v>
      </c>
      <c r="C7" s="32">
        <v>0</v>
      </c>
      <c r="D7" s="48">
        <v>177135</v>
      </c>
      <c r="E7" s="31">
        <f t="shared" si="0"/>
        <v>121</v>
      </c>
      <c r="F7" s="44">
        <f t="shared" si="1"/>
        <v>3246.43</v>
      </c>
      <c r="G7" s="48">
        <v>49686</v>
      </c>
      <c r="H7" s="31">
        <f t="shared" si="2"/>
        <v>16</v>
      </c>
      <c r="I7" s="47">
        <f t="shared" si="3"/>
        <v>19200</v>
      </c>
      <c r="J7" s="49">
        <v>103320</v>
      </c>
      <c r="K7" s="31">
        <f t="shared" si="4"/>
        <v>15</v>
      </c>
      <c r="L7" s="54">
        <f t="shared" si="5"/>
        <v>70.5</v>
      </c>
    </row>
    <row r="8" spans="1:12" ht="30" customHeight="1" x14ac:dyDescent="0.25">
      <c r="A8" s="38">
        <v>44597</v>
      </c>
      <c r="B8" s="32">
        <v>0</v>
      </c>
      <c r="C8" s="32">
        <v>0</v>
      </c>
      <c r="D8" s="48">
        <v>177245</v>
      </c>
      <c r="E8" s="31">
        <f t="shared" si="0"/>
        <v>110</v>
      </c>
      <c r="F8" s="44">
        <f t="shared" si="1"/>
        <v>2951.2999999999997</v>
      </c>
      <c r="G8" s="48">
        <v>49699</v>
      </c>
      <c r="H8" s="31">
        <f t="shared" si="2"/>
        <v>13</v>
      </c>
      <c r="I8" s="47">
        <f t="shared" si="3"/>
        <v>15600</v>
      </c>
      <c r="J8" s="49">
        <v>103340</v>
      </c>
      <c r="K8" s="31">
        <f t="shared" si="4"/>
        <v>20</v>
      </c>
      <c r="L8" s="54">
        <f t="shared" si="5"/>
        <v>94</v>
      </c>
    </row>
    <row r="9" spans="1:12" ht="30" customHeight="1" x14ac:dyDescent="0.25">
      <c r="A9" s="38">
        <v>44598</v>
      </c>
      <c r="B9" s="32">
        <v>0</v>
      </c>
      <c r="C9" s="32">
        <v>0</v>
      </c>
      <c r="D9" s="48">
        <v>177354</v>
      </c>
      <c r="E9" s="31">
        <f t="shared" si="0"/>
        <v>109</v>
      </c>
      <c r="F9" s="44">
        <f t="shared" si="1"/>
        <v>2924.47</v>
      </c>
      <c r="G9" s="48">
        <v>49711</v>
      </c>
      <c r="H9" s="31">
        <f t="shared" si="2"/>
        <v>12</v>
      </c>
      <c r="I9" s="47">
        <f t="shared" si="3"/>
        <v>14400</v>
      </c>
      <c r="J9" s="49">
        <v>103360</v>
      </c>
      <c r="K9" s="31">
        <f t="shared" si="4"/>
        <v>20</v>
      </c>
      <c r="L9" s="54">
        <f t="shared" si="5"/>
        <v>94</v>
      </c>
    </row>
    <row r="10" spans="1:12" ht="30" customHeight="1" x14ac:dyDescent="0.25">
      <c r="A10" s="38">
        <v>44599</v>
      </c>
      <c r="B10" s="32">
        <v>0</v>
      </c>
      <c r="C10" s="32">
        <v>0</v>
      </c>
      <c r="D10" s="48">
        <v>177458</v>
      </c>
      <c r="E10" s="31">
        <f t="shared" si="0"/>
        <v>104</v>
      </c>
      <c r="F10" s="44">
        <f t="shared" si="1"/>
        <v>2790.3199999999997</v>
      </c>
      <c r="G10" s="48">
        <v>49724</v>
      </c>
      <c r="H10" s="31">
        <f t="shared" si="2"/>
        <v>13</v>
      </c>
      <c r="I10" s="47">
        <f t="shared" si="3"/>
        <v>15600</v>
      </c>
      <c r="J10" s="49">
        <v>103374</v>
      </c>
      <c r="K10" s="31">
        <f t="shared" si="4"/>
        <v>14</v>
      </c>
      <c r="L10" s="54">
        <f t="shared" si="5"/>
        <v>65.8</v>
      </c>
    </row>
    <row r="11" spans="1:12" ht="30" customHeight="1" x14ac:dyDescent="0.25">
      <c r="A11" s="38">
        <v>44600</v>
      </c>
      <c r="B11" s="32">
        <v>0</v>
      </c>
      <c r="C11" s="32">
        <v>0</v>
      </c>
      <c r="D11" s="48">
        <v>177557</v>
      </c>
      <c r="E11" s="31">
        <f t="shared" si="0"/>
        <v>99</v>
      </c>
      <c r="F11" s="44">
        <f t="shared" si="1"/>
        <v>2656.1699999999996</v>
      </c>
      <c r="G11" s="48">
        <v>49738</v>
      </c>
      <c r="H11" s="31">
        <f t="shared" si="2"/>
        <v>14</v>
      </c>
      <c r="I11" s="47">
        <f t="shared" si="3"/>
        <v>16800</v>
      </c>
      <c r="J11" s="49">
        <v>103387</v>
      </c>
      <c r="K11" s="31">
        <f t="shared" si="4"/>
        <v>13</v>
      </c>
      <c r="L11" s="54">
        <f t="shared" si="5"/>
        <v>61.1</v>
      </c>
    </row>
    <row r="12" spans="1:12" ht="30" customHeight="1" x14ac:dyDescent="0.25">
      <c r="A12" s="38">
        <v>44601</v>
      </c>
      <c r="B12" s="32">
        <v>0</v>
      </c>
      <c r="C12" s="32">
        <v>0</v>
      </c>
      <c r="D12" s="48">
        <v>177639</v>
      </c>
      <c r="E12" s="31">
        <f t="shared" si="0"/>
        <v>82</v>
      </c>
      <c r="F12" s="44">
        <f t="shared" si="1"/>
        <v>2200.06</v>
      </c>
      <c r="G12" s="48">
        <v>49749</v>
      </c>
      <c r="H12" s="31">
        <f t="shared" si="2"/>
        <v>11</v>
      </c>
      <c r="I12" s="47">
        <f t="shared" si="3"/>
        <v>13200</v>
      </c>
      <c r="J12" s="49">
        <v>103400</v>
      </c>
      <c r="K12" s="31">
        <f t="shared" si="4"/>
        <v>13</v>
      </c>
      <c r="L12" s="54">
        <f t="shared" si="5"/>
        <v>61.1</v>
      </c>
    </row>
    <row r="13" spans="1:12" ht="30" customHeight="1" x14ac:dyDescent="0.25">
      <c r="A13" s="38">
        <v>44602</v>
      </c>
      <c r="B13" s="32">
        <v>0</v>
      </c>
      <c r="C13" s="32">
        <v>0</v>
      </c>
      <c r="D13" s="48">
        <v>177733</v>
      </c>
      <c r="E13" s="31">
        <f t="shared" si="0"/>
        <v>94</v>
      </c>
      <c r="F13" s="44">
        <f t="shared" si="1"/>
        <v>2522.02</v>
      </c>
      <c r="G13" s="48">
        <v>49762</v>
      </c>
      <c r="H13" s="31">
        <f t="shared" si="2"/>
        <v>13</v>
      </c>
      <c r="I13" s="47">
        <f t="shared" si="3"/>
        <v>15600</v>
      </c>
      <c r="J13" s="49">
        <v>103415</v>
      </c>
      <c r="K13" s="31">
        <f t="shared" si="4"/>
        <v>15</v>
      </c>
      <c r="L13" s="54">
        <f t="shared" si="5"/>
        <v>70.5</v>
      </c>
    </row>
    <row r="14" spans="1:12" ht="30" customHeight="1" x14ac:dyDescent="0.25">
      <c r="A14" s="38">
        <v>44603</v>
      </c>
      <c r="B14" s="32">
        <v>0</v>
      </c>
      <c r="C14" s="32">
        <v>0</v>
      </c>
      <c r="D14" s="48">
        <v>177851</v>
      </c>
      <c r="E14" s="31">
        <f t="shared" si="0"/>
        <v>118</v>
      </c>
      <c r="F14" s="44">
        <f t="shared" si="1"/>
        <v>3165.9399999999996</v>
      </c>
      <c r="G14" s="48">
        <v>49777</v>
      </c>
      <c r="H14" s="31">
        <f t="shared" si="2"/>
        <v>15</v>
      </c>
      <c r="I14" s="47">
        <f t="shared" si="3"/>
        <v>18000</v>
      </c>
      <c r="J14" s="49">
        <v>103430</v>
      </c>
      <c r="K14" s="31">
        <f t="shared" si="4"/>
        <v>15</v>
      </c>
      <c r="L14" s="54">
        <f t="shared" si="5"/>
        <v>70.5</v>
      </c>
    </row>
    <row r="15" spans="1:12" ht="30" customHeight="1" x14ac:dyDescent="0.25">
      <c r="A15" s="38">
        <v>44604</v>
      </c>
      <c r="B15" s="32">
        <v>0</v>
      </c>
      <c r="C15" s="32">
        <v>0</v>
      </c>
      <c r="D15" s="55">
        <v>177969</v>
      </c>
      <c r="E15" s="31">
        <f t="shared" si="0"/>
        <v>118</v>
      </c>
      <c r="F15" s="44">
        <f t="shared" si="1"/>
        <v>3165.9399999999996</v>
      </c>
      <c r="G15" s="55">
        <v>49790</v>
      </c>
      <c r="H15" s="31">
        <f t="shared" si="2"/>
        <v>13</v>
      </c>
      <c r="I15" s="47">
        <f t="shared" si="3"/>
        <v>15600</v>
      </c>
      <c r="J15" s="49">
        <v>103453</v>
      </c>
      <c r="K15" s="31">
        <f t="shared" si="4"/>
        <v>23</v>
      </c>
      <c r="L15" s="54">
        <f t="shared" si="5"/>
        <v>108.10000000000001</v>
      </c>
    </row>
    <row r="16" spans="1:12" ht="30" customHeight="1" x14ac:dyDescent="0.25">
      <c r="A16" s="38">
        <v>44605</v>
      </c>
      <c r="B16" s="32">
        <v>0</v>
      </c>
      <c r="C16" s="32">
        <v>0</v>
      </c>
      <c r="D16" s="48">
        <v>178084</v>
      </c>
      <c r="E16" s="31">
        <f t="shared" si="0"/>
        <v>115</v>
      </c>
      <c r="F16" s="44">
        <f t="shared" si="1"/>
        <v>3085.45</v>
      </c>
      <c r="G16" s="48">
        <v>49805</v>
      </c>
      <c r="H16" s="31">
        <f t="shared" si="2"/>
        <v>15</v>
      </c>
      <c r="I16" s="47">
        <f t="shared" si="3"/>
        <v>18000</v>
      </c>
      <c r="J16" s="49">
        <v>103475</v>
      </c>
      <c r="K16" s="31">
        <f t="shared" si="4"/>
        <v>22</v>
      </c>
      <c r="L16" s="54">
        <f t="shared" si="5"/>
        <v>103.4</v>
      </c>
    </row>
    <row r="17" spans="1:12" ht="30" customHeight="1" x14ac:dyDescent="0.25">
      <c r="A17" s="38">
        <v>44606</v>
      </c>
      <c r="B17" s="32">
        <v>0</v>
      </c>
      <c r="C17" s="32">
        <v>0</v>
      </c>
      <c r="D17" s="48">
        <v>178183</v>
      </c>
      <c r="E17" s="31">
        <f t="shared" si="0"/>
        <v>99</v>
      </c>
      <c r="F17" s="44">
        <f t="shared" si="1"/>
        <v>2656.1699999999996</v>
      </c>
      <c r="G17" s="48">
        <v>49818</v>
      </c>
      <c r="H17" s="31">
        <f t="shared" si="2"/>
        <v>13</v>
      </c>
      <c r="I17" s="47">
        <f t="shared" si="3"/>
        <v>15600</v>
      </c>
      <c r="J17" s="49">
        <v>103493</v>
      </c>
      <c r="K17" s="31">
        <f t="shared" si="4"/>
        <v>18</v>
      </c>
      <c r="L17" s="54">
        <f t="shared" si="5"/>
        <v>84.600000000000009</v>
      </c>
    </row>
    <row r="18" spans="1:12" ht="30" customHeight="1" x14ac:dyDescent="0.25">
      <c r="A18" s="38">
        <v>44607</v>
      </c>
      <c r="B18" s="32">
        <v>0</v>
      </c>
      <c r="C18" s="32">
        <v>0</v>
      </c>
      <c r="D18" s="48">
        <v>178273</v>
      </c>
      <c r="E18" s="31">
        <f t="shared" si="0"/>
        <v>90</v>
      </c>
      <c r="F18" s="44">
        <f t="shared" si="1"/>
        <v>2414.6999999999998</v>
      </c>
      <c r="G18" s="48">
        <v>49831</v>
      </c>
      <c r="H18" s="31">
        <f t="shared" si="2"/>
        <v>13</v>
      </c>
      <c r="I18" s="47">
        <f t="shared" si="3"/>
        <v>15600</v>
      </c>
      <c r="J18" s="49">
        <v>103510</v>
      </c>
      <c r="K18" s="31">
        <f t="shared" si="4"/>
        <v>17</v>
      </c>
      <c r="L18" s="54">
        <f t="shared" si="5"/>
        <v>79.900000000000006</v>
      </c>
    </row>
    <row r="19" spans="1:12" ht="30" customHeight="1" x14ac:dyDescent="0.25">
      <c r="A19" s="38">
        <v>44608</v>
      </c>
      <c r="B19" s="32">
        <v>0</v>
      </c>
      <c r="C19" s="32">
        <v>0</v>
      </c>
      <c r="D19" s="55">
        <v>178374</v>
      </c>
      <c r="E19" s="31">
        <f t="shared" si="0"/>
        <v>101</v>
      </c>
      <c r="F19" s="44">
        <f t="shared" si="1"/>
        <v>2709.83</v>
      </c>
      <c r="G19" s="55">
        <v>49843</v>
      </c>
      <c r="H19" s="31">
        <f t="shared" si="2"/>
        <v>12</v>
      </c>
      <c r="I19" s="47">
        <f t="shared" si="3"/>
        <v>14400</v>
      </c>
      <c r="J19" s="49">
        <v>103523</v>
      </c>
      <c r="K19" s="31">
        <f t="shared" si="4"/>
        <v>13</v>
      </c>
      <c r="L19" s="54">
        <f t="shared" si="5"/>
        <v>61.1</v>
      </c>
    </row>
    <row r="20" spans="1:12" ht="30" customHeight="1" x14ac:dyDescent="0.25">
      <c r="A20" s="38">
        <v>44609</v>
      </c>
      <c r="B20" s="32">
        <v>0</v>
      </c>
      <c r="C20" s="32">
        <v>0</v>
      </c>
      <c r="D20" s="48">
        <v>178475</v>
      </c>
      <c r="E20" s="31">
        <f t="shared" si="0"/>
        <v>101</v>
      </c>
      <c r="F20" s="44">
        <f t="shared" si="1"/>
        <v>2709.83</v>
      </c>
      <c r="G20" s="48">
        <v>49857</v>
      </c>
      <c r="H20" s="31">
        <f t="shared" si="2"/>
        <v>14</v>
      </c>
      <c r="I20" s="47">
        <f t="shared" si="3"/>
        <v>16800</v>
      </c>
      <c r="J20" s="49">
        <v>103537</v>
      </c>
      <c r="K20" s="31">
        <f t="shared" si="4"/>
        <v>14</v>
      </c>
      <c r="L20" s="54">
        <f t="shared" si="5"/>
        <v>65.8</v>
      </c>
    </row>
    <row r="21" spans="1:12" ht="30" customHeight="1" x14ac:dyDescent="0.25">
      <c r="A21" s="38">
        <v>44610</v>
      </c>
      <c r="B21" s="32">
        <v>0</v>
      </c>
      <c r="C21" s="32">
        <v>0</v>
      </c>
      <c r="D21" s="48">
        <v>178586</v>
      </c>
      <c r="E21" s="31">
        <f t="shared" si="0"/>
        <v>111</v>
      </c>
      <c r="F21" s="44">
        <f t="shared" si="1"/>
        <v>2978.1299999999997</v>
      </c>
      <c r="G21" s="48">
        <v>49871</v>
      </c>
      <c r="H21" s="31">
        <f t="shared" si="2"/>
        <v>14</v>
      </c>
      <c r="I21" s="47">
        <f t="shared" si="3"/>
        <v>16800</v>
      </c>
      <c r="J21" s="49">
        <v>103558</v>
      </c>
      <c r="K21" s="31">
        <f t="shared" si="4"/>
        <v>21</v>
      </c>
      <c r="L21" s="54">
        <f t="shared" si="5"/>
        <v>98.7</v>
      </c>
    </row>
    <row r="22" spans="1:12" ht="30" customHeight="1" x14ac:dyDescent="0.25">
      <c r="A22" s="38">
        <v>44611</v>
      </c>
      <c r="B22" s="32">
        <v>0</v>
      </c>
      <c r="C22" s="32">
        <v>0</v>
      </c>
      <c r="D22" s="48">
        <v>178692</v>
      </c>
      <c r="E22" s="31">
        <f t="shared" si="0"/>
        <v>106</v>
      </c>
      <c r="F22" s="44">
        <f t="shared" si="1"/>
        <v>2843.98</v>
      </c>
      <c r="G22" s="48">
        <v>49885</v>
      </c>
      <c r="H22" s="31">
        <f t="shared" si="2"/>
        <v>14</v>
      </c>
      <c r="I22" s="47">
        <f t="shared" si="3"/>
        <v>16800</v>
      </c>
      <c r="J22" s="49">
        <v>103577</v>
      </c>
      <c r="K22" s="31">
        <f t="shared" si="4"/>
        <v>19</v>
      </c>
      <c r="L22" s="54">
        <f t="shared" si="5"/>
        <v>89.3</v>
      </c>
    </row>
    <row r="23" spans="1:12" ht="30" customHeight="1" x14ac:dyDescent="0.25">
      <c r="A23" s="38">
        <v>44612</v>
      </c>
      <c r="B23" s="32">
        <v>0</v>
      </c>
      <c r="C23" s="32">
        <v>0</v>
      </c>
      <c r="D23" s="48">
        <v>178806</v>
      </c>
      <c r="E23" s="31">
        <f t="shared" si="0"/>
        <v>114</v>
      </c>
      <c r="F23" s="44">
        <f t="shared" si="1"/>
        <v>3058.62</v>
      </c>
      <c r="G23" s="48">
        <v>49899</v>
      </c>
      <c r="H23" s="31">
        <f t="shared" si="2"/>
        <v>14</v>
      </c>
      <c r="I23" s="47">
        <f t="shared" si="3"/>
        <v>16800</v>
      </c>
      <c r="J23" s="49">
        <v>103603</v>
      </c>
      <c r="K23" s="31">
        <f t="shared" si="4"/>
        <v>26</v>
      </c>
      <c r="L23" s="54">
        <f t="shared" si="5"/>
        <v>122.2</v>
      </c>
    </row>
    <row r="24" spans="1:12" ht="30" customHeight="1" x14ac:dyDescent="0.25">
      <c r="A24" s="38">
        <v>44613</v>
      </c>
      <c r="B24" s="32">
        <v>0</v>
      </c>
      <c r="C24" s="32">
        <v>0</v>
      </c>
      <c r="D24" s="48">
        <v>178954</v>
      </c>
      <c r="E24" s="31">
        <f t="shared" si="0"/>
        <v>148</v>
      </c>
      <c r="F24" s="44">
        <f t="shared" si="1"/>
        <v>3970.8399999999997</v>
      </c>
      <c r="G24" s="48">
        <v>49916</v>
      </c>
      <c r="H24" s="31">
        <f t="shared" si="2"/>
        <v>17</v>
      </c>
      <c r="I24" s="47">
        <f t="shared" si="3"/>
        <v>20400</v>
      </c>
      <c r="J24" s="49">
        <v>103633</v>
      </c>
      <c r="K24" s="31">
        <f t="shared" si="4"/>
        <v>30</v>
      </c>
      <c r="L24" s="54">
        <f t="shared" si="5"/>
        <v>141</v>
      </c>
    </row>
    <row r="25" spans="1:12" ht="30" customHeight="1" x14ac:dyDescent="0.25">
      <c r="A25" s="38">
        <v>44614</v>
      </c>
      <c r="B25" s="32">
        <v>0</v>
      </c>
      <c r="C25" s="32">
        <v>0</v>
      </c>
      <c r="D25" s="48">
        <v>179046</v>
      </c>
      <c r="E25" s="31">
        <f t="shared" si="0"/>
        <v>92</v>
      </c>
      <c r="F25" s="44">
        <f t="shared" si="1"/>
        <v>2468.3599999999997</v>
      </c>
      <c r="G25" s="48">
        <v>49925</v>
      </c>
      <c r="H25" s="31">
        <f t="shared" si="2"/>
        <v>9</v>
      </c>
      <c r="I25" s="47">
        <f t="shared" si="3"/>
        <v>10800</v>
      </c>
      <c r="J25" s="49">
        <v>103643</v>
      </c>
      <c r="K25" s="31">
        <f t="shared" si="4"/>
        <v>10</v>
      </c>
      <c r="L25" s="54">
        <f t="shared" si="5"/>
        <v>47</v>
      </c>
    </row>
    <row r="26" spans="1:12" ht="30" customHeight="1" x14ac:dyDescent="0.25">
      <c r="A26" s="38">
        <v>44615</v>
      </c>
      <c r="B26" s="32">
        <v>0</v>
      </c>
      <c r="C26" s="32">
        <v>0</v>
      </c>
      <c r="D26" s="48">
        <v>179221</v>
      </c>
      <c r="E26" s="31">
        <f t="shared" si="0"/>
        <v>175</v>
      </c>
      <c r="F26" s="44">
        <f t="shared" si="1"/>
        <v>4695.25</v>
      </c>
      <c r="G26" s="48">
        <v>49940</v>
      </c>
      <c r="H26" s="31">
        <f t="shared" si="2"/>
        <v>15</v>
      </c>
      <c r="I26" s="47">
        <f t="shared" si="3"/>
        <v>18000</v>
      </c>
      <c r="J26" s="49">
        <v>103667</v>
      </c>
      <c r="K26" s="31">
        <f t="shared" si="4"/>
        <v>24</v>
      </c>
      <c r="L26" s="54">
        <f t="shared" si="5"/>
        <v>112.80000000000001</v>
      </c>
    </row>
    <row r="27" spans="1:12" ht="30" customHeight="1" x14ac:dyDescent="0.25">
      <c r="A27" s="38">
        <v>44616</v>
      </c>
      <c r="B27" s="32">
        <v>0</v>
      </c>
      <c r="C27" s="32">
        <v>0</v>
      </c>
      <c r="D27" s="48">
        <v>179348</v>
      </c>
      <c r="E27" s="31">
        <f t="shared" si="0"/>
        <v>127</v>
      </c>
      <c r="F27" s="44">
        <f t="shared" si="1"/>
        <v>3407.41</v>
      </c>
      <c r="G27" s="48">
        <v>49953</v>
      </c>
      <c r="H27" s="31">
        <f t="shared" si="2"/>
        <v>13</v>
      </c>
      <c r="I27" s="47">
        <f t="shared" si="3"/>
        <v>15600</v>
      </c>
      <c r="J27" s="49">
        <v>103684</v>
      </c>
      <c r="K27" s="31">
        <f t="shared" si="4"/>
        <v>17</v>
      </c>
      <c r="L27" s="54">
        <f t="shared" si="5"/>
        <v>79.900000000000006</v>
      </c>
    </row>
    <row r="28" spans="1:12" ht="30" customHeight="1" x14ac:dyDescent="0.25">
      <c r="A28" s="38">
        <v>44617</v>
      </c>
      <c r="B28" s="32">
        <v>0</v>
      </c>
      <c r="C28" s="32">
        <v>0</v>
      </c>
      <c r="D28" s="48">
        <v>179502</v>
      </c>
      <c r="E28" s="31">
        <f t="shared" si="0"/>
        <v>154</v>
      </c>
      <c r="F28" s="44">
        <f t="shared" si="1"/>
        <v>4131.82</v>
      </c>
      <c r="G28" s="48">
        <v>49969</v>
      </c>
      <c r="H28" s="31">
        <f t="shared" si="2"/>
        <v>16</v>
      </c>
      <c r="I28" s="47">
        <f t="shared" si="3"/>
        <v>19200</v>
      </c>
      <c r="J28" s="49">
        <v>103708</v>
      </c>
      <c r="K28" s="31">
        <f t="shared" si="4"/>
        <v>24</v>
      </c>
      <c r="L28" s="54">
        <f t="shared" si="5"/>
        <v>112.80000000000001</v>
      </c>
    </row>
    <row r="29" spans="1:12" ht="30" customHeight="1" x14ac:dyDescent="0.25">
      <c r="A29" s="38">
        <v>44618</v>
      </c>
      <c r="B29" s="32">
        <v>0</v>
      </c>
      <c r="C29" s="32">
        <v>0</v>
      </c>
      <c r="D29" s="48">
        <v>179633</v>
      </c>
      <c r="E29" s="31">
        <f t="shared" si="0"/>
        <v>131</v>
      </c>
      <c r="F29" s="44">
        <f t="shared" si="1"/>
        <v>3514.7299999999996</v>
      </c>
      <c r="G29" s="48">
        <v>49983</v>
      </c>
      <c r="H29" s="31">
        <f t="shared" si="2"/>
        <v>14</v>
      </c>
      <c r="I29" s="47">
        <f t="shared" si="3"/>
        <v>16800</v>
      </c>
      <c r="J29" s="49">
        <v>103730</v>
      </c>
      <c r="K29" s="31">
        <f t="shared" si="4"/>
        <v>22</v>
      </c>
      <c r="L29" s="54">
        <f t="shared" si="5"/>
        <v>103.4</v>
      </c>
    </row>
    <row r="30" spans="1:12" ht="30" customHeight="1" x14ac:dyDescent="0.25">
      <c r="A30" s="38">
        <v>44619</v>
      </c>
      <c r="B30" s="32">
        <v>0</v>
      </c>
      <c r="C30" s="32">
        <v>0</v>
      </c>
      <c r="D30" s="48">
        <v>179749</v>
      </c>
      <c r="E30" s="31">
        <f t="shared" si="0"/>
        <v>116</v>
      </c>
      <c r="F30" s="44">
        <f t="shared" si="1"/>
        <v>3112.2799999999997</v>
      </c>
      <c r="G30" s="48">
        <v>49998</v>
      </c>
      <c r="H30" s="31">
        <f t="shared" si="2"/>
        <v>15</v>
      </c>
      <c r="I30" s="47">
        <f t="shared" si="3"/>
        <v>18000</v>
      </c>
      <c r="J30" s="49">
        <v>103751</v>
      </c>
      <c r="K30" s="31">
        <f t="shared" si="4"/>
        <v>21</v>
      </c>
      <c r="L30" s="54">
        <f t="shared" si="5"/>
        <v>98.7</v>
      </c>
    </row>
    <row r="31" spans="1:12" ht="30" customHeight="1" x14ac:dyDescent="0.25">
      <c r="A31" s="38">
        <v>44620</v>
      </c>
      <c r="B31" s="32">
        <v>0</v>
      </c>
      <c r="C31" s="32">
        <v>0</v>
      </c>
      <c r="D31" s="48">
        <v>179855</v>
      </c>
      <c r="E31" s="31">
        <f t="shared" si="0"/>
        <v>106</v>
      </c>
      <c r="F31" s="44">
        <f t="shared" si="1"/>
        <v>2843.98</v>
      </c>
      <c r="G31" s="48">
        <v>50011</v>
      </c>
      <c r="H31" s="31">
        <f t="shared" si="2"/>
        <v>13</v>
      </c>
      <c r="I31" s="47">
        <f t="shared" si="3"/>
        <v>15600</v>
      </c>
      <c r="J31" s="49">
        <v>103770</v>
      </c>
      <c r="K31" s="31">
        <f t="shared" si="4"/>
        <v>19</v>
      </c>
      <c r="L31" s="54">
        <f t="shared" si="5"/>
        <v>89.3</v>
      </c>
    </row>
    <row r="32" spans="1:12" ht="30" customHeight="1" x14ac:dyDescent="0.25">
      <c r="A32" s="38"/>
      <c r="B32" s="32">
        <v>0</v>
      </c>
      <c r="C32" s="32">
        <v>0</v>
      </c>
      <c r="D32" s="19">
        <v>0</v>
      </c>
      <c r="E32" s="31" t="str">
        <f t="shared" si="0"/>
        <v>0</v>
      </c>
      <c r="F32" s="44">
        <f t="shared" si="1"/>
        <v>0</v>
      </c>
      <c r="G32" s="19">
        <v>0</v>
      </c>
      <c r="H32" s="31" t="str">
        <f t="shared" si="2"/>
        <v>0</v>
      </c>
      <c r="I32" s="47">
        <f t="shared" si="3"/>
        <v>0</v>
      </c>
      <c r="J32" s="19"/>
      <c r="K32" s="31" t="str">
        <f t="shared" si="4"/>
        <v>0</v>
      </c>
      <c r="L32" s="54">
        <f t="shared" si="5"/>
        <v>0</v>
      </c>
    </row>
    <row r="33" spans="1:12" ht="30" customHeight="1" x14ac:dyDescent="0.25">
      <c r="A33" s="38"/>
      <c r="B33" s="32">
        <v>0</v>
      </c>
      <c r="C33" s="32">
        <v>0</v>
      </c>
      <c r="D33" s="19">
        <v>0</v>
      </c>
      <c r="E33" s="31">
        <f t="shared" si="0"/>
        <v>0</v>
      </c>
      <c r="F33" s="44">
        <f t="shared" si="1"/>
        <v>0</v>
      </c>
      <c r="G33" s="19">
        <v>0</v>
      </c>
      <c r="H33" s="31">
        <f t="shared" si="2"/>
        <v>0</v>
      </c>
      <c r="I33" s="47">
        <f t="shared" si="3"/>
        <v>0</v>
      </c>
      <c r="J33" s="19"/>
      <c r="K33" s="31">
        <f t="shared" si="4"/>
        <v>0</v>
      </c>
      <c r="L33" s="54">
        <f t="shared" si="5"/>
        <v>0</v>
      </c>
    </row>
    <row r="34" spans="1:12" ht="30" customHeight="1" x14ac:dyDescent="0.25">
      <c r="A34" s="38"/>
      <c r="B34" s="32">
        <v>0</v>
      </c>
      <c r="C34" s="32">
        <v>0</v>
      </c>
      <c r="D34" s="19">
        <v>0</v>
      </c>
      <c r="E34" s="31">
        <f t="shared" si="0"/>
        <v>0</v>
      </c>
      <c r="F34" s="44">
        <f t="shared" si="1"/>
        <v>0</v>
      </c>
      <c r="G34" s="19">
        <v>0</v>
      </c>
      <c r="H34" s="31">
        <f t="shared" si="2"/>
        <v>0</v>
      </c>
      <c r="I34" s="47">
        <f t="shared" si="3"/>
        <v>0</v>
      </c>
      <c r="J34" s="19"/>
      <c r="K34" s="31">
        <f t="shared" si="4"/>
        <v>0</v>
      </c>
      <c r="L34" s="54">
        <f t="shared" si="5"/>
        <v>0</v>
      </c>
    </row>
    <row r="35" spans="1:12" x14ac:dyDescent="0.25">
      <c r="A35" s="21"/>
      <c r="B35" s="33"/>
      <c r="C35" s="33"/>
      <c r="F35" s="50">
        <f>SUM(F4:F34)</f>
        <v>85185.25</v>
      </c>
      <c r="G35" s="17"/>
      <c r="H35" s="24"/>
      <c r="I35" s="51">
        <f>SUM(I4:I34)</f>
        <v>456000</v>
      </c>
      <c r="J35" s="25"/>
      <c r="K35" s="15">
        <f>SUM(K4:K34)</f>
        <v>504</v>
      </c>
      <c r="L35" s="15">
        <f>SUM(L4:L34)</f>
        <v>2368.8000000000002</v>
      </c>
    </row>
    <row r="36" spans="1:12" x14ac:dyDescent="0.25">
      <c r="A36" s="26"/>
      <c r="B36" s="34"/>
      <c r="C36" s="34"/>
      <c r="D36" s="22"/>
      <c r="E36" s="27"/>
      <c r="F36" s="23"/>
      <c r="G36" s="22"/>
      <c r="H36" s="23"/>
      <c r="I36" s="23"/>
      <c r="J36" s="22"/>
      <c r="K36" s="23"/>
    </row>
    <row r="37" spans="1:12" x14ac:dyDescent="0.25">
      <c r="A37" s="20"/>
      <c r="B37" s="33"/>
      <c r="C37" s="33"/>
      <c r="G37" s="17"/>
      <c r="J37" s="17"/>
    </row>
    <row r="38" spans="1:12" x14ac:dyDescent="0.25">
      <c r="A38" s="26"/>
      <c r="B38" s="33"/>
      <c r="C38" s="33"/>
      <c r="G38" s="17"/>
      <c r="J38" s="17"/>
    </row>
    <row r="39" spans="1:12" x14ac:dyDescent="0.25">
      <c r="A39" s="26"/>
      <c r="B39" s="33"/>
      <c r="C39" s="33"/>
      <c r="G39" s="17"/>
      <c r="J39" s="17"/>
    </row>
    <row r="40" spans="1:12" x14ac:dyDescent="0.25">
      <c r="A40" s="28"/>
      <c r="B40" s="33"/>
      <c r="C40" s="33"/>
      <c r="J40" s="17"/>
      <c r="K40" s="13"/>
    </row>
  </sheetData>
  <mergeCells count="6">
    <mergeCell ref="J1:L1"/>
    <mergeCell ref="A1:A2"/>
    <mergeCell ref="C1:C2"/>
    <mergeCell ref="D1:F1"/>
    <mergeCell ref="G1:I1"/>
    <mergeCell ref="B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2022-03-02T10:35:17Z</dcterms:modified>
</cp:coreProperties>
</file>