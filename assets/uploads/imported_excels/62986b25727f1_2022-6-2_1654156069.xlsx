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.george\Documents\Old docs\HEP (EEG)\2022\5. May\"/>
    </mc:Choice>
  </mc:AlternateContent>
  <bookViews>
    <workbookView xWindow="-60" yWindow="-60" windowWidth="15480" windowHeight="11640" tabRatio="607"/>
  </bookViews>
  <sheets>
    <sheet name="TOTAL" sheetId="1" r:id="rId1"/>
    <sheet name="Submetering " sheetId="2" r:id="rId2"/>
    <sheet name="13 - Electrical Readings" sheetId="3" r:id="rId3"/>
    <sheet name="9 - Water Readings" sheetId="4" r:id="rId4"/>
    <sheet name="LPG" sheetId="5" r:id="rId5"/>
    <sheet name="Sheet1" sheetId="6" r:id="rId6"/>
  </sheets>
  <calcPr calcId="152511"/>
  <customWorkbookViews>
    <customWorkbookView name="Anish Thottackattu P. Achary - Personal View" guid="{3F0D6565-C55E-43AC-AC5D-87C4E1D85423}" mergeInterval="0" personalView="1" maximized="1" xWindow="-8" yWindow="-8" windowWidth="1936" windowHeight="1056" tabRatio="607" activeSheetId="4"/>
    <customWorkbookView name="Praveen Prasannan - Personal View" guid="{25F117C9-9E88-4830-872F-F7C65066F93E}" mergeInterval="0" personalView="1" maximized="1" xWindow="-8" yWindow="-8" windowWidth="1936" windowHeight="1056" tabRatio="607" activeSheetId="4"/>
    <customWorkbookView name="John George - Personal View" guid="{715FFCCD-858F-48B1-9C65-962158B32E76}" mergeInterval="0" personalView="1" maximized="1" xWindow="-8" yWindow="-8" windowWidth="1936" windowHeight="1056" tabRatio="607" activeSheetId="3"/>
    <customWorkbookView name="Agusto Mabulay Abalajen - Personal View" guid="{071FA3B5-878B-4C51-9DD6-5097B4769603}" mergeInterval="0" personalView="1" maximized="1" xWindow="-8" yWindow="-8" windowWidth="1936" windowHeight="1048" tabRatio="607" activeSheetId="4"/>
    <customWorkbookView name="X - Personal View" guid="{91089E3D-1703-4FEE-B13A-4F0669A06DB8}" mergeInterval="0" personalView="1" maximized="1" xWindow="-4" yWindow="-4" windowWidth="1032" windowHeight="776" tabRatio="607" activeSheetId="5"/>
  </customWorkbookViews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3" i="1"/>
  <c r="G33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69" i="5" l="1"/>
  <c r="E70" i="5"/>
  <c r="S38" i="4"/>
  <c r="Q38" i="4"/>
  <c r="R38" i="4"/>
  <c r="E33" i="1" l="1"/>
  <c r="P68" i="3" l="1"/>
  <c r="O68" i="3"/>
  <c r="N68" i="3"/>
  <c r="M68" i="3"/>
  <c r="L68" i="3"/>
  <c r="K68" i="3"/>
  <c r="J68" i="3"/>
  <c r="I68" i="3"/>
  <c r="G68" i="3"/>
  <c r="F68" i="3"/>
  <c r="E68" i="3"/>
  <c r="D68" i="3"/>
  <c r="C68" i="3"/>
  <c r="P66" i="3"/>
  <c r="O66" i="3"/>
  <c r="N66" i="3"/>
  <c r="M66" i="3"/>
  <c r="L66" i="3"/>
  <c r="K66" i="3"/>
  <c r="J66" i="3"/>
  <c r="I66" i="3"/>
  <c r="G66" i="3"/>
  <c r="F66" i="3"/>
  <c r="E66" i="3"/>
  <c r="D66" i="3"/>
  <c r="C66" i="3"/>
  <c r="P64" i="3"/>
  <c r="O64" i="3"/>
  <c r="N64" i="3"/>
  <c r="M64" i="3"/>
  <c r="L64" i="3"/>
  <c r="K64" i="3"/>
  <c r="J64" i="3"/>
  <c r="I64" i="3"/>
  <c r="G64" i="3"/>
  <c r="F64" i="3"/>
  <c r="E64" i="3"/>
  <c r="D64" i="3"/>
  <c r="C64" i="3"/>
  <c r="D68" i="5"/>
  <c r="C68" i="5"/>
  <c r="E68" i="5" s="1"/>
  <c r="D66" i="5"/>
  <c r="C66" i="5"/>
  <c r="E66" i="5" s="1"/>
  <c r="D64" i="5"/>
  <c r="C64" i="5"/>
  <c r="E64" i="5" s="1"/>
  <c r="L68" i="4"/>
  <c r="K68" i="4"/>
  <c r="J68" i="4"/>
  <c r="I68" i="4"/>
  <c r="H68" i="4"/>
  <c r="G68" i="4"/>
  <c r="E68" i="4"/>
  <c r="D68" i="4"/>
  <c r="C68" i="4"/>
  <c r="L66" i="4"/>
  <c r="K66" i="4"/>
  <c r="J66" i="4"/>
  <c r="I66" i="4"/>
  <c r="H66" i="4"/>
  <c r="G66" i="4"/>
  <c r="E66" i="4"/>
  <c r="D66" i="4"/>
  <c r="C66" i="4"/>
  <c r="L64" i="4"/>
  <c r="K64" i="4"/>
  <c r="J64" i="4"/>
  <c r="I64" i="4"/>
  <c r="H64" i="4"/>
  <c r="G64" i="4"/>
  <c r="E64" i="4"/>
  <c r="D64" i="4"/>
  <c r="C64" i="4"/>
  <c r="M64" i="4" l="1"/>
  <c r="M68" i="4"/>
  <c r="M66" i="4"/>
  <c r="N66" i="4" s="1"/>
  <c r="Q64" i="3"/>
  <c r="Q68" i="3"/>
  <c r="R68" i="3" s="1"/>
  <c r="Q66" i="3"/>
  <c r="F66" i="4"/>
  <c r="F64" i="4"/>
  <c r="F68" i="4"/>
  <c r="H68" i="3"/>
  <c r="H64" i="3"/>
  <c r="H66" i="3"/>
  <c r="L50" i="4"/>
  <c r="N64" i="4" l="1"/>
  <c r="N68" i="4"/>
  <c r="R64" i="3"/>
  <c r="R66" i="3"/>
  <c r="E62" i="4"/>
  <c r="D62" i="4"/>
  <c r="C62" i="4"/>
  <c r="E60" i="4"/>
  <c r="F60" i="4" s="1"/>
  <c r="D60" i="4"/>
  <c r="C60" i="4"/>
  <c r="E58" i="4"/>
  <c r="D58" i="4"/>
  <c r="C58" i="4"/>
  <c r="E56" i="4"/>
  <c r="D56" i="4"/>
  <c r="C56" i="4"/>
  <c r="E54" i="4"/>
  <c r="F54" i="4" s="1"/>
  <c r="D54" i="4"/>
  <c r="C54" i="4"/>
  <c r="E52" i="4"/>
  <c r="D52" i="4"/>
  <c r="C52" i="4"/>
  <c r="E50" i="4"/>
  <c r="D50" i="4"/>
  <c r="C50" i="4"/>
  <c r="E48" i="4"/>
  <c r="D48" i="4"/>
  <c r="C48" i="4"/>
  <c r="E46" i="4"/>
  <c r="D46" i="4"/>
  <c r="C46" i="4"/>
  <c r="E44" i="4"/>
  <c r="D44" i="4"/>
  <c r="C44" i="4"/>
  <c r="E42" i="4"/>
  <c r="D42" i="4"/>
  <c r="C42" i="4"/>
  <c r="E40" i="4"/>
  <c r="D40" i="4"/>
  <c r="C40" i="4"/>
  <c r="E38" i="4"/>
  <c r="D38" i="4"/>
  <c r="C38" i="4"/>
  <c r="E36" i="4"/>
  <c r="D36" i="4"/>
  <c r="C36" i="4"/>
  <c r="E34" i="4"/>
  <c r="D34" i="4"/>
  <c r="C34" i="4"/>
  <c r="E32" i="4"/>
  <c r="D32" i="4"/>
  <c r="C32" i="4"/>
  <c r="E30" i="4"/>
  <c r="D30" i="4"/>
  <c r="C30" i="4"/>
  <c r="E28" i="4"/>
  <c r="D28" i="4"/>
  <c r="C28" i="4"/>
  <c r="E26" i="4"/>
  <c r="D26" i="4"/>
  <c r="C26" i="4"/>
  <c r="E24" i="4"/>
  <c r="D24" i="4"/>
  <c r="C24" i="4"/>
  <c r="E22" i="4"/>
  <c r="D22" i="4"/>
  <c r="C22" i="4"/>
  <c r="E20" i="4"/>
  <c r="D20" i="4"/>
  <c r="C20" i="4"/>
  <c r="E18" i="4"/>
  <c r="D18" i="4"/>
  <c r="C18" i="4"/>
  <c r="E16" i="4"/>
  <c r="D16" i="4"/>
  <c r="C16" i="4"/>
  <c r="E14" i="4"/>
  <c r="D14" i="4"/>
  <c r="C14" i="4"/>
  <c r="E12" i="4"/>
  <c r="D12" i="4"/>
  <c r="C12" i="4"/>
  <c r="D10" i="4"/>
  <c r="E10" i="4"/>
  <c r="C10" i="4"/>
  <c r="G62" i="3"/>
  <c r="F62" i="3"/>
  <c r="E62" i="3"/>
  <c r="D62" i="3"/>
  <c r="C62" i="3"/>
  <c r="G60" i="3"/>
  <c r="F60" i="3"/>
  <c r="E60" i="3"/>
  <c r="D60" i="3"/>
  <c r="C60" i="3"/>
  <c r="G58" i="3"/>
  <c r="F58" i="3"/>
  <c r="E58" i="3"/>
  <c r="D58" i="3"/>
  <c r="C58" i="3"/>
  <c r="G56" i="3"/>
  <c r="F56" i="3"/>
  <c r="E56" i="3"/>
  <c r="D56" i="3"/>
  <c r="C56" i="3"/>
  <c r="G54" i="3"/>
  <c r="F54" i="3"/>
  <c r="E54" i="3"/>
  <c r="D54" i="3"/>
  <c r="C54" i="3"/>
  <c r="G52" i="3"/>
  <c r="F52" i="3"/>
  <c r="E52" i="3"/>
  <c r="D52" i="3"/>
  <c r="C52" i="3"/>
  <c r="G50" i="3"/>
  <c r="F50" i="3"/>
  <c r="E50" i="3"/>
  <c r="D50" i="3"/>
  <c r="C50" i="3"/>
  <c r="G48" i="3"/>
  <c r="F48" i="3"/>
  <c r="E48" i="3"/>
  <c r="D48" i="3"/>
  <c r="C48" i="3"/>
  <c r="G46" i="3"/>
  <c r="F46" i="3"/>
  <c r="E46" i="3"/>
  <c r="D46" i="3"/>
  <c r="C46" i="3"/>
  <c r="G44" i="3"/>
  <c r="F44" i="3"/>
  <c r="E44" i="3"/>
  <c r="D44" i="3"/>
  <c r="C44" i="3"/>
  <c r="G42" i="3"/>
  <c r="F42" i="3"/>
  <c r="E42" i="3"/>
  <c r="D42" i="3"/>
  <c r="C42" i="3"/>
  <c r="G40" i="3"/>
  <c r="F40" i="3"/>
  <c r="E40" i="3"/>
  <c r="D40" i="3"/>
  <c r="C40" i="3"/>
  <c r="G38" i="3"/>
  <c r="F38" i="3"/>
  <c r="E38" i="3"/>
  <c r="D38" i="3"/>
  <c r="C38" i="3"/>
  <c r="G36" i="3"/>
  <c r="F36" i="3"/>
  <c r="E36" i="3"/>
  <c r="D36" i="3"/>
  <c r="C36" i="3"/>
  <c r="G34" i="3"/>
  <c r="F34" i="3"/>
  <c r="E34" i="3"/>
  <c r="D34" i="3"/>
  <c r="C34" i="3"/>
  <c r="G32" i="3"/>
  <c r="F32" i="3"/>
  <c r="E32" i="3"/>
  <c r="D32" i="3"/>
  <c r="C32" i="3"/>
  <c r="G30" i="3"/>
  <c r="F30" i="3"/>
  <c r="E30" i="3"/>
  <c r="D30" i="3"/>
  <c r="C30" i="3"/>
  <c r="G28" i="3"/>
  <c r="F28" i="3"/>
  <c r="E28" i="3"/>
  <c r="D28" i="3"/>
  <c r="C28" i="3"/>
  <c r="G26" i="3"/>
  <c r="F26" i="3"/>
  <c r="E26" i="3"/>
  <c r="D26" i="3"/>
  <c r="C26" i="3"/>
  <c r="G24" i="3"/>
  <c r="F24" i="3"/>
  <c r="E24" i="3"/>
  <c r="D24" i="3"/>
  <c r="C24" i="3"/>
  <c r="G22" i="3"/>
  <c r="F22" i="3"/>
  <c r="E22" i="3"/>
  <c r="D22" i="3"/>
  <c r="C22" i="3"/>
  <c r="G20" i="3"/>
  <c r="F20" i="3"/>
  <c r="E20" i="3"/>
  <c r="D20" i="3"/>
  <c r="C20" i="3"/>
  <c r="G18" i="3"/>
  <c r="F18" i="3"/>
  <c r="E18" i="3"/>
  <c r="D18" i="3"/>
  <c r="C18" i="3"/>
  <c r="G16" i="3"/>
  <c r="F16" i="3"/>
  <c r="E16" i="3"/>
  <c r="D16" i="3"/>
  <c r="C16" i="3"/>
  <c r="G14" i="3"/>
  <c r="F14" i="3"/>
  <c r="E14" i="3"/>
  <c r="D14" i="3"/>
  <c r="C14" i="3"/>
  <c r="G12" i="3"/>
  <c r="F12" i="3"/>
  <c r="E12" i="3"/>
  <c r="D12" i="3"/>
  <c r="C12" i="3"/>
  <c r="D10" i="3"/>
  <c r="E10" i="3"/>
  <c r="F10" i="3"/>
  <c r="G10" i="3"/>
  <c r="C10" i="3"/>
  <c r="B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D62" i="5"/>
  <c r="C62" i="5"/>
  <c r="E62" i="5" s="1"/>
  <c r="D60" i="5"/>
  <c r="C60" i="5"/>
  <c r="E60" i="5" s="1"/>
  <c r="D58" i="5"/>
  <c r="C58" i="5"/>
  <c r="E58" i="5" s="1"/>
  <c r="D56" i="5"/>
  <c r="C56" i="5"/>
  <c r="E56" i="5" s="1"/>
  <c r="D54" i="5"/>
  <c r="C54" i="5"/>
  <c r="E54" i="5" s="1"/>
  <c r="P62" i="3"/>
  <c r="O62" i="3"/>
  <c r="N62" i="3"/>
  <c r="M62" i="3"/>
  <c r="L62" i="3"/>
  <c r="K62" i="3"/>
  <c r="J62" i="3"/>
  <c r="I62" i="3"/>
  <c r="P60" i="3"/>
  <c r="O60" i="3"/>
  <c r="N60" i="3"/>
  <c r="M60" i="3"/>
  <c r="L60" i="3"/>
  <c r="K60" i="3"/>
  <c r="J60" i="3"/>
  <c r="I60" i="3"/>
  <c r="P58" i="3"/>
  <c r="O58" i="3"/>
  <c r="N58" i="3"/>
  <c r="M58" i="3"/>
  <c r="L58" i="3"/>
  <c r="K58" i="3"/>
  <c r="J58" i="3"/>
  <c r="I58" i="3"/>
  <c r="P56" i="3"/>
  <c r="O56" i="3"/>
  <c r="N56" i="3"/>
  <c r="M56" i="3"/>
  <c r="L56" i="3"/>
  <c r="K56" i="3"/>
  <c r="J56" i="3"/>
  <c r="I56" i="3"/>
  <c r="P54" i="3"/>
  <c r="O54" i="3"/>
  <c r="N54" i="3"/>
  <c r="M54" i="3"/>
  <c r="L54" i="3"/>
  <c r="K54" i="3"/>
  <c r="J54" i="3"/>
  <c r="I54" i="3"/>
  <c r="L62" i="4"/>
  <c r="K62" i="4"/>
  <c r="J62" i="4"/>
  <c r="I62" i="4"/>
  <c r="H62" i="4"/>
  <c r="G62" i="4"/>
  <c r="F62" i="4"/>
  <c r="L60" i="4"/>
  <c r="K60" i="4"/>
  <c r="J60" i="4"/>
  <c r="I60" i="4"/>
  <c r="H60" i="4"/>
  <c r="G60" i="4"/>
  <c r="L58" i="4"/>
  <c r="K58" i="4"/>
  <c r="J58" i="4"/>
  <c r="I58" i="4"/>
  <c r="H58" i="4"/>
  <c r="G58" i="4"/>
  <c r="F58" i="4"/>
  <c r="L56" i="4"/>
  <c r="K56" i="4"/>
  <c r="J56" i="4"/>
  <c r="I56" i="4"/>
  <c r="H56" i="4"/>
  <c r="G56" i="4"/>
  <c r="F56" i="4"/>
  <c r="L54" i="4"/>
  <c r="K54" i="4"/>
  <c r="J54" i="4"/>
  <c r="I54" i="4"/>
  <c r="H54" i="4"/>
  <c r="G54" i="4"/>
  <c r="Q56" i="3" l="1"/>
  <c r="Q62" i="3"/>
  <c r="R62" i="3" s="1"/>
  <c r="Q60" i="3"/>
  <c r="Q58" i="3"/>
  <c r="R58" i="3" s="1"/>
  <c r="Q54" i="3"/>
  <c r="M56" i="4"/>
  <c r="N56" i="4" s="1"/>
  <c r="M62" i="4"/>
  <c r="N62" i="4" s="1"/>
  <c r="M60" i="4"/>
  <c r="N60" i="4" s="1"/>
  <c r="M58" i="4"/>
  <c r="N58" i="4" s="1"/>
  <c r="M54" i="4"/>
  <c r="N54" i="4" s="1"/>
  <c r="H58" i="3"/>
  <c r="H62" i="3"/>
  <c r="H60" i="3"/>
  <c r="R60" i="3" l="1"/>
  <c r="D52" i="5"/>
  <c r="C52" i="5"/>
  <c r="H52" i="4"/>
  <c r="I52" i="4"/>
  <c r="J52" i="4"/>
  <c r="K52" i="4"/>
  <c r="L52" i="4"/>
  <c r="G52" i="4"/>
  <c r="J52" i="3"/>
  <c r="K52" i="3"/>
  <c r="L52" i="3"/>
  <c r="M52" i="3"/>
  <c r="N52" i="3"/>
  <c r="O52" i="3"/>
  <c r="P52" i="3"/>
  <c r="I52" i="3"/>
  <c r="D50" i="5" l="1"/>
  <c r="C50" i="5"/>
  <c r="H50" i="4"/>
  <c r="I50" i="4"/>
  <c r="J50" i="4"/>
  <c r="K50" i="4"/>
  <c r="G50" i="4"/>
  <c r="J50" i="3"/>
  <c r="K50" i="3"/>
  <c r="L50" i="3"/>
  <c r="M50" i="3"/>
  <c r="N50" i="3"/>
  <c r="O50" i="3"/>
  <c r="P50" i="3"/>
  <c r="I50" i="3"/>
  <c r="I48" i="3"/>
  <c r="I46" i="3"/>
  <c r="D48" i="5" l="1"/>
  <c r="C48" i="5"/>
  <c r="J48" i="3"/>
  <c r="K48" i="3"/>
  <c r="L48" i="3"/>
  <c r="M48" i="3"/>
  <c r="N48" i="3"/>
  <c r="O48" i="3"/>
  <c r="P48" i="3"/>
  <c r="H48" i="4"/>
  <c r="I48" i="4"/>
  <c r="J48" i="4"/>
  <c r="K48" i="4"/>
  <c r="L48" i="4"/>
  <c r="G48" i="4"/>
  <c r="J46" i="3" l="1"/>
  <c r="K46" i="3"/>
  <c r="L46" i="3"/>
  <c r="M46" i="3"/>
  <c r="N46" i="3"/>
  <c r="O46" i="3"/>
  <c r="P46" i="3"/>
  <c r="H46" i="4"/>
  <c r="I46" i="4"/>
  <c r="J46" i="4"/>
  <c r="K46" i="4"/>
  <c r="L46" i="4"/>
  <c r="G46" i="4"/>
  <c r="D46" i="5"/>
  <c r="C46" i="5"/>
  <c r="J44" i="3" l="1"/>
  <c r="K44" i="3"/>
  <c r="L44" i="3"/>
  <c r="M44" i="3"/>
  <c r="N44" i="3"/>
  <c r="O44" i="3"/>
  <c r="P44" i="3"/>
  <c r="I44" i="3"/>
  <c r="D44" i="5"/>
  <c r="C44" i="5"/>
  <c r="H44" i="4"/>
  <c r="I44" i="4"/>
  <c r="J44" i="4"/>
  <c r="K44" i="4"/>
  <c r="L44" i="4"/>
  <c r="G44" i="4"/>
  <c r="D42" i="5" l="1"/>
  <c r="C42" i="5"/>
  <c r="H42" i="4"/>
  <c r="I42" i="4"/>
  <c r="J42" i="4"/>
  <c r="K42" i="4"/>
  <c r="L42" i="4"/>
  <c r="G42" i="4"/>
  <c r="J42" i="3"/>
  <c r="K42" i="3"/>
  <c r="L42" i="3"/>
  <c r="M42" i="3"/>
  <c r="N42" i="3"/>
  <c r="O42" i="3"/>
  <c r="P42" i="3"/>
  <c r="I42" i="3"/>
  <c r="D40" i="5" l="1"/>
  <c r="C40" i="5"/>
  <c r="L40" i="4"/>
  <c r="K40" i="4"/>
  <c r="J40" i="4"/>
  <c r="I40" i="4"/>
  <c r="H40" i="4"/>
  <c r="G40" i="4"/>
  <c r="P40" i="3"/>
  <c r="O40" i="3"/>
  <c r="N40" i="3"/>
  <c r="M40" i="3"/>
  <c r="L40" i="3"/>
  <c r="K40" i="3"/>
  <c r="J40" i="3"/>
  <c r="I40" i="3"/>
  <c r="E8" i="5"/>
  <c r="C10" i="5"/>
  <c r="D10" i="5"/>
  <c r="E10" i="5"/>
  <c r="C12" i="5"/>
  <c r="D12" i="5"/>
  <c r="E12" i="5"/>
  <c r="C14" i="5"/>
  <c r="D14" i="5"/>
  <c r="E14" i="5"/>
  <c r="C16" i="5"/>
  <c r="D16" i="5"/>
  <c r="E16" i="5"/>
  <c r="C18" i="5"/>
  <c r="D18" i="5"/>
  <c r="E18" i="5"/>
  <c r="C20" i="5"/>
  <c r="D20" i="5"/>
  <c r="E20" i="5"/>
  <c r="C22" i="5"/>
  <c r="D22" i="5"/>
  <c r="E22" i="5"/>
  <c r="C24" i="5"/>
  <c r="D24" i="5"/>
  <c r="E24" i="5"/>
  <c r="C26" i="5"/>
  <c r="D26" i="5"/>
  <c r="E26" i="5"/>
  <c r="C28" i="5"/>
  <c r="D28" i="5"/>
  <c r="E28" i="5"/>
  <c r="C30" i="5"/>
  <c r="D30" i="5"/>
  <c r="E30" i="5"/>
  <c r="C32" i="5"/>
  <c r="D32" i="5"/>
  <c r="E32" i="5"/>
  <c r="C34" i="5"/>
  <c r="D34" i="5"/>
  <c r="E34" i="5"/>
  <c r="C36" i="5"/>
  <c r="D36" i="5"/>
  <c r="E36" i="5"/>
  <c r="C38" i="5"/>
  <c r="D38" i="5"/>
  <c r="E38" i="5"/>
  <c r="E40" i="5"/>
  <c r="E42" i="5"/>
  <c r="E44" i="5"/>
  <c r="E46" i="5"/>
  <c r="E48" i="5"/>
  <c r="E50" i="5"/>
  <c r="E52" i="5"/>
  <c r="F8" i="4"/>
  <c r="M8" i="4"/>
  <c r="N8" i="4"/>
  <c r="F10" i="4"/>
  <c r="N10" i="4" s="1"/>
  <c r="G10" i="4"/>
  <c r="H10" i="4"/>
  <c r="I10" i="4"/>
  <c r="J10" i="4"/>
  <c r="K10" i="4"/>
  <c r="L10" i="4"/>
  <c r="M10" i="4"/>
  <c r="F12" i="4"/>
  <c r="G12" i="4"/>
  <c r="H12" i="4"/>
  <c r="I12" i="4"/>
  <c r="J12" i="4"/>
  <c r="K12" i="4"/>
  <c r="L12" i="4"/>
  <c r="M12" i="4"/>
  <c r="N12" i="4"/>
  <c r="F14" i="4"/>
  <c r="N14" i="4" s="1"/>
  <c r="G14" i="4"/>
  <c r="H14" i="4"/>
  <c r="I14" i="4"/>
  <c r="J14" i="4"/>
  <c r="K14" i="4"/>
  <c r="L14" i="4"/>
  <c r="M14" i="4"/>
  <c r="F16" i="4"/>
  <c r="G16" i="4"/>
  <c r="H16" i="4"/>
  <c r="I16" i="4"/>
  <c r="J16" i="4"/>
  <c r="K16" i="4"/>
  <c r="L16" i="4"/>
  <c r="M16" i="4"/>
  <c r="N16" i="4"/>
  <c r="F18" i="4"/>
  <c r="N18" i="4" s="1"/>
  <c r="G18" i="4"/>
  <c r="H18" i="4"/>
  <c r="I18" i="4"/>
  <c r="J18" i="4"/>
  <c r="K18" i="4"/>
  <c r="L18" i="4"/>
  <c r="M18" i="4"/>
  <c r="F20" i="4"/>
  <c r="G20" i="4"/>
  <c r="H20" i="4"/>
  <c r="I20" i="4"/>
  <c r="J20" i="4"/>
  <c r="K20" i="4"/>
  <c r="L20" i="4"/>
  <c r="M20" i="4"/>
  <c r="N20" i="4"/>
  <c r="F22" i="4"/>
  <c r="G22" i="4"/>
  <c r="H22" i="4"/>
  <c r="I22" i="4"/>
  <c r="J22" i="4"/>
  <c r="K22" i="4"/>
  <c r="L22" i="4"/>
  <c r="M22" i="4"/>
  <c r="N22" i="4"/>
  <c r="F24" i="4"/>
  <c r="N24" i="4" s="1"/>
  <c r="G24" i="4"/>
  <c r="H24" i="4"/>
  <c r="I24" i="4"/>
  <c r="J24" i="4"/>
  <c r="K24" i="4"/>
  <c r="L24" i="4"/>
  <c r="M24" i="4"/>
  <c r="F26" i="4"/>
  <c r="G26" i="4"/>
  <c r="H26" i="4"/>
  <c r="I26" i="4"/>
  <c r="J26" i="4"/>
  <c r="K26" i="4"/>
  <c r="L26" i="4"/>
  <c r="M26" i="4"/>
  <c r="N26" i="4"/>
  <c r="F28" i="4"/>
  <c r="N28" i="4" s="1"/>
  <c r="G28" i="4"/>
  <c r="H28" i="4"/>
  <c r="I28" i="4"/>
  <c r="J28" i="4"/>
  <c r="K28" i="4"/>
  <c r="L28" i="4"/>
  <c r="M28" i="4"/>
  <c r="F30" i="4"/>
  <c r="G30" i="4"/>
  <c r="H30" i="4"/>
  <c r="I30" i="4"/>
  <c r="J30" i="4"/>
  <c r="K30" i="4"/>
  <c r="L30" i="4"/>
  <c r="M30" i="4"/>
  <c r="N30" i="4"/>
  <c r="F32" i="4"/>
  <c r="G32" i="4"/>
  <c r="H32" i="4"/>
  <c r="I32" i="4"/>
  <c r="J32" i="4"/>
  <c r="K32" i="4"/>
  <c r="L32" i="4"/>
  <c r="M32" i="4"/>
  <c r="F34" i="4"/>
  <c r="G34" i="4"/>
  <c r="H34" i="4"/>
  <c r="I34" i="4"/>
  <c r="J34" i="4"/>
  <c r="K34" i="4"/>
  <c r="L34" i="4"/>
  <c r="M34" i="4"/>
  <c r="N34" i="4"/>
  <c r="F36" i="4"/>
  <c r="N36" i="4" s="1"/>
  <c r="G36" i="4"/>
  <c r="H36" i="4"/>
  <c r="I36" i="4"/>
  <c r="J36" i="4"/>
  <c r="K36" i="4"/>
  <c r="L36" i="4"/>
  <c r="M36" i="4"/>
  <c r="F38" i="4"/>
  <c r="N38" i="4" s="1"/>
  <c r="G38" i="4"/>
  <c r="H38" i="4"/>
  <c r="I38" i="4"/>
  <c r="J38" i="4"/>
  <c r="K38" i="4"/>
  <c r="L38" i="4"/>
  <c r="M38" i="4"/>
  <c r="M40" i="4"/>
  <c r="F42" i="4"/>
  <c r="M42" i="4"/>
  <c r="N42" i="4" s="1"/>
  <c r="F44" i="4"/>
  <c r="M44" i="4"/>
  <c r="F46" i="4"/>
  <c r="M46" i="4"/>
  <c r="F48" i="4"/>
  <c r="M48" i="4"/>
  <c r="F50" i="4"/>
  <c r="M50" i="4"/>
  <c r="F52" i="4"/>
  <c r="M52" i="4"/>
  <c r="Q8" i="3"/>
  <c r="R8" i="3"/>
  <c r="H10" i="3"/>
  <c r="I10" i="3"/>
  <c r="J10" i="3"/>
  <c r="K10" i="3"/>
  <c r="L10" i="3"/>
  <c r="M10" i="3"/>
  <c r="N10" i="3"/>
  <c r="O10" i="3"/>
  <c r="Q10" i="3"/>
  <c r="R10" i="3"/>
  <c r="H12" i="3"/>
  <c r="I12" i="3"/>
  <c r="J12" i="3"/>
  <c r="K12" i="3"/>
  <c r="L12" i="3"/>
  <c r="M12" i="3"/>
  <c r="N12" i="3"/>
  <c r="O12" i="3"/>
  <c r="P12" i="3"/>
  <c r="Q12" i="3"/>
  <c r="R12" i="3"/>
  <c r="H14" i="3"/>
  <c r="I14" i="3"/>
  <c r="J14" i="3"/>
  <c r="K14" i="3"/>
  <c r="L14" i="3"/>
  <c r="M14" i="3"/>
  <c r="N14" i="3"/>
  <c r="O14" i="3"/>
  <c r="P14" i="3"/>
  <c r="Q14" i="3"/>
  <c r="R14" i="3"/>
  <c r="H16" i="3"/>
  <c r="R16" i="3" s="1"/>
  <c r="I16" i="3"/>
  <c r="J16" i="3"/>
  <c r="K16" i="3"/>
  <c r="L16" i="3"/>
  <c r="M16" i="3"/>
  <c r="N16" i="3"/>
  <c r="O16" i="3"/>
  <c r="P16" i="3"/>
  <c r="Q16" i="3"/>
  <c r="H18" i="3"/>
  <c r="R18" i="3" s="1"/>
  <c r="I18" i="3"/>
  <c r="J18" i="3"/>
  <c r="K18" i="3"/>
  <c r="L18" i="3"/>
  <c r="M18" i="3"/>
  <c r="N18" i="3"/>
  <c r="O18" i="3"/>
  <c r="P18" i="3"/>
  <c r="Q18" i="3"/>
  <c r="H20" i="3"/>
  <c r="R20" i="3" s="1"/>
  <c r="I20" i="3"/>
  <c r="J20" i="3"/>
  <c r="K20" i="3"/>
  <c r="L20" i="3"/>
  <c r="M20" i="3"/>
  <c r="N20" i="3"/>
  <c r="O20" i="3"/>
  <c r="P20" i="3"/>
  <c r="Q20" i="3"/>
  <c r="H22" i="3"/>
  <c r="R22" i="3" s="1"/>
  <c r="I22" i="3"/>
  <c r="J22" i="3"/>
  <c r="K22" i="3"/>
  <c r="L22" i="3"/>
  <c r="M22" i="3"/>
  <c r="N22" i="3"/>
  <c r="O22" i="3"/>
  <c r="P22" i="3"/>
  <c r="Q22" i="3"/>
  <c r="H24" i="3"/>
  <c r="R24" i="3" s="1"/>
  <c r="I24" i="3"/>
  <c r="J24" i="3"/>
  <c r="K24" i="3"/>
  <c r="L24" i="3"/>
  <c r="M24" i="3"/>
  <c r="N24" i="3"/>
  <c r="O24" i="3"/>
  <c r="P24" i="3"/>
  <c r="Q24" i="3"/>
  <c r="H26" i="3"/>
  <c r="I26" i="3"/>
  <c r="J26" i="3"/>
  <c r="K26" i="3"/>
  <c r="L26" i="3"/>
  <c r="M26" i="3"/>
  <c r="N26" i="3"/>
  <c r="O26" i="3"/>
  <c r="P26" i="3"/>
  <c r="Q26" i="3"/>
  <c r="R26" i="3"/>
  <c r="H28" i="3"/>
  <c r="I28" i="3"/>
  <c r="J28" i="3"/>
  <c r="K28" i="3"/>
  <c r="L28" i="3"/>
  <c r="M28" i="3"/>
  <c r="N28" i="3"/>
  <c r="O28" i="3"/>
  <c r="P28" i="3"/>
  <c r="Q28" i="3"/>
  <c r="R28" i="3"/>
  <c r="H30" i="3"/>
  <c r="R30" i="3" s="1"/>
  <c r="I30" i="3"/>
  <c r="J30" i="3"/>
  <c r="K30" i="3"/>
  <c r="L30" i="3"/>
  <c r="M30" i="3"/>
  <c r="N30" i="3"/>
  <c r="O30" i="3"/>
  <c r="P30" i="3"/>
  <c r="Q30" i="3"/>
  <c r="H32" i="3"/>
  <c r="R32" i="3" s="1"/>
  <c r="I32" i="3"/>
  <c r="J32" i="3"/>
  <c r="K32" i="3"/>
  <c r="L32" i="3"/>
  <c r="M32" i="3"/>
  <c r="N32" i="3"/>
  <c r="O32" i="3"/>
  <c r="P32" i="3"/>
  <c r="Q32" i="3"/>
  <c r="H34" i="3"/>
  <c r="I34" i="3"/>
  <c r="J34" i="3"/>
  <c r="K34" i="3"/>
  <c r="L34" i="3"/>
  <c r="M34" i="3"/>
  <c r="N34" i="3"/>
  <c r="O34" i="3"/>
  <c r="P34" i="3"/>
  <c r="Q34" i="3"/>
  <c r="R34" i="3"/>
  <c r="H36" i="3"/>
  <c r="R36" i="3" s="1"/>
  <c r="I36" i="3"/>
  <c r="J36" i="3"/>
  <c r="K36" i="3"/>
  <c r="L36" i="3"/>
  <c r="M36" i="3"/>
  <c r="N36" i="3"/>
  <c r="O36" i="3"/>
  <c r="P36" i="3"/>
  <c r="Q36" i="3"/>
  <c r="H38" i="3"/>
  <c r="R38" i="3" s="1"/>
  <c r="I38" i="3"/>
  <c r="J38" i="3"/>
  <c r="K38" i="3"/>
  <c r="L38" i="3"/>
  <c r="M38" i="3"/>
  <c r="N38" i="3"/>
  <c r="O38" i="3"/>
  <c r="P38" i="3"/>
  <c r="Q38" i="3"/>
  <c r="Q40" i="3"/>
  <c r="H42" i="3"/>
  <c r="R42" i="3" s="1"/>
  <c r="Q42" i="3"/>
  <c r="H44" i="3"/>
  <c r="E20" i="1" s="1"/>
  <c r="Q44" i="3"/>
  <c r="H46" i="3"/>
  <c r="Q46" i="3"/>
  <c r="H48" i="3"/>
  <c r="Q48" i="3"/>
  <c r="H50" i="3"/>
  <c r="Q50" i="3"/>
  <c r="H52" i="3"/>
  <c r="Q52" i="3"/>
  <c r="H54" i="3"/>
  <c r="R54" i="3" s="1"/>
  <c r="H56" i="3"/>
  <c r="R56" i="3" s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J2" i="1" s="1"/>
  <c r="AC2" i="2"/>
  <c r="B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B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B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B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B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B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B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B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B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B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B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B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B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B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B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B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B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B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B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B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B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B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B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B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B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B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B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B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B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E2" i="1"/>
  <c r="G2" i="1"/>
  <c r="I2" i="1"/>
  <c r="K2" i="1"/>
  <c r="B3" i="1"/>
  <c r="E3" i="1"/>
  <c r="B4" i="1"/>
  <c r="E4" i="1"/>
  <c r="B5" i="1"/>
  <c r="E5" i="1"/>
  <c r="B6" i="1"/>
  <c r="E6" i="1"/>
  <c r="B7" i="1"/>
  <c r="E7" i="1"/>
  <c r="B8" i="1"/>
  <c r="E8" i="1"/>
  <c r="B9" i="1"/>
  <c r="E9" i="1"/>
  <c r="B10" i="1"/>
  <c r="E10" i="1"/>
  <c r="B11" i="1"/>
  <c r="E11" i="1"/>
  <c r="B12" i="1"/>
  <c r="E12" i="1"/>
  <c r="B13" i="1"/>
  <c r="E13" i="1"/>
  <c r="B14" i="1"/>
  <c r="E14" i="1"/>
  <c r="B15" i="1"/>
  <c r="E15" i="1"/>
  <c r="B16" i="1"/>
  <c r="B17" i="1"/>
  <c r="E17" i="1"/>
  <c r="B18" i="1"/>
  <c r="B19" i="1"/>
  <c r="E19" i="1"/>
  <c r="B20" i="1"/>
  <c r="B21" i="1"/>
  <c r="B22" i="1"/>
  <c r="E22" i="1"/>
  <c r="B23" i="1"/>
  <c r="E23" i="1"/>
  <c r="B24" i="1"/>
  <c r="B25" i="1"/>
  <c r="B26" i="1"/>
  <c r="B27" i="1"/>
  <c r="E27" i="1"/>
  <c r="B28" i="1"/>
  <c r="E28" i="1"/>
  <c r="B29" i="1"/>
  <c r="E29" i="1"/>
  <c r="B30" i="1"/>
  <c r="E30" i="1"/>
  <c r="B31" i="1"/>
  <c r="E31" i="1"/>
  <c r="B32" i="1"/>
  <c r="E32" i="1"/>
  <c r="K33" i="1" l="1"/>
  <c r="I33" i="1"/>
  <c r="J33" i="1"/>
  <c r="N44" i="4"/>
  <c r="N32" i="4"/>
  <c r="N52" i="4"/>
  <c r="E16" i="1"/>
  <c r="E25" i="1"/>
  <c r="E26" i="1"/>
  <c r="R52" i="3"/>
  <c r="R50" i="3"/>
  <c r="N50" i="4"/>
  <c r="E24" i="1"/>
  <c r="R48" i="3"/>
  <c r="N48" i="4"/>
  <c r="R44" i="3"/>
  <c r="R46" i="3"/>
  <c r="E21" i="1"/>
  <c r="N46" i="4"/>
  <c r="F40" i="4"/>
  <c r="H40" i="3"/>
  <c r="N40" i="4" l="1"/>
  <c r="R40" i="3"/>
  <c r="E18" i="1"/>
</calcChain>
</file>

<file path=xl/comments1.xml><?xml version="1.0" encoding="utf-8"?>
<comments xmlns="http://schemas.openxmlformats.org/spreadsheetml/2006/main">
  <authors>
    <author>Central Plant</author>
    <author>Anish Thottackattu P. Achary</author>
  </authors>
  <commentList>
    <comment ref="E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7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9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1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1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11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1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1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13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1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1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15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1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1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17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1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1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19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2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2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21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2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2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23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2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2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25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2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2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27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2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2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29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3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3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31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3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3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33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3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3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35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3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3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37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3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3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39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4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4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41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4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4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43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4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4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45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4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4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47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4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4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49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5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5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51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5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5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53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5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5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55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5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5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57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5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5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59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6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6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61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6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6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63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6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6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65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  <comment ref="E6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6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L67" authorId="1" shapeId="0">
      <text>
        <r>
          <rPr>
            <b/>
            <sz val="8"/>
            <color indexed="81"/>
            <rFont val="Tahoma"/>
          </rPr>
          <t xml:space="preserve">Meter is not working
</t>
        </r>
      </text>
    </comment>
  </commentList>
</comments>
</file>

<file path=xl/comments2.xml><?xml version="1.0" encoding="utf-8"?>
<comments xmlns="http://schemas.openxmlformats.org/spreadsheetml/2006/main">
  <authors>
    <author>Central Plant</author>
  </authors>
  <commentList>
    <comment ref="D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1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1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1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1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1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2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2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2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2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2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3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3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3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3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3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4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4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4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4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4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5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5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5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5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5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6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6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6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D6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</commentList>
</comments>
</file>

<file path=xl/sharedStrings.xml><?xml version="1.0" encoding="utf-8"?>
<sst xmlns="http://schemas.openxmlformats.org/spreadsheetml/2006/main" count="249" uniqueCount="70">
  <si>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</si>
  <si>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</si>
  <si>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</si>
  <si>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</si>
  <si>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</si>
  <si>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</si>
  <si>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</si>
  <si>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</si>
  <si>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</si>
  <si>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</si>
  <si>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</si>
  <si>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</si>
  <si>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</si>
  <si>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</si>
  <si>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</si>
  <si>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</si>
  <si>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</si>
  <si>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</si>
  <si>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</si>
  <si>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</si>
  <si>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</si>
  <si>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</si>
  <si>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</si>
  <si>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</si>
  <si>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</si>
  <si>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</si>
  <si>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</si>
  <si>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</si>
  <si>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</si>
  <si>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</si>
  <si>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</si>
  <si>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</si>
  <si>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</si>
  <si>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</si>
  <si>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</si>
  <si>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</si>
  <si>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MAY- 2022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</si>
  <si>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</si>
  <si>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</si>
  <si>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</si>
  <si>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</si>
  <si>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</si>
  <si>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</si>
  <si>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</si>
  <si>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</si>
  <si>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</si>
  <si>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</si>
  <si>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Consumption</t>
  </si>
  <si>
    <t> </t>
  </si>
  <si>
    <t>Daily Water Meter Readings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</si>
  <si>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</si>
  <si>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</si>
  <si>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</si>
  <si>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</si>
  <si>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</si>
  <si>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</si>
  <si>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</si>
  <si>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</si>
  <si>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</si>
  <si>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</si>
  <si>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</si>
  <si>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Meters are  not working</t>
  </si>
  <si>
    <t>Daily LPG Meter Readings</t>
  </si>
  <si>
    <t>Month:  MAY- 2022</t>
  </si>
  <si>
    <t>COMMON LPG READING/M3</t>
  </si>
  <si>
    <t>NOBU/M3</t>
  </si>
  <si>
    <t xml:space="preserve">LPG Total </t>
  </si>
  <si>
    <t>HOTEL+NOBU</t>
  </si>
  <si>
    <t xml:space="preserve"> </t>
  </si>
  <si>
    <t>CCW Hotel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</si>
</sst>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3"/>
      <color theme="1"/>
      <name val="Calibri"/>
      <family val="2"/>
      <scheme val="minor"/>
    </font>
    <font>
      <sz val="8"/>
      <color indexed="81"/>
      <name val="Tahoma"/>
    </font>
    <font>
      <b/>
      <sz val="8"/>
      <color indexed="81"/>
      <name val="Tahoma"/>
    </font>
    <font>
      <sz val="12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DE9D9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3" fillId="0" borderId="0" xfId="0" applyFont="1"/>
    <xf numFmtId="0" fontId="3" fillId="7" borderId="2" xfId="0" applyFont="1" applyFill="1" applyBorder="1" applyAlignment="1">
      <alignment horizontal="center" vertical="center" wrapText="1"/>
    </xf>
    <xf numFmtId="1" fontId="3" fillId="7" borderId="8" xfId="0" applyNumberFormat="1" applyFont="1" applyFill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" fontId="3" fillId="7" borderId="1" xfId="0" applyNumberFormat="1" applyFont="1" applyFill="1" applyBorder="1" applyAlignment="1">
      <alignment horizontal="center" wrapText="1"/>
    </xf>
    <xf numFmtId="0" fontId="3" fillId="0" borderId="1" xfId="0" applyFont="1" applyBorder="1"/>
    <xf numFmtId="1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7" borderId="1" xfId="0" applyFill="1" applyBorder="1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1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7" borderId="7" xfId="0" applyFill="1" applyBorder="1" applyAlignment="1">
      <alignment horizontal="right" vertical="top"/>
    </xf>
    <xf numFmtId="0" fontId="0" fillId="0" borderId="1" xfId="0" applyBorder="1" applyAlignment="1">
      <alignment vertical="top"/>
    </xf>
    <xf numFmtId="0" fontId="0" fillId="8" borderId="9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0" borderId="10" xfId="0" applyFont="1" applyBorder="1"/>
    <xf numFmtId="0" fontId="8" fillId="0" borderId="0" xfId="0" applyFont="1"/>
    <xf numFmtId="0" fontId="8" fillId="0" borderId="1" xfId="0" applyFont="1" applyFill="1" applyBorder="1" applyAlignment="1"/>
    <xf numFmtId="0" fontId="8" fillId="0" borderId="10" xfId="0" applyFont="1" applyFill="1" applyBorder="1" applyAlignment="1"/>
    <xf numFmtId="0" fontId="12" fillId="10" borderId="10" xfId="0" applyFont="1" applyFill="1" applyBorder="1" applyAlignment="1"/>
    <xf numFmtId="0" fontId="8" fillId="11" borderId="10" xfId="0" applyFont="1" applyFill="1" applyBorder="1" applyAlignment="1"/>
    <xf numFmtId="0" fontId="12" fillId="12" borderId="10" xfId="0" applyFont="1" applyFill="1" applyBorder="1" applyAlignment="1"/>
    <xf numFmtId="0" fontId="8" fillId="0" borderId="0" xfId="0" applyFont="1" applyFill="1" applyBorder="1" applyAlignment="1"/>
    <xf numFmtId="0" fontId="0" fillId="8" borderId="1" xfId="0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3</xdr:col>
      <xdr:colOff>228600</xdr:colOff>
      <xdr:row>2</xdr:row>
      <xdr:rowOff>257175</xdr:rowOff>
    </xdr:to>
    <xdr:pic>
      <xdr:nvPicPr>
        <xdr:cNvPr id="17503" name="Picture 1" descr="C:\Users\hannah.villanueva\Desktop\DOH_White_BOX.jpg">
          <a:extLst>
            <a:ext uri="{FF2B5EF4-FFF2-40B4-BE49-F238E27FC236}">
              <a16:creationId xmlns:a16="http://schemas.microsoft.com/office/drawing/2014/main" xmlns="" id="{7509B884-5CFA-6D93-DAC7-B94DF280E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38100" y="0"/>
          <a:ext cx="16097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47625</xdr:colOff>
      <xdr:row>3</xdr:row>
      <xdr:rowOff>123825</xdr:rowOff>
    </xdr:to>
    <xdr:pic>
      <xdr:nvPicPr>
        <xdr:cNvPr id="18443" name="Picture 1" descr="C:\Users\hannah.villanueva\Desktop\DOH_White_BOX.jpg">
          <a:extLst>
            <a:ext uri="{FF2B5EF4-FFF2-40B4-BE49-F238E27FC236}">
              <a16:creationId xmlns:a16="http://schemas.microsoft.com/office/drawing/2014/main" xmlns="" id="{E96CDE54-FFD9-C6A4-39B3-E70E293F0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438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419100</xdr:colOff>
      <xdr:row>3</xdr:row>
      <xdr:rowOff>47625</xdr:rowOff>
    </xdr:to>
    <xdr:pic>
      <xdr:nvPicPr>
        <xdr:cNvPr id="17169" name="Picture 1" descr="C:\Users\hannah.villanueva\Desktop\DOH_White_BOX.jpg">
          <a:extLst>
            <a:ext uri="{FF2B5EF4-FFF2-40B4-BE49-F238E27FC236}">
              <a16:creationId xmlns:a16="http://schemas.microsoft.com/office/drawing/2014/main" xmlns="" id="{288A7926-2F84-1C90-54EF-65AA67736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763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7" Type="http://schemas.openxmlformats.org/officeDocument/2006/relationships/drawing" Target="../drawings/drawing1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printerSettings" Target="../printerSettings/printerSettings12.bin"/><Relationship Id="rId5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0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15.bin"/><Relationship Id="rId7" Type="http://schemas.openxmlformats.org/officeDocument/2006/relationships/drawing" Target="../drawings/drawing2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5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16.bin"/><Relationship Id="rId9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printerSettings" Target="../printerSettings/printerSettings21.bin"/><Relationship Id="rId7" Type="http://schemas.openxmlformats.org/officeDocument/2006/relationships/drawing" Target="../drawings/drawing3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6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2.bin"/><Relationship Id="rId9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zoomScale="85" zoomScaleNormal="85" workbookViewId="0">
      <selection activeCell="T15" sqref="T15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4" customWidth="1"/>
    <col min="6" max="6" width="12.5703125" customWidth="1"/>
    <col min="7" max="7" width="11.5703125" customWidth="1"/>
    <col min="8" max="8" width="11.5703125" style="25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8" customFormat="1" ht="60" x14ac:dyDescent="0.25">
      <c r="A1" s="42" t="s">
        <v>0</v>
      </c>
      <c r="B1" s="42" t="s">
        <v>1</v>
      </c>
      <c r="C1" s="42" t="s">
        <v>2</v>
      </c>
      <c r="D1" s="42" t="s">
        <v>3</v>
      </c>
      <c r="E1" s="43" t="s">
        <v>4</v>
      </c>
      <c r="F1" s="44" t="s">
        <v>5</v>
      </c>
      <c r="G1" s="44" t="s">
        <v>6</v>
      </c>
      <c r="H1" s="45" t="s">
        <v>7</v>
      </c>
      <c r="I1" s="44" t="s">
        <v>8</v>
      </c>
      <c r="J1" s="44" t="s">
        <v>9</v>
      </c>
      <c r="K1" s="44" t="s">
        <v>10</v>
      </c>
    </row>
    <row r="2" spans="1:11" x14ac:dyDescent="0.25">
      <c r="A2" t="s">
        <v>11</v>
      </c>
      <c r="B2">
        <v>1</v>
      </c>
      <c r="C2" s="36">
        <v>5</v>
      </c>
      <c r="D2">
        <v>2022</v>
      </c>
      <c r="E2" s="26">
        <f>0.75*INDEX('13 - Electrical Readings'!$H$8:$H$966,1+(2*(ROWS(A$1:A1)-1)))+INDEX('13 - Electrical Readings'!$Q$8:$Q$967,1+(2*(ROWS(A$1:A1)-1)))</f>
        <v>59818.25</v>
      </c>
      <c r="F2">
        <v>4.1000000000000002E-2</v>
      </c>
      <c r="G2" s="27">
        <f>0.75*INDEX('9 - Water Readings'!$F$8:$F$970,1+(2*(ROWS(A$1:A1)-1)))+INDEX('9 - Water Readings'!$M$8:$M$970,1+(2*(ROWS(A$1:A1)-1)))</f>
        <v>366</v>
      </c>
      <c r="H2" s="25">
        <v>1.5571912601017661</v>
      </c>
      <c r="I2" s="25">
        <f>'Submetering '!AA2</f>
        <v>50</v>
      </c>
      <c r="J2">
        <f>'Submetering '!AB2</f>
        <v>212</v>
      </c>
      <c r="K2">
        <f>'Submetering '!AC2</f>
        <v>9.1</v>
      </c>
    </row>
    <row r="3" spans="1:11" x14ac:dyDescent="0.25">
      <c r="A3" t="s">
        <v>11</v>
      </c>
      <c r="B3">
        <f>B2+1</f>
        <v>2</v>
      </c>
      <c r="C3" s="36">
        <v>5</v>
      </c>
      <c r="D3">
        <v>2022</v>
      </c>
      <c r="E3" s="26">
        <f>0.75*INDEX('13 - Electrical Readings'!$H$8:$H$966,1+(2*(ROWS(A$1:A2)-1)))+INDEX('13 - Electrical Readings'!$Q$8:$Q$967,1+(2*(ROWS(A$1:A2)-1)))</f>
        <v>56979.75</v>
      </c>
      <c r="F3">
        <v>4.1000000000000002E-2</v>
      </c>
      <c r="G3" s="27">
        <f>0.75*INDEX('9 - Water Readings'!$F$8:$F$970,1+(2*(ROWS(A$1:A2)-1)))+INDEX('9 - Water Readings'!$M$8:$M$970,1+(2*(ROWS(A$1:A2)-1)))</f>
        <v>414</v>
      </c>
      <c r="H3" s="25">
        <v>1.5571912601017661</v>
      </c>
      <c r="I3" s="25">
        <f>'Submetering '!AA3</f>
        <v>84</v>
      </c>
      <c r="J3">
        <f>'Submetering '!AB3</f>
        <v>358</v>
      </c>
      <c r="K3">
        <f>'Submetering '!AC3</f>
        <v>9.9</v>
      </c>
    </row>
    <row r="4" spans="1:11" x14ac:dyDescent="0.25">
      <c r="A4" t="s">
        <v>11</v>
      </c>
      <c r="B4">
        <f t="shared" ref="B4:B32" si="0">B3+1</f>
        <v>3</v>
      </c>
      <c r="C4" s="36">
        <v>5</v>
      </c>
      <c r="D4">
        <v>2022</v>
      </c>
      <c r="E4" s="26">
        <f>0.75*INDEX('13 - Electrical Readings'!$H$8:$H$966,1+(2*(ROWS(A$1:A3)-1)))+INDEX('13 - Electrical Readings'!$Q$8:$Q$967,1+(2*(ROWS(A$1:A3)-1)))</f>
        <v>60101.5</v>
      </c>
      <c r="F4">
        <v>4.1000000000000002E-2</v>
      </c>
      <c r="G4" s="27">
        <f>0.75*INDEX('9 - Water Readings'!$F$8:$F$970,1+(2*(ROWS(A$1:A3)-1)))+INDEX('9 - Water Readings'!$M$8:$M$970,1+(2*(ROWS(A$1:A3)-1)))</f>
        <v>510</v>
      </c>
      <c r="H4" s="25">
        <v>1.5571912601017661</v>
      </c>
      <c r="I4" s="25">
        <f>'Submetering '!AA4</f>
        <v>148</v>
      </c>
      <c r="J4">
        <f>'Submetering '!AB4</f>
        <v>644</v>
      </c>
      <c r="K4">
        <f>'Submetering '!AC4</f>
        <v>11</v>
      </c>
    </row>
    <row r="5" spans="1:11" x14ac:dyDescent="0.25">
      <c r="A5" t="s">
        <v>11</v>
      </c>
      <c r="B5">
        <f t="shared" si="0"/>
        <v>4</v>
      </c>
      <c r="C5" s="36">
        <v>5</v>
      </c>
      <c r="D5">
        <v>2022</v>
      </c>
      <c r="E5" s="26">
        <f>0.75*INDEX('13 - Electrical Readings'!$H$8:$H$966,1+(2*(ROWS(A$1:A4)-1)))+INDEX('13 - Electrical Readings'!$Q$8:$Q$967,1+(2*(ROWS(A$1:A4)-1)))</f>
        <v>59386.5</v>
      </c>
      <c r="F5">
        <v>4.1000000000000002E-2</v>
      </c>
      <c r="G5" s="27">
        <f>0.75*INDEX('9 - Water Readings'!$F$8:$F$970,1+(2*(ROWS(A$1:A4)-1)))+INDEX('9 - Water Readings'!$M$8:$M$970,1+(2*(ROWS(A$1:A4)-1)))</f>
        <v>473.75</v>
      </c>
      <c r="H5" s="25">
        <v>1.5571912601017661</v>
      </c>
      <c r="I5" s="25">
        <f>'Submetering '!AA5</f>
        <v>182</v>
      </c>
      <c r="J5">
        <f>'Submetering '!AB5</f>
        <v>808</v>
      </c>
      <c r="K5">
        <f>'Submetering '!AC5</f>
        <v>13.7</v>
      </c>
    </row>
    <row r="6" spans="1:11" x14ac:dyDescent="0.25">
      <c r="A6" t="s">
        <v>11</v>
      </c>
      <c r="B6">
        <f t="shared" si="0"/>
        <v>5</v>
      </c>
      <c r="C6" s="36">
        <v>5</v>
      </c>
      <c r="D6">
        <v>2022</v>
      </c>
      <c r="E6" s="26">
        <f>0.75*INDEX('13 - Electrical Readings'!$H$8:$H$966,1+(2*(ROWS(A$1:A5)-1)))+INDEX('13 - Electrical Readings'!$Q$8:$Q$967,1+(2*(ROWS(A$1:A5)-1)))</f>
        <v>64434.75</v>
      </c>
      <c r="F6">
        <v>4.1000000000000002E-2</v>
      </c>
      <c r="G6" s="27">
        <f>0.75*INDEX('9 - Water Readings'!$F$8:$F$970,1+(2*(ROWS(A$1:A5)-1)))+INDEX('9 - Water Readings'!$M$8:$M$970,1+(2*(ROWS(A$1:A5)-1)))</f>
        <v>501</v>
      </c>
      <c r="H6" s="25">
        <v>1.5571912601017661</v>
      </c>
      <c r="I6" s="25">
        <f>'Submetering '!AA6</f>
        <v>198</v>
      </c>
      <c r="J6">
        <f>'Submetering '!AB6</f>
        <v>880</v>
      </c>
      <c r="K6">
        <f>'Submetering '!AC6</f>
        <v>12.4</v>
      </c>
    </row>
    <row r="7" spans="1:11" x14ac:dyDescent="0.25">
      <c r="A7" t="s">
        <v>11</v>
      </c>
      <c r="B7">
        <f t="shared" si="0"/>
        <v>6</v>
      </c>
      <c r="C7" s="36">
        <v>5</v>
      </c>
      <c r="D7">
        <v>2022</v>
      </c>
      <c r="E7" s="26">
        <f>0.75*INDEX('13 - Electrical Readings'!$H$8:$H$966,1+(2*(ROWS(A$1:A6)-1)))+INDEX('13 - Electrical Readings'!$Q$8:$Q$967,1+(2*(ROWS(A$1:A6)-1)))</f>
        <v>64716.75</v>
      </c>
      <c r="F7">
        <v>4.1000000000000002E-2</v>
      </c>
      <c r="G7" s="27">
        <f>0.75*INDEX('9 - Water Readings'!$F$8:$F$970,1+(2*(ROWS(A$1:A6)-1)))+INDEX('9 - Water Readings'!$M$8:$M$970,1+(2*(ROWS(A$1:A6)-1)))</f>
        <v>490</v>
      </c>
      <c r="H7" s="25">
        <v>1.5571912601017661</v>
      </c>
      <c r="I7" s="25">
        <f>'Submetering '!AA7</f>
        <v>172</v>
      </c>
      <c r="J7">
        <f>'Submetering '!AB7</f>
        <v>732</v>
      </c>
      <c r="K7">
        <f>'Submetering '!AC7</f>
        <v>12.5</v>
      </c>
    </row>
    <row r="8" spans="1:11" x14ac:dyDescent="0.25">
      <c r="A8" t="s">
        <v>11</v>
      </c>
      <c r="B8">
        <f t="shared" si="0"/>
        <v>7</v>
      </c>
      <c r="C8" s="36">
        <v>5</v>
      </c>
      <c r="D8">
        <v>2022</v>
      </c>
      <c r="E8" s="26">
        <f>0.75*INDEX('13 - Electrical Readings'!$H$8:$H$966,1+(2*(ROWS(A$1:A7)-1)))+INDEX('13 - Electrical Readings'!$Q$8:$Q$967,1+(2*(ROWS(A$1:A7)-1)))</f>
        <v>65223.25</v>
      </c>
      <c r="F8">
        <v>4.1000000000000002E-2</v>
      </c>
      <c r="G8" s="27">
        <f>0.75*INDEX('9 - Water Readings'!$F$8:$F$970,1+(2*(ROWS(A$1:A7)-1)))+INDEX('9 - Water Readings'!$M$8:$M$970,1+(2*(ROWS(A$1:A7)-1)))</f>
        <v>474</v>
      </c>
      <c r="H8" s="25">
        <v>1.5571912601017661</v>
      </c>
      <c r="I8" s="25">
        <f>'Submetering '!AA8</f>
        <v>215</v>
      </c>
      <c r="J8">
        <f>'Submetering '!AB8</f>
        <v>922</v>
      </c>
      <c r="K8">
        <f>'Submetering '!AC8</f>
        <v>11</v>
      </c>
    </row>
    <row r="9" spans="1:11" x14ac:dyDescent="0.25">
      <c r="A9" t="s">
        <v>11</v>
      </c>
      <c r="B9">
        <f t="shared" si="0"/>
        <v>8</v>
      </c>
      <c r="C9" s="36">
        <v>5</v>
      </c>
      <c r="D9">
        <v>2022</v>
      </c>
      <c r="E9" s="26">
        <f>0.75*INDEX('13 - Electrical Readings'!$H$8:$H$966,1+(2*(ROWS(A$1:A8)-1)))+INDEX('13 - Electrical Readings'!$Q$8:$Q$967,1+(2*(ROWS(A$1:A8)-1)))</f>
        <v>63891</v>
      </c>
      <c r="F9">
        <v>4.1000000000000002E-2</v>
      </c>
      <c r="G9" s="27">
        <f>0.75*INDEX('9 - Water Readings'!$F$8:$F$970,1+(2*(ROWS(A$1:A8)-1)))+INDEX('9 - Water Readings'!$M$8:$M$970,1+(2*(ROWS(A$1:A8)-1)))</f>
        <v>447</v>
      </c>
      <c r="H9" s="25">
        <v>1.5571912601017661</v>
      </c>
      <c r="I9" s="25">
        <f>'Submetering '!AA9</f>
        <v>201</v>
      </c>
      <c r="J9">
        <f>'Submetering '!AB9</f>
        <v>840</v>
      </c>
      <c r="K9">
        <f>'Submetering '!AC9</f>
        <v>11</v>
      </c>
    </row>
    <row r="10" spans="1:11" x14ac:dyDescent="0.25">
      <c r="A10" t="s">
        <v>11</v>
      </c>
      <c r="B10">
        <f t="shared" si="0"/>
        <v>9</v>
      </c>
      <c r="C10" s="36">
        <v>5</v>
      </c>
      <c r="D10">
        <v>2022</v>
      </c>
      <c r="E10" s="26">
        <f>0.75*INDEX('13 - Electrical Readings'!$H$8:$H$966,1+(2*(ROWS(A$1:A9)-1)))+INDEX('13 - Electrical Readings'!$Q$8:$Q$967,1+(2*(ROWS(A$1:A9)-1)))</f>
        <v>62083.5</v>
      </c>
      <c r="F10">
        <v>4.1000000000000002E-2</v>
      </c>
      <c r="G10" s="27">
        <f>0.75*INDEX('9 - Water Readings'!$F$8:$F$970,1+(2*(ROWS(A$1:A9)-1)))+INDEX('9 - Water Readings'!$M$8:$M$970,1+(2*(ROWS(A$1:A9)-1)))</f>
        <v>487</v>
      </c>
      <c r="H10" s="25">
        <v>1.5571912601017661</v>
      </c>
      <c r="I10" s="25">
        <f>'Submetering '!AA10</f>
        <v>140</v>
      </c>
      <c r="J10">
        <f>'Submetering '!AB10</f>
        <v>442</v>
      </c>
      <c r="K10">
        <f>'Submetering '!AC10</f>
        <v>10</v>
      </c>
    </row>
    <row r="11" spans="1:11" x14ac:dyDescent="0.25">
      <c r="A11" t="s">
        <v>11</v>
      </c>
      <c r="B11">
        <f t="shared" si="0"/>
        <v>10</v>
      </c>
      <c r="C11" s="36">
        <v>5</v>
      </c>
      <c r="D11">
        <v>2022</v>
      </c>
      <c r="E11" s="26">
        <f>0.75*INDEX('13 - Electrical Readings'!$H$8:$H$966,1+(2*(ROWS(A$1:A10)-1)))+INDEX('13 - Electrical Readings'!$Q$8:$Q$967,1+(2*(ROWS(A$1:A10)-1)))</f>
        <v>58166.5</v>
      </c>
      <c r="F11">
        <v>4.1000000000000002E-2</v>
      </c>
      <c r="G11" s="27">
        <f>0.75*INDEX('9 - Water Readings'!$F$8:$F$970,1+(2*(ROWS(A$1:A10)-1)))+INDEX('9 - Water Readings'!$M$8:$M$970,1+(2*(ROWS(A$1:A10)-1)))</f>
        <v>419</v>
      </c>
      <c r="H11" s="25">
        <v>1.5571912601017661</v>
      </c>
      <c r="I11" s="25">
        <f>'Submetering '!AA11</f>
        <v>144</v>
      </c>
      <c r="J11">
        <f>'Submetering '!AB11</f>
        <v>206</v>
      </c>
      <c r="K11">
        <f>'Submetering '!AC11</f>
        <v>10.6</v>
      </c>
    </row>
    <row r="12" spans="1:11" x14ac:dyDescent="0.25">
      <c r="A12" t="s">
        <v>11</v>
      </c>
      <c r="B12">
        <f t="shared" si="0"/>
        <v>11</v>
      </c>
      <c r="C12" s="36">
        <v>5</v>
      </c>
      <c r="D12">
        <v>2022</v>
      </c>
      <c r="E12" s="26">
        <f>0.75*INDEX('13 - Electrical Readings'!$H$8:$H$966,1+(2*(ROWS(A$1:A11)-1)))+INDEX('13 - Electrical Readings'!$Q$8:$Q$967,1+(2*(ROWS(A$1:A11)-1)))</f>
        <v>62466</v>
      </c>
      <c r="F12">
        <v>4.1000000000000002E-2</v>
      </c>
      <c r="G12" s="27">
        <f>0.75*INDEX('9 - Water Readings'!$F$8:$F$970,1+(2*(ROWS(A$1:A11)-1)))+INDEX('9 - Water Readings'!$M$8:$M$970,1+(2*(ROWS(A$1:A11)-1)))</f>
        <v>442</v>
      </c>
      <c r="H12" s="25">
        <v>1.5571912601017661</v>
      </c>
      <c r="I12" s="25">
        <f>'Submetering '!AA12</f>
        <v>151</v>
      </c>
      <c r="J12">
        <f>'Submetering '!AB12</f>
        <v>440</v>
      </c>
      <c r="K12">
        <f>'Submetering '!AC12</f>
        <v>13.2</v>
      </c>
    </row>
    <row r="13" spans="1:11" x14ac:dyDescent="0.25">
      <c r="A13" t="s">
        <v>11</v>
      </c>
      <c r="B13">
        <f t="shared" si="0"/>
        <v>12</v>
      </c>
      <c r="C13" s="36">
        <v>5</v>
      </c>
      <c r="D13">
        <v>2022</v>
      </c>
      <c r="E13" s="26">
        <f>0.75*INDEX('13 - Electrical Readings'!$H$8:$H$966,1+(2*(ROWS(A$1:A12)-1)))+INDEX('13 - Electrical Readings'!$Q$8:$Q$967,1+(2*(ROWS(A$1:A12)-1)))</f>
        <v>63069.5</v>
      </c>
      <c r="F13">
        <v>4.1000000000000002E-2</v>
      </c>
      <c r="G13" s="27">
        <f>0.75*INDEX('9 - Water Readings'!$F$8:$F$970,1+(2*(ROWS(A$1:A12)-1)))+INDEX('9 - Water Readings'!$M$8:$M$970,1+(2*(ROWS(A$1:A12)-1)))</f>
        <v>496</v>
      </c>
      <c r="H13" s="25">
        <v>1.5571912601017661</v>
      </c>
      <c r="I13" s="25">
        <f>'Submetering '!AA13</f>
        <v>163</v>
      </c>
      <c r="J13">
        <f>'Submetering '!AB13</f>
        <v>574</v>
      </c>
      <c r="K13">
        <f>'Submetering '!AC13</f>
        <v>13.6</v>
      </c>
    </row>
    <row r="14" spans="1:11" x14ac:dyDescent="0.25">
      <c r="A14" t="s">
        <v>11</v>
      </c>
      <c r="B14">
        <f t="shared" si="0"/>
        <v>13</v>
      </c>
      <c r="C14" s="36">
        <v>5</v>
      </c>
      <c r="D14">
        <v>2022</v>
      </c>
      <c r="E14" s="26">
        <f>0.75*INDEX('13 - Electrical Readings'!$H$8:$H$966,1+(2*(ROWS(A$1:A13)-1)))+INDEX('13 - Electrical Readings'!$Q$8:$Q$967,1+(2*(ROWS(A$1:A13)-1)))</f>
        <v>65869.75</v>
      </c>
      <c r="F14">
        <v>4.1000000000000002E-2</v>
      </c>
      <c r="G14" s="27">
        <f>0.75*INDEX('9 - Water Readings'!$F$8:$F$970,1+(2*(ROWS(A$1:A13)-1)))+INDEX('9 - Water Readings'!$M$8:$M$970,1+(2*(ROWS(A$1:A13)-1)))</f>
        <v>482</v>
      </c>
      <c r="H14" s="25">
        <v>1.5571912601017661</v>
      </c>
      <c r="I14" s="25">
        <f>'Submetering '!AA14</f>
        <v>168</v>
      </c>
      <c r="J14">
        <f>'Submetering '!AB14</f>
        <v>628</v>
      </c>
      <c r="K14">
        <f>'Submetering '!AC14</f>
        <v>12.4</v>
      </c>
    </row>
    <row r="15" spans="1:11" x14ac:dyDescent="0.25">
      <c r="A15" t="s">
        <v>11</v>
      </c>
      <c r="B15">
        <f t="shared" si="0"/>
        <v>14</v>
      </c>
      <c r="C15" s="36">
        <v>5</v>
      </c>
      <c r="D15">
        <v>2022</v>
      </c>
      <c r="E15" s="26">
        <f>0.75*INDEX('13 - Electrical Readings'!$H$8:$H$966,1+(2*(ROWS(A$1:A14)-1)))+INDEX('13 - Electrical Readings'!$Q$8:$Q$967,1+(2*(ROWS(A$1:A14)-1)))</f>
        <v>60980</v>
      </c>
      <c r="F15">
        <v>4.1000000000000002E-2</v>
      </c>
      <c r="G15" s="27">
        <f>0.75*INDEX('9 - Water Readings'!$F$8:$F$970,1+(2*(ROWS(A$1:A14)-1)))+INDEX('9 - Water Readings'!$M$8:$M$970,1+(2*(ROWS(A$1:A14)-1)))</f>
        <v>443</v>
      </c>
      <c r="H15" s="25">
        <v>1.5571912601017661</v>
      </c>
      <c r="I15" s="25">
        <f>'Submetering '!AA15</f>
        <v>125</v>
      </c>
      <c r="J15">
        <f>'Submetering '!AB15</f>
        <v>382</v>
      </c>
      <c r="K15">
        <f>'Submetering '!AC15</f>
        <v>10.4</v>
      </c>
    </row>
    <row r="16" spans="1:11" x14ac:dyDescent="0.25">
      <c r="A16" t="s">
        <v>11</v>
      </c>
      <c r="B16">
        <f t="shared" si="0"/>
        <v>15</v>
      </c>
      <c r="C16" s="36">
        <v>5</v>
      </c>
      <c r="D16">
        <v>2022</v>
      </c>
      <c r="E16" s="26">
        <f>0.75*INDEX('13 - Electrical Readings'!$H$8:$H$966,1+(2*(ROWS(A$1:A15)-1)))+INDEX('13 - Electrical Readings'!$Q$8:$Q$967,1+(2*(ROWS(A$1:A15)-1)))</f>
        <v>65072.5</v>
      </c>
      <c r="F16">
        <v>4.1000000000000002E-2</v>
      </c>
      <c r="G16" s="27">
        <f>0.75*INDEX('9 - Water Readings'!$F$8:$F$970,1+(2*(ROWS(A$1:A15)-1)))+INDEX('9 - Water Readings'!$M$8:$M$970,1+(2*(ROWS(A$1:A15)-1)))</f>
        <v>382.75</v>
      </c>
      <c r="H16" s="25">
        <v>1.5571912601017661</v>
      </c>
      <c r="I16" s="25">
        <f>'Submetering '!AA16</f>
        <v>124</v>
      </c>
      <c r="J16">
        <f>'Submetering '!AB16</f>
        <v>346</v>
      </c>
      <c r="K16">
        <f>'Submetering '!AC16</f>
        <v>10.3</v>
      </c>
    </row>
    <row r="17" spans="1:11" x14ac:dyDescent="0.25">
      <c r="A17" t="s">
        <v>11</v>
      </c>
      <c r="B17">
        <f t="shared" si="0"/>
        <v>16</v>
      </c>
      <c r="C17" s="36">
        <v>5</v>
      </c>
      <c r="D17">
        <v>2022</v>
      </c>
      <c r="E17" s="26">
        <f>0.75*INDEX('13 - Electrical Readings'!$H$8:$H$966,1+(2*(ROWS(A$1:A16)-1)))+INDEX('13 - Electrical Readings'!$Q$8:$Q$967,1+(2*(ROWS(A$1:A16)-1)))</f>
        <v>63104.25</v>
      </c>
      <c r="F17">
        <v>4.1000000000000002E-2</v>
      </c>
      <c r="G17" s="27">
        <f>0.75*INDEX('9 - Water Readings'!$F$8:$F$970,1+(2*(ROWS(A$1:A16)-1)))+INDEX('9 - Water Readings'!$M$8:$M$970,1+(2*(ROWS(A$1:A16)-1)))</f>
        <v>390</v>
      </c>
      <c r="H17" s="25">
        <v>1.5571912601017661</v>
      </c>
      <c r="I17" s="25">
        <f>'Submetering '!AA17</f>
        <v>133</v>
      </c>
      <c r="J17">
        <f>'Submetering '!AB17</f>
        <v>384</v>
      </c>
      <c r="K17">
        <f>'Submetering '!AC17</f>
        <v>11.9</v>
      </c>
    </row>
    <row r="18" spans="1:11" x14ac:dyDescent="0.25">
      <c r="A18" t="s">
        <v>11</v>
      </c>
      <c r="B18">
        <f t="shared" si="0"/>
        <v>17</v>
      </c>
      <c r="C18" s="36">
        <v>5</v>
      </c>
      <c r="D18">
        <v>2022</v>
      </c>
      <c r="E18" s="26">
        <f>0.75*INDEX('13 - Electrical Readings'!$H$8:$H$966,1+(2*(ROWS(A$1:A17)-1)))+INDEX('13 - Electrical Readings'!$Q$8:$Q$967,1+(2*(ROWS(A$1:A17)-1)))</f>
        <v>56724.25</v>
      </c>
      <c r="F18">
        <v>4.1000000000000002E-2</v>
      </c>
      <c r="G18" s="27">
        <f>0.75*INDEX('9 - Water Readings'!$F$8:$F$970,1+(2*(ROWS(A$1:A17)-1)))+INDEX('9 - Water Readings'!$M$8:$M$970,1+(2*(ROWS(A$1:A17)-1)))</f>
        <v>383</v>
      </c>
      <c r="H18" s="25">
        <v>1.5571912601017661</v>
      </c>
      <c r="I18" s="25">
        <f>'Submetering '!AA18</f>
        <v>142</v>
      </c>
      <c r="J18">
        <f>'Submetering '!AB18</f>
        <v>396</v>
      </c>
      <c r="K18">
        <f>'Submetering '!AC18</f>
        <v>12.2</v>
      </c>
    </row>
    <row r="19" spans="1:11" x14ac:dyDescent="0.25">
      <c r="A19" t="s">
        <v>11</v>
      </c>
      <c r="B19">
        <f t="shared" si="0"/>
        <v>18</v>
      </c>
      <c r="C19" s="36">
        <v>5</v>
      </c>
      <c r="D19">
        <v>2022</v>
      </c>
      <c r="E19" s="26">
        <f>0.75*INDEX('13 - Electrical Readings'!$H$8:$H$966,1+(2*(ROWS(A$1:A18)-1)))+INDEX('13 - Electrical Readings'!$Q$8:$Q$967,1+(2*(ROWS(A$1:A18)-1)))</f>
        <v>60489</v>
      </c>
      <c r="F19">
        <v>4.1000000000000002E-2</v>
      </c>
      <c r="G19" s="27">
        <f>0.75*INDEX('9 - Water Readings'!$F$8:$F$970,1+(2*(ROWS(A$1:A18)-1)))+INDEX('9 - Water Readings'!$M$8:$M$970,1+(2*(ROWS(A$1:A18)-1)))</f>
        <v>422.75</v>
      </c>
      <c r="H19" s="25">
        <v>1.5571912601017661</v>
      </c>
      <c r="I19" s="25">
        <f>'Submetering '!AA19</f>
        <v>115</v>
      </c>
      <c r="J19">
        <f>'Submetering '!AB19</f>
        <v>332</v>
      </c>
      <c r="K19">
        <f>'Submetering '!AC19</f>
        <v>15.4</v>
      </c>
    </row>
    <row r="20" spans="1:11" x14ac:dyDescent="0.25">
      <c r="A20" t="s">
        <v>11</v>
      </c>
      <c r="B20">
        <f t="shared" si="0"/>
        <v>19</v>
      </c>
      <c r="C20" s="36">
        <v>5</v>
      </c>
      <c r="D20">
        <v>2022</v>
      </c>
      <c r="E20" s="26">
        <f>0.75*INDEX('13 - Electrical Readings'!$H$8:$H$966,1+(2*(ROWS(A$1:A19)-1)))+INDEX('13 - Electrical Readings'!$Q$8:$Q$967,1+(2*(ROWS(A$1:A19)-1)))</f>
        <v>64126</v>
      </c>
      <c r="F20">
        <v>4.1000000000000002E-2</v>
      </c>
      <c r="G20" s="27">
        <f>0.75*INDEX('9 - Water Readings'!$F$8:$F$970,1+(2*(ROWS(A$1:A19)-1)))+INDEX('9 - Water Readings'!$M$8:$M$970,1+(2*(ROWS(A$1:A19)-1)))</f>
        <v>436</v>
      </c>
      <c r="H20" s="25">
        <v>1.5571912601017661</v>
      </c>
      <c r="I20" s="25">
        <f>'Submetering '!AA20</f>
        <v>142</v>
      </c>
      <c r="J20">
        <f>'Submetering '!AB20</f>
        <v>480</v>
      </c>
      <c r="K20">
        <f>'Submetering '!AC20</f>
        <v>16.5</v>
      </c>
    </row>
    <row r="21" spans="1:11" x14ac:dyDescent="0.25">
      <c r="A21" t="s">
        <v>11</v>
      </c>
      <c r="B21">
        <f t="shared" si="0"/>
        <v>20</v>
      </c>
      <c r="C21" s="36">
        <v>5</v>
      </c>
      <c r="D21">
        <v>2022</v>
      </c>
      <c r="E21" s="26">
        <f>0.75*INDEX('13 - Electrical Readings'!$H$8:$H$966,1+(2*(ROWS(A$1:A20)-1)))+INDEX('13 - Electrical Readings'!$Q$8:$Q$967,1+(2*(ROWS(A$1:A20)-1)))</f>
        <v>62341</v>
      </c>
      <c r="F21">
        <v>4.1000000000000002E-2</v>
      </c>
      <c r="G21" s="27">
        <f>0.75*INDEX('9 - Water Readings'!$F$8:$F$970,1+(2*(ROWS(A$1:A20)-1)))+INDEX('9 - Water Readings'!$M$8:$M$970,1+(2*(ROWS(A$1:A20)-1)))</f>
        <v>512</v>
      </c>
      <c r="H21" s="25">
        <v>1.5571912601017661</v>
      </c>
      <c r="I21" s="25">
        <f>'Submetering '!AA21</f>
        <v>147</v>
      </c>
      <c r="J21">
        <f>'Submetering '!AB21</f>
        <v>544</v>
      </c>
      <c r="K21">
        <f>'Submetering '!AC21</f>
        <v>18</v>
      </c>
    </row>
    <row r="22" spans="1:11" x14ac:dyDescent="0.25">
      <c r="A22" t="s">
        <v>11</v>
      </c>
      <c r="B22">
        <f t="shared" si="0"/>
        <v>21</v>
      </c>
      <c r="C22" s="36">
        <v>5</v>
      </c>
      <c r="D22">
        <v>2022</v>
      </c>
      <c r="E22" s="26">
        <f>0.75*INDEX('13 - Electrical Readings'!$H$8:$H$966,1+(2*(ROWS(A$1:A21)-1)))+INDEX('13 - Electrical Readings'!$Q$8:$Q$967,1+(2*(ROWS(A$1:A21)-1)))</f>
        <v>67555</v>
      </c>
      <c r="F22">
        <v>4.1000000000000002E-2</v>
      </c>
      <c r="G22" s="27">
        <f>0.75*INDEX('9 - Water Readings'!$F$8:$F$970,1+(2*(ROWS(A$1:A21)-1)))+INDEX('9 - Water Readings'!$M$8:$M$970,1+(2*(ROWS(A$1:A21)-1)))</f>
        <v>486</v>
      </c>
      <c r="H22" s="25">
        <v>1.5571912601017661</v>
      </c>
      <c r="I22" s="25">
        <f>'Submetering '!AA22</f>
        <v>150</v>
      </c>
      <c r="J22">
        <f>'Submetering '!AB22</f>
        <v>468</v>
      </c>
      <c r="K22">
        <f>'Submetering '!AC22</f>
        <v>18.399999999999999</v>
      </c>
    </row>
    <row r="23" spans="1:11" x14ac:dyDescent="0.25">
      <c r="A23" t="s">
        <v>11</v>
      </c>
      <c r="B23">
        <f t="shared" si="0"/>
        <v>22</v>
      </c>
      <c r="C23" s="36">
        <v>5</v>
      </c>
      <c r="D23">
        <v>2022</v>
      </c>
      <c r="E23" s="26">
        <f>0.75*INDEX('13 - Electrical Readings'!$H$8:$H$966,1+(2*(ROWS(A$1:A22)-1)))+INDEX('13 - Electrical Readings'!$Q$8:$Q$967,1+(2*(ROWS(A$1:A22)-1)))</f>
        <v>61337.5</v>
      </c>
      <c r="F23">
        <v>4.1000000000000002E-2</v>
      </c>
      <c r="G23" s="27">
        <f>0.75*INDEX('9 - Water Readings'!$F$8:$F$970,1+(2*(ROWS(A$1:A22)-1)))+INDEX('9 - Water Readings'!$M$8:$M$970,1+(2*(ROWS(A$1:A22)-1)))</f>
        <v>411</v>
      </c>
      <c r="H23" s="25">
        <v>1.5571912601017661</v>
      </c>
      <c r="I23" s="25">
        <f>'Submetering '!AA23</f>
        <v>115</v>
      </c>
      <c r="J23">
        <f>'Submetering '!AB23</f>
        <v>288</v>
      </c>
      <c r="K23">
        <f>'Submetering '!AC23</f>
        <v>15.6</v>
      </c>
    </row>
    <row r="24" spans="1:11" x14ac:dyDescent="0.25">
      <c r="A24" t="s">
        <v>11</v>
      </c>
      <c r="B24">
        <f t="shared" si="0"/>
        <v>23</v>
      </c>
      <c r="C24" s="36">
        <v>5</v>
      </c>
      <c r="D24">
        <v>2022</v>
      </c>
      <c r="E24" s="26">
        <f>0.75*INDEX('13 - Electrical Readings'!$H$8:$H$966,1+(2*(ROWS(A$1:A23)-1)))+INDEX('13 - Electrical Readings'!$Q$8:$Q$967,1+(2*(ROWS(A$1:A23)-1)))</f>
        <v>61069.75</v>
      </c>
      <c r="F24">
        <v>4.1000000000000002E-2</v>
      </c>
      <c r="G24" s="27">
        <f>0.75*INDEX('9 - Water Readings'!$F$8:$F$970,1+(2*(ROWS(A$1:A23)-1)))+INDEX('9 - Water Readings'!$M$8:$M$970,1+(2*(ROWS(A$1:A23)-1)))</f>
        <v>412</v>
      </c>
      <c r="H24" s="25">
        <v>1.5571912601017661</v>
      </c>
      <c r="I24" s="25">
        <f>'Submetering '!AA24</f>
        <v>151</v>
      </c>
      <c r="J24">
        <f>'Submetering '!AB24</f>
        <v>394</v>
      </c>
      <c r="K24">
        <f>'Submetering '!AC24</f>
        <v>12.2</v>
      </c>
    </row>
    <row r="25" spans="1:11" x14ac:dyDescent="0.25">
      <c r="A25" t="s">
        <v>11</v>
      </c>
      <c r="B25">
        <f t="shared" si="0"/>
        <v>24</v>
      </c>
      <c r="C25" s="36">
        <v>5</v>
      </c>
      <c r="D25">
        <v>2022</v>
      </c>
      <c r="E25" s="26">
        <f>0.75*INDEX('13 - Electrical Readings'!$H$8:$H$966,1+(2*(ROWS(A$1:A24)-1)))+INDEX('13 - Electrical Readings'!$Q$8:$Q$967,1+(2*(ROWS(A$1:A24)-1)))</f>
        <v>57992.75</v>
      </c>
      <c r="F25">
        <v>4.1000000000000002E-2</v>
      </c>
      <c r="G25" s="27">
        <f>0.75*INDEX('9 - Water Readings'!$F$8:$F$970,1+(2*(ROWS(A$1:A24)-1)))+INDEX('9 - Water Readings'!$M$8:$M$970,1+(2*(ROWS(A$1:A24)-1)))</f>
        <v>479</v>
      </c>
      <c r="H25" s="25">
        <v>1.5571912601017661</v>
      </c>
      <c r="I25" s="25">
        <f>'Submetering '!AA25</f>
        <v>109</v>
      </c>
      <c r="J25">
        <f>'Submetering '!AB25</f>
        <v>276</v>
      </c>
      <c r="K25">
        <f>'Submetering '!AC25</f>
        <v>11.9</v>
      </c>
    </row>
    <row r="26" spans="1:11" x14ac:dyDescent="0.25">
      <c r="A26" t="s">
        <v>11</v>
      </c>
      <c r="B26">
        <f>B25+1</f>
        <v>25</v>
      </c>
      <c r="C26" s="36">
        <v>5</v>
      </c>
      <c r="D26">
        <v>2022</v>
      </c>
      <c r="E26" s="26">
        <f>0.75*INDEX('13 - Electrical Readings'!$H$8:$H$966,1+(2*(ROWS(A$1:A25)-1)))+INDEX('13 - Electrical Readings'!$Q$8:$Q$967,1+(2*(ROWS(A$1:A25)-1)))</f>
        <v>56709</v>
      </c>
      <c r="F26">
        <v>4.1000000000000002E-2</v>
      </c>
      <c r="G26" s="27">
        <f>0.75*INDEX('9 - Water Readings'!$F$8:$F$970,1+(2*(ROWS(A$1:A25)-1)))+INDEX('9 - Water Readings'!$M$8:$M$970,1+(2*(ROWS(A$1:A25)-1)))</f>
        <v>434</v>
      </c>
      <c r="H26" s="25">
        <v>1.5571912601017661</v>
      </c>
      <c r="I26" s="25">
        <f>'Submetering '!AA26</f>
        <v>111</v>
      </c>
      <c r="J26">
        <f>'Submetering '!AB26</f>
        <v>328</v>
      </c>
      <c r="K26">
        <f>'Submetering '!AC26</f>
        <v>12.6</v>
      </c>
    </row>
    <row r="27" spans="1:11" x14ac:dyDescent="0.25">
      <c r="A27" t="s">
        <v>11</v>
      </c>
      <c r="B27">
        <f t="shared" si="0"/>
        <v>26</v>
      </c>
      <c r="C27" s="36">
        <v>5</v>
      </c>
      <c r="D27">
        <v>2022</v>
      </c>
      <c r="E27" s="26">
        <f>0.75*INDEX('13 - Electrical Readings'!$H$8:$H$966,1+(2*(ROWS(A$1:A26)-1)))+INDEX('13 - Electrical Readings'!$Q$8:$Q$967,1+(2*(ROWS(A$1:A26)-1)))</f>
        <v>59722.75</v>
      </c>
      <c r="F27">
        <v>4.1000000000000002E-2</v>
      </c>
      <c r="G27" s="27">
        <f>0.75*INDEX('9 - Water Readings'!$F$8:$F$970,1+(2*(ROWS(A$1:A26)-1)))+INDEX('9 - Water Readings'!$M$8:$M$970,1+(2*(ROWS(A$1:A26)-1)))</f>
        <v>465</v>
      </c>
      <c r="H27" s="25">
        <v>1.5571912601017661</v>
      </c>
      <c r="I27" s="25">
        <f>'Submetering '!AA27</f>
        <v>164</v>
      </c>
      <c r="J27">
        <f>'Submetering '!AB27</f>
        <v>580</v>
      </c>
      <c r="K27">
        <f>'Submetering '!AC27</f>
        <v>14.3</v>
      </c>
    </row>
    <row r="28" spans="1:11" x14ac:dyDescent="0.25">
      <c r="A28" t="s">
        <v>11</v>
      </c>
      <c r="B28">
        <f t="shared" si="0"/>
        <v>27</v>
      </c>
      <c r="C28" s="36">
        <v>5</v>
      </c>
      <c r="D28">
        <v>2022</v>
      </c>
      <c r="E28" s="26">
        <f>0.75*INDEX('13 - Electrical Readings'!$H$8:$H$966,1+(2*(ROWS(A$1:A27)-1)))+INDEX('13 - Electrical Readings'!$Q$8:$Q$967,1+(2*(ROWS(A$1:A27)-1)))</f>
        <v>60051.75</v>
      </c>
      <c r="F28">
        <v>4.1000000000000002E-2</v>
      </c>
      <c r="G28" s="27">
        <f>0.75*INDEX('9 - Water Readings'!$F$8:$F$970,1+(2*(ROWS(A$1:A27)-1)))+INDEX('9 - Water Readings'!$M$8:$M$970,1+(2*(ROWS(A$1:A27)-1)))</f>
        <v>464</v>
      </c>
      <c r="H28" s="25">
        <v>1.5571912601017661</v>
      </c>
      <c r="I28" s="25">
        <f>'Submetering '!AA28</f>
        <v>180</v>
      </c>
      <c r="J28">
        <f>'Submetering '!AB28</f>
        <v>680</v>
      </c>
      <c r="K28">
        <f>'Submetering '!AC28</f>
        <v>14.4</v>
      </c>
    </row>
    <row r="29" spans="1:11" x14ac:dyDescent="0.25">
      <c r="A29" t="s">
        <v>11</v>
      </c>
      <c r="B29">
        <f t="shared" si="0"/>
        <v>28</v>
      </c>
      <c r="C29" s="36">
        <v>5</v>
      </c>
      <c r="D29">
        <v>2022</v>
      </c>
      <c r="E29" s="26">
        <f>0.75*INDEX('13 - Electrical Readings'!$H$8:$H$966,1+(2*(ROWS(A$1:A28)-1)))+INDEX('13 - Electrical Readings'!$Q$8:$Q$967,1+(2*(ROWS(A$1:A28)-1)))</f>
        <v>60174</v>
      </c>
      <c r="F29">
        <v>4.1000000000000002E-2</v>
      </c>
      <c r="G29" s="27">
        <f>0.75*INDEX('9 - Water Readings'!$F$8:$F$970,1+(2*(ROWS(A$1:A28)-1)))+INDEX('9 - Water Readings'!$M$8:$M$970,1+(2*(ROWS(A$1:A28)-1)))</f>
        <v>442</v>
      </c>
      <c r="H29" s="25">
        <v>1.5571912601017661</v>
      </c>
      <c r="I29" s="25">
        <f>'Submetering '!AA29</f>
        <v>107</v>
      </c>
      <c r="J29">
        <f>'Submetering '!AB29</f>
        <v>360</v>
      </c>
      <c r="K29">
        <f>'Submetering '!AC29</f>
        <v>14.5</v>
      </c>
    </row>
    <row r="30" spans="1:11" x14ac:dyDescent="0.25">
      <c r="A30" t="s">
        <v>11</v>
      </c>
      <c r="B30">
        <f t="shared" si="0"/>
        <v>29</v>
      </c>
      <c r="C30" s="36">
        <v>5</v>
      </c>
      <c r="D30">
        <v>2022</v>
      </c>
      <c r="E30" s="26">
        <f>0.75*INDEX('13 - Electrical Readings'!$H$8:$H$966,1+(2*(ROWS(A$1:A29)-1)))+INDEX('13 - Electrical Readings'!$Q$8:$Q$967,1+(2*(ROWS(A$1:A29)-1)))</f>
        <v>59731</v>
      </c>
      <c r="F30">
        <v>1.0409999999999999</v>
      </c>
      <c r="G30" s="27">
        <f>0.75*INDEX('9 - Water Readings'!$F$8:$F$970,1+(2*(ROWS(A$1:A29)-1)))+INDEX('9 - Water Readings'!$M$8:$M$970,1+(2*(ROWS(A$1:A29)-1)))</f>
        <v>425</v>
      </c>
      <c r="H30" s="25">
        <v>2.5571912601017699</v>
      </c>
      <c r="I30" s="25">
        <f>'Submetering '!AA30</f>
        <v>93</v>
      </c>
      <c r="J30">
        <f>'Submetering '!AB30</f>
        <v>268</v>
      </c>
      <c r="K30">
        <f>'Submetering '!AC30</f>
        <v>14.7</v>
      </c>
    </row>
    <row r="31" spans="1:11" x14ac:dyDescent="0.25">
      <c r="A31" t="s">
        <v>11</v>
      </c>
      <c r="B31">
        <f>B30+1</f>
        <v>30</v>
      </c>
      <c r="C31" s="36">
        <v>5</v>
      </c>
      <c r="D31">
        <v>2022</v>
      </c>
      <c r="E31" s="26">
        <f>0.75*INDEX('13 - Electrical Readings'!$H$8:$H$966,1+(2*(ROWS(A$1:A30)-1)))+INDEX('13 - Electrical Readings'!$Q$8:$Q$967,1+(2*(ROWS(A$1:A30)-1)))</f>
        <v>59412.75</v>
      </c>
      <c r="F31">
        <v>2.0409999999999999</v>
      </c>
      <c r="G31" s="27">
        <f>0.75*INDEX('9 - Water Readings'!$F$8:$F$970,1+(2*(ROWS(A$1:A30)-1)))+INDEX('9 - Water Readings'!$M$8:$M$970,1+(2*(ROWS(A$1:A30)-1)))</f>
        <v>429.5</v>
      </c>
      <c r="H31" s="25">
        <v>3.5571912601017699</v>
      </c>
      <c r="I31" s="25">
        <f>'Submetering '!AA31</f>
        <v>105</v>
      </c>
      <c r="J31">
        <f>'Submetering '!AB31</f>
        <v>298</v>
      </c>
      <c r="K31">
        <f>'Submetering '!AC31</f>
        <v>17.5</v>
      </c>
    </row>
    <row r="32" spans="1:11" x14ac:dyDescent="0.25">
      <c r="A32" t="s">
        <v>11</v>
      </c>
      <c r="B32">
        <f t="shared" si="0"/>
        <v>31</v>
      </c>
      <c r="C32" s="36">
        <v>5</v>
      </c>
      <c r="D32">
        <v>2022</v>
      </c>
      <c r="E32" s="26">
        <f>0.75*INDEX('13 - Electrical Readings'!$H$8:$H$966,1+(2*(ROWS(A$1:A31)-1)))+INDEX('13 - Electrical Readings'!$Q$8:$Q$967,1+(2*(ROWS(A$1:A31)-1)))</f>
        <v>62866.25</v>
      </c>
      <c r="F32">
        <v>3.0409999999999999</v>
      </c>
      <c r="G32" s="27">
        <f>0.75*INDEX('9 - Water Readings'!$F$8:$F$970,1+(2*(ROWS(A$1:A31)-1)))+INDEX('9 - Water Readings'!$M$8:$M$970,1+(2*(ROWS(A$1:A31)-1)))</f>
        <v>426</v>
      </c>
      <c r="H32" s="25">
        <v>4.5571912601017699</v>
      </c>
      <c r="I32" s="25">
        <f>'Submetering '!AA32</f>
        <v>137</v>
      </c>
      <c r="J32">
        <f>'Submetering '!AB32</f>
        <v>368</v>
      </c>
      <c r="K32">
        <f>'Submetering '!AC32</f>
        <v>14.5</v>
      </c>
    </row>
    <row r="33" spans="5:11" x14ac:dyDescent="0.25">
      <c r="E33" s="24">
        <f>SUM(E2:E32)</f>
        <v>1905666.5</v>
      </c>
      <c r="G33" s="24">
        <f>SUM(G2:G32)</f>
        <v>13844.75</v>
      </c>
      <c r="I33" s="24">
        <f>SUM(I2:I32)</f>
        <v>4366</v>
      </c>
      <c r="J33" s="24">
        <f>SUM(J2:J32)</f>
        <v>14858</v>
      </c>
      <c r="K33" s="24">
        <f>SUM(K2:K32)</f>
        <v>405.7</v>
      </c>
    </row>
  </sheetData>
  <customSheetViews>
    <customSheetView guid="{3F0D6565-C55E-43AC-AC5D-87C4E1D85423}" scale="85">
      <selection activeCell="U15" sqref="U15"/>
      <pageMargins left="0" right="0" top="0" bottom="0" header="0" footer="0"/>
      <pageSetup orientation="portrait" r:id="rId1"/>
    </customSheetView>
    <customSheetView guid="{25F117C9-9E88-4830-872F-F7C65066F93E}" scale="85">
      <selection activeCell="U15" sqref="U15"/>
      <pageMargins left="0" right="0" top="0" bottom="0" header="0" footer="0"/>
      <pageSetup orientation="portrait" r:id="rId2"/>
    </customSheetView>
    <customSheetView guid="{715FFCCD-858F-48B1-9C65-962158B32E76}" scale="85">
      <selection activeCell="U15" sqref="U15"/>
      <pageMargins left="0" right="0" top="0" bottom="0" header="0" footer="0"/>
      <pageSetup orientation="portrait" r:id="rId3"/>
    </customSheetView>
    <customSheetView guid="{071FA3B5-878B-4C51-9DD6-5097B4769603}" scale="85">
      <selection activeCell="U15" sqref="U15"/>
      <pageMargins left="0" right="0" top="0" bottom="0" header="0" footer="0"/>
      <pageSetup orientation="portrait" r:id="rId4"/>
    </customSheetView>
    <customSheetView guid="{91089E3D-1703-4FEE-B13A-4F0669A06DB8}" scale="85">
      <selection activeCell="U15" sqref="U15"/>
      <pageMargins left="0" right="0" top="0" bottom="0" header="0" footer="0"/>
      <pageSetup orientation="portrait" r:id="rId5"/>
    </customSheetView>
  </customSheetView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"/>
  <sheetViews>
    <sheetView topLeftCell="B1" zoomScale="70" zoomScaleNormal="70" workbookViewId="0">
      <selection activeCell="J44" sqref="J44"/>
    </sheetView>
  </sheetViews>
  <sheetFormatPr defaultColWidth="11.5703125" defaultRowHeight="15" x14ac:dyDescent="0.25"/>
  <cols>
    <col min="1" max="3" width="11.5703125" style="36" customWidth="1"/>
    <col min="4" max="4" width="13.42578125" style="33" customWidth="1"/>
    <col min="5" max="6" width="12.5703125" style="34" customWidth="1"/>
    <col min="7" max="14" width="12.5703125" style="33" customWidth="1"/>
    <col min="15" max="26" width="11.5703125" style="34" customWidth="1"/>
    <col min="27" max="16384" width="11.5703125" style="33"/>
  </cols>
  <sheetData>
    <row r="1" spans="1:29" s="32" customFormat="1" ht="45.75" thickTop="1" x14ac:dyDescent="0.25">
      <c r="A1" s="39" t="s">
        <v>0</v>
      </c>
      <c r="B1" s="39" t="s">
        <v>1</v>
      </c>
      <c r="C1" s="39" t="s">
        <v>2</v>
      </c>
      <c r="D1" s="40" t="s">
        <v>3</v>
      </c>
      <c r="E1" s="41" t="s">
        <v>12</v>
      </c>
      <c r="F1" s="41" t="s">
        <v>13</v>
      </c>
      <c r="G1" s="41" t="s">
        <v>14</v>
      </c>
      <c r="H1" s="41" t="s">
        <v>15</v>
      </c>
      <c r="I1" s="41" t="s">
        <v>16</v>
      </c>
      <c r="J1" s="41" t="s">
        <v>17</v>
      </c>
      <c r="K1" s="29" t="s">
        <v>18</v>
      </c>
      <c r="L1" s="29" t="s">
        <v>19</v>
      </c>
      <c r="M1" s="29" t="s">
        <v>20</v>
      </c>
      <c r="N1" s="29" t="s">
        <v>21</v>
      </c>
      <c r="O1" s="30" t="s">
        <v>22</v>
      </c>
      <c r="P1" s="30" t="s">
        <v>23</v>
      </c>
      <c r="Q1" s="30" t="s">
        <v>24</v>
      </c>
      <c r="R1" s="30" t="s">
        <v>25</v>
      </c>
      <c r="S1" s="30" t="s">
        <v>26</v>
      </c>
      <c r="T1" s="30" t="s">
        <v>27</v>
      </c>
      <c r="U1" s="30" t="s">
        <v>28</v>
      </c>
      <c r="V1" s="30" t="s">
        <v>29</v>
      </c>
      <c r="W1" s="30" t="s">
        <v>30</v>
      </c>
      <c r="X1" s="30" t="s">
        <v>31</v>
      </c>
      <c r="Y1" s="30" t="s">
        <v>32</v>
      </c>
      <c r="Z1" s="30" t="s">
        <v>33</v>
      </c>
      <c r="AA1" s="31" t="s">
        <v>8</v>
      </c>
      <c r="AB1" s="31" t="s">
        <v>9</v>
      </c>
      <c r="AC1" s="31" t="s">
        <v>10</v>
      </c>
    </row>
    <row r="2" spans="1:29" x14ac:dyDescent="0.25">
      <c r="A2" s="36" t="s">
        <v>11</v>
      </c>
      <c r="B2" s="36">
        <v>1</v>
      </c>
      <c r="C2" s="36">
        <v>5</v>
      </c>
      <c r="D2" s="33">
        <v>2022</v>
      </c>
      <c r="E2" s="34">
        <f>INDEX('13 - Electrical Readings'!$C$8:$C$966,1+(2*(ROWS(A$1:A1)-1)))</f>
        <v>8693</v>
      </c>
      <c r="F2" s="34">
        <f>INDEX('13 - Electrical Readings'!$D$6:$D$966,1+(2*(ROWS(A$1:A2)-1)))</f>
        <v>11682</v>
      </c>
      <c r="G2" s="33">
        <f>INDEX('13 - Electrical Readings'!$E$6:$E$966,1+(2*(ROWS(A$1:A2)-1)))</f>
        <v>3284</v>
      </c>
      <c r="H2" s="33">
        <f>INDEX('13 - Electrical Readings'!$F$6:$F$966,1+(2*(ROWS(A$1:A2)-1)))</f>
        <v>4056</v>
      </c>
      <c r="I2" s="34">
        <f>INDEX('13 - Electrical Readings'!$G$6:$G$966,1+(2*(ROWS(A$1:A2)-1)))</f>
        <v>16</v>
      </c>
      <c r="J2" s="33">
        <f>INDEX('13 - Electrical Readings'!$I$6:$I$966,1+(2*(ROWS(A$1:A2)-1)))</f>
        <v>1963</v>
      </c>
      <c r="K2" s="33">
        <f>INDEX('13 - Electrical Readings'!$J$6:$J$966,1+(2*(ROWS(B$1:B2)-1)))</f>
        <v>9876</v>
      </c>
      <c r="L2" s="33">
        <f>INDEX('13 - Electrical Readings'!$K$6:$K$966,1+(2*(ROWS(C$1:C2)-1)))</f>
        <v>3158</v>
      </c>
      <c r="M2" s="33">
        <f>INDEX('13 - Electrical Readings'!$L$6:$L$966,1+(2*(ROWS(D$1:D2)-1)))</f>
        <v>4517</v>
      </c>
      <c r="N2" s="33">
        <f>INDEX('13 - Electrical Readings'!$M$6:$M$966,1+(2*(ROWS(E$1:E2)-1)))</f>
        <v>7232</v>
      </c>
      <c r="O2" s="34">
        <f>INDEX('13 - Electrical Readings'!$N$6:$N$966,1+(2*(ROWS(E$1:E2)-1)))</f>
        <v>7006</v>
      </c>
      <c r="P2" s="34">
        <f>INDEX('13 - Electrical Readings'!$O$6:$O$966,1+(2*(ROWS(E$1:E2)-1)))</f>
        <v>2708</v>
      </c>
      <c r="Q2" s="34">
        <f>INDEX('13 - Electrical Readings'!$P$6:$P$966,1+(2*(ROWS(E$1:E2)-1)))</f>
        <v>2560</v>
      </c>
      <c r="R2" s="34">
        <f>INDEX('9 - Water Readings'!$C$8:$C$970,1+(2*(ROWS(A$1:A1)-1)))</f>
        <v>0</v>
      </c>
      <c r="S2" s="34">
        <f>INDEX('9 - Water Readings'!$D$8:$D$969,1+(2*(ROWS(A$1:A1)-1)))</f>
        <v>0</v>
      </c>
      <c r="T2" s="34">
        <f>INDEX('9 - Water Readings'!$E$8:$E$970,1+(2*(ROWS(A$1:A1)-1)))</f>
        <v>0</v>
      </c>
      <c r="U2" s="34">
        <f>INDEX('9 - Water Readings'!$G$8:$G$969,1+(2*(ROWS(A$1:A1)-1)))</f>
        <v>98</v>
      </c>
      <c r="V2" s="34">
        <f>INDEX('9 - Water Readings'!$H$8:$H$970,1+(2*(ROWS(A$1:A1)-1)))</f>
        <v>14</v>
      </c>
      <c r="W2" s="34">
        <f>INDEX('9 - Water Readings'!$I$8:$I$970,1+(2*(ROWS(A$1:A1)-1)))</f>
        <v>25</v>
      </c>
      <c r="X2" s="34">
        <f>INDEX('9 - Water Readings'!$J$8:$J$970,1+(2*(ROWS(A$1:A1)-1)))</f>
        <v>229</v>
      </c>
      <c r="Y2" s="34">
        <f>INDEX('9 - Water Readings'!$K$8:$K$970,1+(2*(ROWS(A$1:A1)-1)))</f>
        <v>0</v>
      </c>
      <c r="Z2" s="34">
        <f>INDEX('9 - Water Readings'!$L$8:$L$970,1+(2*(ROWS(A$1:A1)-1)))</f>
        <v>0</v>
      </c>
      <c r="AA2" s="35">
        <f>'9 - Water Readings'!Q7</f>
        <v>50</v>
      </c>
      <c r="AB2" s="33">
        <f>'9 - Water Readings'!R7</f>
        <v>212</v>
      </c>
      <c r="AC2">
        <f>'9 - Water Readings'!S7</f>
        <v>9.1</v>
      </c>
    </row>
    <row r="3" spans="1:29" x14ac:dyDescent="0.25">
      <c r="A3" s="36" t="s">
        <v>11</v>
      </c>
      <c r="B3" s="36">
        <f>B2+1</f>
        <v>2</v>
      </c>
      <c r="C3" s="36">
        <v>5</v>
      </c>
      <c r="D3" s="33">
        <v>2022</v>
      </c>
      <c r="E3" s="34">
        <f>INDEX('13 - Electrical Readings'!$C$8:$C$966,1+(2*(ROWS(A$1:A2)-1)))</f>
        <v>18933</v>
      </c>
      <c r="F3" s="34">
        <f>INDEX('13 - Electrical Readings'!$D$6:$D$966,1+(2*(ROWS(A$1:A3)-1)))</f>
        <v>5072</v>
      </c>
      <c r="G3" s="33">
        <f>INDEX('13 - Electrical Readings'!$E$6:$E$966,1+(2*(ROWS(A$1:A3)-1)))</f>
        <v>3218</v>
      </c>
      <c r="H3" s="33">
        <f>INDEX('13 - Electrical Readings'!$F$6:$F$966,1+(2*(ROWS(A$1:A3)-1)))</f>
        <v>4293</v>
      </c>
      <c r="I3" s="34">
        <f>INDEX('13 - Electrical Readings'!$G$6:$G$966,1+(2*(ROWS(A$1:A3)-1)))</f>
        <v>13</v>
      </c>
      <c r="J3" s="33">
        <f>INDEX('13 - Electrical Readings'!$I$6:$I$966,1+(2*(ROWS(A$1:A3)-1)))</f>
        <v>1804</v>
      </c>
      <c r="K3" s="33">
        <f>INDEX('13 - Electrical Readings'!$J$6:$J$966,1+(2*(ROWS(B$1:B3)-1)))</f>
        <v>6090</v>
      </c>
      <c r="L3" s="33">
        <f>INDEX('13 - Electrical Readings'!$K$6:$K$966,1+(2*(ROWS(C$1:C3)-1)))</f>
        <v>3474</v>
      </c>
      <c r="M3" s="33">
        <f>INDEX('13 - Electrical Readings'!$L$6:$L$966,1+(2*(ROWS(D$1:D3)-1)))</f>
        <v>4661</v>
      </c>
      <c r="N3" s="33">
        <f>INDEX('13 - Electrical Readings'!$M$6:$M$966,1+(2*(ROWS(E$1:E3)-1)))</f>
        <v>7387</v>
      </c>
      <c r="O3" s="34">
        <f>INDEX('13 - Electrical Readings'!$N$6:$N$966,1+(2*(ROWS(E$1:E3)-1)))</f>
        <v>7468</v>
      </c>
      <c r="P3" s="34">
        <f>INDEX('13 - Electrical Readings'!$O$6:$O$966,1+(2*(ROWS(E$1:E3)-1)))</f>
        <v>2449</v>
      </c>
      <c r="Q3" s="34">
        <f>INDEX('13 - Electrical Readings'!$P$6:$P$966,1+(2*(ROWS(E$1:E3)-1)))</f>
        <v>0</v>
      </c>
      <c r="R3" s="34">
        <f>INDEX('9 - Water Readings'!$C$8:$C$970,1+(2*(ROWS(A$1:A2)-1)))</f>
        <v>0</v>
      </c>
      <c r="S3" s="34">
        <f>INDEX('9 - Water Readings'!$D$8:$D$969,1+(2*(ROWS(A$1:A2)-1)))</f>
        <v>0</v>
      </c>
      <c r="T3" s="34">
        <f>INDEX('9 - Water Readings'!$E$8:$E$970,1+(2*(ROWS(A$1:A2)-1)))</f>
        <v>0</v>
      </c>
      <c r="U3" s="34">
        <f>INDEX('9 - Water Readings'!$G$8:$G$969,1+(2*(ROWS(A$1:A2)-1)))</f>
        <v>106</v>
      </c>
      <c r="V3" s="34">
        <f>INDEX('9 - Water Readings'!$H$8:$H$970,1+(2*(ROWS(A$1:A2)-1)))</f>
        <v>10</v>
      </c>
      <c r="W3" s="34">
        <f>INDEX('9 - Water Readings'!$I$8:$I$970,1+(2*(ROWS(A$1:A2)-1)))</f>
        <v>42</v>
      </c>
      <c r="X3" s="34">
        <f>INDEX('9 - Water Readings'!$J$8:$J$970,1+(2*(ROWS(A$1:A2)-1)))</f>
        <v>256</v>
      </c>
      <c r="Y3" s="34">
        <f>INDEX('9 - Water Readings'!$K$8:$K$970,1+(2*(ROWS(A$1:A2)-1)))</f>
        <v>0</v>
      </c>
      <c r="Z3" s="34">
        <f>INDEX('9 - Water Readings'!$L$8:$L$970,1+(2*(ROWS(A$1:A2)-1)))</f>
        <v>0</v>
      </c>
      <c r="AA3" s="35">
        <f>'9 - Water Readings'!Q8</f>
        <v>84</v>
      </c>
      <c r="AB3" s="33">
        <f>'9 - Water Readings'!R8</f>
        <v>358</v>
      </c>
      <c r="AC3">
        <f>'9 - Water Readings'!S8</f>
        <v>9.9</v>
      </c>
    </row>
    <row r="4" spans="1:29" x14ac:dyDescent="0.25">
      <c r="A4" s="36" t="s">
        <v>11</v>
      </c>
      <c r="B4" s="36">
        <f t="shared" ref="B4:B32" si="0">B3+1</f>
        <v>3</v>
      </c>
      <c r="C4" s="36">
        <v>5</v>
      </c>
      <c r="D4" s="33">
        <v>2022</v>
      </c>
      <c r="E4" s="34">
        <f>INDEX('13 - Electrical Readings'!$C$8:$C$966,1+(2*(ROWS(A$1:A3)-1)))</f>
        <v>19697</v>
      </c>
      <c r="F4" s="34">
        <f>INDEX('13 - Electrical Readings'!$D$6:$D$966,1+(2*(ROWS(A$1:A4)-1)))</f>
        <v>2885</v>
      </c>
      <c r="G4" s="33">
        <f>INDEX('13 - Electrical Readings'!$E$6:$E$966,1+(2*(ROWS(A$1:A4)-1)))</f>
        <v>2815</v>
      </c>
      <c r="H4" s="33">
        <f>INDEX('13 - Electrical Readings'!$F$6:$F$966,1+(2*(ROWS(A$1:A4)-1)))</f>
        <v>3967</v>
      </c>
      <c r="I4" s="34">
        <f>INDEX('13 - Electrical Readings'!$G$6:$G$966,1+(2*(ROWS(A$1:A4)-1)))</f>
        <v>14</v>
      </c>
      <c r="J4" s="33">
        <f>INDEX('13 - Electrical Readings'!$I$6:$I$966,1+(2*(ROWS(A$1:A4)-1)))</f>
        <v>1929</v>
      </c>
      <c r="K4" s="33">
        <f>INDEX('13 - Electrical Readings'!$J$6:$J$966,1+(2*(ROWS(B$1:B4)-1)))</f>
        <v>8013</v>
      </c>
      <c r="L4" s="33">
        <f>INDEX('13 - Electrical Readings'!$K$6:$K$966,1+(2*(ROWS(C$1:C4)-1)))</f>
        <v>3338</v>
      </c>
      <c r="M4" s="33">
        <f>INDEX('13 - Electrical Readings'!$L$6:$L$966,1+(2*(ROWS(D$1:D4)-1)))</f>
        <v>4762</v>
      </c>
      <c r="N4" s="33">
        <f>INDEX('13 - Electrical Readings'!$M$6:$M$966,1+(2*(ROWS(E$1:E4)-1)))</f>
        <v>6978</v>
      </c>
      <c r="O4" s="34">
        <f>INDEX('13 - Electrical Readings'!$N$6:$N$966,1+(2*(ROWS(E$1:E4)-1)))</f>
        <v>7658</v>
      </c>
      <c r="P4" s="34">
        <f>INDEX('13 - Electrical Readings'!$O$6:$O$966,1+(2*(ROWS(E$1:E4)-1)))</f>
        <v>2750</v>
      </c>
      <c r="Q4" s="34">
        <f>INDEX('13 - Electrical Readings'!$P$6:$P$966,1+(2*(ROWS(E$1:E4)-1)))</f>
        <v>2640</v>
      </c>
      <c r="R4" s="34">
        <f>INDEX('9 - Water Readings'!$C$8:$C$970,1+(2*(ROWS(A$1:A3)-1)))</f>
        <v>0</v>
      </c>
      <c r="S4" s="34">
        <f>INDEX('9 - Water Readings'!$D$8:$D$969,1+(2*(ROWS(A$1:A3)-1)))</f>
        <v>0</v>
      </c>
      <c r="T4" s="34">
        <f>INDEX('9 - Water Readings'!$E$8:$E$970,1+(2*(ROWS(A$1:A3)-1)))</f>
        <v>0</v>
      </c>
      <c r="U4" s="34">
        <f>INDEX('9 - Water Readings'!$G$8:$G$969,1+(2*(ROWS(A$1:A3)-1)))</f>
        <v>102</v>
      </c>
      <c r="V4" s="34">
        <f>INDEX('9 - Water Readings'!$H$8:$H$970,1+(2*(ROWS(A$1:A3)-1)))</f>
        <v>72</v>
      </c>
      <c r="W4" s="34">
        <f>INDEX('9 - Water Readings'!$I$8:$I$970,1+(2*(ROWS(A$1:A3)-1)))</f>
        <v>47</v>
      </c>
      <c r="X4" s="34">
        <f>INDEX('9 - Water Readings'!$J$8:$J$970,1+(2*(ROWS(A$1:A3)-1)))</f>
        <v>289</v>
      </c>
      <c r="Y4" s="34">
        <f>INDEX('9 - Water Readings'!$K$8:$K$970,1+(2*(ROWS(A$1:A3)-1)))</f>
        <v>0</v>
      </c>
      <c r="Z4" s="34">
        <f>INDEX('9 - Water Readings'!$L$8:$L$970,1+(2*(ROWS(A$1:A3)-1)))</f>
        <v>0</v>
      </c>
      <c r="AA4" s="35">
        <f>'9 - Water Readings'!Q9</f>
        <v>148</v>
      </c>
      <c r="AB4" s="33">
        <f>'9 - Water Readings'!R9</f>
        <v>644</v>
      </c>
      <c r="AC4">
        <f>'9 - Water Readings'!S9</f>
        <v>11</v>
      </c>
    </row>
    <row r="5" spans="1:29" x14ac:dyDescent="0.25">
      <c r="A5" s="36" t="s">
        <v>11</v>
      </c>
      <c r="B5" s="36">
        <f t="shared" si="0"/>
        <v>4</v>
      </c>
      <c r="C5" s="36">
        <v>5</v>
      </c>
      <c r="D5" s="33">
        <v>2022</v>
      </c>
      <c r="E5" s="34">
        <f>INDEX('13 - Electrical Readings'!$C$8:$C$966,1+(2*(ROWS(A$1:A4)-1)))</f>
        <v>19109</v>
      </c>
      <c r="F5" s="34">
        <f>INDEX('13 - Electrical Readings'!$D$6:$D$966,1+(2*(ROWS(A$1:A5)-1)))</f>
        <v>3057</v>
      </c>
      <c r="G5" s="33">
        <f>INDEX('13 - Electrical Readings'!$E$6:$E$966,1+(2*(ROWS(A$1:A5)-1)))</f>
        <v>2810</v>
      </c>
      <c r="H5" s="33">
        <f>INDEX('13 - Electrical Readings'!$F$6:$F$966,1+(2*(ROWS(A$1:A5)-1)))</f>
        <v>3930</v>
      </c>
      <c r="I5" s="34">
        <f>INDEX('13 - Electrical Readings'!$G$6:$G$966,1+(2*(ROWS(A$1:A5)-1)))</f>
        <v>12</v>
      </c>
      <c r="J5" s="33">
        <f>INDEX('13 - Electrical Readings'!$I$6:$I$966,1+(2*(ROWS(A$1:A5)-1)))</f>
        <v>1919</v>
      </c>
      <c r="K5" s="33">
        <f>INDEX('13 - Electrical Readings'!$J$6:$J$966,1+(2*(ROWS(B$1:B5)-1)))</f>
        <v>7883</v>
      </c>
      <c r="L5" s="33">
        <f>INDEX('13 - Electrical Readings'!$K$6:$K$966,1+(2*(ROWS(C$1:C5)-1)))</f>
        <v>3105</v>
      </c>
      <c r="M5" s="33">
        <f>INDEX('13 - Electrical Readings'!$L$6:$L$966,1+(2*(ROWS(D$1:D5)-1)))</f>
        <v>4551</v>
      </c>
      <c r="N5" s="33">
        <f>INDEX('13 - Electrical Readings'!$M$6:$M$966,1+(2*(ROWS(E$1:E5)-1)))</f>
        <v>6776</v>
      </c>
      <c r="O5" s="34">
        <f>INDEX('13 - Electrical Readings'!$N$6:$N$966,1+(2*(ROWS(E$1:E5)-1)))</f>
        <v>8151</v>
      </c>
      <c r="P5" s="34">
        <f>INDEX('13 - Electrical Readings'!$O$6:$O$966,1+(2*(ROWS(E$1:E5)-1)))</f>
        <v>2673</v>
      </c>
      <c r="Q5" s="34">
        <f>INDEX('13 - Electrical Readings'!$P$6:$P$966,1+(2*(ROWS(E$1:E5)-1)))</f>
        <v>2640</v>
      </c>
      <c r="R5" s="34">
        <f>INDEX('9 - Water Readings'!$C$8:$C$970,1+(2*(ROWS(A$1:A4)-1)))</f>
        <v>0</v>
      </c>
      <c r="S5" s="34">
        <f>INDEX('9 - Water Readings'!$D$8:$D$969,1+(2*(ROWS(A$1:A4)-1)))</f>
        <v>1</v>
      </c>
      <c r="T5" s="34">
        <f>INDEX('9 - Water Readings'!$E$8:$E$970,1+(2*(ROWS(A$1:A4)-1)))</f>
        <v>0</v>
      </c>
      <c r="U5" s="34">
        <f>INDEX('9 - Water Readings'!$G$8:$G$969,1+(2*(ROWS(A$1:A4)-1)))</f>
        <v>102</v>
      </c>
      <c r="V5" s="34">
        <f>INDEX('9 - Water Readings'!$H$8:$H$970,1+(2*(ROWS(A$1:A4)-1)))</f>
        <v>20</v>
      </c>
      <c r="W5" s="34">
        <f>INDEX('9 - Water Readings'!$I$8:$I$970,1+(2*(ROWS(A$1:A4)-1)))</f>
        <v>52</v>
      </c>
      <c r="X5" s="34">
        <f>INDEX('9 - Water Readings'!$J$8:$J$970,1+(2*(ROWS(A$1:A4)-1)))</f>
        <v>299</v>
      </c>
      <c r="Y5" s="34">
        <f>INDEX('9 - Water Readings'!$K$8:$K$970,1+(2*(ROWS(A$1:A4)-1)))</f>
        <v>0</v>
      </c>
      <c r="Z5" s="34">
        <f>INDEX('9 - Water Readings'!$L$8:$L$970,1+(2*(ROWS(A$1:A4)-1)))</f>
        <v>0</v>
      </c>
      <c r="AA5" s="35">
        <f>'9 - Water Readings'!Q10</f>
        <v>182</v>
      </c>
      <c r="AB5" s="33">
        <f>'9 - Water Readings'!R10</f>
        <v>808</v>
      </c>
      <c r="AC5">
        <f>'9 - Water Readings'!S10</f>
        <v>13.7</v>
      </c>
    </row>
    <row r="6" spans="1:29" x14ac:dyDescent="0.25">
      <c r="A6" s="36" t="s">
        <v>11</v>
      </c>
      <c r="B6" s="36">
        <f t="shared" si="0"/>
        <v>5</v>
      </c>
      <c r="C6" s="36">
        <v>5</v>
      </c>
      <c r="D6" s="33">
        <v>2022</v>
      </c>
      <c r="E6" s="34">
        <f>INDEX('13 - Electrical Readings'!$C$8:$C$966,1+(2*(ROWS(A$1:A5)-1)))</f>
        <v>17488</v>
      </c>
      <c r="F6" s="34">
        <f>INDEX('13 - Electrical Readings'!$D$6:$D$966,1+(2*(ROWS(A$1:A6)-1)))</f>
        <v>8080</v>
      </c>
      <c r="G6" s="33">
        <f>INDEX('13 - Electrical Readings'!$E$6:$E$966,1+(2*(ROWS(A$1:A6)-1)))</f>
        <v>3766</v>
      </c>
      <c r="H6" s="33">
        <f>INDEX('13 - Electrical Readings'!$F$6:$F$966,1+(2*(ROWS(A$1:A6)-1)))</f>
        <v>4027</v>
      </c>
      <c r="I6" s="34">
        <f>INDEX('13 - Electrical Readings'!$G$6:$G$966,1+(2*(ROWS(A$1:A6)-1)))</f>
        <v>12</v>
      </c>
      <c r="J6" s="33">
        <f>INDEX('13 - Electrical Readings'!$I$6:$I$966,1+(2*(ROWS(A$1:A6)-1)))</f>
        <v>1830</v>
      </c>
      <c r="K6" s="33">
        <f>INDEX('13 - Electrical Readings'!$J$6:$J$966,1+(2*(ROWS(B$1:B6)-1)))</f>
        <v>7460</v>
      </c>
      <c r="L6" s="33">
        <f>INDEX('13 - Electrical Readings'!$K$6:$K$966,1+(2*(ROWS(C$1:C6)-1)))</f>
        <v>3332</v>
      </c>
      <c r="M6" s="33">
        <f>INDEX('13 - Electrical Readings'!$L$6:$L$966,1+(2*(ROWS(D$1:D6)-1)))</f>
        <v>4764</v>
      </c>
      <c r="N6" s="33">
        <f>INDEX('13 - Electrical Readings'!$M$6:$M$966,1+(2*(ROWS(E$1:E6)-1)))</f>
        <v>7354</v>
      </c>
      <c r="O6" s="34">
        <f>INDEX('13 - Electrical Readings'!$N$6:$N$966,1+(2*(ROWS(E$1:E6)-1)))</f>
        <v>8451</v>
      </c>
      <c r="P6" s="34">
        <f>INDEX('13 - Electrical Readings'!$O$6:$O$966,1+(2*(ROWS(E$1:E6)-1)))</f>
        <v>3584</v>
      </c>
      <c r="Q6" s="34">
        <f>INDEX('13 - Electrical Readings'!$P$6:$P$966,1+(2*(ROWS(E$1:E6)-1)))</f>
        <v>2630</v>
      </c>
      <c r="R6" s="34">
        <f>INDEX('9 - Water Readings'!$C$8:$C$970,1+(2*(ROWS(A$1:A5)-1)))</f>
        <v>0</v>
      </c>
      <c r="S6" s="34">
        <f>INDEX('9 - Water Readings'!$D$8:$D$969,1+(2*(ROWS(A$1:A5)-1)))</f>
        <v>0</v>
      </c>
      <c r="T6" s="34">
        <f>INDEX('9 - Water Readings'!$E$8:$E$970,1+(2*(ROWS(A$1:A5)-1)))</f>
        <v>0</v>
      </c>
      <c r="U6" s="34">
        <f>INDEX('9 - Water Readings'!$G$8:$G$969,1+(2*(ROWS(A$1:A5)-1)))</f>
        <v>109</v>
      </c>
      <c r="V6" s="34">
        <f>INDEX('9 - Water Readings'!$H$8:$H$970,1+(2*(ROWS(A$1:A5)-1)))</f>
        <v>17</v>
      </c>
      <c r="W6" s="34">
        <f>INDEX('9 - Water Readings'!$I$8:$I$970,1+(2*(ROWS(A$1:A5)-1)))</f>
        <v>52</v>
      </c>
      <c r="X6" s="34">
        <f>INDEX('9 - Water Readings'!$J$8:$J$970,1+(2*(ROWS(A$1:A5)-1)))</f>
        <v>323</v>
      </c>
      <c r="Y6" s="34">
        <f>INDEX('9 - Water Readings'!$K$8:$K$970,1+(2*(ROWS(A$1:A5)-1)))</f>
        <v>0</v>
      </c>
      <c r="Z6" s="34">
        <f>INDEX('9 - Water Readings'!$L$8:$L$970,1+(2*(ROWS(A$1:A5)-1)))</f>
        <v>0</v>
      </c>
      <c r="AA6" s="35">
        <f>'9 - Water Readings'!Q11</f>
        <v>198</v>
      </c>
      <c r="AB6" s="33">
        <f>'9 - Water Readings'!R11</f>
        <v>880</v>
      </c>
      <c r="AC6">
        <f>'9 - Water Readings'!S11</f>
        <v>12.4</v>
      </c>
    </row>
    <row r="7" spans="1:29" x14ac:dyDescent="0.25">
      <c r="A7" s="36" t="s">
        <v>11</v>
      </c>
      <c r="B7" s="36">
        <f t="shared" si="0"/>
        <v>6</v>
      </c>
      <c r="C7" s="36">
        <v>5</v>
      </c>
      <c r="D7" s="33">
        <v>2022</v>
      </c>
      <c r="E7" s="34">
        <f>INDEX('13 - Electrical Readings'!$C$8:$C$966,1+(2*(ROWS(A$1:A6)-1)))</f>
        <v>19726</v>
      </c>
      <c r="F7" s="34">
        <f>INDEX('13 - Electrical Readings'!$D$6:$D$966,1+(2*(ROWS(A$1:A7)-1)))</f>
        <v>8174</v>
      </c>
      <c r="G7" s="33">
        <f>INDEX('13 - Electrical Readings'!$E$6:$E$966,1+(2*(ROWS(A$1:A7)-1)))</f>
        <v>3676</v>
      </c>
      <c r="H7" s="33">
        <f>INDEX('13 - Electrical Readings'!$F$6:$F$966,1+(2*(ROWS(A$1:A7)-1)))</f>
        <v>4315</v>
      </c>
      <c r="I7" s="34">
        <f>INDEX('13 - Electrical Readings'!$G$6:$G$966,1+(2*(ROWS(A$1:A7)-1)))</f>
        <v>14</v>
      </c>
      <c r="J7" s="33">
        <f>INDEX('13 - Electrical Readings'!$I$6:$I$966,1+(2*(ROWS(A$1:A7)-1)))</f>
        <v>1879</v>
      </c>
      <c r="K7" s="33">
        <f>INDEX('13 - Electrical Readings'!$J$6:$J$966,1+(2*(ROWS(B$1:B7)-1)))</f>
        <v>6982</v>
      </c>
      <c r="L7" s="33">
        <f>INDEX('13 - Electrical Readings'!$K$6:$K$966,1+(2*(ROWS(C$1:C7)-1)))</f>
        <v>3457</v>
      </c>
      <c r="M7" s="33">
        <f>INDEX('13 - Electrical Readings'!$L$6:$L$966,1+(2*(ROWS(D$1:D7)-1)))</f>
        <v>4516</v>
      </c>
      <c r="N7" s="33">
        <f>INDEX('13 - Electrical Readings'!$M$6:$M$966,1+(2*(ROWS(E$1:E7)-1)))</f>
        <v>7370</v>
      </c>
      <c r="O7" s="34">
        <f>INDEX('13 - Electrical Readings'!$N$6:$N$966,1+(2*(ROWS(E$1:E7)-1)))</f>
        <v>8127</v>
      </c>
      <c r="P7" s="34">
        <f>INDEX('13 - Electrical Readings'!$O$6:$O$966,1+(2*(ROWS(E$1:E7)-1)))</f>
        <v>2587</v>
      </c>
      <c r="Q7" s="34">
        <f>INDEX('13 - Electrical Readings'!$P$6:$P$966,1+(2*(ROWS(E$1:E7)-1)))</f>
        <v>2870</v>
      </c>
      <c r="R7" s="34">
        <f>INDEX('9 - Water Readings'!$C$8:$C$970,1+(2*(ROWS(A$1:A6)-1)))</f>
        <v>0</v>
      </c>
      <c r="S7" s="34">
        <f>INDEX('9 - Water Readings'!$D$8:$D$969,1+(2*(ROWS(A$1:A6)-1)))</f>
        <v>0</v>
      </c>
      <c r="T7" s="34">
        <f>INDEX('9 - Water Readings'!$E$8:$E$970,1+(2*(ROWS(A$1:A6)-1)))</f>
        <v>0</v>
      </c>
      <c r="U7" s="34">
        <f>INDEX('9 - Water Readings'!$G$8:$G$969,1+(2*(ROWS(A$1:A6)-1)))</f>
        <v>100</v>
      </c>
      <c r="V7" s="34">
        <f>INDEX('9 - Water Readings'!$H$8:$H$970,1+(2*(ROWS(A$1:A6)-1)))</f>
        <v>19</v>
      </c>
      <c r="W7" s="34">
        <f>INDEX('9 - Water Readings'!$I$8:$I$970,1+(2*(ROWS(A$1:A6)-1)))</f>
        <v>59</v>
      </c>
      <c r="X7" s="34">
        <f>INDEX('9 - Water Readings'!$J$8:$J$970,1+(2*(ROWS(A$1:A6)-1)))</f>
        <v>312</v>
      </c>
      <c r="Y7" s="34">
        <f>INDEX('9 - Water Readings'!$K$8:$K$970,1+(2*(ROWS(A$1:A6)-1)))</f>
        <v>0</v>
      </c>
      <c r="Z7" s="34">
        <f>INDEX('9 - Water Readings'!$L$8:$L$970,1+(2*(ROWS(A$1:A6)-1)))</f>
        <v>0</v>
      </c>
      <c r="AA7" s="35">
        <f>'9 - Water Readings'!Q12</f>
        <v>172</v>
      </c>
      <c r="AB7" s="33">
        <f>'9 - Water Readings'!R12</f>
        <v>732</v>
      </c>
      <c r="AC7">
        <f>'9 - Water Readings'!S12</f>
        <v>12.5</v>
      </c>
    </row>
    <row r="8" spans="1:29" x14ac:dyDescent="0.25">
      <c r="A8" s="36" t="s">
        <v>11</v>
      </c>
      <c r="B8" s="36">
        <f t="shared" si="0"/>
        <v>7</v>
      </c>
      <c r="C8" s="36">
        <v>5</v>
      </c>
      <c r="D8" s="33">
        <v>2022</v>
      </c>
      <c r="E8" s="34">
        <f>INDEX('13 - Electrical Readings'!$C$8:$C$966,1+(2*(ROWS(A$1:A7)-1)))</f>
        <v>17248</v>
      </c>
      <c r="F8" s="34">
        <f>INDEX('13 - Electrical Readings'!$D$6:$D$966,1+(2*(ROWS(A$1:A8)-1)))</f>
        <v>9345</v>
      </c>
      <c r="G8" s="33">
        <f>INDEX('13 - Electrical Readings'!$E$6:$E$966,1+(2*(ROWS(A$1:A8)-1)))</f>
        <v>4859</v>
      </c>
      <c r="H8" s="33">
        <f>INDEX('13 - Electrical Readings'!$F$6:$F$966,1+(2*(ROWS(A$1:A8)-1)))</f>
        <v>4685</v>
      </c>
      <c r="I8" s="34">
        <f>INDEX('13 - Electrical Readings'!$G$6:$G$966,1+(2*(ROWS(A$1:A8)-1)))</f>
        <v>14</v>
      </c>
      <c r="J8" s="33">
        <f>INDEX('13 - Electrical Readings'!$I$6:$I$966,1+(2*(ROWS(A$1:A8)-1)))</f>
        <v>1871</v>
      </c>
      <c r="K8" s="33">
        <f>INDEX('13 - Electrical Readings'!$J$6:$J$966,1+(2*(ROWS(B$1:B8)-1)))</f>
        <v>6970</v>
      </c>
      <c r="L8" s="33">
        <f>INDEX('13 - Electrical Readings'!$K$6:$K$966,1+(2*(ROWS(C$1:C8)-1)))</f>
        <v>3334</v>
      </c>
      <c r="M8" s="33">
        <f>INDEX('13 - Electrical Readings'!$L$6:$L$966,1+(2*(ROWS(D$1:D8)-1)))</f>
        <v>4532</v>
      </c>
      <c r="N8" s="33">
        <f>INDEX('13 - Electrical Readings'!$M$6:$M$966,1+(2*(ROWS(E$1:E8)-1)))</f>
        <v>7609</v>
      </c>
      <c r="O8" s="34">
        <f>INDEX('13 - Electrical Readings'!$N$6:$N$966,1+(2*(ROWS(E$1:E8)-1)))</f>
        <v>8272</v>
      </c>
      <c r="P8" s="34">
        <f>INDEX('13 - Electrical Readings'!$O$6:$O$966,1+(2*(ROWS(E$1:E8)-1)))</f>
        <v>3042</v>
      </c>
      <c r="Q8" s="34">
        <f>INDEX('13 - Electrical Readings'!$P$6:$P$966,1+(2*(ROWS(E$1:E8)-1)))</f>
        <v>2480</v>
      </c>
      <c r="R8" s="34">
        <f>INDEX('9 - Water Readings'!$C$8:$C$970,1+(2*(ROWS(A$1:A7)-1)))</f>
        <v>0</v>
      </c>
      <c r="S8" s="34">
        <f>INDEX('9 - Water Readings'!$D$8:$D$969,1+(2*(ROWS(A$1:A7)-1)))</f>
        <v>0</v>
      </c>
      <c r="T8" s="34">
        <f>INDEX('9 - Water Readings'!$E$8:$E$970,1+(2*(ROWS(A$1:A7)-1)))</f>
        <v>0</v>
      </c>
      <c r="U8" s="34">
        <f>INDEX('9 - Water Readings'!$G$8:$G$969,1+(2*(ROWS(A$1:A7)-1)))</f>
        <v>106</v>
      </c>
      <c r="V8" s="34">
        <f>INDEX('9 - Water Readings'!$H$8:$H$970,1+(2*(ROWS(A$1:A7)-1)))</f>
        <v>15</v>
      </c>
      <c r="W8" s="34">
        <f>INDEX('9 - Water Readings'!$I$8:$I$970,1+(2*(ROWS(A$1:A7)-1)))</f>
        <v>56</v>
      </c>
      <c r="X8" s="34">
        <f>INDEX('9 - Water Readings'!$J$8:$J$970,1+(2*(ROWS(A$1:A7)-1)))</f>
        <v>297</v>
      </c>
      <c r="Y8" s="34">
        <f>INDEX('9 - Water Readings'!$K$8:$K$970,1+(2*(ROWS(A$1:A7)-1)))</f>
        <v>0</v>
      </c>
      <c r="Z8" s="34">
        <f>INDEX('9 - Water Readings'!$L$8:$L$970,1+(2*(ROWS(A$1:A7)-1)))</f>
        <v>0</v>
      </c>
      <c r="AA8" s="35">
        <f>'9 - Water Readings'!Q13</f>
        <v>215</v>
      </c>
      <c r="AB8" s="33">
        <f>'9 - Water Readings'!R13</f>
        <v>922</v>
      </c>
      <c r="AC8">
        <f>'9 - Water Readings'!S13</f>
        <v>11</v>
      </c>
    </row>
    <row r="9" spans="1:29" x14ac:dyDescent="0.25">
      <c r="A9" s="36" t="s">
        <v>11</v>
      </c>
      <c r="B9" s="36">
        <f t="shared" si="0"/>
        <v>8</v>
      </c>
      <c r="C9" s="36">
        <v>5</v>
      </c>
      <c r="D9" s="33">
        <v>2022</v>
      </c>
      <c r="E9" s="34">
        <f>INDEX('13 - Electrical Readings'!$C$8:$C$966,1+(2*(ROWS(A$1:A8)-1)))</f>
        <v>11421</v>
      </c>
      <c r="F9" s="34">
        <f>INDEX('13 - Electrical Readings'!$D$6:$D$966,1+(2*(ROWS(A$1:A9)-1)))</f>
        <v>974</v>
      </c>
      <c r="G9" s="33">
        <f>INDEX('13 - Electrical Readings'!$E$6:$E$966,1+(2*(ROWS(A$1:A9)-1)))</f>
        <v>8053</v>
      </c>
      <c r="H9" s="33">
        <f>INDEX('13 - Electrical Readings'!$F$6:$F$966,1+(2*(ROWS(A$1:A9)-1)))</f>
        <v>4420</v>
      </c>
      <c r="I9" s="34">
        <f>INDEX('13 - Electrical Readings'!$G$6:$G$966,1+(2*(ROWS(A$1:A9)-1)))</f>
        <v>9476</v>
      </c>
      <c r="J9" s="33">
        <f>INDEX('13 - Electrical Readings'!$I$6:$I$966,1+(2*(ROWS(A$1:A9)-1)))</f>
        <v>1890</v>
      </c>
      <c r="K9" s="33">
        <f>INDEX('13 - Electrical Readings'!$J$6:$J$966,1+(2*(ROWS(B$1:B9)-1)))</f>
        <v>6974</v>
      </c>
      <c r="L9" s="33">
        <f>INDEX('13 - Electrical Readings'!$K$6:$K$966,1+(2*(ROWS(C$1:C9)-1)))</f>
        <v>3520</v>
      </c>
      <c r="M9" s="33">
        <f>INDEX('13 - Electrical Readings'!$L$6:$L$966,1+(2*(ROWS(D$1:D9)-1)))</f>
        <v>4590</v>
      </c>
      <c r="N9" s="33">
        <f>INDEX('13 - Electrical Readings'!$M$6:$M$966,1+(2*(ROWS(E$1:E9)-1)))</f>
        <v>7288</v>
      </c>
      <c r="O9" s="34">
        <f>INDEX('13 - Electrical Readings'!$N$6:$N$966,1+(2*(ROWS(E$1:E9)-1)))</f>
        <v>8296</v>
      </c>
      <c r="P9" s="34">
        <f>INDEX('13 - Electrical Readings'!$O$6:$O$966,1+(2*(ROWS(E$1:E9)-1)))</f>
        <v>3375</v>
      </c>
      <c r="Q9" s="34">
        <f>INDEX('13 - Electrical Readings'!$P$6:$P$966,1+(2*(ROWS(E$1:E9)-1)))</f>
        <v>2200</v>
      </c>
      <c r="R9" s="34">
        <f>INDEX('9 - Water Readings'!$C$8:$C$970,1+(2*(ROWS(A$1:A8)-1)))</f>
        <v>0</v>
      </c>
      <c r="S9" s="34">
        <f>INDEX('9 - Water Readings'!$D$8:$D$969,1+(2*(ROWS(A$1:A8)-1)))</f>
        <v>0</v>
      </c>
      <c r="T9" s="34">
        <f>INDEX('9 - Water Readings'!$E$8:$E$970,1+(2*(ROWS(A$1:A8)-1)))</f>
        <v>0</v>
      </c>
      <c r="U9" s="34">
        <f>INDEX('9 - Water Readings'!$G$8:$G$969,1+(2*(ROWS(A$1:A8)-1)))</f>
        <v>100</v>
      </c>
      <c r="V9" s="34">
        <f>INDEX('9 - Water Readings'!$H$8:$H$970,1+(2*(ROWS(A$1:A8)-1)))</f>
        <v>17</v>
      </c>
      <c r="W9" s="34">
        <f>INDEX('9 - Water Readings'!$I$8:$I$970,1+(2*(ROWS(A$1:A8)-1)))</f>
        <v>30</v>
      </c>
      <c r="X9" s="34">
        <f>INDEX('9 - Water Readings'!$J$8:$J$970,1+(2*(ROWS(A$1:A8)-1)))</f>
        <v>300</v>
      </c>
      <c r="Y9" s="34">
        <f>INDEX('9 - Water Readings'!$K$8:$K$970,1+(2*(ROWS(A$1:A8)-1)))</f>
        <v>0</v>
      </c>
      <c r="Z9" s="34">
        <f>INDEX('9 - Water Readings'!$L$8:$L$970,1+(2*(ROWS(A$1:A8)-1)))</f>
        <v>0</v>
      </c>
      <c r="AA9" s="35">
        <f>'9 - Water Readings'!Q14</f>
        <v>201</v>
      </c>
      <c r="AB9" s="33">
        <f>'9 - Water Readings'!R14</f>
        <v>840</v>
      </c>
      <c r="AC9">
        <f>'9 - Water Readings'!S14</f>
        <v>11</v>
      </c>
    </row>
    <row r="10" spans="1:29" x14ac:dyDescent="0.25">
      <c r="A10" s="36" t="s">
        <v>11</v>
      </c>
      <c r="B10" s="36">
        <f t="shared" si="0"/>
        <v>9</v>
      </c>
      <c r="C10" s="36">
        <v>5</v>
      </c>
      <c r="D10" s="33">
        <v>2022</v>
      </c>
      <c r="E10" s="34">
        <f>INDEX('13 - Electrical Readings'!$C$8:$C$966,1+(2*(ROWS(A$1:A9)-1)))</f>
        <v>3281</v>
      </c>
      <c r="F10" s="34">
        <f>INDEX('13 - Electrical Readings'!$D$6:$D$966,1+(2*(ROWS(A$1:A10)-1)))</f>
        <v>816</v>
      </c>
      <c r="G10" s="33">
        <f>INDEX('13 - Electrical Readings'!$E$6:$E$966,1+(2*(ROWS(A$1:A10)-1)))</f>
        <v>2915</v>
      </c>
      <c r="H10" s="33">
        <f>INDEX('13 - Electrical Readings'!$F$6:$F$966,1+(2*(ROWS(A$1:A10)-1)))</f>
        <v>3593</v>
      </c>
      <c r="I10" s="34">
        <f>INDEX('13 - Electrical Readings'!$G$6:$G$966,1+(2*(ROWS(A$1:A10)-1)))</f>
        <v>18797</v>
      </c>
      <c r="J10" s="33">
        <f>INDEX('13 - Electrical Readings'!$I$6:$I$966,1+(2*(ROWS(A$1:A10)-1)))</f>
        <v>2047</v>
      </c>
      <c r="K10" s="33">
        <f>INDEX('13 - Electrical Readings'!$J$6:$J$966,1+(2*(ROWS(B$1:B10)-1)))</f>
        <v>7717</v>
      </c>
      <c r="L10" s="33">
        <f>INDEX('13 - Electrical Readings'!$K$6:$K$966,1+(2*(ROWS(C$1:C10)-1)))</f>
        <v>3775</v>
      </c>
      <c r="M10" s="33">
        <f>INDEX('13 - Electrical Readings'!$L$6:$L$966,1+(2*(ROWS(D$1:D10)-1)))</f>
        <v>5129</v>
      </c>
      <c r="N10" s="33">
        <f>INDEX('13 - Electrical Readings'!$M$6:$M$966,1+(2*(ROWS(E$1:E10)-1)))</f>
        <v>7202</v>
      </c>
      <c r="O10" s="34">
        <f>INDEX('13 - Electrical Readings'!$N$6:$N$966,1+(2*(ROWS(E$1:E10)-1)))</f>
        <v>8364</v>
      </c>
      <c r="P10" s="34">
        <f>INDEX('13 - Electrical Readings'!$O$6:$O$966,1+(2*(ROWS(E$1:E10)-1)))</f>
        <v>3288</v>
      </c>
      <c r="Q10" s="34">
        <f>INDEX('13 - Electrical Readings'!$P$6:$P$966,1+(2*(ROWS(E$1:E10)-1)))</f>
        <v>2510</v>
      </c>
      <c r="R10" s="34">
        <f>INDEX('9 - Water Readings'!$C$8:$C$970,1+(2*(ROWS(A$1:A9)-1)))</f>
        <v>0</v>
      </c>
      <c r="S10" s="34">
        <f>INDEX('9 - Water Readings'!$D$8:$D$969,1+(2*(ROWS(A$1:A9)-1)))</f>
        <v>0</v>
      </c>
      <c r="T10" s="34">
        <f>INDEX('9 - Water Readings'!$E$8:$E$970,1+(2*(ROWS(A$1:A9)-1)))</f>
        <v>0</v>
      </c>
      <c r="U10" s="34">
        <f>INDEX('9 - Water Readings'!$G$8:$G$969,1+(2*(ROWS(A$1:A9)-1)))</f>
        <v>118</v>
      </c>
      <c r="V10" s="34">
        <f>INDEX('9 - Water Readings'!$H$8:$H$970,1+(2*(ROWS(A$1:A9)-1)))</f>
        <v>15</v>
      </c>
      <c r="W10" s="34">
        <f>INDEX('9 - Water Readings'!$I$8:$I$970,1+(2*(ROWS(A$1:A9)-1)))</f>
        <v>54</v>
      </c>
      <c r="X10" s="34">
        <f>INDEX('9 - Water Readings'!$J$8:$J$970,1+(2*(ROWS(A$1:A9)-1)))</f>
        <v>300</v>
      </c>
      <c r="Y10" s="34">
        <f>INDEX('9 - Water Readings'!$K$8:$K$970,1+(2*(ROWS(A$1:A9)-1)))</f>
        <v>0</v>
      </c>
      <c r="Z10" s="34">
        <f>INDEX('9 - Water Readings'!$L$8:$L$970,1+(2*(ROWS(A$1:A9)-1)))</f>
        <v>0</v>
      </c>
      <c r="AA10" s="35">
        <f>'9 - Water Readings'!Q15</f>
        <v>140</v>
      </c>
      <c r="AB10" s="33">
        <f>'9 - Water Readings'!R15</f>
        <v>442</v>
      </c>
      <c r="AC10">
        <f>'9 - Water Readings'!S15</f>
        <v>10</v>
      </c>
    </row>
    <row r="11" spans="1:29" x14ac:dyDescent="0.25">
      <c r="A11" s="36" t="s">
        <v>11</v>
      </c>
      <c r="B11" s="36">
        <f t="shared" si="0"/>
        <v>10</v>
      </c>
      <c r="C11" s="36">
        <v>5</v>
      </c>
      <c r="D11" s="33">
        <v>2022</v>
      </c>
      <c r="E11" s="34">
        <f>INDEX('13 - Electrical Readings'!$C$8:$C$966,1+(2*(ROWS(A$1:A10)-1)))</f>
        <v>5800</v>
      </c>
      <c r="F11" s="34">
        <f>INDEX('13 - Electrical Readings'!$D$6:$D$966,1+(2*(ROWS(A$1:A11)-1)))</f>
        <v>762</v>
      </c>
      <c r="G11" s="33">
        <f>INDEX('13 - Electrical Readings'!$E$6:$E$966,1+(2*(ROWS(A$1:A11)-1)))</f>
        <v>3319</v>
      </c>
      <c r="H11" s="33">
        <f>INDEX('13 - Electrical Readings'!$F$6:$F$966,1+(2*(ROWS(A$1:A11)-1)))</f>
        <v>3326</v>
      </c>
      <c r="I11" s="34">
        <f>INDEX('13 - Electrical Readings'!$G$6:$G$966,1+(2*(ROWS(A$1:A11)-1)))</f>
        <v>16667</v>
      </c>
      <c r="J11" s="33">
        <f>INDEX('13 - Electrical Readings'!$I$6:$I$966,1+(2*(ROWS(A$1:A11)-1)))</f>
        <v>1909</v>
      </c>
      <c r="K11" s="33">
        <f>INDEX('13 - Electrical Readings'!$J$6:$J$966,1+(2*(ROWS(B$1:B11)-1)))</f>
        <v>7056</v>
      </c>
      <c r="L11" s="33">
        <f>INDEX('13 - Electrical Readings'!$K$6:$K$966,1+(2*(ROWS(C$1:C11)-1)))</f>
        <v>3187</v>
      </c>
      <c r="M11" s="33">
        <f>INDEX('13 - Electrical Readings'!$L$6:$L$966,1+(2*(ROWS(D$1:D11)-1)))</f>
        <v>4166</v>
      </c>
      <c r="N11" s="33">
        <f>INDEX('13 - Electrical Readings'!$M$6:$M$966,1+(2*(ROWS(E$1:E11)-1)))</f>
        <v>6335</v>
      </c>
      <c r="O11" s="34">
        <f>INDEX('13 - Electrical Readings'!$N$6:$N$966,1+(2*(ROWS(E$1:E11)-1)))</f>
        <v>7607</v>
      </c>
      <c r="P11" s="34">
        <f>INDEX('13 - Electrical Readings'!$O$6:$O$966,1+(2*(ROWS(E$1:E11)-1)))</f>
        <v>3051</v>
      </c>
      <c r="Q11" s="34">
        <f>INDEX('13 - Electrical Readings'!$P$6:$P$966,1+(2*(ROWS(E$1:E11)-1)))</f>
        <v>2450</v>
      </c>
      <c r="R11" s="34">
        <f>INDEX('9 - Water Readings'!$C$8:$C$970,1+(2*(ROWS(A$1:A10)-1)))</f>
        <v>0</v>
      </c>
      <c r="S11" s="34">
        <f>INDEX('9 - Water Readings'!$D$8:$D$969,1+(2*(ROWS(A$1:A10)-1)))</f>
        <v>0</v>
      </c>
      <c r="T11" s="34">
        <f>INDEX('9 - Water Readings'!$E$8:$E$970,1+(2*(ROWS(A$1:A10)-1)))</f>
        <v>0</v>
      </c>
      <c r="U11" s="34">
        <f>INDEX('9 - Water Readings'!$G$8:$G$969,1+(2*(ROWS(A$1:A10)-1)))</f>
        <v>108</v>
      </c>
      <c r="V11" s="34">
        <f>INDEX('9 - Water Readings'!$H$8:$H$970,1+(2*(ROWS(A$1:A10)-1)))</f>
        <v>12</v>
      </c>
      <c r="W11" s="34">
        <f>INDEX('9 - Water Readings'!$I$8:$I$970,1+(2*(ROWS(A$1:A10)-1)))</f>
        <v>49</v>
      </c>
      <c r="X11" s="34">
        <f>INDEX('9 - Water Readings'!$J$8:$J$970,1+(2*(ROWS(A$1:A10)-1)))</f>
        <v>250</v>
      </c>
      <c r="Y11" s="34">
        <f>INDEX('9 - Water Readings'!$K$8:$K$970,1+(2*(ROWS(A$1:A10)-1)))</f>
        <v>0</v>
      </c>
      <c r="Z11" s="34">
        <f>INDEX('9 - Water Readings'!$L$8:$L$970,1+(2*(ROWS(A$1:A10)-1)))</f>
        <v>0</v>
      </c>
      <c r="AA11" s="35">
        <f>'9 - Water Readings'!Q16</f>
        <v>144</v>
      </c>
      <c r="AB11" s="33">
        <f>'9 - Water Readings'!R16</f>
        <v>206</v>
      </c>
      <c r="AC11">
        <f>'9 - Water Readings'!S16</f>
        <v>10.6</v>
      </c>
    </row>
    <row r="12" spans="1:29" x14ac:dyDescent="0.25">
      <c r="A12" s="36" t="s">
        <v>11</v>
      </c>
      <c r="B12" s="36">
        <f t="shared" si="0"/>
        <v>11</v>
      </c>
      <c r="C12" s="36">
        <v>5</v>
      </c>
      <c r="D12" s="33">
        <v>2022</v>
      </c>
      <c r="E12" s="34">
        <f>INDEX('13 - Electrical Readings'!$C$8:$C$966,1+(2*(ROWS(A$1:A11)-1)))</f>
        <v>5876</v>
      </c>
      <c r="F12" s="34">
        <f>INDEX('13 - Electrical Readings'!$D$6:$D$966,1+(2*(ROWS(A$1:A12)-1)))</f>
        <v>774</v>
      </c>
      <c r="G12" s="33">
        <f>INDEX('13 - Electrical Readings'!$E$6:$E$966,1+(2*(ROWS(A$1:A12)-1)))</f>
        <v>3324</v>
      </c>
      <c r="H12" s="33">
        <f>INDEX('13 - Electrical Readings'!$F$6:$F$966,1+(2*(ROWS(A$1:A12)-1)))</f>
        <v>3485</v>
      </c>
      <c r="I12" s="34">
        <f>INDEX('13 - Electrical Readings'!$G$6:$G$966,1+(2*(ROWS(A$1:A12)-1)))</f>
        <v>17797</v>
      </c>
      <c r="J12" s="33">
        <f>INDEX('13 - Electrical Readings'!$I$6:$I$966,1+(2*(ROWS(A$1:A12)-1)))</f>
        <v>2072</v>
      </c>
      <c r="K12" s="33">
        <f>INDEX('13 - Electrical Readings'!$J$6:$J$966,1+(2*(ROWS(B$1:B12)-1)))</f>
        <v>7681</v>
      </c>
      <c r="L12" s="33">
        <f>INDEX('13 - Electrical Readings'!$K$6:$K$966,1+(2*(ROWS(C$1:C12)-1)))</f>
        <v>3638</v>
      </c>
      <c r="M12" s="33">
        <f>INDEX('13 - Electrical Readings'!$L$6:$L$966,1+(2*(ROWS(D$1:D12)-1)))</f>
        <v>4605</v>
      </c>
      <c r="N12" s="33">
        <f>INDEX('13 - Electrical Readings'!$M$6:$M$966,1+(2*(ROWS(E$1:E12)-1)))</f>
        <v>6897</v>
      </c>
      <c r="O12" s="34">
        <f>INDEX('13 - Electrical Readings'!$N$6:$N$966,1+(2*(ROWS(E$1:E12)-1)))</f>
        <v>8317</v>
      </c>
      <c r="P12" s="34">
        <f>INDEX('13 - Electrical Readings'!$O$6:$O$966,1+(2*(ROWS(E$1:E12)-1)))</f>
        <v>3314</v>
      </c>
      <c r="Q12" s="34">
        <f>INDEX('13 - Electrical Readings'!$P$6:$P$966,1+(2*(ROWS(E$1:E12)-1)))</f>
        <v>2500</v>
      </c>
      <c r="R12" s="34">
        <f>INDEX('9 - Water Readings'!$C$8:$C$970,1+(2*(ROWS(A$1:A11)-1)))</f>
        <v>0</v>
      </c>
      <c r="S12" s="34">
        <f>INDEX('9 - Water Readings'!$D$8:$D$969,1+(2*(ROWS(A$1:A11)-1)))</f>
        <v>0</v>
      </c>
      <c r="T12" s="34">
        <f>INDEX('9 - Water Readings'!$E$8:$E$970,1+(2*(ROWS(A$1:A11)-1)))</f>
        <v>0</v>
      </c>
      <c r="U12" s="34">
        <f>INDEX('9 - Water Readings'!$G$8:$G$969,1+(2*(ROWS(A$1:A11)-1)))</f>
        <v>107</v>
      </c>
      <c r="V12" s="34">
        <f>INDEX('9 - Water Readings'!$H$8:$H$970,1+(2*(ROWS(A$1:A11)-1)))</f>
        <v>12</v>
      </c>
      <c r="W12" s="34">
        <f>INDEX('9 - Water Readings'!$I$8:$I$970,1+(2*(ROWS(A$1:A11)-1)))</f>
        <v>49</v>
      </c>
      <c r="X12" s="34">
        <f>INDEX('9 - Water Readings'!$J$8:$J$970,1+(2*(ROWS(A$1:A11)-1)))</f>
        <v>274</v>
      </c>
      <c r="Y12" s="34">
        <f>INDEX('9 - Water Readings'!$K$8:$K$970,1+(2*(ROWS(A$1:A11)-1)))</f>
        <v>0</v>
      </c>
      <c r="Z12" s="34">
        <f>INDEX('9 - Water Readings'!$L$8:$L$970,1+(2*(ROWS(A$1:A11)-1)))</f>
        <v>0</v>
      </c>
      <c r="AA12" s="35">
        <f>'9 - Water Readings'!Q17</f>
        <v>151</v>
      </c>
      <c r="AB12" s="33">
        <f>'9 - Water Readings'!R17</f>
        <v>440</v>
      </c>
      <c r="AC12">
        <f>'9 - Water Readings'!S17</f>
        <v>13.2</v>
      </c>
    </row>
    <row r="13" spans="1:29" x14ac:dyDescent="0.25">
      <c r="A13" s="36" t="s">
        <v>11</v>
      </c>
      <c r="B13" s="36">
        <f t="shared" si="0"/>
        <v>12</v>
      </c>
      <c r="C13" s="36">
        <v>5</v>
      </c>
      <c r="D13" s="33">
        <v>2022</v>
      </c>
      <c r="E13" s="34">
        <f>INDEX('13 - Electrical Readings'!$C$8:$C$966,1+(2*(ROWS(A$1:A12)-1)))</f>
        <v>7188</v>
      </c>
      <c r="F13" s="34">
        <f>INDEX('13 - Electrical Readings'!$D$6:$D$966,1+(2*(ROWS(A$1:A13)-1)))</f>
        <v>789</v>
      </c>
      <c r="G13" s="33">
        <f>INDEX('13 - Electrical Readings'!$E$6:$E$966,1+(2*(ROWS(A$1:A13)-1)))</f>
        <v>3510</v>
      </c>
      <c r="H13" s="33">
        <f>INDEX('13 - Electrical Readings'!$F$6:$F$966,1+(2*(ROWS(A$1:A13)-1)))</f>
        <v>3422</v>
      </c>
      <c r="I13" s="34">
        <f>INDEX('13 - Electrical Readings'!$G$6:$G$966,1+(2*(ROWS(A$1:A13)-1)))</f>
        <v>17573</v>
      </c>
      <c r="J13" s="33">
        <f>INDEX('13 - Electrical Readings'!$I$6:$I$966,1+(2*(ROWS(A$1:A13)-1)))</f>
        <v>2014</v>
      </c>
      <c r="K13" s="33">
        <f>INDEX('13 - Electrical Readings'!$J$6:$J$966,1+(2*(ROWS(B$1:B13)-1)))</f>
        <v>7601</v>
      </c>
      <c r="L13" s="33">
        <f>INDEX('13 - Electrical Readings'!$K$6:$K$966,1+(2*(ROWS(C$1:C13)-1)))</f>
        <v>3684</v>
      </c>
      <c r="M13" s="33">
        <f>INDEX('13 - Electrical Readings'!$L$6:$L$966,1+(2*(ROWS(D$1:D13)-1)))</f>
        <v>4585</v>
      </c>
      <c r="N13" s="33">
        <f>INDEX('13 - Electrical Readings'!$M$6:$M$966,1+(2*(ROWS(E$1:E13)-1)))</f>
        <v>6584</v>
      </c>
      <c r="O13" s="34">
        <f>INDEX('13 - Electrical Readings'!$N$6:$N$966,1+(2*(ROWS(E$1:E13)-1)))</f>
        <v>8326</v>
      </c>
      <c r="P13" s="34">
        <f>INDEX('13 - Electrical Readings'!$O$6:$O$966,1+(2*(ROWS(E$1:E13)-1)))</f>
        <v>3514</v>
      </c>
      <c r="Q13" s="34">
        <f>INDEX('13 - Electrical Readings'!$P$6:$P$966,1+(2*(ROWS(E$1:E13)-1)))</f>
        <v>2400</v>
      </c>
      <c r="R13" s="34">
        <f>INDEX('9 - Water Readings'!$C$8:$C$970,1+(2*(ROWS(A$1:A12)-1)))</f>
        <v>0</v>
      </c>
      <c r="S13" s="34">
        <f>INDEX('9 - Water Readings'!$D$8:$D$969,1+(2*(ROWS(A$1:A12)-1)))</f>
        <v>0</v>
      </c>
      <c r="T13" s="34">
        <f>INDEX('9 - Water Readings'!$E$8:$E$970,1+(2*(ROWS(A$1:A12)-1)))</f>
        <v>0</v>
      </c>
      <c r="U13" s="34">
        <f>INDEX('9 - Water Readings'!$G$8:$G$969,1+(2*(ROWS(A$1:A12)-1)))</f>
        <v>108</v>
      </c>
      <c r="V13" s="34">
        <f>INDEX('9 - Water Readings'!$H$8:$H$970,1+(2*(ROWS(A$1:A12)-1)))</f>
        <v>13</v>
      </c>
      <c r="W13" s="34">
        <f>INDEX('9 - Water Readings'!$I$8:$I$970,1+(2*(ROWS(A$1:A12)-1)))</f>
        <v>51</v>
      </c>
      <c r="X13" s="34">
        <f>INDEX('9 - Water Readings'!$J$8:$J$970,1+(2*(ROWS(A$1:A12)-1)))</f>
        <v>324</v>
      </c>
      <c r="Y13" s="34">
        <f>INDEX('9 - Water Readings'!$K$8:$K$970,1+(2*(ROWS(A$1:A12)-1)))</f>
        <v>0</v>
      </c>
      <c r="Z13" s="34">
        <f>INDEX('9 - Water Readings'!$L$8:$L$970,1+(2*(ROWS(A$1:A12)-1)))</f>
        <v>0</v>
      </c>
      <c r="AA13" s="35">
        <f>'9 - Water Readings'!Q18</f>
        <v>163</v>
      </c>
      <c r="AB13" s="33">
        <f>'9 - Water Readings'!R18</f>
        <v>574</v>
      </c>
      <c r="AC13">
        <f>'9 - Water Readings'!S18</f>
        <v>13.6</v>
      </c>
    </row>
    <row r="14" spans="1:29" x14ac:dyDescent="0.25">
      <c r="A14" s="36" t="s">
        <v>11</v>
      </c>
      <c r="B14" s="36">
        <f t="shared" si="0"/>
        <v>13</v>
      </c>
      <c r="C14" s="36">
        <v>5</v>
      </c>
      <c r="D14" s="33">
        <v>2022</v>
      </c>
      <c r="E14" s="34">
        <f>INDEX('13 - Electrical Readings'!$C$8:$C$966,1+(2*(ROWS(A$1:A13)-1)))</f>
        <v>11098</v>
      </c>
      <c r="F14" s="34">
        <f>INDEX('13 - Electrical Readings'!$D$6:$D$966,1+(2*(ROWS(A$1:A14)-1)))</f>
        <v>801</v>
      </c>
      <c r="G14" s="33">
        <f>INDEX('13 - Electrical Readings'!$E$6:$E$966,1+(2*(ROWS(A$1:A14)-1)))</f>
        <v>4207</v>
      </c>
      <c r="H14" s="33">
        <f>INDEX('13 - Electrical Readings'!$F$6:$F$966,1+(2*(ROWS(A$1:A14)-1)))</f>
        <v>3675</v>
      </c>
      <c r="I14" s="34">
        <f>INDEX('13 - Electrical Readings'!$G$6:$G$966,1+(2*(ROWS(A$1:A14)-1)))</f>
        <v>15884</v>
      </c>
      <c r="J14" s="33">
        <f>INDEX('13 - Electrical Readings'!$I$6:$I$966,1+(2*(ROWS(A$1:A14)-1)))</f>
        <v>2078</v>
      </c>
      <c r="K14" s="33">
        <f>INDEX('13 - Electrical Readings'!$J$6:$J$966,1+(2*(ROWS(B$1:B14)-1)))</f>
        <v>7688</v>
      </c>
      <c r="L14" s="33">
        <f>INDEX('13 - Electrical Readings'!$K$6:$K$966,1+(2*(ROWS(C$1:C14)-1)))</f>
        <v>3477</v>
      </c>
      <c r="M14" s="33">
        <f>INDEX('13 - Electrical Readings'!$L$6:$L$966,1+(2*(ROWS(D$1:D14)-1)))</f>
        <v>4682</v>
      </c>
      <c r="N14" s="33">
        <f>INDEX('13 - Electrical Readings'!$M$6:$M$966,1+(2*(ROWS(E$1:E14)-1)))</f>
        <v>6833</v>
      </c>
      <c r="O14" s="34">
        <f>INDEX('13 - Electrical Readings'!$N$6:$N$966,1+(2*(ROWS(E$1:E14)-1)))</f>
        <v>8398</v>
      </c>
      <c r="P14" s="34">
        <f>INDEX('13 - Electrical Readings'!$O$6:$O$966,1+(2*(ROWS(E$1:E14)-1)))</f>
        <v>3255</v>
      </c>
      <c r="Q14" s="34">
        <f>INDEX('13 - Electrical Readings'!$P$6:$P$966,1+(2*(ROWS(E$1:E14)-1)))</f>
        <v>2710</v>
      </c>
      <c r="R14" s="34">
        <f>INDEX('9 - Water Readings'!$C$8:$C$970,1+(2*(ROWS(A$1:A13)-1)))</f>
        <v>0</v>
      </c>
      <c r="S14" s="34">
        <f>INDEX('9 - Water Readings'!$D$8:$D$969,1+(2*(ROWS(A$1:A13)-1)))</f>
        <v>0</v>
      </c>
      <c r="T14" s="34">
        <f>INDEX('9 - Water Readings'!$E$8:$E$970,1+(2*(ROWS(A$1:A13)-1)))</f>
        <v>0</v>
      </c>
      <c r="U14" s="34">
        <f>INDEX('9 - Water Readings'!$G$8:$G$969,1+(2*(ROWS(A$1:A13)-1)))</f>
        <v>106</v>
      </c>
      <c r="V14" s="34">
        <f>INDEX('9 - Water Readings'!$H$8:$H$970,1+(2*(ROWS(A$1:A13)-1)))</f>
        <v>14</v>
      </c>
      <c r="W14" s="34">
        <f>INDEX('9 - Water Readings'!$I$8:$I$970,1+(2*(ROWS(A$1:A13)-1)))</f>
        <v>57</v>
      </c>
      <c r="X14" s="34">
        <f>INDEX('9 - Water Readings'!$J$8:$J$970,1+(2*(ROWS(A$1:A13)-1)))</f>
        <v>305</v>
      </c>
      <c r="Y14" s="34">
        <f>INDEX('9 - Water Readings'!$K$8:$K$970,1+(2*(ROWS(A$1:A13)-1)))</f>
        <v>0</v>
      </c>
      <c r="Z14" s="34">
        <f>INDEX('9 - Water Readings'!$L$8:$L$970,1+(2*(ROWS(A$1:A13)-1)))</f>
        <v>0</v>
      </c>
      <c r="AA14" s="35">
        <f>'9 - Water Readings'!Q19</f>
        <v>168</v>
      </c>
      <c r="AB14" s="33">
        <f>'9 - Water Readings'!R19</f>
        <v>628</v>
      </c>
      <c r="AC14">
        <f>'9 - Water Readings'!S19</f>
        <v>12.4</v>
      </c>
    </row>
    <row r="15" spans="1:29" x14ac:dyDescent="0.25">
      <c r="A15" s="36" t="s">
        <v>11</v>
      </c>
      <c r="B15" s="36">
        <f t="shared" si="0"/>
        <v>14</v>
      </c>
      <c r="C15" s="36">
        <v>5</v>
      </c>
      <c r="D15" s="33">
        <v>2022</v>
      </c>
      <c r="E15" s="34">
        <f>INDEX('13 - Electrical Readings'!$C$8:$C$966,1+(2*(ROWS(A$1:A14)-1)))</f>
        <v>5381</v>
      </c>
      <c r="F15" s="34">
        <f>INDEX('13 - Electrical Readings'!$D$6:$D$966,1+(2*(ROWS(A$1:A15)-1)))</f>
        <v>827</v>
      </c>
      <c r="G15" s="33">
        <f>INDEX('13 - Electrical Readings'!$E$6:$E$966,1+(2*(ROWS(A$1:A15)-1)))</f>
        <v>3255</v>
      </c>
      <c r="H15" s="33">
        <f>INDEX('13 - Electrical Readings'!$F$6:$F$966,1+(2*(ROWS(A$1:A15)-1)))</f>
        <v>3379</v>
      </c>
      <c r="I15" s="34">
        <f>INDEX('13 - Electrical Readings'!$G$6:$G$966,1+(2*(ROWS(A$1:A15)-1)))</f>
        <v>18206</v>
      </c>
      <c r="J15" s="33">
        <f>INDEX('13 - Electrical Readings'!$I$6:$I$966,1+(2*(ROWS(A$1:A15)-1)))</f>
        <v>1965</v>
      </c>
      <c r="K15" s="33">
        <f>INDEX('13 - Electrical Readings'!$J$6:$J$966,1+(2*(ROWS(B$1:B15)-1)))</f>
        <v>7465</v>
      </c>
      <c r="L15" s="33">
        <f>INDEX('13 - Electrical Readings'!$K$6:$K$966,1+(2*(ROWS(C$1:C15)-1)))</f>
        <v>3257</v>
      </c>
      <c r="M15" s="33">
        <f>INDEX('13 - Electrical Readings'!$L$6:$L$966,1+(2*(ROWS(D$1:D15)-1)))</f>
        <v>4456</v>
      </c>
      <c r="N15" s="33">
        <f>INDEX('13 - Electrical Readings'!$M$6:$M$966,1+(2*(ROWS(E$1:E15)-1)))</f>
        <v>7046</v>
      </c>
      <c r="O15" s="34">
        <f>INDEX('13 - Electrical Readings'!$N$6:$N$966,1+(2*(ROWS(E$1:E15)-1)))</f>
        <v>7964</v>
      </c>
      <c r="P15" s="34">
        <f>INDEX('13 - Electrical Readings'!$O$6:$O$966,1+(2*(ROWS(E$1:E15)-1)))</f>
        <v>3271</v>
      </c>
      <c r="Q15" s="34">
        <f>INDEX('13 - Electrical Readings'!$P$6:$P$966,1+(2*(ROWS(E$1:E15)-1)))</f>
        <v>2270</v>
      </c>
      <c r="R15" s="34">
        <f>INDEX('9 - Water Readings'!$C$8:$C$970,1+(2*(ROWS(A$1:A14)-1)))</f>
        <v>0</v>
      </c>
      <c r="S15" s="34">
        <f>INDEX('9 - Water Readings'!$D$8:$D$969,1+(2*(ROWS(A$1:A14)-1)))</f>
        <v>0</v>
      </c>
      <c r="T15" s="34">
        <f>INDEX('9 - Water Readings'!$E$8:$E$970,1+(2*(ROWS(A$1:A14)-1)))</f>
        <v>0</v>
      </c>
      <c r="U15" s="34">
        <f>INDEX('9 - Water Readings'!$G$8:$G$969,1+(2*(ROWS(A$1:A14)-1)))</f>
        <v>104</v>
      </c>
      <c r="V15" s="34">
        <f>INDEX('9 - Water Readings'!$H$8:$H$970,1+(2*(ROWS(A$1:A14)-1)))</f>
        <v>12</v>
      </c>
      <c r="W15" s="34">
        <f>INDEX('9 - Water Readings'!$I$8:$I$970,1+(2*(ROWS(A$1:A14)-1)))</f>
        <v>50</v>
      </c>
      <c r="X15" s="34">
        <f>INDEX('9 - Water Readings'!$J$8:$J$970,1+(2*(ROWS(A$1:A14)-1)))</f>
        <v>277</v>
      </c>
      <c r="Y15" s="34">
        <f>INDEX('9 - Water Readings'!$K$8:$K$970,1+(2*(ROWS(A$1:A14)-1)))</f>
        <v>0</v>
      </c>
      <c r="Z15" s="34">
        <f>INDEX('9 - Water Readings'!$L$8:$L$970,1+(2*(ROWS(A$1:A14)-1)))</f>
        <v>0</v>
      </c>
      <c r="AA15" s="35">
        <f>'9 - Water Readings'!Q20</f>
        <v>125</v>
      </c>
      <c r="AB15" s="33">
        <f>'9 - Water Readings'!R20</f>
        <v>382</v>
      </c>
      <c r="AC15">
        <f>'9 - Water Readings'!S20</f>
        <v>10.4</v>
      </c>
    </row>
    <row r="16" spans="1:29" x14ac:dyDescent="0.25">
      <c r="A16" s="36" t="s">
        <v>11</v>
      </c>
      <c r="B16" s="36">
        <f t="shared" si="0"/>
        <v>15</v>
      </c>
      <c r="C16" s="36">
        <v>5</v>
      </c>
      <c r="D16" s="33">
        <v>2022</v>
      </c>
      <c r="E16" s="34">
        <f>INDEX('13 - Electrical Readings'!$C$8:$C$966,1+(2*(ROWS(A$1:A15)-1)))</f>
        <v>2945</v>
      </c>
      <c r="F16" s="34">
        <f>INDEX('13 - Electrical Readings'!$D$6:$D$966,1+(2*(ROWS(A$1:A16)-1)))</f>
        <v>814</v>
      </c>
      <c r="G16" s="33">
        <f>INDEX('13 - Electrical Readings'!$E$6:$E$966,1+(2*(ROWS(A$1:A16)-1)))</f>
        <v>4116</v>
      </c>
      <c r="H16" s="33">
        <f>INDEX('13 - Electrical Readings'!$F$6:$F$966,1+(2*(ROWS(A$1:A16)-1)))</f>
        <v>9253</v>
      </c>
      <c r="I16" s="34">
        <f>INDEX('13 - Electrical Readings'!$G$6:$G$966,1+(2*(ROWS(A$1:A16)-1)))</f>
        <v>17614</v>
      </c>
      <c r="J16" s="33">
        <f>INDEX('13 - Electrical Readings'!$I$6:$I$966,1+(2*(ROWS(A$1:A16)-1)))</f>
        <v>1506</v>
      </c>
      <c r="K16" s="33">
        <f>INDEX('13 - Electrical Readings'!$J$6:$J$966,1+(2*(ROWS(B$1:B16)-1)))</f>
        <v>7554</v>
      </c>
      <c r="L16" s="33">
        <f>INDEX('13 - Electrical Readings'!$K$6:$K$966,1+(2*(ROWS(C$1:C16)-1)))</f>
        <v>3360</v>
      </c>
      <c r="M16" s="33">
        <f>INDEX('13 - Electrical Readings'!$L$6:$L$966,1+(2*(ROWS(D$1:D16)-1)))</f>
        <v>4174</v>
      </c>
      <c r="N16" s="33">
        <f>INDEX('13 - Electrical Readings'!$M$6:$M$966,1+(2*(ROWS(E$1:E16)-1)))</f>
        <v>9531</v>
      </c>
      <c r="O16" s="34">
        <f>INDEX('13 - Electrical Readings'!$N$6:$N$966,1+(2*(ROWS(E$1:E16)-1)))</f>
        <v>8048</v>
      </c>
      <c r="P16" s="34">
        <f>INDEX('13 - Electrical Readings'!$O$6:$O$966,1+(2*(ROWS(E$1:E16)-1)))</f>
        <v>2793</v>
      </c>
      <c r="Q16" s="34">
        <f>INDEX('13 - Electrical Readings'!$P$6:$P$966,1+(2*(ROWS(E$1:E16)-1)))</f>
        <v>2050</v>
      </c>
      <c r="R16" s="34">
        <f>INDEX('9 - Water Readings'!$C$8:$C$970,1+(2*(ROWS(A$1:A15)-1)))</f>
        <v>1</v>
      </c>
      <c r="S16" s="34">
        <f>INDEX('9 - Water Readings'!$D$8:$D$969,1+(2*(ROWS(A$1:A15)-1)))</f>
        <v>0</v>
      </c>
      <c r="T16" s="34">
        <f>INDEX('9 - Water Readings'!$E$8:$E$970,1+(2*(ROWS(A$1:A15)-1)))</f>
        <v>0</v>
      </c>
      <c r="U16" s="34">
        <f>INDEX('9 - Water Readings'!$G$8:$G$969,1+(2*(ROWS(A$1:A15)-1)))</f>
        <v>81</v>
      </c>
      <c r="V16" s="34">
        <f>INDEX('9 - Water Readings'!$H$8:$H$970,1+(2*(ROWS(A$1:A15)-1)))</f>
        <v>10</v>
      </c>
      <c r="W16" s="34">
        <f>INDEX('9 - Water Readings'!$I$8:$I$970,1+(2*(ROWS(A$1:A15)-1)))</f>
        <v>32</v>
      </c>
      <c r="X16" s="34">
        <f>INDEX('9 - Water Readings'!$J$8:$J$970,1+(2*(ROWS(A$1:A15)-1)))</f>
        <v>259</v>
      </c>
      <c r="Y16" s="34">
        <f>INDEX('9 - Water Readings'!$K$8:$K$970,1+(2*(ROWS(A$1:A15)-1)))</f>
        <v>0</v>
      </c>
      <c r="Z16" s="34">
        <f>INDEX('9 - Water Readings'!$L$8:$L$970,1+(2*(ROWS(A$1:A15)-1)))</f>
        <v>0</v>
      </c>
      <c r="AA16" s="35">
        <f>'9 - Water Readings'!Q21</f>
        <v>124</v>
      </c>
      <c r="AB16" s="33">
        <f>'9 - Water Readings'!R21</f>
        <v>346</v>
      </c>
      <c r="AC16">
        <f>'9 - Water Readings'!S21</f>
        <v>10.3</v>
      </c>
    </row>
    <row r="17" spans="1:29" x14ac:dyDescent="0.25">
      <c r="A17" s="36" t="s">
        <v>11</v>
      </c>
      <c r="B17" s="36">
        <f t="shared" si="0"/>
        <v>16</v>
      </c>
      <c r="C17" s="36">
        <v>5</v>
      </c>
      <c r="D17" s="33">
        <v>2022</v>
      </c>
      <c r="E17" s="34">
        <f>INDEX('13 - Electrical Readings'!$C$8:$C$966,1+(2*(ROWS(A$1:A16)-1)))</f>
        <v>8660</v>
      </c>
      <c r="F17" s="34">
        <f>INDEX('13 - Electrical Readings'!$D$6:$D$966,1+(2*(ROWS(A$1:A17)-1)))</f>
        <v>955</v>
      </c>
      <c r="G17" s="33">
        <f>INDEX('13 - Electrical Readings'!$E$6:$E$966,1+(2*(ROWS(A$1:A17)-1)))</f>
        <v>3993</v>
      </c>
      <c r="H17" s="33">
        <f>INDEX('13 - Electrical Readings'!$F$6:$F$966,1+(2*(ROWS(A$1:A17)-1)))</f>
        <v>15193</v>
      </c>
      <c r="I17" s="34">
        <f>INDEX('13 - Electrical Readings'!$G$6:$G$966,1+(2*(ROWS(A$1:A17)-1)))</f>
        <v>1146</v>
      </c>
      <c r="J17" s="33">
        <f>INDEX('13 - Electrical Readings'!$I$6:$I$966,1+(2*(ROWS(A$1:A17)-1)))</f>
        <v>1479</v>
      </c>
      <c r="K17" s="33">
        <f>INDEX('13 - Electrical Readings'!$J$6:$J$966,1+(2*(ROWS(B$1:B17)-1)))</f>
        <v>7989</v>
      </c>
      <c r="L17" s="33">
        <f>INDEX('13 - Electrical Readings'!$K$6:$K$966,1+(2*(ROWS(C$1:C17)-1)))</f>
        <v>3436</v>
      </c>
      <c r="M17" s="33">
        <f>INDEX('13 - Electrical Readings'!$L$6:$L$966,1+(2*(ROWS(D$1:D17)-1)))</f>
        <v>4425</v>
      </c>
      <c r="N17" s="33">
        <f>INDEX('13 - Electrical Readings'!$M$6:$M$966,1+(2*(ROWS(E$1:E17)-1)))</f>
        <v>9165</v>
      </c>
      <c r="O17" s="34">
        <f>INDEX('13 - Electrical Readings'!$N$6:$N$966,1+(2*(ROWS(E$1:E17)-1)))</f>
        <v>8206</v>
      </c>
      <c r="P17" s="34">
        <f>INDEX('13 - Electrical Readings'!$O$6:$O$966,1+(2*(ROWS(E$1:E17)-1)))</f>
        <v>3464</v>
      </c>
      <c r="Q17" s="34">
        <f>INDEX('13 - Electrical Readings'!$P$6:$P$966,1+(2*(ROWS(E$1:E17)-1)))</f>
        <v>2480</v>
      </c>
      <c r="R17" s="34">
        <f>INDEX('9 - Water Readings'!$C$8:$C$970,1+(2*(ROWS(A$1:A16)-1)))</f>
        <v>0</v>
      </c>
      <c r="S17" s="34">
        <f>INDEX('9 - Water Readings'!$D$8:$D$969,1+(2*(ROWS(A$1:A16)-1)))</f>
        <v>0</v>
      </c>
      <c r="T17" s="34">
        <f>INDEX('9 - Water Readings'!$E$8:$E$970,1+(2*(ROWS(A$1:A16)-1)))</f>
        <v>0</v>
      </c>
      <c r="U17" s="34">
        <f>INDEX('9 - Water Readings'!$G$8:$G$969,1+(2*(ROWS(A$1:A16)-1)))</f>
        <v>81</v>
      </c>
      <c r="V17" s="34">
        <f>INDEX('9 - Water Readings'!$H$8:$H$970,1+(2*(ROWS(A$1:A16)-1)))</f>
        <v>12</v>
      </c>
      <c r="W17" s="34">
        <f>INDEX('9 - Water Readings'!$I$8:$I$970,1+(2*(ROWS(A$1:A16)-1)))</f>
        <v>47</v>
      </c>
      <c r="X17" s="34">
        <f>INDEX('9 - Water Readings'!$J$8:$J$970,1+(2*(ROWS(A$1:A16)-1)))</f>
        <v>250</v>
      </c>
      <c r="Y17" s="34">
        <f>INDEX('9 - Water Readings'!$K$8:$K$970,1+(2*(ROWS(A$1:A16)-1)))</f>
        <v>0</v>
      </c>
      <c r="Z17" s="34">
        <f>INDEX('9 - Water Readings'!$L$8:$L$970,1+(2*(ROWS(A$1:A16)-1)))</f>
        <v>0</v>
      </c>
      <c r="AA17" s="35">
        <f>'9 - Water Readings'!Q22</f>
        <v>133</v>
      </c>
      <c r="AB17" s="33">
        <f>'9 - Water Readings'!R22</f>
        <v>384</v>
      </c>
      <c r="AC17">
        <f>'9 - Water Readings'!S22</f>
        <v>11.9</v>
      </c>
    </row>
    <row r="18" spans="1:29" x14ac:dyDescent="0.25">
      <c r="A18" s="36" t="s">
        <v>11</v>
      </c>
      <c r="B18" s="36">
        <f t="shared" si="0"/>
        <v>17</v>
      </c>
      <c r="C18" s="36">
        <v>5</v>
      </c>
      <c r="D18" s="33">
        <v>2022</v>
      </c>
      <c r="E18" s="34">
        <f>INDEX('13 - Electrical Readings'!$C$8:$C$966,1+(2*(ROWS(A$1:A17)-1)))</f>
        <v>8570</v>
      </c>
      <c r="F18" s="34">
        <f>INDEX('13 - Electrical Readings'!$D$6:$D$966,1+(2*(ROWS(A$1:A18)-1)))</f>
        <v>797</v>
      </c>
      <c r="G18" s="33">
        <f>INDEX('13 - Electrical Readings'!$E$6:$E$966,1+(2*(ROWS(A$1:A18)-1)))</f>
        <v>3794</v>
      </c>
      <c r="H18" s="33">
        <f>INDEX('13 - Electrical Readings'!$F$6:$F$966,1+(2*(ROWS(A$1:A18)-1)))</f>
        <v>14225</v>
      </c>
      <c r="I18" s="34">
        <f>INDEX('13 - Electrical Readings'!$G$6:$G$966,1+(2*(ROWS(A$1:A18)-1)))</f>
        <v>13</v>
      </c>
      <c r="J18" s="33">
        <f>INDEX('13 - Electrical Readings'!$I$6:$I$966,1+(2*(ROWS(A$1:A18)-1)))</f>
        <v>1395</v>
      </c>
      <c r="K18" s="33">
        <f>INDEX('13 - Electrical Readings'!$J$6:$J$966,1+(2*(ROWS(B$1:B18)-1)))</f>
        <v>6789</v>
      </c>
      <c r="L18" s="33">
        <f>INDEX('13 - Electrical Readings'!$K$6:$K$966,1+(2*(ROWS(C$1:C18)-1)))</f>
        <v>3220</v>
      </c>
      <c r="M18" s="33">
        <f>INDEX('13 - Electrical Readings'!$L$6:$L$966,1+(2*(ROWS(D$1:D18)-1)))</f>
        <v>4293</v>
      </c>
      <c r="N18" s="33">
        <f>INDEX('13 - Electrical Readings'!$M$6:$M$966,1+(2*(ROWS(E$1:E18)-1)))</f>
        <v>6879</v>
      </c>
      <c r="O18" s="34">
        <f>INDEX('13 - Electrical Readings'!$N$6:$N$966,1+(2*(ROWS(E$1:E18)-1)))</f>
        <v>7836</v>
      </c>
      <c r="P18" s="34">
        <f>INDEX('13 - Electrical Readings'!$O$6:$O$966,1+(2*(ROWS(E$1:E18)-1)))</f>
        <v>3123</v>
      </c>
      <c r="Q18" s="34">
        <f>INDEX('13 - Electrical Readings'!$P$6:$P$966,1+(2*(ROWS(E$1:E18)-1)))</f>
        <v>2640</v>
      </c>
      <c r="R18" s="34">
        <f>INDEX('9 - Water Readings'!$C$8:$C$970,1+(2*(ROWS(A$1:A17)-1)))</f>
        <v>0</v>
      </c>
      <c r="S18" s="34">
        <f>INDEX('9 - Water Readings'!$D$8:$D$969,1+(2*(ROWS(A$1:A17)-1)))</f>
        <v>0</v>
      </c>
      <c r="T18" s="34">
        <f>INDEX('9 - Water Readings'!$E$8:$E$970,1+(2*(ROWS(A$1:A17)-1)))</f>
        <v>0</v>
      </c>
      <c r="U18" s="34">
        <f>INDEX('9 - Water Readings'!$G$8:$G$969,1+(2*(ROWS(A$1:A17)-1)))</f>
        <v>74</v>
      </c>
      <c r="V18" s="34">
        <f>INDEX('9 - Water Readings'!$H$8:$H$970,1+(2*(ROWS(A$1:A17)-1)))</f>
        <v>11</v>
      </c>
      <c r="W18" s="34">
        <f>INDEX('9 - Water Readings'!$I$8:$I$970,1+(2*(ROWS(A$1:A17)-1)))</f>
        <v>49</v>
      </c>
      <c r="X18" s="34">
        <f>INDEX('9 - Water Readings'!$J$8:$J$970,1+(2*(ROWS(A$1:A17)-1)))</f>
        <v>249</v>
      </c>
      <c r="Y18" s="34">
        <f>INDEX('9 - Water Readings'!$K$8:$K$970,1+(2*(ROWS(A$1:A17)-1)))</f>
        <v>0</v>
      </c>
      <c r="Z18" s="34">
        <f>INDEX('9 - Water Readings'!$L$8:$L$970,1+(2*(ROWS(A$1:A17)-1)))</f>
        <v>0</v>
      </c>
      <c r="AA18" s="35">
        <f>'9 - Water Readings'!Q23</f>
        <v>142</v>
      </c>
      <c r="AB18" s="33">
        <f>'9 - Water Readings'!R23</f>
        <v>396</v>
      </c>
      <c r="AC18">
        <f>'9 - Water Readings'!S23</f>
        <v>12.2</v>
      </c>
    </row>
    <row r="19" spans="1:29" x14ac:dyDescent="0.25">
      <c r="A19" s="36" t="s">
        <v>11</v>
      </c>
      <c r="B19" s="36">
        <f t="shared" si="0"/>
        <v>18</v>
      </c>
      <c r="C19" s="36">
        <v>5</v>
      </c>
      <c r="D19" s="33">
        <v>2022</v>
      </c>
      <c r="E19" s="34">
        <f>INDEX('13 - Electrical Readings'!$C$8:$C$966,1+(2*(ROWS(A$1:A18)-1)))</f>
        <v>8955</v>
      </c>
      <c r="F19" s="34">
        <f>INDEX('13 - Electrical Readings'!$D$6:$D$966,1+(2*(ROWS(A$1:A19)-1)))</f>
        <v>765</v>
      </c>
      <c r="G19" s="33">
        <f>INDEX('13 - Electrical Readings'!$E$6:$E$966,1+(2*(ROWS(A$1:A19)-1)))</f>
        <v>3714</v>
      </c>
      <c r="H19" s="33">
        <f>INDEX('13 - Electrical Readings'!$F$6:$F$966,1+(2*(ROWS(A$1:A19)-1)))</f>
        <v>15177</v>
      </c>
      <c r="I19" s="34">
        <f>INDEX('13 - Electrical Readings'!$G$6:$G$966,1+(2*(ROWS(A$1:A19)-1)))</f>
        <v>13</v>
      </c>
      <c r="J19" s="33">
        <f>INDEX('13 - Electrical Readings'!$I$6:$I$966,1+(2*(ROWS(A$1:A19)-1)))</f>
        <v>1519</v>
      </c>
      <c r="K19" s="33">
        <f>INDEX('13 - Electrical Readings'!$J$6:$J$966,1+(2*(ROWS(B$1:B19)-1)))</f>
        <v>7383</v>
      </c>
      <c r="L19" s="33">
        <f>INDEX('13 - Electrical Readings'!$K$6:$K$966,1+(2*(ROWS(C$1:C19)-1)))</f>
        <v>3387</v>
      </c>
      <c r="M19" s="33">
        <f>INDEX('13 - Electrical Readings'!$L$6:$L$966,1+(2*(ROWS(D$1:D19)-1)))</f>
        <v>4545</v>
      </c>
      <c r="N19" s="33">
        <f>INDEX('13 - Electrical Readings'!$M$6:$M$966,1+(2*(ROWS(E$1:E19)-1)))</f>
        <v>7765</v>
      </c>
      <c r="O19" s="34">
        <f>INDEX('13 - Electrical Readings'!$N$6:$N$966,1+(2*(ROWS(E$1:E19)-1)))</f>
        <v>8437</v>
      </c>
      <c r="P19" s="34">
        <f>INDEX('13 - Electrical Readings'!$O$6:$O$966,1+(2*(ROWS(E$1:E19)-1)))</f>
        <v>3705</v>
      </c>
      <c r="Q19" s="34">
        <f>INDEX('13 - Electrical Readings'!$P$6:$P$966,1+(2*(ROWS(E$1:E19)-1)))</f>
        <v>2280</v>
      </c>
      <c r="R19" s="34">
        <f>INDEX('9 - Water Readings'!$C$8:$C$970,1+(2*(ROWS(A$1:A18)-1)))</f>
        <v>0</v>
      </c>
      <c r="S19" s="34">
        <f>INDEX('9 - Water Readings'!$D$8:$D$969,1+(2*(ROWS(A$1:A18)-1)))</f>
        <v>1</v>
      </c>
      <c r="T19" s="34">
        <f>INDEX('9 - Water Readings'!$E$8:$E$970,1+(2*(ROWS(A$1:A18)-1)))</f>
        <v>0</v>
      </c>
      <c r="U19" s="34">
        <f>INDEX('9 - Water Readings'!$G$8:$G$969,1+(2*(ROWS(A$1:A18)-1)))</f>
        <v>83</v>
      </c>
      <c r="V19" s="34">
        <f>INDEX('9 - Water Readings'!$H$8:$H$970,1+(2*(ROWS(A$1:A18)-1)))</f>
        <v>13</v>
      </c>
      <c r="W19" s="34">
        <f>INDEX('9 - Water Readings'!$I$8:$I$970,1+(2*(ROWS(A$1:A18)-1)))</f>
        <v>49</v>
      </c>
      <c r="X19" s="34">
        <f>INDEX('9 - Water Readings'!$J$8:$J$970,1+(2*(ROWS(A$1:A18)-1)))</f>
        <v>277</v>
      </c>
      <c r="Y19" s="34">
        <f>INDEX('9 - Water Readings'!$K$8:$K$970,1+(2*(ROWS(A$1:A18)-1)))</f>
        <v>0</v>
      </c>
      <c r="Z19" s="34">
        <f>INDEX('9 - Water Readings'!$L$8:$L$970,1+(2*(ROWS(A$1:A18)-1)))</f>
        <v>0</v>
      </c>
      <c r="AA19" s="35">
        <f>'9 - Water Readings'!Q24</f>
        <v>115</v>
      </c>
      <c r="AB19" s="33">
        <f>'9 - Water Readings'!R24</f>
        <v>332</v>
      </c>
      <c r="AC19">
        <f>'9 - Water Readings'!S24</f>
        <v>15.4</v>
      </c>
    </row>
    <row r="20" spans="1:29" x14ac:dyDescent="0.25">
      <c r="A20" s="36" t="s">
        <v>11</v>
      </c>
      <c r="B20" s="36">
        <f t="shared" si="0"/>
        <v>19</v>
      </c>
      <c r="C20" s="36">
        <v>5</v>
      </c>
      <c r="D20" s="33">
        <v>2022</v>
      </c>
      <c r="E20" s="34">
        <f>INDEX('13 - Electrical Readings'!$C$8:$C$966,1+(2*(ROWS(A$1:A19)-1)))</f>
        <v>12049</v>
      </c>
      <c r="F20" s="34">
        <f>INDEX('13 - Electrical Readings'!$D$6:$D$966,1+(2*(ROWS(A$1:A20)-1)))</f>
        <v>806</v>
      </c>
      <c r="G20" s="33">
        <f>INDEX('13 - Electrical Readings'!$E$6:$E$966,1+(2*(ROWS(A$1:A20)-1)))</f>
        <v>4322</v>
      </c>
      <c r="H20" s="33">
        <f>INDEX('13 - Electrical Readings'!$F$6:$F$966,1+(2*(ROWS(A$1:A20)-1)))</f>
        <v>15108</v>
      </c>
      <c r="I20" s="34">
        <f>INDEX('13 - Electrical Readings'!$G$6:$G$966,1+(2*(ROWS(A$1:A20)-1)))</f>
        <v>19</v>
      </c>
      <c r="J20" s="33">
        <f>INDEX('13 - Electrical Readings'!$I$6:$I$966,1+(2*(ROWS(A$1:A20)-1)))</f>
        <v>1627</v>
      </c>
      <c r="K20" s="33">
        <f>INDEX('13 - Electrical Readings'!$J$6:$J$966,1+(2*(ROWS(B$1:B20)-1)))</f>
        <v>7768</v>
      </c>
      <c r="L20" s="33">
        <f>INDEX('13 - Electrical Readings'!$K$6:$K$966,1+(2*(ROWS(C$1:C20)-1)))</f>
        <v>3530</v>
      </c>
      <c r="M20" s="33">
        <f>INDEX('13 - Electrical Readings'!$L$6:$L$966,1+(2*(ROWS(D$1:D20)-1)))</f>
        <v>4720</v>
      </c>
      <c r="N20" s="33">
        <f>INDEX('13 - Electrical Readings'!$M$6:$M$966,1+(2*(ROWS(E$1:E20)-1)))</f>
        <v>7196</v>
      </c>
      <c r="O20" s="34">
        <f>INDEX('13 - Electrical Readings'!$N$6:$N$966,1+(2*(ROWS(E$1:E20)-1)))</f>
        <v>8664</v>
      </c>
      <c r="P20" s="34">
        <f>INDEX('13 - Electrical Readings'!$O$6:$O$966,1+(2*(ROWS(E$1:E20)-1)))</f>
        <v>3673</v>
      </c>
      <c r="Q20" s="34">
        <f>INDEX('13 - Electrical Readings'!$P$6:$P$966,1+(2*(ROWS(E$1:E20)-1)))</f>
        <v>2720</v>
      </c>
      <c r="R20" s="34">
        <f>INDEX('9 - Water Readings'!$C$8:$C$970,1+(2*(ROWS(A$1:A19)-1)))</f>
        <v>0</v>
      </c>
      <c r="S20" s="34">
        <f>INDEX('9 - Water Readings'!$D$8:$D$969,1+(2*(ROWS(A$1:A19)-1)))</f>
        <v>0</v>
      </c>
      <c r="T20" s="34">
        <f>INDEX('9 - Water Readings'!$E$8:$E$970,1+(2*(ROWS(A$1:A19)-1)))</f>
        <v>0</v>
      </c>
      <c r="U20" s="34">
        <f>INDEX('9 - Water Readings'!$G$8:$G$969,1+(2*(ROWS(A$1:A19)-1)))</f>
        <v>77</v>
      </c>
      <c r="V20" s="34">
        <f>INDEX('9 - Water Readings'!$H$8:$H$970,1+(2*(ROWS(A$1:A19)-1)))</f>
        <v>16</v>
      </c>
      <c r="W20" s="34">
        <f>INDEX('9 - Water Readings'!$I$8:$I$970,1+(2*(ROWS(A$1:A19)-1)))</f>
        <v>57</v>
      </c>
      <c r="X20" s="34">
        <f>INDEX('9 - Water Readings'!$J$8:$J$970,1+(2*(ROWS(A$1:A19)-1)))</f>
        <v>286</v>
      </c>
      <c r="Y20" s="34">
        <f>INDEX('9 - Water Readings'!$K$8:$K$970,1+(2*(ROWS(A$1:A19)-1)))</f>
        <v>0</v>
      </c>
      <c r="Z20" s="34">
        <f>INDEX('9 - Water Readings'!$L$8:$L$970,1+(2*(ROWS(A$1:A19)-1)))</f>
        <v>0</v>
      </c>
      <c r="AA20" s="35">
        <f>'9 - Water Readings'!Q25</f>
        <v>142</v>
      </c>
      <c r="AB20" s="33">
        <f>'9 - Water Readings'!R25</f>
        <v>480</v>
      </c>
      <c r="AC20">
        <f>'9 - Water Readings'!S25</f>
        <v>16.5</v>
      </c>
    </row>
    <row r="21" spans="1:29" x14ac:dyDescent="0.25">
      <c r="A21" s="36" t="s">
        <v>11</v>
      </c>
      <c r="B21" s="36">
        <f t="shared" si="0"/>
        <v>20</v>
      </c>
      <c r="C21" s="36">
        <v>5</v>
      </c>
      <c r="D21" s="33">
        <v>2022</v>
      </c>
      <c r="E21" s="34">
        <f>INDEX('13 - Electrical Readings'!$C$8:$C$966,1+(2*(ROWS(A$1:A20)-1)))</f>
        <v>12803</v>
      </c>
      <c r="F21" s="34">
        <f>INDEX('13 - Electrical Readings'!$D$6:$D$966,1+(2*(ROWS(A$1:A21)-1)))</f>
        <v>824</v>
      </c>
      <c r="G21" s="33">
        <f>INDEX('13 - Electrical Readings'!$E$6:$E$966,1+(2*(ROWS(A$1:A21)-1)))</f>
        <v>4163</v>
      </c>
      <c r="H21" s="33">
        <f>INDEX('13 - Electrical Readings'!$F$6:$F$966,1+(2*(ROWS(A$1:A21)-1)))</f>
        <v>15040</v>
      </c>
      <c r="I21" s="34">
        <f>INDEX('13 - Electrical Readings'!$G$6:$G$966,1+(2*(ROWS(A$1:A21)-1)))</f>
        <v>14</v>
      </c>
      <c r="J21" s="33">
        <f>INDEX('13 - Electrical Readings'!$I$6:$I$966,1+(2*(ROWS(A$1:A21)-1)))</f>
        <v>1525</v>
      </c>
      <c r="K21" s="33">
        <f>INDEX('13 - Electrical Readings'!$J$6:$J$966,1+(2*(ROWS(B$1:B21)-1)))</f>
        <v>7381</v>
      </c>
      <c r="L21" s="33">
        <f>INDEX('13 - Electrical Readings'!$K$6:$K$966,1+(2*(ROWS(C$1:C21)-1)))</f>
        <v>3587</v>
      </c>
      <c r="M21" s="33">
        <f>INDEX('13 - Electrical Readings'!$L$6:$L$966,1+(2*(ROWS(D$1:D21)-1)))</f>
        <v>4404</v>
      </c>
      <c r="N21" s="33">
        <f>INDEX('13 - Electrical Readings'!$M$6:$M$966,1+(2*(ROWS(E$1:E21)-1)))</f>
        <v>6644</v>
      </c>
      <c r="O21" s="34">
        <f>INDEX('13 - Electrical Readings'!$N$6:$N$966,1+(2*(ROWS(E$1:E21)-1)))</f>
        <v>8159</v>
      </c>
      <c r="P21" s="34">
        <f>INDEX('13 - Electrical Readings'!$O$6:$O$966,1+(2*(ROWS(E$1:E21)-1)))</f>
        <v>3428</v>
      </c>
      <c r="Q21" s="34">
        <f>INDEX('13 - Electrical Readings'!$P$6:$P$966,1+(2*(ROWS(E$1:E21)-1)))</f>
        <v>2580</v>
      </c>
      <c r="R21" s="34">
        <f>INDEX('9 - Water Readings'!$C$8:$C$970,1+(2*(ROWS(A$1:A20)-1)))</f>
        <v>0</v>
      </c>
      <c r="S21" s="34">
        <f>INDEX('9 - Water Readings'!$D$8:$D$969,1+(2*(ROWS(A$1:A20)-1)))</f>
        <v>0</v>
      </c>
      <c r="T21" s="34">
        <f>INDEX('9 - Water Readings'!$E$8:$E$970,1+(2*(ROWS(A$1:A20)-1)))</f>
        <v>0</v>
      </c>
      <c r="U21" s="34">
        <f>INDEX('9 - Water Readings'!$G$8:$G$969,1+(2*(ROWS(A$1:A20)-1)))</f>
        <v>178</v>
      </c>
      <c r="V21" s="34">
        <f>INDEX('9 - Water Readings'!$H$8:$H$970,1+(2*(ROWS(A$1:A20)-1)))</f>
        <v>15</v>
      </c>
      <c r="W21" s="34">
        <f>INDEX('9 - Water Readings'!$I$8:$I$970,1+(2*(ROWS(A$1:A20)-1)))</f>
        <v>57</v>
      </c>
      <c r="X21" s="34">
        <f>INDEX('9 - Water Readings'!$J$8:$J$970,1+(2*(ROWS(A$1:A20)-1)))</f>
        <v>262</v>
      </c>
      <c r="Y21" s="34">
        <f>INDEX('9 - Water Readings'!$K$8:$K$970,1+(2*(ROWS(A$1:A20)-1)))</f>
        <v>0</v>
      </c>
      <c r="Z21" s="34">
        <f>INDEX('9 - Water Readings'!$L$8:$L$970,1+(2*(ROWS(A$1:A20)-1)))</f>
        <v>0</v>
      </c>
      <c r="AA21" s="35">
        <f>'9 - Water Readings'!Q26</f>
        <v>147</v>
      </c>
      <c r="AB21" s="33">
        <f>'9 - Water Readings'!R26</f>
        <v>544</v>
      </c>
      <c r="AC21">
        <f>'9 - Water Readings'!S26</f>
        <v>18</v>
      </c>
    </row>
    <row r="22" spans="1:29" x14ac:dyDescent="0.25">
      <c r="A22" s="36" t="s">
        <v>11</v>
      </c>
      <c r="B22" s="36">
        <f t="shared" si="0"/>
        <v>21</v>
      </c>
      <c r="C22" s="36">
        <v>5</v>
      </c>
      <c r="D22" s="33">
        <v>2022</v>
      </c>
      <c r="E22" s="34">
        <f>INDEX('13 - Electrical Readings'!$C$8:$C$966,1+(2*(ROWS(A$1:A21)-1)))</f>
        <v>14792</v>
      </c>
      <c r="F22" s="34">
        <f>INDEX('13 - Electrical Readings'!$D$6:$D$966,1+(2*(ROWS(A$1:A22)-1)))</f>
        <v>851</v>
      </c>
      <c r="G22" s="33">
        <f>INDEX('13 - Electrical Readings'!$E$6:$E$966,1+(2*(ROWS(A$1:A22)-1)))</f>
        <v>4611</v>
      </c>
      <c r="H22" s="33">
        <f>INDEX('13 - Electrical Readings'!$F$6:$F$966,1+(2*(ROWS(A$1:A22)-1)))</f>
        <v>15606</v>
      </c>
      <c r="I22" s="34">
        <f>INDEX('13 - Electrical Readings'!$G$6:$G$966,1+(2*(ROWS(A$1:A22)-1)))</f>
        <v>16</v>
      </c>
      <c r="J22" s="33">
        <f>INDEX('13 - Electrical Readings'!$I$6:$I$966,1+(2*(ROWS(A$1:A22)-1)))</f>
        <v>1929</v>
      </c>
      <c r="K22" s="33">
        <f>INDEX('13 - Electrical Readings'!$J$6:$J$966,1+(2*(ROWS(B$1:B22)-1)))</f>
        <v>7726</v>
      </c>
      <c r="L22" s="33">
        <f>INDEX('13 - Electrical Readings'!$K$6:$K$966,1+(2*(ROWS(C$1:C22)-1)))</f>
        <v>3719</v>
      </c>
      <c r="M22" s="33">
        <f>INDEX('13 - Electrical Readings'!$L$6:$L$966,1+(2*(ROWS(D$1:D22)-1)))</f>
        <v>4573</v>
      </c>
      <c r="N22" s="33">
        <f>INDEX('13 - Electrical Readings'!$M$6:$M$966,1+(2*(ROWS(E$1:E22)-1)))</f>
        <v>7750</v>
      </c>
      <c r="O22" s="34">
        <f>INDEX('13 - Electrical Readings'!$N$6:$N$966,1+(2*(ROWS(E$1:E22)-1)))</f>
        <v>8784</v>
      </c>
      <c r="P22" s="34">
        <f>INDEX('13 - Electrical Readings'!$O$6:$O$966,1+(2*(ROWS(E$1:E22)-1)))</f>
        <v>3677</v>
      </c>
      <c r="Q22" s="34">
        <f>INDEX('13 - Electrical Readings'!$P$6:$P$966,1+(2*(ROWS(E$1:E22)-1)))</f>
        <v>2490</v>
      </c>
      <c r="R22" s="34">
        <f>INDEX('9 - Water Readings'!$C$8:$C$970,1+(2*(ROWS(A$1:A21)-1)))</f>
        <v>0</v>
      </c>
      <c r="S22" s="34">
        <f>INDEX('9 - Water Readings'!$D$8:$D$969,1+(2*(ROWS(A$1:A21)-1)))</f>
        <v>0</v>
      </c>
      <c r="T22" s="34">
        <f>INDEX('9 - Water Readings'!$E$8:$E$970,1+(2*(ROWS(A$1:A21)-1)))</f>
        <v>0</v>
      </c>
      <c r="U22" s="34">
        <f>INDEX('9 - Water Readings'!$G$8:$G$969,1+(2*(ROWS(A$1:A21)-1)))</f>
        <v>134</v>
      </c>
      <c r="V22" s="34">
        <f>INDEX('9 - Water Readings'!$H$8:$H$970,1+(2*(ROWS(A$1:A21)-1)))</f>
        <v>15</v>
      </c>
      <c r="W22" s="34">
        <f>INDEX('9 - Water Readings'!$I$8:$I$970,1+(2*(ROWS(A$1:A21)-1)))</f>
        <v>51</v>
      </c>
      <c r="X22" s="34">
        <f>INDEX('9 - Water Readings'!$J$8:$J$970,1+(2*(ROWS(A$1:A21)-1)))</f>
        <v>286</v>
      </c>
      <c r="Y22" s="34">
        <f>INDEX('9 - Water Readings'!$K$8:$K$970,1+(2*(ROWS(A$1:A21)-1)))</f>
        <v>0</v>
      </c>
      <c r="Z22" s="34">
        <f>INDEX('9 - Water Readings'!$L$8:$L$970,1+(2*(ROWS(A$1:A21)-1)))</f>
        <v>0</v>
      </c>
      <c r="AA22" s="35">
        <f>'9 - Water Readings'!Q27</f>
        <v>150</v>
      </c>
      <c r="AB22" s="33">
        <f>'9 - Water Readings'!R27</f>
        <v>468</v>
      </c>
      <c r="AC22">
        <f>'9 - Water Readings'!S27</f>
        <v>18.399999999999999</v>
      </c>
    </row>
    <row r="23" spans="1:29" x14ac:dyDescent="0.25">
      <c r="A23" s="36" t="s">
        <v>11</v>
      </c>
      <c r="B23" s="36">
        <f t="shared" si="0"/>
        <v>22</v>
      </c>
      <c r="C23" s="36">
        <v>5</v>
      </c>
      <c r="D23" s="33">
        <v>2022</v>
      </c>
      <c r="E23" s="34">
        <f>INDEX('13 - Electrical Readings'!$C$8:$C$966,1+(2*(ROWS(A$1:A22)-1)))</f>
        <v>5475</v>
      </c>
      <c r="F23" s="34">
        <f>INDEX('13 - Electrical Readings'!$D$6:$D$966,1+(2*(ROWS(A$1:A23)-1)))</f>
        <v>755</v>
      </c>
      <c r="G23" s="33">
        <f>INDEX('13 - Electrical Readings'!$E$6:$E$966,1+(2*(ROWS(A$1:A23)-1)))</f>
        <v>9372</v>
      </c>
      <c r="H23" s="33">
        <f>INDEX('13 - Electrical Readings'!$F$6:$F$966,1+(2*(ROWS(A$1:A23)-1)))</f>
        <v>13920</v>
      </c>
      <c r="I23" s="34">
        <f>INDEX('13 - Electrical Readings'!$G$6:$G$966,1+(2*(ROWS(A$1:A23)-1)))</f>
        <v>16</v>
      </c>
      <c r="J23" s="33">
        <f>INDEX('13 - Electrical Readings'!$I$6:$I$966,1+(2*(ROWS(A$1:A23)-1)))</f>
        <v>2105</v>
      </c>
      <c r="K23" s="33">
        <f>INDEX('13 - Electrical Readings'!$J$6:$J$966,1+(2*(ROWS(B$1:B23)-1)))</f>
        <v>7615</v>
      </c>
      <c r="L23" s="33">
        <f>INDEX('13 - Electrical Readings'!$K$6:$K$966,1+(2*(ROWS(C$1:C23)-1)))</f>
        <v>3738</v>
      </c>
      <c r="M23" s="33">
        <f>INDEX('13 - Electrical Readings'!$L$6:$L$966,1+(2*(ROWS(D$1:D23)-1)))</f>
        <v>4609</v>
      </c>
      <c r="N23" s="33">
        <f>INDEX('13 - Electrical Readings'!$M$6:$M$966,1+(2*(ROWS(E$1:E23)-1)))</f>
        <v>7252</v>
      </c>
      <c r="O23" s="34">
        <f>INDEX('13 - Electrical Readings'!$N$6:$N$966,1+(2*(ROWS(E$1:E23)-1)))</f>
        <v>8345</v>
      </c>
      <c r="P23" s="34">
        <f>INDEX('13 - Electrical Readings'!$O$6:$O$966,1+(2*(ROWS(E$1:E23)-1)))</f>
        <v>3420</v>
      </c>
      <c r="Q23" s="34">
        <f>INDEX('13 - Electrical Readings'!$P$6:$P$966,1+(2*(ROWS(E$1:E23)-1)))</f>
        <v>2100</v>
      </c>
      <c r="R23" s="34">
        <f>INDEX('9 - Water Readings'!$C$8:$C$970,1+(2*(ROWS(A$1:A22)-1)))</f>
        <v>0</v>
      </c>
      <c r="S23" s="34">
        <f>INDEX('9 - Water Readings'!$D$8:$D$969,1+(2*(ROWS(A$1:A22)-1)))</f>
        <v>0</v>
      </c>
      <c r="T23" s="34">
        <f>INDEX('9 - Water Readings'!$E$8:$E$970,1+(2*(ROWS(A$1:A22)-1)))</f>
        <v>0</v>
      </c>
      <c r="U23" s="34">
        <f>INDEX('9 - Water Readings'!$G$8:$G$969,1+(2*(ROWS(A$1:A22)-1)))</f>
        <v>93</v>
      </c>
      <c r="V23" s="34">
        <f>INDEX('9 - Water Readings'!$H$8:$H$970,1+(2*(ROWS(A$1:A22)-1)))</f>
        <v>13</v>
      </c>
      <c r="W23" s="34">
        <f>INDEX('9 - Water Readings'!$I$8:$I$970,1+(2*(ROWS(A$1:A22)-1)))</f>
        <v>33</v>
      </c>
      <c r="X23" s="34">
        <f>INDEX('9 - Water Readings'!$J$8:$J$970,1+(2*(ROWS(A$1:A22)-1)))</f>
        <v>272</v>
      </c>
      <c r="Y23" s="34">
        <f>INDEX('9 - Water Readings'!$K$8:$K$970,1+(2*(ROWS(A$1:A22)-1)))</f>
        <v>0</v>
      </c>
      <c r="Z23" s="34">
        <f>INDEX('9 - Water Readings'!$L$8:$L$970,1+(2*(ROWS(A$1:A22)-1)))</f>
        <v>0</v>
      </c>
      <c r="AA23" s="35">
        <f>'9 - Water Readings'!Q28</f>
        <v>115</v>
      </c>
      <c r="AB23" s="33">
        <f>'9 - Water Readings'!R28</f>
        <v>288</v>
      </c>
      <c r="AC23">
        <f>'9 - Water Readings'!S28</f>
        <v>15.6</v>
      </c>
    </row>
    <row r="24" spans="1:29" x14ac:dyDescent="0.25">
      <c r="A24" s="36" t="s">
        <v>11</v>
      </c>
      <c r="B24" s="36">
        <f t="shared" si="0"/>
        <v>23</v>
      </c>
      <c r="C24" s="36">
        <v>5</v>
      </c>
      <c r="D24" s="33">
        <v>2022</v>
      </c>
      <c r="E24" s="34">
        <f>INDEX('13 - Electrical Readings'!$C$8:$C$966,1+(2*(ROWS(A$1:A23)-1)))</f>
        <v>3</v>
      </c>
      <c r="F24" s="34">
        <f>INDEX('13 - Electrical Readings'!$D$6:$D$966,1+(2*(ROWS(A$1:A24)-1)))</f>
        <v>770</v>
      </c>
      <c r="G24" s="33">
        <f>INDEX('13 - Electrical Readings'!$E$6:$E$966,1+(2*(ROWS(A$1:A24)-1)))</f>
        <v>15337</v>
      </c>
      <c r="H24" s="33">
        <f>INDEX('13 - Electrical Readings'!$F$6:$F$966,1+(2*(ROWS(A$1:A24)-1)))</f>
        <v>13941</v>
      </c>
      <c r="I24" s="34">
        <f>INDEX('13 - Electrical Readings'!$G$6:$G$966,1+(2*(ROWS(A$1:A24)-1)))</f>
        <v>14</v>
      </c>
      <c r="J24" s="33">
        <f>INDEX('13 - Electrical Readings'!$I$6:$I$966,1+(2*(ROWS(A$1:A24)-1)))</f>
        <v>2128</v>
      </c>
      <c r="K24" s="33">
        <f>INDEX('13 - Electrical Readings'!$J$6:$J$966,1+(2*(ROWS(B$1:B24)-1)))</f>
        <v>7671</v>
      </c>
      <c r="L24" s="33">
        <f>INDEX('13 - Electrical Readings'!$K$6:$K$966,1+(2*(ROWS(C$1:C24)-1)))</f>
        <v>3509</v>
      </c>
      <c r="M24" s="33">
        <f>INDEX('13 - Electrical Readings'!$L$6:$L$966,1+(2*(ROWS(D$1:D24)-1)))</f>
        <v>4477</v>
      </c>
      <c r="N24" s="33">
        <f>INDEX('13 - Electrical Readings'!$M$6:$M$966,1+(2*(ROWS(E$1:E24)-1)))</f>
        <v>6949</v>
      </c>
      <c r="O24" s="34">
        <f>INDEX('13 - Electrical Readings'!$N$6:$N$966,1+(2*(ROWS(E$1:E24)-1)))</f>
        <v>8327</v>
      </c>
      <c r="P24" s="34">
        <f>INDEX('13 - Electrical Readings'!$O$6:$O$966,1+(2*(ROWS(E$1:E24)-1)))</f>
        <v>3010</v>
      </c>
      <c r="Q24" s="34">
        <f>INDEX('13 - Electrical Readings'!$P$6:$P$966,1+(2*(ROWS(E$1:E24)-1)))</f>
        <v>2450</v>
      </c>
      <c r="R24" s="34">
        <f>INDEX('9 - Water Readings'!$C$8:$C$970,1+(2*(ROWS(A$1:A23)-1)))</f>
        <v>0</v>
      </c>
      <c r="S24" s="34">
        <f>INDEX('9 - Water Readings'!$D$8:$D$969,1+(2*(ROWS(A$1:A23)-1)))</f>
        <v>0</v>
      </c>
      <c r="T24" s="34">
        <f>INDEX('9 - Water Readings'!$E$8:$E$970,1+(2*(ROWS(A$1:A23)-1)))</f>
        <v>0</v>
      </c>
      <c r="U24" s="34">
        <f>INDEX('9 - Water Readings'!$G$8:$G$969,1+(2*(ROWS(A$1:A23)-1)))</f>
        <v>102</v>
      </c>
      <c r="V24" s="34">
        <f>INDEX('9 - Water Readings'!$H$8:$H$970,1+(2*(ROWS(A$1:A23)-1)))</f>
        <v>11</v>
      </c>
      <c r="W24" s="34">
        <f>INDEX('9 - Water Readings'!$I$8:$I$970,1+(2*(ROWS(A$1:A23)-1)))</f>
        <v>47</v>
      </c>
      <c r="X24" s="34">
        <f>INDEX('9 - Water Readings'!$J$8:$J$970,1+(2*(ROWS(A$1:A23)-1)))</f>
        <v>252</v>
      </c>
      <c r="Y24" s="34">
        <f>INDEX('9 - Water Readings'!$K$8:$K$970,1+(2*(ROWS(A$1:A23)-1)))</f>
        <v>0</v>
      </c>
      <c r="Z24" s="34">
        <f>INDEX('9 - Water Readings'!$L$8:$L$970,1+(2*(ROWS(A$1:A23)-1)))</f>
        <v>0</v>
      </c>
      <c r="AA24" s="35">
        <f>'9 - Water Readings'!Q29</f>
        <v>151</v>
      </c>
      <c r="AB24" s="33">
        <f>'9 - Water Readings'!R29</f>
        <v>394</v>
      </c>
      <c r="AC24">
        <f>'9 - Water Readings'!S29</f>
        <v>12.2</v>
      </c>
    </row>
    <row r="25" spans="1:29" x14ac:dyDescent="0.25">
      <c r="A25" s="36" t="s">
        <v>11</v>
      </c>
      <c r="B25" s="36">
        <f t="shared" si="0"/>
        <v>24</v>
      </c>
      <c r="C25" s="36">
        <v>5</v>
      </c>
      <c r="D25" s="33">
        <v>2022</v>
      </c>
      <c r="E25" s="34">
        <f>INDEX('13 - Electrical Readings'!$C$8:$C$966,1+(2*(ROWS(A$1:A24)-1)))</f>
        <v>4</v>
      </c>
      <c r="F25" s="34">
        <f>INDEX('13 - Electrical Readings'!$D$6:$D$966,1+(2*(ROWS(A$1:A25)-1)))</f>
        <v>769</v>
      </c>
      <c r="G25" s="33">
        <f>INDEX('13 - Electrical Readings'!$E$6:$E$966,1+(2*(ROWS(A$1:A25)-1)))</f>
        <v>13640</v>
      </c>
      <c r="H25" s="33">
        <f>INDEX('13 - Electrical Readings'!$F$6:$F$966,1+(2*(ROWS(A$1:A25)-1)))</f>
        <v>12746</v>
      </c>
      <c r="I25" s="34">
        <f>INDEX('13 - Electrical Readings'!$G$6:$G$966,1+(2*(ROWS(A$1:A25)-1)))</f>
        <v>22</v>
      </c>
      <c r="J25" s="33">
        <f>INDEX('13 - Electrical Readings'!$I$6:$I$966,1+(2*(ROWS(A$1:A25)-1)))</f>
        <v>2123</v>
      </c>
      <c r="K25" s="33">
        <f>INDEX('13 - Electrical Readings'!$J$6:$J$966,1+(2*(ROWS(B$1:B25)-1)))</f>
        <v>7477</v>
      </c>
      <c r="L25" s="33">
        <f>INDEX('13 - Electrical Readings'!$K$6:$K$966,1+(2*(ROWS(C$1:C25)-1)))</f>
        <v>3148</v>
      </c>
      <c r="M25" s="33">
        <f>INDEX('13 - Electrical Readings'!$L$6:$L$966,1+(2*(ROWS(D$1:D25)-1)))</f>
        <v>4476</v>
      </c>
      <c r="N25" s="33">
        <f>INDEX('13 - Electrical Readings'!$M$6:$M$966,1+(2*(ROWS(E$1:E25)-1)))</f>
        <v>6583</v>
      </c>
      <c r="O25" s="34">
        <f>INDEX('13 - Electrical Readings'!$N$6:$N$966,1+(2*(ROWS(E$1:E25)-1)))</f>
        <v>8244</v>
      </c>
      <c r="P25" s="34">
        <f>INDEX('13 - Electrical Readings'!$O$6:$O$966,1+(2*(ROWS(E$1:E25)-1)))</f>
        <v>3006</v>
      </c>
      <c r="Q25" s="34">
        <f>INDEX('13 - Electrical Readings'!$P$6:$P$966,1+(2*(ROWS(E$1:E25)-1)))</f>
        <v>2550</v>
      </c>
      <c r="R25" s="34">
        <f>INDEX('9 - Water Readings'!$C$8:$C$970,1+(2*(ROWS(A$1:A24)-1)))</f>
        <v>0</v>
      </c>
      <c r="S25" s="34">
        <f>INDEX('9 - Water Readings'!$D$8:$D$969,1+(2*(ROWS(A$1:A24)-1)))</f>
        <v>0</v>
      </c>
      <c r="T25" s="34">
        <f>INDEX('9 - Water Readings'!$E$8:$E$970,1+(2*(ROWS(A$1:A24)-1)))</f>
        <v>0</v>
      </c>
      <c r="U25" s="34">
        <f>INDEX('9 - Water Readings'!$G$8:$G$969,1+(2*(ROWS(A$1:A24)-1)))</f>
        <v>112</v>
      </c>
      <c r="V25" s="34">
        <f>INDEX('9 - Water Readings'!$H$8:$H$970,1+(2*(ROWS(A$1:A24)-1)))</f>
        <v>12</v>
      </c>
      <c r="W25" s="34">
        <f>INDEX('9 - Water Readings'!$I$8:$I$970,1+(2*(ROWS(A$1:A24)-1)))</f>
        <v>48</v>
      </c>
      <c r="X25" s="34">
        <f>INDEX('9 - Water Readings'!$J$8:$J$970,1+(2*(ROWS(A$1:A24)-1)))</f>
        <v>307</v>
      </c>
      <c r="Y25" s="34">
        <f>INDEX('9 - Water Readings'!$K$8:$K$970,1+(2*(ROWS(A$1:A24)-1)))</f>
        <v>0</v>
      </c>
      <c r="Z25" s="34">
        <f>INDEX('9 - Water Readings'!$L$8:$L$970,1+(2*(ROWS(A$1:A24)-1)))</f>
        <v>0</v>
      </c>
      <c r="AA25" s="35">
        <f>'9 - Water Readings'!Q30</f>
        <v>109</v>
      </c>
      <c r="AB25" s="33">
        <f>'9 - Water Readings'!R30</f>
        <v>276</v>
      </c>
      <c r="AC25">
        <f>'9 - Water Readings'!S30</f>
        <v>11.9</v>
      </c>
    </row>
    <row r="26" spans="1:29" x14ac:dyDescent="0.25">
      <c r="A26" s="36" t="s">
        <v>11</v>
      </c>
      <c r="B26" s="36">
        <f>B25+1</f>
        <v>25</v>
      </c>
      <c r="C26" s="36">
        <v>5</v>
      </c>
      <c r="D26" s="33">
        <v>2022</v>
      </c>
      <c r="E26" s="34">
        <f>INDEX('13 - Electrical Readings'!$C$8:$C$966,1+(2*(ROWS(A$1:A25)-1)))</f>
        <v>10</v>
      </c>
      <c r="F26" s="34">
        <f>INDEX('13 - Electrical Readings'!$D$6:$D$966,1+(2*(ROWS(A$1:A26)-1)))</f>
        <v>770</v>
      </c>
      <c r="G26" s="33">
        <f>INDEX('13 - Electrical Readings'!$E$6:$E$966,1+(2*(ROWS(A$1:A26)-1)))</f>
        <v>14080</v>
      </c>
      <c r="H26" s="33">
        <f>INDEX('13 - Electrical Readings'!$F$6:$F$966,1+(2*(ROWS(A$1:A26)-1)))</f>
        <v>10840</v>
      </c>
      <c r="I26" s="34">
        <f>INDEX('13 - Electrical Readings'!$G$6:$G$966,1+(2*(ROWS(A$1:A26)-1)))</f>
        <v>20</v>
      </c>
      <c r="J26" s="33">
        <f>INDEX('13 - Electrical Readings'!$I$6:$I$966,1+(2*(ROWS(A$1:A26)-1)))</f>
        <v>2124</v>
      </c>
      <c r="K26" s="33">
        <f>INDEX('13 - Electrical Readings'!$J$6:$J$966,1+(2*(ROWS(B$1:B26)-1)))</f>
        <v>7424</v>
      </c>
      <c r="L26" s="33">
        <f>INDEX('13 - Electrical Readings'!$K$6:$K$966,1+(2*(ROWS(C$1:C26)-1)))</f>
        <v>3239</v>
      </c>
      <c r="M26" s="33">
        <f>INDEX('13 - Electrical Readings'!$L$6:$L$966,1+(2*(ROWS(D$1:D26)-1)))</f>
        <v>4285</v>
      </c>
      <c r="N26" s="33">
        <f>INDEX('13 - Electrical Readings'!$M$6:$M$966,1+(2*(ROWS(E$1:E26)-1)))</f>
        <v>6584</v>
      </c>
      <c r="O26" s="34">
        <f>INDEX('13 - Electrical Readings'!$N$6:$N$966,1+(2*(ROWS(E$1:E26)-1)))</f>
        <v>8218</v>
      </c>
      <c r="P26" s="34">
        <f>INDEX('13 - Electrical Readings'!$O$6:$O$966,1+(2*(ROWS(E$1:E26)-1)))</f>
        <v>2985</v>
      </c>
      <c r="Q26" s="34">
        <f>INDEX('13 - Electrical Readings'!$P$6:$P$966,1+(2*(ROWS(E$1:E26)-1)))</f>
        <v>2560</v>
      </c>
      <c r="R26" s="34">
        <f>INDEX('9 - Water Readings'!$C$8:$C$970,1+(2*(ROWS(A$1:A25)-1)))</f>
        <v>0</v>
      </c>
      <c r="S26" s="34">
        <f>INDEX('9 - Water Readings'!$D$8:$D$969,1+(2*(ROWS(A$1:A25)-1)))</f>
        <v>0</v>
      </c>
      <c r="T26" s="34">
        <f>INDEX('9 - Water Readings'!$E$8:$E$970,1+(2*(ROWS(A$1:A25)-1)))</f>
        <v>0</v>
      </c>
      <c r="U26" s="34">
        <f>INDEX('9 - Water Readings'!$G$8:$G$969,1+(2*(ROWS(A$1:A25)-1)))</f>
        <v>107</v>
      </c>
      <c r="V26" s="34">
        <f>INDEX('9 - Water Readings'!$H$8:$H$970,1+(2*(ROWS(A$1:A25)-1)))</f>
        <v>14</v>
      </c>
      <c r="W26" s="34">
        <f>INDEX('9 - Water Readings'!$I$8:$I$970,1+(2*(ROWS(A$1:A25)-1)))</f>
        <v>52</v>
      </c>
      <c r="X26" s="34">
        <f>INDEX('9 - Water Readings'!$J$8:$J$970,1+(2*(ROWS(A$1:A25)-1)))</f>
        <v>261</v>
      </c>
      <c r="Y26" s="34">
        <f>INDEX('9 - Water Readings'!$K$8:$K$970,1+(2*(ROWS(A$1:A25)-1)))</f>
        <v>0</v>
      </c>
      <c r="Z26" s="34">
        <f>INDEX('9 - Water Readings'!$L$8:$L$970,1+(2*(ROWS(A$1:A25)-1)))</f>
        <v>0</v>
      </c>
      <c r="AA26" s="35">
        <f>'9 - Water Readings'!Q31</f>
        <v>111</v>
      </c>
      <c r="AB26" s="33">
        <f>'9 - Water Readings'!R31</f>
        <v>328</v>
      </c>
      <c r="AC26">
        <f>'9 - Water Readings'!S31</f>
        <v>12.6</v>
      </c>
    </row>
    <row r="27" spans="1:29" x14ac:dyDescent="0.25">
      <c r="A27" s="36" t="s">
        <v>11</v>
      </c>
      <c r="B27" s="36">
        <f t="shared" si="0"/>
        <v>26</v>
      </c>
      <c r="C27" s="36">
        <v>5</v>
      </c>
      <c r="D27" s="33">
        <v>2022</v>
      </c>
      <c r="E27" s="34">
        <f>INDEX('13 - Electrical Readings'!$C$8:$C$966,1+(2*(ROWS(A$1:A26)-1)))</f>
        <v>9</v>
      </c>
      <c r="F27" s="34">
        <f>INDEX('13 - Electrical Readings'!$D$6:$D$966,1+(2*(ROWS(A$1:A27)-1)))</f>
        <v>760</v>
      </c>
      <c r="G27" s="33">
        <f>INDEX('13 - Electrical Readings'!$E$6:$E$966,1+(2*(ROWS(A$1:A27)-1)))</f>
        <v>14119</v>
      </c>
      <c r="H27" s="33">
        <f>INDEX('13 - Electrical Readings'!$F$6:$F$966,1+(2*(ROWS(A$1:A27)-1)))</f>
        <v>11866</v>
      </c>
      <c r="I27" s="34">
        <f>INDEX('13 - Electrical Readings'!$G$6:$G$966,1+(2*(ROWS(A$1:A27)-1)))</f>
        <v>19</v>
      </c>
      <c r="J27" s="33">
        <f>INDEX('13 - Electrical Readings'!$I$6:$I$966,1+(2*(ROWS(A$1:A27)-1)))</f>
        <v>2085</v>
      </c>
      <c r="K27" s="33">
        <f>INDEX('13 - Electrical Readings'!$J$6:$J$966,1+(2*(ROWS(B$1:B27)-1)))</f>
        <v>7777</v>
      </c>
      <c r="L27" s="33">
        <f>INDEX('13 - Electrical Readings'!$K$6:$K$966,1+(2*(ROWS(C$1:C27)-1)))</f>
        <v>3622</v>
      </c>
      <c r="M27" s="33">
        <f>INDEX('13 - Electrical Readings'!$L$6:$L$966,1+(2*(ROWS(D$1:D27)-1)))</f>
        <v>4568</v>
      </c>
      <c r="N27" s="33">
        <f>INDEX('13 - Electrical Readings'!$M$6:$M$966,1+(2*(ROWS(E$1:E27)-1)))</f>
        <v>7430</v>
      </c>
      <c r="O27" s="34">
        <f>INDEX('13 - Electrical Readings'!$N$6:$N$966,1+(2*(ROWS(E$1:E27)-1)))</f>
        <v>8357</v>
      </c>
      <c r="P27" s="34">
        <f>INDEX('13 - Electrical Readings'!$O$6:$O$966,1+(2*(ROWS(E$1:E27)-1)))</f>
        <v>3144</v>
      </c>
      <c r="Q27" s="34">
        <f>INDEX('13 - Electrical Readings'!$P$6:$P$966,1+(2*(ROWS(E$1:E27)-1)))</f>
        <v>2660</v>
      </c>
      <c r="R27" s="34">
        <f>INDEX('9 - Water Readings'!$C$8:$C$970,1+(2*(ROWS(A$1:A26)-1)))</f>
        <v>0</v>
      </c>
      <c r="S27" s="34">
        <f>INDEX('9 - Water Readings'!$D$8:$D$969,1+(2*(ROWS(A$1:A26)-1)))</f>
        <v>0</v>
      </c>
      <c r="T27" s="34">
        <f>INDEX('9 - Water Readings'!$E$8:$E$970,1+(2*(ROWS(A$1:A26)-1)))</f>
        <v>0</v>
      </c>
      <c r="U27" s="34">
        <f>INDEX('9 - Water Readings'!$G$8:$G$969,1+(2*(ROWS(A$1:A26)-1)))</f>
        <v>99</v>
      </c>
      <c r="V27" s="34">
        <f>INDEX('9 - Water Readings'!$H$8:$H$970,1+(2*(ROWS(A$1:A26)-1)))</f>
        <v>12</v>
      </c>
      <c r="W27" s="34">
        <f>INDEX('9 - Water Readings'!$I$8:$I$970,1+(2*(ROWS(A$1:A26)-1)))</f>
        <v>58</v>
      </c>
      <c r="X27" s="34">
        <f>INDEX('9 - Water Readings'!$J$8:$J$970,1+(2*(ROWS(A$1:A26)-1)))</f>
        <v>296</v>
      </c>
      <c r="Y27" s="34">
        <f>INDEX('9 - Water Readings'!$K$8:$K$970,1+(2*(ROWS(A$1:A26)-1)))</f>
        <v>0</v>
      </c>
      <c r="Z27" s="34">
        <f>INDEX('9 - Water Readings'!$L$8:$L$970,1+(2*(ROWS(A$1:A26)-1)))</f>
        <v>0</v>
      </c>
      <c r="AA27" s="35">
        <f>'9 - Water Readings'!Q32</f>
        <v>164</v>
      </c>
      <c r="AB27" s="33">
        <f>'9 - Water Readings'!R32</f>
        <v>580</v>
      </c>
      <c r="AC27">
        <f>'9 - Water Readings'!S32</f>
        <v>14.3</v>
      </c>
    </row>
    <row r="28" spans="1:29" x14ac:dyDescent="0.25">
      <c r="A28" s="36" t="s">
        <v>11</v>
      </c>
      <c r="B28" s="36">
        <f t="shared" si="0"/>
        <v>27</v>
      </c>
      <c r="C28" s="36">
        <v>5</v>
      </c>
      <c r="D28" s="33">
        <v>2022</v>
      </c>
      <c r="E28" s="34">
        <f>INDEX('13 - Electrical Readings'!$C$8:$C$966,1+(2*(ROWS(A$1:A27)-1)))</f>
        <v>2</v>
      </c>
      <c r="F28" s="34">
        <f>INDEX('13 - Electrical Readings'!$D$6:$D$966,1+(2*(ROWS(A$1:A28)-1)))</f>
        <v>770</v>
      </c>
      <c r="G28" s="33">
        <f>INDEX('13 - Electrical Readings'!$E$6:$E$966,1+(2*(ROWS(A$1:A28)-1)))</f>
        <v>14770</v>
      </c>
      <c r="H28" s="33">
        <f>INDEX('13 - Electrical Readings'!$F$6:$F$966,1+(2*(ROWS(A$1:A28)-1)))</f>
        <v>11791</v>
      </c>
      <c r="I28" s="34">
        <f>INDEX('13 - Electrical Readings'!$G$6:$G$966,1+(2*(ROWS(A$1:A28)-1)))</f>
        <v>16</v>
      </c>
      <c r="J28" s="33">
        <f>INDEX('13 - Electrical Readings'!$I$6:$I$966,1+(2*(ROWS(A$1:A28)-1)))</f>
        <v>2043</v>
      </c>
      <c r="K28" s="33">
        <f>INDEX('13 - Electrical Readings'!$J$6:$J$966,1+(2*(ROWS(B$1:B28)-1)))</f>
        <v>7875</v>
      </c>
      <c r="L28" s="33">
        <f>INDEX('13 - Electrical Readings'!$K$6:$K$966,1+(2*(ROWS(C$1:C28)-1)))</f>
        <v>3710</v>
      </c>
      <c r="M28" s="33">
        <f>INDEX('13 - Electrical Readings'!$L$6:$L$966,1+(2*(ROWS(D$1:D28)-1)))</f>
        <v>4437</v>
      </c>
      <c r="N28" s="33">
        <f>INDEX('13 - Electrical Readings'!$M$6:$M$966,1+(2*(ROWS(E$1:E28)-1)))</f>
        <v>7350</v>
      </c>
      <c r="O28" s="34">
        <f>INDEX('13 - Electrical Readings'!$N$6:$N$966,1+(2*(ROWS(E$1:E28)-1)))</f>
        <v>8109</v>
      </c>
      <c r="P28" s="34">
        <f>INDEX('13 - Electrical Readings'!$O$6:$O$966,1+(2*(ROWS(E$1:E28)-1)))</f>
        <v>3156</v>
      </c>
      <c r="Q28" s="34">
        <f>INDEX('13 - Electrical Readings'!$P$6:$P$966,1+(2*(ROWS(E$1:E28)-1)))</f>
        <v>2860</v>
      </c>
      <c r="R28" s="34">
        <f>INDEX('9 - Water Readings'!$C$8:$C$970,1+(2*(ROWS(A$1:A27)-1)))</f>
        <v>0</v>
      </c>
      <c r="S28" s="34">
        <f>INDEX('9 - Water Readings'!$D$8:$D$969,1+(2*(ROWS(A$1:A27)-1)))</f>
        <v>0</v>
      </c>
      <c r="T28" s="34">
        <f>INDEX('9 - Water Readings'!$E$8:$E$970,1+(2*(ROWS(A$1:A27)-1)))</f>
        <v>0</v>
      </c>
      <c r="U28" s="34">
        <f>INDEX('9 - Water Readings'!$G$8:$G$969,1+(2*(ROWS(A$1:A27)-1)))</f>
        <v>96</v>
      </c>
      <c r="V28" s="34">
        <f>INDEX('9 - Water Readings'!$H$8:$H$970,1+(2*(ROWS(A$1:A27)-1)))</f>
        <v>14</v>
      </c>
      <c r="W28" s="34">
        <f>INDEX('9 - Water Readings'!$I$8:$I$970,1+(2*(ROWS(A$1:A27)-1)))</f>
        <v>62</v>
      </c>
      <c r="X28" s="34">
        <f>INDEX('9 - Water Readings'!$J$8:$J$970,1+(2*(ROWS(A$1:A27)-1)))</f>
        <v>292</v>
      </c>
      <c r="Y28" s="34">
        <f>INDEX('9 - Water Readings'!$K$8:$K$970,1+(2*(ROWS(A$1:A27)-1)))</f>
        <v>0</v>
      </c>
      <c r="Z28" s="34">
        <f>INDEX('9 - Water Readings'!$L$8:$L$970,1+(2*(ROWS(A$1:A27)-1)))</f>
        <v>0</v>
      </c>
      <c r="AA28" s="35">
        <f>'9 - Water Readings'!Q33</f>
        <v>180</v>
      </c>
      <c r="AB28" s="33">
        <f>'9 - Water Readings'!R33</f>
        <v>680</v>
      </c>
      <c r="AC28">
        <f>'9 - Water Readings'!S33</f>
        <v>14.4</v>
      </c>
    </row>
    <row r="29" spans="1:29" x14ac:dyDescent="0.25">
      <c r="A29" s="36" t="s">
        <v>11</v>
      </c>
      <c r="B29" s="36">
        <f t="shared" si="0"/>
        <v>28</v>
      </c>
      <c r="C29" s="36">
        <v>5</v>
      </c>
      <c r="D29" s="33">
        <v>2022</v>
      </c>
      <c r="E29" s="34">
        <f>INDEX('13 - Electrical Readings'!$C$8:$C$966,1+(2*(ROWS(A$1:A28)-1)))</f>
        <v>6</v>
      </c>
      <c r="F29" s="34">
        <f>INDEX('13 - Electrical Readings'!$D$6:$D$966,1+(2*(ROWS(A$1:A29)-1)))</f>
        <v>771</v>
      </c>
      <c r="G29" s="33">
        <f>INDEX('13 - Electrical Readings'!$E$6:$E$966,1+(2*(ROWS(A$1:A29)-1)))</f>
        <v>14280</v>
      </c>
      <c r="H29" s="33">
        <f>INDEX('13 - Electrical Readings'!$F$6:$F$966,1+(2*(ROWS(A$1:A29)-1)))</f>
        <v>12486</v>
      </c>
      <c r="I29" s="34">
        <f>INDEX('13 - Electrical Readings'!$G$6:$G$966,1+(2*(ROWS(A$1:A29)-1)))</f>
        <v>17</v>
      </c>
      <c r="J29" s="33">
        <f>INDEX('13 - Electrical Readings'!$I$6:$I$966,1+(2*(ROWS(A$1:A29)-1)))</f>
        <v>2025</v>
      </c>
      <c r="K29" s="33">
        <f>INDEX('13 - Electrical Readings'!$J$6:$J$966,1+(2*(ROWS(B$1:B29)-1)))</f>
        <v>7863</v>
      </c>
      <c r="L29" s="33">
        <f>INDEX('13 - Electrical Readings'!$K$6:$K$966,1+(2*(ROWS(C$1:C29)-1)))</f>
        <v>3860</v>
      </c>
      <c r="M29" s="33">
        <f>INDEX('13 - Electrical Readings'!$L$6:$L$966,1+(2*(ROWS(D$1:D29)-1)))</f>
        <v>4493</v>
      </c>
      <c r="N29" s="33">
        <f>INDEX('13 - Electrical Readings'!$M$6:$M$966,1+(2*(ROWS(E$1:E29)-1)))</f>
        <v>7311</v>
      </c>
      <c r="O29" s="34">
        <f>INDEX('13 - Electrical Readings'!$N$6:$N$966,1+(2*(ROWS(E$1:E29)-1)))</f>
        <v>8346</v>
      </c>
      <c r="P29" s="34">
        <f>INDEX('13 - Electrical Readings'!$O$6:$O$966,1+(2*(ROWS(E$1:E29)-1)))</f>
        <v>3076</v>
      </c>
      <c r="Q29" s="34">
        <f>INDEX('13 - Electrical Readings'!$P$6:$P$966,1+(2*(ROWS(E$1:E29)-1)))</f>
        <v>2530</v>
      </c>
      <c r="R29" s="34">
        <f>INDEX('9 - Water Readings'!$C$8:$C$970,1+(2*(ROWS(A$1:A28)-1)))</f>
        <v>0</v>
      </c>
      <c r="S29" s="34">
        <f>INDEX('9 - Water Readings'!$D$8:$D$969,1+(2*(ROWS(A$1:A28)-1)))</f>
        <v>0</v>
      </c>
      <c r="T29" s="34">
        <f>INDEX('9 - Water Readings'!$E$8:$E$970,1+(2*(ROWS(A$1:A28)-1)))</f>
        <v>0</v>
      </c>
      <c r="U29" s="34">
        <f>INDEX('9 - Water Readings'!$G$8:$G$969,1+(2*(ROWS(A$1:A28)-1)))</f>
        <v>93</v>
      </c>
      <c r="V29" s="34">
        <f>INDEX('9 - Water Readings'!$H$8:$H$970,1+(2*(ROWS(A$1:A28)-1)))</f>
        <v>14</v>
      </c>
      <c r="W29" s="34">
        <f>INDEX('9 - Water Readings'!$I$8:$I$970,1+(2*(ROWS(A$1:A28)-1)))</f>
        <v>29</v>
      </c>
      <c r="X29" s="34">
        <f>INDEX('9 - Water Readings'!$J$8:$J$970,1+(2*(ROWS(A$1:A28)-1)))</f>
        <v>306</v>
      </c>
      <c r="Y29" s="34">
        <f>INDEX('9 - Water Readings'!$K$8:$K$970,1+(2*(ROWS(A$1:A28)-1)))</f>
        <v>0</v>
      </c>
      <c r="Z29" s="34">
        <f>INDEX('9 - Water Readings'!$L$8:$L$970,1+(2*(ROWS(A$1:A28)-1)))</f>
        <v>0</v>
      </c>
      <c r="AA29" s="35">
        <f>'9 - Water Readings'!Q34</f>
        <v>107</v>
      </c>
      <c r="AB29" s="33">
        <f>'9 - Water Readings'!R34</f>
        <v>360</v>
      </c>
      <c r="AC29">
        <f>'9 - Water Readings'!S34</f>
        <v>14.5</v>
      </c>
    </row>
    <row r="30" spans="1:29" x14ac:dyDescent="0.25">
      <c r="A30" s="36" t="s">
        <v>11</v>
      </c>
      <c r="B30" s="36">
        <f t="shared" si="0"/>
        <v>29</v>
      </c>
      <c r="C30" s="36">
        <v>5</v>
      </c>
      <c r="D30" s="33">
        <v>2022</v>
      </c>
      <c r="E30" s="34">
        <f>INDEX('13 - Electrical Readings'!$C$8:$C$966,1+(2*(ROWS(A$1:A29)-1)))</f>
        <v>4</v>
      </c>
      <c r="F30" s="34">
        <f>INDEX('13 - Electrical Readings'!$D$6:$D$966,1+(2*(ROWS(A$1:A30)-1)))</f>
        <v>6210</v>
      </c>
      <c r="G30" s="33">
        <f>INDEX('13 - Electrical Readings'!$E$6:$E$966,1+(2*(ROWS(A$1:A30)-1)))</f>
        <v>13731</v>
      </c>
      <c r="H30" s="33">
        <f>INDEX('13 - Electrical Readings'!$F$6:$F$966,1+(2*(ROWS(A$1:A30)-1)))</f>
        <v>7312</v>
      </c>
      <c r="I30" s="34">
        <f>INDEX('13 - Electrical Readings'!$G$6:$G$966,1+(2*(ROWS(A$1:A30)-1)))</f>
        <v>19</v>
      </c>
      <c r="J30" s="33">
        <f>INDEX('13 - Electrical Readings'!$I$6:$I$966,1+(2*(ROWS(A$1:A30)-1)))</f>
        <v>1989</v>
      </c>
      <c r="K30" s="33">
        <f>INDEX('13 - Electrical Readings'!$J$6:$J$966,1+(2*(ROWS(B$1:B30)-1)))</f>
        <v>7989</v>
      </c>
      <c r="L30" s="33">
        <f>INDEX('13 - Electrical Readings'!$K$6:$K$966,1+(2*(ROWS(C$1:C30)-1)))</f>
        <v>3486</v>
      </c>
      <c r="M30" s="33">
        <f>INDEX('13 - Electrical Readings'!$L$6:$L$966,1+(2*(ROWS(D$1:D30)-1)))</f>
        <v>4289</v>
      </c>
      <c r="N30" s="33">
        <f>INDEX('13 - Electrical Readings'!$M$6:$M$966,1+(2*(ROWS(E$1:E30)-1)))</f>
        <v>7427</v>
      </c>
      <c r="O30" s="34">
        <f>INDEX('13 - Electrical Readings'!$N$6:$N$966,1+(2*(ROWS(E$1:E30)-1)))</f>
        <v>8662</v>
      </c>
      <c r="P30" s="34">
        <f>INDEX('13 - Electrical Readings'!$O$6:$O$966,1+(2*(ROWS(E$1:E30)-1)))</f>
        <v>3192</v>
      </c>
      <c r="Q30" s="34">
        <f>INDEX('13 - Electrical Readings'!$P$6:$P$966,1+(2*(ROWS(E$1:E30)-1)))</f>
        <v>2240</v>
      </c>
      <c r="R30" s="34">
        <f>INDEX('9 - Water Readings'!$C$8:$C$970,1+(2*(ROWS(A$1:A29)-1)))</f>
        <v>0</v>
      </c>
      <c r="S30" s="34">
        <f>INDEX('9 - Water Readings'!$D$8:$D$969,1+(2*(ROWS(A$1:A29)-1)))</f>
        <v>0</v>
      </c>
      <c r="T30" s="34">
        <f>INDEX('9 - Water Readings'!$E$8:$E$970,1+(2*(ROWS(A$1:A29)-1)))</f>
        <v>0</v>
      </c>
      <c r="U30" s="34">
        <f>INDEX('9 - Water Readings'!$G$8:$G$969,1+(2*(ROWS(A$1:A29)-1)))</f>
        <v>96</v>
      </c>
      <c r="V30" s="34">
        <f>INDEX('9 - Water Readings'!$H$8:$H$970,1+(2*(ROWS(A$1:A29)-1)))</f>
        <v>13</v>
      </c>
      <c r="W30" s="34">
        <f>INDEX('9 - Water Readings'!$I$8:$I$970,1+(2*(ROWS(A$1:A29)-1)))</f>
        <v>53</v>
      </c>
      <c r="X30" s="34">
        <f>INDEX('9 - Water Readings'!$J$8:$J$970,1+(2*(ROWS(A$1:A29)-1)))</f>
        <v>263</v>
      </c>
      <c r="Y30" s="34">
        <f>INDEX('9 - Water Readings'!$K$8:$K$970,1+(2*(ROWS(A$1:A29)-1)))</f>
        <v>0</v>
      </c>
      <c r="Z30" s="34">
        <f>INDEX('9 - Water Readings'!$L$8:$L$970,1+(2*(ROWS(A$1:A29)-1)))</f>
        <v>0</v>
      </c>
      <c r="AA30" s="35">
        <f>'9 - Water Readings'!Q35</f>
        <v>93</v>
      </c>
      <c r="AB30" s="33">
        <f>'9 - Water Readings'!R35</f>
        <v>268</v>
      </c>
      <c r="AC30">
        <f>'9 - Water Readings'!S35</f>
        <v>14.7</v>
      </c>
    </row>
    <row r="31" spans="1:29" x14ac:dyDescent="0.25">
      <c r="A31" s="36" t="s">
        <v>11</v>
      </c>
      <c r="B31" s="36">
        <f t="shared" si="0"/>
        <v>30</v>
      </c>
      <c r="C31" s="36">
        <v>5</v>
      </c>
      <c r="D31" s="33">
        <v>2022</v>
      </c>
      <c r="E31" s="34">
        <f>INDEX('13 - Electrical Readings'!$C$8:$C$966,1+(2*(ROWS(A$1:A30)-1)))</f>
        <v>8</v>
      </c>
      <c r="F31" s="34">
        <f>INDEX('13 - Electrical Readings'!$D$6:$D$966,1+(2*(ROWS(A$1:A31)-1)))</f>
        <v>11400</v>
      </c>
      <c r="G31" s="33">
        <f>INDEX('13 - Electrical Readings'!$E$6:$E$966,1+(2*(ROWS(A$1:A31)-1)))</f>
        <v>11017</v>
      </c>
      <c r="H31" s="33">
        <f>INDEX('13 - Electrical Readings'!$F$6:$F$966,1+(2*(ROWS(A$1:A31)-1)))</f>
        <v>4190</v>
      </c>
      <c r="I31" s="34">
        <f>INDEX('13 - Electrical Readings'!$G$6:$G$966,1+(2*(ROWS(A$1:A31)-1)))</f>
        <v>18</v>
      </c>
      <c r="J31" s="33">
        <f>INDEX('13 - Electrical Readings'!$I$6:$I$966,1+(2*(ROWS(A$1:A31)-1)))</f>
        <v>2083</v>
      </c>
      <c r="K31" s="33">
        <f>INDEX('13 - Electrical Readings'!$J$6:$J$966,1+(2*(ROWS(B$1:B31)-1)))</f>
        <v>8217</v>
      </c>
      <c r="L31" s="33">
        <f>INDEX('13 - Electrical Readings'!$K$6:$K$966,1+(2*(ROWS(C$1:C31)-1)))</f>
        <v>3538</v>
      </c>
      <c r="M31" s="33">
        <f>INDEX('13 - Electrical Readings'!$L$6:$L$966,1+(2*(ROWS(D$1:D31)-1)))</f>
        <v>4314</v>
      </c>
      <c r="N31" s="33">
        <f>INDEX('13 - Electrical Readings'!$M$6:$M$966,1+(2*(ROWS(E$1:E31)-1)))</f>
        <v>6863</v>
      </c>
      <c r="O31" s="34">
        <f>INDEX('13 - Electrical Readings'!$N$6:$N$966,1+(2*(ROWS(E$1:E31)-1)))</f>
        <v>8800</v>
      </c>
      <c r="P31" s="34">
        <f>INDEX('13 - Electrical Readings'!$O$6:$O$966,1+(2*(ROWS(E$1:E31)-1)))</f>
        <v>3163</v>
      </c>
      <c r="Q31" s="34">
        <f>INDEX('13 - Electrical Readings'!$P$6:$P$966,1+(2*(ROWS(E$1:E31)-1)))</f>
        <v>2460</v>
      </c>
      <c r="R31" s="34">
        <f>INDEX('9 - Water Readings'!$C$8:$C$970,1+(2*(ROWS(A$1:A30)-1)))</f>
        <v>1</v>
      </c>
      <c r="S31" s="34">
        <f>INDEX('9 - Water Readings'!$D$8:$D$969,1+(2*(ROWS(A$1:A30)-1)))</f>
        <v>1</v>
      </c>
      <c r="T31" s="34">
        <f>INDEX('9 - Water Readings'!$E$8:$E$970,1+(2*(ROWS(A$1:A30)-1)))</f>
        <v>0</v>
      </c>
      <c r="U31" s="34">
        <f>INDEX('9 - Water Readings'!$G$8:$G$969,1+(2*(ROWS(A$1:A30)-1)))</f>
        <v>101</v>
      </c>
      <c r="V31" s="34">
        <f>INDEX('9 - Water Readings'!$H$8:$H$970,1+(2*(ROWS(A$1:A30)-1)))</f>
        <v>11</v>
      </c>
      <c r="W31" s="34">
        <f>INDEX('9 - Water Readings'!$I$8:$I$970,1+(2*(ROWS(A$1:A30)-1)))</f>
        <v>44</v>
      </c>
      <c r="X31" s="34">
        <f>INDEX('9 - Water Readings'!$J$8:$J$970,1+(2*(ROWS(A$1:A30)-1)))</f>
        <v>272</v>
      </c>
      <c r="Y31" s="34">
        <f>INDEX('9 - Water Readings'!$K$8:$K$970,1+(2*(ROWS(A$1:A30)-1)))</f>
        <v>0</v>
      </c>
      <c r="Z31" s="34">
        <f>INDEX('9 - Water Readings'!$L$8:$L$970,1+(2*(ROWS(A$1:A30)-1)))</f>
        <v>0</v>
      </c>
      <c r="AA31" s="35">
        <f>'9 - Water Readings'!Q36</f>
        <v>105</v>
      </c>
      <c r="AB31" s="33">
        <f>'9 - Water Readings'!R36</f>
        <v>298</v>
      </c>
      <c r="AC31">
        <f>'9 - Water Readings'!S36</f>
        <v>17.5</v>
      </c>
    </row>
    <row r="32" spans="1:29" x14ac:dyDescent="0.25">
      <c r="B32" s="36">
        <f t="shared" si="0"/>
        <v>31</v>
      </c>
      <c r="C32" s="36">
        <v>5</v>
      </c>
      <c r="D32" s="33">
        <v>2022</v>
      </c>
      <c r="E32" s="34">
        <f>INDEX('13 - Electrical Readings'!$C$8:$C$966,1+(2*(ROWS(A$1:A31)-1)))</f>
        <v>6</v>
      </c>
      <c r="F32" s="34">
        <f>INDEX('13 - Electrical Readings'!$D$6:$D$966,1+(2*(ROWS(A$1:A32)-1)))</f>
        <v>12354</v>
      </c>
      <c r="G32" s="33">
        <f>INDEX('13 - Electrical Readings'!$E$6:$E$966,1+(2*(ROWS(A$1:A32)-1)))</f>
        <v>12335</v>
      </c>
      <c r="H32" s="33">
        <f>INDEX('13 - Electrical Readings'!$F$6:$F$966,1+(2*(ROWS(A$1:A32)-1)))</f>
        <v>4479</v>
      </c>
      <c r="I32" s="34">
        <f>INDEX('13 - Electrical Readings'!$G$6:$G$966,1+(2*(ROWS(A$1:A32)-1)))</f>
        <v>17</v>
      </c>
      <c r="J32" s="33">
        <f>INDEX('13 - Electrical Readings'!$I$6:$I$966,1+(2*(ROWS(A$1:A32)-1)))</f>
        <v>1966</v>
      </c>
      <c r="K32" s="33">
        <f>INDEX('13 - Electrical Readings'!$J$6:$J$966,1+(2*(ROWS(B$1:B32)-1)))</f>
        <v>8463</v>
      </c>
      <c r="L32" s="33">
        <f>INDEX('13 - Electrical Readings'!$K$6:$K$966,1+(2*(ROWS(C$1:C32)-1)))</f>
        <v>3635</v>
      </c>
      <c r="M32" s="33">
        <f>INDEX('13 - Electrical Readings'!$L$6:$L$966,1+(2*(ROWS(D$1:D32)-1)))</f>
        <v>4289</v>
      </c>
      <c r="N32" s="33">
        <f>INDEX('13 - Electrical Readings'!$M$6:$M$966,1+(2*(ROWS(E$1:E32)-1)))</f>
        <v>8301</v>
      </c>
      <c r="O32" s="34">
        <f>INDEX('13 - Electrical Readings'!$N$6:$N$966,1+(2*(ROWS(E$1:E32)-1)))</f>
        <v>8676</v>
      </c>
      <c r="P32" s="34">
        <f>INDEX('13 - Electrical Readings'!$O$6:$O$966,1+(2*(ROWS(E$1:E32)-1)))</f>
        <v>3083</v>
      </c>
      <c r="Q32" s="34">
        <f>INDEX('13 - Electrical Readings'!$P$6:$P$966,1+(2*(ROWS(E$1:E32)-1)))</f>
        <v>2560</v>
      </c>
      <c r="R32" s="34">
        <f>INDEX('9 - Water Readings'!$C$8:$C$970,1+(2*(ROWS(A$1:A31)-1)))</f>
        <v>0</v>
      </c>
      <c r="S32" s="34">
        <f>INDEX('9 - Water Readings'!$D$8:$D$969,1+(2*(ROWS(A$1:A31)-1)))</f>
        <v>0</v>
      </c>
      <c r="T32" s="34">
        <f>INDEX('9 - Water Readings'!$E$8:$E$970,1+(2*(ROWS(A$1:A31)-1)))</f>
        <v>0</v>
      </c>
      <c r="U32" s="34">
        <f>INDEX('9 - Water Readings'!$G$8:$G$969,1+(2*(ROWS(A$1:A31)-1)))</f>
        <v>100</v>
      </c>
      <c r="V32" s="34">
        <f>INDEX('9 - Water Readings'!$H$8:$H$970,1+(2*(ROWS(A$1:A31)-1)))</f>
        <v>11</v>
      </c>
      <c r="W32" s="34">
        <f>INDEX('9 - Water Readings'!$I$8:$I$970,1+(2*(ROWS(A$1:A31)-1)))</f>
        <v>54</v>
      </c>
      <c r="X32" s="34">
        <f>INDEX('9 - Water Readings'!$J$8:$J$970,1+(2*(ROWS(A$1:A31)-1)))</f>
        <v>261</v>
      </c>
      <c r="Y32" s="34">
        <f>INDEX('9 - Water Readings'!$K$8:$K$970,1+(2*(ROWS(A$1:A31)-1)))</f>
        <v>0</v>
      </c>
      <c r="Z32" s="34">
        <f>INDEX('9 - Water Readings'!$L$8:$L$970,1+(2*(ROWS(A$1:A31)-1)))</f>
        <v>0</v>
      </c>
      <c r="AA32" s="35">
        <f>'9 - Water Readings'!Q37</f>
        <v>137</v>
      </c>
      <c r="AB32" s="33">
        <f>'9 - Water Readings'!R37</f>
        <v>368</v>
      </c>
      <c r="AC32">
        <f>'9 - Water Readings'!S37</f>
        <v>14.5</v>
      </c>
    </row>
    <row r="33" spans="9:29" x14ac:dyDescent="0.25">
      <c r="I33" s="34"/>
      <c r="AA33" s="35"/>
      <c r="AC33"/>
    </row>
    <row r="34" spans="9:29" x14ac:dyDescent="0.25">
      <c r="I34" s="34"/>
      <c r="AA34" s="35"/>
      <c r="AC34"/>
    </row>
    <row r="35" spans="9:29" x14ac:dyDescent="0.25">
      <c r="I35" s="34"/>
      <c r="AA35" s="35"/>
      <c r="AC35"/>
    </row>
  </sheetData>
  <customSheetViews>
    <customSheetView guid="{3F0D6565-C55E-43AC-AC5D-87C4E1D85423}" scale="70" topLeftCell="B1">
      <selection activeCell="E49" sqref="E49"/>
      <pageMargins left="0" right="0" top="0" bottom="0" header="0" footer="0"/>
    </customSheetView>
    <customSheetView guid="{25F117C9-9E88-4830-872F-F7C65066F93E}" scale="70" topLeftCell="B1">
      <selection activeCell="E49" sqref="E49"/>
      <pageMargins left="0" right="0" top="0" bottom="0" header="0" footer="0"/>
    </customSheetView>
    <customSheetView guid="{715FFCCD-858F-48B1-9C65-962158B32E76}" scale="70" topLeftCell="B1">
      <selection activeCell="E49" sqref="E49"/>
      <pageMargins left="0" right="0" top="0" bottom="0" header="0" footer="0"/>
    </customSheetView>
    <customSheetView guid="{071FA3B5-878B-4C51-9DD6-5097B4769603}" scale="70" topLeftCell="B1">
      <selection activeCell="E49" sqref="E49"/>
      <pageMargins left="0" right="0" top="0" bottom="0" header="0" footer="0"/>
    </customSheetView>
    <customSheetView guid="{91089E3D-1703-4FEE-B13A-4F0669A06DB8}" scale="70" topLeftCell="B1">
      <selection activeCell="E49" sqref="E49"/>
      <pageMargins left="0" right="0" top="0" bottom="0" header="0" footer="0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75"/>
  <sheetViews>
    <sheetView zoomScaleNormal="100" zoomScaleSheetLayoutView="100" workbookViewId="0">
      <pane ySplit="6" topLeftCell="A7" activePane="bottomLeft" state="frozen"/>
      <selection pane="bottomLeft" activeCell="W16" sqref="W16"/>
    </sheetView>
  </sheetViews>
  <sheetFormatPr defaultRowHeight="15" x14ac:dyDescent="0.25"/>
  <cols>
    <col min="1" max="1" width="1" style="1" customWidth="1"/>
    <col min="2" max="2" width="10.5703125" style="1" customWidth="1"/>
    <col min="3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6384" width="9.140625" style="1"/>
  </cols>
  <sheetData>
    <row r="1" spans="2:18" ht="12" customHeight="1" x14ac:dyDescent="0.25"/>
    <row r="2" spans="2:18" ht="19.5" customHeight="1" x14ac:dyDescent="0.25">
      <c r="F2" s="81" t="s">
        <v>34</v>
      </c>
      <c r="G2" s="81"/>
      <c r="H2" s="81"/>
      <c r="I2" s="81"/>
      <c r="J2" s="81"/>
      <c r="K2" s="81"/>
      <c r="L2" s="81"/>
      <c r="M2" s="81"/>
    </row>
    <row r="3" spans="2:18" ht="21" customHeight="1" x14ac:dyDescent="0.3">
      <c r="F3" s="82" t="s">
        <v>35</v>
      </c>
      <c r="G3" s="82"/>
      <c r="H3" s="82"/>
      <c r="I3" s="82"/>
      <c r="J3" s="82"/>
      <c r="K3" s="82"/>
      <c r="L3" s="82"/>
      <c r="M3" s="82"/>
      <c r="N3" s="78" t="s">
        <v>36</v>
      </c>
      <c r="O3" s="78"/>
      <c r="P3" s="78"/>
    </row>
    <row r="4" spans="2:18" ht="15" customHeight="1" thickBot="1" x14ac:dyDescent="0.3">
      <c r="N4" s="78"/>
      <c r="O4" s="78"/>
      <c r="P4" s="78"/>
    </row>
    <row r="5" spans="2:18" ht="30.75" thickTop="1" x14ac:dyDescent="0.25">
      <c r="B5" s="79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85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83" t="s">
        <v>45</v>
      </c>
      <c r="R5" s="76" t="s">
        <v>46</v>
      </c>
    </row>
    <row r="6" spans="2:18" x14ac:dyDescent="0.25">
      <c r="B6" s="80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86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84"/>
      <c r="R6" s="77"/>
    </row>
    <row r="7" spans="2:18" ht="17.25" customHeight="1" x14ac:dyDescent="0.25">
      <c r="B7" s="23">
        <v>1</v>
      </c>
      <c r="C7" s="7">
        <v>20248324</v>
      </c>
      <c r="D7" s="7">
        <v>14568398</v>
      </c>
      <c r="E7" s="7">
        <v>26559577</v>
      </c>
      <c r="F7" s="7">
        <v>26752906</v>
      </c>
      <c r="G7" s="7">
        <v>16683977</v>
      </c>
      <c r="H7" s="8"/>
      <c r="I7" s="48">
        <v>5963519</v>
      </c>
      <c r="J7" s="48">
        <v>26305592</v>
      </c>
      <c r="K7" s="48">
        <v>8655237</v>
      </c>
      <c r="L7" s="48">
        <v>12990435</v>
      </c>
      <c r="M7" s="48">
        <v>19209654</v>
      </c>
      <c r="N7" s="48">
        <v>25015183</v>
      </c>
      <c r="O7" s="48">
        <v>8002554</v>
      </c>
      <c r="P7" s="48">
        <v>7279190</v>
      </c>
      <c r="Q7" s="9"/>
      <c r="R7" s="10"/>
    </row>
    <row r="8" spans="2:18" ht="17.25" customHeight="1" x14ac:dyDescent="0.25">
      <c r="B8" s="11" t="s">
        <v>47</v>
      </c>
      <c r="C8" s="53">
        <v>8693</v>
      </c>
      <c r="D8" s="53">
        <v>11682</v>
      </c>
      <c r="E8" s="53">
        <v>3284</v>
      </c>
      <c r="F8" s="53">
        <v>4056</v>
      </c>
      <c r="G8" s="53">
        <v>16</v>
      </c>
      <c r="H8" s="8">
        <v>27731</v>
      </c>
      <c r="I8" s="53">
        <v>1963</v>
      </c>
      <c r="J8" s="53">
        <v>9876</v>
      </c>
      <c r="K8" s="53">
        <v>3158</v>
      </c>
      <c r="L8" s="53">
        <v>4517</v>
      </c>
      <c r="M8" s="53">
        <v>7232</v>
      </c>
      <c r="N8" s="53">
        <v>7006</v>
      </c>
      <c r="O8" s="53">
        <v>2708</v>
      </c>
      <c r="P8" s="53">
        <v>2560</v>
      </c>
      <c r="Q8" s="13">
        <f>P8+O8+N8+M8+L8+K8+J8+I8</f>
        <v>39020</v>
      </c>
      <c r="R8" s="14">
        <f>Q8+H8</f>
        <v>66751</v>
      </c>
    </row>
    <row r="9" spans="2:18" ht="17.25" customHeight="1" x14ac:dyDescent="0.25">
      <c r="B9" s="23">
        <v>2</v>
      </c>
      <c r="C9" s="7">
        <v>20267257</v>
      </c>
      <c r="D9" s="7">
        <v>14573470</v>
      </c>
      <c r="E9" s="7">
        <v>26562795</v>
      </c>
      <c r="F9" s="7">
        <v>26757199</v>
      </c>
      <c r="G9" s="7">
        <v>16683990</v>
      </c>
      <c r="H9" s="8"/>
      <c r="I9" s="48">
        <v>5965323</v>
      </c>
      <c r="J9" s="48">
        <v>26311682</v>
      </c>
      <c r="K9" s="48">
        <v>8658711</v>
      </c>
      <c r="L9" s="48">
        <v>12995096</v>
      </c>
      <c r="M9" s="48">
        <v>19217041</v>
      </c>
      <c r="N9" s="48">
        <v>25022651</v>
      </c>
      <c r="O9" s="48">
        <v>8005003</v>
      </c>
      <c r="P9" s="48">
        <v>7281470</v>
      </c>
      <c r="Q9" s="9"/>
      <c r="R9" s="15"/>
    </row>
    <row r="10" spans="2:18" ht="17.25" customHeight="1" x14ac:dyDescent="0.25">
      <c r="B10" s="11" t="s">
        <v>47</v>
      </c>
      <c r="C10" s="53">
        <f>+C9-C7</f>
        <v>18933</v>
      </c>
      <c r="D10" s="53">
        <f t="shared" ref="D10:G10" si="0">+D9-D7</f>
        <v>5072</v>
      </c>
      <c r="E10" s="53">
        <f t="shared" si="0"/>
        <v>3218</v>
      </c>
      <c r="F10" s="53">
        <f t="shared" si="0"/>
        <v>4293</v>
      </c>
      <c r="G10" s="53">
        <f t="shared" si="0"/>
        <v>13</v>
      </c>
      <c r="H10" s="8">
        <f>G10+F10+E10+D10+C10</f>
        <v>31529</v>
      </c>
      <c r="I10" s="12">
        <f>I9-I7</f>
        <v>1804</v>
      </c>
      <c r="J10" s="12">
        <f t="shared" ref="J10:O10" si="1">J9-J7</f>
        <v>6090</v>
      </c>
      <c r="K10" s="12">
        <f t="shared" si="1"/>
        <v>3474</v>
      </c>
      <c r="L10" s="12">
        <f t="shared" si="1"/>
        <v>4661</v>
      </c>
      <c r="M10" s="12">
        <f t="shared" si="1"/>
        <v>7387</v>
      </c>
      <c r="N10" s="12">
        <f t="shared" si="1"/>
        <v>7468</v>
      </c>
      <c r="O10" s="12">
        <f t="shared" si="1"/>
        <v>2449</v>
      </c>
      <c r="P10" s="12"/>
      <c r="Q10" s="13">
        <f>P10+O10+N10+M10+L10+K10+J10+I10</f>
        <v>33333</v>
      </c>
      <c r="R10" s="14">
        <f>Q10+H10</f>
        <v>64862</v>
      </c>
    </row>
    <row r="11" spans="2:18" ht="17.25" customHeight="1" x14ac:dyDescent="0.25">
      <c r="B11" s="23">
        <v>3</v>
      </c>
      <c r="C11" s="7">
        <v>20286954</v>
      </c>
      <c r="D11" s="7">
        <v>14576355</v>
      </c>
      <c r="E11" s="7">
        <v>26565610</v>
      </c>
      <c r="F11" s="7">
        <v>26761166</v>
      </c>
      <c r="G11" s="7">
        <v>16684004</v>
      </c>
      <c r="H11" s="8"/>
      <c r="I11" s="48">
        <v>5967252</v>
      </c>
      <c r="J11" s="48">
        <v>26319695</v>
      </c>
      <c r="K11" s="48">
        <v>8662049</v>
      </c>
      <c r="L11" s="48">
        <v>12999858</v>
      </c>
      <c r="M11" s="48">
        <v>19224019</v>
      </c>
      <c r="N11" s="48">
        <v>25030309</v>
      </c>
      <c r="O11" s="48">
        <v>8007753</v>
      </c>
      <c r="P11" s="48">
        <v>7284110</v>
      </c>
      <c r="Q11" s="9"/>
      <c r="R11" s="10"/>
    </row>
    <row r="12" spans="2:18" ht="17.25" customHeight="1" x14ac:dyDescent="0.25">
      <c r="B12" s="11" t="s">
        <v>47</v>
      </c>
      <c r="C12" s="53">
        <f>+C11-C9</f>
        <v>19697</v>
      </c>
      <c r="D12" s="53">
        <f t="shared" ref="D12" si="2">+D11-D9</f>
        <v>2885</v>
      </c>
      <c r="E12" s="53">
        <f t="shared" ref="E12" si="3">+E11-E9</f>
        <v>2815</v>
      </c>
      <c r="F12" s="53">
        <f t="shared" ref="F12" si="4">+F11-F9</f>
        <v>3967</v>
      </c>
      <c r="G12" s="53">
        <f t="shared" ref="G12" si="5">+G11-G9</f>
        <v>14</v>
      </c>
      <c r="H12" s="8">
        <f>G12+F12+E12+D12+C12</f>
        <v>29378</v>
      </c>
      <c r="I12" s="12">
        <f>I11-I9</f>
        <v>1929</v>
      </c>
      <c r="J12" s="12">
        <f t="shared" ref="J12:P12" si="6">J11-J9</f>
        <v>8013</v>
      </c>
      <c r="K12" s="12">
        <f t="shared" si="6"/>
        <v>3338</v>
      </c>
      <c r="L12" s="12">
        <f t="shared" si="6"/>
        <v>4762</v>
      </c>
      <c r="M12" s="12">
        <f t="shared" si="6"/>
        <v>6978</v>
      </c>
      <c r="N12" s="12">
        <f t="shared" si="6"/>
        <v>7658</v>
      </c>
      <c r="O12" s="12">
        <f t="shared" si="6"/>
        <v>2750</v>
      </c>
      <c r="P12" s="12">
        <f t="shared" si="6"/>
        <v>2640</v>
      </c>
      <c r="Q12" s="13">
        <f>P12+O12+N12+M12+L12+K12+J12+I12</f>
        <v>38068</v>
      </c>
      <c r="R12" s="14">
        <f>Q12+H12</f>
        <v>67446</v>
      </c>
    </row>
    <row r="13" spans="2:18" ht="17.25" customHeight="1" x14ac:dyDescent="0.25">
      <c r="B13" s="23">
        <v>4</v>
      </c>
      <c r="C13" s="7">
        <v>20306063</v>
      </c>
      <c r="D13" s="7">
        <v>14579412</v>
      </c>
      <c r="E13" s="7">
        <v>26568420</v>
      </c>
      <c r="F13" s="7">
        <v>26765096</v>
      </c>
      <c r="G13" s="7">
        <v>16684016</v>
      </c>
      <c r="H13" s="8"/>
      <c r="I13" s="48">
        <v>5969171</v>
      </c>
      <c r="J13" s="48">
        <v>26327578</v>
      </c>
      <c r="K13" s="48">
        <v>8665154</v>
      </c>
      <c r="L13" s="48">
        <v>13004409</v>
      </c>
      <c r="M13" s="48">
        <v>19230795</v>
      </c>
      <c r="N13" s="48">
        <v>25038460</v>
      </c>
      <c r="O13" s="48">
        <v>8010426</v>
      </c>
      <c r="P13" s="48">
        <v>7286750</v>
      </c>
      <c r="Q13" s="9"/>
      <c r="R13" s="15"/>
    </row>
    <row r="14" spans="2:18" ht="17.25" customHeight="1" x14ac:dyDescent="0.25">
      <c r="B14" s="11" t="s">
        <v>47</v>
      </c>
      <c r="C14" s="53">
        <f>+C13-C11</f>
        <v>19109</v>
      </c>
      <c r="D14" s="53">
        <f t="shared" ref="D14" si="7">+D13-D11</f>
        <v>3057</v>
      </c>
      <c r="E14" s="53">
        <f t="shared" ref="E14" si="8">+E13-E11</f>
        <v>2810</v>
      </c>
      <c r="F14" s="53">
        <f t="shared" ref="F14" si="9">+F13-F11</f>
        <v>3930</v>
      </c>
      <c r="G14" s="53">
        <f t="shared" ref="G14" si="10">+G13-G11</f>
        <v>12</v>
      </c>
      <c r="H14" s="8">
        <f>G14+F14+E14+D14+C14</f>
        <v>28918</v>
      </c>
      <c r="I14" s="12">
        <f>I13-I11</f>
        <v>1919</v>
      </c>
      <c r="J14" s="12">
        <f t="shared" ref="J14:P14" si="11">J13-J11</f>
        <v>7883</v>
      </c>
      <c r="K14" s="12">
        <f t="shared" si="11"/>
        <v>3105</v>
      </c>
      <c r="L14" s="12">
        <f t="shared" si="11"/>
        <v>4551</v>
      </c>
      <c r="M14" s="12">
        <f t="shared" si="11"/>
        <v>6776</v>
      </c>
      <c r="N14" s="12">
        <f t="shared" si="11"/>
        <v>8151</v>
      </c>
      <c r="O14" s="12">
        <f t="shared" si="11"/>
        <v>2673</v>
      </c>
      <c r="P14" s="12">
        <f t="shared" si="11"/>
        <v>2640</v>
      </c>
      <c r="Q14" s="13">
        <f>P14+O14+N14+M14+L14+K14+J14+I14</f>
        <v>37698</v>
      </c>
      <c r="R14" s="14">
        <f>Q14+H14</f>
        <v>66616</v>
      </c>
    </row>
    <row r="15" spans="2:18" ht="17.25" customHeight="1" x14ac:dyDescent="0.25">
      <c r="B15" s="23">
        <v>5</v>
      </c>
      <c r="C15" s="7">
        <v>20323551</v>
      </c>
      <c r="D15" s="50">
        <v>14587492</v>
      </c>
      <c r="E15" s="7">
        <v>26572186</v>
      </c>
      <c r="F15" s="7">
        <v>26769123</v>
      </c>
      <c r="G15" s="7">
        <v>16684028</v>
      </c>
      <c r="H15" s="8"/>
      <c r="I15" s="48">
        <v>5971001</v>
      </c>
      <c r="J15" s="48">
        <v>26335038</v>
      </c>
      <c r="K15" s="48">
        <v>8668486</v>
      </c>
      <c r="L15" s="48">
        <v>13009173</v>
      </c>
      <c r="M15" s="48">
        <v>19238149</v>
      </c>
      <c r="N15" s="48">
        <v>25046911</v>
      </c>
      <c r="O15" s="48">
        <v>8014010</v>
      </c>
      <c r="P15" s="48">
        <v>7289380</v>
      </c>
      <c r="Q15" s="9"/>
      <c r="R15" s="10"/>
    </row>
    <row r="16" spans="2:18" ht="17.25" customHeight="1" x14ac:dyDescent="0.25">
      <c r="B16" s="11" t="s">
        <v>47</v>
      </c>
      <c r="C16" s="53">
        <f>+C15-C13</f>
        <v>17488</v>
      </c>
      <c r="D16" s="53">
        <f t="shared" ref="D16" si="12">+D15-D13</f>
        <v>8080</v>
      </c>
      <c r="E16" s="53">
        <f t="shared" ref="E16" si="13">+E15-E13</f>
        <v>3766</v>
      </c>
      <c r="F16" s="53">
        <f t="shared" ref="F16" si="14">+F15-F13</f>
        <v>4027</v>
      </c>
      <c r="G16" s="53">
        <f t="shared" ref="G16" si="15">+G15-G13</f>
        <v>12</v>
      </c>
      <c r="H16" s="8">
        <f>G16+F16+E16+D16+C16</f>
        <v>33373</v>
      </c>
      <c r="I16" s="12">
        <f>I15-I13</f>
        <v>1830</v>
      </c>
      <c r="J16" s="12">
        <f t="shared" ref="J16:P16" si="16">J15-J13</f>
        <v>7460</v>
      </c>
      <c r="K16" s="12">
        <f t="shared" si="16"/>
        <v>3332</v>
      </c>
      <c r="L16" s="12">
        <f t="shared" si="16"/>
        <v>4764</v>
      </c>
      <c r="M16" s="12">
        <f t="shared" si="16"/>
        <v>7354</v>
      </c>
      <c r="N16" s="12">
        <f t="shared" si="16"/>
        <v>8451</v>
      </c>
      <c r="O16" s="12">
        <f t="shared" si="16"/>
        <v>3584</v>
      </c>
      <c r="P16" s="12">
        <f t="shared" si="16"/>
        <v>2630</v>
      </c>
      <c r="Q16" s="13">
        <f>P16+O16+N16+M16+L16+K16+J16+I16</f>
        <v>39405</v>
      </c>
      <c r="R16" s="14">
        <f>Q16+H16</f>
        <v>72778</v>
      </c>
    </row>
    <row r="17" spans="2:18" ht="17.25" customHeight="1" x14ac:dyDescent="0.25">
      <c r="B17" s="23">
        <v>6</v>
      </c>
      <c r="C17" s="7">
        <v>20343277</v>
      </c>
      <c r="D17" s="50">
        <v>14595666</v>
      </c>
      <c r="E17" s="7">
        <v>26575862</v>
      </c>
      <c r="F17" s="7">
        <v>26773438</v>
      </c>
      <c r="G17" s="7">
        <v>16684042</v>
      </c>
      <c r="H17" s="8"/>
      <c r="I17" s="48">
        <v>5972880</v>
      </c>
      <c r="J17" s="48">
        <v>26342020</v>
      </c>
      <c r="K17" s="48">
        <v>8671943</v>
      </c>
      <c r="L17" s="48">
        <v>13013689</v>
      </c>
      <c r="M17" s="48">
        <v>19245519</v>
      </c>
      <c r="N17" s="48">
        <v>25055038</v>
      </c>
      <c r="O17" s="48">
        <v>8016597</v>
      </c>
      <c r="P17" s="48">
        <v>7292250</v>
      </c>
      <c r="Q17" s="9"/>
      <c r="R17" s="10"/>
    </row>
    <row r="18" spans="2:18" ht="17.25" customHeight="1" x14ac:dyDescent="0.25">
      <c r="B18" s="11" t="s">
        <v>47</v>
      </c>
      <c r="C18" s="53">
        <f>+C17-C15</f>
        <v>19726</v>
      </c>
      <c r="D18" s="53">
        <f t="shared" ref="D18" si="17">+D17-D15</f>
        <v>8174</v>
      </c>
      <c r="E18" s="53">
        <f t="shared" ref="E18" si="18">+E17-E15</f>
        <v>3676</v>
      </c>
      <c r="F18" s="53">
        <f t="shared" ref="F18" si="19">+F17-F15</f>
        <v>4315</v>
      </c>
      <c r="G18" s="53">
        <f t="shared" ref="G18" si="20">+G17-G15</f>
        <v>14</v>
      </c>
      <c r="H18" s="8">
        <f>G18+F18+E18+D18+C18</f>
        <v>35905</v>
      </c>
      <c r="I18" s="12">
        <f>I17-I15</f>
        <v>1879</v>
      </c>
      <c r="J18" s="12">
        <f t="shared" ref="J18:P18" si="21">J17-J15</f>
        <v>6982</v>
      </c>
      <c r="K18" s="12">
        <f t="shared" si="21"/>
        <v>3457</v>
      </c>
      <c r="L18" s="12">
        <f t="shared" si="21"/>
        <v>4516</v>
      </c>
      <c r="M18" s="12">
        <f t="shared" si="21"/>
        <v>7370</v>
      </c>
      <c r="N18" s="12">
        <f t="shared" si="21"/>
        <v>8127</v>
      </c>
      <c r="O18" s="12">
        <f t="shared" si="21"/>
        <v>2587</v>
      </c>
      <c r="P18" s="12">
        <f t="shared" si="21"/>
        <v>2870</v>
      </c>
      <c r="Q18" s="13">
        <f>P18+O18+N18+M18+L18+K18+J18+I18</f>
        <v>37788</v>
      </c>
      <c r="R18" s="14">
        <f>Q18+H18</f>
        <v>73693</v>
      </c>
    </row>
    <row r="19" spans="2:18" ht="17.25" customHeight="1" x14ac:dyDescent="0.25">
      <c r="B19" s="23">
        <v>7</v>
      </c>
      <c r="C19" s="7">
        <v>20360525</v>
      </c>
      <c r="D19" s="50">
        <v>14605011</v>
      </c>
      <c r="E19" s="7">
        <v>26580721</v>
      </c>
      <c r="F19" s="7">
        <v>26778123</v>
      </c>
      <c r="G19" s="7">
        <v>16684056</v>
      </c>
      <c r="H19" s="8"/>
      <c r="I19" s="48">
        <v>5974751</v>
      </c>
      <c r="J19" s="48">
        <v>26348990</v>
      </c>
      <c r="K19" s="48">
        <v>8675277</v>
      </c>
      <c r="L19" s="48">
        <v>13018221</v>
      </c>
      <c r="M19" s="48">
        <v>19253128</v>
      </c>
      <c r="N19" s="48">
        <v>25063310</v>
      </c>
      <c r="O19" s="48">
        <v>8019639</v>
      </c>
      <c r="P19" s="48">
        <v>7294730</v>
      </c>
      <c r="Q19" s="9"/>
      <c r="R19" s="10"/>
    </row>
    <row r="20" spans="2:18" ht="17.25" customHeight="1" x14ac:dyDescent="0.25">
      <c r="B20" s="11" t="s">
        <v>47</v>
      </c>
      <c r="C20" s="53">
        <f>+C19-C17</f>
        <v>17248</v>
      </c>
      <c r="D20" s="53">
        <f t="shared" ref="D20" si="22">+D19-D17</f>
        <v>9345</v>
      </c>
      <c r="E20" s="53">
        <f t="shared" ref="E20" si="23">+E19-E17</f>
        <v>4859</v>
      </c>
      <c r="F20" s="53">
        <f t="shared" ref="F20" si="24">+F19-F17</f>
        <v>4685</v>
      </c>
      <c r="G20" s="53">
        <f t="shared" ref="G20" si="25">+G19-G17</f>
        <v>14</v>
      </c>
      <c r="H20" s="8">
        <f>G20+F20+E20+D20+C20</f>
        <v>36151</v>
      </c>
      <c r="I20" s="12">
        <f>I19-I17</f>
        <v>1871</v>
      </c>
      <c r="J20" s="12">
        <f t="shared" ref="J20:P26" si="26">J19-J17</f>
        <v>6970</v>
      </c>
      <c r="K20" s="12">
        <f t="shared" si="26"/>
        <v>3334</v>
      </c>
      <c r="L20" s="12">
        <f t="shared" si="26"/>
        <v>4532</v>
      </c>
      <c r="M20" s="12">
        <f t="shared" si="26"/>
        <v>7609</v>
      </c>
      <c r="N20" s="12">
        <f t="shared" si="26"/>
        <v>8272</v>
      </c>
      <c r="O20" s="12">
        <f t="shared" si="26"/>
        <v>3042</v>
      </c>
      <c r="P20" s="12">
        <f t="shared" si="26"/>
        <v>2480</v>
      </c>
      <c r="Q20" s="13">
        <f>P20+O20+N20+M20+L20+K20+J20+I20</f>
        <v>38110</v>
      </c>
      <c r="R20" s="14">
        <f>Q20+H20</f>
        <v>74261</v>
      </c>
    </row>
    <row r="21" spans="2:18" ht="17.25" customHeight="1" x14ac:dyDescent="0.25">
      <c r="B21" s="23">
        <v>8</v>
      </c>
      <c r="C21" s="7">
        <v>20371946</v>
      </c>
      <c r="D21" s="7">
        <v>14605985</v>
      </c>
      <c r="E21" s="7">
        <v>26588774</v>
      </c>
      <c r="F21" s="7">
        <v>26782543</v>
      </c>
      <c r="G21" s="7">
        <v>16693532</v>
      </c>
      <c r="H21" s="8"/>
      <c r="I21" s="66">
        <v>5976641</v>
      </c>
      <c r="J21" s="66">
        <v>26355964</v>
      </c>
      <c r="K21" s="67">
        <v>8678797</v>
      </c>
      <c r="L21" s="67">
        <v>13022811</v>
      </c>
      <c r="M21" s="67">
        <v>19260416</v>
      </c>
      <c r="N21" s="66">
        <v>25071606</v>
      </c>
      <c r="O21" s="66">
        <v>8023014</v>
      </c>
      <c r="P21" s="67">
        <v>7296930</v>
      </c>
      <c r="Q21" s="9"/>
      <c r="R21" s="10"/>
    </row>
    <row r="22" spans="2:18" ht="17.25" customHeight="1" x14ac:dyDescent="0.25">
      <c r="B22" s="11" t="s">
        <v>47</v>
      </c>
      <c r="C22" s="53">
        <f>+C21-C19</f>
        <v>11421</v>
      </c>
      <c r="D22" s="53">
        <f t="shared" ref="D22" si="27">+D21-D19</f>
        <v>974</v>
      </c>
      <c r="E22" s="53">
        <f t="shared" ref="E22" si="28">+E21-E19</f>
        <v>8053</v>
      </c>
      <c r="F22" s="53">
        <f t="shared" ref="F22" si="29">+F21-F19</f>
        <v>4420</v>
      </c>
      <c r="G22" s="53">
        <f t="shared" ref="G22" si="30">+G21-G19</f>
        <v>9476</v>
      </c>
      <c r="H22" s="8">
        <f>G22+F22+E22+D22+C22</f>
        <v>34344</v>
      </c>
      <c r="I22" s="12">
        <f>I21-I19</f>
        <v>1890</v>
      </c>
      <c r="J22" s="12">
        <f t="shared" si="26"/>
        <v>6974</v>
      </c>
      <c r="K22" s="12">
        <f t="shared" si="26"/>
        <v>3520</v>
      </c>
      <c r="L22" s="12">
        <f t="shared" si="26"/>
        <v>4590</v>
      </c>
      <c r="M22" s="12">
        <f t="shared" si="26"/>
        <v>7288</v>
      </c>
      <c r="N22" s="12">
        <f t="shared" si="26"/>
        <v>8296</v>
      </c>
      <c r="O22" s="12">
        <f t="shared" si="26"/>
        <v>3375</v>
      </c>
      <c r="P22" s="12">
        <f t="shared" si="26"/>
        <v>2200</v>
      </c>
      <c r="Q22" s="13">
        <f>P22+O22+N22+M22+L22+K22+J22+I22</f>
        <v>38133</v>
      </c>
      <c r="R22" s="14">
        <f>Q22+H22</f>
        <v>72477</v>
      </c>
    </row>
    <row r="23" spans="2:18" ht="17.25" customHeight="1" x14ac:dyDescent="0.25">
      <c r="B23" s="23">
        <v>9</v>
      </c>
      <c r="C23" s="7">
        <v>20375227</v>
      </c>
      <c r="D23" s="7">
        <v>14606801</v>
      </c>
      <c r="E23" s="7">
        <v>26591689</v>
      </c>
      <c r="F23" s="7">
        <v>26786136</v>
      </c>
      <c r="G23" s="7">
        <v>16712329</v>
      </c>
      <c r="H23" s="8"/>
      <c r="I23" s="48">
        <v>5978688</v>
      </c>
      <c r="J23" s="48">
        <v>26363681</v>
      </c>
      <c r="K23" s="48">
        <v>8682572</v>
      </c>
      <c r="L23" s="48">
        <v>13027940</v>
      </c>
      <c r="M23" s="48">
        <v>19267618</v>
      </c>
      <c r="N23" s="48">
        <v>25079970</v>
      </c>
      <c r="O23" s="48">
        <v>8026302</v>
      </c>
      <c r="P23" s="48">
        <v>7299440</v>
      </c>
      <c r="Q23" s="9"/>
      <c r="R23" s="10"/>
    </row>
    <row r="24" spans="2:18" ht="17.25" customHeight="1" x14ac:dyDescent="0.25">
      <c r="B24" s="11" t="s">
        <v>47</v>
      </c>
      <c r="C24" s="53">
        <f>+C23-C21</f>
        <v>3281</v>
      </c>
      <c r="D24" s="53">
        <f t="shared" ref="D24" si="31">+D23-D21</f>
        <v>816</v>
      </c>
      <c r="E24" s="53">
        <f t="shared" ref="E24" si="32">+E23-E21</f>
        <v>2915</v>
      </c>
      <c r="F24" s="53">
        <f t="shared" ref="F24" si="33">+F23-F21</f>
        <v>3593</v>
      </c>
      <c r="G24" s="53">
        <f t="shared" ref="G24" si="34">+G23-G21</f>
        <v>18797</v>
      </c>
      <c r="H24" s="8">
        <f>G24+F24+E24+D24+C24</f>
        <v>29402</v>
      </c>
      <c r="I24" s="12">
        <f>I23-I21</f>
        <v>2047</v>
      </c>
      <c r="J24" s="12">
        <f t="shared" si="26"/>
        <v>7717</v>
      </c>
      <c r="K24" s="12">
        <f t="shared" si="26"/>
        <v>3775</v>
      </c>
      <c r="L24" s="12">
        <f t="shared" si="26"/>
        <v>5129</v>
      </c>
      <c r="M24" s="12">
        <f t="shared" si="26"/>
        <v>7202</v>
      </c>
      <c r="N24" s="12">
        <f t="shared" si="26"/>
        <v>8364</v>
      </c>
      <c r="O24" s="12">
        <f t="shared" si="26"/>
        <v>3288</v>
      </c>
      <c r="P24" s="12">
        <f t="shared" si="26"/>
        <v>2510</v>
      </c>
      <c r="Q24" s="13">
        <f>P24+O24+N24+M24+L24+K24+J24+I24</f>
        <v>40032</v>
      </c>
      <c r="R24" s="14">
        <f>Q24+H24</f>
        <v>69434</v>
      </c>
    </row>
    <row r="25" spans="2:18" ht="17.25" customHeight="1" x14ac:dyDescent="0.25">
      <c r="B25" s="23">
        <v>10</v>
      </c>
      <c r="C25" s="7">
        <v>20381027</v>
      </c>
      <c r="D25" s="7">
        <v>14607563</v>
      </c>
      <c r="E25" s="7">
        <v>26595008</v>
      </c>
      <c r="F25" s="7">
        <v>26789462</v>
      </c>
      <c r="G25" s="7">
        <v>16728996</v>
      </c>
      <c r="H25" s="8"/>
      <c r="I25" s="66">
        <v>5980597</v>
      </c>
      <c r="J25" s="66">
        <v>26370737</v>
      </c>
      <c r="K25" s="67">
        <v>8685759</v>
      </c>
      <c r="L25" s="67">
        <v>13032106</v>
      </c>
      <c r="M25" s="66">
        <v>19273953</v>
      </c>
      <c r="N25" s="66">
        <v>25087577</v>
      </c>
      <c r="O25" s="66">
        <v>8029353</v>
      </c>
      <c r="P25" s="67">
        <v>7301890</v>
      </c>
      <c r="Q25" s="9"/>
      <c r="R25" s="10"/>
    </row>
    <row r="26" spans="2:18" ht="17.25" customHeight="1" x14ac:dyDescent="0.25">
      <c r="B26" s="11" t="s">
        <v>47</v>
      </c>
      <c r="C26" s="53">
        <f>+C25-C23</f>
        <v>5800</v>
      </c>
      <c r="D26" s="53">
        <f t="shared" ref="D26" si="35">+D25-D23</f>
        <v>762</v>
      </c>
      <c r="E26" s="53">
        <f t="shared" ref="E26" si="36">+E25-E23</f>
        <v>3319</v>
      </c>
      <c r="F26" s="53">
        <f t="shared" ref="F26" si="37">+F25-F23</f>
        <v>3326</v>
      </c>
      <c r="G26" s="53">
        <f t="shared" ref="G26" si="38">+G25-G23</f>
        <v>16667</v>
      </c>
      <c r="H26" s="8">
        <f>G26+F26+E26+D26+C26</f>
        <v>29874</v>
      </c>
      <c r="I26" s="12">
        <f>I25-I23</f>
        <v>1909</v>
      </c>
      <c r="J26" s="12">
        <f t="shared" si="26"/>
        <v>7056</v>
      </c>
      <c r="K26" s="12">
        <f t="shared" si="26"/>
        <v>3187</v>
      </c>
      <c r="L26" s="12">
        <f t="shared" si="26"/>
        <v>4166</v>
      </c>
      <c r="M26" s="12">
        <f t="shared" si="26"/>
        <v>6335</v>
      </c>
      <c r="N26" s="12">
        <f t="shared" si="26"/>
        <v>7607</v>
      </c>
      <c r="O26" s="12">
        <f t="shared" si="26"/>
        <v>3051</v>
      </c>
      <c r="P26" s="12">
        <f t="shared" si="26"/>
        <v>2450</v>
      </c>
      <c r="Q26" s="13">
        <f>P26+O26+N26+M26+L26+K26+J26+I26</f>
        <v>35761</v>
      </c>
      <c r="R26" s="14">
        <f>Q26+H26</f>
        <v>65635</v>
      </c>
    </row>
    <row r="27" spans="2:18" ht="17.25" customHeight="1" x14ac:dyDescent="0.25">
      <c r="B27" s="23">
        <v>11</v>
      </c>
      <c r="C27" s="7">
        <v>20386903</v>
      </c>
      <c r="D27" s="1">
        <v>14608337</v>
      </c>
      <c r="E27" s="7">
        <v>26598332</v>
      </c>
      <c r="F27" s="7">
        <v>26792947</v>
      </c>
      <c r="G27" s="7">
        <v>16746793</v>
      </c>
      <c r="H27" s="8"/>
      <c r="I27" s="48">
        <v>5982669</v>
      </c>
      <c r="J27" s="48">
        <v>26378418</v>
      </c>
      <c r="K27" s="48">
        <v>8689397</v>
      </c>
      <c r="L27" s="48">
        <v>13036711</v>
      </c>
      <c r="M27" s="48">
        <v>19280850</v>
      </c>
      <c r="N27" s="48">
        <v>25095894</v>
      </c>
      <c r="O27" s="48">
        <v>8032667</v>
      </c>
      <c r="P27" s="48">
        <v>7304390</v>
      </c>
      <c r="Q27" s="9"/>
      <c r="R27" s="10"/>
    </row>
    <row r="28" spans="2:18" ht="17.25" customHeight="1" x14ac:dyDescent="0.25">
      <c r="B28" s="11" t="s">
        <v>47</v>
      </c>
      <c r="C28" s="53">
        <f>+C27-C25</f>
        <v>5876</v>
      </c>
      <c r="D28" s="53">
        <f t="shared" ref="D28" si="39">+D27-D25</f>
        <v>774</v>
      </c>
      <c r="E28" s="53">
        <f t="shared" ref="E28" si="40">+E27-E25</f>
        <v>3324</v>
      </c>
      <c r="F28" s="53">
        <f t="shared" ref="F28" si="41">+F27-F25</f>
        <v>3485</v>
      </c>
      <c r="G28" s="53">
        <f t="shared" ref="G28" si="42">+G27-G25</f>
        <v>17797</v>
      </c>
      <c r="H28" s="8">
        <f>G28+F28+E28+D28+C28</f>
        <v>31256</v>
      </c>
      <c r="I28" s="12">
        <f>I27-I25</f>
        <v>2072</v>
      </c>
      <c r="J28" s="12">
        <f t="shared" ref="J28:P28" si="43">J27-J25</f>
        <v>7681</v>
      </c>
      <c r="K28" s="12">
        <f t="shared" si="43"/>
        <v>3638</v>
      </c>
      <c r="L28" s="12">
        <f t="shared" si="43"/>
        <v>4605</v>
      </c>
      <c r="M28" s="12">
        <f t="shared" si="43"/>
        <v>6897</v>
      </c>
      <c r="N28" s="12">
        <f t="shared" si="43"/>
        <v>8317</v>
      </c>
      <c r="O28" s="12">
        <f t="shared" si="43"/>
        <v>3314</v>
      </c>
      <c r="P28" s="12">
        <f t="shared" si="43"/>
        <v>2500</v>
      </c>
      <c r="Q28" s="13">
        <f>P28+O28+N28+M28+L28+K28+J28+I28</f>
        <v>39024</v>
      </c>
      <c r="R28" s="14">
        <f>Q28+H28</f>
        <v>70280</v>
      </c>
    </row>
    <row r="29" spans="2:18" ht="17.25" customHeight="1" x14ac:dyDescent="0.25">
      <c r="B29" s="23">
        <v>12</v>
      </c>
      <c r="C29" s="7">
        <v>20394091</v>
      </c>
      <c r="D29" s="7">
        <v>14609126</v>
      </c>
      <c r="E29" s="7">
        <v>26601842</v>
      </c>
      <c r="F29" s="7">
        <v>26796369</v>
      </c>
      <c r="G29" s="7">
        <v>16764366</v>
      </c>
      <c r="H29" s="8"/>
      <c r="I29" s="48">
        <v>5984683</v>
      </c>
      <c r="J29" s="48">
        <v>26386019</v>
      </c>
      <c r="K29" s="48">
        <v>8693081</v>
      </c>
      <c r="L29" s="48">
        <v>13041296</v>
      </c>
      <c r="M29" s="48">
        <v>19287434</v>
      </c>
      <c r="N29" s="48">
        <v>25104220</v>
      </c>
      <c r="O29" s="48">
        <v>8036181</v>
      </c>
      <c r="P29" s="48">
        <v>7306790</v>
      </c>
      <c r="Q29" s="9"/>
      <c r="R29" s="10"/>
    </row>
    <row r="30" spans="2:18" ht="17.25" customHeight="1" x14ac:dyDescent="0.25">
      <c r="B30" s="11" t="s">
        <v>47</v>
      </c>
      <c r="C30" s="53">
        <f>+C29-C27</f>
        <v>7188</v>
      </c>
      <c r="D30" s="53">
        <f t="shared" ref="D30" si="44">+D29-D27</f>
        <v>789</v>
      </c>
      <c r="E30" s="53">
        <f t="shared" ref="E30" si="45">+E29-E27</f>
        <v>3510</v>
      </c>
      <c r="F30" s="53">
        <f t="shared" ref="F30" si="46">+F29-F27</f>
        <v>3422</v>
      </c>
      <c r="G30" s="53">
        <f t="shared" ref="G30" si="47">+G29-G27</f>
        <v>17573</v>
      </c>
      <c r="H30" s="8">
        <f>G30+F30+E30+D30+C30</f>
        <v>32482</v>
      </c>
      <c r="I30" s="12">
        <f>I29-I27</f>
        <v>2014</v>
      </c>
      <c r="J30" s="12">
        <f t="shared" ref="J30:P30" si="48">J29-J27</f>
        <v>7601</v>
      </c>
      <c r="K30" s="12">
        <f t="shared" si="48"/>
        <v>3684</v>
      </c>
      <c r="L30" s="12">
        <f t="shared" si="48"/>
        <v>4585</v>
      </c>
      <c r="M30" s="12">
        <f t="shared" si="48"/>
        <v>6584</v>
      </c>
      <c r="N30" s="12">
        <f t="shared" si="48"/>
        <v>8326</v>
      </c>
      <c r="O30" s="12">
        <f t="shared" si="48"/>
        <v>3514</v>
      </c>
      <c r="P30" s="12">
        <f t="shared" si="48"/>
        <v>2400</v>
      </c>
      <c r="Q30" s="13">
        <f>P30+O30+N30+M30+L30+K30+J30+I30</f>
        <v>38708</v>
      </c>
      <c r="R30" s="14">
        <f>Q30+H30</f>
        <v>71190</v>
      </c>
    </row>
    <row r="31" spans="2:18" ht="17.25" customHeight="1" x14ac:dyDescent="0.25">
      <c r="B31" s="23">
        <v>13</v>
      </c>
      <c r="C31" s="7">
        <v>20405189</v>
      </c>
      <c r="D31" s="7">
        <v>14609927</v>
      </c>
      <c r="E31" s="7">
        <v>26606049</v>
      </c>
      <c r="F31" s="7">
        <v>26800044</v>
      </c>
      <c r="G31" s="7">
        <v>16780250</v>
      </c>
      <c r="H31" s="8"/>
      <c r="I31" s="48">
        <v>5986761</v>
      </c>
      <c r="J31" s="48">
        <v>26393707</v>
      </c>
      <c r="K31" s="48">
        <v>8696558</v>
      </c>
      <c r="L31" s="48">
        <v>13045978</v>
      </c>
      <c r="M31" s="1">
        <v>19294267</v>
      </c>
      <c r="N31" s="48">
        <v>25112618</v>
      </c>
      <c r="O31" s="48">
        <v>8039436</v>
      </c>
      <c r="P31" s="48">
        <v>7309500</v>
      </c>
      <c r="Q31" s="9"/>
      <c r="R31" s="10"/>
    </row>
    <row r="32" spans="2:18" ht="17.25" customHeight="1" x14ac:dyDescent="0.25">
      <c r="B32" s="11" t="s">
        <v>47</v>
      </c>
      <c r="C32" s="53">
        <f>+C31-C29</f>
        <v>11098</v>
      </c>
      <c r="D32" s="53">
        <f t="shared" ref="D32" si="49">+D31-D29</f>
        <v>801</v>
      </c>
      <c r="E32" s="53">
        <f t="shared" ref="E32" si="50">+E31-E29</f>
        <v>4207</v>
      </c>
      <c r="F32" s="53">
        <f t="shared" ref="F32" si="51">+F31-F29</f>
        <v>3675</v>
      </c>
      <c r="G32" s="53">
        <f t="shared" ref="G32" si="52">+G31-G29</f>
        <v>15884</v>
      </c>
      <c r="H32" s="8">
        <f>G32+F32+E32+D32+C32</f>
        <v>35665</v>
      </c>
      <c r="I32" s="12">
        <f>I31-I29</f>
        <v>2078</v>
      </c>
      <c r="J32" s="12">
        <f t="shared" ref="J32:P32" si="53">J31-J29</f>
        <v>7688</v>
      </c>
      <c r="K32" s="12">
        <f t="shared" si="53"/>
        <v>3477</v>
      </c>
      <c r="L32" s="12">
        <f t="shared" si="53"/>
        <v>4682</v>
      </c>
      <c r="M32" s="12">
        <f t="shared" si="53"/>
        <v>6833</v>
      </c>
      <c r="N32" s="12">
        <f t="shared" si="53"/>
        <v>8398</v>
      </c>
      <c r="O32" s="12">
        <f t="shared" si="53"/>
        <v>3255</v>
      </c>
      <c r="P32" s="12">
        <f t="shared" si="53"/>
        <v>2710</v>
      </c>
      <c r="Q32" s="13">
        <f>P32+O32+N32+M32+L32+K32+J32+I32</f>
        <v>39121</v>
      </c>
      <c r="R32" s="14">
        <f>Q32+H32</f>
        <v>74786</v>
      </c>
    </row>
    <row r="33" spans="2:18" ht="17.25" customHeight="1" x14ac:dyDescent="0.25">
      <c r="B33" s="23">
        <v>14</v>
      </c>
      <c r="C33" s="7">
        <v>20410570</v>
      </c>
      <c r="D33" s="7">
        <v>14610754</v>
      </c>
      <c r="E33" s="7">
        <v>26609304</v>
      </c>
      <c r="F33" s="7">
        <v>26803423</v>
      </c>
      <c r="G33" s="7">
        <v>16798456</v>
      </c>
      <c r="H33" s="8"/>
      <c r="I33" s="48">
        <v>5988726</v>
      </c>
      <c r="J33" s="48">
        <v>26401172</v>
      </c>
      <c r="K33" s="48">
        <v>8699815</v>
      </c>
      <c r="L33" s="48">
        <v>13050434</v>
      </c>
      <c r="M33" s="48">
        <v>19301313</v>
      </c>
      <c r="N33" s="48">
        <v>25120582</v>
      </c>
      <c r="O33" s="48">
        <v>8042707</v>
      </c>
      <c r="P33" s="48">
        <v>7311770</v>
      </c>
      <c r="Q33" s="9"/>
      <c r="R33" s="10"/>
    </row>
    <row r="34" spans="2:18" ht="17.25" customHeight="1" x14ac:dyDescent="0.25">
      <c r="B34" s="11" t="s">
        <v>47</v>
      </c>
      <c r="C34" s="53">
        <f>+C33-C31</f>
        <v>5381</v>
      </c>
      <c r="D34" s="53">
        <f t="shared" ref="D34" si="54">+D33-D31</f>
        <v>827</v>
      </c>
      <c r="E34" s="53">
        <f t="shared" ref="E34" si="55">+E33-E31</f>
        <v>3255</v>
      </c>
      <c r="F34" s="53">
        <f t="shared" ref="F34" si="56">+F33-F31</f>
        <v>3379</v>
      </c>
      <c r="G34" s="53">
        <f t="shared" ref="G34" si="57">+G33-G31</f>
        <v>18206</v>
      </c>
      <c r="H34" s="8">
        <f>G34+F34+E34+D34+C34</f>
        <v>31048</v>
      </c>
      <c r="I34" s="12">
        <f>I33-I31</f>
        <v>1965</v>
      </c>
      <c r="J34" s="12">
        <f t="shared" ref="J34:P34" si="58">J33-J31</f>
        <v>7465</v>
      </c>
      <c r="K34" s="12">
        <f t="shared" si="58"/>
        <v>3257</v>
      </c>
      <c r="L34" s="12">
        <f t="shared" si="58"/>
        <v>4456</v>
      </c>
      <c r="M34" s="12">
        <f t="shared" si="58"/>
        <v>7046</v>
      </c>
      <c r="N34" s="12">
        <f t="shared" si="58"/>
        <v>7964</v>
      </c>
      <c r="O34" s="12">
        <f t="shared" si="58"/>
        <v>3271</v>
      </c>
      <c r="P34" s="12">
        <f t="shared" si="58"/>
        <v>2270</v>
      </c>
      <c r="Q34" s="13">
        <f>P34+O34+N34+M34+L34+K34+J34+I34</f>
        <v>37694</v>
      </c>
      <c r="R34" s="14">
        <f>Q34+H34</f>
        <v>68742</v>
      </c>
    </row>
    <row r="35" spans="2:18" ht="17.25" customHeight="1" x14ac:dyDescent="0.25">
      <c r="B35" s="23">
        <v>15</v>
      </c>
      <c r="C35" s="7">
        <v>20413515</v>
      </c>
      <c r="D35" s="7">
        <v>14611568</v>
      </c>
      <c r="E35" s="7">
        <v>26613420</v>
      </c>
      <c r="F35" s="7">
        <v>26812676</v>
      </c>
      <c r="G35" s="7">
        <v>16816070</v>
      </c>
      <c r="H35" s="8"/>
      <c r="I35" s="48">
        <v>5990232</v>
      </c>
      <c r="J35" s="48">
        <v>26408726</v>
      </c>
      <c r="K35" s="48">
        <v>8703175</v>
      </c>
      <c r="L35" s="48">
        <v>13054608</v>
      </c>
      <c r="M35" s="48">
        <v>19310844</v>
      </c>
      <c r="N35" s="48">
        <v>25128630</v>
      </c>
      <c r="O35" s="48">
        <v>8045500</v>
      </c>
      <c r="P35" s="48">
        <v>7313820</v>
      </c>
      <c r="Q35" s="9"/>
      <c r="R35" s="10"/>
    </row>
    <row r="36" spans="2:18" ht="17.25" customHeight="1" x14ac:dyDescent="0.25">
      <c r="B36" s="11" t="s">
        <v>47</v>
      </c>
      <c r="C36" s="53">
        <f>+C35-C33</f>
        <v>2945</v>
      </c>
      <c r="D36" s="53">
        <f t="shared" ref="D36" si="59">+D35-D33</f>
        <v>814</v>
      </c>
      <c r="E36" s="53">
        <f t="shared" ref="E36" si="60">+E35-E33</f>
        <v>4116</v>
      </c>
      <c r="F36" s="53">
        <f t="shared" ref="F36" si="61">+F35-F33</f>
        <v>9253</v>
      </c>
      <c r="G36" s="53">
        <f t="shared" ref="G36" si="62">+G35-G33</f>
        <v>17614</v>
      </c>
      <c r="H36" s="8">
        <f>G36+F36+E36+D36+C36</f>
        <v>34742</v>
      </c>
      <c r="I36" s="12">
        <f>I35-I33</f>
        <v>1506</v>
      </c>
      <c r="J36" s="12">
        <f t="shared" ref="J36:P36" si="63">J35-J33</f>
        <v>7554</v>
      </c>
      <c r="K36" s="12">
        <f t="shared" si="63"/>
        <v>3360</v>
      </c>
      <c r="L36" s="12">
        <f t="shared" si="63"/>
        <v>4174</v>
      </c>
      <c r="M36" s="12">
        <f t="shared" si="63"/>
        <v>9531</v>
      </c>
      <c r="N36" s="12">
        <f t="shared" si="63"/>
        <v>8048</v>
      </c>
      <c r="O36" s="12">
        <f t="shared" si="63"/>
        <v>2793</v>
      </c>
      <c r="P36" s="12">
        <f t="shared" si="63"/>
        <v>2050</v>
      </c>
      <c r="Q36" s="13">
        <f>P36+O36+N36+M36+L36+K36+J36+I36</f>
        <v>39016</v>
      </c>
      <c r="R36" s="14">
        <f>Q36+H36</f>
        <v>73758</v>
      </c>
    </row>
    <row r="37" spans="2:18" ht="17.25" customHeight="1" x14ac:dyDescent="0.25">
      <c r="B37" s="23">
        <v>16</v>
      </c>
      <c r="C37" s="7">
        <v>20422175</v>
      </c>
      <c r="D37" s="7">
        <v>14612523</v>
      </c>
      <c r="E37" s="7">
        <v>26617413</v>
      </c>
      <c r="F37" s="7">
        <v>26827869</v>
      </c>
      <c r="G37" s="7">
        <v>16817216</v>
      </c>
      <c r="H37" s="8"/>
      <c r="I37" s="48">
        <v>5991711</v>
      </c>
      <c r="J37" s="48">
        <v>26416715</v>
      </c>
      <c r="K37" s="48">
        <v>8706611</v>
      </c>
      <c r="L37" s="48">
        <v>13059033</v>
      </c>
      <c r="M37" s="48">
        <v>19320009</v>
      </c>
      <c r="N37" s="48">
        <v>25136836</v>
      </c>
      <c r="O37" s="48">
        <v>8048964</v>
      </c>
      <c r="P37" s="48">
        <v>7316300</v>
      </c>
      <c r="Q37" s="9"/>
      <c r="R37" s="10"/>
    </row>
    <row r="38" spans="2:18" ht="17.25" customHeight="1" x14ac:dyDescent="0.25">
      <c r="B38" s="11" t="s">
        <v>47</v>
      </c>
      <c r="C38" s="53">
        <f>+C37-C35</f>
        <v>8660</v>
      </c>
      <c r="D38" s="53">
        <f t="shared" ref="D38" si="64">+D37-D35</f>
        <v>955</v>
      </c>
      <c r="E38" s="53">
        <f t="shared" ref="E38" si="65">+E37-E35</f>
        <v>3993</v>
      </c>
      <c r="F38" s="53">
        <f t="shared" ref="F38" si="66">+F37-F35</f>
        <v>15193</v>
      </c>
      <c r="G38" s="53">
        <f t="shared" ref="G38" si="67">+G37-G35</f>
        <v>1146</v>
      </c>
      <c r="H38" s="8">
        <f>G38+F38+E38+D38+C38</f>
        <v>29947</v>
      </c>
      <c r="I38" s="12">
        <f>I37-I35</f>
        <v>1479</v>
      </c>
      <c r="J38" s="12">
        <f t="shared" ref="J38:P40" si="68">J37-J35</f>
        <v>7989</v>
      </c>
      <c r="K38" s="12">
        <f t="shared" si="68"/>
        <v>3436</v>
      </c>
      <c r="L38" s="12">
        <f t="shared" si="68"/>
        <v>4425</v>
      </c>
      <c r="M38" s="12">
        <f t="shared" si="68"/>
        <v>9165</v>
      </c>
      <c r="N38" s="12">
        <f t="shared" si="68"/>
        <v>8206</v>
      </c>
      <c r="O38" s="12">
        <f t="shared" si="68"/>
        <v>3464</v>
      </c>
      <c r="P38" s="12">
        <f t="shared" si="68"/>
        <v>2480</v>
      </c>
      <c r="Q38" s="13">
        <f>P38+O38+N38+M38+L38+K38+J38+I38</f>
        <v>40644</v>
      </c>
      <c r="R38" s="14">
        <f>Q38+H38</f>
        <v>70591</v>
      </c>
    </row>
    <row r="39" spans="2:18" ht="17.25" customHeight="1" x14ac:dyDescent="0.25">
      <c r="B39" s="23">
        <v>17</v>
      </c>
      <c r="C39" s="69">
        <v>20430745</v>
      </c>
      <c r="D39" s="70">
        <v>14613320</v>
      </c>
      <c r="E39" s="70">
        <v>26621207</v>
      </c>
      <c r="F39" s="70">
        <v>26842094</v>
      </c>
      <c r="G39" s="70">
        <v>16817229</v>
      </c>
      <c r="H39" s="71" t="s">
        <v>48</v>
      </c>
      <c r="I39" s="70">
        <v>5993106</v>
      </c>
      <c r="J39" s="70">
        <v>26423504</v>
      </c>
      <c r="K39" s="70">
        <v>8709831</v>
      </c>
      <c r="L39" s="70">
        <v>13063326</v>
      </c>
      <c r="M39" s="70">
        <v>19326888</v>
      </c>
      <c r="N39" s="70">
        <v>25144672</v>
      </c>
      <c r="O39" s="70">
        <v>8052087</v>
      </c>
      <c r="P39" s="70">
        <v>7318940</v>
      </c>
      <c r="Q39" s="9"/>
      <c r="R39" s="10"/>
    </row>
    <row r="40" spans="2:18" ht="17.25" customHeight="1" x14ac:dyDescent="0.25">
      <c r="B40" s="11" t="s">
        <v>47</v>
      </c>
      <c r="C40" s="53">
        <f>+C39-C37</f>
        <v>8570</v>
      </c>
      <c r="D40" s="53">
        <f t="shared" ref="D40" si="69">+D39-D37</f>
        <v>797</v>
      </c>
      <c r="E40" s="53">
        <f t="shared" ref="E40" si="70">+E39-E37</f>
        <v>3794</v>
      </c>
      <c r="F40" s="53">
        <f t="shared" ref="F40" si="71">+F39-F37</f>
        <v>14225</v>
      </c>
      <c r="G40" s="53">
        <f t="shared" ref="G40" si="72">+G39-G37</f>
        <v>13</v>
      </c>
      <c r="H40" s="8">
        <f>G40+F40+E40+D40+C40</f>
        <v>27399</v>
      </c>
      <c r="I40" s="12">
        <f>I39-I37</f>
        <v>1395</v>
      </c>
      <c r="J40" s="12">
        <f t="shared" si="68"/>
        <v>6789</v>
      </c>
      <c r="K40" s="12">
        <f t="shared" si="68"/>
        <v>3220</v>
      </c>
      <c r="L40" s="12">
        <f t="shared" si="68"/>
        <v>4293</v>
      </c>
      <c r="M40" s="12">
        <f t="shared" si="68"/>
        <v>6879</v>
      </c>
      <c r="N40" s="12">
        <f t="shared" si="68"/>
        <v>7836</v>
      </c>
      <c r="O40" s="12">
        <f t="shared" si="68"/>
        <v>3123</v>
      </c>
      <c r="P40" s="12">
        <f t="shared" si="68"/>
        <v>2640</v>
      </c>
      <c r="Q40" s="13">
        <f>P40+O40+N40+M40+L40+K40+J40+I40</f>
        <v>36175</v>
      </c>
      <c r="R40" s="14">
        <f>Q40+H40</f>
        <v>63574</v>
      </c>
    </row>
    <row r="41" spans="2:18" ht="17.25" customHeight="1" x14ac:dyDescent="0.25">
      <c r="B41" s="23">
        <v>18</v>
      </c>
      <c r="C41" s="7">
        <v>20439700</v>
      </c>
      <c r="D41" s="7">
        <v>14614085</v>
      </c>
      <c r="E41" s="7">
        <v>26624921</v>
      </c>
      <c r="F41" s="7">
        <v>26857271</v>
      </c>
      <c r="G41" s="7">
        <v>16817242</v>
      </c>
      <c r="H41" s="8"/>
      <c r="I41" s="7">
        <v>5994625</v>
      </c>
      <c r="J41" s="7">
        <v>26430887</v>
      </c>
      <c r="K41" s="7">
        <v>8713218</v>
      </c>
      <c r="L41" s="7">
        <v>13067871</v>
      </c>
      <c r="M41" s="7">
        <v>19334653</v>
      </c>
      <c r="N41" s="7">
        <v>25153109</v>
      </c>
      <c r="O41" s="7">
        <v>8055792</v>
      </c>
      <c r="P41" s="7">
        <v>7321220</v>
      </c>
      <c r="Q41" s="9"/>
      <c r="R41" s="10"/>
    </row>
    <row r="42" spans="2:18" ht="17.25" customHeight="1" x14ac:dyDescent="0.25">
      <c r="B42" s="11" t="s">
        <v>47</v>
      </c>
      <c r="C42" s="53">
        <f>+C41-C39</f>
        <v>8955</v>
      </c>
      <c r="D42" s="53">
        <f t="shared" ref="D42" si="73">+D41-D39</f>
        <v>765</v>
      </c>
      <c r="E42" s="53">
        <f t="shared" ref="E42" si="74">+E41-E39</f>
        <v>3714</v>
      </c>
      <c r="F42" s="53">
        <f t="shared" ref="F42" si="75">+F41-F39</f>
        <v>15177</v>
      </c>
      <c r="G42" s="53">
        <f t="shared" ref="G42" si="76">+G41-G39</f>
        <v>13</v>
      </c>
      <c r="H42" s="8">
        <f>G42+F42+E42+D42+C42</f>
        <v>28624</v>
      </c>
      <c r="I42" s="12">
        <f>I41-I39</f>
        <v>1519</v>
      </c>
      <c r="J42" s="12">
        <f t="shared" ref="J42:P42" si="77">J41-J39</f>
        <v>7383</v>
      </c>
      <c r="K42" s="12">
        <f t="shared" si="77"/>
        <v>3387</v>
      </c>
      <c r="L42" s="12">
        <f t="shared" si="77"/>
        <v>4545</v>
      </c>
      <c r="M42" s="12">
        <f t="shared" si="77"/>
        <v>7765</v>
      </c>
      <c r="N42" s="12">
        <f t="shared" si="77"/>
        <v>8437</v>
      </c>
      <c r="O42" s="12">
        <f t="shared" si="77"/>
        <v>3705</v>
      </c>
      <c r="P42" s="12">
        <f t="shared" si="77"/>
        <v>2280</v>
      </c>
      <c r="Q42" s="13">
        <f>P42+O42+N42+M42+L42+K42+J42+I42</f>
        <v>39021</v>
      </c>
      <c r="R42" s="14">
        <f>Q42+H42</f>
        <v>67645</v>
      </c>
    </row>
    <row r="43" spans="2:18" ht="17.25" customHeight="1" x14ac:dyDescent="0.25">
      <c r="B43" s="23">
        <v>19</v>
      </c>
      <c r="C43" s="7">
        <v>20451749</v>
      </c>
      <c r="D43" s="7">
        <v>14614891</v>
      </c>
      <c r="E43" s="7">
        <v>26629243</v>
      </c>
      <c r="F43" s="7">
        <v>26872379</v>
      </c>
      <c r="G43" s="7">
        <v>16817261</v>
      </c>
      <c r="H43" s="8"/>
      <c r="I43" s="7">
        <v>5996252</v>
      </c>
      <c r="J43" s="7">
        <v>26438655</v>
      </c>
      <c r="K43" s="7">
        <v>8716748</v>
      </c>
      <c r="L43" s="7">
        <v>13072591</v>
      </c>
      <c r="M43" s="7">
        <v>19341849</v>
      </c>
      <c r="N43" s="7">
        <v>25161773</v>
      </c>
      <c r="O43" s="7">
        <v>8059465</v>
      </c>
      <c r="P43" s="7">
        <v>7323940</v>
      </c>
      <c r="Q43" s="9"/>
      <c r="R43" s="10"/>
    </row>
    <row r="44" spans="2:18" ht="17.25" customHeight="1" x14ac:dyDescent="0.25">
      <c r="B44" s="11" t="s">
        <v>47</v>
      </c>
      <c r="C44" s="53">
        <f>+C43-C41</f>
        <v>12049</v>
      </c>
      <c r="D44" s="53">
        <f t="shared" ref="D44" si="78">+D43-D41</f>
        <v>806</v>
      </c>
      <c r="E44" s="53">
        <f t="shared" ref="E44" si="79">+E43-E41</f>
        <v>4322</v>
      </c>
      <c r="F44" s="53">
        <f t="shared" ref="F44" si="80">+F43-F41</f>
        <v>15108</v>
      </c>
      <c r="G44" s="53">
        <f t="shared" ref="G44" si="81">+G43-G41</f>
        <v>19</v>
      </c>
      <c r="H44" s="8">
        <f>G44+F44+E44+D44+C44</f>
        <v>32304</v>
      </c>
      <c r="I44" s="12">
        <f>I43-I41</f>
        <v>1627</v>
      </c>
      <c r="J44" s="12">
        <f t="shared" ref="J44:P44" si="82">J43-J41</f>
        <v>7768</v>
      </c>
      <c r="K44" s="12">
        <f t="shared" si="82"/>
        <v>3530</v>
      </c>
      <c r="L44" s="12">
        <f t="shared" si="82"/>
        <v>4720</v>
      </c>
      <c r="M44" s="12">
        <f t="shared" si="82"/>
        <v>7196</v>
      </c>
      <c r="N44" s="12">
        <f t="shared" si="82"/>
        <v>8664</v>
      </c>
      <c r="O44" s="12">
        <f t="shared" si="82"/>
        <v>3673</v>
      </c>
      <c r="P44" s="12">
        <f t="shared" si="82"/>
        <v>2720</v>
      </c>
      <c r="Q44" s="13">
        <f>P44+O44+N44+M44+L44+K44+J44+I44</f>
        <v>39898</v>
      </c>
      <c r="R44" s="14">
        <f>Q44+H44</f>
        <v>72202</v>
      </c>
    </row>
    <row r="45" spans="2:18" ht="17.25" customHeight="1" x14ac:dyDescent="0.25">
      <c r="B45" s="23">
        <v>20</v>
      </c>
      <c r="C45" s="7">
        <v>20464552</v>
      </c>
      <c r="D45" s="7">
        <v>14615715</v>
      </c>
      <c r="E45" s="7">
        <v>26633406</v>
      </c>
      <c r="F45" s="7">
        <v>26887419</v>
      </c>
      <c r="G45" s="7">
        <v>16817275</v>
      </c>
      <c r="H45" s="8"/>
      <c r="I45" s="7">
        <v>5997777</v>
      </c>
      <c r="J45" s="7">
        <v>26446036</v>
      </c>
      <c r="K45" s="7">
        <v>8720335</v>
      </c>
      <c r="L45" s="7">
        <v>13076995</v>
      </c>
      <c r="M45" s="7">
        <v>19348493</v>
      </c>
      <c r="N45" s="7">
        <v>25169932</v>
      </c>
      <c r="O45" s="7">
        <v>8062893</v>
      </c>
      <c r="P45" s="7">
        <v>7326520</v>
      </c>
      <c r="Q45" s="9"/>
      <c r="R45" s="10"/>
    </row>
    <row r="46" spans="2:18" ht="17.25" customHeight="1" x14ac:dyDescent="0.25">
      <c r="B46" s="11" t="s">
        <v>47</v>
      </c>
      <c r="C46" s="53">
        <f>+C45-C43</f>
        <v>12803</v>
      </c>
      <c r="D46" s="53">
        <f t="shared" ref="D46" si="83">+D45-D43</f>
        <v>824</v>
      </c>
      <c r="E46" s="53">
        <f t="shared" ref="E46" si="84">+E45-E43</f>
        <v>4163</v>
      </c>
      <c r="F46" s="53">
        <f t="shared" ref="F46" si="85">+F45-F43</f>
        <v>15040</v>
      </c>
      <c r="G46" s="53">
        <f t="shared" ref="G46" si="86">+G45-G43</f>
        <v>14</v>
      </c>
      <c r="H46" s="8">
        <f>G46+F46+E46+D46+C46</f>
        <v>32844</v>
      </c>
      <c r="I46" s="12">
        <f>I45-I43</f>
        <v>1525</v>
      </c>
      <c r="J46" s="12">
        <f t="shared" ref="J46:P46" si="87">J45-J43</f>
        <v>7381</v>
      </c>
      <c r="K46" s="12">
        <f t="shared" si="87"/>
        <v>3587</v>
      </c>
      <c r="L46" s="12">
        <f t="shared" si="87"/>
        <v>4404</v>
      </c>
      <c r="M46" s="12">
        <f t="shared" si="87"/>
        <v>6644</v>
      </c>
      <c r="N46" s="12">
        <f t="shared" si="87"/>
        <v>8159</v>
      </c>
      <c r="O46" s="12">
        <f t="shared" si="87"/>
        <v>3428</v>
      </c>
      <c r="P46" s="12">
        <f t="shared" si="87"/>
        <v>2580</v>
      </c>
      <c r="Q46" s="13">
        <f>P46+O46+N46+M46+L46+K46+J46+I46</f>
        <v>37708</v>
      </c>
      <c r="R46" s="14">
        <f>Q46+H46</f>
        <v>70552</v>
      </c>
    </row>
    <row r="47" spans="2:18" ht="17.25" customHeight="1" x14ac:dyDescent="0.25">
      <c r="B47" s="23">
        <v>21</v>
      </c>
      <c r="C47" s="7">
        <v>20479344</v>
      </c>
      <c r="D47" s="7">
        <v>14616566</v>
      </c>
      <c r="E47" s="7">
        <v>26638017</v>
      </c>
      <c r="F47" s="7">
        <v>26903025</v>
      </c>
      <c r="G47" s="7">
        <v>16817291</v>
      </c>
      <c r="H47" s="8"/>
      <c r="I47" s="7">
        <v>5999706</v>
      </c>
      <c r="J47" s="7">
        <v>26453762</v>
      </c>
      <c r="K47" s="7">
        <v>8724054</v>
      </c>
      <c r="L47" s="7">
        <v>13081568</v>
      </c>
      <c r="M47" s="7">
        <v>19356243</v>
      </c>
      <c r="N47" s="7">
        <v>25178716</v>
      </c>
      <c r="O47" s="7">
        <v>8066570</v>
      </c>
      <c r="P47" s="7">
        <v>7329010</v>
      </c>
      <c r="Q47" s="9"/>
      <c r="R47" s="10"/>
    </row>
    <row r="48" spans="2:18" ht="17.25" customHeight="1" x14ac:dyDescent="0.25">
      <c r="B48" s="11" t="s">
        <v>47</v>
      </c>
      <c r="C48" s="53">
        <f>+C47-C45</f>
        <v>14792</v>
      </c>
      <c r="D48" s="53">
        <f t="shared" ref="D48" si="88">+D47-D45</f>
        <v>851</v>
      </c>
      <c r="E48" s="53">
        <f t="shared" ref="E48" si="89">+E47-E45</f>
        <v>4611</v>
      </c>
      <c r="F48" s="53">
        <f t="shared" ref="F48" si="90">+F47-F45</f>
        <v>15606</v>
      </c>
      <c r="G48" s="53">
        <f t="shared" ref="G48" si="91">+G47-G45</f>
        <v>16</v>
      </c>
      <c r="H48" s="8">
        <f>G48+F48+E48+D48+C48</f>
        <v>35876</v>
      </c>
      <c r="I48" s="12">
        <f>I47-I45</f>
        <v>1929</v>
      </c>
      <c r="J48" s="12">
        <f t="shared" ref="J48:P48" si="92">J47-J45</f>
        <v>7726</v>
      </c>
      <c r="K48" s="12">
        <f t="shared" si="92"/>
        <v>3719</v>
      </c>
      <c r="L48" s="12">
        <f t="shared" si="92"/>
        <v>4573</v>
      </c>
      <c r="M48" s="12">
        <f t="shared" si="92"/>
        <v>7750</v>
      </c>
      <c r="N48" s="12">
        <f t="shared" si="92"/>
        <v>8784</v>
      </c>
      <c r="O48" s="12">
        <f t="shared" si="92"/>
        <v>3677</v>
      </c>
      <c r="P48" s="12">
        <f t="shared" si="92"/>
        <v>2490</v>
      </c>
      <c r="Q48" s="13">
        <f>P48+O48+N48+M48+L48+K48+J48+I48</f>
        <v>40648</v>
      </c>
      <c r="R48" s="14">
        <f>Q48+H48</f>
        <v>76524</v>
      </c>
    </row>
    <row r="49" spans="2:18" ht="17.25" customHeight="1" x14ac:dyDescent="0.25">
      <c r="B49" s="23">
        <v>22</v>
      </c>
      <c r="C49" s="7">
        <v>20484819</v>
      </c>
      <c r="D49" s="7">
        <v>14617321</v>
      </c>
      <c r="E49" s="7">
        <v>26647389</v>
      </c>
      <c r="F49" s="7">
        <v>26916945</v>
      </c>
      <c r="G49" s="7">
        <v>16817307</v>
      </c>
      <c r="H49" s="8"/>
      <c r="I49" s="7">
        <v>6001811</v>
      </c>
      <c r="J49" s="7">
        <v>26461377</v>
      </c>
      <c r="K49" s="7">
        <v>8727792</v>
      </c>
      <c r="L49" s="7">
        <v>13086177</v>
      </c>
      <c r="M49" s="7">
        <v>19363495</v>
      </c>
      <c r="N49" s="7">
        <v>25187061</v>
      </c>
      <c r="O49" s="7">
        <v>8069990</v>
      </c>
      <c r="P49" s="7">
        <v>7331110</v>
      </c>
      <c r="Q49" s="9"/>
      <c r="R49" s="10"/>
    </row>
    <row r="50" spans="2:18" ht="17.25" customHeight="1" x14ac:dyDescent="0.25">
      <c r="B50" s="11" t="s">
        <v>47</v>
      </c>
      <c r="C50" s="53">
        <f>+C49-C47</f>
        <v>5475</v>
      </c>
      <c r="D50" s="53">
        <f t="shared" ref="D50" si="93">+D49-D47</f>
        <v>755</v>
      </c>
      <c r="E50" s="53">
        <f t="shared" ref="E50" si="94">+E49-E47</f>
        <v>9372</v>
      </c>
      <c r="F50" s="53">
        <f t="shared" ref="F50" si="95">+F49-F47</f>
        <v>13920</v>
      </c>
      <c r="G50" s="53">
        <f t="shared" ref="G50" si="96">+G49-G47</f>
        <v>16</v>
      </c>
      <c r="H50" s="8">
        <f>G50+F50+E50+D50+C50</f>
        <v>29538</v>
      </c>
      <c r="I50" s="12">
        <f>I49-I47</f>
        <v>2105</v>
      </c>
      <c r="J50" s="12">
        <f t="shared" ref="J50:P50" si="97">J49-J47</f>
        <v>7615</v>
      </c>
      <c r="K50" s="12">
        <f t="shared" si="97"/>
        <v>3738</v>
      </c>
      <c r="L50" s="12">
        <f t="shared" si="97"/>
        <v>4609</v>
      </c>
      <c r="M50" s="12">
        <f t="shared" si="97"/>
        <v>7252</v>
      </c>
      <c r="N50" s="12">
        <f t="shared" si="97"/>
        <v>8345</v>
      </c>
      <c r="O50" s="12">
        <f t="shared" si="97"/>
        <v>3420</v>
      </c>
      <c r="P50" s="12">
        <f t="shared" si="97"/>
        <v>2100</v>
      </c>
      <c r="Q50" s="13">
        <f>P50+O50+N50+M50+L50+K50+J50+I50</f>
        <v>39184</v>
      </c>
      <c r="R50" s="14">
        <f>Q50+H50</f>
        <v>68722</v>
      </c>
    </row>
    <row r="51" spans="2:18" ht="17.25" customHeight="1" x14ac:dyDescent="0.25">
      <c r="B51" s="23">
        <v>23</v>
      </c>
      <c r="C51" s="7">
        <v>20484822</v>
      </c>
      <c r="D51" s="7">
        <v>14618091</v>
      </c>
      <c r="E51" s="7">
        <v>26662726</v>
      </c>
      <c r="F51" s="7">
        <v>26930886</v>
      </c>
      <c r="G51" s="7">
        <v>16817321</v>
      </c>
      <c r="H51" s="8"/>
      <c r="I51" s="7">
        <v>6003939</v>
      </c>
      <c r="J51" s="7">
        <v>26469048</v>
      </c>
      <c r="K51" s="7">
        <v>8731301</v>
      </c>
      <c r="L51" s="7">
        <v>13090654</v>
      </c>
      <c r="M51" s="7">
        <v>19370444</v>
      </c>
      <c r="N51" s="7">
        <v>25195388</v>
      </c>
      <c r="O51" s="7">
        <v>8073000</v>
      </c>
      <c r="P51" s="7">
        <v>7333560</v>
      </c>
      <c r="Q51" s="9"/>
      <c r="R51" s="10"/>
    </row>
    <row r="52" spans="2:18" ht="17.25" customHeight="1" x14ac:dyDescent="0.25">
      <c r="B52" s="11" t="s">
        <v>47</v>
      </c>
      <c r="C52" s="53">
        <f>+C51-C49</f>
        <v>3</v>
      </c>
      <c r="D52" s="53">
        <f t="shared" ref="D52" si="98">+D51-D49</f>
        <v>770</v>
      </c>
      <c r="E52" s="53">
        <f t="shared" ref="E52" si="99">+E51-E49</f>
        <v>15337</v>
      </c>
      <c r="F52" s="53">
        <f t="shared" ref="F52" si="100">+F51-F49</f>
        <v>13941</v>
      </c>
      <c r="G52" s="53">
        <f t="shared" ref="G52" si="101">+G51-G49</f>
        <v>14</v>
      </c>
      <c r="H52" s="8">
        <f>G52+F52+E52+D52+C52</f>
        <v>30065</v>
      </c>
      <c r="I52" s="12">
        <f>I51-I49</f>
        <v>2128</v>
      </c>
      <c r="J52" s="12">
        <f t="shared" ref="J52:P68" si="102">J51-J49</f>
        <v>7671</v>
      </c>
      <c r="K52" s="12">
        <f t="shared" si="102"/>
        <v>3509</v>
      </c>
      <c r="L52" s="12">
        <f t="shared" si="102"/>
        <v>4477</v>
      </c>
      <c r="M52" s="12">
        <f t="shared" si="102"/>
        <v>6949</v>
      </c>
      <c r="N52" s="12">
        <f t="shared" si="102"/>
        <v>8327</v>
      </c>
      <c r="O52" s="12">
        <f t="shared" si="102"/>
        <v>3010</v>
      </c>
      <c r="P52" s="12">
        <f t="shared" si="102"/>
        <v>2450</v>
      </c>
      <c r="Q52" s="13">
        <f>P52+O52+N52+M52+L52+K52+J52+I52</f>
        <v>38521</v>
      </c>
      <c r="R52" s="14">
        <f>Q52+H52</f>
        <v>68586</v>
      </c>
    </row>
    <row r="53" spans="2:18" ht="17.25" customHeight="1" x14ac:dyDescent="0.25">
      <c r="B53" s="23">
        <v>24</v>
      </c>
      <c r="C53" s="7">
        <v>20484826</v>
      </c>
      <c r="D53" s="46">
        <v>14618860</v>
      </c>
      <c r="E53" s="46">
        <v>26676366</v>
      </c>
      <c r="F53" s="46">
        <v>26943632</v>
      </c>
      <c r="G53" s="46">
        <v>16817343</v>
      </c>
      <c r="H53" s="8"/>
      <c r="I53" s="48">
        <v>6006062</v>
      </c>
      <c r="J53" s="48">
        <v>26476525</v>
      </c>
      <c r="K53" s="60">
        <v>8734449</v>
      </c>
      <c r="L53" s="60">
        <v>13095130</v>
      </c>
      <c r="M53" s="60">
        <v>19377027</v>
      </c>
      <c r="N53" s="60">
        <v>25203632</v>
      </c>
      <c r="O53" s="60">
        <v>8076006</v>
      </c>
      <c r="P53" s="60">
        <v>7336110</v>
      </c>
      <c r="Q53" s="9"/>
      <c r="R53" s="10"/>
    </row>
    <row r="54" spans="2:18" ht="17.25" customHeight="1" x14ac:dyDescent="0.25">
      <c r="B54" s="11" t="s">
        <v>47</v>
      </c>
      <c r="C54" s="53">
        <f>+C53-C51</f>
        <v>4</v>
      </c>
      <c r="D54" s="53">
        <f t="shared" ref="D54" si="103">+D53-D51</f>
        <v>769</v>
      </c>
      <c r="E54" s="53">
        <f t="shared" ref="E54" si="104">+E53-E51</f>
        <v>13640</v>
      </c>
      <c r="F54" s="53">
        <f t="shared" ref="F54" si="105">+F53-F51</f>
        <v>12746</v>
      </c>
      <c r="G54" s="53">
        <f t="shared" ref="G54" si="106">+G53-G51</f>
        <v>22</v>
      </c>
      <c r="H54" s="8">
        <f>G54+F54+E54+D54+C54</f>
        <v>27181</v>
      </c>
      <c r="I54" s="12">
        <f>I53-I51</f>
        <v>2123</v>
      </c>
      <c r="J54" s="12">
        <f t="shared" si="102"/>
        <v>7477</v>
      </c>
      <c r="K54" s="12">
        <f t="shared" si="102"/>
        <v>3148</v>
      </c>
      <c r="L54" s="12">
        <f t="shared" si="102"/>
        <v>4476</v>
      </c>
      <c r="M54" s="12">
        <f t="shared" si="102"/>
        <v>6583</v>
      </c>
      <c r="N54" s="12">
        <f t="shared" si="102"/>
        <v>8244</v>
      </c>
      <c r="O54" s="12">
        <f t="shared" si="102"/>
        <v>3006</v>
      </c>
      <c r="P54" s="12">
        <f t="shared" si="102"/>
        <v>2550</v>
      </c>
      <c r="Q54" s="13">
        <f>P54+O54+N54+M54+L54+K54+J54+I54</f>
        <v>37607</v>
      </c>
      <c r="R54" s="14">
        <f>Q54+H54</f>
        <v>64788</v>
      </c>
    </row>
    <row r="55" spans="2:18" ht="17.25" customHeight="1" x14ac:dyDescent="0.25">
      <c r="B55" s="23">
        <v>25</v>
      </c>
      <c r="C55" s="7">
        <v>20484836</v>
      </c>
      <c r="D55" s="7">
        <v>14619630</v>
      </c>
      <c r="E55" s="1">
        <v>26690446</v>
      </c>
      <c r="F55" s="7">
        <v>26954472</v>
      </c>
      <c r="G55" s="7">
        <v>16817363</v>
      </c>
      <c r="H55" s="8"/>
      <c r="I55" s="48">
        <v>6008186</v>
      </c>
      <c r="J55" s="48">
        <v>26483949</v>
      </c>
      <c r="K55" s="60">
        <v>8737688</v>
      </c>
      <c r="L55" s="60">
        <v>13099415</v>
      </c>
      <c r="M55" s="60">
        <v>19383611</v>
      </c>
      <c r="N55" s="48">
        <v>25211850</v>
      </c>
      <c r="O55" s="60">
        <v>8078991</v>
      </c>
      <c r="P55" s="60">
        <v>7338670</v>
      </c>
      <c r="Q55" s="9"/>
      <c r="R55" s="10"/>
    </row>
    <row r="56" spans="2:18" ht="17.25" customHeight="1" x14ac:dyDescent="0.25">
      <c r="B56" s="11" t="s">
        <v>47</v>
      </c>
      <c r="C56" s="53">
        <f>+C55-C53</f>
        <v>10</v>
      </c>
      <c r="D56" s="53">
        <f t="shared" ref="D56" si="107">+D55-D53</f>
        <v>770</v>
      </c>
      <c r="E56" s="53">
        <f t="shared" ref="E56" si="108">+E55-E53</f>
        <v>14080</v>
      </c>
      <c r="F56" s="53">
        <f t="shared" ref="F56" si="109">+F55-F53</f>
        <v>10840</v>
      </c>
      <c r="G56" s="53">
        <f t="shared" ref="G56" si="110">+G55-G53</f>
        <v>20</v>
      </c>
      <c r="H56" s="8">
        <f>G56+F56+E56+D56+C56</f>
        <v>25720</v>
      </c>
      <c r="I56" s="12">
        <f>I55-I53</f>
        <v>2124</v>
      </c>
      <c r="J56" s="12">
        <f t="shared" si="102"/>
        <v>7424</v>
      </c>
      <c r="K56" s="12">
        <f t="shared" si="102"/>
        <v>3239</v>
      </c>
      <c r="L56" s="12">
        <f t="shared" si="102"/>
        <v>4285</v>
      </c>
      <c r="M56" s="12">
        <f t="shared" si="102"/>
        <v>6584</v>
      </c>
      <c r="N56" s="12">
        <f t="shared" si="102"/>
        <v>8218</v>
      </c>
      <c r="O56" s="12">
        <f t="shared" si="102"/>
        <v>2985</v>
      </c>
      <c r="P56" s="12">
        <f t="shared" si="102"/>
        <v>2560</v>
      </c>
      <c r="Q56" s="13">
        <f>P56+O56+N56+M56+L56+K56+J56+I56</f>
        <v>37419</v>
      </c>
      <c r="R56" s="14">
        <f>Q56+H56</f>
        <v>63139</v>
      </c>
    </row>
    <row r="57" spans="2:18" ht="17.25" customHeight="1" x14ac:dyDescent="0.25">
      <c r="B57" s="23">
        <v>26</v>
      </c>
      <c r="C57" s="7">
        <v>20484845</v>
      </c>
      <c r="D57" s="7">
        <v>14620390</v>
      </c>
      <c r="E57" s="7">
        <v>26704565</v>
      </c>
      <c r="F57" s="7">
        <v>26966338</v>
      </c>
      <c r="G57" s="7">
        <v>16817382</v>
      </c>
      <c r="H57" s="8"/>
      <c r="I57" s="60">
        <v>6010271</v>
      </c>
      <c r="J57" s="48">
        <v>26491726</v>
      </c>
      <c r="K57" s="60">
        <v>8741310</v>
      </c>
      <c r="L57" s="60">
        <v>13103983</v>
      </c>
      <c r="M57" s="60">
        <v>19391041</v>
      </c>
      <c r="N57" s="60">
        <v>25220207</v>
      </c>
      <c r="O57" s="60">
        <v>8082135</v>
      </c>
      <c r="P57" s="60">
        <v>7341330</v>
      </c>
      <c r="Q57" s="9"/>
      <c r="R57" s="10"/>
    </row>
    <row r="58" spans="2:18" ht="17.25" customHeight="1" x14ac:dyDescent="0.25">
      <c r="B58" s="11" t="s">
        <v>47</v>
      </c>
      <c r="C58" s="53">
        <f>+C57-C55</f>
        <v>9</v>
      </c>
      <c r="D58" s="53">
        <f t="shared" ref="D58" si="111">+D57-D55</f>
        <v>760</v>
      </c>
      <c r="E58" s="53">
        <f t="shared" ref="E58" si="112">+E57-E55</f>
        <v>14119</v>
      </c>
      <c r="F58" s="53">
        <f t="shared" ref="F58" si="113">+F57-F55</f>
        <v>11866</v>
      </c>
      <c r="G58" s="53">
        <f t="shared" ref="G58" si="114">+G57-G55</f>
        <v>19</v>
      </c>
      <c r="H58" s="8">
        <f>G58+F58+E58+D58+C58</f>
        <v>26773</v>
      </c>
      <c r="I58" s="12">
        <f>I57-I55</f>
        <v>2085</v>
      </c>
      <c r="J58" s="12">
        <f t="shared" si="102"/>
        <v>7777</v>
      </c>
      <c r="K58" s="12">
        <f t="shared" si="102"/>
        <v>3622</v>
      </c>
      <c r="L58" s="12">
        <f t="shared" si="102"/>
        <v>4568</v>
      </c>
      <c r="M58" s="12">
        <f t="shared" si="102"/>
        <v>7430</v>
      </c>
      <c r="N58" s="12">
        <f t="shared" si="102"/>
        <v>8357</v>
      </c>
      <c r="O58" s="12">
        <f t="shared" si="102"/>
        <v>3144</v>
      </c>
      <c r="P58" s="12">
        <f t="shared" si="102"/>
        <v>2660</v>
      </c>
      <c r="Q58" s="13">
        <f>P58+O58+N58+M58+L58+K58+J58+I58</f>
        <v>39643</v>
      </c>
      <c r="R58" s="14">
        <f>Q58+H58</f>
        <v>66416</v>
      </c>
    </row>
    <row r="59" spans="2:18" ht="17.25" customHeight="1" x14ac:dyDescent="0.25">
      <c r="B59" s="23">
        <v>27</v>
      </c>
      <c r="C59" s="7">
        <v>20484847</v>
      </c>
      <c r="D59" s="7">
        <v>14621160</v>
      </c>
      <c r="E59" s="7">
        <v>26719335</v>
      </c>
      <c r="F59" s="7">
        <v>26978129</v>
      </c>
      <c r="G59" s="7">
        <v>16817398</v>
      </c>
      <c r="H59" s="8"/>
      <c r="I59" s="60">
        <v>6012314</v>
      </c>
      <c r="J59" s="48">
        <v>26499601</v>
      </c>
      <c r="K59" s="60">
        <v>8745020</v>
      </c>
      <c r="L59" s="60">
        <v>13108420</v>
      </c>
      <c r="M59" s="60">
        <v>19398391</v>
      </c>
      <c r="N59" s="60">
        <v>25228316</v>
      </c>
      <c r="O59" s="60">
        <v>8085291</v>
      </c>
      <c r="P59" s="60">
        <v>7344190</v>
      </c>
      <c r="Q59" s="9"/>
      <c r="R59" s="10"/>
    </row>
    <row r="60" spans="2:18" ht="17.25" customHeight="1" x14ac:dyDescent="0.25">
      <c r="B60" s="11" t="s">
        <v>47</v>
      </c>
      <c r="C60" s="53">
        <f>+C59-C57</f>
        <v>2</v>
      </c>
      <c r="D60" s="53">
        <f t="shared" ref="D60" si="115">+D59-D57</f>
        <v>770</v>
      </c>
      <c r="E60" s="53">
        <f t="shared" ref="E60" si="116">+E59-E57</f>
        <v>14770</v>
      </c>
      <c r="F60" s="53">
        <f t="shared" ref="F60" si="117">+F59-F57</f>
        <v>11791</v>
      </c>
      <c r="G60" s="53">
        <f t="shared" ref="G60" si="118">+G59-G57</f>
        <v>16</v>
      </c>
      <c r="H60" s="8">
        <f>G60+F60+E60+D60+C60</f>
        <v>27349</v>
      </c>
      <c r="I60" s="12">
        <f>I59-I57</f>
        <v>2043</v>
      </c>
      <c r="J60" s="12">
        <f t="shared" si="102"/>
        <v>7875</v>
      </c>
      <c r="K60" s="12">
        <f t="shared" si="102"/>
        <v>3710</v>
      </c>
      <c r="L60" s="12">
        <f t="shared" si="102"/>
        <v>4437</v>
      </c>
      <c r="M60" s="12">
        <f t="shared" si="102"/>
        <v>7350</v>
      </c>
      <c r="N60" s="12">
        <f t="shared" si="102"/>
        <v>8109</v>
      </c>
      <c r="O60" s="12">
        <f t="shared" si="102"/>
        <v>3156</v>
      </c>
      <c r="P60" s="12">
        <f t="shared" si="102"/>
        <v>2860</v>
      </c>
      <c r="Q60" s="13">
        <f>P60+O60+N60+M60+L60+K60+J60+I60</f>
        <v>39540</v>
      </c>
      <c r="R60" s="14">
        <f>Q60+H60</f>
        <v>66889</v>
      </c>
    </row>
    <row r="61" spans="2:18" ht="17.25" customHeight="1" x14ac:dyDescent="0.25">
      <c r="B61" s="23">
        <v>28</v>
      </c>
      <c r="C61" s="7">
        <v>20484853</v>
      </c>
      <c r="D61" s="7">
        <v>14621931</v>
      </c>
      <c r="E61" s="7">
        <v>26733615</v>
      </c>
      <c r="F61" s="7">
        <v>26990615</v>
      </c>
      <c r="G61" s="7">
        <v>16817415</v>
      </c>
      <c r="H61" s="8"/>
      <c r="I61" s="7">
        <v>6014339</v>
      </c>
      <c r="J61" s="48">
        <v>26507464</v>
      </c>
      <c r="K61" s="7">
        <v>8748880</v>
      </c>
      <c r="L61" s="46">
        <v>13112913</v>
      </c>
      <c r="M61" s="7">
        <v>19405702</v>
      </c>
      <c r="N61" s="7">
        <v>25236662</v>
      </c>
      <c r="O61" s="7">
        <v>8088367</v>
      </c>
      <c r="P61" s="7">
        <v>7346720</v>
      </c>
      <c r="Q61" s="9"/>
      <c r="R61" s="10"/>
    </row>
    <row r="62" spans="2:18" ht="17.25" customHeight="1" x14ac:dyDescent="0.25">
      <c r="B62" s="11" t="s">
        <v>47</v>
      </c>
      <c r="C62" s="53">
        <f>+C61-C59</f>
        <v>6</v>
      </c>
      <c r="D62" s="53">
        <f t="shared" ref="D62:D68" si="119">+D61-D59</f>
        <v>771</v>
      </c>
      <c r="E62" s="53">
        <f t="shared" ref="E62:E68" si="120">+E61-E59</f>
        <v>14280</v>
      </c>
      <c r="F62" s="53">
        <f t="shared" ref="F62:F68" si="121">+F61-F59</f>
        <v>12486</v>
      </c>
      <c r="G62" s="53">
        <f t="shared" ref="G62:G68" si="122">+G61-G59</f>
        <v>17</v>
      </c>
      <c r="H62" s="8">
        <f>G62+F62+E62+D62+C62</f>
        <v>27560</v>
      </c>
      <c r="I62" s="12">
        <f>I61-I59</f>
        <v>2025</v>
      </c>
      <c r="J62" s="12">
        <f t="shared" si="102"/>
        <v>7863</v>
      </c>
      <c r="K62" s="12">
        <f t="shared" si="102"/>
        <v>3860</v>
      </c>
      <c r="L62" s="12">
        <f t="shared" si="102"/>
        <v>4493</v>
      </c>
      <c r="M62" s="12">
        <f t="shared" si="102"/>
        <v>7311</v>
      </c>
      <c r="N62" s="12">
        <f t="shared" si="102"/>
        <v>8346</v>
      </c>
      <c r="O62" s="12">
        <f t="shared" si="102"/>
        <v>3076</v>
      </c>
      <c r="P62" s="12">
        <f t="shared" si="102"/>
        <v>2530</v>
      </c>
      <c r="Q62" s="13">
        <f>P62+O62+N62+M62+L62+K62+J62+I62</f>
        <v>39504</v>
      </c>
      <c r="R62" s="14">
        <f>Q62+H62</f>
        <v>67064</v>
      </c>
    </row>
    <row r="63" spans="2:18" ht="17.25" customHeight="1" x14ac:dyDescent="0.25">
      <c r="B63" s="23">
        <v>29</v>
      </c>
      <c r="C63" s="7">
        <v>20484857</v>
      </c>
      <c r="D63" s="7">
        <v>14628141</v>
      </c>
      <c r="E63" s="7">
        <v>26747346</v>
      </c>
      <c r="F63" s="7">
        <v>26997927</v>
      </c>
      <c r="G63" s="7">
        <v>16817434</v>
      </c>
      <c r="H63" s="8"/>
      <c r="I63" s="48">
        <v>6016328</v>
      </c>
      <c r="J63" s="48">
        <v>26515453</v>
      </c>
      <c r="K63" s="48">
        <v>8752366</v>
      </c>
      <c r="L63" s="48">
        <v>13117202</v>
      </c>
      <c r="M63" s="48">
        <v>19413129</v>
      </c>
      <c r="N63" s="48">
        <v>25245324</v>
      </c>
      <c r="O63" s="48">
        <v>8091559</v>
      </c>
      <c r="P63" s="48">
        <v>7348960</v>
      </c>
      <c r="Q63" s="9"/>
      <c r="R63" s="10"/>
    </row>
    <row r="64" spans="2:18" ht="17.25" customHeight="1" x14ac:dyDescent="0.25">
      <c r="B64" s="11" t="s">
        <v>47</v>
      </c>
      <c r="C64" s="53">
        <f>+C63-C61</f>
        <v>4</v>
      </c>
      <c r="D64" s="53">
        <f t="shared" si="119"/>
        <v>6210</v>
      </c>
      <c r="E64" s="53">
        <f t="shared" si="120"/>
        <v>13731</v>
      </c>
      <c r="F64" s="53">
        <f t="shared" si="121"/>
        <v>7312</v>
      </c>
      <c r="G64" s="53">
        <f t="shared" si="122"/>
        <v>19</v>
      </c>
      <c r="H64" s="8">
        <f>G64+F64+E64+D64+C64</f>
        <v>27276</v>
      </c>
      <c r="I64" s="12">
        <f>I63-I61</f>
        <v>1989</v>
      </c>
      <c r="J64" s="12">
        <f t="shared" si="102"/>
        <v>7989</v>
      </c>
      <c r="K64" s="12">
        <f t="shared" si="102"/>
        <v>3486</v>
      </c>
      <c r="L64" s="12">
        <f t="shared" si="102"/>
        <v>4289</v>
      </c>
      <c r="M64" s="12">
        <f t="shared" si="102"/>
        <v>7427</v>
      </c>
      <c r="N64" s="12">
        <f t="shared" si="102"/>
        <v>8662</v>
      </c>
      <c r="O64" s="12">
        <f t="shared" si="102"/>
        <v>3192</v>
      </c>
      <c r="P64" s="12">
        <f t="shared" si="102"/>
        <v>2240</v>
      </c>
      <c r="Q64" s="13">
        <f>P64+O64+N64+M64+L64+K64+J64+I64</f>
        <v>39274</v>
      </c>
      <c r="R64" s="14">
        <f>Q64+H64</f>
        <v>66550</v>
      </c>
    </row>
    <row r="65" spans="2:18" ht="17.25" customHeight="1" x14ac:dyDescent="0.25">
      <c r="B65" s="23">
        <v>30</v>
      </c>
      <c r="C65" s="7">
        <v>20484865</v>
      </c>
      <c r="D65" s="7">
        <v>14639541</v>
      </c>
      <c r="E65" s="7">
        <v>26758363</v>
      </c>
      <c r="F65" s="7">
        <v>27002117</v>
      </c>
      <c r="G65" s="7">
        <v>16817452</v>
      </c>
      <c r="H65" s="8"/>
      <c r="I65" s="7">
        <v>6018411</v>
      </c>
      <c r="J65" s="48">
        <v>26523670</v>
      </c>
      <c r="K65" s="7">
        <v>8755904</v>
      </c>
      <c r="L65" s="46">
        <v>13121516</v>
      </c>
      <c r="M65" s="7">
        <v>19419992</v>
      </c>
      <c r="N65" s="7">
        <v>25254124</v>
      </c>
      <c r="O65" s="7">
        <v>8094722</v>
      </c>
      <c r="P65" s="7">
        <v>7351420</v>
      </c>
      <c r="Q65" s="9"/>
      <c r="R65" s="10"/>
    </row>
    <row r="66" spans="2:18" ht="17.25" customHeight="1" x14ac:dyDescent="0.25">
      <c r="B66" s="11" t="s">
        <v>47</v>
      </c>
      <c r="C66" s="53">
        <f>+C65-C63</f>
        <v>8</v>
      </c>
      <c r="D66" s="53">
        <f t="shared" si="119"/>
        <v>11400</v>
      </c>
      <c r="E66" s="53">
        <f t="shared" si="120"/>
        <v>11017</v>
      </c>
      <c r="F66" s="53">
        <f t="shared" si="121"/>
        <v>4190</v>
      </c>
      <c r="G66" s="53">
        <f t="shared" si="122"/>
        <v>18</v>
      </c>
      <c r="H66" s="8">
        <f>G66+F66+E66+D66+C66</f>
        <v>26633</v>
      </c>
      <c r="I66" s="12">
        <f>I65-I63</f>
        <v>2083</v>
      </c>
      <c r="J66" s="12">
        <f t="shared" si="102"/>
        <v>8217</v>
      </c>
      <c r="K66" s="12">
        <f t="shared" si="102"/>
        <v>3538</v>
      </c>
      <c r="L66" s="12">
        <f t="shared" si="102"/>
        <v>4314</v>
      </c>
      <c r="M66" s="12">
        <f t="shared" si="102"/>
        <v>6863</v>
      </c>
      <c r="N66" s="12">
        <f t="shared" si="102"/>
        <v>8800</v>
      </c>
      <c r="O66" s="12">
        <f t="shared" si="102"/>
        <v>3163</v>
      </c>
      <c r="P66" s="12">
        <f t="shared" si="102"/>
        <v>2460</v>
      </c>
      <c r="Q66" s="13">
        <f>P66+O66+N66+M66+L66+K66+J66+I66</f>
        <v>39438</v>
      </c>
      <c r="R66" s="14">
        <f>Q66+H66</f>
        <v>66071</v>
      </c>
    </row>
    <row r="67" spans="2:18" ht="15.75" x14ac:dyDescent="0.25">
      <c r="B67" s="23">
        <v>31</v>
      </c>
      <c r="C67" s="7">
        <v>20484871</v>
      </c>
      <c r="D67" s="7">
        <v>14651895</v>
      </c>
      <c r="E67" s="7">
        <v>26770698</v>
      </c>
      <c r="F67" s="7">
        <v>27006596</v>
      </c>
      <c r="G67" s="7">
        <v>16817469</v>
      </c>
      <c r="H67" s="8"/>
      <c r="I67" s="7">
        <v>6020377</v>
      </c>
      <c r="J67" s="48">
        <v>26532133</v>
      </c>
      <c r="K67" s="7">
        <v>8759539</v>
      </c>
      <c r="L67" s="46">
        <v>13125805</v>
      </c>
      <c r="M67" s="7">
        <v>19428293</v>
      </c>
      <c r="N67" s="7">
        <v>25262800</v>
      </c>
      <c r="O67" s="7">
        <v>8097805</v>
      </c>
      <c r="P67" s="7">
        <v>7353980</v>
      </c>
      <c r="Q67" s="9"/>
      <c r="R67" s="10"/>
    </row>
    <row r="68" spans="2:18" ht="15.75" x14ac:dyDescent="0.25">
      <c r="B68" s="11" t="s">
        <v>47</v>
      </c>
      <c r="C68" s="53">
        <f>+C67-C65</f>
        <v>6</v>
      </c>
      <c r="D68" s="53">
        <f t="shared" si="119"/>
        <v>12354</v>
      </c>
      <c r="E68" s="53">
        <f t="shared" si="120"/>
        <v>12335</v>
      </c>
      <c r="F68" s="53">
        <f t="shared" si="121"/>
        <v>4479</v>
      </c>
      <c r="G68" s="53">
        <f t="shared" si="122"/>
        <v>17</v>
      </c>
      <c r="H68" s="8">
        <f>G68+F68+E68+D68+C68</f>
        <v>29191</v>
      </c>
      <c r="I68" s="12">
        <f>I67-I65</f>
        <v>1966</v>
      </c>
      <c r="J68" s="12">
        <f t="shared" si="102"/>
        <v>8463</v>
      </c>
      <c r="K68" s="12">
        <f t="shared" si="102"/>
        <v>3635</v>
      </c>
      <c r="L68" s="12">
        <f t="shared" si="102"/>
        <v>4289</v>
      </c>
      <c r="M68" s="12">
        <f t="shared" si="102"/>
        <v>8301</v>
      </c>
      <c r="N68" s="12">
        <f t="shared" si="102"/>
        <v>8676</v>
      </c>
      <c r="O68" s="12">
        <f t="shared" si="102"/>
        <v>3083</v>
      </c>
      <c r="P68" s="12">
        <f t="shared" si="102"/>
        <v>2560</v>
      </c>
      <c r="Q68" s="13">
        <f>P68+O68+N68+M68+L68+K68+J68+I68</f>
        <v>40973</v>
      </c>
      <c r="R68" s="14">
        <f>Q68+H68</f>
        <v>70164</v>
      </c>
    </row>
    <row r="74" spans="2:18" x14ac:dyDescent="0.25">
      <c r="C74" s="50"/>
      <c r="D74" s="50"/>
      <c r="E74" s="50"/>
      <c r="F74" s="50"/>
      <c r="G74" s="50"/>
    </row>
    <row r="75" spans="2:18" x14ac:dyDescent="0.25">
      <c r="C75" s="56"/>
      <c r="D75" s="56"/>
      <c r="E75" s="56"/>
      <c r="F75" s="56"/>
      <c r="G75" s="56"/>
    </row>
  </sheetData>
  <customSheetViews>
    <customSheetView guid="{3F0D6565-C55E-43AC-AC5D-87C4E1D85423}">
      <pane ySplit="6" topLeftCell="A23" activePane="bottomLeft" state="frozen"/>
      <selection pane="bottomLeft" activeCell="N41" sqref="N41"/>
      <pageMargins left="0" right="0" top="0" bottom="0" header="0" footer="0"/>
      <printOptions horizontalCentered="1"/>
      <pageSetup paperSize="9" scale="77" orientation="landscape" r:id="rId1"/>
    </customSheetView>
    <customSheetView guid="{25F117C9-9E88-4830-872F-F7C65066F93E}">
      <pane ySplit="6" topLeftCell="A44" activePane="bottomLeft" state="frozen"/>
      <selection pane="bottomLeft" activeCell="H65" sqref="H65"/>
      <pageMargins left="0" right="0" top="0" bottom="0" header="0" footer="0"/>
      <printOptions horizontalCentered="1"/>
      <pageSetup paperSize="9" scale="77" orientation="landscape" r:id="rId2"/>
    </customSheetView>
    <customSheetView guid="{715FFCCD-858F-48B1-9C65-962158B32E76}" topLeftCell="F1">
      <pane ySplit="6" topLeftCell="A7" activePane="bottomLeft" state="frozen"/>
      <selection pane="bottomLeft" activeCell="M57" sqref="M57"/>
      <pageMargins left="0" right="0" top="0" bottom="0" header="0" footer="0"/>
      <printOptions horizontalCentered="1"/>
      <pageSetup paperSize="9" scale="77" orientation="landscape" r:id="rId3"/>
    </customSheetView>
    <customSheetView guid="{071FA3B5-878B-4C51-9DD6-5097B4769603}">
      <pane ySplit="6" topLeftCell="A42" activePane="bottomLeft" state="frozen"/>
      <selection pane="bottomLeft" activeCell="G62" sqref="G62"/>
      <pageMargins left="0" right="0" top="0" bottom="0" header="0" footer="0"/>
      <printOptions horizontalCentered="1"/>
      <pageSetup paperSize="9" scale="77" orientation="landscape" r:id="rId4"/>
    </customSheetView>
    <customSheetView guid="{91089E3D-1703-4FEE-B13A-4F0669A06DB8}">
      <pane ySplit="6" topLeftCell="A27" activePane="bottomLeft" state="frozen"/>
      <selection pane="bottomLeft" activeCell="I38" sqref="I38:P38"/>
      <pageMargins left="0" right="0" top="0" bottom="0" header="0" footer="0"/>
      <printOptions horizontalCentered="1"/>
      <pageSetup paperSize="9" scale="77" orientation="landscape" r:id="rId5"/>
    </customSheetView>
  </customSheetViews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6"/>
  <ignoredErrors>
    <ignoredError sqref="H46" formula="1"/>
  </ignoredError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8"/>
  <sheetViews>
    <sheetView zoomScale="80" zoomScaleNormal="80" zoomScaleSheetLayoutView="100" workbookViewId="0">
      <pane ySplit="6" topLeftCell="A7" activePane="bottomLeft" state="frozen"/>
      <selection pane="bottomLeft" activeCell="Y30" sqref="Y30"/>
    </sheetView>
  </sheetViews>
  <sheetFormatPr defaultRowHeight="15" x14ac:dyDescent="0.25"/>
  <cols>
    <col min="1" max="1" width="1" style="1" customWidth="1"/>
    <col min="2" max="5" width="10.5703125" style="1" customWidth="1"/>
    <col min="6" max="6" width="14.28515625" style="1" customWidth="1"/>
    <col min="7" max="12" width="10.5703125" style="1" customWidth="1"/>
    <col min="13" max="13" width="15.42578125" style="1" customWidth="1"/>
    <col min="14" max="14" width="16.140625" style="1" bestFit="1" customWidth="1"/>
    <col min="15" max="15" width="9.140625" style="1"/>
    <col min="16" max="16" width="12.42578125" style="1" customWidth="1"/>
    <col min="17" max="17" width="13.85546875" style="1" customWidth="1"/>
    <col min="18" max="19" width="9.140625" style="1"/>
    <col min="20" max="20" width="18.140625" style="1" customWidth="1"/>
    <col min="21" max="21" width="13.5703125" style="1" customWidth="1"/>
    <col min="22" max="16384" width="9.140625" style="1"/>
  </cols>
  <sheetData>
    <row r="1" spans="2:21" ht="12" customHeight="1" x14ac:dyDescent="0.25"/>
    <row r="2" spans="2:21" ht="19.5" customHeight="1" x14ac:dyDescent="0.25">
      <c r="F2" s="81" t="s">
        <v>34</v>
      </c>
      <c r="G2" s="81"/>
      <c r="H2" s="81"/>
      <c r="I2" s="81"/>
      <c r="J2" s="81"/>
      <c r="K2" s="21"/>
      <c r="L2" s="21"/>
    </row>
    <row r="3" spans="2:21" ht="21" customHeight="1" x14ac:dyDescent="0.25">
      <c r="F3" s="87" t="s">
        <v>49</v>
      </c>
      <c r="G3" s="87"/>
      <c r="H3" s="87"/>
      <c r="I3" s="87"/>
      <c r="J3" s="87"/>
      <c r="K3" s="22"/>
      <c r="L3" s="22"/>
      <c r="M3" s="78" t="s">
        <v>36</v>
      </c>
      <c r="N3" s="78"/>
    </row>
    <row r="4" spans="2:21" ht="15" customHeight="1" thickBot="1" x14ac:dyDescent="0.3"/>
    <row r="5" spans="2:21" ht="30.75" customHeight="1" thickTop="1" x14ac:dyDescent="0.25">
      <c r="B5" s="92" t="s">
        <v>37</v>
      </c>
      <c r="C5" s="4" t="s">
        <v>50</v>
      </c>
      <c r="D5" s="4" t="s">
        <v>51</v>
      </c>
      <c r="E5" s="4" t="s">
        <v>52</v>
      </c>
      <c r="F5" s="94" t="s">
        <v>53</v>
      </c>
      <c r="G5" s="4" t="s">
        <v>54</v>
      </c>
      <c r="H5" s="4" t="s">
        <v>55</v>
      </c>
      <c r="I5" s="4" t="s">
        <v>56</v>
      </c>
      <c r="J5" s="4" t="s">
        <v>57</v>
      </c>
      <c r="K5" s="4" t="s">
        <v>58</v>
      </c>
      <c r="L5" s="4" t="s">
        <v>43</v>
      </c>
      <c r="M5" s="88" t="s">
        <v>59</v>
      </c>
      <c r="N5" s="90" t="s">
        <v>60</v>
      </c>
      <c r="O5" s="6"/>
      <c r="P5" s="97" t="s">
        <v>1</v>
      </c>
      <c r="Q5" s="97" t="s">
        <v>8</v>
      </c>
      <c r="R5" s="97" t="s">
        <v>9</v>
      </c>
      <c r="S5" s="97" t="s">
        <v>10</v>
      </c>
    </row>
    <row r="6" spans="2:21" ht="15.75" customHeight="1" x14ac:dyDescent="0.25">
      <c r="B6" s="93"/>
      <c r="C6" s="3">
        <v>130465</v>
      </c>
      <c r="D6" s="3">
        <v>130460</v>
      </c>
      <c r="E6" s="3">
        <v>130461</v>
      </c>
      <c r="F6" s="95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89"/>
      <c r="N6" s="91"/>
      <c r="O6" s="6"/>
      <c r="P6" s="98"/>
      <c r="Q6" s="98"/>
      <c r="R6" s="98"/>
      <c r="S6" s="98"/>
      <c r="T6" s="96" t="s">
        <v>61</v>
      </c>
      <c r="U6" s="96"/>
    </row>
    <row r="7" spans="2:21" ht="17.25" customHeight="1" x14ac:dyDescent="0.25">
      <c r="B7" s="23">
        <v>1</v>
      </c>
      <c r="C7" s="46">
        <v>8203</v>
      </c>
      <c r="D7" s="46">
        <v>490</v>
      </c>
      <c r="E7" s="47">
        <v>46762</v>
      </c>
      <c r="F7" s="18"/>
      <c r="G7" s="48">
        <v>269082</v>
      </c>
      <c r="H7" s="48">
        <v>164299</v>
      </c>
      <c r="I7" s="48">
        <v>174438</v>
      </c>
      <c r="J7" s="48">
        <v>839532</v>
      </c>
      <c r="K7" s="47">
        <v>639094</v>
      </c>
      <c r="L7" s="48">
        <v>445642</v>
      </c>
      <c r="M7" s="19"/>
      <c r="N7" s="16"/>
      <c r="P7" s="57">
        <v>1</v>
      </c>
      <c r="Q7" s="58">
        <v>50</v>
      </c>
      <c r="R7" s="7">
        <v>212</v>
      </c>
      <c r="S7" s="7">
        <v>9.1</v>
      </c>
      <c r="T7" s="64">
        <v>130461</v>
      </c>
      <c r="U7" s="75" t="s">
        <v>52</v>
      </c>
    </row>
    <row r="8" spans="2:21" ht="17.25" customHeight="1" x14ac:dyDescent="0.25">
      <c r="B8" s="11" t="s">
        <v>47</v>
      </c>
      <c r="C8" s="12">
        <v>0</v>
      </c>
      <c r="D8" s="12">
        <v>0</v>
      </c>
      <c r="E8" s="12">
        <v>0</v>
      </c>
      <c r="F8" s="18">
        <f>E8+D8+C8</f>
        <v>0</v>
      </c>
      <c r="G8" s="53">
        <v>98</v>
      </c>
      <c r="H8" s="53">
        <v>14</v>
      </c>
      <c r="I8" s="53">
        <v>25</v>
      </c>
      <c r="J8" s="53">
        <v>229</v>
      </c>
      <c r="K8" s="53">
        <v>0</v>
      </c>
      <c r="L8" s="53">
        <v>0</v>
      </c>
      <c r="M8" s="19">
        <f>L8+K8+J8+I8+H8+G8</f>
        <v>366</v>
      </c>
      <c r="N8" s="54">
        <f>M8+F8</f>
        <v>366</v>
      </c>
      <c r="P8" s="57">
        <v>2</v>
      </c>
      <c r="Q8" s="58">
        <v>84</v>
      </c>
      <c r="R8" s="7">
        <v>358</v>
      </c>
      <c r="S8" s="7">
        <v>9.9</v>
      </c>
      <c r="T8" s="65">
        <v>130459</v>
      </c>
      <c r="U8" s="75" t="s">
        <v>69</v>
      </c>
    </row>
    <row r="9" spans="2:21" ht="17.25" customHeight="1" x14ac:dyDescent="0.25">
      <c r="B9" s="23">
        <v>2</v>
      </c>
      <c r="C9" s="46">
        <v>8203</v>
      </c>
      <c r="D9" s="46">
        <v>490</v>
      </c>
      <c r="E9" s="47">
        <v>46762</v>
      </c>
      <c r="F9" s="18"/>
      <c r="G9" s="48">
        <v>269188</v>
      </c>
      <c r="H9" s="48">
        <v>164309</v>
      </c>
      <c r="I9" s="48">
        <v>174480</v>
      </c>
      <c r="J9" s="48">
        <v>839788</v>
      </c>
      <c r="K9" s="47">
        <v>639094</v>
      </c>
      <c r="L9" s="48">
        <v>445642</v>
      </c>
      <c r="M9" s="19"/>
      <c r="N9" s="17"/>
      <c r="P9" s="57">
        <v>3</v>
      </c>
      <c r="Q9" s="58">
        <v>148</v>
      </c>
      <c r="R9" s="7">
        <v>644</v>
      </c>
      <c r="S9" s="7">
        <v>11</v>
      </c>
      <c r="T9" s="65">
        <v>130466</v>
      </c>
      <c r="U9" s="75" t="s">
        <v>43</v>
      </c>
    </row>
    <row r="10" spans="2:21" ht="17.25" customHeight="1" x14ac:dyDescent="0.25">
      <c r="B10" s="11" t="s">
        <v>47</v>
      </c>
      <c r="C10" s="12">
        <f>+C9-C7</f>
        <v>0</v>
      </c>
      <c r="D10" s="12">
        <f t="shared" ref="D10:E10" si="0">+D9-D7</f>
        <v>0</v>
      </c>
      <c r="E10" s="12">
        <f t="shared" si="0"/>
        <v>0</v>
      </c>
      <c r="F10" s="18">
        <f>E10+D10+C10</f>
        <v>0</v>
      </c>
      <c r="G10" s="12">
        <f t="shared" ref="G10:L10" si="1">G9-G7</f>
        <v>106</v>
      </c>
      <c r="H10" s="12">
        <f t="shared" si="1"/>
        <v>10</v>
      </c>
      <c r="I10" s="12">
        <f t="shared" si="1"/>
        <v>42</v>
      </c>
      <c r="J10" s="12">
        <f t="shared" si="1"/>
        <v>256</v>
      </c>
      <c r="K10" s="12">
        <f t="shared" si="1"/>
        <v>0</v>
      </c>
      <c r="L10" s="12">
        <f t="shared" si="1"/>
        <v>0</v>
      </c>
      <c r="M10" s="19">
        <f>L10+K10+J10+I10+H10+G10</f>
        <v>414</v>
      </c>
      <c r="N10" s="54">
        <f>M10+F10</f>
        <v>414</v>
      </c>
      <c r="P10" s="57">
        <v>4</v>
      </c>
      <c r="Q10" s="58">
        <v>182</v>
      </c>
      <c r="R10" s="7">
        <v>808</v>
      </c>
      <c r="S10" s="7">
        <v>13.7</v>
      </c>
    </row>
    <row r="11" spans="2:21" ht="17.25" customHeight="1" x14ac:dyDescent="0.25">
      <c r="B11" s="23">
        <v>3</v>
      </c>
      <c r="C11" s="46">
        <v>8203</v>
      </c>
      <c r="D11" s="46">
        <v>490</v>
      </c>
      <c r="E11" s="47">
        <v>46762</v>
      </c>
      <c r="F11" s="18"/>
      <c r="G11" s="48">
        <v>269290</v>
      </c>
      <c r="H11" s="48">
        <v>164381</v>
      </c>
      <c r="I11" s="48">
        <v>174527</v>
      </c>
      <c r="J11" s="48">
        <v>840077</v>
      </c>
      <c r="K11" s="47">
        <v>639094</v>
      </c>
      <c r="L11" s="48">
        <v>445642</v>
      </c>
      <c r="M11" s="19"/>
      <c r="N11" s="17"/>
      <c r="P11" s="57">
        <v>5</v>
      </c>
      <c r="Q11" s="58">
        <v>198</v>
      </c>
      <c r="R11" s="7">
        <v>880</v>
      </c>
      <c r="S11" s="7">
        <v>12.4</v>
      </c>
    </row>
    <row r="12" spans="2:21" ht="17.25" customHeight="1" x14ac:dyDescent="0.25">
      <c r="B12" s="11" t="s">
        <v>47</v>
      </c>
      <c r="C12" s="12">
        <f>+C11-C9</f>
        <v>0</v>
      </c>
      <c r="D12" s="12">
        <f t="shared" ref="D12" si="2">+D11-D9</f>
        <v>0</v>
      </c>
      <c r="E12" s="12">
        <f t="shared" ref="E12" si="3">+E11-E9</f>
        <v>0</v>
      </c>
      <c r="F12" s="18">
        <f>E12+D12+C12</f>
        <v>0</v>
      </c>
      <c r="G12" s="12">
        <f t="shared" ref="G12:L12" si="4">G11-G9</f>
        <v>102</v>
      </c>
      <c r="H12" s="12">
        <f t="shared" si="4"/>
        <v>72</v>
      </c>
      <c r="I12" s="12">
        <f t="shared" si="4"/>
        <v>47</v>
      </c>
      <c r="J12" s="12">
        <f t="shared" si="4"/>
        <v>289</v>
      </c>
      <c r="K12" s="12">
        <f t="shared" si="4"/>
        <v>0</v>
      </c>
      <c r="L12" s="12">
        <f t="shared" si="4"/>
        <v>0</v>
      </c>
      <c r="M12" s="19">
        <f>L12+K12+J12+I12+H12+G12</f>
        <v>510</v>
      </c>
      <c r="N12" s="54">
        <f>M12+F12</f>
        <v>510</v>
      </c>
      <c r="P12" s="57">
        <v>6</v>
      </c>
      <c r="Q12" s="58">
        <v>172</v>
      </c>
      <c r="R12" s="7">
        <v>732</v>
      </c>
      <c r="S12" s="7">
        <v>12.5</v>
      </c>
    </row>
    <row r="13" spans="2:21" ht="17.25" customHeight="1" x14ac:dyDescent="0.25">
      <c r="B13" s="23">
        <v>4</v>
      </c>
      <c r="C13" s="46">
        <v>8203</v>
      </c>
      <c r="D13" s="46">
        <v>491</v>
      </c>
      <c r="E13" s="47">
        <v>46762</v>
      </c>
      <c r="F13" s="18"/>
      <c r="G13" s="48">
        <v>269392</v>
      </c>
      <c r="H13" s="48">
        <v>164401</v>
      </c>
      <c r="I13" s="48">
        <v>174579</v>
      </c>
      <c r="J13" s="48">
        <v>840376</v>
      </c>
      <c r="K13" s="47">
        <v>639094</v>
      </c>
      <c r="L13" s="48">
        <v>445642</v>
      </c>
      <c r="M13" s="19"/>
      <c r="N13" s="17"/>
      <c r="P13" s="57">
        <v>7</v>
      </c>
      <c r="Q13" s="58">
        <v>215</v>
      </c>
      <c r="R13" s="7">
        <v>922</v>
      </c>
      <c r="S13" s="7">
        <v>11</v>
      </c>
    </row>
    <row r="14" spans="2:21" ht="17.25" customHeight="1" x14ac:dyDescent="0.25">
      <c r="B14" s="11" t="s">
        <v>47</v>
      </c>
      <c r="C14" s="12">
        <f>+C13-C11</f>
        <v>0</v>
      </c>
      <c r="D14" s="12">
        <f t="shared" ref="D14" si="5">+D13-D11</f>
        <v>1</v>
      </c>
      <c r="E14" s="12">
        <f t="shared" ref="E14" si="6">+E13-E11</f>
        <v>0</v>
      </c>
      <c r="F14" s="18">
        <f>E14+D14+C14</f>
        <v>1</v>
      </c>
      <c r="G14" s="12">
        <f t="shared" ref="G14:L14" si="7">G13-G11</f>
        <v>102</v>
      </c>
      <c r="H14" s="12">
        <f t="shared" si="7"/>
        <v>20</v>
      </c>
      <c r="I14" s="12">
        <f t="shared" si="7"/>
        <v>52</v>
      </c>
      <c r="J14" s="12">
        <f t="shared" si="7"/>
        <v>299</v>
      </c>
      <c r="K14" s="12">
        <f t="shared" si="7"/>
        <v>0</v>
      </c>
      <c r="L14" s="12">
        <f t="shared" si="7"/>
        <v>0</v>
      </c>
      <c r="M14" s="19">
        <f>L14+K14+J14+I14+H14+G14</f>
        <v>473</v>
      </c>
      <c r="N14" s="54">
        <f>M14+F14</f>
        <v>474</v>
      </c>
      <c r="P14" s="57">
        <v>8</v>
      </c>
      <c r="Q14" s="58">
        <v>201</v>
      </c>
      <c r="R14" s="7">
        <v>840</v>
      </c>
      <c r="S14" s="7">
        <v>11</v>
      </c>
    </row>
    <row r="15" spans="2:21" ht="17.25" customHeight="1" x14ac:dyDescent="0.25">
      <c r="B15" s="23">
        <v>5</v>
      </c>
      <c r="C15" s="46">
        <v>8203</v>
      </c>
      <c r="D15" s="46">
        <v>491</v>
      </c>
      <c r="E15" s="47">
        <v>46762</v>
      </c>
      <c r="F15" s="18"/>
      <c r="G15" s="48">
        <v>269501</v>
      </c>
      <c r="H15" s="48">
        <v>164418</v>
      </c>
      <c r="I15" s="48">
        <v>174631</v>
      </c>
      <c r="J15" s="48">
        <v>840699</v>
      </c>
      <c r="K15" s="47">
        <v>639094</v>
      </c>
      <c r="L15" s="48">
        <v>445642</v>
      </c>
      <c r="M15" s="19"/>
      <c r="N15" s="17"/>
      <c r="P15" s="57">
        <v>9</v>
      </c>
      <c r="Q15" s="58">
        <v>140</v>
      </c>
      <c r="R15" s="7">
        <v>442</v>
      </c>
      <c r="S15" s="7">
        <v>10</v>
      </c>
    </row>
    <row r="16" spans="2:21" ht="17.25" customHeight="1" x14ac:dyDescent="0.25">
      <c r="B16" s="11" t="s">
        <v>47</v>
      </c>
      <c r="C16" s="12">
        <f>+C15-C13</f>
        <v>0</v>
      </c>
      <c r="D16" s="12">
        <f t="shared" ref="D16" si="8">+D15-D13</f>
        <v>0</v>
      </c>
      <c r="E16" s="12">
        <f t="shared" ref="E16" si="9">+E15-E13</f>
        <v>0</v>
      </c>
      <c r="F16" s="18">
        <f>E16+D16+C16</f>
        <v>0</v>
      </c>
      <c r="G16" s="12">
        <f t="shared" ref="G16:L16" si="10">G15-G13</f>
        <v>109</v>
      </c>
      <c r="H16" s="12">
        <f t="shared" si="10"/>
        <v>17</v>
      </c>
      <c r="I16" s="12">
        <f t="shared" si="10"/>
        <v>52</v>
      </c>
      <c r="J16" s="12">
        <f t="shared" si="10"/>
        <v>323</v>
      </c>
      <c r="K16" s="12">
        <f t="shared" si="10"/>
        <v>0</v>
      </c>
      <c r="L16" s="12">
        <f t="shared" si="10"/>
        <v>0</v>
      </c>
      <c r="M16" s="19">
        <f>L16+K16+J16+I16+H16+G16</f>
        <v>501</v>
      </c>
      <c r="N16" s="54">
        <f>M16+F16</f>
        <v>501</v>
      </c>
      <c r="P16" s="57">
        <v>10</v>
      </c>
      <c r="Q16" s="58">
        <v>144</v>
      </c>
      <c r="R16" s="7">
        <v>206</v>
      </c>
      <c r="S16" s="7">
        <v>10.6</v>
      </c>
    </row>
    <row r="17" spans="2:19" ht="17.25" customHeight="1" x14ac:dyDescent="0.25">
      <c r="B17" s="23">
        <v>6</v>
      </c>
      <c r="C17" s="46">
        <v>8203</v>
      </c>
      <c r="D17" s="46">
        <v>491</v>
      </c>
      <c r="E17" s="47">
        <v>46762</v>
      </c>
      <c r="F17" s="18"/>
      <c r="G17" s="48">
        <v>269601</v>
      </c>
      <c r="H17" s="48">
        <v>164437</v>
      </c>
      <c r="I17" s="48">
        <v>174690</v>
      </c>
      <c r="J17" s="48">
        <v>841011</v>
      </c>
      <c r="K17" s="47">
        <v>639094</v>
      </c>
      <c r="L17" s="48">
        <v>445642</v>
      </c>
      <c r="M17" s="19"/>
      <c r="N17" s="17"/>
      <c r="P17" s="57">
        <v>11</v>
      </c>
      <c r="Q17" s="58">
        <v>151</v>
      </c>
      <c r="R17" s="7">
        <v>440</v>
      </c>
      <c r="S17" s="7">
        <v>13.2</v>
      </c>
    </row>
    <row r="18" spans="2:19" ht="17.25" customHeight="1" x14ac:dyDescent="0.25">
      <c r="B18" s="11" t="s">
        <v>47</v>
      </c>
      <c r="C18" s="12">
        <f>+C17-C15</f>
        <v>0</v>
      </c>
      <c r="D18" s="12">
        <f t="shared" ref="D18" si="11">+D17-D15</f>
        <v>0</v>
      </c>
      <c r="E18" s="12">
        <f t="shared" ref="E18" si="12">+E17-E15</f>
        <v>0</v>
      </c>
      <c r="F18" s="18">
        <f>E18+D18+C18</f>
        <v>0</v>
      </c>
      <c r="G18" s="12">
        <f t="shared" ref="G18:L26" si="13">G17-G15</f>
        <v>100</v>
      </c>
      <c r="H18" s="12">
        <f t="shared" si="13"/>
        <v>19</v>
      </c>
      <c r="I18" s="12">
        <f t="shared" si="13"/>
        <v>59</v>
      </c>
      <c r="J18" s="12">
        <f t="shared" si="13"/>
        <v>312</v>
      </c>
      <c r="K18" s="12">
        <f t="shared" si="13"/>
        <v>0</v>
      </c>
      <c r="L18" s="12">
        <f t="shared" si="13"/>
        <v>0</v>
      </c>
      <c r="M18" s="19">
        <f>L18+K18+J18+I18+H18+G18</f>
        <v>490</v>
      </c>
      <c r="N18" s="54">
        <f>M18+F18</f>
        <v>490</v>
      </c>
      <c r="P18" s="57">
        <v>12</v>
      </c>
      <c r="Q18" s="58">
        <v>163</v>
      </c>
      <c r="R18" s="7">
        <v>574</v>
      </c>
      <c r="S18" s="7">
        <v>13.6</v>
      </c>
    </row>
    <row r="19" spans="2:19" ht="17.25" customHeight="1" x14ac:dyDescent="0.25">
      <c r="B19" s="23">
        <v>7</v>
      </c>
      <c r="C19" s="46">
        <v>8203</v>
      </c>
      <c r="D19" s="46">
        <v>491</v>
      </c>
      <c r="E19" s="47">
        <v>46762</v>
      </c>
      <c r="F19" s="18"/>
      <c r="G19" s="48">
        <v>269707</v>
      </c>
      <c r="H19" s="48">
        <v>164452</v>
      </c>
      <c r="I19" s="48">
        <v>174746</v>
      </c>
      <c r="J19" s="48">
        <v>841308</v>
      </c>
      <c r="K19" s="47">
        <v>639094</v>
      </c>
      <c r="L19" s="48">
        <v>445642</v>
      </c>
      <c r="M19" s="19"/>
      <c r="N19" s="17"/>
      <c r="P19" s="57">
        <v>13</v>
      </c>
      <c r="Q19" s="58">
        <v>168</v>
      </c>
      <c r="R19" s="7">
        <v>628</v>
      </c>
      <c r="S19" s="7">
        <v>12.4</v>
      </c>
    </row>
    <row r="20" spans="2:19" ht="17.25" customHeight="1" x14ac:dyDescent="0.25">
      <c r="B20" s="11" t="s">
        <v>47</v>
      </c>
      <c r="C20" s="12">
        <f>+C19-C17</f>
        <v>0</v>
      </c>
      <c r="D20" s="12">
        <f t="shared" ref="D20" si="14">+D19-D17</f>
        <v>0</v>
      </c>
      <c r="E20" s="12">
        <f t="shared" ref="E20" si="15">+E19-E17</f>
        <v>0</v>
      </c>
      <c r="F20" s="18">
        <f>E20+D20+C20</f>
        <v>0</v>
      </c>
      <c r="G20" s="12">
        <f t="shared" si="13"/>
        <v>106</v>
      </c>
      <c r="H20" s="12">
        <f t="shared" si="13"/>
        <v>15</v>
      </c>
      <c r="I20" s="12">
        <f t="shared" si="13"/>
        <v>56</v>
      </c>
      <c r="J20" s="12">
        <f t="shared" si="13"/>
        <v>297</v>
      </c>
      <c r="K20" s="12">
        <f t="shared" si="13"/>
        <v>0</v>
      </c>
      <c r="L20" s="12">
        <f t="shared" si="13"/>
        <v>0</v>
      </c>
      <c r="M20" s="19">
        <f>L20+K20+J20+I20+H20+G20</f>
        <v>474</v>
      </c>
      <c r="N20" s="54">
        <f>M20+F20</f>
        <v>474</v>
      </c>
      <c r="P20" s="57">
        <v>14</v>
      </c>
      <c r="Q20" s="58">
        <v>125</v>
      </c>
      <c r="R20" s="7">
        <v>382</v>
      </c>
      <c r="S20" s="7">
        <v>10.4</v>
      </c>
    </row>
    <row r="21" spans="2:19" ht="17.25" customHeight="1" x14ac:dyDescent="0.25">
      <c r="B21" s="23">
        <v>8</v>
      </c>
      <c r="C21" s="46">
        <v>8203</v>
      </c>
      <c r="D21" s="46">
        <v>491</v>
      </c>
      <c r="E21" s="47">
        <v>46762</v>
      </c>
      <c r="F21" s="18"/>
      <c r="G21" s="66">
        <v>269807</v>
      </c>
      <c r="H21" s="66">
        <v>164469</v>
      </c>
      <c r="I21" s="67">
        <v>174776</v>
      </c>
      <c r="J21" s="66">
        <v>841608</v>
      </c>
      <c r="K21" s="47">
        <v>639094</v>
      </c>
      <c r="L21" s="48">
        <v>445642</v>
      </c>
      <c r="M21" s="19"/>
      <c r="N21" s="17"/>
      <c r="P21" s="57">
        <v>15</v>
      </c>
      <c r="Q21" s="58">
        <v>124</v>
      </c>
      <c r="R21" s="7">
        <v>346</v>
      </c>
      <c r="S21" s="7">
        <v>10.3</v>
      </c>
    </row>
    <row r="22" spans="2:19" ht="17.25" customHeight="1" x14ac:dyDescent="0.25">
      <c r="B22" s="11" t="s">
        <v>47</v>
      </c>
      <c r="C22" s="12">
        <f>+C21-C19</f>
        <v>0</v>
      </c>
      <c r="D22" s="12">
        <f t="shared" ref="D22" si="16">+D21-D19</f>
        <v>0</v>
      </c>
      <c r="E22" s="12">
        <f t="shared" ref="E22" si="17">+E21-E19</f>
        <v>0</v>
      </c>
      <c r="F22" s="18">
        <f>E22+D22+C22</f>
        <v>0</v>
      </c>
      <c r="G22" s="12">
        <f t="shared" si="13"/>
        <v>100</v>
      </c>
      <c r="H22" s="12">
        <f t="shared" si="13"/>
        <v>17</v>
      </c>
      <c r="I22" s="12">
        <f t="shared" si="13"/>
        <v>30</v>
      </c>
      <c r="J22" s="12">
        <f t="shared" si="13"/>
        <v>300</v>
      </c>
      <c r="K22" s="12">
        <f t="shared" si="13"/>
        <v>0</v>
      </c>
      <c r="L22" s="12">
        <f t="shared" si="13"/>
        <v>0</v>
      </c>
      <c r="M22" s="19">
        <f>L22+K22+J22+I22+H22+G22</f>
        <v>447</v>
      </c>
      <c r="N22" s="54">
        <f>M22+F22</f>
        <v>447</v>
      </c>
      <c r="P22" s="57">
        <v>16</v>
      </c>
      <c r="Q22" s="58">
        <v>133</v>
      </c>
      <c r="R22" s="7">
        <v>384</v>
      </c>
      <c r="S22" s="7">
        <v>11.9</v>
      </c>
    </row>
    <row r="23" spans="2:19" ht="17.25" customHeight="1" x14ac:dyDescent="0.25">
      <c r="B23" s="23">
        <v>9</v>
      </c>
      <c r="C23" s="46">
        <v>8203</v>
      </c>
      <c r="D23" s="46">
        <v>491</v>
      </c>
      <c r="E23" s="47">
        <v>46762</v>
      </c>
      <c r="F23" s="18"/>
      <c r="G23" s="48">
        <v>269925</v>
      </c>
      <c r="H23" s="48">
        <v>164484</v>
      </c>
      <c r="I23" s="48">
        <v>174830</v>
      </c>
      <c r="J23" s="48">
        <v>841908</v>
      </c>
      <c r="K23" s="47">
        <v>639094</v>
      </c>
      <c r="L23" s="48">
        <v>445642</v>
      </c>
      <c r="M23" s="19"/>
      <c r="N23" s="17"/>
      <c r="P23" s="57">
        <v>17</v>
      </c>
      <c r="Q23" s="58">
        <v>142</v>
      </c>
      <c r="R23" s="7">
        <v>396</v>
      </c>
      <c r="S23" s="7">
        <v>12.2</v>
      </c>
    </row>
    <row r="24" spans="2:19" ht="17.25" customHeight="1" x14ac:dyDescent="0.25">
      <c r="B24" s="11" t="s">
        <v>47</v>
      </c>
      <c r="C24" s="12">
        <f>+C23-C21</f>
        <v>0</v>
      </c>
      <c r="D24" s="12">
        <f t="shared" ref="D24" si="18">+D23-D21</f>
        <v>0</v>
      </c>
      <c r="E24" s="12">
        <f t="shared" ref="E24" si="19">+E23-E21</f>
        <v>0</v>
      </c>
      <c r="F24" s="18">
        <f>E24+D24+C24</f>
        <v>0</v>
      </c>
      <c r="G24" s="12">
        <f t="shared" si="13"/>
        <v>118</v>
      </c>
      <c r="H24" s="12">
        <f t="shared" si="13"/>
        <v>15</v>
      </c>
      <c r="I24" s="12">
        <f t="shared" si="13"/>
        <v>54</v>
      </c>
      <c r="J24" s="12">
        <f t="shared" si="13"/>
        <v>300</v>
      </c>
      <c r="K24" s="12">
        <f t="shared" si="13"/>
        <v>0</v>
      </c>
      <c r="L24" s="12">
        <f t="shared" si="13"/>
        <v>0</v>
      </c>
      <c r="M24" s="19">
        <f>L24+K24+J24+I24+H24+G24</f>
        <v>487</v>
      </c>
      <c r="N24" s="54">
        <f>M24+F24</f>
        <v>487</v>
      </c>
      <c r="P24" s="57">
        <v>18</v>
      </c>
      <c r="Q24" s="58">
        <v>115</v>
      </c>
      <c r="R24" s="7">
        <v>332</v>
      </c>
      <c r="S24" s="7">
        <v>15.4</v>
      </c>
    </row>
    <row r="25" spans="2:19" ht="17.25" customHeight="1" x14ac:dyDescent="0.25">
      <c r="B25" s="23">
        <v>10</v>
      </c>
      <c r="C25" s="46">
        <v>8203</v>
      </c>
      <c r="D25" s="46">
        <v>491</v>
      </c>
      <c r="E25" s="47">
        <v>46762</v>
      </c>
      <c r="F25" s="18"/>
      <c r="G25" s="66">
        <v>270033</v>
      </c>
      <c r="H25" s="66">
        <v>164496</v>
      </c>
      <c r="I25" s="67">
        <v>174879</v>
      </c>
      <c r="J25" s="66">
        <v>842158</v>
      </c>
      <c r="K25" s="47">
        <v>639094</v>
      </c>
      <c r="L25" s="48">
        <v>445642</v>
      </c>
      <c r="M25" s="19"/>
      <c r="N25" s="17"/>
      <c r="P25" s="57">
        <v>19</v>
      </c>
      <c r="Q25" s="58">
        <v>142</v>
      </c>
      <c r="R25" s="7">
        <v>480</v>
      </c>
      <c r="S25" s="7">
        <v>16.5</v>
      </c>
    </row>
    <row r="26" spans="2:19" ht="17.25" customHeight="1" x14ac:dyDescent="0.25">
      <c r="B26" s="11" t="s">
        <v>47</v>
      </c>
      <c r="C26" s="12">
        <f>+C25-C23</f>
        <v>0</v>
      </c>
      <c r="D26" s="12">
        <f t="shared" ref="D26" si="20">+D25-D23</f>
        <v>0</v>
      </c>
      <c r="E26" s="12">
        <f t="shared" ref="E26" si="21">+E25-E23</f>
        <v>0</v>
      </c>
      <c r="F26" s="18">
        <f>E26+D26+C26</f>
        <v>0</v>
      </c>
      <c r="G26" s="12">
        <f t="shared" si="13"/>
        <v>108</v>
      </c>
      <c r="H26" s="12">
        <f t="shared" si="13"/>
        <v>12</v>
      </c>
      <c r="I26" s="12">
        <f t="shared" si="13"/>
        <v>49</v>
      </c>
      <c r="J26" s="12">
        <f t="shared" si="13"/>
        <v>250</v>
      </c>
      <c r="K26" s="12">
        <f t="shared" si="13"/>
        <v>0</v>
      </c>
      <c r="L26" s="12">
        <f t="shared" si="13"/>
        <v>0</v>
      </c>
      <c r="M26" s="19">
        <f>L26+K26+J26+I26+H26+G26</f>
        <v>419</v>
      </c>
      <c r="N26" s="54">
        <f>M26+F26</f>
        <v>419</v>
      </c>
      <c r="P26" s="57">
        <v>20</v>
      </c>
      <c r="Q26" s="58">
        <v>147</v>
      </c>
      <c r="R26" s="7">
        <v>544</v>
      </c>
      <c r="S26" s="7">
        <v>18</v>
      </c>
    </row>
    <row r="27" spans="2:19" ht="17.25" customHeight="1" x14ac:dyDescent="0.25">
      <c r="B27" s="23">
        <v>11</v>
      </c>
      <c r="C27" s="46">
        <v>8203</v>
      </c>
      <c r="D27" s="46">
        <v>491</v>
      </c>
      <c r="E27" s="47">
        <v>46762</v>
      </c>
      <c r="F27" s="18"/>
      <c r="G27" s="48">
        <v>270140</v>
      </c>
      <c r="H27" s="48">
        <v>164508</v>
      </c>
      <c r="I27" s="48">
        <v>174928</v>
      </c>
      <c r="J27" s="48">
        <v>842432</v>
      </c>
      <c r="K27" s="47">
        <v>639094</v>
      </c>
      <c r="L27" s="48">
        <v>445642</v>
      </c>
      <c r="M27" s="19"/>
      <c r="N27" s="17"/>
      <c r="P27" s="57">
        <v>21</v>
      </c>
      <c r="Q27" s="58">
        <v>150</v>
      </c>
      <c r="R27" s="7">
        <v>468</v>
      </c>
      <c r="S27" s="7">
        <v>18.399999999999999</v>
      </c>
    </row>
    <row r="28" spans="2:19" ht="17.25" customHeight="1" x14ac:dyDescent="0.25">
      <c r="B28" s="11" t="s">
        <v>47</v>
      </c>
      <c r="C28" s="12">
        <f>+C27-C25</f>
        <v>0</v>
      </c>
      <c r="D28" s="12">
        <f t="shared" ref="D28" si="22">+D27-D25</f>
        <v>0</v>
      </c>
      <c r="E28" s="12">
        <f t="shared" ref="E28" si="23">+E27-E25</f>
        <v>0</v>
      </c>
      <c r="F28" s="18">
        <f>E28+D28+C28</f>
        <v>0</v>
      </c>
      <c r="G28" s="12">
        <f t="shared" ref="G28:L68" si="24">G27-G25</f>
        <v>107</v>
      </c>
      <c r="H28" s="12">
        <f t="shared" si="24"/>
        <v>12</v>
      </c>
      <c r="I28" s="12">
        <f t="shared" si="24"/>
        <v>49</v>
      </c>
      <c r="J28" s="12">
        <f t="shared" si="24"/>
        <v>274</v>
      </c>
      <c r="K28" s="12">
        <f t="shared" si="24"/>
        <v>0</v>
      </c>
      <c r="L28" s="12">
        <f t="shared" si="24"/>
        <v>0</v>
      </c>
      <c r="M28" s="19">
        <f>L28+K28+J28+I28+H28+G28</f>
        <v>442</v>
      </c>
      <c r="N28" s="54">
        <f>M28+F28</f>
        <v>442</v>
      </c>
      <c r="P28" s="57">
        <v>22</v>
      </c>
      <c r="Q28" s="58">
        <v>115</v>
      </c>
      <c r="R28" s="7">
        <v>288</v>
      </c>
      <c r="S28" s="7">
        <v>15.6</v>
      </c>
    </row>
    <row r="29" spans="2:19" ht="17.25" customHeight="1" x14ac:dyDescent="0.25">
      <c r="B29" s="23">
        <v>12</v>
      </c>
      <c r="C29" s="46">
        <v>8203</v>
      </c>
      <c r="D29" s="46">
        <v>491</v>
      </c>
      <c r="E29" s="47">
        <v>46762</v>
      </c>
      <c r="F29" s="18"/>
      <c r="G29" s="48">
        <v>270248</v>
      </c>
      <c r="H29" s="48">
        <v>164521</v>
      </c>
      <c r="I29" s="48">
        <v>174979</v>
      </c>
      <c r="J29" s="48">
        <v>842756</v>
      </c>
      <c r="K29" s="47">
        <v>639094</v>
      </c>
      <c r="L29" s="48">
        <v>445642</v>
      </c>
      <c r="M29" s="19"/>
      <c r="N29" s="17"/>
      <c r="P29" s="57">
        <v>23</v>
      </c>
      <c r="Q29" s="58">
        <v>151</v>
      </c>
      <c r="R29" s="7">
        <v>394</v>
      </c>
      <c r="S29" s="7">
        <v>12.2</v>
      </c>
    </row>
    <row r="30" spans="2:19" ht="17.25" customHeight="1" x14ac:dyDescent="0.25">
      <c r="B30" s="11" t="s">
        <v>47</v>
      </c>
      <c r="C30" s="12">
        <f>+C29-C27</f>
        <v>0</v>
      </c>
      <c r="D30" s="12">
        <f t="shared" ref="D30" si="25">+D29-D27</f>
        <v>0</v>
      </c>
      <c r="E30" s="12">
        <f t="shared" ref="E30" si="26">+E29-E27</f>
        <v>0</v>
      </c>
      <c r="F30" s="18">
        <f>E30+D30+C30</f>
        <v>0</v>
      </c>
      <c r="G30" s="12">
        <f t="shared" si="24"/>
        <v>108</v>
      </c>
      <c r="H30" s="12">
        <f t="shared" si="24"/>
        <v>13</v>
      </c>
      <c r="I30" s="12">
        <f t="shared" si="24"/>
        <v>51</v>
      </c>
      <c r="J30" s="12">
        <f t="shared" si="24"/>
        <v>324</v>
      </c>
      <c r="K30" s="12">
        <f t="shared" si="24"/>
        <v>0</v>
      </c>
      <c r="L30" s="12">
        <f t="shared" si="24"/>
        <v>0</v>
      </c>
      <c r="M30" s="19">
        <f>L30+K30+J30+I30+H30+G30</f>
        <v>496</v>
      </c>
      <c r="N30" s="54">
        <f>M30+F30</f>
        <v>496</v>
      </c>
      <c r="P30" s="57">
        <v>24</v>
      </c>
      <c r="Q30" s="58">
        <v>109</v>
      </c>
      <c r="R30" s="7">
        <v>276</v>
      </c>
      <c r="S30" s="7">
        <v>11.9</v>
      </c>
    </row>
    <row r="31" spans="2:19" ht="17.25" customHeight="1" x14ac:dyDescent="0.25">
      <c r="B31" s="23">
        <v>13</v>
      </c>
      <c r="C31" s="46">
        <v>8203</v>
      </c>
      <c r="D31" s="46">
        <v>491</v>
      </c>
      <c r="E31" s="47">
        <v>46762</v>
      </c>
      <c r="F31" s="18"/>
      <c r="G31" s="48">
        <v>270354</v>
      </c>
      <c r="H31" s="48">
        <v>164535</v>
      </c>
      <c r="I31" s="48">
        <v>175036</v>
      </c>
      <c r="J31" s="48">
        <v>843061</v>
      </c>
      <c r="K31" s="47">
        <v>639094</v>
      </c>
      <c r="L31" s="48">
        <v>445642</v>
      </c>
      <c r="M31" s="19"/>
      <c r="N31" s="17"/>
      <c r="P31" s="57">
        <v>25</v>
      </c>
      <c r="Q31" s="58">
        <v>111</v>
      </c>
      <c r="R31" s="7">
        <v>328</v>
      </c>
      <c r="S31" s="7">
        <v>12.6</v>
      </c>
    </row>
    <row r="32" spans="2:19" ht="17.25" customHeight="1" x14ac:dyDescent="0.25">
      <c r="B32" s="11" t="s">
        <v>47</v>
      </c>
      <c r="C32" s="12">
        <f>+C31-C29</f>
        <v>0</v>
      </c>
      <c r="D32" s="12">
        <f t="shared" ref="D32" si="27">+D31-D29</f>
        <v>0</v>
      </c>
      <c r="E32" s="12">
        <f t="shared" ref="E32" si="28">+E31-E29</f>
        <v>0</v>
      </c>
      <c r="F32" s="18">
        <f>E32+D32+C32</f>
        <v>0</v>
      </c>
      <c r="G32" s="12">
        <f t="shared" si="24"/>
        <v>106</v>
      </c>
      <c r="H32" s="12">
        <f t="shared" si="24"/>
        <v>14</v>
      </c>
      <c r="I32" s="12">
        <f t="shared" si="24"/>
        <v>57</v>
      </c>
      <c r="J32" s="12">
        <f t="shared" si="24"/>
        <v>305</v>
      </c>
      <c r="K32" s="12">
        <f t="shared" si="24"/>
        <v>0</v>
      </c>
      <c r="L32" s="12">
        <f t="shared" si="24"/>
        <v>0</v>
      </c>
      <c r="M32" s="19">
        <f>L32+K32+J32+I32+H32+G32</f>
        <v>482</v>
      </c>
      <c r="N32" s="54">
        <f>M32+F32</f>
        <v>482</v>
      </c>
      <c r="P32" s="57">
        <v>26</v>
      </c>
      <c r="Q32" s="58">
        <v>164</v>
      </c>
      <c r="R32" s="7">
        <v>580</v>
      </c>
      <c r="S32" s="7">
        <v>14.3</v>
      </c>
    </row>
    <row r="33" spans="2:19" ht="17.25" customHeight="1" x14ac:dyDescent="0.25">
      <c r="B33" s="23">
        <v>14</v>
      </c>
      <c r="C33" s="46">
        <v>8203</v>
      </c>
      <c r="D33" s="46">
        <v>491</v>
      </c>
      <c r="E33" s="47">
        <v>46762</v>
      </c>
      <c r="F33" s="18"/>
      <c r="G33" s="48">
        <v>270458</v>
      </c>
      <c r="H33" s="48">
        <v>164547</v>
      </c>
      <c r="I33" s="48">
        <v>175086</v>
      </c>
      <c r="J33" s="48">
        <v>843338</v>
      </c>
      <c r="K33" s="47">
        <v>639094</v>
      </c>
      <c r="L33" s="48">
        <v>445642</v>
      </c>
      <c r="M33" s="19"/>
      <c r="N33" s="17"/>
      <c r="P33" s="57">
        <v>27</v>
      </c>
      <c r="Q33" s="58">
        <v>180</v>
      </c>
      <c r="R33" s="7">
        <v>680</v>
      </c>
      <c r="S33" s="7">
        <v>14.4</v>
      </c>
    </row>
    <row r="34" spans="2:19" ht="17.25" customHeight="1" x14ac:dyDescent="0.25">
      <c r="B34" s="11" t="s">
        <v>47</v>
      </c>
      <c r="C34" s="12">
        <f>+C33-C31</f>
        <v>0</v>
      </c>
      <c r="D34" s="12">
        <f t="shared" ref="D34" si="29">+D33-D31</f>
        <v>0</v>
      </c>
      <c r="E34" s="12">
        <f t="shared" ref="E34" si="30">+E33-E31</f>
        <v>0</v>
      </c>
      <c r="F34" s="18">
        <f>E34+D34+C34</f>
        <v>0</v>
      </c>
      <c r="G34" s="12">
        <f t="shared" si="24"/>
        <v>104</v>
      </c>
      <c r="H34" s="12">
        <f t="shared" si="24"/>
        <v>12</v>
      </c>
      <c r="I34" s="12">
        <f t="shared" si="24"/>
        <v>50</v>
      </c>
      <c r="J34" s="12">
        <f t="shared" si="24"/>
        <v>277</v>
      </c>
      <c r="K34" s="12">
        <f t="shared" si="24"/>
        <v>0</v>
      </c>
      <c r="L34" s="12">
        <f t="shared" si="24"/>
        <v>0</v>
      </c>
      <c r="M34" s="19">
        <f>L34+K34+J34+I34+H34+G34</f>
        <v>443</v>
      </c>
      <c r="N34" s="54">
        <f>M34+F34</f>
        <v>443</v>
      </c>
      <c r="P34" s="57">
        <v>28</v>
      </c>
      <c r="Q34" s="58">
        <v>107</v>
      </c>
      <c r="R34" s="7">
        <v>360</v>
      </c>
      <c r="S34" s="7">
        <v>14.5</v>
      </c>
    </row>
    <row r="35" spans="2:19" ht="17.25" customHeight="1" x14ac:dyDescent="0.25">
      <c r="B35" s="23">
        <v>15</v>
      </c>
      <c r="C35" s="49">
        <v>8204</v>
      </c>
      <c r="D35" s="49">
        <v>491</v>
      </c>
      <c r="E35" s="47">
        <v>46762</v>
      </c>
      <c r="F35" s="18"/>
      <c r="G35" s="48">
        <v>270539</v>
      </c>
      <c r="H35" s="48">
        <v>164557</v>
      </c>
      <c r="I35" s="48">
        <v>175118</v>
      </c>
      <c r="J35" s="48">
        <v>843597</v>
      </c>
      <c r="K35" s="47">
        <v>639094</v>
      </c>
      <c r="L35" s="48">
        <v>445642</v>
      </c>
      <c r="M35" s="19"/>
      <c r="N35" s="17"/>
      <c r="P35" s="57">
        <v>29</v>
      </c>
      <c r="Q35" s="58">
        <v>93</v>
      </c>
      <c r="R35" s="7">
        <v>268</v>
      </c>
      <c r="S35" s="7">
        <v>14.7</v>
      </c>
    </row>
    <row r="36" spans="2:19" ht="17.25" customHeight="1" x14ac:dyDescent="0.25">
      <c r="B36" s="11" t="s">
        <v>47</v>
      </c>
      <c r="C36" s="12">
        <f>+C35-C33</f>
        <v>1</v>
      </c>
      <c r="D36" s="12">
        <f t="shared" ref="D36" si="31">+D35-D33</f>
        <v>0</v>
      </c>
      <c r="E36" s="12">
        <f t="shared" ref="E36" si="32">+E35-E33</f>
        <v>0</v>
      </c>
      <c r="F36" s="18">
        <f>E36+D36+C36</f>
        <v>1</v>
      </c>
      <c r="G36" s="12">
        <f t="shared" si="24"/>
        <v>81</v>
      </c>
      <c r="H36" s="12">
        <f t="shared" si="24"/>
        <v>10</v>
      </c>
      <c r="I36" s="12">
        <f t="shared" si="24"/>
        <v>32</v>
      </c>
      <c r="J36" s="12">
        <f t="shared" si="24"/>
        <v>259</v>
      </c>
      <c r="K36" s="12">
        <f t="shared" si="24"/>
        <v>0</v>
      </c>
      <c r="L36" s="12">
        <f t="shared" si="24"/>
        <v>0</v>
      </c>
      <c r="M36" s="19">
        <f>L36+K36+J36+I36+H36+G36</f>
        <v>382</v>
      </c>
      <c r="N36" s="54">
        <f>M36+F36</f>
        <v>383</v>
      </c>
      <c r="P36" s="57">
        <v>30</v>
      </c>
      <c r="Q36" s="58">
        <v>105</v>
      </c>
      <c r="R36" s="7">
        <v>298</v>
      </c>
      <c r="S36" s="7">
        <v>17.5</v>
      </c>
    </row>
    <row r="37" spans="2:19" ht="17.25" customHeight="1" x14ac:dyDescent="0.25">
      <c r="B37" s="23">
        <v>16</v>
      </c>
      <c r="C37" s="49">
        <v>8204</v>
      </c>
      <c r="D37" s="49">
        <v>491</v>
      </c>
      <c r="E37" s="47">
        <v>46762</v>
      </c>
      <c r="F37" s="18"/>
      <c r="G37" s="48">
        <v>270620</v>
      </c>
      <c r="H37" s="48">
        <v>164569</v>
      </c>
      <c r="I37" s="48">
        <v>175165</v>
      </c>
      <c r="J37" s="48">
        <v>843847</v>
      </c>
      <c r="K37" s="47">
        <v>639094</v>
      </c>
      <c r="L37" s="48">
        <v>445642</v>
      </c>
      <c r="M37" s="19"/>
      <c r="N37" s="17"/>
      <c r="P37" s="57">
        <v>31</v>
      </c>
      <c r="Q37" s="58">
        <v>137</v>
      </c>
      <c r="R37" s="7">
        <v>368</v>
      </c>
      <c r="S37" s="7">
        <v>14.5</v>
      </c>
    </row>
    <row r="38" spans="2:19" ht="17.25" customHeight="1" x14ac:dyDescent="0.25">
      <c r="B38" s="11" t="s">
        <v>47</v>
      </c>
      <c r="C38" s="12">
        <f>+C37-C35</f>
        <v>0</v>
      </c>
      <c r="D38" s="12">
        <f t="shared" ref="D38" si="33">+D37-D35</f>
        <v>0</v>
      </c>
      <c r="E38" s="12">
        <f t="shared" ref="E38" si="34">+E37-E35</f>
        <v>0</v>
      </c>
      <c r="F38" s="18">
        <f>E38+D38+C38</f>
        <v>0</v>
      </c>
      <c r="G38" s="12">
        <f t="shared" si="24"/>
        <v>81</v>
      </c>
      <c r="H38" s="12">
        <f t="shared" si="24"/>
        <v>12</v>
      </c>
      <c r="I38" s="12">
        <f t="shared" si="24"/>
        <v>47</v>
      </c>
      <c r="J38" s="12">
        <f t="shared" si="24"/>
        <v>250</v>
      </c>
      <c r="K38" s="12">
        <f t="shared" si="24"/>
        <v>0</v>
      </c>
      <c r="L38" s="12">
        <f t="shared" si="24"/>
        <v>0</v>
      </c>
      <c r="M38" s="19">
        <f>L38+K38+J38+I38+H38+G38</f>
        <v>390</v>
      </c>
      <c r="N38" s="54">
        <f>M38+F38</f>
        <v>390</v>
      </c>
      <c r="P38" s="36"/>
      <c r="Q38" s="59">
        <f>SUM(Q7:Q37)</f>
        <v>4366</v>
      </c>
      <c r="R38" s="59">
        <f>SUM(R7:R37)</f>
        <v>14858</v>
      </c>
      <c r="S38" s="59">
        <f>SUM(S7:S37)</f>
        <v>405.7</v>
      </c>
    </row>
    <row r="39" spans="2:19" ht="17.25" customHeight="1" x14ac:dyDescent="0.25">
      <c r="B39" s="23">
        <v>17</v>
      </c>
      <c r="C39" s="69">
        <v>8204</v>
      </c>
      <c r="D39" s="70">
        <v>491</v>
      </c>
      <c r="E39" s="72">
        <v>46762</v>
      </c>
      <c r="F39" s="73" t="s">
        <v>48</v>
      </c>
      <c r="G39" s="70">
        <v>270694</v>
      </c>
      <c r="H39" s="70">
        <v>164580</v>
      </c>
      <c r="I39" s="70">
        <v>175214</v>
      </c>
      <c r="J39" s="70">
        <v>844096</v>
      </c>
      <c r="K39" s="72">
        <v>639094</v>
      </c>
      <c r="L39" s="48">
        <v>445642</v>
      </c>
      <c r="M39" s="19"/>
      <c r="N39" s="17"/>
    </row>
    <row r="40" spans="2:19" ht="17.25" customHeight="1" x14ac:dyDescent="0.25">
      <c r="B40" s="11" t="s">
        <v>47</v>
      </c>
      <c r="C40" s="12">
        <f>+C39-C37</f>
        <v>0</v>
      </c>
      <c r="D40" s="12">
        <f t="shared" ref="D40" si="35">+D39-D37</f>
        <v>0</v>
      </c>
      <c r="E40" s="12">
        <f t="shared" ref="E40" si="36">+E39-E37</f>
        <v>0</v>
      </c>
      <c r="F40" s="18">
        <f>E40+D40+C40</f>
        <v>0</v>
      </c>
      <c r="G40" s="12">
        <f t="shared" si="24"/>
        <v>74</v>
      </c>
      <c r="H40" s="12">
        <f t="shared" si="24"/>
        <v>11</v>
      </c>
      <c r="I40" s="12">
        <f t="shared" si="24"/>
        <v>49</v>
      </c>
      <c r="J40" s="12">
        <f t="shared" si="24"/>
        <v>249</v>
      </c>
      <c r="K40" s="12">
        <f t="shared" si="24"/>
        <v>0</v>
      </c>
      <c r="L40" s="12">
        <f t="shared" si="24"/>
        <v>0</v>
      </c>
      <c r="M40" s="19">
        <f>L40+K40+J40+I40+H40+G40</f>
        <v>383</v>
      </c>
      <c r="N40" s="54">
        <f>M40+F40</f>
        <v>383</v>
      </c>
      <c r="P40" s="36"/>
      <c r="Q40" s="59"/>
      <c r="R40" s="56"/>
      <c r="S40" s="56"/>
    </row>
    <row r="41" spans="2:19" ht="17.25" customHeight="1" x14ac:dyDescent="0.25">
      <c r="B41" s="23">
        <v>18</v>
      </c>
      <c r="C41" s="69">
        <v>8204</v>
      </c>
      <c r="D41" s="70">
        <v>492</v>
      </c>
      <c r="E41" s="72">
        <v>46762</v>
      </c>
      <c r="F41" s="18"/>
      <c r="G41" s="7">
        <v>270777</v>
      </c>
      <c r="H41" s="7">
        <v>164593</v>
      </c>
      <c r="I41" s="51">
        <v>175263</v>
      </c>
      <c r="J41" s="51">
        <v>844373</v>
      </c>
      <c r="K41" s="72">
        <v>639094</v>
      </c>
      <c r="L41" s="48">
        <v>445642</v>
      </c>
      <c r="M41" s="19"/>
      <c r="N41" s="17"/>
    </row>
    <row r="42" spans="2:19" ht="17.25" customHeight="1" x14ac:dyDescent="0.25">
      <c r="B42" s="11" t="s">
        <v>47</v>
      </c>
      <c r="C42" s="12">
        <f>+C41-C39</f>
        <v>0</v>
      </c>
      <c r="D42" s="12">
        <f t="shared" ref="D42" si="37">+D41-D39</f>
        <v>1</v>
      </c>
      <c r="E42" s="12">
        <f t="shared" ref="E42" si="38">+E41-E39</f>
        <v>0</v>
      </c>
      <c r="F42" s="18">
        <f>E42+D42+C42</f>
        <v>1</v>
      </c>
      <c r="G42" s="12">
        <f t="shared" si="24"/>
        <v>83</v>
      </c>
      <c r="H42" s="12">
        <f t="shared" si="24"/>
        <v>13</v>
      </c>
      <c r="I42" s="12">
        <f t="shared" si="24"/>
        <v>49</v>
      </c>
      <c r="J42" s="12">
        <f t="shared" si="24"/>
        <v>277</v>
      </c>
      <c r="K42" s="12">
        <f t="shared" si="24"/>
        <v>0</v>
      </c>
      <c r="L42" s="12">
        <f t="shared" si="24"/>
        <v>0</v>
      </c>
      <c r="M42" s="19">
        <f>L42+K42+J42+I42+H42+G42</f>
        <v>422</v>
      </c>
      <c r="N42" s="54">
        <f>M42+F42</f>
        <v>423</v>
      </c>
      <c r="P42" s="36"/>
      <c r="Q42" s="59"/>
      <c r="R42" s="56"/>
      <c r="S42" s="56"/>
    </row>
    <row r="43" spans="2:19" ht="17.25" customHeight="1" x14ac:dyDescent="0.25">
      <c r="B43" s="23">
        <v>19</v>
      </c>
      <c r="C43" s="69">
        <v>8204</v>
      </c>
      <c r="D43" s="49">
        <v>492</v>
      </c>
      <c r="E43" s="72">
        <v>46762</v>
      </c>
      <c r="F43" s="18"/>
      <c r="G43" s="12">
        <v>270854</v>
      </c>
      <c r="H43" s="12">
        <v>164609</v>
      </c>
      <c r="I43" s="12">
        <v>175320</v>
      </c>
      <c r="J43" s="12">
        <v>844659</v>
      </c>
      <c r="K43" s="72">
        <v>639094</v>
      </c>
      <c r="L43" s="48">
        <v>445642</v>
      </c>
      <c r="M43" s="19"/>
      <c r="N43" s="17"/>
    </row>
    <row r="44" spans="2:19" ht="17.25" customHeight="1" x14ac:dyDescent="0.25">
      <c r="B44" s="11" t="s">
        <v>47</v>
      </c>
      <c r="C44" s="12">
        <f>+C43-C41</f>
        <v>0</v>
      </c>
      <c r="D44" s="12">
        <f t="shared" ref="D44" si="39">+D43-D41</f>
        <v>0</v>
      </c>
      <c r="E44" s="12">
        <f t="shared" ref="E44" si="40">+E43-E41</f>
        <v>0</v>
      </c>
      <c r="F44" s="18">
        <f>E44+D44+C44</f>
        <v>0</v>
      </c>
      <c r="G44" s="12">
        <f t="shared" si="24"/>
        <v>77</v>
      </c>
      <c r="H44" s="12">
        <f t="shared" si="24"/>
        <v>16</v>
      </c>
      <c r="I44" s="12">
        <f t="shared" si="24"/>
        <v>57</v>
      </c>
      <c r="J44" s="12">
        <f t="shared" si="24"/>
        <v>286</v>
      </c>
      <c r="K44" s="12">
        <f t="shared" si="24"/>
        <v>0</v>
      </c>
      <c r="L44" s="12">
        <f t="shared" si="24"/>
        <v>0</v>
      </c>
      <c r="M44" s="19">
        <f>L44+K44+J44+I44+H44+G44</f>
        <v>436</v>
      </c>
      <c r="N44" s="54">
        <f>M44+F44</f>
        <v>436</v>
      </c>
      <c r="P44" s="36"/>
      <c r="Q44" s="59"/>
      <c r="R44" s="56"/>
      <c r="S44" s="56"/>
    </row>
    <row r="45" spans="2:19" ht="17.25" customHeight="1" x14ac:dyDescent="0.25">
      <c r="B45" s="23">
        <v>20</v>
      </c>
      <c r="C45" s="69">
        <v>8204</v>
      </c>
      <c r="D45" s="49">
        <v>492</v>
      </c>
      <c r="E45" s="72">
        <v>46762</v>
      </c>
      <c r="F45" s="18"/>
      <c r="G45" s="7">
        <v>271032</v>
      </c>
      <c r="H45" s="7">
        <v>164624</v>
      </c>
      <c r="I45" s="20">
        <v>175377</v>
      </c>
      <c r="J45" s="51">
        <v>844921</v>
      </c>
      <c r="K45" s="72">
        <v>639094</v>
      </c>
      <c r="L45" s="48">
        <v>445642</v>
      </c>
      <c r="M45" s="19"/>
      <c r="N45" s="17"/>
    </row>
    <row r="46" spans="2:19" ht="17.25" customHeight="1" x14ac:dyDescent="0.25">
      <c r="B46" s="11" t="s">
        <v>47</v>
      </c>
      <c r="C46" s="12">
        <f>+C45-C43</f>
        <v>0</v>
      </c>
      <c r="D46" s="12">
        <f t="shared" ref="D46" si="41">+D45-D43</f>
        <v>0</v>
      </c>
      <c r="E46" s="12">
        <f t="shared" ref="E46" si="42">+E45-E43</f>
        <v>0</v>
      </c>
      <c r="F46" s="18">
        <f>E46+D46+C46</f>
        <v>0</v>
      </c>
      <c r="G46" s="12">
        <f t="shared" si="24"/>
        <v>178</v>
      </c>
      <c r="H46" s="12">
        <f t="shared" si="24"/>
        <v>15</v>
      </c>
      <c r="I46" s="12">
        <f t="shared" si="24"/>
        <v>57</v>
      </c>
      <c r="J46" s="12">
        <f t="shared" si="24"/>
        <v>262</v>
      </c>
      <c r="K46" s="12">
        <f t="shared" si="24"/>
        <v>0</v>
      </c>
      <c r="L46" s="12">
        <f t="shared" si="24"/>
        <v>0</v>
      </c>
      <c r="M46" s="19">
        <f>L46+K46+J46+I46+H46+G46</f>
        <v>512</v>
      </c>
      <c r="N46" s="54">
        <f>M46+F46</f>
        <v>512</v>
      </c>
      <c r="P46" s="36"/>
      <c r="Q46" s="59"/>
      <c r="R46" s="56"/>
      <c r="S46" s="56"/>
    </row>
    <row r="47" spans="2:19" ht="17.25" customHeight="1" x14ac:dyDescent="0.25">
      <c r="B47" s="23">
        <v>21</v>
      </c>
      <c r="C47" s="69">
        <v>8204</v>
      </c>
      <c r="D47" s="49">
        <v>492</v>
      </c>
      <c r="E47" s="72">
        <v>46762</v>
      </c>
      <c r="F47" s="18"/>
      <c r="G47" s="20">
        <v>271166</v>
      </c>
      <c r="H47" s="7">
        <v>164639</v>
      </c>
      <c r="I47" s="20">
        <v>175428</v>
      </c>
      <c r="J47" s="51">
        <v>845207</v>
      </c>
      <c r="K47" s="72">
        <v>639094</v>
      </c>
      <c r="L47" s="48">
        <v>445642</v>
      </c>
      <c r="M47" s="19"/>
      <c r="N47" s="17"/>
    </row>
    <row r="48" spans="2:19" ht="17.25" customHeight="1" x14ac:dyDescent="0.25">
      <c r="B48" s="11" t="s">
        <v>47</v>
      </c>
      <c r="C48" s="12">
        <f>+C47-C45</f>
        <v>0</v>
      </c>
      <c r="D48" s="12">
        <f t="shared" ref="D48" si="43">+D47-D45</f>
        <v>0</v>
      </c>
      <c r="E48" s="12">
        <f t="shared" ref="E48" si="44">+E47-E45</f>
        <v>0</v>
      </c>
      <c r="F48" s="18">
        <f>E48+D48+C48</f>
        <v>0</v>
      </c>
      <c r="G48" s="12">
        <f t="shared" si="24"/>
        <v>134</v>
      </c>
      <c r="H48" s="12">
        <f t="shared" si="24"/>
        <v>15</v>
      </c>
      <c r="I48" s="12">
        <f t="shared" si="24"/>
        <v>51</v>
      </c>
      <c r="J48" s="12">
        <f t="shared" si="24"/>
        <v>286</v>
      </c>
      <c r="K48" s="12">
        <f t="shared" si="24"/>
        <v>0</v>
      </c>
      <c r="L48" s="12">
        <f t="shared" si="24"/>
        <v>0</v>
      </c>
      <c r="M48" s="19">
        <f>L48+K48+J48+I48+H48+G48</f>
        <v>486</v>
      </c>
      <c r="N48" s="54">
        <f>M48+F48</f>
        <v>486</v>
      </c>
    </row>
    <row r="49" spans="2:14" ht="17.25" customHeight="1" x14ac:dyDescent="0.25">
      <c r="B49" s="23">
        <v>22</v>
      </c>
      <c r="C49" s="69">
        <v>8204</v>
      </c>
      <c r="D49" s="49">
        <v>492</v>
      </c>
      <c r="E49" s="72">
        <v>46762</v>
      </c>
      <c r="F49" s="18"/>
      <c r="G49" s="20">
        <v>271259</v>
      </c>
      <c r="H49" s="20">
        <v>164652</v>
      </c>
      <c r="I49" s="20">
        <v>175461</v>
      </c>
      <c r="J49" s="51">
        <v>845479</v>
      </c>
      <c r="K49" s="72">
        <v>639094</v>
      </c>
      <c r="L49" s="48">
        <v>445642</v>
      </c>
      <c r="M49" s="19"/>
      <c r="N49" s="17"/>
    </row>
    <row r="50" spans="2:14" ht="17.25" customHeight="1" x14ac:dyDescent="0.25">
      <c r="B50" s="11" t="s">
        <v>47</v>
      </c>
      <c r="C50" s="12">
        <f>+C49-C47</f>
        <v>0</v>
      </c>
      <c r="D50" s="12">
        <f t="shared" ref="D50" si="45">+D49-D47</f>
        <v>0</v>
      </c>
      <c r="E50" s="12">
        <f t="shared" ref="E50" si="46">+E49-E47</f>
        <v>0</v>
      </c>
      <c r="F50" s="18">
        <f>E50+D50+C50</f>
        <v>0</v>
      </c>
      <c r="G50" s="12">
        <f t="shared" si="24"/>
        <v>93</v>
      </c>
      <c r="H50" s="12">
        <f t="shared" si="24"/>
        <v>13</v>
      </c>
      <c r="I50" s="12">
        <f t="shared" si="24"/>
        <v>33</v>
      </c>
      <c r="J50" s="12">
        <f t="shared" si="24"/>
        <v>272</v>
      </c>
      <c r="K50" s="12">
        <f t="shared" si="24"/>
        <v>0</v>
      </c>
      <c r="L50" s="12">
        <f t="shared" si="24"/>
        <v>0</v>
      </c>
      <c r="M50" s="19">
        <f>L50+K50+J50+I50+H50+G50</f>
        <v>411</v>
      </c>
      <c r="N50" s="54">
        <f>M50+F50</f>
        <v>411</v>
      </c>
    </row>
    <row r="51" spans="2:14" ht="17.25" customHeight="1" x14ac:dyDescent="0.25">
      <c r="B51" s="23">
        <v>23</v>
      </c>
      <c r="C51" s="69">
        <v>8204</v>
      </c>
      <c r="D51" s="49">
        <v>492</v>
      </c>
      <c r="E51" s="72">
        <v>46762</v>
      </c>
      <c r="F51" s="18"/>
      <c r="G51" s="20">
        <v>271361</v>
      </c>
      <c r="H51" s="20">
        <v>164663</v>
      </c>
      <c r="I51" s="20">
        <v>175508</v>
      </c>
      <c r="J51" s="51">
        <v>845731</v>
      </c>
      <c r="K51" s="72">
        <v>639094</v>
      </c>
      <c r="L51" s="48">
        <v>445642</v>
      </c>
      <c r="M51" s="19"/>
      <c r="N51" s="17"/>
    </row>
    <row r="52" spans="2:14" ht="17.25" customHeight="1" x14ac:dyDescent="0.25">
      <c r="B52" s="11" t="s">
        <v>47</v>
      </c>
      <c r="C52" s="12">
        <f>+C51-C49</f>
        <v>0</v>
      </c>
      <c r="D52" s="12">
        <f t="shared" ref="D52" si="47">+D51-D49</f>
        <v>0</v>
      </c>
      <c r="E52" s="12">
        <f t="shared" ref="E52" si="48">+E51-E49</f>
        <v>0</v>
      </c>
      <c r="F52" s="18">
        <f>E52+D52+C52</f>
        <v>0</v>
      </c>
      <c r="G52" s="12">
        <f t="shared" si="24"/>
        <v>102</v>
      </c>
      <c r="H52" s="12">
        <f t="shared" si="24"/>
        <v>11</v>
      </c>
      <c r="I52" s="12">
        <f t="shared" si="24"/>
        <v>47</v>
      </c>
      <c r="J52" s="12">
        <f t="shared" si="24"/>
        <v>252</v>
      </c>
      <c r="K52" s="12">
        <f t="shared" si="24"/>
        <v>0</v>
      </c>
      <c r="L52" s="12">
        <f t="shared" si="24"/>
        <v>0</v>
      </c>
      <c r="M52" s="19">
        <f>L52+K52+J52+I52+H52+G52</f>
        <v>412</v>
      </c>
      <c r="N52" s="54">
        <f>M52+F52</f>
        <v>412</v>
      </c>
    </row>
    <row r="53" spans="2:14" ht="17.25" customHeight="1" x14ac:dyDescent="0.25">
      <c r="B53" s="23">
        <v>24</v>
      </c>
      <c r="C53" s="69">
        <v>8204</v>
      </c>
      <c r="D53" s="49">
        <v>492</v>
      </c>
      <c r="E53" s="72">
        <v>46762</v>
      </c>
      <c r="F53" s="18"/>
      <c r="G53" s="48">
        <v>271473</v>
      </c>
      <c r="H53" s="60">
        <v>164675</v>
      </c>
      <c r="I53" s="61">
        <v>175556</v>
      </c>
      <c r="J53" s="62">
        <v>846038</v>
      </c>
      <c r="K53" s="72">
        <v>639094</v>
      </c>
      <c r="L53" s="48">
        <v>445642</v>
      </c>
      <c r="M53" s="19"/>
      <c r="N53" s="17"/>
    </row>
    <row r="54" spans="2:14" ht="17.25" customHeight="1" x14ac:dyDescent="0.25">
      <c r="B54" s="11" t="s">
        <v>47</v>
      </c>
      <c r="C54" s="12">
        <f>+C53-C51</f>
        <v>0</v>
      </c>
      <c r="D54" s="12">
        <f t="shared" ref="D54" si="49">+D53-D51</f>
        <v>0</v>
      </c>
      <c r="E54" s="12">
        <f t="shared" ref="E54" si="50">+E53-E51</f>
        <v>0</v>
      </c>
      <c r="F54" s="18">
        <f>E54+D54+C54</f>
        <v>0</v>
      </c>
      <c r="G54" s="12">
        <f t="shared" si="24"/>
        <v>112</v>
      </c>
      <c r="H54" s="12">
        <f t="shared" si="24"/>
        <v>12</v>
      </c>
      <c r="I54" s="12">
        <f t="shared" si="24"/>
        <v>48</v>
      </c>
      <c r="J54" s="12">
        <f t="shared" si="24"/>
        <v>307</v>
      </c>
      <c r="K54" s="12">
        <f t="shared" si="24"/>
        <v>0</v>
      </c>
      <c r="L54" s="12">
        <f t="shared" si="24"/>
        <v>0</v>
      </c>
      <c r="M54" s="19">
        <f>L54+K54+J54+I54+H54+G54</f>
        <v>479</v>
      </c>
      <c r="N54" s="54">
        <f>M54+F54</f>
        <v>479</v>
      </c>
    </row>
    <row r="55" spans="2:14" ht="17.25" customHeight="1" x14ac:dyDescent="0.25">
      <c r="B55" s="23">
        <v>25</v>
      </c>
      <c r="C55" s="69">
        <v>8204</v>
      </c>
      <c r="D55" s="49">
        <v>492</v>
      </c>
      <c r="E55" s="72">
        <v>46762</v>
      </c>
      <c r="F55" s="18"/>
      <c r="G55" s="61">
        <v>271580</v>
      </c>
      <c r="H55" s="61">
        <v>164689</v>
      </c>
      <c r="I55" s="61">
        <v>175608</v>
      </c>
      <c r="J55" s="62">
        <v>846299</v>
      </c>
      <c r="K55" s="72">
        <v>639094</v>
      </c>
      <c r="L55" s="48">
        <v>445642</v>
      </c>
      <c r="M55" s="19"/>
      <c r="N55" s="17"/>
    </row>
    <row r="56" spans="2:14" ht="17.25" customHeight="1" x14ac:dyDescent="0.25">
      <c r="B56" s="11" t="s">
        <v>47</v>
      </c>
      <c r="C56" s="12">
        <f>+C55-C53</f>
        <v>0</v>
      </c>
      <c r="D56" s="12">
        <f t="shared" ref="D56" si="51">+D55-D53</f>
        <v>0</v>
      </c>
      <c r="E56" s="12">
        <f t="shared" ref="E56" si="52">+E55-E53</f>
        <v>0</v>
      </c>
      <c r="F56" s="18">
        <f>E56+D56+C56</f>
        <v>0</v>
      </c>
      <c r="G56" s="12">
        <f t="shared" si="24"/>
        <v>107</v>
      </c>
      <c r="H56" s="12">
        <f t="shared" si="24"/>
        <v>14</v>
      </c>
      <c r="I56" s="12">
        <f t="shared" si="24"/>
        <v>52</v>
      </c>
      <c r="J56" s="12">
        <f t="shared" si="24"/>
        <v>261</v>
      </c>
      <c r="K56" s="12">
        <f t="shared" si="24"/>
        <v>0</v>
      </c>
      <c r="L56" s="12">
        <f t="shared" si="24"/>
        <v>0</v>
      </c>
      <c r="M56" s="19">
        <f>L56+K56+J56+I56+H56+G56</f>
        <v>434</v>
      </c>
      <c r="N56" s="54">
        <f>M56+F56</f>
        <v>434</v>
      </c>
    </row>
    <row r="57" spans="2:14" ht="17.25" customHeight="1" x14ac:dyDescent="0.25">
      <c r="B57" s="23">
        <v>26</v>
      </c>
      <c r="C57" s="69">
        <v>8204</v>
      </c>
      <c r="D57" s="49">
        <v>492</v>
      </c>
      <c r="E57" s="72">
        <v>46762</v>
      </c>
      <c r="F57" s="18"/>
      <c r="G57" s="61">
        <v>271679</v>
      </c>
      <c r="H57" s="61">
        <v>164701</v>
      </c>
      <c r="I57" s="61">
        <v>175666</v>
      </c>
      <c r="J57" s="62">
        <v>846595</v>
      </c>
      <c r="K57" s="72">
        <v>639094</v>
      </c>
      <c r="L57" s="48">
        <v>445642</v>
      </c>
      <c r="M57" s="19"/>
      <c r="N57" s="17"/>
    </row>
    <row r="58" spans="2:14" ht="17.25" customHeight="1" x14ac:dyDescent="0.25">
      <c r="B58" s="11" t="s">
        <v>47</v>
      </c>
      <c r="C58" s="12">
        <f>+C57-C55</f>
        <v>0</v>
      </c>
      <c r="D58" s="12">
        <f t="shared" ref="D58" si="53">+D57-D55</f>
        <v>0</v>
      </c>
      <c r="E58" s="12">
        <f t="shared" ref="E58" si="54">+E57-E55</f>
        <v>0</v>
      </c>
      <c r="F58" s="18">
        <f>E58+D58+C58</f>
        <v>0</v>
      </c>
      <c r="G58" s="12">
        <f t="shared" si="24"/>
        <v>99</v>
      </c>
      <c r="H58" s="12">
        <f t="shared" si="24"/>
        <v>12</v>
      </c>
      <c r="I58" s="12">
        <f t="shared" si="24"/>
        <v>58</v>
      </c>
      <c r="J58" s="12">
        <f t="shared" si="24"/>
        <v>296</v>
      </c>
      <c r="K58" s="12">
        <f t="shared" si="24"/>
        <v>0</v>
      </c>
      <c r="L58" s="12">
        <f t="shared" si="24"/>
        <v>0</v>
      </c>
      <c r="M58" s="19">
        <f>L58+K58+J58+I58+H58+G58</f>
        <v>465</v>
      </c>
      <c r="N58" s="54">
        <f>M58+F58</f>
        <v>465</v>
      </c>
    </row>
    <row r="59" spans="2:14" ht="17.25" customHeight="1" x14ac:dyDescent="0.25">
      <c r="B59" s="23">
        <v>27</v>
      </c>
      <c r="C59" s="69">
        <v>8204</v>
      </c>
      <c r="D59" s="49">
        <v>492</v>
      </c>
      <c r="E59" s="72">
        <v>46762</v>
      </c>
      <c r="F59" s="18"/>
      <c r="G59" s="48">
        <v>271775</v>
      </c>
      <c r="H59" s="61">
        <v>164715</v>
      </c>
      <c r="I59" s="61">
        <v>175728</v>
      </c>
      <c r="J59" s="62">
        <v>846887</v>
      </c>
      <c r="K59" s="72">
        <v>639094</v>
      </c>
      <c r="L59" s="48">
        <v>445642</v>
      </c>
      <c r="M59" s="19"/>
      <c r="N59" s="17"/>
    </row>
    <row r="60" spans="2:14" ht="17.25" customHeight="1" x14ac:dyDescent="0.25">
      <c r="B60" s="11" t="s">
        <v>47</v>
      </c>
      <c r="C60" s="12">
        <f>+C59-C57</f>
        <v>0</v>
      </c>
      <c r="D60" s="12">
        <f t="shared" ref="D60" si="55">+D59-D57</f>
        <v>0</v>
      </c>
      <c r="E60" s="12">
        <f t="shared" ref="E60" si="56">+E59-E57</f>
        <v>0</v>
      </c>
      <c r="F60" s="18">
        <f>E60+D60+C60</f>
        <v>0</v>
      </c>
      <c r="G60" s="12">
        <f t="shared" si="24"/>
        <v>96</v>
      </c>
      <c r="H60" s="12">
        <f t="shared" si="24"/>
        <v>14</v>
      </c>
      <c r="I60" s="12">
        <f t="shared" si="24"/>
        <v>62</v>
      </c>
      <c r="J60" s="12">
        <f t="shared" si="24"/>
        <v>292</v>
      </c>
      <c r="K60" s="12">
        <f t="shared" si="24"/>
        <v>0</v>
      </c>
      <c r="L60" s="12">
        <f t="shared" si="24"/>
        <v>0</v>
      </c>
      <c r="M60" s="19">
        <f>L60+K60+J60+I60+H60+G60</f>
        <v>464</v>
      </c>
      <c r="N60" s="54">
        <f>M60+F60</f>
        <v>464</v>
      </c>
    </row>
    <row r="61" spans="2:14" ht="17.25" customHeight="1" x14ac:dyDescent="0.25">
      <c r="B61" s="23">
        <v>28</v>
      </c>
      <c r="C61" s="69">
        <v>8204</v>
      </c>
      <c r="D61" s="49">
        <v>492</v>
      </c>
      <c r="E61" s="72">
        <v>46762</v>
      </c>
      <c r="F61" s="18"/>
      <c r="G61" s="7">
        <v>271868</v>
      </c>
      <c r="H61" s="7">
        <v>164729</v>
      </c>
      <c r="I61" s="20">
        <v>175757</v>
      </c>
      <c r="J61" s="51">
        <v>847193</v>
      </c>
      <c r="K61" s="72">
        <v>639094</v>
      </c>
      <c r="L61" s="48">
        <v>445642</v>
      </c>
      <c r="M61" s="19"/>
      <c r="N61" s="17"/>
    </row>
    <row r="62" spans="2:14" ht="17.25" customHeight="1" x14ac:dyDescent="0.25">
      <c r="B62" s="11" t="s">
        <v>47</v>
      </c>
      <c r="C62" s="12">
        <f>+C61-C59</f>
        <v>0</v>
      </c>
      <c r="D62" s="12">
        <f t="shared" ref="D62:D68" si="57">+D61-D59</f>
        <v>0</v>
      </c>
      <c r="E62" s="12">
        <f t="shared" ref="E62:E68" si="58">+E61-E59</f>
        <v>0</v>
      </c>
      <c r="F62" s="18">
        <f>E62+D62+C62</f>
        <v>0</v>
      </c>
      <c r="G62" s="12">
        <f t="shared" si="24"/>
        <v>93</v>
      </c>
      <c r="H62" s="12">
        <f t="shared" si="24"/>
        <v>14</v>
      </c>
      <c r="I62" s="12">
        <f t="shared" si="24"/>
        <v>29</v>
      </c>
      <c r="J62" s="12">
        <f t="shared" si="24"/>
        <v>306</v>
      </c>
      <c r="K62" s="12">
        <f t="shared" si="24"/>
        <v>0</v>
      </c>
      <c r="L62" s="12">
        <f t="shared" si="24"/>
        <v>0</v>
      </c>
      <c r="M62" s="19">
        <f>L62+K62+J62+I62+H62+G62</f>
        <v>442</v>
      </c>
      <c r="N62" s="54">
        <f>M62+F62</f>
        <v>442</v>
      </c>
    </row>
    <row r="63" spans="2:14" ht="17.25" customHeight="1" x14ac:dyDescent="0.25">
      <c r="B63" s="23">
        <v>29</v>
      </c>
      <c r="C63" s="49">
        <v>8204</v>
      </c>
      <c r="D63" s="49">
        <v>492</v>
      </c>
      <c r="E63" s="72">
        <v>46762</v>
      </c>
      <c r="F63" s="18"/>
      <c r="G63" s="48">
        <v>271964</v>
      </c>
      <c r="H63" s="48">
        <v>164742</v>
      </c>
      <c r="I63" s="48">
        <v>175810</v>
      </c>
      <c r="J63" s="48">
        <v>847456</v>
      </c>
      <c r="K63" s="72">
        <v>639094</v>
      </c>
      <c r="L63" s="48">
        <v>445642</v>
      </c>
      <c r="M63" s="19"/>
      <c r="N63" s="17"/>
    </row>
    <row r="64" spans="2:14" ht="17.25" customHeight="1" x14ac:dyDescent="0.25">
      <c r="B64" s="11" t="s">
        <v>47</v>
      </c>
      <c r="C64" s="12">
        <f>+C63-C61</f>
        <v>0</v>
      </c>
      <c r="D64" s="12">
        <f t="shared" si="57"/>
        <v>0</v>
      </c>
      <c r="E64" s="12">
        <f t="shared" si="58"/>
        <v>0</v>
      </c>
      <c r="F64" s="18">
        <f>E64+D64+C64</f>
        <v>0</v>
      </c>
      <c r="G64" s="12">
        <f t="shared" si="24"/>
        <v>96</v>
      </c>
      <c r="H64" s="12">
        <f t="shared" si="24"/>
        <v>13</v>
      </c>
      <c r="I64" s="12">
        <f t="shared" si="24"/>
        <v>53</v>
      </c>
      <c r="J64" s="12">
        <f t="shared" si="24"/>
        <v>263</v>
      </c>
      <c r="K64" s="12">
        <f t="shared" si="24"/>
        <v>0</v>
      </c>
      <c r="L64" s="12">
        <f t="shared" si="24"/>
        <v>0</v>
      </c>
      <c r="M64" s="19">
        <f>L64+K64+J64+I64+H64+G64</f>
        <v>425</v>
      </c>
      <c r="N64" s="54">
        <f>M64+F64</f>
        <v>425</v>
      </c>
    </row>
    <row r="65" spans="2:14" ht="17.25" customHeight="1" x14ac:dyDescent="0.25">
      <c r="B65" s="23">
        <v>30</v>
      </c>
      <c r="C65" s="49">
        <v>8205</v>
      </c>
      <c r="D65" s="49">
        <v>493</v>
      </c>
      <c r="E65" s="72">
        <v>46762</v>
      </c>
      <c r="F65" s="18"/>
      <c r="G65" s="7">
        <v>272065</v>
      </c>
      <c r="H65" s="7">
        <v>164753</v>
      </c>
      <c r="I65" s="20">
        <v>175854</v>
      </c>
      <c r="J65" s="51">
        <v>847728</v>
      </c>
      <c r="K65" s="72">
        <v>639094</v>
      </c>
      <c r="L65" s="48">
        <v>445642</v>
      </c>
      <c r="M65" s="19"/>
      <c r="N65" s="17"/>
    </row>
    <row r="66" spans="2:14" ht="17.25" customHeight="1" x14ac:dyDescent="0.25">
      <c r="B66" s="11" t="s">
        <v>47</v>
      </c>
      <c r="C66" s="12">
        <f>+C65-C63</f>
        <v>1</v>
      </c>
      <c r="D66" s="12">
        <f t="shared" si="57"/>
        <v>1</v>
      </c>
      <c r="E66" s="12">
        <f t="shared" si="58"/>
        <v>0</v>
      </c>
      <c r="F66" s="18">
        <f>E66+D66+C66</f>
        <v>2</v>
      </c>
      <c r="G66" s="12">
        <f t="shared" si="24"/>
        <v>101</v>
      </c>
      <c r="H66" s="12">
        <f t="shared" si="24"/>
        <v>11</v>
      </c>
      <c r="I66" s="12">
        <f t="shared" si="24"/>
        <v>44</v>
      </c>
      <c r="J66" s="12">
        <f t="shared" si="24"/>
        <v>272</v>
      </c>
      <c r="K66" s="12">
        <f t="shared" si="24"/>
        <v>0</v>
      </c>
      <c r="L66" s="12">
        <f t="shared" si="24"/>
        <v>0</v>
      </c>
      <c r="M66" s="19">
        <f>L66+K66+J66+I66+H66+G66</f>
        <v>428</v>
      </c>
      <c r="N66" s="54">
        <f>M66+F66</f>
        <v>430</v>
      </c>
    </row>
    <row r="67" spans="2:14" ht="15.75" x14ac:dyDescent="0.25">
      <c r="B67" s="23">
        <v>31</v>
      </c>
      <c r="C67" s="49">
        <v>8205</v>
      </c>
      <c r="D67" s="49">
        <v>493</v>
      </c>
      <c r="E67" s="72">
        <v>46762</v>
      </c>
      <c r="F67" s="18"/>
      <c r="G67" s="7">
        <v>272165</v>
      </c>
      <c r="H67" s="7">
        <v>164764</v>
      </c>
      <c r="I67" s="20">
        <v>175908</v>
      </c>
      <c r="J67" s="51">
        <v>847989</v>
      </c>
      <c r="K67" s="72">
        <v>639094</v>
      </c>
      <c r="L67" s="48">
        <v>445642</v>
      </c>
      <c r="M67" s="19"/>
      <c r="N67" s="17"/>
    </row>
    <row r="68" spans="2:14" ht="15.75" x14ac:dyDescent="0.25">
      <c r="B68" s="11" t="s">
        <v>47</v>
      </c>
      <c r="C68" s="12">
        <f>+C67-C65</f>
        <v>0</v>
      </c>
      <c r="D68" s="12">
        <f t="shared" si="57"/>
        <v>0</v>
      </c>
      <c r="E68" s="12">
        <f t="shared" si="58"/>
        <v>0</v>
      </c>
      <c r="F68" s="18">
        <f>E68+D68+C68</f>
        <v>0</v>
      </c>
      <c r="G68" s="12">
        <f t="shared" si="24"/>
        <v>100</v>
      </c>
      <c r="H68" s="12">
        <f t="shared" si="24"/>
        <v>11</v>
      </c>
      <c r="I68" s="12">
        <f t="shared" si="24"/>
        <v>54</v>
      </c>
      <c r="J68" s="12">
        <f t="shared" si="24"/>
        <v>261</v>
      </c>
      <c r="K68" s="12">
        <f t="shared" si="24"/>
        <v>0</v>
      </c>
      <c r="L68" s="12">
        <f t="shared" si="24"/>
        <v>0</v>
      </c>
      <c r="M68" s="19">
        <f>L68+K68+J68+I68+H68+G68</f>
        <v>426</v>
      </c>
      <c r="N68" s="54">
        <f>M68+F68</f>
        <v>426</v>
      </c>
    </row>
  </sheetData>
  <customSheetViews>
    <customSheetView guid="{3F0D6565-C55E-43AC-AC5D-87C4E1D85423}">
      <pane ySplit="6" topLeftCell="A25" activePane="bottomLeft" state="frozen"/>
      <selection pane="bottomLeft" activeCell="P48" sqref="P48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1"/>
    </customSheetView>
    <customSheetView guid="{25F117C9-9E88-4830-872F-F7C65066F93E}">
      <pane ySplit="6" topLeftCell="A7" activePane="bottomLeft" state="frozen"/>
      <selection pane="bottomLeft" activeCell="U15" sqref="U15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2"/>
    </customSheetView>
    <customSheetView guid="{715FFCCD-858F-48B1-9C65-962158B32E76}">
      <pane ySplit="6" topLeftCell="A37" activePane="bottomLeft" state="frozen"/>
      <selection pane="bottomLeft" activeCell="E52" sqref="E52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3"/>
    </customSheetView>
    <customSheetView guid="{071FA3B5-878B-4C51-9DD6-5097B4769603}">
      <pane ySplit="6" topLeftCell="A40" activePane="bottomLeft" state="frozen"/>
      <selection pane="bottomLeft" activeCell="E61" sqref="E61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4"/>
    </customSheetView>
    <customSheetView guid="{91089E3D-1703-4FEE-B13A-4F0669A06DB8}">
      <pane ySplit="6" topLeftCell="A22" activePane="bottomLeft" state="frozen"/>
      <selection pane="bottomLeft" activeCell="G38" sqref="G38:L38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5"/>
    </customSheetView>
  </customSheetViews>
  <mergeCells count="12">
    <mergeCell ref="B5:B6"/>
    <mergeCell ref="F5:F6"/>
    <mergeCell ref="T6:U6"/>
    <mergeCell ref="S5:S6"/>
    <mergeCell ref="R5:R6"/>
    <mergeCell ref="Q5:Q6"/>
    <mergeCell ref="P5:P6"/>
    <mergeCell ref="F2:J2"/>
    <mergeCell ref="F3:J3"/>
    <mergeCell ref="M5:M6"/>
    <mergeCell ref="N5:N6"/>
    <mergeCell ref="M3:N3"/>
  </mergeCells>
  <printOptions horizontalCentered="1"/>
  <pageMargins left="0.2" right="0.2" top="0.25" bottom="0.25" header="0.05" footer="0.05"/>
  <pageSetup paperSize="9" scale="82" orientation="landscape" r:id="rId6"/>
  <rowBreaks count="1" manualBreakCount="1">
    <brk id="40" max="16383" man="1"/>
  </rowBreaks>
  <colBreaks count="1" manualBreakCount="1">
    <brk id="14" max="1048575" man="1"/>
  </colBreaks>
  <drawing r:id="rId7"/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H70"/>
  <sheetViews>
    <sheetView zoomScaleNormal="100" workbookViewId="0">
      <pane ySplit="6" topLeftCell="A7" activePane="bottomLeft" state="frozen"/>
      <selection pane="bottomLeft" activeCell="P25" sqref="P25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7" t="s">
        <v>34</v>
      </c>
    </row>
    <row r="3" spans="2:8" ht="21" customHeight="1" x14ac:dyDescent="0.25">
      <c r="D3" s="38" t="s">
        <v>62</v>
      </c>
      <c r="F3" s="78"/>
      <c r="G3" s="78"/>
      <c r="H3" s="78"/>
    </row>
    <row r="4" spans="2:8" ht="15" customHeight="1" thickBot="1" x14ac:dyDescent="0.3">
      <c r="D4" s="101" t="s">
        <v>63</v>
      </c>
      <c r="E4" s="101"/>
      <c r="F4" s="78"/>
      <c r="G4" s="78"/>
      <c r="H4" s="78"/>
    </row>
    <row r="5" spans="2:8" ht="30.75" customHeight="1" thickTop="1" x14ac:dyDescent="0.25">
      <c r="B5" s="92" t="s">
        <v>37</v>
      </c>
      <c r="C5" s="4" t="s">
        <v>64</v>
      </c>
      <c r="D5" s="4" t="s">
        <v>65</v>
      </c>
      <c r="E5" s="99" t="s">
        <v>66</v>
      </c>
    </row>
    <row r="6" spans="2:8" ht="15.75" customHeight="1" x14ac:dyDescent="0.25">
      <c r="B6" s="93"/>
      <c r="C6" s="3" t="s">
        <v>67</v>
      </c>
      <c r="D6" s="3"/>
      <c r="E6" s="100"/>
    </row>
    <row r="7" spans="2:8" ht="17.25" customHeight="1" x14ac:dyDescent="0.25">
      <c r="B7" s="23">
        <v>1</v>
      </c>
      <c r="C7" s="48">
        <v>255106</v>
      </c>
      <c r="D7" s="50">
        <v>54220</v>
      </c>
      <c r="E7" s="55"/>
      <c r="H7" s="1" t="s">
        <v>68</v>
      </c>
    </row>
    <row r="8" spans="2:8" ht="17.25" customHeight="1" x14ac:dyDescent="0.25">
      <c r="B8" s="11" t="s">
        <v>47</v>
      </c>
      <c r="C8" s="52">
        <v>240</v>
      </c>
      <c r="D8" s="52">
        <v>0</v>
      </c>
      <c r="E8" s="55">
        <f>C8</f>
        <v>240</v>
      </c>
    </row>
    <row r="9" spans="2:8" ht="17.25" customHeight="1" x14ac:dyDescent="0.25">
      <c r="B9" s="23">
        <v>2</v>
      </c>
      <c r="C9" s="48">
        <v>255365</v>
      </c>
      <c r="D9" s="50">
        <v>54220</v>
      </c>
      <c r="E9" s="55"/>
    </row>
    <row r="10" spans="2:8" ht="17.25" customHeight="1" x14ac:dyDescent="0.25">
      <c r="B10" s="11" t="s">
        <v>47</v>
      </c>
      <c r="C10" s="52">
        <f>C9-C7</f>
        <v>259</v>
      </c>
      <c r="D10" s="52">
        <f>D9-D7</f>
        <v>0</v>
      </c>
      <c r="E10" s="55">
        <f>C10</f>
        <v>259</v>
      </c>
      <c r="G10"/>
      <c r="H10" s="56"/>
    </row>
    <row r="11" spans="2:8" ht="17.25" customHeight="1" x14ac:dyDescent="0.25">
      <c r="B11" s="23">
        <v>3</v>
      </c>
      <c r="C11" s="47">
        <v>255689</v>
      </c>
      <c r="D11" s="50">
        <v>54220</v>
      </c>
      <c r="E11" s="55"/>
    </row>
    <row r="12" spans="2:8" ht="17.25" customHeight="1" x14ac:dyDescent="0.25">
      <c r="B12" s="11" t="s">
        <v>47</v>
      </c>
      <c r="C12" s="52">
        <f>C11-C9</f>
        <v>324</v>
      </c>
      <c r="D12" s="52">
        <f>D11-D9</f>
        <v>0</v>
      </c>
      <c r="E12" s="55">
        <f>C12</f>
        <v>324</v>
      </c>
      <c r="G12"/>
      <c r="H12" s="56"/>
    </row>
    <row r="13" spans="2:8" ht="17.25" customHeight="1" x14ac:dyDescent="0.25">
      <c r="B13" s="23">
        <v>4</v>
      </c>
      <c r="C13" s="48">
        <v>255996</v>
      </c>
      <c r="D13" s="50">
        <v>54220</v>
      </c>
      <c r="E13" s="55"/>
    </row>
    <row r="14" spans="2:8" ht="17.25" customHeight="1" x14ac:dyDescent="0.25">
      <c r="B14" s="11" t="s">
        <v>47</v>
      </c>
      <c r="C14" s="52">
        <f>C13-C11</f>
        <v>307</v>
      </c>
      <c r="D14" s="52">
        <f>D13-D11</f>
        <v>0</v>
      </c>
      <c r="E14" s="55">
        <f>C14</f>
        <v>307</v>
      </c>
      <c r="G14"/>
      <c r="H14" s="56"/>
    </row>
    <row r="15" spans="2:8" ht="17.25" customHeight="1" x14ac:dyDescent="0.25">
      <c r="B15" s="23">
        <v>5</v>
      </c>
      <c r="C15" s="48">
        <v>256295</v>
      </c>
      <c r="D15" s="50">
        <v>54220</v>
      </c>
      <c r="E15" s="55"/>
    </row>
    <row r="16" spans="2:8" ht="17.25" customHeight="1" x14ac:dyDescent="0.25">
      <c r="B16" s="11" t="s">
        <v>47</v>
      </c>
      <c r="C16" s="52">
        <f>C15-C13</f>
        <v>299</v>
      </c>
      <c r="D16" s="52">
        <f>D15-D13</f>
        <v>0</v>
      </c>
      <c r="E16" s="55">
        <f>C16</f>
        <v>299</v>
      </c>
      <c r="G16"/>
      <c r="H16" s="56"/>
    </row>
    <row r="17" spans="2:8" ht="17.25" customHeight="1" x14ac:dyDescent="0.25">
      <c r="B17" s="23">
        <v>6</v>
      </c>
      <c r="C17" s="48">
        <v>256596</v>
      </c>
      <c r="D17" s="50">
        <v>54220</v>
      </c>
      <c r="E17" s="55"/>
    </row>
    <row r="18" spans="2:8" ht="17.25" customHeight="1" x14ac:dyDescent="0.25">
      <c r="B18" s="11" t="s">
        <v>47</v>
      </c>
      <c r="C18" s="52">
        <f>C17-C15</f>
        <v>301</v>
      </c>
      <c r="D18" s="52">
        <f>D17-D15</f>
        <v>0</v>
      </c>
      <c r="E18" s="55">
        <f>C18</f>
        <v>301</v>
      </c>
      <c r="G18"/>
      <c r="H18" s="56"/>
    </row>
    <row r="19" spans="2:8" ht="17.25" customHeight="1" x14ac:dyDescent="0.25">
      <c r="B19" s="23">
        <v>7</v>
      </c>
      <c r="C19" s="48">
        <v>256881</v>
      </c>
      <c r="D19" s="50">
        <v>54220</v>
      </c>
      <c r="E19" s="55"/>
    </row>
    <row r="20" spans="2:8" ht="17.25" customHeight="1" x14ac:dyDescent="0.25">
      <c r="B20" s="11" t="s">
        <v>47</v>
      </c>
      <c r="C20" s="52">
        <f>C19-C17</f>
        <v>285</v>
      </c>
      <c r="D20" s="52">
        <f>D19-D17</f>
        <v>0</v>
      </c>
      <c r="E20" s="55">
        <f>C20</f>
        <v>285</v>
      </c>
      <c r="G20"/>
      <c r="H20" s="56"/>
    </row>
    <row r="21" spans="2:8" ht="17.25" customHeight="1" x14ac:dyDescent="0.25">
      <c r="B21" s="23">
        <v>8</v>
      </c>
      <c r="C21" s="48">
        <v>257184</v>
      </c>
      <c r="D21" s="50">
        <v>54220</v>
      </c>
      <c r="E21" s="55"/>
    </row>
    <row r="22" spans="2:8" ht="17.25" customHeight="1" x14ac:dyDescent="0.25">
      <c r="B22" s="11" t="s">
        <v>47</v>
      </c>
      <c r="C22" s="52">
        <f>C21-C19</f>
        <v>303</v>
      </c>
      <c r="D22" s="52">
        <f>D21-D19</f>
        <v>0</v>
      </c>
      <c r="E22" s="55">
        <f>C22</f>
        <v>303</v>
      </c>
      <c r="G22"/>
      <c r="H22" s="56"/>
    </row>
    <row r="23" spans="2:8" ht="17.25" customHeight="1" x14ac:dyDescent="0.25">
      <c r="B23" s="23">
        <v>9</v>
      </c>
      <c r="C23" s="48">
        <v>257552</v>
      </c>
      <c r="D23" s="50">
        <v>54220</v>
      </c>
      <c r="E23" s="55"/>
    </row>
    <row r="24" spans="2:8" ht="17.25" customHeight="1" x14ac:dyDescent="0.25">
      <c r="B24" s="11" t="s">
        <v>47</v>
      </c>
      <c r="C24" s="52">
        <f>C23-C21</f>
        <v>368</v>
      </c>
      <c r="D24" s="52">
        <f>D23-D21</f>
        <v>0</v>
      </c>
      <c r="E24" s="55">
        <f>C24</f>
        <v>368</v>
      </c>
      <c r="G24"/>
      <c r="H24" s="56"/>
    </row>
    <row r="25" spans="2:8" ht="17.25" customHeight="1" x14ac:dyDescent="0.25">
      <c r="B25" s="23">
        <v>10</v>
      </c>
      <c r="C25" s="68">
        <v>257851</v>
      </c>
      <c r="D25" s="50">
        <v>54220</v>
      </c>
      <c r="E25" s="55"/>
    </row>
    <row r="26" spans="2:8" ht="17.25" customHeight="1" x14ac:dyDescent="0.25">
      <c r="B26" s="11" t="s">
        <v>47</v>
      </c>
      <c r="C26" s="52">
        <f>C25-C23</f>
        <v>299</v>
      </c>
      <c r="D26" s="52">
        <f>D25-D23</f>
        <v>0</v>
      </c>
      <c r="E26" s="55">
        <f>C26</f>
        <v>299</v>
      </c>
      <c r="G26"/>
      <c r="H26" s="56"/>
    </row>
    <row r="27" spans="2:8" ht="17.25" customHeight="1" x14ac:dyDescent="0.25">
      <c r="B27" s="23">
        <v>11</v>
      </c>
      <c r="C27" s="50">
        <v>258157</v>
      </c>
      <c r="D27" s="50">
        <v>54220</v>
      </c>
      <c r="E27" s="55"/>
    </row>
    <row r="28" spans="2:8" ht="17.25" customHeight="1" x14ac:dyDescent="0.25">
      <c r="B28" s="11" t="s">
        <v>47</v>
      </c>
      <c r="C28" s="52">
        <f>C27-C25</f>
        <v>306</v>
      </c>
      <c r="D28" s="52">
        <f>D27-D25</f>
        <v>0</v>
      </c>
      <c r="E28" s="55">
        <f>C28</f>
        <v>306</v>
      </c>
    </row>
    <row r="29" spans="2:8" ht="17.25" customHeight="1" x14ac:dyDescent="0.25">
      <c r="B29" s="23">
        <v>12</v>
      </c>
      <c r="C29" s="48">
        <v>258501</v>
      </c>
      <c r="D29" s="50">
        <v>54220</v>
      </c>
      <c r="E29" s="55"/>
    </row>
    <row r="30" spans="2:8" ht="17.25" customHeight="1" x14ac:dyDescent="0.25">
      <c r="B30" s="11" t="s">
        <v>47</v>
      </c>
      <c r="C30" s="52">
        <f>C29-C27</f>
        <v>344</v>
      </c>
      <c r="D30" s="52">
        <f>D29-D27</f>
        <v>0</v>
      </c>
      <c r="E30" s="55">
        <f>C30</f>
        <v>344</v>
      </c>
    </row>
    <row r="31" spans="2:8" ht="17.25" customHeight="1" x14ac:dyDescent="0.25">
      <c r="B31" s="23">
        <v>13</v>
      </c>
      <c r="C31" s="48">
        <v>258863</v>
      </c>
      <c r="D31" s="50">
        <v>54220</v>
      </c>
      <c r="E31" s="55"/>
    </row>
    <row r="32" spans="2:8" ht="17.25" customHeight="1" x14ac:dyDescent="0.25">
      <c r="B32" s="11" t="s">
        <v>47</v>
      </c>
      <c r="C32" s="52">
        <f>C31-C29</f>
        <v>362</v>
      </c>
      <c r="D32" s="52">
        <f>D31-D29</f>
        <v>0</v>
      </c>
      <c r="E32" s="55">
        <f>C32</f>
        <v>362</v>
      </c>
    </row>
    <row r="33" spans="2:5" ht="17.25" customHeight="1" x14ac:dyDescent="0.25">
      <c r="B33" s="23">
        <v>14</v>
      </c>
      <c r="C33" s="48">
        <v>259175</v>
      </c>
      <c r="D33" s="50">
        <v>54220</v>
      </c>
      <c r="E33" s="55"/>
    </row>
    <row r="34" spans="2:5" ht="17.25" customHeight="1" x14ac:dyDescent="0.25">
      <c r="B34" s="11" t="s">
        <v>47</v>
      </c>
      <c r="C34" s="52">
        <f>C33-C31</f>
        <v>312</v>
      </c>
      <c r="D34" s="52">
        <f>D33-D31</f>
        <v>0</v>
      </c>
      <c r="E34" s="55">
        <f>C34</f>
        <v>312</v>
      </c>
    </row>
    <row r="35" spans="2:5" ht="17.25" customHeight="1" x14ac:dyDescent="0.25">
      <c r="B35" s="23">
        <v>15</v>
      </c>
      <c r="C35" s="48">
        <v>259435</v>
      </c>
      <c r="D35" s="50">
        <v>54220</v>
      </c>
      <c r="E35" s="55"/>
    </row>
    <row r="36" spans="2:5" ht="17.25" customHeight="1" x14ac:dyDescent="0.25">
      <c r="B36" s="11" t="s">
        <v>47</v>
      </c>
      <c r="C36" s="52">
        <f>C35-C33</f>
        <v>260</v>
      </c>
      <c r="D36" s="52">
        <f>D35-D33</f>
        <v>0</v>
      </c>
      <c r="E36" s="55">
        <f>C36</f>
        <v>260</v>
      </c>
    </row>
    <row r="37" spans="2:5" ht="17.25" customHeight="1" x14ac:dyDescent="0.25">
      <c r="B37" s="23">
        <v>16</v>
      </c>
      <c r="C37" s="48">
        <v>259672</v>
      </c>
      <c r="D37" s="50">
        <v>54220</v>
      </c>
      <c r="E37" s="55"/>
    </row>
    <row r="38" spans="2:5" ht="17.25" customHeight="1" x14ac:dyDescent="0.25">
      <c r="B38" s="11" t="s">
        <v>47</v>
      </c>
      <c r="C38" s="52">
        <f>C37-C35</f>
        <v>237</v>
      </c>
      <c r="D38" s="52">
        <f>D37-D35</f>
        <v>0</v>
      </c>
      <c r="E38" s="55">
        <f>C38</f>
        <v>237</v>
      </c>
    </row>
    <row r="39" spans="2:5" ht="17.25" customHeight="1" x14ac:dyDescent="0.25">
      <c r="B39" s="23">
        <v>17</v>
      </c>
      <c r="C39" s="69">
        <v>259897</v>
      </c>
      <c r="D39" s="74">
        <v>54220</v>
      </c>
      <c r="E39" s="55"/>
    </row>
    <row r="40" spans="2:5" ht="17.25" customHeight="1" x14ac:dyDescent="0.25">
      <c r="B40" s="11" t="s">
        <v>47</v>
      </c>
      <c r="C40" s="52">
        <f>C39-C37</f>
        <v>225</v>
      </c>
      <c r="D40" s="52">
        <f>D39-D37</f>
        <v>0</v>
      </c>
      <c r="E40" s="55">
        <f>C40</f>
        <v>225</v>
      </c>
    </row>
    <row r="41" spans="2:5" ht="17.25" customHeight="1" x14ac:dyDescent="0.25">
      <c r="B41" s="23">
        <v>18</v>
      </c>
      <c r="C41" s="48">
        <v>260133</v>
      </c>
      <c r="D41" s="74">
        <v>54220</v>
      </c>
      <c r="E41" s="55"/>
    </row>
    <row r="42" spans="2:5" ht="17.25" customHeight="1" x14ac:dyDescent="0.25">
      <c r="B42" s="11" t="s">
        <v>47</v>
      </c>
      <c r="C42" s="52">
        <f>C41-C39</f>
        <v>236</v>
      </c>
      <c r="D42" s="52">
        <f>D41-D39</f>
        <v>0</v>
      </c>
      <c r="E42" s="55">
        <f>C42</f>
        <v>236</v>
      </c>
    </row>
    <row r="43" spans="2:5" ht="17.25" customHeight="1" x14ac:dyDescent="0.25">
      <c r="B43" s="23">
        <v>19</v>
      </c>
      <c r="C43" s="48">
        <v>260363</v>
      </c>
      <c r="D43" s="74">
        <v>54220</v>
      </c>
      <c r="E43" s="55"/>
    </row>
    <row r="44" spans="2:5" ht="17.25" customHeight="1" x14ac:dyDescent="0.25">
      <c r="B44" s="11" t="s">
        <v>47</v>
      </c>
      <c r="C44" s="52">
        <f>C43-C41</f>
        <v>230</v>
      </c>
      <c r="D44" s="52">
        <f>D43-D41</f>
        <v>0</v>
      </c>
      <c r="E44" s="55">
        <f>C44</f>
        <v>230</v>
      </c>
    </row>
    <row r="45" spans="2:5" ht="17.25" customHeight="1" x14ac:dyDescent="0.25">
      <c r="B45" s="23">
        <v>20</v>
      </c>
      <c r="C45" s="48">
        <v>260591</v>
      </c>
      <c r="D45" s="74">
        <v>54220</v>
      </c>
      <c r="E45" s="55"/>
    </row>
    <row r="46" spans="2:5" ht="17.25" customHeight="1" x14ac:dyDescent="0.25">
      <c r="B46" s="11" t="s">
        <v>47</v>
      </c>
      <c r="C46" s="52">
        <f>C45-C43</f>
        <v>228</v>
      </c>
      <c r="D46" s="52">
        <f>D45-D43</f>
        <v>0</v>
      </c>
      <c r="E46" s="55">
        <f>C46</f>
        <v>228</v>
      </c>
    </row>
    <row r="47" spans="2:5" ht="17.25" customHeight="1" x14ac:dyDescent="0.25">
      <c r="B47" s="23">
        <v>21</v>
      </c>
      <c r="C47" s="48">
        <v>260850</v>
      </c>
      <c r="D47" s="74">
        <v>54220</v>
      </c>
      <c r="E47" s="55"/>
    </row>
    <row r="48" spans="2:5" ht="17.25" customHeight="1" x14ac:dyDescent="0.25">
      <c r="B48" s="11" t="s">
        <v>47</v>
      </c>
      <c r="C48" s="52">
        <f>C47-C45</f>
        <v>259</v>
      </c>
      <c r="D48" s="52">
        <f>D47-D45</f>
        <v>0</v>
      </c>
      <c r="E48" s="55">
        <f>C48</f>
        <v>259</v>
      </c>
    </row>
    <row r="49" spans="2:5" ht="17.25" customHeight="1" x14ac:dyDescent="0.25">
      <c r="B49" s="23">
        <v>22</v>
      </c>
      <c r="C49" s="48">
        <v>261111</v>
      </c>
      <c r="D49" s="74">
        <v>54220</v>
      </c>
      <c r="E49" s="55"/>
    </row>
    <row r="50" spans="2:5" ht="17.25" customHeight="1" x14ac:dyDescent="0.25">
      <c r="B50" s="11" t="s">
        <v>47</v>
      </c>
      <c r="C50" s="52">
        <f>C49-C47</f>
        <v>261</v>
      </c>
      <c r="D50" s="52">
        <f>D49-D47</f>
        <v>0</v>
      </c>
      <c r="E50" s="55">
        <f>C50</f>
        <v>261</v>
      </c>
    </row>
    <row r="51" spans="2:5" ht="17.25" customHeight="1" x14ac:dyDescent="0.25">
      <c r="B51" s="23">
        <v>23</v>
      </c>
      <c r="C51" s="48">
        <v>261323</v>
      </c>
      <c r="D51" s="74">
        <v>54220</v>
      </c>
      <c r="E51" s="55"/>
    </row>
    <row r="52" spans="2:5" ht="17.25" customHeight="1" x14ac:dyDescent="0.25">
      <c r="B52" s="11" t="s">
        <v>47</v>
      </c>
      <c r="C52" s="52">
        <f>C51-C49</f>
        <v>212</v>
      </c>
      <c r="D52" s="52">
        <f>D51-D49</f>
        <v>0</v>
      </c>
      <c r="E52" s="55">
        <f>C52</f>
        <v>212</v>
      </c>
    </row>
    <row r="53" spans="2:5" ht="17.25" customHeight="1" x14ac:dyDescent="0.25">
      <c r="B53" s="23">
        <v>24</v>
      </c>
      <c r="C53" s="63">
        <v>261619</v>
      </c>
      <c r="D53" s="74">
        <v>54220</v>
      </c>
      <c r="E53" s="55"/>
    </row>
    <row r="54" spans="2:5" ht="17.25" customHeight="1" x14ac:dyDescent="0.25">
      <c r="B54" s="11" t="s">
        <v>47</v>
      </c>
      <c r="C54" s="52">
        <f>C53-C51</f>
        <v>296</v>
      </c>
      <c r="D54" s="52">
        <f>D53-D51</f>
        <v>0</v>
      </c>
      <c r="E54" s="55">
        <f>C54</f>
        <v>296</v>
      </c>
    </row>
    <row r="55" spans="2:5" ht="17.25" customHeight="1" x14ac:dyDescent="0.25">
      <c r="B55" s="23">
        <v>25</v>
      </c>
      <c r="C55" s="63">
        <v>261911</v>
      </c>
      <c r="D55" s="74">
        <v>54220</v>
      </c>
      <c r="E55" s="55"/>
    </row>
    <row r="56" spans="2:5" ht="17.25" customHeight="1" x14ac:dyDescent="0.25">
      <c r="B56" s="11" t="s">
        <v>47</v>
      </c>
      <c r="C56" s="52">
        <f>C55-C53</f>
        <v>292</v>
      </c>
      <c r="D56" s="52">
        <f>D55-D53</f>
        <v>0</v>
      </c>
      <c r="E56" s="55">
        <f>C56</f>
        <v>292</v>
      </c>
    </row>
    <row r="57" spans="2:5" ht="17.25" customHeight="1" x14ac:dyDescent="0.25">
      <c r="B57" s="23">
        <v>26</v>
      </c>
      <c r="C57" s="63">
        <v>262201</v>
      </c>
      <c r="D57" s="74">
        <v>54220</v>
      </c>
      <c r="E57" s="55"/>
    </row>
    <row r="58" spans="2:5" ht="17.25" customHeight="1" x14ac:dyDescent="0.25">
      <c r="B58" s="11" t="s">
        <v>47</v>
      </c>
      <c r="C58" s="52">
        <f>C57-C55</f>
        <v>290</v>
      </c>
      <c r="D58" s="52">
        <f>D57-D55</f>
        <v>0</v>
      </c>
      <c r="E58" s="55">
        <f>C58</f>
        <v>290</v>
      </c>
    </row>
    <row r="59" spans="2:5" ht="17.25" customHeight="1" x14ac:dyDescent="0.25">
      <c r="B59" s="23">
        <v>27</v>
      </c>
      <c r="C59" s="63">
        <v>262518</v>
      </c>
      <c r="D59" s="74">
        <v>54220</v>
      </c>
      <c r="E59" s="55"/>
    </row>
    <row r="60" spans="2:5" ht="17.25" customHeight="1" x14ac:dyDescent="0.25">
      <c r="B60" s="11" t="s">
        <v>47</v>
      </c>
      <c r="C60" s="52">
        <f>C59-C57</f>
        <v>317</v>
      </c>
      <c r="D60" s="52">
        <f>D59-D57</f>
        <v>0</v>
      </c>
      <c r="E60" s="55">
        <f>C60</f>
        <v>317</v>
      </c>
    </row>
    <row r="61" spans="2:5" ht="17.25" customHeight="1" x14ac:dyDescent="0.25">
      <c r="B61" s="23">
        <v>28</v>
      </c>
      <c r="C61" s="48">
        <v>262826</v>
      </c>
      <c r="D61" s="74">
        <v>54220</v>
      </c>
      <c r="E61" s="55"/>
    </row>
    <row r="62" spans="2:5" ht="17.25" customHeight="1" x14ac:dyDescent="0.25">
      <c r="B62" s="11" t="s">
        <v>47</v>
      </c>
      <c r="C62" s="52">
        <f>C61-C59</f>
        <v>308</v>
      </c>
      <c r="D62" s="52">
        <f>D61-D59</f>
        <v>0</v>
      </c>
      <c r="E62" s="55">
        <f>C62</f>
        <v>308</v>
      </c>
    </row>
    <row r="63" spans="2:5" ht="17.25" customHeight="1" x14ac:dyDescent="0.25">
      <c r="B63" s="23">
        <v>29</v>
      </c>
      <c r="C63" s="48">
        <v>263110</v>
      </c>
      <c r="D63" s="74">
        <v>54220</v>
      </c>
      <c r="E63" s="55"/>
    </row>
    <row r="64" spans="2:5" ht="17.25" customHeight="1" x14ac:dyDescent="0.25">
      <c r="B64" s="11" t="s">
        <v>47</v>
      </c>
      <c r="C64" s="52">
        <f>C63-C61</f>
        <v>284</v>
      </c>
      <c r="D64" s="52">
        <f>D63-D61</f>
        <v>0</v>
      </c>
      <c r="E64" s="55">
        <f>C64</f>
        <v>284</v>
      </c>
    </row>
    <row r="65" spans="2:5" ht="17.25" customHeight="1" x14ac:dyDescent="0.25">
      <c r="B65" s="23">
        <v>30</v>
      </c>
      <c r="C65" s="48">
        <v>263379</v>
      </c>
      <c r="D65" s="74">
        <v>54220</v>
      </c>
      <c r="E65" s="55"/>
    </row>
    <row r="66" spans="2:5" ht="17.25" customHeight="1" x14ac:dyDescent="0.25">
      <c r="B66" s="11" t="s">
        <v>47</v>
      </c>
      <c r="C66" s="52">
        <f>C65-C63</f>
        <v>269</v>
      </c>
      <c r="D66" s="52">
        <f>D65-D63</f>
        <v>0</v>
      </c>
      <c r="E66" s="55">
        <f>C66</f>
        <v>269</v>
      </c>
    </row>
    <row r="67" spans="2:5" ht="15.75" x14ac:dyDescent="0.25">
      <c r="B67" s="23">
        <v>31</v>
      </c>
      <c r="C67" s="48">
        <v>263637</v>
      </c>
      <c r="D67" s="74">
        <v>54220</v>
      </c>
      <c r="E67" s="55"/>
    </row>
    <row r="68" spans="2:5" ht="15.75" x14ac:dyDescent="0.25">
      <c r="B68" s="11" t="s">
        <v>47</v>
      </c>
      <c r="C68" s="52">
        <f>C67-C65</f>
        <v>258</v>
      </c>
      <c r="D68" s="52">
        <f>D67-D65</f>
        <v>0</v>
      </c>
      <c r="E68" s="55">
        <f>C68</f>
        <v>258</v>
      </c>
    </row>
    <row r="69" spans="2:5" x14ac:dyDescent="0.25">
      <c r="E69" s="1">
        <f>SUM(E8:E68)</f>
        <v>8771</v>
      </c>
    </row>
    <row r="70" spans="2:5" x14ac:dyDescent="0.25">
      <c r="E70" s="1">
        <f>E69*3.7*0.51</f>
        <v>16550.877</v>
      </c>
    </row>
  </sheetData>
  <customSheetViews>
    <customSheetView guid="{3F0D6565-C55E-43AC-AC5D-87C4E1D85423}">
      <pane ySplit="6" topLeftCell="A22" activePane="bottomLeft" state="frozen"/>
      <selection pane="bottomLeft" activeCell="D40" sqref="D40"/>
      <pageMargins left="0" right="0" top="0" bottom="0" header="0" footer="0"/>
      <printOptions horizontalCentered="1"/>
      <pageSetup paperSize="9" orientation="landscape" r:id="rId1"/>
    </customSheetView>
    <customSheetView guid="{25F117C9-9E88-4830-872F-F7C65066F93E}">
      <pane ySplit="6" topLeftCell="A52" activePane="bottomLeft" state="frozen"/>
      <selection pane="bottomLeft" activeCell="E64" sqref="E64"/>
      <pageMargins left="0" right="0" top="0" bottom="0" header="0" footer="0"/>
      <printOptions horizontalCentered="1"/>
      <pageSetup paperSize="9" orientation="landscape" r:id="rId2"/>
    </customSheetView>
    <customSheetView guid="{715FFCCD-858F-48B1-9C65-962158B32E76}">
      <pane ySplit="6" topLeftCell="A40" activePane="bottomLeft" state="frozen"/>
      <selection pane="bottomLeft" activeCell="E56" sqref="E56"/>
      <pageMargins left="0" right="0" top="0" bottom="0" header="0" footer="0"/>
      <printOptions horizontalCentered="1"/>
      <pageSetup paperSize="9" orientation="landscape" r:id="rId3"/>
    </customSheetView>
    <customSheetView guid="{071FA3B5-878B-4C51-9DD6-5097B4769603}">
      <pane ySplit="6" topLeftCell="A40" activePane="bottomLeft" state="frozen"/>
      <selection pane="bottomLeft" activeCell="C62" sqref="C62"/>
      <pageMargins left="0" right="0" top="0" bottom="0" header="0" footer="0"/>
      <printOptions horizontalCentered="1"/>
      <pageSetup paperSize="9" orientation="landscape" r:id="rId4"/>
    </customSheetView>
    <customSheetView guid="{91089E3D-1703-4FEE-B13A-4F0669A06DB8}">
      <pane ySplit="6" topLeftCell="A31" activePane="bottomLeft" state="frozen"/>
      <selection pane="bottomLeft" activeCell="C38" sqref="C38:D38"/>
      <pageMargins left="0" right="0" top="0" bottom="0" header="0" footer="0"/>
      <printOptions horizontalCentered="1"/>
      <pageSetup paperSize="9" orientation="landscape" r:id="rId5"/>
    </customSheetView>
  </customSheetViews>
  <mergeCells count="4">
    <mergeCell ref="B5:B6"/>
    <mergeCell ref="E5:E6"/>
    <mergeCell ref="F3:H4"/>
    <mergeCell ref="D4:E4"/>
  </mergeCells>
  <printOptions horizontalCentered="1"/>
  <pageMargins left="0.2" right="0.2" top="0.25" bottom="0.25" header="0.05" footer="0.05"/>
  <pageSetup paperSize="9" orientation="landscape" r:id="rId6"/>
  <drawing r:id="rId7"/>
  <legacy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32" sqref="J32"/>
    </sheetView>
  </sheetViews>
  <sheetFormatPr defaultRowHeight="15" x14ac:dyDescent="0.25"/>
  <sheetData/>
  <customSheetViews>
    <customSheetView guid="{3F0D6565-C55E-43AC-AC5D-87C4E1D85423}">
      <pageMargins left="0" right="0" top="0" bottom="0" header="0" footer="0"/>
    </customSheetView>
    <customSheetView guid="{25F117C9-9E88-4830-872F-F7C65066F93E}">
      <pageMargins left="0" right="0" top="0" bottom="0" header="0" footer="0"/>
    </customSheetView>
    <customSheetView guid="{715FFCCD-858F-48B1-9C65-962158B32E76}">
      <pageMargins left="0" right="0" top="0" bottom="0" header="0" footer="0"/>
    </customSheetView>
    <customSheetView guid="{071FA3B5-878B-4C51-9DD6-5097B4769603}">
      <pageMargins left="0" right="0" top="0" bottom="0" header="0" footer="0"/>
    </customSheetView>
    <customSheetView guid="{91089E3D-1703-4FEE-B13A-4F0669A06DB8}"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585a97-453b-43f7-adce-c4bafe4f3563">
      <Terms xmlns="http://schemas.microsoft.com/office/infopath/2007/PartnerControls"/>
    </lcf76f155ced4ddcb4097134ff3c332f>
    <TaxCatchAll xmlns="85f80d94-36c6-4cfa-b190-3af03c89e98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2" ma:contentTypeDescription="Create a new document." ma:contentTypeScope="" ma:versionID="4d93491307a8d4ad8077fe7e1a16aee4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5c3e123b44aa158d49ed8da39249e513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5FCC19-1F44-4585-B22E-0D9BCE0545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3BF3A3-18DF-4468-91ED-FD95BA27F38E}">
  <ds:schemaRefs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85f80d94-36c6-4cfa-b190-3af03c89e98e"/>
    <ds:schemaRef ds:uri="http://schemas.microsoft.com/office/infopath/2007/PartnerControls"/>
    <ds:schemaRef ds:uri="http://schemas.openxmlformats.org/package/2006/metadata/core-properties"/>
    <ds:schemaRef ds:uri="4a585a97-453b-43f7-adce-c4bafe4f356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14E4D64-0DB7-4398-AFF3-21F6814AF7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Submetering </vt:lpstr>
      <vt:lpstr>13 - Electrical Readings</vt:lpstr>
      <vt:lpstr>9 - Water Readings</vt:lpstr>
      <vt:lpstr>LPG</vt:lpstr>
      <vt:lpstr>Sheet1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John George</cp:lastModifiedBy>
  <cp:revision/>
  <dcterms:created xsi:type="dcterms:W3CDTF">2017-05-16T16:59:37Z</dcterms:created>
  <dcterms:modified xsi:type="dcterms:W3CDTF">2022-06-02T07:45:57Z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</Properties>
</file>