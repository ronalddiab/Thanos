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02"/>
  <workbookPr/>
  <mc:AlternateContent xmlns:mc="http://schemas.openxmlformats.org/markup-compatibility/2006">
    <mc:Choice Requires="x15">
      <x15ac:absPath xmlns:x15ac="http://schemas.microsoft.com/office/spreadsheetml/2010/11/ac" url="https://d.docs.live.net/28a67037406f182d/المستندات/"/>
    </mc:Choice>
  </mc:AlternateContent>
  <xr:revisionPtr revIDLastSave="22" documentId="8_{876F83B8-7751-4376-99D8-E57B00D3653F}" xr6:coauthVersionLast="47" xr6:coauthVersionMax="47" xr10:uidLastSave="{C79FBFD8-B05D-47A2-8167-C09DF46CBFF3}"/>
  <bookViews>
    <workbookView xWindow="-120" yWindow="-120" windowWidth="20730" windowHeight="11160" tabRatio="434" firstSheet="2" activeTab="2" xr2:uid="{00000000-000D-0000-FFFF-FFFF00000000}"/>
  </bookViews>
  <sheets>
    <sheet name="TOTAL" sheetId="1" r:id="rId1"/>
    <sheet name="Submetering" sheetId="4" r:id="rId2"/>
    <sheet name="HOTEL" sheetId="3" r:id="rId3"/>
    <sheet name="Sheet1" sheetId="5" r:id="rId4"/>
  </sheets>
  <externalReferences>
    <externalReference r:id="rId5"/>
  </externalReferences>
  <calcPr calcId="191028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X34" i="3" l="1"/>
  <c r="ED33" i="3"/>
  <c r="EB33" i="3"/>
  <c r="DZ33" i="3"/>
  <c r="DX33" i="3"/>
  <c r="ED32" i="3"/>
  <c r="EB32" i="3"/>
  <c r="DZ32" i="3"/>
  <c r="DX32" i="3"/>
  <c r="ED31" i="3"/>
  <c r="EB31" i="3"/>
  <c r="DZ31" i="3"/>
  <c r="DX31" i="3"/>
  <c r="ED30" i="3"/>
  <c r="EB30" i="3"/>
  <c r="DZ30" i="3"/>
  <c r="DX30" i="3"/>
  <c r="ED29" i="3"/>
  <c r="EB29" i="3"/>
  <c r="DZ29" i="3"/>
  <c r="DX29" i="3"/>
  <c r="ED28" i="3"/>
  <c r="EB28" i="3"/>
  <c r="DZ28" i="3"/>
  <c r="DX28" i="3"/>
  <c r="ED27" i="3"/>
  <c r="EB27" i="3"/>
  <c r="DZ27" i="3"/>
  <c r="DX27" i="3"/>
  <c r="ED26" i="3"/>
  <c r="EB26" i="3"/>
  <c r="DZ26" i="3"/>
  <c r="DX26" i="3"/>
  <c r="ED25" i="3"/>
  <c r="EB25" i="3"/>
  <c r="DZ25" i="3"/>
  <c r="DX25" i="3"/>
  <c r="ED24" i="3"/>
  <c r="EB24" i="3"/>
  <c r="DZ24" i="3"/>
  <c r="DX24" i="3"/>
  <c r="ED23" i="3"/>
  <c r="EB23" i="3"/>
  <c r="DZ23" i="3"/>
  <c r="DX23" i="3"/>
  <c r="ED22" i="3"/>
  <c r="EB22" i="3"/>
  <c r="DZ22" i="3"/>
  <c r="DX22" i="3"/>
  <c r="ED21" i="3"/>
  <c r="EB21" i="3"/>
  <c r="DZ21" i="3"/>
  <c r="DX21" i="3"/>
  <c r="ED20" i="3"/>
  <c r="EB20" i="3"/>
  <c r="DZ20" i="3"/>
  <c r="DX20" i="3"/>
  <c r="ED19" i="3"/>
  <c r="EB19" i="3"/>
  <c r="DZ19" i="3"/>
  <c r="DX19" i="3"/>
  <c r="ED18" i="3"/>
  <c r="EB18" i="3"/>
  <c r="DZ18" i="3"/>
  <c r="DX18" i="3"/>
  <c r="ED17" i="3"/>
  <c r="EB17" i="3"/>
  <c r="DZ17" i="3"/>
  <c r="DX17" i="3"/>
  <c r="ED16" i="3"/>
  <c r="EB16" i="3"/>
  <c r="DZ16" i="3"/>
  <c r="DX16" i="3"/>
  <c r="ED15" i="3"/>
  <c r="EB15" i="3"/>
  <c r="DZ15" i="3"/>
  <c r="DX15" i="3"/>
  <c r="ED14" i="3"/>
  <c r="EB14" i="3"/>
  <c r="DZ14" i="3"/>
  <c r="DX14" i="3"/>
  <c r="ED13" i="3"/>
  <c r="EB13" i="3"/>
  <c r="DZ13" i="3"/>
  <c r="DX13" i="3"/>
  <c r="ED12" i="3"/>
  <c r="EB12" i="3"/>
  <c r="DZ12" i="3"/>
  <c r="DX12" i="3"/>
  <c r="ED11" i="3"/>
  <c r="EB11" i="3"/>
  <c r="DZ11" i="3"/>
  <c r="DX11" i="3"/>
  <c r="ED10" i="3"/>
  <c r="EB10" i="3"/>
  <c r="DZ10" i="3"/>
  <c r="DX10" i="3"/>
  <c r="ED9" i="3"/>
  <c r="EB9" i="3"/>
  <c r="DZ9" i="3"/>
  <c r="DX9" i="3"/>
  <c r="ED8" i="3"/>
  <c r="EB8" i="3"/>
  <c r="DZ8" i="3"/>
  <c r="DX8" i="3"/>
  <c r="ED7" i="3"/>
  <c r="EB7" i="3"/>
  <c r="DZ7" i="3"/>
  <c r="DX7" i="3"/>
  <c r="ED6" i="3"/>
  <c r="EB6" i="3"/>
  <c r="DZ6" i="3"/>
  <c r="DX6" i="3"/>
  <c r="ED5" i="3"/>
  <c r="EB5" i="3"/>
  <c r="DZ5" i="3"/>
  <c r="DX5" i="3"/>
  <c r="ED4" i="3"/>
  <c r="EB4" i="3"/>
  <c r="DZ4" i="3"/>
  <c r="DX4" i="3"/>
  <c r="DU34" i="3"/>
  <c r="DV34" i="3" s="1"/>
  <c r="CZ34" i="3"/>
  <c r="DA34" i="3" s="1"/>
  <c r="CW34" i="3"/>
  <c r="CX34" i="3" s="1"/>
  <c r="CT34" i="3"/>
  <c r="CU34" i="3" s="1"/>
  <c r="CN34" i="3"/>
  <c r="CO34" i="3" s="1"/>
  <c r="CI34" i="3"/>
  <c r="CG34" i="3"/>
  <c r="CE34" i="3"/>
  <c r="CJ34" i="3" s="1"/>
  <c r="CC34" i="3"/>
  <c r="DU33" i="3"/>
  <c r="DV33" i="3" s="1"/>
  <c r="DR33" i="3"/>
  <c r="DO33" i="3"/>
  <c r="DL33" i="3"/>
  <c r="DI33" i="3"/>
  <c r="DF33" i="3"/>
  <c r="DC33" i="3"/>
  <c r="CZ33" i="3"/>
  <c r="DA33" i="3" s="1"/>
  <c r="CW33" i="3"/>
  <c r="CX33" i="3" s="1"/>
  <c r="CT33" i="3"/>
  <c r="CU33" i="3" s="1"/>
  <c r="CQ33" i="3"/>
  <c r="CR33" i="3" s="1"/>
  <c r="CN33" i="3"/>
  <c r="CO33" i="3" s="1"/>
  <c r="CI33" i="3"/>
  <c r="CG33" i="3"/>
  <c r="CE33" i="3"/>
  <c r="CJ33" i="3" s="1"/>
  <c r="CK34" i="3" s="1"/>
  <c r="CC33" i="3"/>
  <c r="DU32" i="3"/>
  <c r="DV32" i="3" s="1"/>
  <c r="DR32" i="3"/>
  <c r="DO32" i="3"/>
  <c r="DL32" i="3"/>
  <c r="DI32" i="3"/>
  <c r="DF32" i="3"/>
  <c r="DC32" i="3"/>
  <c r="CZ32" i="3"/>
  <c r="DA32" i="3" s="1"/>
  <c r="CW32" i="3"/>
  <c r="CX32" i="3" s="1"/>
  <c r="CT32" i="3"/>
  <c r="CU32" i="3" s="1"/>
  <c r="CQ32" i="3"/>
  <c r="CR32" i="3" s="1"/>
  <c r="CN32" i="3"/>
  <c r="CO32" i="3" s="1"/>
  <c r="CI32" i="3"/>
  <c r="CG32" i="3"/>
  <c r="CE32" i="3"/>
  <c r="CJ32" i="3" s="1"/>
  <c r="CK33" i="3" s="1"/>
  <c r="CC32" i="3"/>
  <c r="DU31" i="3"/>
  <c r="DV31" i="3" s="1"/>
  <c r="DR31" i="3"/>
  <c r="DO31" i="3"/>
  <c r="DL31" i="3"/>
  <c r="DI31" i="3"/>
  <c r="DF31" i="3"/>
  <c r="DC31" i="3"/>
  <c r="CZ31" i="3"/>
  <c r="DA31" i="3" s="1"/>
  <c r="CW31" i="3"/>
  <c r="CX31" i="3" s="1"/>
  <c r="CT31" i="3"/>
  <c r="CU31" i="3" s="1"/>
  <c r="CQ31" i="3"/>
  <c r="CR31" i="3" s="1"/>
  <c r="CN31" i="3"/>
  <c r="CO31" i="3" s="1"/>
  <c r="CI31" i="3"/>
  <c r="CG31" i="3"/>
  <c r="CE31" i="3"/>
  <c r="CJ31" i="3" s="1"/>
  <c r="CK32" i="3" s="1"/>
  <c r="CC31" i="3"/>
  <c r="DU30" i="3"/>
  <c r="DV30" i="3" s="1"/>
  <c r="DR30" i="3"/>
  <c r="DO30" i="3"/>
  <c r="DL30" i="3"/>
  <c r="DI30" i="3"/>
  <c r="DF30" i="3"/>
  <c r="DC30" i="3"/>
  <c r="CZ30" i="3"/>
  <c r="DA30" i="3" s="1"/>
  <c r="CW30" i="3"/>
  <c r="CX30" i="3" s="1"/>
  <c r="CT30" i="3"/>
  <c r="CU30" i="3" s="1"/>
  <c r="CQ30" i="3"/>
  <c r="CR30" i="3" s="1"/>
  <c r="CN30" i="3"/>
  <c r="CO30" i="3" s="1"/>
  <c r="CI30" i="3"/>
  <c r="CG30" i="3"/>
  <c r="CE30" i="3"/>
  <c r="CJ30" i="3" s="1"/>
  <c r="CK31" i="3" s="1"/>
  <c r="CC30" i="3"/>
  <c r="DU29" i="3"/>
  <c r="DV29" i="3" s="1"/>
  <c r="DR29" i="3"/>
  <c r="DO29" i="3"/>
  <c r="DL29" i="3"/>
  <c r="DI29" i="3"/>
  <c r="DF29" i="3"/>
  <c r="DC29" i="3"/>
  <c r="CZ29" i="3"/>
  <c r="DA29" i="3" s="1"/>
  <c r="CW29" i="3"/>
  <c r="CX29" i="3" s="1"/>
  <c r="CT29" i="3"/>
  <c r="CU29" i="3" s="1"/>
  <c r="CQ29" i="3"/>
  <c r="CR29" i="3" s="1"/>
  <c r="CN29" i="3"/>
  <c r="CO29" i="3" s="1"/>
  <c r="CI29" i="3"/>
  <c r="CG29" i="3"/>
  <c r="CE29" i="3"/>
  <c r="CJ29" i="3" s="1"/>
  <c r="CK30" i="3" s="1"/>
  <c r="CC29" i="3"/>
  <c r="DU28" i="3"/>
  <c r="DV28" i="3" s="1"/>
  <c r="DR28" i="3"/>
  <c r="DO28" i="3"/>
  <c r="DL28" i="3"/>
  <c r="DI28" i="3"/>
  <c r="DF28" i="3"/>
  <c r="DC28" i="3"/>
  <c r="CZ28" i="3"/>
  <c r="DA28" i="3" s="1"/>
  <c r="CW28" i="3"/>
  <c r="CX28" i="3" s="1"/>
  <c r="CT28" i="3"/>
  <c r="CU28" i="3" s="1"/>
  <c r="CQ28" i="3"/>
  <c r="CR28" i="3" s="1"/>
  <c r="CN28" i="3"/>
  <c r="CO28" i="3" s="1"/>
  <c r="CI28" i="3"/>
  <c r="CG28" i="3"/>
  <c r="CE28" i="3"/>
  <c r="CJ28" i="3" s="1"/>
  <c r="CK29" i="3" s="1"/>
  <c r="CC28" i="3"/>
  <c r="DU27" i="3"/>
  <c r="DV27" i="3" s="1"/>
  <c r="DR27" i="3"/>
  <c r="DO27" i="3"/>
  <c r="DL27" i="3"/>
  <c r="DI27" i="3"/>
  <c r="DF27" i="3"/>
  <c r="DC27" i="3"/>
  <c r="CZ27" i="3"/>
  <c r="DA27" i="3" s="1"/>
  <c r="CW27" i="3"/>
  <c r="CX27" i="3" s="1"/>
  <c r="CT27" i="3"/>
  <c r="CU27" i="3" s="1"/>
  <c r="CQ27" i="3"/>
  <c r="CR27" i="3" s="1"/>
  <c r="CN27" i="3"/>
  <c r="CO27" i="3" s="1"/>
  <c r="CI27" i="3"/>
  <c r="CG27" i="3"/>
  <c r="CE27" i="3"/>
  <c r="CJ27" i="3" s="1"/>
  <c r="CK28" i="3" s="1"/>
  <c r="CC27" i="3"/>
  <c r="DU26" i="3"/>
  <c r="DV26" i="3" s="1"/>
  <c r="DR26" i="3"/>
  <c r="DO26" i="3"/>
  <c r="DL26" i="3"/>
  <c r="DI26" i="3"/>
  <c r="DF26" i="3"/>
  <c r="DC26" i="3"/>
  <c r="CZ26" i="3"/>
  <c r="DA26" i="3" s="1"/>
  <c r="CW26" i="3"/>
  <c r="CX26" i="3" s="1"/>
  <c r="CT26" i="3"/>
  <c r="CU26" i="3" s="1"/>
  <c r="CQ26" i="3"/>
  <c r="CR26" i="3" s="1"/>
  <c r="CN26" i="3"/>
  <c r="CO26" i="3" s="1"/>
  <c r="CI26" i="3"/>
  <c r="CG26" i="3"/>
  <c r="CE26" i="3"/>
  <c r="CJ26" i="3" s="1"/>
  <c r="CK27" i="3" s="1"/>
  <c r="CC26" i="3"/>
  <c r="DU25" i="3"/>
  <c r="DV25" i="3" s="1"/>
  <c r="DR25" i="3"/>
  <c r="DO25" i="3"/>
  <c r="DL25" i="3"/>
  <c r="DI25" i="3"/>
  <c r="DF25" i="3"/>
  <c r="DC25" i="3"/>
  <c r="CZ25" i="3"/>
  <c r="DA25" i="3" s="1"/>
  <c r="CW25" i="3"/>
  <c r="CX25" i="3" s="1"/>
  <c r="CT25" i="3"/>
  <c r="CU25" i="3" s="1"/>
  <c r="CQ25" i="3"/>
  <c r="CR25" i="3" s="1"/>
  <c r="CN25" i="3"/>
  <c r="CO25" i="3" s="1"/>
  <c r="CI25" i="3"/>
  <c r="CG25" i="3"/>
  <c r="CE25" i="3"/>
  <c r="CJ25" i="3" s="1"/>
  <c r="CK26" i="3" s="1"/>
  <c r="CC25" i="3"/>
  <c r="DU24" i="3"/>
  <c r="DV24" i="3" s="1"/>
  <c r="DR24" i="3"/>
  <c r="DO24" i="3"/>
  <c r="DL24" i="3"/>
  <c r="DI24" i="3"/>
  <c r="DF24" i="3"/>
  <c r="DC24" i="3"/>
  <c r="CZ24" i="3"/>
  <c r="DA24" i="3" s="1"/>
  <c r="CW24" i="3"/>
  <c r="CX24" i="3" s="1"/>
  <c r="CT24" i="3"/>
  <c r="CU24" i="3" s="1"/>
  <c r="CQ24" i="3"/>
  <c r="CR24" i="3" s="1"/>
  <c r="CN24" i="3"/>
  <c r="CO24" i="3" s="1"/>
  <c r="CI24" i="3"/>
  <c r="CG24" i="3"/>
  <c r="CE24" i="3"/>
  <c r="CJ24" i="3" s="1"/>
  <c r="CK25" i="3" s="1"/>
  <c r="CC24" i="3"/>
  <c r="DU23" i="3"/>
  <c r="DV23" i="3" s="1"/>
  <c r="DR23" i="3"/>
  <c r="DO23" i="3"/>
  <c r="DL23" i="3"/>
  <c r="DI23" i="3"/>
  <c r="DF23" i="3"/>
  <c r="DC23" i="3"/>
  <c r="CZ23" i="3"/>
  <c r="DA23" i="3" s="1"/>
  <c r="CW23" i="3"/>
  <c r="CX23" i="3" s="1"/>
  <c r="CT23" i="3"/>
  <c r="CU23" i="3" s="1"/>
  <c r="CQ23" i="3"/>
  <c r="CR23" i="3" s="1"/>
  <c r="CN23" i="3"/>
  <c r="CO23" i="3" s="1"/>
  <c r="CI23" i="3"/>
  <c r="CG23" i="3"/>
  <c r="CE23" i="3"/>
  <c r="CJ23" i="3" s="1"/>
  <c r="CK24" i="3" s="1"/>
  <c r="CC23" i="3"/>
  <c r="DU22" i="3"/>
  <c r="DV22" i="3" s="1"/>
  <c r="DR22" i="3"/>
  <c r="DO22" i="3"/>
  <c r="DL22" i="3"/>
  <c r="DI22" i="3"/>
  <c r="DF22" i="3"/>
  <c r="DC22" i="3"/>
  <c r="CZ22" i="3"/>
  <c r="DA22" i="3" s="1"/>
  <c r="CW22" i="3"/>
  <c r="CX22" i="3" s="1"/>
  <c r="CT22" i="3"/>
  <c r="CU22" i="3" s="1"/>
  <c r="CQ22" i="3"/>
  <c r="CR22" i="3" s="1"/>
  <c r="CN22" i="3"/>
  <c r="CO22" i="3" s="1"/>
  <c r="CI22" i="3"/>
  <c r="CG22" i="3"/>
  <c r="CE22" i="3"/>
  <c r="CJ22" i="3" s="1"/>
  <c r="CK23" i="3" s="1"/>
  <c r="CC22" i="3"/>
  <c r="DU21" i="3"/>
  <c r="DV21" i="3" s="1"/>
  <c r="DR21" i="3"/>
  <c r="DO21" i="3"/>
  <c r="DL21" i="3"/>
  <c r="DI21" i="3"/>
  <c r="DF21" i="3"/>
  <c r="DC21" i="3"/>
  <c r="CZ21" i="3"/>
  <c r="DA21" i="3" s="1"/>
  <c r="CW21" i="3"/>
  <c r="CX21" i="3" s="1"/>
  <c r="CT21" i="3"/>
  <c r="CU21" i="3" s="1"/>
  <c r="CQ21" i="3"/>
  <c r="CR21" i="3" s="1"/>
  <c r="CN21" i="3"/>
  <c r="CO21" i="3" s="1"/>
  <c r="CI21" i="3"/>
  <c r="CG21" i="3"/>
  <c r="CE21" i="3"/>
  <c r="CJ21" i="3" s="1"/>
  <c r="CK22" i="3" s="1"/>
  <c r="CC21" i="3"/>
  <c r="DU20" i="3"/>
  <c r="DV20" i="3" s="1"/>
  <c r="DR20" i="3"/>
  <c r="DO20" i="3"/>
  <c r="DL20" i="3"/>
  <c r="DI20" i="3"/>
  <c r="DF20" i="3"/>
  <c r="DC20" i="3"/>
  <c r="CZ20" i="3"/>
  <c r="DA20" i="3" s="1"/>
  <c r="CW20" i="3"/>
  <c r="CX20" i="3" s="1"/>
  <c r="CT20" i="3"/>
  <c r="CU20" i="3" s="1"/>
  <c r="CQ20" i="3"/>
  <c r="CR20" i="3" s="1"/>
  <c r="CN20" i="3"/>
  <c r="CO20" i="3" s="1"/>
  <c r="CI20" i="3"/>
  <c r="CG20" i="3"/>
  <c r="CE20" i="3"/>
  <c r="CJ20" i="3" s="1"/>
  <c r="CK21" i="3" s="1"/>
  <c r="CC20" i="3"/>
  <c r="DU19" i="3"/>
  <c r="DV19" i="3" s="1"/>
  <c r="DR19" i="3"/>
  <c r="DO19" i="3"/>
  <c r="DL19" i="3"/>
  <c r="DI19" i="3"/>
  <c r="DF19" i="3"/>
  <c r="DC19" i="3"/>
  <c r="CZ19" i="3"/>
  <c r="DA19" i="3" s="1"/>
  <c r="CW19" i="3"/>
  <c r="CX19" i="3" s="1"/>
  <c r="CT19" i="3"/>
  <c r="CU19" i="3" s="1"/>
  <c r="CQ19" i="3"/>
  <c r="CR19" i="3" s="1"/>
  <c r="CN19" i="3"/>
  <c r="CO19" i="3" s="1"/>
  <c r="CI19" i="3"/>
  <c r="CG19" i="3"/>
  <c r="CE19" i="3"/>
  <c r="CJ19" i="3" s="1"/>
  <c r="CK20" i="3" s="1"/>
  <c r="CC19" i="3"/>
  <c r="DU18" i="3"/>
  <c r="DV18" i="3" s="1"/>
  <c r="DR18" i="3"/>
  <c r="DO18" i="3"/>
  <c r="DL18" i="3"/>
  <c r="DI18" i="3"/>
  <c r="DF18" i="3"/>
  <c r="DC18" i="3"/>
  <c r="CZ18" i="3"/>
  <c r="DA18" i="3" s="1"/>
  <c r="CW18" i="3"/>
  <c r="CX18" i="3" s="1"/>
  <c r="CT18" i="3"/>
  <c r="CU18" i="3" s="1"/>
  <c r="CQ18" i="3"/>
  <c r="CR18" i="3" s="1"/>
  <c r="CN18" i="3"/>
  <c r="CO18" i="3" s="1"/>
  <c r="CI18" i="3"/>
  <c r="CG18" i="3"/>
  <c r="CE18" i="3"/>
  <c r="CJ18" i="3" s="1"/>
  <c r="CK19" i="3" s="1"/>
  <c r="CC18" i="3"/>
  <c r="DU17" i="3"/>
  <c r="DV17" i="3" s="1"/>
  <c r="DR17" i="3"/>
  <c r="DO17" i="3"/>
  <c r="DL17" i="3"/>
  <c r="DI17" i="3"/>
  <c r="DF17" i="3"/>
  <c r="DC17" i="3"/>
  <c r="CZ17" i="3"/>
  <c r="DA17" i="3" s="1"/>
  <c r="CW17" i="3"/>
  <c r="CX17" i="3" s="1"/>
  <c r="CT17" i="3"/>
  <c r="CU17" i="3" s="1"/>
  <c r="CQ17" i="3"/>
  <c r="CR17" i="3" s="1"/>
  <c r="CN17" i="3"/>
  <c r="CO17" i="3" s="1"/>
  <c r="CI17" i="3"/>
  <c r="CG17" i="3"/>
  <c r="CE17" i="3"/>
  <c r="CJ17" i="3" s="1"/>
  <c r="CK18" i="3" s="1"/>
  <c r="CC17" i="3"/>
  <c r="DU16" i="3"/>
  <c r="DV16" i="3" s="1"/>
  <c r="DR16" i="3"/>
  <c r="DO16" i="3"/>
  <c r="DL16" i="3"/>
  <c r="DI16" i="3"/>
  <c r="DF16" i="3"/>
  <c r="DC16" i="3"/>
  <c r="CZ16" i="3"/>
  <c r="DA16" i="3" s="1"/>
  <c r="CW16" i="3"/>
  <c r="CX16" i="3" s="1"/>
  <c r="CT16" i="3"/>
  <c r="CU16" i="3" s="1"/>
  <c r="CQ16" i="3"/>
  <c r="CR16" i="3" s="1"/>
  <c r="CN16" i="3"/>
  <c r="CO16" i="3" s="1"/>
  <c r="CI16" i="3"/>
  <c r="CG16" i="3"/>
  <c r="CE16" i="3"/>
  <c r="CJ16" i="3" s="1"/>
  <c r="CK17" i="3" s="1"/>
  <c r="CC16" i="3"/>
  <c r="DU15" i="3"/>
  <c r="DV15" i="3" s="1"/>
  <c r="DR15" i="3"/>
  <c r="DO15" i="3"/>
  <c r="DL15" i="3"/>
  <c r="DI15" i="3"/>
  <c r="DF15" i="3"/>
  <c r="DC15" i="3"/>
  <c r="CZ15" i="3"/>
  <c r="DA15" i="3" s="1"/>
  <c r="CW15" i="3"/>
  <c r="CX15" i="3" s="1"/>
  <c r="CT15" i="3"/>
  <c r="CU15" i="3" s="1"/>
  <c r="CQ15" i="3"/>
  <c r="CR15" i="3" s="1"/>
  <c r="CN15" i="3"/>
  <c r="CO15" i="3" s="1"/>
  <c r="CI15" i="3"/>
  <c r="CG15" i="3"/>
  <c r="CE15" i="3"/>
  <c r="CJ15" i="3" s="1"/>
  <c r="CK16" i="3" s="1"/>
  <c r="CC15" i="3"/>
  <c r="DU14" i="3"/>
  <c r="DV14" i="3" s="1"/>
  <c r="DR14" i="3"/>
  <c r="DO14" i="3"/>
  <c r="DL14" i="3"/>
  <c r="DI14" i="3"/>
  <c r="DF14" i="3"/>
  <c r="DC14" i="3"/>
  <c r="CZ14" i="3"/>
  <c r="DA14" i="3" s="1"/>
  <c r="CW14" i="3"/>
  <c r="CX14" i="3" s="1"/>
  <c r="CT14" i="3"/>
  <c r="CU14" i="3" s="1"/>
  <c r="CQ14" i="3"/>
  <c r="CR14" i="3" s="1"/>
  <c r="CN14" i="3"/>
  <c r="CO14" i="3" s="1"/>
  <c r="CI14" i="3"/>
  <c r="CG14" i="3"/>
  <c r="CE14" i="3"/>
  <c r="CJ14" i="3" s="1"/>
  <c r="CK15" i="3" s="1"/>
  <c r="CC14" i="3"/>
  <c r="DU13" i="3"/>
  <c r="DV13" i="3" s="1"/>
  <c r="DR13" i="3"/>
  <c r="DO13" i="3"/>
  <c r="DL13" i="3"/>
  <c r="DI13" i="3"/>
  <c r="DF13" i="3"/>
  <c r="DC13" i="3"/>
  <c r="CZ13" i="3"/>
  <c r="DA13" i="3" s="1"/>
  <c r="CW13" i="3"/>
  <c r="CX13" i="3" s="1"/>
  <c r="CT13" i="3"/>
  <c r="CU13" i="3" s="1"/>
  <c r="CQ13" i="3"/>
  <c r="CR13" i="3" s="1"/>
  <c r="CN13" i="3"/>
  <c r="CO13" i="3" s="1"/>
  <c r="CI13" i="3"/>
  <c r="CG13" i="3"/>
  <c r="CE13" i="3"/>
  <c r="CJ13" i="3" s="1"/>
  <c r="CK14" i="3" s="1"/>
  <c r="CC13" i="3"/>
  <c r="DU12" i="3"/>
  <c r="DV12" i="3" s="1"/>
  <c r="DR12" i="3"/>
  <c r="DO12" i="3"/>
  <c r="DL12" i="3"/>
  <c r="DI12" i="3"/>
  <c r="DF12" i="3"/>
  <c r="DC12" i="3"/>
  <c r="CZ12" i="3"/>
  <c r="DA12" i="3" s="1"/>
  <c r="CW12" i="3"/>
  <c r="CX12" i="3" s="1"/>
  <c r="CT12" i="3"/>
  <c r="CU12" i="3" s="1"/>
  <c r="CQ12" i="3"/>
  <c r="CR12" i="3" s="1"/>
  <c r="CN12" i="3"/>
  <c r="CO12" i="3" s="1"/>
  <c r="CI12" i="3"/>
  <c r="CG12" i="3"/>
  <c r="CE12" i="3"/>
  <c r="CJ12" i="3" s="1"/>
  <c r="CK13" i="3" s="1"/>
  <c r="CC12" i="3"/>
  <c r="DU11" i="3"/>
  <c r="DV11" i="3" s="1"/>
  <c r="DR11" i="3"/>
  <c r="DO11" i="3"/>
  <c r="DL11" i="3"/>
  <c r="DI11" i="3"/>
  <c r="DF11" i="3"/>
  <c r="DC11" i="3"/>
  <c r="CZ11" i="3"/>
  <c r="DA11" i="3" s="1"/>
  <c r="CW11" i="3"/>
  <c r="CX11" i="3" s="1"/>
  <c r="CT11" i="3"/>
  <c r="CU11" i="3" s="1"/>
  <c r="CQ11" i="3"/>
  <c r="CR11" i="3" s="1"/>
  <c r="CN11" i="3"/>
  <c r="CO11" i="3" s="1"/>
  <c r="CI11" i="3"/>
  <c r="CG11" i="3"/>
  <c r="CE11" i="3"/>
  <c r="CJ11" i="3" s="1"/>
  <c r="CK12" i="3" s="1"/>
  <c r="CC11" i="3"/>
  <c r="DU10" i="3"/>
  <c r="DV10" i="3" s="1"/>
  <c r="DR10" i="3"/>
  <c r="DO10" i="3"/>
  <c r="DL10" i="3"/>
  <c r="DI10" i="3"/>
  <c r="DF10" i="3"/>
  <c r="DC10" i="3"/>
  <c r="CZ10" i="3"/>
  <c r="DA10" i="3" s="1"/>
  <c r="CW10" i="3"/>
  <c r="CX10" i="3" s="1"/>
  <c r="CT10" i="3"/>
  <c r="CU10" i="3" s="1"/>
  <c r="CQ10" i="3"/>
  <c r="CR10" i="3" s="1"/>
  <c r="CN10" i="3"/>
  <c r="CO10" i="3" s="1"/>
  <c r="CI10" i="3"/>
  <c r="CG10" i="3"/>
  <c r="CE10" i="3"/>
  <c r="CJ10" i="3" s="1"/>
  <c r="CK11" i="3" s="1"/>
  <c r="CC10" i="3"/>
  <c r="DU9" i="3"/>
  <c r="DV9" i="3" s="1"/>
  <c r="DR9" i="3"/>
  <c r="DO9" i="3"/>
  <c r="DL9" i="3"/>
  <c r="DI9" i="3"/>
  <c r="DF9" i="3"/>
  <c r="DC9" i="3"/>
  <c r="CZ9" i="3"/>
  <c r="DA9" i="3" s="1"/>
  <c r="CW9" i="3"/>
  <c r="CX9" i="3" s="1"/>
  <c r="CT9" i="3"/>
  <c r="CU9" i="3" s="1"/>
  <c r="CQ9" i="3"/>
  <c r="CR9" i="3" s="1"/>
  <c r="CN9" i="3"/>
  <c r="CO9" i="3" s="1"/>
  <c r="CI9" i="3"/>
  <c r="CG9" i="3"/>
  <c r="CE9" i="3"/>
  <c r="CJ9" i="3" s="1"/>
  <c r="CK10" i="3" s="1"/>
  <c r="CC9" i="3"/>
  <c r="DU8" i="3"/>
  <c r="DV8" i="3" s="1"/>
  <c r="DR8" i="3"/>
  <c r="DO8" i="3"/>
  <c r="DL8" i="3"/>
  <c r="DI8" i="3"/>
  <c r="DF8" i="3"/>
  <c r="DC8" i="3"/>
  <c r="CZ8" i="3"/>
  <c r="DA8" i="3" s="1"/>
  <c r="CW8" i="3"/>
  <c r="CX8" i="3" s="1"/>
  <c r="CU8" i="3"/>
  <c r="CQ8" i="3"/>
  <c r="CR8" i="3" s="1"/>
  <c r="CN8" i="3"/>
  <c r="CO8" i="3" s="1"/>
  <c r="CI8" i="3"/>
  <c r="CG8" i="3"/>
  <c r="CE8" i="3"/>
  <c r="CJ8" i="3" s="1"/>
  <c r="CK9" i="3" s="1"/>
  <c r="CC8" i="3"/>
  <c r="DU7" i="3"/>
  <c r="DV7" i="3" s="1"/>
  <c r="DR7" i="3"/>
  <c r="DO7" i="3"/>
  <c r="DL7" i="3"/>
  <c r="DI7" i="3"/>
  <c r="DF7" i="3"/>
  <c r="DC7" i="3"/>
  <c r="CZ7" i="3"/>
  <c r="DA7" i="3" s="1"/>
  <c r="CW7" i="3"/>
  <c r="CX7" i="3" s="1"/>
  <c r="CU7" i="3"/>
  <c r="CQ7" i="3"/>
  <c r="CR7" i="3" s="1"/>
  <c r="CN7" i="3"/>
  <c r="CO7" i="3" s="1"/>
  <c r="CI7" i="3"/>
  <c r="CG7" i="3"/>
  <c r="CE7" i="3"/>
  <c r="CJ7" i="3" s="1"/>
  <c r="CK8" i="3" s="1"/>
  <c r="CC7" i="3"/>
  <c r="DU6" i="3"/>
  <c r="DV6" i="3" s="1"/>
  <c r="DR6" i="3"/>
  <c r="DO6" i="3"/>
  <c r="DL6" i="3"/>
  <c r="DI6" i="3"/>
  <c r="DF6" i="3"/>
  <c r="DC6" i="3"/>
  <c r="CZ6" i="3"/>
  <c r="DA6" i="3" s="1"/>
  <c r="CW6" i="3"/>
  <c r="CX6" i="3" s="1"/>
  <c r="CU6" i="3"/>
  <c r="CQ6" i="3"/>
  <c r="CR6" i="3" s="1"/>
  <c r="CN6" i="3"/>
  <c r="CO6" i="3" s="1"/>
  <c r="CI6" i="3"/>
  <c r="CG6" i="3"/>
  <c r="CE6" i="3"/>
  <c r="CJ6" i="3" s="1"/>
  <c r="CK7" i="3" s="1"/>
  <c r="CC6" i="3"/>
  <c r="DU5" i="3"/>
  <c r="DV5" i="3" s="1"/>
  <c r="DR5" i="3"/>
  <c r="DO5" i="3"/>
  <c r="DL5" i="3"/>
  <c r="DI5" i="3"/>
  <c r="DF5" i="3"/>
  <c r="DC5" i="3"/>
  <c r="CZ5" i="3"/>
  <c r="DA5" i="3" s="1"/>
  <c r="CW5" i="3"/>
  <c r="CX5" i="3" s="1"/>
  <c r="CU5" i="3"/>
  <c r="CQ5" i="3"/>
  <c r="CR5" i="3" s="1"/>
  <c r="CN5" i="3"/>
  <c r="CO5" i="3" s="1"/>
  <c r="CI5" i="3"/>
  <c r="CG5" i="3"/>
  <c r="CE5" i="3"/>
  <c r="CJ5" i="3" s="1"/>
  <c r="CK6" i="3" s="1"/>
  <c r="CC5" i="3"/>
  <c r="DU4" i="3"/>
  <c r="DV4" i="3" s="1"/>
  <c r="DR4" i="3"/>
  <c r="DS4" i="3" s="1"/>
  <c r="DO4" i="3"/>
  <c r="DP4" i="3" s="1"/>
  <c r="DL4" i="3"/>
  <c r="DM4" i="3" s="1"/>
  <c r="DI4" i="3"/>
  <c r="DJ4" i="3" s="1"/>
  <c r="DF4" i="3"/>
  <c r="DG4" i="3" s="1"/>
  <c r="DC4" i="3"/>
  <c r="DD4" i="3" s="1"/>
  <c r="CZ4" i="3"/>
  <c r="DA4" i="3" s="1"/>
  <c r="CW4" i="3"/>
  <c r="CX4" i="3" s="1"/>
  <c r="CU4" i="3"/>
  <c r="CQ4" i="3"/>
  <c r="CR4" i="3" s="1"/>
  <c r="CN4" i="3"/>
  <c r="CO4" i="3" s="1"/>
  <c r="CG4" i="3"/>
  <c r="CE4" i="3"/>
  <c r="CJ4" i="3" s="1"/>
  <c r="CC4" i="3"/>
  <c r="CB33" i="3"/>
  <c r="BZ33" i="3"/>
  <c r="BX33" i="3"/>
  <c r="BS33" i="3"/>
  <c r="BQ33" i="3"/>
  <c r="BT33" i="3" s="1"/>
  <c r="BM33" i="3"/>
  <c r="BU33" i="3" s="1"/>
  <c r="BJ33" i="3"/>
  <c r="BK33" i="3" s="1"/>
  <c r="BI33" i="3"/>
  <c r="BG33" i="3"/>
  <c r="BE33" i="3"/>
  <c r="BV33" i="3" s="1"/>
  <c r="BC33" i="3"/>
  <c r="CB32" i="3"/>
  <c r="BZ32" i="3"/>
  <c r="BX32" i="3"/>
  <c r="BS32" i="3"/>
  <c r="BQ32" i="3"/>
  <c r="BT32" i="3" s="1"/>
  <c r="BM32" i="3"/>
  <c r="BU32" i="3" s="1"/>
  <c r="BJ32" i="3"/>
  <c r="BK32" i="3" s="1"/>
  <c r="BI32" i="3"/>
  <c r="BG32" i="3"/>
  <c r="BE32" i="3"/>
  <c r="BV32" i="3" s="1"/>
  <c r="BC32" i="3"/>
  <c r="CB31" i="3"/>
  <c r="BZ31" i="3"/>
  <c r="BX31" i="3"/>
  <c r="BS31" i="3"/>
  <c r="BQ31" i="3"/>
  <c r="BT31" i="3" s="1"/>
  <c r="BO31" i="3"/>
  <c r="BM31" i="3"/>
  <c r="BU31" i="3" s="1"/>
  <c r="BJ31" i="3"/>
  <c r="BK31" i="3" s="1"/>
  <c r="BI31" i="3"/>
  <c r="BG31" i="3"/>
  <c r="BE31" i="3"/>
  <c r="BV31" i="3" s="1"/>
  <c r="BC31" i="3"/>
  <c r="CB30" i="3"/>
  <c r="BZ30" i="3"/>
  <c r="BX30" i="3"/>
  <c r="BS30" i="3"/>
  <c r="BQ30" i="3"/>
  <c r="BT30" i="3" s="1"/>
  <c r="BO30" i="3"/>
  <c r="BM30" i="3"/>
  <c r="BU30" i="3" s="1"/>
  <c r="BJ30" i="3"/>
  <c r="BK30" i="3" s="1"/>
  <c r="BI30" i="3"/>
  <c r="BG30" i="3"/>
  <c r="BE30" i="3"/>
  <c r="BV30" i="3" s="1"/>
  <c r="BC30" i="3"/>
  <c r="CB29" i="3"/>
  <c r="BZ29" i="3"/>
  <c r="BX29" i="3"/>
  <c r="BS29" i="3"/>
  <c r="BQ29" i="3"/>
  <c r="BT29" i="3" s="1"/>
  <c r="BO29" i="3"/>
  <c r="BM29" i="3"/>
  <c r="BU29" i="3" s="1"/>
  <c r="BJ29" i="3"/>
  <c r="BK29" i="3" s="1"/>
  <c r="BI29" i="3"/>
  <c r="BG29" i="3"/>
  <c r="BE29" i="3"/>
  <c r="BV29" i="3" s="1"/>
  <c r="BC29" i="3"/>
  <c r="CB28" i="3"/>
  <c r="BZ28" i="3"/>
  <c r="BX28" i="3"/>
  <c r="BS28" i="3"/>
  <c r="BQ28" i="3"/>
  <c r="BT28" i="3" s="1"/>
  <c r="BO28" i="3"/>
  <c r="BM28" i="3"/>
  <c r="BU28" i="3" s="1"/>
  <c r="BJ28" i="3"/>
  <c r="BK28" i="3" s="1"/>
  <c r="BI28" i="3"/>
  <c r="BG28" i="3"/>
  <c r="BE28" i="3"/>
  <c r="BV28" i="3" s="1"/>
  <c r="BC28" i="3"/>
  <c r="CB27" i="3"/>
  <c r="BZ27" i="3"/>
  <c r="BX27" i="3"/>
  <c r="BS27" i="3"/>
  <c r="BQ27" i="3"/>
  <c r="BT27" i="3" s="1"/>
  <c r="BO27" i="3"/>
  <c r="BM27" i="3"/>
  <c r="BU27" i="3" s="1"/>
  <c r="BJ27" i="3"/>
  <c r="BK27" i="3" s="1"/>
  <c r="BI27" i="3"/>
  <c r="BG27" i="3"/>
  <c r="BE27" i="3"/>
  <c r="BV27" i="3" s="1"/>
  <c r="BC27" i="3"/>
  <c r="CB26" i="3"/>
  <c r="BZ26" i="3"/>
  <c r="BX26" i="3"/>
  <c r="BS26" i="3"/>
  <c r="BQ26" i="3"/>
  <c r="BT26" i="3" s="1"/>
  <c r="BO26" i="3"/>
  <c r="BM26" i="3"/>
  <c r="BU26" i="3" s="1"/>
  <c r="BJ26" i="3"/>
  <c r="BK26" i="3" s="1"/>
  <c r="BI26" i="3"/>
  <c r="BG26" i="3"/>
  <c r="BE26" i="3"/>
  <c r="BV26" i="3" s="1"/>
  <c r="BC26" i="3"/>
  <c r="CB25" i="3"/>
  <c r="BZ25" i="3"/>
  <c r="BX25" i="3"/>
  <c r="BS25" i="3"/>
  <c r="BQ25" i="3"/>
  <c r="BT25" i="3" s="1"/>
  <c r="BO25" i="3"/>
  <c r="BM25" i="3"/>
  <c r="BU25" i="3" s="1"/>
  <c r="BJ25" i="3"/>
  <c r="BK25" i="3" s="1"/>
  <c r="BI25" i="3"/>
  <c r="BG25" i="3"/>
  <c r="BE25" i="3"/>
  <c r="BV25" i="3" s="1"/>
  <c r="BC25" i="3"/>
  <c r="CB24" i="3"/>
  <c r="BZ24" i="3"/>
  <c r="BX24" i="3"/>
  <c r="BS24" i="3"/>
  <c r="BQ24" i="3"/>
  <c r="BT24" i="3" s="1"/>
  <c r="BO24" i="3"/>
  <c r="BM24" i="3"/>
  <c r="BU24" i="3" s="1"/>
  <c r="BJ24" i="3"/>
  <c r="BK24" i="3" s="1"/>
  <c r="BI24" i="3"/>
  <c r="BG24" i="3"/>
  <c r="BE24" i="3"/>
  <c r="BV24" i="3" s="1"/>
  <c r="BC24" i="3"/>
  <c r="CB23" i="3"/>
  <c r="BZ23" i="3"/>
  <c r="BX23" i="3"/>
  <c r="BS23" i="3"/>
  <c r="BQ23" i="3"/>
  <c r="BT23" i="3" s="1"/>
  <c r="BO23" i="3"/>
  <c r="BM23" i="3"/>
  <c r="BU23" i="3" s="1"/>
  <c r="BJ23" i="3"/>
  <c r="BK23" i="3" s="1"/>
  <c r="BI23" i="3"/>
  <c r="BG23" i="3"/>
  <c r="BE23" i="3"/>
  <c r="BV23" i="3" s="1"/>
  <c r="BC23" i="3"/>
  <c r="CB22" i="3"/>
  <c r="BZ22" i="3"/>
  <c r="BX22" i="3"/>
  <c r="BS22" i="3"/>
  <c r="BQ22" i="3"/>
  <c r="BT22" i="3" s="1"/>
  <c r="BO22" i="3"/>
  <c r="BM22" i="3"/>
  <c r="BU22" i="3" s="1"/>
  <c r="BJ22" i="3"/>
  <c r="BK22" i="3" s="1"/>
  <c r="BI22" i="3"/>
  <c r="BG22" i="3"/>
  <c r="BE22" i="3"/>
  <c r="BV22" i="3" s="1"/>
  <c r="BC22" i="3"/>
  <c r="CB21" i="3"/>
  <c r="BZ21" i="3"/>
  <c r="BX21" i="3"/>
  <c r="BS21" i="3"/>
  <c r="BQ21" i="3"/>
  <c r="BT21" i="3" s="1"/>
  <c r="BO21" i="3"/>
  <c r="BM21" i="3"/>
  <c r="BU21" i="3" s="1"/>
  <c r="BJ21" i="3"/>
  <c r="BK21" i="3" s="1"/>
  <c r="BI21" i="3"/>
  <c r="BG21" i="3"/>
  <c r="BE21" i="3"/>
  <c r="BV21" i="3" s="1"/>
  <c r="BC21" i="3"/>
  <c r="CB20" i="3"/>
  <c r="BZ20" i="3"/>
  <c r="BX20" i="3"/>
  <c r="BS20" i="3"/>
  <c r="BQ20" i="3"/>
  <c r="BT20" i="3" s="1"/>
  <c r="BO20" i="3"/>
  <c r="BM20" i="3"/>
  <c r="BU20" i="3" s="1"/>
  <c r="BJ20" i="3"/>
  <c r="BK20" i="3" s="1"/>
  <c r="BI20" i="3"/>
  <c r="BG20" i="3"/>
  <c r="BE20" i="3"/>
  <c r="BV20" i="3" s="1"/>
  <c r="BC20" i="3"/>
  <c r="CB19" i="3"/>
  <c r="BZ19" i="3"/>
  <c r="BX19" i="3"/>
  <c r="BS19" i="3"/>
  <c r="BQ19" i="3"/>
  <c r="BT19" i="3" s="1"/>
  <c r="BO19" i="3"/>
  <c r="BM19" i="3"/>
  <c r="BU19" i="3" s="1"/>
  <c r="BJ19" i="3"/>
  <c r="BK19" i="3" s="1"/>
  <c r="BI19" i="3"/>
  <c r="BG19" i="3"/>
  <c r="BE19" i="3"/>
  <c r="BV19" i="3" s="1"/>
  <c r="BC19" i="3"/>
  <c r="CB18" i="3"/>
  <c r="BZ18" i="3"/>
  <c r="BX18" i="3"/>
  <c r="BS18" i="3"/>
  <c r="BQ18" i="3"/>
  <c r="BT18" i="3" s="1"/>
  <c r="BO18" i="3"/>
  <c r="BM18" i="3"/>
  <c r="BU18" i="3" s="1"/>
  <c r="BJ18" i="3"/>
  <c r="BK18" i="3" s="1"/>
  <c r="BI18" i="3"/>
  <c r="BG18" i="3"/>
  <c r="BE18" i="3"/>
  <c r="BV18" i="3" s="1"/>
  <c r="BC18" i="3"/>
  <c r="CB17" i="3"/>
  <c r="BZ17" i="3"/>
  <c r="BX17" i="3"/>
  <c r="BS17" i="3"/>
  <c r="BQ17" i="3"/>
  <c r="BT17" i="3" s="1"/>
  <c r="BO17" i="3"/>
  <c r="BM17" i="3"/>
  <c r="BU17" i="3" s="1"/>
  <c r="BJ17" i="3"/>
  <c r="BK17" i="3" s="1"/>
  <c r="BI17" i="3"/>
  <c r="BG17" i="3"/>
  <c r="BE17" i="3"/>
  <c r="BV17" i="3" s="1"/>
  <c r="BC17" i="3"/>
  <c r="CB16" i="3"/>
  <c r="BZ16" i="3"/>
  <c r="BX16" i="3"/>
  <c r="BS16" i="3"/>
  <c r="BQ16" i="3"/>
  <c r="BT16" i="3" s="1"/>
  <c r="BO16" i="3"/>
  <c r="BM16" i="3"/>
  <c r="BU16" i="3" s="1"/>
  <c r="BJ16" i="3"/>
  <c r="BK16" i="3" s="1"/>
  <c r="BI16" i="3"/>
  <c r="BG16" i="3"/>
  <c r="BE16" i="3"/>
  <c r="BV16" i="3" s="1"/>
  <c r="BC16" i="3"/>
  <c r="CB15" i="3"/>
  <c r="BZ15" i="3"/>
  <c r="BX15" i="3"/>
  <c r="BS15" i="3"/>
  <c r="BQ15" i="3"/>
  <c r="BT15" i="3" s="1"/>
  <c r="BO15" i="3"/>
  <c r="BM15" i="3"/>
  <c r="BU15" i="3" s="1"/>
  <c r="BJ15" i="3"/>
  <c r="BK15" i="3" s="1"/>
  <c r="BI15" i="3"/>
  <c r="BG15" i="3"/>
  <c r="BE15" i="3"/>
  <c r="BV15" i="3" s="1"/>
  <c r="BC15" i="3"/>
  <c r="CB14" i="3"/>
  <c r="BZ14" i="3"/>
  <c r="BX14" i="3"/>
  <c r="BS14" i="3"/>
  <c r="BQ14" i="3"/>
  <c r="BT14" i="3" s="1"/>
  <c r="BO14" i="3"/>
  <c r="BM14" i="3"/>
  <c r="BU14" i="3" s="1"/>
  <c r="BJ14" i="3"/>
  <c r="BK14" i="3" s="1"/>
  <c r="BI14" i="3"/>
  <c r="BG14" i="3"/>
  <c r="BE14" i="3"/>
  <c r="BV14" i="3" s="1"/>
  <c r="BC14" i="3"/>
  <c r="CB13" i="3"/>
  <c r="BZ13" i="3"/>
  <c r="BX13" i="3"/>
  <c r="BS13" i="3"/>
  <c r="BQ13" i="3"/>
  <c r="BT13" i="3" s="1"/>
  <c r="BO13" i="3"/>
  <c r="BM13" i="3"/>
  <c r="BU13" i="3" s="1"/>
  <c r="BJ13" i="3"/>
  <c r="BK13" i="3" s="1"/>
  <c r="BI13" i="3"/>
  <c r="BG13" i="3"/>
  <c r="BE13" i="3"/>
  <c r="BV13" i="3" s="1"/>
  <c r="BC13" i="3"/>
  <c r="CB12" i="3"/>
  <c r="BZ12" i="3"/>
  <c r="BX12" i="3"/>
  <c r="BS12" i="3"/>
  <c r="BQ12" i="3"/>
  <c r="BT12" i="3" s="1"/>
  <c r="BO12" i="3"/>
  <c r="BM12" i="3"/>
  <c r="BU12" i="3" s="1"/>
  <c r="BJ12" i="3"/>
  <c r="BK12" i="3" s="1"/>
  <c r="BI12" i="3"/>
  <c r="BG12" i="3"/>
  <c r="BE12" i="3"/>
  <c r="BV12" i="3" s="1"/>
  <c r="BC12" i="3"/>
  <c r="CB11" i="3"/>
  <c r="BZ11" i="3"/>
  <c r="BX11" i="3"/>
  <c r="BS11" i="3"/>
  <c r="BQ11" i="3"/>
  <c r="BT11" i="3" s="1"/>
  <c r="BO11" i="3"/>
  <c r="BM11" i="3"/>
  <c r="BU11" i="3" s="1"/>
  <c r="BJ11" i="3"/>
  <c r="BK11" i="3" s="1"/>
  <c r="BI11" i="3"/>
  <c r="BG11" i="3"/>
  <c r="BE11" i="3"/>
  <c r="BV11" i="3" s="1"/>
  <c r="BC11" i="3"/>
  <c r="CB10" i="3"/>
  <c r="BZ10" i="3"/>
  <c r="BX10" i="3"/>
  <c r="BS10" i="3"/>
  <c r="BQ10" i="3"/>
  <c r="BT10" i="3" s="1"/>
  <c r="BO10" i="3"/>
  <c r="BM10" i="3"/>
  <c r="BU10" i="3" s="1"/>
  <c r="BJ10" i="3"/>
  <c r="BK10" i="3" s="1"/>
  <c r="BI10" i="3"/>
  <c r="BG10" i="3"/>
  <c r="BE10" i="3"/>
  <c r="BV10" i="3" s="1"/>
  <c r="BC10" i="3"/>
  <c r="CB9" i="3"/>
  <c r="BZ9" i="3"/>
  <c r="BX9" i="3"/>
  <c r="BS9" i="3"/>
  <c r="BQ9" i="3"/>
  <c r="BT9" i="3" s="1"/>
  <c r="BO9" i="3"/>
  <c r="BM9" i="3"/>
  <c r="BU9" i="3" s="1"/>
  <c r="BJ9" i="3"/>
  <c r="BK9" i="3" s="1"/>
  <c r="BI9" i="3"/>
  <c r="BG9" i="3"/>
  <c r="BE9" i="3"/>
  <c r="BV9" i="3" s="1"/>
  <c r="BC9" i="3"/>
  <c r="CB8" i="3"/>
  <c r="BZ8" i="3"/>
  <c r="BX8" i="3"/>
  <c r="BS8" i="3"/>
  <c r="BQ8" i="3"/>
  <c r="BT8" i="3" s="1"/>
  <c r="BO8" i="3"/>
  <c r="BM8" i="3"/>
  <c r="BU8" i="3" s="1"/>
  <c r="BJ8" i="3"/>
  <c r="BK8" i="3" s="1"/>
  <c r="BI8" i="3"/>
  <c r="BG8" i="3"/>
  <c r="BE8" i="3"/>
  <c r="BV8" i="3" s="1"/>
  <c r="BC8" i="3"/>
  <c r="CB7" i="3"/>
  <c r="BZ7" i="3"/>
  <c r="BX7" i="3"/>
  <c r="BS7" i="3"/>
  <c r="BQ7" i="3"/>
  <c r="BT7" i="3" s="1"/>
  <c r="BO7" i="3"/>
  <c r="BM7" i="3"/>
  <c r="BU7" i="3" s="1"/>
  <c r="BJ7" i="3"/>
  <c r="BK7" i="3" s="1"/>
  <c r="BI7" i="3"/>
  <c r="BG7" i="3"/>
  <c r="BE7" i="3"/>
  <c r="BV7" i="3" s="1"/>
  <c r="BC7" i="3"/>
  <c r="CB6" i="3"/>
  <c r="BZ6" i="3"/>
  <c r="BX6" i="3"/>
  <c r="BS6" i="3"/>
  <c r="BQ6" i="3"/>
  <c r="BT6" i="3" s="1"/>
  <c r="BO6" i="3"/>
  <c r="BM6" i="3"/>
  <c r="BU6" i="3" s="1"/>
  <c r="BJ6" i="3"/>
  <c r="BK6" i="3" s="1"/>
  <c r="BI6" i="3"/>
  <c r="BG6" i="3"/>
  <c r="BE6" i="3"/>
  <c r="BV6" i="3" s="1"/>
  <c r="BC6" i="3"/>
  <c r="CB5" i="3"/>
  <c r="BZ5" i="3"/>
  <c r="BX5" i="3"/>
  <c r="BS5" i="3"/>
  <c r="BQ5" i="3"/>
  <c r="BT5" i="3" s="1"/>
  <c r="BO5" i="3"/>
  <c r="BM5" i="3"/>
  <c r="BU5" i="3" s="1"/>
  <c r="BJ5" i="3"/>
  <c r="BK5" i="3" s="1"/>
  <c r="BI5" i="3"/>
  <c r="BG5" i="3"/>
  <c r="BE5" i="3"/>
  <c r="BV5" i="3" s="1"/>
  <c r="BC5" i="3"/>
  <c r="CB4" i="3"/>
  <c r="BZ4" i="3"/>
  <c r="BX4" i="3"/>
  <c r="BS4" i="3"/>
  <c r="BQ4" i="3"/>
  <c r="BT4" i="3" s="1"/>
  <c r="BO4" i="3"/>
  <c r="BM4" i="3"/>
  <c r="BU4" i="3" s="1"/>
  <c r="BJ4" i="3"/>
  <c r="BK4" i="3" s="1"/>
  <c r="BG4" i="3"/>
  <c r="BE4" i="3"/>
  <c r="BV4" i="3" s="1"/>
  <c r="BC4" i="3"/>
  <c r="BA33" i="3"/>
  <c r="AW33" i="3"/>
  <c r="AO33" i="3"/>
  <c r="AM33" i="3"/>
  <c r="AK33" i="3"/>
  <c r="AW32" i="3"/>
  <c r="AU32" i="3"/>
  <c r="AO32" i="3"/>
  <c r="AM32" i="3"/>
  <c r="AK32" i="3"/>
  <c r="BA31" i="3"/>
  <c r="AW31" i="3"/>
  <c r="AU31" i="3"/>
  <c r="AO31" i="3"/>
  <c r="AM31" i="3"/>
  <c r="AK31" i="3"/>
  <c r="BA30" i="3"/>
  <c r="AW30" i="3"/>
  <c r="AU30" i="3"/>
  <c r="AS30" i="3"/>
  <c r="AO30" i="3"/>
  <c r="AM30" i="3"/>
  <c r="AK30" i="3"/>
  <c r="BA29" i="3"/>
  <c r="AW29" i="3"/>
  <c r="AU29" i="3"/>
  <c r="AS29" i="3"/>
  <c r="AO29" i="3"/>
  <c r="AM29" i="3"/>
  <c r="AK29" i="3"/>
  <c r="BA28" i="3"/>
  <c r="AW28" i="3"/>
  <c r="AU28" i="3"/>
  <c r="AS28" i="3"/>
  <c r="AO28" i="3"/>
  <c r="AM28" i="3"/>
  <c r="AK28" i="3"/>
  <c r="BA27" i="3"/>
  <c r="AW27" i="3"/>
  <c r="AU27" i="3"/>
  <c r="AS27" i="3"/>
  <c r="AO27" i="3"/>
  <c r="AM27" i="3"/>
  <c r="AK27" i="3"/>
  <c r="BA26" i="3"/>
  <c r="AW26" i="3"/>
  <c r="AU26" i="3"/>
  <c r="AS26" i="3"/>
  <c r="AO26" i="3"/>
  <c r="AM26" i="3"/>
  <c r="AK26" i="3"/>
  <c r="BA25" i="3"/>
  <c r="AW25" i="3"/>
  <c r="AU25" i="3"/>
  <c r="AS25" i="3"/>
  <c r="AO25" i="3"/>
  <c r="AM25" i="3"/>
  <c r="AK25" i="3"/>
  <c r="BA24" i="3"/>
  <c r="AY24" i="3"/>
  <c r="AW24" i="3"/>
  <c r="AU24" i="3"/>
  <c r="AS24" i="3"/>
  <c r="AQ24" i="3"/>
  <c r="AO24" i="3"/>
  <c r="AM24" i="3"/>
  <c r="AK24" i="3"/>
  <c r="BA23" i="3"/>
  <c r="AY23" i="3"/>
  <c r="AW23" i="3"/>
  <c r="AU23" i="3"/>
  <c r="AS23" i="3"/>
  <c r="AQ23" i="3"/>
  <c r="AO23" i="3"/>
  <c r="AM23" i="3"/>
  <c r="AK23" i="3"/>
  <c r="BA22" i="3"/>
  <c r="AY22" i="3"/>
  <c r="AW22" i="3"/>
  <c r="AU22" i="3"/>
  <c r="AS22" i="3"/>
  <c r="AQ22" i="3"/>
  <c r="AO22" i="3"/>
  <c r="AM22" i="3"/>
  <c r="AK22" i="3"/>
  <c r="BA21" i="3"/>
  <c r="AY21" i="3"/>
  <c r="AW21" i="3"/>
  <c r="AU21" i="3"/>
  <c r="AS21" i="3"/>
  <c r="AQ21" i="3"/>
  <c r="AO21" i="3"/>
  <c r="AM21" i="3"/>
  <c r="AK21" i="3"/>
  <c r="BA20" i="3"/>
  <c r="AY20" i="3"/>
  <c r="AW20" i="3"/>
  <c r="AU20" i="3"/>
  <c r="AS20" i="3"/>
  <c r="AQ20" i="3"/>
  <c r="AO20" i="3"/>
  <c r="AM20" i="3"/>
  <c r="AK20" i="3"/>
  <c r="BA19" i="3"/>
  <c r="AY19" i="3"/>
  <c r="AW19" i="3"/>
  <c r="AU19" i="3"/>
  <c r="AS19" i="3"/>
  <c r="AQ19" i="3"/>
  <c r="AO19" i="3"/>
  <c r="AM19" i="3"/>
  <c r="AK19" i="3"/>
  <c r="BA18" i="3"/>
  <c r="AY18" i="3"/>
  <c r="AW18" i="3"/>
  <c r="AU18" i="3"/>
  <c r="AS18" i="3"/>
  <c r="AQ18" i="3"/>
  <c r="AO18" i="3"/>
  <c r="AM18" i="3"/>
  <c r="AK18" i="3"/>
  <c r="BA17" i="3"/>
  <c r="AY17" i="3"/>
  <c r="AW17" i="3"/>
  <c r="AU17" i="3"/>
  <c r="AS17" i="3"/>
  <c r="AQ17" i="3"/>
  <c r="AO17" i="3"/>
  <c r="AM17" i="3"/>
  <c r="AK17" i="3"/>
  <c r="BA16" i="3"/>
  <c r="AY16" i="3"/>
  <c r="AW16" i="3"/>
  <c r="AU16" i="3"/>
  <c r="AS16" i="3"/>
  <c r="AQ16" i="3"/>
  <c r="AO16" i="3"/>
  <c r="AM16" i="3"/>
  <c r="AK16" i="3"/>
  <c r="BA15" i="3"/>
  <c r="AY15" i="3"/>
  <c r="AW15" i="3"/>
  <c r="AU15" i="3"/>
  <c r="AS15" i="3"/>
  <c r="AQ15" i="3"/>
  <c r="AO15" i="3"/>
  <c r="AM15" i="3"/>
  <c r="AK15" i="3"/>
  <c r="BA14" i="3"/>
  <c r="AY14" i="3"/>
  <c r="AW14" i="3"/>
  <c r="AU14" i="3"/>
  <c r="AS14" i="3"/>
  <c r="AQ14" i="3"/>
  <c r="AO14" i="3"/>
  <c r="AM14" i="3"/>
  <c r="AK14" i="3"/>
  <c r="BA13" i="3"/>
  <c r="AY13" i="3"/>
  <c r="AW13" i="3"/>
  <c r="AU13" i="3"/>
  <c r="AS13" i="3"/>
  <c r="AQ13" i="3"/>
  <c r="AO13" i="3"/>
  <c r="AM13" i="3"/>
  <c r="AK13" i="3"/>
  <c r="BA12" i="3"/>
  <c r="AY12" i="3"/>
  <c r="AW12" i="3"/>
  <c r="AU12" i="3"/>
  <c r="AS12" i="3"/>
  <c r="AQ12" i="3"/>
  <c r="AO12" i="3"/>
  <c r="AM12" i="3"/>
  <c r="AK12" i="3"/>
  <c r="BA11" i="3"/>
  <c r="AY11" i="3"/>
  <c r="AW11" i="3"/>
  <c r="AU11" i="3"/>
  <c r="AS11" i="3"/>
  <c r="AQ11" i="3"/>
  <c r="AO11" i="3"/>
  <c r="AM11" i="3"/>
  <c r="AK11" i="3"/>
  <c r="BA10" i="3"/>
  <c r="AY10" i="3"/>
  <c r="AW10" i="3"/>
  <c r="AU10" i="3"/>
  <c r="AS10" i="3"/>
  <c r="AQ10" i="3"/>
  <c r="AO10" i="3"/>
  <c r="AM10" i="3"/>
  <c r="AK10" i="3"/>
  <c r="BA9" i="3"/>
  <c r="AY9" i="3"/>
  <c r="AW9" i="3"/>
  <c r="AU9" i="3"/>
  <c r="AS9" i="3"/>
  <c r="AQ9" i="3"/>
  <c r="AO9" i="3"/>
  <c r="AK9" i="3"/>
  <c r="BA8" i="3"/>
  <c r="AY8" i="3"/>
  <c r="AW8" i="3"/>
  <c r="AU8" i="3"/>
  <c r="AS8" i="3"/>
  <c r="AQ8" i="3"/>
  <c r="AO8" i="3"/>
  <c r="AM8" i="3"/>
  <c r="AK8" i="3"/>
  <c r="BA7" i="3"/>
  <c r="AY7" i="3"/>
  <c r="AW7" i="3"/>
  <c r="AU7" i="3"/>
  <c r="AS7" i="3"/>
  <c r="AQ7" i="3"/>
  <c r="AO7" i="3"/>
  <c r="AM7" i="3"/>
  <c r="AK7" i="3"/>
  <c r="BA6" i="3"/>
  <c r="AY6" i="3"/>
  <c r="AW6" i="3"/>
  <c r="AU6" i="3"/>
  <c r="AS6" i="3"/>
  <c r="AQ6" i="3"/>
  <c r="AO6" i="3"/>
  <c r="AM6" i="3"/>
  <c r="AK6" i="3"/>
  <c r="BA5" i="3"/>
  <c r="AY5" i="3"/>
  <c r="AW5" i="3"/>
  <c r="AU5" i="3"/>
  <c r="AS5" i="3"/>
  <c r="AQ5" i="3"/>
  <c r="AO5" i="3"/>
  <c r="AM5" i="3"/>
  <c r="AK5" i="3"/>
  <c r="BA4" i="3"/>
  <c r="AY4" i="3"/>
  <c r="AW4" i="3"/>
  <c r="AU4" i="3"/>
  <c r="AS4" i="3"/>
  <c r="AQ4" i="3"/>
  <c r="AO4" i="3"/>
  <c r="AM4" i="3"/>
  <c r="AK4" i="3"/>
  <c r="AI33" i="3"/>
  <c r="AE33" i="3"/>
  <c r="AC33" i="3"/>
  <c r="AA33" i="3"/>
  <c r="AI32" i="3"/>
  <c r="AE32" i="3"/>
  <c r="AC32" i="3"/>
  <c r="AA32" i="3"/>
  <c r="AI31" i="3"/>
  <c r="AE31" i="3"/>
  <c r="AC31" i="3"/>
  <c r="AA31" i="3"/>
  <c r="AI30" i="3"/>
  <c r="AE30" i="3"/>
  <c r="AC30" i="3"/>
  <c r="AA30" i="3"/>
  <c r="AI29" i="3"/>
  <c r="AE29" i="3"/>
  <c r="AC29" i="3"/>
  <c r="AA29" i="3"/>
  <c r="AI28" i="3"/>
  <c r="AE28" i="3"/>
  <c r="AC28" i="3"/>
  <c r="AA28" i="3"/>
  <c r="AI27" i="3"/>
  <c r="AE27" i="3"/>
  <c r="AC27" i="3"/>
  <c r="AA27" i="3"/>
  <c r="AI26" i="3"/>
  <c r="AE26" i="3"/>
  <c r="AC26" i="3"/>
  <c r="AA26" i="3"/>
  <c r="AI25" i="3"/>
  <c r="AE25" i="3"/>
  <c r="AC25" i="3"/>
  <c r="AA25" i="3"/>
  <c r="AI24" i="3"/>
  <c r="AE24" i="3"/>
  <c r="AC24" i="3"/>
  <c r="AA24" i="3"/>
  <c r="AI23" i="3"/>
  <c r="AE23" i="3"/>
  <c r="AC23" i="3"/>
  <c r="AA23" i="3"/>
  <c r="AI22" i="3"/>
  <c r="AE22" i="3"/>
  <c r="AC22" i="3"/>
  <c r="AA22" i="3"/>
  <c r="AI21" i="3"/>
  <c r="AE21" i="3"/>
  <c r="AC21" i="3"/>
  <c r="AA21" i="3"/>
  <c r="AI20" i="3"/>
  <c r="AE20" i="3"/>
  <c r="AC20" i="3"/>
  <c r="AA20" i="3"/>
  <c r="AI19" i="3"/>
  <c r="AE19" i="3"/>
  <c r="AC19" i="3"/>
  <c r="AA19" i="3"/>
  <c r="AI18" i="3"/>
  <c r="AE18" i="3"/>
  <c r="AA18" i="3"/>
  <c r="AI17" i="3"/>
  <c r="AE17" i="3"/>
  <c r="AC17" i="3"/>
  <c r="AA17" i="3"/>
  <c r="AI16" i="3"/>
  <c r="AE16" i="3"/>
  <c r="AC16" i="3"/>
  <c r="AA16" i="3"/>
  <c r="AI15" i="3"/>
  <c r="AE15" i="3"/>
  <c r="AC15" i="3"/>
  <c r="AA15" i="3"/>
  <c r="AI14" i="3"/>
  <c r="AE14" i="3"/>
  <c r="AC14" i="3"/>
  <c r="AA14" i="3"/>
  <c r="AI13" i="3"/>
  <c r="AE13" i="3"/>
  <c r="AC13" i="3"/>
  <c r="AA13" i="3"/>
  <c r="AI12" i="3"/>
  <c r="AE12" i="3"/>
  <c r="AC12" i="3"/>
  <c r="AA12" i="3"/>
  <c r="AI11" i="3"/>
  <c r="AE11" i="3"/>
  <c r="AC11" i="3"/>
  <c r="AA11" i="3"/>
  <c r="AI10" i="3"/>
  <c r="AE10" i="3"/>
  <c r="AC10" i="3"/>
  <c r="AA10" i="3"/>
  <c r="AI9" i="3"/>
  <c r="AE9" i="3"/>
  <c r="AC9" i="3"/>
  <c r="AA9" i="3"/>
  <c r="AI8" i="3"/>
  <c r="AE8" i="3"/>
  <c r="AC8" i="3"/>
  <c r="AA8" i="3"/>
  <c r="AI7" i="3"/>
  <c r="AE7" i="3"/>
  <c r="AC7" i="3"/>
  <c r="AA7" i="3"/>
  <c r="AI6" i="3"/>
  <c r="AE6" i="3"/>
  <c r="AC6" i="3"/>
  <c r="AA6" i="3"/>
  <c r="AI5" i="3"/>
  <c r="AE5" i="3"/>
  <c r="AC5" i="3"/>
  <c r="AA5" i="3"/>
  <c r="AI4" i="3"/>
  <c r="AE4" i="3"/>
  <c r="AA4" i="3"/>
  <c r="V33" i="3"/>
  <c r="T33" i="3"/>
  <c r="R33" i="3"/>
  <c r="P33" i="3"/>
  <c r="J33" i="3"/>
  <c r="E33" i="3"/>
  <c r="C33" i="3"/>
  <c r="V32" i="3"/>
  <c r="T32" i="3"/>
  <c r="R32" i="3"/>
  <c r="P32" i="3"/>
  <c r="J32" i="3"/>
  <c r="E32" i="3"/>
  <c r="C32" i="3"/>
  <c r="V31" i="3"/>
  <c r="T31" i="3"/>
  <c r="R31" i="3"/>
  <c r="P31" i="3"/>
  <c r="J31" i="3"/>
  <c r="E31" i="3"/>
  <c r="C31" i="3"/>
  <c r="V30" i="3"/>
  <c r="T30" i="3"/>
  <c r="R30" i="3"/>
  <c r="P30" i="3"/>
  <c r="J30" i="3"/>
  <c r="E30" i="3"/>
  <c r="C30" i="3"/>
  <c r="V29" i="3"/>
  <c r="T29" i="3"/>
  <c r="R29" i="3"/>
  <c r="P29" i="3"/>
  <c r="J29" i="3"/>
  <c r="E29" i="3"/>
  <c r="C29" i="3"/>
  <c r="V28" i="3"/>
  <c r="T28" i="3"/>
  <c r="R28" i="3"/>
  <c r="P28" i="3"/>
  <c r="N28" i="3"/>
  <c r="J28" i="3"/>
  <c r="E28" i="3"/>
  <c r="C28" i="3"/>
  <c r="V27" i="3"/>
  <c r="T27" i="3"/>
  <c r="R27" i="3"/>
  <c r="P27" i="3"/>
  <c r="N27" i="3"/>
  <c r="J27" i="3"/>
  <c r="E27" i="3"/>
  <c r="C27" i="3"/>
  <c r="V26" i="3"/>
  <c r="T26" i="3"/>
  <c r="R26" i="3"/>
  <c r="P26" i="3"/>
  <c r="N26" i="3"/>
  <c r="L26" i="3"/>
  <c r="J26" i="3"/>
  <c r="E26" i="3"/>
  <c r="C26" i="3"/>
  <c r="V25" i="3"/>
  <c r="T25" i="3"/>
  <c r="R25" i="3"/>
  <c r="P25" i="3"/>
  <c r="N25" i="3"/>
  <c r="L25" i="3"/>
  <c r="J25" i="3"/>
  <c r="E25" i="3"/>
  <c r="C25" i="3"/>
  <c r="V24" i="3"/>
  <c r="T24" i="3"/>
  <c r="R24" i="3"/>
  <c r="P24" i="3"/>
  <c r="N24" i="3"/>
  <c r="L24" i="3"/>
  <c r="J24" i="3"/>
  <c r="E24" i="3"/>
  <c r="C24" i="3"/>
  <c r="V23" i="3"/>
  <c r="T23" i="3"/>
  <c r="R23" i="3"/>
  <c r="P23" i="3"/>
  <c r="N23" i="3"/>
  <c r="L23" i="3"/>
  <c r="J23" i="3"/>
  <c r="E23" i="3"/>
  <c r="C23" i="3"/>
  <c r="V22" i="3"/>
  <c r="T22" i="3"/>
  <c r="R22" i="3"/>
  <c r="P22" i="3"/>
  <c r="N22" i="3"/>
  <c r="L22" i="3"/>
  <c r="J22" i="3"/>
  <c r="E22" i="3"/>
  <c r="C22" i="3"/>
  <c r="V21" i="3"/>
  <c r="T21" i="3"/>
  <c r="R21" i="3"/>
  <c r="P21" i="3"/>
  <c r="N21" i="3"/>
  <c r="L21" i="3"/>
  <c r="J21" i="3"/>
  <c r="E21" i="3"/>
  <c r="C21" i="3"/>
  <c r="V20" i="3"/>
  <c r="T20" i="3"/>
  <c r="R20" i="3"/>
  <c r="P20" i="3"/>
  <c r="N20" i="3"/>
  <c r="L20" i="3"/>
  <c r="J20" i="3"/>
  <c r="E20" i="3"/>
  <c r="C20" i="3"/>
  <c r="V19" i="3"/>
  <c r="T19" i="3"/>
  <c r="R19" i="3"/>
  <c r="P19" i="3"/>
  <c r="N19" i="3"/>
  <c r="L19" i="3"/>
  <c r="J19" i="3"/>
  <c r="E19" i="3"/>
  <c r="C19" i="3"/>
  <c r="V18" i="3"/>
  <c r="T18" i="3"/>
  <c r="R18" i="3"/>
  <c r="P18" i="3"/>
  <c r="N18" i="3"/>
  <c r="L18" i="3"/>
  <c r="J18" i="3"/>
  <c r="E18" i="3"/>
  <c r="C18" i="3"/>
  <c r="V17" i="3"/>
  <c r="T17" i="3"/>
  <c r="R17" i="3"/>
  <c r="P17" i="3"/>
  <c r="N17" i="3"/>
  <c r="L17" i="3"/>
  <c r="J17" i="3"/>
  <c r="E17" i="3"/>
  <c r="C17" i="3"/>
  <c r="V16" i="3"/>
  <c r="T16" i="3"/>
  <c r="R16" i="3"/>
  <c r="P16" i="3"/>
  <c r="L16" i="3"/>
  <c r="J16" i="3"/>
  <c r="E16" i="3"/>
  <c r="C16" i="3"/>
  <c r="V15" i="3"/>
  <c r="T15" i="3"/>
  <c r="R15" i="3"/>
  <c r="P15" i="3"/>
  <c r="L15" i="3"/>
  <c r="J15" i="3"/>
  <c r="E15" i="3"/>
  <c r="C15" i="3"/>
  <c r="V14" i="3"/>
  <c r="T14" i="3"/>
  <c r="R14" i="3"/>
  <c r="P14" i="3"/>
  <c r="J14" i="3"/>
  <c r="E14" i="3"/>
  <c r="C14" i="3"/>
  <c r="V13" i="3"/>
  <c r="T13" i="3"/>
  <c r="R13" i="3"/>
  <c r="P13" i="3"/>
  <c r="J13" i="3"/>
  <c r="E13" i="3"/>
  <c r="C13" i="3"/>
  <c r="V12" i="3"/>
  <c r="T12" i="3"/>
  <c r="R12" i="3"/>
  <c r="P12" i="3"/>
  <c r="J12" i="3"/>
  <c r="E12" i="3"/>
  <c r="C12" i="3"/>
  <c r="V11" i="3"/>
  <c r="T11" i="3"/>
  <c r="R11" i="3"/>
  <c r="P11" i="3"/>
  <c r="J11" i="3"/>
  <c r="E11" i="3"/>
  <c r="C11" i="3"/>
  <c r="T10" i="3"/>
  <c r="R10" i="3"/>
  <c r="P10" i="3"/>
  <c r="J10" i="3"/>
  <c r="E10" i="3"/>
  <c r="C10" i="3"/>
  <c r="T9" i="3"/>
  <c r="R9" i="3"/>
  <c r="P9" i="3"/>
  <c r="J9" i="3"/>
  <c r="E9" i="3"/>
  <c r="C9" i="3"/>
  <c r="T8" i="3"/>
  <c r="R8" i="3"/>
  <c r="P8" i="3"/>
  <c r="J8" i="3"/>
  <c r="E8" i="3"/>
  <c r="C8" i="3"/>
  <c r="T7" i="3"/>
  <c r="R7" i="3"/>
  <c r="P7" i="3"/>
  <c r="J7" i="3"/>
  <c r="E7" i="3"/>
  <c r="C7" i="3"/>
  <c r="T6" i="3"/>
  <c r="R6" i="3"/>
  <c r="P6" i="3"/>
  <c r="N6" i="3"/>
  <c r="L6" i="3"/>
  <c r="J6" i="3"/>
  <c r="E6" i="3"/>
  <c r="C6" i="3"/>
  <c r="T5" i="3"/>
  <c r="R5" i="3"/>
  <c r="P5" i="3"/>
  <c r="N5" i="3"/>
  <c r="L5" i="3"/>
  <c r="J5" i="3"/>
  <c r="E5" i="3"/>
  <c r="C5" i="3"/>
  <c r="T4" i="3"/>
  <c r="R4" i="3"/>
  <c r="P4" i="3"/>
  <c r="N4" i="3"/>
  <c r="L4" i="3"/>
  <c r="J4" i="3"/>
  <c r="E4" i="3"/>
  <c r="C4" i="3"/>
  <c r="Y35" i="3"/>
  <c r="AC35" i="3"/>
  <c r="AI35" i="3"/>
  <c r="AK35" i="3"/>
  <c r="EB35" i="3"/>
  <c r="DX35" i="3"/>
  <c r="DA35" i="3"/>
  <c r="CX35" i="3"/>
  <c r="CU35" i="3"/>
  <c r="CR35" i="3"/>
  <c r="CO35" i="3"/>
  <c r="BZ35" i="3"/>
  <c r="BV35" i="3"/>
  <c r="BT35" i="3"/>
  <c r="BS35" i="3"/>
  <c r="BU35" i="3"/>
  <c r="BG35" i="3"/>
  <c r="BO35" i="3"/>
  <c r="BE35" i="3"/>
  <c r="BQ35" i="3"/>
  <c r="BI35" i="3"/>
  <c r="C35" i="3"/>
  <c r="V35" i="3"/>
  <c r="R35" i="3"/>
  <c r="EE35" i="3"/>
  <c r="EF35" i="3"/>
  <c r="DZ35" i="3"/>
  <c r="ED35" i="3"/>
  <c r="CQ35" i="3"/>
  <c r="CT35" i="3"/>
  <c r="CW35" i="3"/>
  <c r="DV35" i="3"/>
  <c r="CB35" i="3"/>
  <c r="CC35" i="3"/>
  <c r="BM35" i="3"/>
  <c r="AM35" i="3"/>
  <c r="AO35" i="3"/>
  <c r="AQ35" i="3"/>
  <c r="AS35" i="3"/>
  <c r="AU35" i="3"/>
  <c r="AW35" i="3"/>
  <c r="AY35" i="3"/>
  <c r="BA35" i="3"/>
  <c r="T35" i="3"/>
  <c r="E35" i="3"/>
  <c r="CK5" i="3" l="1"/>
  <c r="CK4" i="3"/>
  <c r="DD5" i="3"/>
  <c r="DG5" i="3"/>
  <c r="DJ5" i="3"/>
  <c r="DM5" i="3"/>
  <c r="DP5" i="3"/>
  <c r="DS5" i="3"/>
  <c r="DD6" i="3"/>
  <c r="DG6" i="3"/>
  <c r="DJ6" i="3"/>
  <c r="DM6" i="3"/>
  <c r="DP6" i="3"/>
  <c r="DS6" i="3"/>
  <c r="DD7" i="3"/>
  <c r="DG7" i="3"/>
  <c r="DJ7" i="3"/>
  <c r="DM7" i="3"/>
  <c r="DP7" i="3"/>
  <c r="DS7" i="3"/>
  <c r="DD8" i="3"/>
  <c r="DG8" i="3"/>
  <c r="DJ8" i="3"/>
  <c r="DM8" i="3"/>
  <c r="DP8" i="3"/>
  <c r="DS8" i="3"/>
  <c r="DD9" i="3"/>
  <c r="DG9" i="3"/>
  <c r="DJ9" i="3"/>
  <c r="DM9" i="3"/>
  <c r="DP9" i="3"/>
  <c r="DS9" i="3"/>
  <c r="DD10" i="3"/>
  <c r="DG10" i="3"/>
  <c r="DJ10" i="3"/>
  <c r="DM10" i="3"/>
  <c r="DP10" i="3"/>
  <c r="DS10" i="3"/>
  <c r="DD11" i="3"/>
  <c r="DG11" i="3"/>
  <c r="DJ11" i="3"/>
  <c r="DM11" i="3"/>
  <c r="DP11" i="3"/>
  <c r="DS11" i="3"/>
  <c r="DD12" i="3"/>
  <c r="DG12" i="3"/>
  <c r="DJ12" i="3"/>
  <c r="DM12" i="3"/>
  <c r="DP12" i="3"/>
  <c r="DS12" i="3"/>
  <c r="DD13" i="3"/>
  <c r="DG13" i="3"/>
  <c r="DJ13" i="3"/>
  <c r="DM13" i="3"/>
  <c r="DP13" i="3"/>
  <c r="DS13" i="3"/>
  <c r="DD14" i="3"/>
  <c r="DG14" i="3"/>
  <c r="DJ14" i="3"/>
  <c r="DM14" i="3"/>
  <c r="DP14" i="3"/>
  <c r="DS14" i="3"/>
  <c r="DD15" i="3"/>
  <c r="DG15" i="3"/>
  <c r="DJ15" i="3"/>
  <c r="DM15" i="3"/>
  <c r="DP15" i="3"/>
  <c r="DS15" i="3"/>
  <c r="DD16" i="3"/>
  <c r="DG16" i="3"/>
  <c r="DJ16" i="3"/>
  <c r="DM16" i="3"/>
  <c r="DP16" i="3"/>
  <c r="DS16" i="3"/>
  <c r="DD17" i="3"/>
  <c r="DG17" i="3"/>
  <c r="DJ17" i="3"/>
  <c r="DM17" i="3"/>
  <c r="DP17" i="3"/>
  <c r="DS17" i="3"/>
  <c r="DD18" i="3"/>
  <c r="DG18" i="3"/>
  <c r="DJ18" i="3"/>
  <c r="DM18" i="3"/>
  <c r="DP18" i="3"/>
  <c r="DS18" i="3"/>
  <c r="DD19" i="3"/>
  <c r="DG19" i="3"/>
  <c r="DJ19" i="3"/>
  <c r="DM19" i="3"/>
  <c r="DP19" i="3"/>
  <c r="DS19" i="3"/>
  <c r="DD20" i="3"/>
  <c r="DG20" i="3"/>
  <c r="DJ20" i="3"/>
  <c r="DM20" i="3"/>
  <c r="DP20" i="3"/>
  <c r="DS20" i="3"/>
  <c r="DD21" i="3"/>
  <c r="DG21" i="3"/>
  <c r="DJ21" i="3"/>
  <c r="DM21" i="3"/>
  <c r="DP21" i="3"/>
  <c r="DS21" i="3"/>
  <c r="DD22" i="3"/>
  <c r="DG22" i="3"/>
  <c r="DJ22" i="3"/>
  <c r="DM22" i="3"/>
  <c r="DP22" i="3"/>
  <c r="DS22" i="3"/>
  <c r="DD23" i="3"/>
  <c r="DG23" i="3"/>
  <c r="DJ23" i="3"/>
  <c r="DM23" i="3"/>
  <c r="DP23" i="3"/>
  <c r="DS23" i="3"/>
  <c r="DD24" i="3"/>
  <c r="DG24" i="3"/>
  <c r="DJ24" i="3"/>
  <c r="DM24" i="3"/>
  <c r="DP24" i="3"/>
  <c r="DS24" i="3"/>
  <c r="DD25" i="3"/>
  <c r="DG25" i="3"/>
  <c r="DJ25" i="3"/>
  <c r="DM25" i="3"/>
  <c r="DP25" i="3"/>
  <c r="DS25" i="3"/>
  <c r="DD26" i="3"/>
  <c r="DG26" i="3"/>
  <c r="DJ26" i="3"/>
  <c r="DM26" i="3"/>
  <c r="DP26" i="3"/>
  <c r="DS26" i="3"/>
  <c r="DD27" i="3"/>
  <c r="DJ27" i="3"/>
  <c r="DM27" i="3"/>
  <c r="DP27" i="3"/>
  <c r="DS27" i="3"/>
  <c r="DD28" i="3"/>
  <c r="DG28" i="3"/>
  <c r="DJ28" i="3"/>
  <c r="DM28" i="3"/>
  <c r="DP28" i="3"/>
  <c r="DS28" i="3"/>
  <c r="DD29" i="3"/>
  <c r="DG29" i="3"/>
  <c r="DJ29" i="3"/>
  <c r="DM29" i="3"/>
  <c r="DP29" i="3"/>
  <c r="DS29" i="3"/>
  <c r="DD30" i="3"/>
  <c r="DG30" i="3"/>
  <c r="DJ30" i="3"/>
  <c r="DM30" i="3"/>
  <c r="DP30" i="3"/>
  <c r="DS30" i="3"/>
  <c r="DD31" i="3"/>
  <c r="DG31" i="3"/>
  <c r="DJ31" i="3"/>
  <c r="DM31" i="3"/>
  <c r="DP31" i="3"/>
  <c r="DS31" i="3"/>
  <c r="DD32" i="3"/>
  <c r="DG32" i="3"/>
  <c r="DJ32" i="3"/>
  <c r="DM32" i="3"/>
  <c r="DP32" i="3"/>
  <c r="DS32" i="3"/>
  <c r="DD33" i="3"/>
  <c r="DG33" i="3"/>
  <c r="DJ33" i="3"/>
  <c r="DM33" i="3"/>
  <c r="DP33" i="3"/>
  <c r="DS3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BC35" i="3"/>
  <c r="DU35" i="3"/>
  <c r="DR35" i="3"/>
  <c r="DO35" i="3"/>
  <c r="DL35" i="3"/>
  <c r="DI35" i="3"/>
  <c r="DF35" i="3"/>
  <c r="DC35" i="3"/>
  <c r="CZ35" i="3"/>
  <c r="CK35" i="3"/>
  <c r="CN35" i="3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2" i="1"/>
  <c r="DS35" i="3" l="1"/>
  <c r="DP35" i="3"/>
  <c r="DM35" i="3"/>
  <c r="DJ35" i="3"/>
  <c r="DG35" i="3"/>
  <c r="DD35" i="3"/>
  <c r="R32" i="1"/>
  <c r="K32" i="1"/>
  <c r="I32" i="1"/>
  <c r="E32" i="1"/>
  <c r="G32" i="1" l="1"/>
  <c r="T32" i="1" s="1"/>
  <c r="P32" i="1"/>
  <c r="J32" i="1" s="1"/>
  <c r="O3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2" i="1"/>
  <c r="U32" i="1" l="1"/>
  <c r="AK32" i="4" l="1"/>
  <c r="M32" i="4" l="1"/>
  <c r="N32" i="4"/>
  <c r="O32" i="4"/>
  <c r="P32" i="4"/>
  <c r="Q32" i="4"/>
  <c r="R32" i="4"/>
  <c r="S32" i="4"/>
  <c r="T32" i="4"/>
  <c r="U32" i="4"/>
  <c r="V32" i="4"/>
  <c r="W32" i="4"/>
  <c r="Y32" i="4"/>
  <c r="AA32" i="4"/>
  <c r="AB32" i="4"/>
  <c r="AC32" i="4"/>
  <c r="AD32" i="4"/>
  <c r="AE32" i="4"/>
  <c r="AF32" i="4"/>
  <c r="AG32" i="4"/>
  <c r="AH32" i="4"/>
  <c r="AI32" i="4"/>
  <c r="AJ32" i="4"/>
  <c r="H32" i="4"/>
  <c r="I32" i="4"/>
  <c r="J32" i="4"/>
  <c r="K32" i="4"/>
  <c r="G32" i="4"/>
  <c r="F32" i="4"/>
  <c r="E32" i="4"/>
  <c r="X32" i="4" l="1"/>
  <c r="L32" i="4" s="1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2" i="4"/>
  <c r="M3" i="4"/>
  <c r="M4" i="4"/>
  <c r="M5" i="4"/>
  <c r="M6" i="4"/>
  <c r="M7" i="4"/>
  <c r="M8" i="4"/>
  <c r="M9" i="4"/>
  <c r="M11" i="4"/>
  <c r="M12" i="4"/>
  <c r="M13" i="4"/>
  <c r="M14" i="4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S18" i="5"/>
  <c r="DU18" i="5"/>
  <c r="N19" i="5"/>
  <c r="S19" i="5"/>
  <c r="DU19" i="5"/>
  <c r="N20" i="5"/>
  <c r="S20" i="5"/>
  <c r="DU20" i="5"/>
  <c r="N21" i="5"/>
  <c r="P21" i="5"/>
  <c r="S21" i="5"/>
  <c r="DU21" i="5"/>
  <c r="B22" i="5"/>
  <c r="D22" i="5"/>
  <c r="G22" i="5"/>
  <c r="H22" i="5"/>
  <c r="I22" i="5"/>
  <c r="N22" i="5"/>
  <c r="P22" i="5"/>
  <c r="R22" i="5"/>
  <c r="S22" i="5"/>
  <c r="T22" i="5"/>
  <c r="V22" i="5"/>
  <c r="X22" i="5"/>
  <c r="Z22" i="5"/>
  <c r="AD22" i="5"/>
  <c r="AF22" i="5"/>
  <c r="AH22" i="5"/>
  <c r="CA22" i="5"/>
  <c r="CD22" i="5"/>
  <c r="CG22" i="5"/>
  <c r="CJ22" i="5"/>
  <c r="CM22" i="5"/>
  <c r="CP22" i="5"/>
  <c r="CS22" i="5"/>
  <c r="CV22" i="5"/>
  <c r="CY22" i="5"/>
  <c r="DB22" i="5"/>
  <c r="DE22" i="5"/>
  <c r="DH22" i="5"/>
  <c r="DK22" i="5"/>
  <c r="DM22" i="5"/>
  <c r="DO22" i="5"/>
  <c r="DQ22" i="5"/>
  <c r="DU22" i="5"/>
  <c r="B23" i="5"/>
  <c r="D23" i="5"/>
  <c r="G23" i="5"/>
  <c r="L23" i="5"/>
  <c r="N23" i="5"/>
  <c r="P23" i="5"/>
  <c r="R23" i="5"/>
  <c r="S23" i="5"/>
  <c r="T23" i="5"/>
  <c r="V23" i="5"/>
  <c r="X23" i="5"/>
  <c r="Z23" i="5"/>
  <c r="AH23" i="5"/>
  <c r="CA23" i="5"/>
  <c r="CD23" i="5"/>
  <c r="CG23" i="5"/>
  <c r="CJ23" i="5"/>
  <c r="CM23" i="5"/>
  <c r="CP23" i="5"/>
  <c r="CS23" i="5"/>
  <c r="CV23" i="5"/>
  <c r="CY23" i="5"/>
  <c r="DB23" i="5"/>
  <c r="DE23" i="5"/>
  <c r="DH23" i="5"/>
  <c r="DK23" i="5"/>
  <c r="DM23" i="5"/>
  <c r="DO23" i="5"/>
  <c r="DQ23" i="5"/>
  <c r="DU23" i="5"/>
  <c r="B24" i="5"/>
  <c r="D24" i="5"/>
  <c r="G24" i="5"/>
  <c r="L24" i="5"/>
  <c r="N24" i="5"/>
  <c r="P24" i="5"/>
  <c r="R24" i="5"/>
  <c r="S24" i="5"/>
  <c r="T24" i="5"/>
  <c r="V24" i="5"/>
  <c r="X24" i="5"/>
  <c r="Z24" i="5"/>
  <c r="AH24" i="5"/>
  <c r="CA24" i="5"/>
  <c r="CD24" i="5"/>
  <c r="CG24" i="5"/>
  <c r="CJ24" i="5"/>
  <c r="CM24" i="5"/>
  <c r="CP24" i="5"/>
  <c r="CS24" i="5"/>
  <c r="CV24" i="5"/>
  <c r="CY24" i="5"/>
  <c r="DB24" i="5"/>
  <c r="DE24" i="5"/>
  <c r="DH24" i="5"/>
  <c r="DK24" i="5"/>
  <c r="DM24" i="5"/>
  <c r="DO24" i="5"/>
  <c r="DQ24" i="5"/>
  <c r="DU24" i="5"/>
  <c r="B25" i="5"/>
  <c r="D25" i="5"/>
  <c r="G25" i="5"/>
  <c r="L25" i="5"/>
  <c r="N25" i="5"/>
  <c r="P25" i="5"/>
  <c r="R25" i="5"/>
  <c r="S25" i="5"/>
  <c r="T25" i="5"/>
  <c r="V25" i="5"/>
  <c r="X25" i="5"/>
  <c r="Z25" i="5"/>
  <c r="AH25" i="5"/>
  <c r="CA25" i="5"/>
  <c r="CD25" i="5"/>
  <c r="CG25" i="5"/>
  <c r="CJ25" i="5"/>
  <c r="CM25" i="5"/>
  <c r="CP25" i="5"/>
  <c r="CS25" i="5"/>
  <c r="CV25" i="5"/>
  <c r="CY25" i="5"/>
  <c r="DB25" i="5"/>
  <c r="DE25" i="5"/>
  <c r="DH25" i="5"/>
  <c r="DK25" i="5"/>
  <c r="DM25" i="5"/>
  <c r="DO25" i="5"/>
  <c r="DQ25" i="5"/>
  <c r="DU25" i="5"/>
  <c r="B26" i="5"/>
  <c r="D26" i="5"/>
  <c r="G26" i="5"/>
  <c r="L26" i="5"/>
  <c r="N26" i="5"/>
  <c r="P26" i="5"/>
  <c r="R26" i="5"/>
  <c r="S26" i="5"/>
  <c r="T26" i="5"/>
  <c r="V26" i="5"/>
  <c r="X26" i="5"/>
  <c r="Z26" i="5"/>
  <c r="AH26" i="5"/>
  <c r="CA26" i="5"/>
  <c r="CD26" i="5"/>
  <c r="CG26" i="5"/>
  <c r="CJ26" i="5"/>
  <c r="CM26" i="5"/>
  <c r="CP26" i="5"/>
  <c r="CS26" i="5"/>
  <c r="CV26" i="5"/>
  <c r="CY26" i="5"/>
  <c r="DB26" i="5"/>
  <c r="DE26" i="5"/>
  <c r="DH26" i="5"/>
  <c r="DK26" i="5"/>
  <c r="DM26" i="5"/>
  <c r="DO26" i="5"/>
  <c r="DQ26" i="5"/>
  <c r="DU26" i="5"/>
  <c r="B27" i="5"/>
  <c r="D27" i="5"/>
  <c r="G27" i="5"/>
  <c r="L27" i="5"/>
  <c r="N27" i="5"/>
  <c r="P27" i="5"/>
  <c r="R27" i="5"/>
  <c r="S27" i="5"/>
  <c r="T27" i="5"/>
  <c r="V27" i="5"/>
  <c r="X27" i="5"/>
  <c r="Z27" i="5"/>
  <c r="AH27" i="5"/>
  <c r="CA27" i="5"/>
  <c r="CD27" i="5"/>
  <c r="CG27" i="5"/>
  <c r="CJ27" i="5"/>
  <c r="CM27" i="5"/>
  <c r="CP27" i="5"/>
  <c r="CS27" i="5"/>
  <c r="CV27" i="5"/>
  <c r="CY27" i="5"/>
  <c r="DB27" i="5"/>
  <c r="DE27" i="5"/>
  <c r="DH27" i="5"/>
  <c r="DK27" i="5"/>
  <c r="DM27" i="5"/>
  <c r="DO27" i="5"/>
  <c r="DQ27" i="5"/>
  <c r="DU27" i="5"/>
  <c r="B28" i="5"/>
  <c r="D28" i="5"/>
  <c r="G28" i="5"/>
  <c r="L28" i="5"/>
  <c r="N28" i="5"/>
  <c r="P28" i="5"/>
  <c r="R28" i="5"/>
  <c r="S28" i="5"/>
  <c r="T28" i="5"/>
  <c r="V28" i="5"/>
  <c r="X28" i="5"/>
  <c r="Z28" i="5"/>
  <c r="AH28" i="5"/>
  <c r="CA28" i="5"/>
  <c r="CD28" i="5"/>
  <c r="CG28" i="5"/>
  <c r="CJ28" i="5"/>
  <c r="CM28" i="5"/>
  <c r="CP28" i="5"/>
  <c r="CS28" i="5"/>
  <c r="CV28" i="5"/>
  <c r="CY28" i="5"/>
  <c r="DB28" i="5"/>
  <c r="DE28" i="5"/>
  <c r="DH28" i="5"/>
  <c r="DK28" i="5"/>
  <c r="DM28" i="5"/>
  <c r="DO28" i="5"/>
  <c r="DQ28" i="5"/>
  <c r="DU28" i="5"/>
  <c r="B29" i="5"/>
  <c r="D29" i="5"/>
  <c r="G29" i="5"/>
  <c r="L29" i="5"/>
  <c r="N29" i="5"/>
  <c r="P29" i="5"/>
  <c r="R29" i="5"/>
  <c r="S29" i="5"/>
  <c r="T29" i="5"/>
  <c r="V29" i="5"/>
  <c r="X29" i="5"/>
  <c r="Z29" i="5"/>
  <c r="AH29" i="5"/>
  <c r="CA29" i="5"/>
  <c r="CD29" i="5"/>
  <c r="CG29" i="5"/>
  <c r="CJ29" i="5"/>
  <c r="CM29" i="5"/>
  <c r="CP29" i="5"/>
  <c r="CS29" i="5"/>
  <c r="CV29" i="5"/>
  <c r="CY29" i="5"/>
  <c r="DB29" i="5"/>
  <c r="DE29" i="5"/>
  <c r="DH29" i="5"/>
  <c r="DK29" i="5"/>
  <c r="DM29" i="5"/>
  <c r="DO29" i="5"/>
  <c r="DQ29" i="5"/>
  <c r="DU29" i="5"/>
  <c r="B30" i="5"/>
  <c r="D30" i="5"/>
  <c r="G30" i="5"/>
  <c r="L30" i="5"/>
  <c r="N30" i="5"/>
  <c r="P30" i="5"/>
  <c r="R30" i="5"/>
  <c r="S30" i="5"/>
  <c r="T30" i="5"/>
  <c r="V30" i="5"/>
  <c r="X30" i="5"/>
  <c r="Z30" i="5"/>
  <c r="AH30" i="5"/>
  <c r="CA30" i="5"/>
  <c r="CD30" i="5"/>
  <c r="CG30" i="5"/>
  <c r="CJ30" i="5"/>
  <c r="CM30" i="5"/>
  <c r="CP30" i="5"/>
  <c r="CS30" i="5"/>
  <c r="CV30" i="5"/>
  <c r="CY30" i="5"/>
  <c r="DB30" i="5"/>
  <c r="DE30" i="5"/>
  <c r="DH30" i="5"/>
  <c r="DK30" i="5"/>
  <c r="DM30" i="5"/>
  <c r="DO30" i="5"/>
  <c r="DQ30" i="5"/>
  <c r="DU30" i="5"/>
  <c r="B31" i="5"/>
  <c r="D31" i="5"/>
  <c r="G31" i="5"/>
  <c r="L31" i="5"/>
  <c r="N31" i="5"/>
  <c r="P31" i="5"/>
  <c r="R31" i="5"/>
  <c r="S31" i="5"/>
  <c r="T31" i="5"/>
  <c r="V31" i="5"/>
  <c r="X31" i="5"/>
  <c r="Z31" i="5"/>
  <c r="AH31" i="5"/>
  <c r="CA31" i="5"/>
  <c r="CD31" i="5"/>
  <c r="CG31" i="5"/>
  <c r="CJ31" i="5"/>
  <c r="CM31" i="5"/>
  <c r="CP31" i="5"/>
  <c r="CS31" i="5"/>
  <c r="CV31" i="5"/>
  <c r="CY31" i="5"/>
  <c r="DB31" i="5"/>
  <c r="DE31" i="5"/>
  <c r="DH31" i="5"/>
  <c r="DK31" i="5"/>
  <c r="DM31" i="5"/>
  <c r="DO31" i="5"/>
  <c r="DQ31" i="5"/>
  <c r="DU31" i="5"/>
  <c r="B32" i="5"/>
  <c r="D32" i="5"/>
  <c r="G32" i="5"/>
  <c r="L32" i="5"/>
  <c r="N32" i="5"/>
  <c r="P32" i="5"/>
  <c r="R32" i="5"/>
  <c r="S32" i="5"/>
  <c r="T32" i="5"/>
  <c r="V32" i="5"/>
  <c r="X32" i="5"/>
  <c r="Z32" i="5"/>
  <c r="AH32" i="5"/>
  <c r="CA32" i="5"/>
  <c r="CD32" i="5"/>
  <c r="CG32" i="5"/>
  <c r="CJ32" i="5"/>
  <c r="CM32" i="5"/>
  <c r="CP32" i="5"/>
  <c r="CS32" i="5"/>
  <c r="CV32" i="5"/>
  <c r="CY32" i="5"/>
  <c r="DB32" i="5"/>
  <c r="DE32" i="5"/>
  <c r="DH32" i="5"/>
  <c r="DK32" i="5"/>
  <c r="DM32" i="5"/>
  <c r="DO32" i="5"/>
  <c r="DQ32" i="5"/>
  <c r="DU32" i="5"/>
  <c r="B33" i="5"/>
  <c r="D33" i="5"/>
  <c r="G33" i="5"/>
  <c r="L33" i="5"/>
  <c r="N33" i="5"/>
  <c r="P33" i="5"/>
  <c r="R33" i="5"/>
  <c r="S33" i="5"/>
  <c r="T33" i="5"/>
  <c r="V33" i="5"/>
  <c r="X33" i="5"/>
  <c r="Z33" i="5"/>
  <c r="AH33" i="5"/>
  <c r="CA33" i="5"/>
  <c r="CD33" i="5"/>
  <c r="CG33" i="5"/>
  <c r="CJ33" i="5"/>
  <c r="CM33" i="5"/>
  <c r="CP33" i="5"/>
  <c r="CS33" i="5"/>
  <c r="CV33" i="5"/>
  <c r="CY33" i="5"/>
  <c r="DB33" i="5"/>
  <c r="DE33" i="5"/>
  <c r="DH33" i="5"/>
  <c r="DK33" i="5"/>
  <c r="DM33" i="5"/>
  <c r="DO33" i="5"/>
  <c r="DQ33" i="5"/>
  <c r="DU33" i="5"/>
  <c r="B34" i="5"/>
  <c r="D34" i="5"/>
  <c r="G34" i="5"/>
  <c r="L34" i="5"/>
  <c r="N34" i="5"/>
  <c r="O34" i="5"/>
  <c r="V34" i="5"/>
  <c r="AH34" i="5"/>
  <c r="CA34" i="5"/>
  <c r="CG34" i="5"/>
  <c r="CM34" i="5"/>
  <c r="DK34" i="5"/>
  <c r="DU34" i="5"/>
  <c r="E2" i="1"/>
  <c r="E2" i="4" s="1"/>
  <c r="F2" i="4"/>
  <c r="G2" i="4"/>
  <c r="N2" i="4"/>
  <c r="P2" i="4"/>
  <c r="Q2" i="4"/>
  <c r="R2" i="4"/>
  <c r="S2" i="4"/>
  <c r="T2" i="4"/>
  <c r="U2" i="4"/>
  <c r="V2" i="4"/>
  <c r="W2" i="4"/>
  <c r="Z3" i="4"/>
  <c r="AA2" i="4"/>
  <c r="AB2" i="4"/>
  <c r="AC2" i="4"/>
  <c r="AD2" i="4"/>
  <c r="AE2" i="4"/>
  <c r="AF2" i="4"/>
  <c r="AG2" i="4"/>
  <c r="AH2" i="4"/>
  <c r="AI2" i="4"/>
  <c r="AJ2" i="4"/>
  <c r="H2" i="4"/>
  <c r="I2" i="4"/>
  <c r="J2" i="4"/>
  <c r="K2" i="4"/>
  <c r="E3" i="1"/>
  <c r="E3" i="4" s="1"/>
  <c r="F3" i="4"/>
  <c r="G3" i="4"/>
  <c r="N3" i="4"/>
  <c r="P3" i="4"/>
  <c r="Q3" i="4"/>
  <c r="R3" i="4"/>
  <c r="S3" i="4"/>
  <c r="T3" i="4"/>
  <c r="U3" i="4"/>
  <c r="V3" i="4"/>
  <c r="W3" i="4"/>
  <c r="Z4" i="4"/>
  <c r="AA3" i="4"/>
  <c r="AB3" i="4"/>
  <c r="AC3" i="4"/>
  <c r="AD3" i="4"/>
  <c r="AE3" i="4"/>
  <c r="AF3" i="4"/>
  <c r="AG3" i="4"/>
  <c r="AH3" i="4"/>
  <c r="AI3" i="4"/>
  <c r="AJ3" i="4"/>
  <c r="H3" i="4"/>
  <c r="I3" i="4"/>
  <c r="J3" i="4"/>
  <c r="K3" i="4"/>
  <c r="E4" i="1"/>
  <c r="E4" i="4" s="1"/>
  <c r="F4" i="4"/>
  <c r="G4" i="4"/>
  <c r="I4" i="1"/>
  <c r="N4" i="4"/>
  <c r="P4" i="4"/>
  <c r="Q4" i="4"/>
  <c r="R4" i="4"/>
  <c r="S4" i="4"/>
  <c r="T4" i="4"/>
  <c r="U4" i="4"/>
  <c r="V4" i="4"/>
  <c r="W4" i="4"/>
  <c r="Y4" i="4"/>
  <c r="Z5" i="4"/>
  <c r="AA4" i="4"/>
  <c r="AB4" i="4"/>
  <c r="AC4" i="4"/>
  <c r="AD4" i="4"/>
  <c r="AE4" i="4"/>
  <c r="AF4" i="4"/>
  <c r="AG4" i="4"/>
  <c r="AH4" i="4"/>
  <c r="AI4" i="4"/>
  <c r="AJ4" i="4"/>
  <c r="H4" i="4"/>
  <c r="I4" i="4"/>
  <c r="J4" i="4"/>
  <c r="K4" i="4"/>
  <c r="E5" i="1"/>
  <c r="E5" i="4" s="1"/>
  <c r="F5" i="4"/>
  <c r="G5" i="4"/>
  <c r="N5" i="4"/>
  <c r="P5" i="4"/>
  <c r="Q5" i="4"/>
  <c r="R5" i="4"/>
  <c r="S5" i="4"/>
  <c r="T5" i="4"/>
  <c r="U5" i="4"/>
  <c r="V5" i="4"/>
  <c r="W5" i="4"/>
  <c r="Y5" i="4"/>
  <c r="Z6" i="4"/>
  <c r="AA5" i="4"/>
  <c r="AB5" i="4"/>
  <c r="AC5" i="4"/>
  <c r="AD5" i="4"/>
  <c r="AE5" i="4"/>
  <c r="AF5" i="4"/>
  <c r="AG5" i="4"/>
  <c r="AH5" i="4"/>
  <c r="AI5" i="4"/>
  <c r="AJ5" i="4"/>
  <c r="H5" i="4"/>
  <c r="I5" i="4"/>
  <c r="J5" i="4"/>
  <c r="K5" i="4"/>
  <c r="F6" i="4"/>
  <c r="G6" i="4"/>
  <c r="N6" i="4"/>
  <c r="P6" i="4"/>
  <c r="Q6" i="4"/>
  <c r="R6" i="4"/>
  <c r="S6" i="4"/>
  <c r="T6" i="4"/>
  <c r="U6" i="4"/>
  <c r="V6" i="4"/>
  <c r="W6" i="4"/>
  <c r="Y6" i="4"/>
  <c r="Z7" i="4"/>
  <c r="AA6" i="4"/>
  <c r="AB6" i="4"/>
  <c r="AC6" i="4"/>
  <c r="AD6" i="4"/>
  <c r="AE6" i="4"/>
  <c r="AF6" i="4"/>
  <c r="AG6" i="4"/>
  <c r="AH6" i="4"/>
  <c r="AI6" i="4"/>
  <c r="AJ6" i="4"/>
  <c r="H6" i="4"/>
  <c r="I6" i="4"/>
  <c r="J6" i="4"/>
  <c r="K6" i="4"/>
  <c r="F7" i="4"/>
  <c r="G7" i="4"/>
  <c r="N7" i="4"/>
  <c r="P7" i="4"/>
  <c r="Q7" i="4"/>
  <c r="R7" i="4"/>
  <c r="S7" i="4"/>
  <c r="T7" i="4"/>
  <c r="U7" i="4"/>
  <c r="V7" i="4"/>
  <c r="W7" i="4"/>
  <c r="Y7" i="4"/>
  <c r="Z8" i="4"/>
  <c r="AA7" i="4"/>
  <c r="AB7" i="4"/>
  <c r="AC7" i="4"/>
  <c r="AD7" i="4"/>
  <c r="AE7" i="4"/>
  <c r="AF7" i="4"/>
  <c r="AG7" i="4"/>
  <c r="AH7" i="4"/>
  <c r="AI7" i="4"/>
  <c r="AJ7" i="4"/>
  <c r="H7" i="4"/>
  <c r="I7" i="4"/>
  <c r="J7" i="4"/>
  <c r="K7" i="4"/>
  <c r="F8" i="4"/>
  <c r="G8" i="4"/>
  <c r="N8" i="4"/>
  <c r="P8" i="4"/>
  <c r="Q8" i="4"/>
  <c r="R8" i="4"/>
  <c r="S8" i="4"/>
  <c r="U8" i="4"/>
  <c r="V8" i="4"/>
  <c r="W8" i="4"/>
  <c r="Y8" i="4"/>
  <c r="Z9" i="4"/>
  <c r="AA8" i="4"/>
  <c r="AB8" i="4"/>
  <c r="AC8" i="4"/>
  <c r="AD8" i="4"/>
  <c r="AE8" i="4"/>
  <c r="AF8" i="4"/>
  <c r="AG8" i="4"/>
  <c r="AH8" i="4"/>
  <c r="AI8" i="4"/>
  <c r="AJ8" i="4"/>
  <c r="H8" i="4"/>
  <c r="I8" i="4"/>
  <c r="J8" i="4"/>
  <c r="K8" i="4"/>
  <c r="F9" i="4"/>
  <c r="G9" i="4"/>
  <c r="N9" i="4"/>
  <c r="P9" i="4"/>
  <c r="Q9" i="4"/>
  <c r="R9" i="4"/>
  <c r="S9" i="4"/>
  <c r="T9" i="4"/>
  <c r="U9" i="4"/>
  <c r="V9" i="4"/>
  <c r="W9" i="4"/>
  <c r="Y9" i="4"/>
  <c r="AA9" i="4"/>
  <c r="AB9" i="4"/>
  <c r="AC9" i="4"/>
  <c r="AD9" i="4"/>
  <c r="AE9" i="4"/>
  <c r="AF9" i="4"/>
  <c r="AG9" i="4"/>
  <c r="AH9" i="4"/>
  <c r="AI9" i="4"/>
  <c r="AJ9" i="4"/>
  <c r="H9" i="4"/>
  <c r="I9" i="4"/>
  <c r="K9" i="4"/>
  <c r="E10" i="1"/>
  <c r="E10" i="4" s="1"/>
  <c r="F10" i="4"/>
  <c r="G10" i="4"/>
  <c r="N10" i="4"/>
  <c r="P10" i="4"/>
  <c r="Q10" i="4"/>
  <c r="R10" i="4"/>
  <c r="S10" i="4"/>
  <c r="T10" i="4"/>
  <c r="U10" i="4"/>
  <c r="V10" i="4"/>
  <c r="W10" i="4"/>
  <c r="Y10" i="4"/>
  <c r="Z11" i="4"/>
  <c r="AA10" i="4"/>
  <c r="AB10" i="4"/>
  <c r="AC10" i="4"/>
  <c r="AD10" i="4"/>
  <c r="AE10" i="4"/>
  <c r="AF10" i="4"/>
  <c r="AG10" i="4"/>
  <c r="AH10" i="4"/>
  <c r="AI10" i="4"/>
  <c r="AJ10" i="4"/>
  <c r="H10" i="4"/>
  <c r="I10" i="4"/>
  <c r="J10" i="4"/>
  <c r="K10" i="4"/>
  <c r="E11" i="1"/>
  <c r="E11" i="4" s="1"/>
  <c r="F11" i="4"/>
  <c r="G11" i="4"/>
  <c r="O11" i="4"/>
  <c r="P11" i="4"/>
  <c r="R11" i="4"/>
  <c r="S11" i="4"/>
  <c r="T11" i="4"/>
  <c r="U11" i="4"/>
  <c r="V11" i="4"/>
  <c r="W11" i="4"/>
  <c r="Y11" i="4"/>
  <c r="Z12" i="4"/>
  <c r="AA11" i="4"/>
  <c r="AB11" i="4"/>
  <c r="AC11" i="4"/>
  <c r="AD11" i="4"/>
  <c r="AE11" i="4"/>
  <c r="AF11" i="4"/>
  <c r="AG11" i="4"/>
  <c r="AH11" i="4"/>
  <c r="AI11" i="4"/>
  <c r="AJ11" i="4"/>
  <c r="H11" i="4"/>
  <c r="I11" i="4"/>
  <c r="J11" i="4"/>
  <c r="K11" i="4"/>
  <c r="E12" i="1"/>
  <c r="E12" i="4" s="1"/>
  <c r="F12" i="4"/>
  <c r="G12" i="4"/>
  <c r="N12" i="4"/>
  <c r="O12" i="4"/>
  <c r="P12" i="4"/>
  <c r="Q12" i="4"/>
  <c r="R12" i="4"/>
  <c r="S12" i="4"/>
  <c r="T12" i="4"/>
  <c r="U12" i="4"/>
  <c r="V12" i="4"/>
  <c r="W12" i="4"/>
  <c r="Y12" i="4"/>
  <c r="Z13" i="4"/>
  <c r="AA12" i="4"/>
  <c r="AB12" i="4"/>
  <c r="AC12" i="4"/>
  <c r="AD12" i="4"/>
  <c r="AE12" i="4"/>
  <c r="AF12" i="4"/>
  <c r="AG12" i="4"/>
  <c r="AH12" i="4"/>
  <c r="AI12" i="4"/>
  <c r="AJ12" i="4"/>
  <c r="H12" i="4"/>
  <c r="I12" i="4"/>
  <c r="J12" i="4"/>
  <c r="K12" i="4"/>
  <c r="E13" i="1"/>
  <c r="E13" i="4" s="1"/>
  <c r="F13" i="4"/>
  <c r="G13" i="4"/>
  <c r="O13" i="4"/>
  <c r="P13" i="4"/>
  <c r="Q13" i="4"/>
  <c r="S13" i="4"/>
  <c r="T13" i="4"/>
  <c r="U13" i="4"/>
  <c r="V13" i="4"/>
  <c r="W13" i="4"/>
  <c r="Y13" i="4"/>
  <c r="Z14" i="4"/>
  <c r="AA13" i="4"/>
  <c r="AB13" i="4"/>
  <c r="AC13" i="4"/>
  <c r="AD13" i="4"/>
  <c r="AE13" i="4"/>
  <c r="AF13" i="4"/>
  <c r="AG13" i="4"/>
  <c r="AH13" i="4"/>
  <c r="AI13" i="4"/>
  <c r="AJ13" i="4"/>
  <c r="H13" i="4"/>
  <c r="I13" i="4"/>
  <c r="K13" i="4"/>
  <c r="E14" i="1"/>
  <c r="E14" i="4" s="1"/>
  <c r="G14" i="4"/>
  <c r="O14" i="4"/>
  <c r="P14" i="4"/>
  <c r="Q14" i="4"/>
  <c r="S14" i="4"/>
  <c r="T14" i="4"/>
  <c r="U14" i="4"/>
  <c r="V14" i="4"/>
  <c r="W14" i="4"/>
  <c r="Z15" i="4"/>
  <c r="H14" i="4"/>
  <c r="I14" i="4"/>
  <c r="J14" i="4"/>
  <c r="K14" i="4"/>
  <c r="E15" i="1"/>
  <c r="E15" i="4" s="1"/>
  <c r="F15" i="4"/>
  <c r="G15" i="4"/>
  <c r="I15" i="1"/>
  <c r="N15" i="4"/>
  <c r="P15" i="4"/>
  <c r="Q15" i="4"/>
  <c r="R15" i="4"/>
  <c r="S15" i="4"/>
  <c r="T15" i="4"/>
  <c r="V15" i="4"/>
  <c r="W15" i="4"/>
  <c r="Y15" i="4"/>
  <c r="Z16" i="4"/>
  <c r="AA15" i="4"/>
  <c r="AB15" i="4"/>
  <c r="AC15" i="4"/>
  <c r="AD15" i="4"/>
  <c r="AE15" i="4"/>
  <c r="AF15" i="4"/>
  <c r="AG15" i="4"/>
  <c r="AH15" i="4"/>
  <c r="AI15" i="4"/>
  <c r="AJ15" i="4"/>
  <c r="H15" i="4"/>
  <c r="I15" i="4"/>
  <c r="J15" i="4"/>
  <c r="K15" i="4"/>
  <c r="E16" i="1"/>
  <c r="E16" i="4" s="1"/>
  <c r="F16" i="4"/>
  <c r="N16" i="4"/>
  <c r="O16" i="4"/>
  <c r="P16" i="4"/>
  <c r="Q16" i="4"/>
  <c r="R16" i="4"/>
  <c r="T16" i="4"/>
  <c r="U16" i="4"/>
  <c r="V16" i="4"/>
  <c r="W16" i="4"/>
  <c r="Y16" i="4"/>
  <c r="Z17" i="4"/>
  <c r="AA16" i="4"/>
  <c r="AB16" i="4"/>
  <c r="AC16" i="4"/>
  <c r="AD16" i="4"/>
  <c r="AE16" i="4"/>
  <c r="AF16" i="4"/>
  <c r="AG16" i="4"/>
  <c r="AH16" i="4"/>
  <c r="AI16" i="4"/>
  <c r="AJ16" i="4"/>
  <c r="H16" i="4"/>
  <c r="I16" i="4"/>
  <c r="J16" i="4"/>
  <c r="K16" i="4"/>
  <c r="F17" i="4"/>
  <c r="G17" i="4"/>
  <c r="N17" i="4"/>
  <c r="O17" i="4"/>
  <c r="P17" i="4"/>
  <c r="Q17" i="4"/>
  <c r="S17" i="4"/>
  <c r="T17" i="4"/>
  <c r="U17" i="4"/>
  <c r="V17" i="4"/>
  <c r="W17" i="4"/>
  <c r="Y17" i="4"/>
  <c r="Z18" i="4"/>
  <c r="AA17" i="4"/>
  <c r="AB17" i="4"/>
  <c r="AC17" i="4"/>
  <c r="AD17" i="4"/>
  <c r="AE17" i="4"/>
  <c r="AF17" i="4"/>
  <c r="AG17" i="4"/>
  <c r="AH17" i="4"/>
  <c r="AI17" i="4"/>
  <c r="AJ17" i="4"/>
  <c r="H17" i="4"/>
  <c r="I17" i="4"/>
  <c r="J17" i="4"/>
  <c r="K17" i="4"/>
  <c r="E18" i="1"/>
  <c r="E18" i="4" s="1"/>
  <c r="F18" i="4"/>
  <c r="G18" i="4"/>
  <c r="O18" i="4"/>
  <c r="P18" i="4"/>
  <c r="Q18" i="4"/>
  <c r="R18" i="4"/>
  <c r="S18" i="4"/>
  <c r="T18" i="4"/>
  <c r="U18" i="4"/>
  <c r="V18" i="4"/>
  <c r="W18" i="4"/>
  <c r="Y18" i="4"/>
  <c r="Z19" i="4"/>
  <c r="AA18" i="4"/>
  <c r="AB18" i="4"/>
  <c r="AC18" i="4"/>
  <c r="AD18" i="4"/>
  <c r="AE18" i="4"/>
  <c r="AF18" i="4"/>
  <c r="AG18" i="4"/>
  <c r="AH18" i="4"/>
  <c r="AI18" i="4"/>
  <c r="AJ18" i="4"/>
  <c r="H18" i="4"/>
  <c r="I18" i="4"/>
  <c r="J18" i="4"/>
  <c r="K18" i="4"/>
  <c r="E19" i="1"/>
  <c r="E19" i="4" s="1"/>
  <c r="F19" i="4"/>
  <c r="G19" i="4"/>
  <c r="O19" i="4"/>
  <c r="P19" i="4"/>
  <c r="Q19" i="4"/>
  <c r="R19" i="4"/>
  <c r="S19" i="4"/>
  <c r="U19" i="4"/>
  <c r="V19" i="4"/>
  <c r="W19" i="4"/>
  <c r="Y19" i="4"/>
  <c r="Z20" i="4"/>
  <c r="AA19" i="4"/>
  <c r="AB19" i="4"/>
  <c r="AC19" i="4"/>
  <c r="AD19" i="4"/>
  <c r="AE19" i="4"/>
  <c r="AF19" i="4"/>
  <c r="AG19" i="4"/>
  <c r="AH19" i="4"/>
  <c r="AI19" i="4"/>
  <c r="AJ19" i="4"/>
  <c r="I19" i="4"/>
  <c r="J19" i="4"/>
  <c r="K19" i="4"/>
  <c r="F20" i="4"/>
  <c r="G20" i="4"/>
  <c r="O20" i="4"/>
  <c r="P20" i="4"/>
  <c r="R20" i="4"/>
  <c r="S20" i="4"/>
  <c r="T20" i="4"/>
  <c r="U20" i="4"/>
  <c r="V20" i="4"/>
  <c r="W20" i="4"/>
  <c r="Z21" i="4"/>
  <c r="AA20" i="4"/>
  <c r="AB20" i="4"/>
  <c r="AC20" i="4"/>
  <c r="AD20" i="4"/>
  <c r="AE20" i="4"/>
  <c r="AF20" i="4"/>
  <c r="AG20" i="4"/>
  <c r="AH20" i="4"/>
  <c r="AI20" i="4"/>
  <c r="AJ20" i="4"/>
  <c r="H20" i="4"/>
  <c r="I20" i="4"/>
  <c r="J20" i="4"/>
  <c r="K20" i="4"/>
  <c r="E21" i="1"/>
  <c r="E21" i="4" s="1"/>
  <c r="F21" i="4"/>
  <c r="G21" i="4"/>
  <c r="N21" i="4"/>
  <c r="O21" i="4"/>
  <c r="P21" i="4"/>
  <c r="Q21" i="4"/>
  <c r="R21" i="4"/>
  <c r="S21" i="4"/>
  <c r="U21" i="4"/>
  <c r="V21" i="4"/>
  <c r="W21" i="4"/>
  <c r="Y21" i="4"/>
  <c r="Z22" i="4"/>
  <c r="AA21" i="4"/>
  <c r="AB21" i="4"/>
  <c r="AC21" i="4"/>
  <c r="AD21" i="4"/>
  <c r="AE21" i="4"/>
  <c r="AF21" i="4"/>
  <c r="AG21" i="4"/>
  <c r="AH21" i="4"/>
  <c r="AI21" i="4"/>
  <c r="AJ21" i="4"/>
  <c r="H21" i="4"/>
  <c r="I21" i="4"/>
  <c r="J21" i="4"/>
  <c r="K21" i="4"/>
  <c r="E22" i="1"/>
  <c r="E22" i="4" s="1"/>
  <c r="F22" i="4"/>
  <c r="G22" i="4"/>
  <c r="N22" i="4"/>
  <c r="O22" i="4"/>
  <c r="P22" i="4"/>
  <c r="Q22" i="4"/>
  <c r="R22" i="4"/>
  <c r="S22" i="4"/>
  <c r="T22" i="4"/>
  <c r="V22" i="4"/>
  <c r="W22" i="4"/>
  <c r="Y22" i="4"/>
  <c r="Z23" i="4"/>
  <c r="AA22" i="4"/>
  <c r="AB22" i="4"/>
  <c r="AC22" i="4"/>
  <c r="AD22" i="4"/>
  <c r="AE22" i="4"/>
  <c r="AF22" i="4"/>
  <c r="AG22" i="4"/>
  <c r="AH22" i="4"/>
  <c r="AI22" i="4"/>
  <c r="AJ22" i="4"/>
  <c r="H22" i="4"/>
  <c r="I22" i="4"/>
  <c r="J22" i="4"/>
  <c r="K22" i="4"/>
  <c r="E23" i="1"/>
  <c r="E23" i="4" s="1"/>
  <c r="F23" i="4"/>
  <c r="G23" i="4"/>
  <c r="O23" i="4"/>
  <c r="P23" i="4"/>
  <c r="Q23" i="4"/>
  <c r="R23" i="4"/>
  <c r="S23" i="4"/>
  <c r="T23" i="4"/>
  <c r="U23" i="4"/>
  <c r="V23" i="4"/>
  <c r="W23" i="4"/>
  <c r="Y23" i="4"/>
  <c r="Z24" i="4"/>
  <c r="AA23" i="4"/>
  <c r="AB23" i="4"/>
  <c r="AC23" i="4"/>
  <c r="AD23" i="4"/>
  <c r="AE23" i="4"/>
  <c r="AF23" i="4"/>
  <c r="AG23" i="4"/>
  <c r="AH23" i="4"/>
  <c r="AI23" i="4"/>
  <c r="AJ23" i="4"/>
  <c r="H23" i="4"/>
  <c r="J23" i="4"/>
  <c r="K23" i="4"/>
  <c r="E24" i="1"/>
  <c r="E24" i="4" s="1"/>
  <c r="F24" i="4"/>
  <c r="G24" i="4"/>
  <c r="N24" i="4"/>
  <c r="O24" i="4"/>
  <c r="P24" i="4"/>
  <c r="Q24" i="4"/>
  <c r="R24" i="4"/>
  <c r="S24" i="4"/>
  <c r="T24" i="4"/>
  <c r="V24" i="4"/>
  <c r="W24" i="4"/>
  <c r="Y24" i="4"/>
  <c r="Z25" i="4"/>
  <c r="AA24" i="4"/>
  <c r="AB24" i="4"/>
  <c r="AC24" i="4"/>
  <c r="AD24" i="4"/>
  <c r="AE24" i="4"/>
  <c r="AF24" i="4"/>
  <c r="AG24" i="4"/>
  <c r="AH24" i="4"/>
  <c r="AI24" i="4"/>
  <c r="AJ24" i="4"/>
  <c r="H24" i="4"/>
  <c r="I24" i="4"/>
  <c r="J24" i="4"/>
  <c r="K24" i="4"/>
  <c r="E25" i="1"/>
  <c r="E25" i="4" s="1"/>
  <c r="F25" i="4"/>
  <c r="G25" i="4"/>
  <c r="N25" i="4"/>
  <c r="O25" i="4"/>
  <c r="P25" i="4"/>
  <c r="Q25" i="4"/>
  <c r="R25" i="4"/>
  <c r="S25" i="4"/>
  <c r="T25" i="4"/>
  <c r="U25" i="4"/>
  <c r="V25" i="4"/>
  <c r="W25" i="4"/>
  <c r="Y25" i="4"/>
  <c r="Z26" i="4"/>
  <c r="AA25" i="4"/>
  <c r="AB25" i="4"/>
  <c r="AC25" i="4"/>
  <c r="AD25" i="4"/>
  <c r="AE25" i="4"/>
  <c r="AF25" i="4"/>
  <c r="AG25" i="4"/>
  <c r="AH25" i="4"/>
  <c r="AI25" i="4"/>
  <c r="AJ25" i="4"/>
  <c r="H25" i="4"/>
  <c r="I25" i="4"/>
  <c r="J25" i="4"/>
  <c r="E26" i="1"/>
  <c r="E26" i="4" s="1"/>
  <c r="F26" i="4"/>
  <c r="G26" i="4"/>
  <c r="N26" i="4"/>
  <c r="O26" i="4"/>
  <c r="P26" i="4"/>
  <c r="R26" i="4"/>
  <c r="S26" i="4"/>
  <c r="T26" i="4"/>
  <c r="U26" i="4"/>
  <c r="V26" i="4"/>
  <c r="Y26" i="4"/>
  <c r="Z27" i="4"/>
  <c r="AA26" i="4"/>
  <c r="AB26" i="4"/>
  <c r="AC26" i="4"/>
  <c r="AD26" i="4"/>
  <c r="AE26" i="4"/>
  <c r="AF26" i="4"/>
  <c r="AG26" i="4"/>
  <c r="AH26" i="4"/>
  <c r="AI26" i="4"/>
  <c r="AJ26" i="4"/>
  <c r="H26" i="4"/>
  <c r="I26" i="4"/>
  <c r="J26" i="4"/>
  <c r="K26" i="4"/>
  <c r="E27" i="1"/>
  <c r="E27" i="4" s="1"/>
  <c r="F27" i="4"/>
  <c r="G27" i="4"/>
  <c r="N27" i="4"/>
  <c r="O27" i="4"/>
  <c r="P27" i="4"/>
  <c r="Q27" i="4"/>
  <c r="R27" i="4"/>
  <c r="S27" i="4"/>
  <c r="T27" i="4"/>
  <c r="U27" i="4"/>
  <c r="V27" i="4"/>
  <c r="W27" i="4"/>
  <c r="Y27" i="4"/>
  <c r="Z28" i="4"/>
  <c r="AA27" i="4"/>
  <c r="AB27" i="4"/>
  <c r="AC27" i="4"/>
  <c r="AD27" i="4"/>
  <c r="AE27" i="4"/>
  <c r="AF27" i="4"/>
  <c r="AG27" i="4"/>
  <c r="AH27" i="4"/>
  <c r="AI27" i="4"/>
  <c r="AJ27" i="4"/>
  <c r="H27" i="4"/>
  <c r="J27" i="4"/>
  <c r="K27" i="4"/>
  <c r="E28" i="1"/>
  <c r="E28" i="4" s="1"/>
  <c r="F28" i="4"/>
  <c r="G28" i="4"/>
  <c r="N28" i="4"/>
  <c r="O28" i="4"/>
  <c r="P28" i="4"/>
  <c r="Q28" i="4"/>
  <c r="R28" i="4"/>
  <c r="S28" i="4"/>
  <c r="T28" i="4"/>
  <c r="U28" i="4"/>
  <c r="W28" i="4"/>
  <c r="Y28" i="4"/>
  <c r="Z29" i="4"/>
  <c r="AA28" i="4"/>
  <c r="AB28" i="4"/>
  <c r="AC28" i="4"/>
  <c r="AD28" i="4"/>
  <c r="AE28" i="4"/>
  <c r="AF28" i="4"/>
  <c r="AG28" i="4"/>
  <c r="AH28" i="4"/>
  <c r="AI28" i="4"/>
  <c r="AJ28" i="4"/>
  <c r="H28" i="4"/>
  <c r="I28" i="4"/>
  <c r="J28" i="4"/>
  <c r="K28" i="4"/>
  <c r="E29" i="1"/>
  <c r="E29" i="4" s="1"/>
  <c r="F29" i="4"/>
  <c r="G29" i="4"/>
  <c r="N29" i="4"/>
  <c r="O29" i="4"/>
  <c r="P29" i="4"/>
  <c r="Q29" i="4"/>
  <c r="R29" i="4"/>
  <c r="S29" i="4"/>
  <c r="T29" i="4"/>
  <c r="U29" i="4"/>
  <c r="V29" i="4"/>
  <c r="W29" i="4"/>
  <c r="Y29" i="4"/>
  <c r="Z30" i="4"/>
  <c r="AA29" i="4"/>
  <c r="AB29" i="4"/>
  <c r="AC29" i="4"/>
  <c r="AD29" i="4"/>
  <c r="AE29" i="4"/>
  <c r="AF29" i="4"/>
  <c r="AG29" i="4"/>
  <c r="AH29" i="4"/>
  <c r="AI29" i="4"/>
  <c r="AJ29" i="4"/>
  <c r="H29" i="4"/>
  <c r="I29" i="4"/>
  <c r="J29" i="4"/>
  <c r="K29" i="4"/>
  <c r="E30" i="1"/>
  <c r="E30" i="4" s="1"/>
  <c r="F30" i="4"/>
  <c r="G30" i="4"/>
  <c r="O30" i="4"/>
  <c r="P30" i="4"/>
  <c r="Q30" i="4"/>
  <c r="R30" i="4"/>
  <c r="S30" i="4"/>
  <c r="T30" i="4"/>
  <c r="U30" i="4"/>
  <c r="V30" i="4"/>
  <c r="W30" i="4"/>
  <c r="Y30" i="4"/>
  <c r="Z31" i="4"/>
  <c r="AA30" i="4"/>
  <c r="AB30" i="4"/>
  <c r="AC30" i="4"/>
  <c r="AD30" i="4"/>
  <c r="AE30" i="4"/>
  <c r="AF30" i="4"/>
  <c r="AG30" i="4"/>
  <c r="AH30" i="4"/>
  <c r="AI30" i="4"/>
  <c r="AJ30" i="4"/>
  <c r="H30" i="4"/>
  <c r="I30" i="4"/>
  <c r="J30" i="4"/>
  <c r="K30" i="4"/>
  <c r="E31" i="1"/>
  <c r="E31" i="4" s="1"/>
  <c r="F31" i="4"/>
  <c r="G31" i="4"/>
  <c r="N31" i="4"/>
  <c r="O31" i="4"/>
  <c r="P31" i="4"/>
  <c r="Q31" i="4"/>
  <c r="R31" i="4"/>
  <c r="S31" i="4"/>
  <c r="T31" i="4"/>
  <c r="U31" i="4"/>
  <c r="V31" i="4"/>
  <c r="Y31" i="4"/>
  <c r="Z32" i="4"/>
  <c r="AA31" i="4"/>
  <c r="AB31" i="4"/>
  <c r="AC31" i="4"/>
  <c r="AD31" i="4"/>
  <c r="AE31" i="4"/>
  <c r="AF31" i="4"/>
  <c r="AG31" i="4"/>
  <c r="AH31" i="4"/>
  <c r="AI31" i="4"/>
  <c r="AJ31" i="4"/>
  <c r="H31" i="4"/>
  <c r="I31" i="4"/>
  <c r="J31" i="4"/>
  <c r="K31" i="4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J9" i="4"/>
  <c r="M10" i="4"/>
  <c r="N11" i="4"/>
  <c r="Q11" i="4"/>
  <c r="J13" i="4"/>
  <c r="G16" i="4"/>
  <c r="S16" i="4"/>
  <c r="H19" i="4"/>
  <c r="N19" i="4"/>
  <c r="T19" i="4"/>
  <c r="Q20" i="4"/>
  <c r="I23" i="4"/>
  <c r="K25" i="4"/>
  <c r="Q26" i="4"/>
  <c r="W26" i="4"/>
  <c r="I27" i="4"/>
  <c r="V28" i="4"/>
  <c r="W31" i="4"/>
  <c r="K2" i="1"/>
  <c r="AK2" i="4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K3" i="1"/>
  <c r="AK3" i="4" s="1"/>
  <c r="K4" i="1"/>
  <c r="AK4" i="4" s="1"/>
  <c r="K5" i="1"/>
  <c r="AK5" i="4" s="1"/>
  <c r="K6" i="1"/>
  <c r="AK6" i="4" s="1"/>
  <c r="K7" i="1"/>
  <c r="AK7" i="4" s="1"/>
  <c r="K8" i="1"/>
  <c r="AK8" i="4" s="1"/>
  <c r="K9" i="1"/>
  <c r="AK9" i="4" s="1"/>
  <c r="K10" i="1"/>
  <c r="AK10" i="4" s="1"/>
  <c r="I11" i="1"/>
  <c r="K11" i="1"/>
  <c r="AK11" i="4" s="1"/>
  <c r="K12" i="1"/>
  <c r="AK12" i="4" s="1"/>
  <c r="K13" i="1"/>
  <c r="AK13" i="4" s="1"/>
  <c r="K14" i="1"/>
  <c r="AK14" i="4" s="1"/>
  <c r="K15" i="1"/>
  <c r="AK15" i="4" s="1"/>
  <c r="K16" i="1"/>
  <c r="AK16" i="4" s="1"/>
  <c r="E17" i="1"/>
  <c r="E17" i="4" s="1"/>
  <c r="K17" i="1"/>
  <c r="AK17" i="4" s="1"/>
  <c r="K18" i="1"/>
  <c r="AK18" i="4" s="1"/>
  <c r="K19" i="1"/>
  <c r="AK19" i="4" s="1"/>
  <c r="E20" i="1"/>
  <c r="E20" i="4" s="1"/>
  <c r="K20" i="1"/>
  <c r="AK20" i="4" s="1"/>
  <c r="K21" i="1"/>
  <c r="AK21" i="4" s="1"/>
  <c r="K22" i="1"/>
  <c r="AK22" i="4" s="1"/>
  <c r="K23" i="1"/>
  <c r="AK23" i="4" s="1"/>
  <c r="K24" i="1"/>
  <c r="AK24" i="4" s="1"/>
  <c r="K25" i="1"/>
  <c r="AK25" i="4" s="1"/>
  <c r="K26" i="1"/>
  <c r="AK26" i="4" s="1"/>
  <c r="K27" i="1"/>
  <c r="AK27" i="4" s="1"/>
  <c r="K28" i="1"/>
  <c r="AK28" i="4" s="1"/>
  <c r="K29" i="1"/>
  <c r="AK29" i="4" s="1"/>
  <c r="K30" i="1"/>
  <c r="AK30" i="4" s="1"/>
  <c r="K31" i="1"/>
  <c r="AK31" i="4" s="1"/>
  <c r="Y20" i="4"/>
  <c r="X11" i="4"/>
  <c r="Z2" i="4"/>
  <c r="U24" i="4"/>
  <c r="C23" i="5" l="1"/>
  <c r="P4" i="1"/>
  <c r="P15" i="1"/>
  <c r="J15" i="1" s="1"/>
  <c r="P11" i="1"/>
  <c r="J11" i="1" s="1"/>
  <c r="O28" i="1"/>
  <c r="O9" i="1"/>
  <c r="O5" i="1"/>
  <c r="O23" i="1"/>
  <c r="O12" i="1"/>
  <c r="O27" i="1"/>
  <c r="O19" i="1"/>
  <c r="O8" i="1"/>
  <c r="O4" i="1"/>
  <c r="J4" i="1"/>
  <c r="O24" i="1"/>
  <c r="O2" i="1"/>
  <c r="O26" i="1"/>
  <c r="O22" i="1"/>
  <c r="O11" i="1"/>
  <c r="O30" i="1"/>
  <c r="O15" i="1"/>
  <c r="O18" i="1"/>
  <c r="O7" i="1"/>
  <c r="O25" i="1"/>
  <c r="O13" i="1"/>
  <c r="O29" i="1"/>
  <c r="O14" i="1"/>
  <c r="O17" i="1"/>
  <c r="O6" i="1"/>
  <c r="O8" i="4"/>
  <c r="O5" i="4"/>
  <c r="O10" i="4"/>
  <c r="O2" i="4"/>
  <c r="O7" i="4"/>
  <c r="O4" i="4"/>
  <c r="O9" i="4"/>
  <c r="O6" i="4"/>
  <c r="O3" i="4"/>
  <c r="I9" i="1"/>
  <c r="P9" i="1" s="1"/>
  <c r="X25" i="4"/>
  <c r="L25" i="4" s="1"/>
  <c r="X24" i="4"/>
  <c r="L24" i="4" s="1"/>
  <c r="I29" i="1"/>
  <c r="P29" i="1" s="1"/>
  <c r="I3" i="1"/>
  <c r="P3" i="1" s="1"/>
  <c r="I23" i="1"/>
  <c r="P23" i="1" s="1"/>
  <c r="R13" i="4"/>
  <c r="X16" i="4"/>
  <c r="L16" i="4" s="1"/>
  <c r="I10" i="1"/>
  <c r="P10" i="1" s="1"/>
  <c r="I12" i="1"/>
  <c r="P12" i="1" s="1"/>
  <c r="Y3" i="4"/>
  <c r="Y2" i="4"/>
  <c r="X18" i="4"/>
  <c r="T21" i="4"/>
  <c r="X15" i="4"/>
  <c r="L15" i="4" s="1"/>
  <c r="X31" i="4"/>
  <c r="L31" i="4" s="1"/>
  <c r="X28" i="4"/>
  <c r="L28" i="4" s="1"/>
  <c r="X26" i="4"/>
  <c r="L26" i="4" s="1"/>
  <c r="X19" i="4"/>
  <c r="L19" i="4" s="1"/>
  <c r="I21" i="1"/>
  <c r="P21" i="1" s="1"/>
  <c r="I7" i="1"/>
  <c r="P7" i="1" s="1"/>
  <c r="I5" i="1"/>
  <c r="P5" i="1" s="1"/>
  <c r="I20" i="1"/>
  <c r="P20" i="1" s="1"/>
  <c r="I16" i="1"/>
  <c r="P16" i="1" s="1"/>
  <c r="I6" i="1"/>
  <c r="P6" i="1" s="1"/>
  <c r="I8" i="1"/>
  <c r="P8" i="1" s="1"/>
  <c r="X12" i="4"/>
  <c r="L12" i="4" s="1"/>
  <c r="X27" i="4"/>
  <c r="L27" i="4" s="1"/>
  <c r="I27" i="1"/>
  <c r="P27" i="1" s="1"/>
  <c r="N18" i="4"/>
  <c r="X22" i="4"/>
  <c r="L22" i="4" s="1"/>
  <c r="I19" i="1"/>
  <c r="P19" i="1" s="1"/>
  <c r="I13" i="1"/>
  <c r="P13" i="1" s="1"/>
  <c r="G17" i="1"/>
  <c r="T17" i="1" s="1"/>
  <c r="X17" i="4"/>
  <c r="L17" i="4" s="1"/>
  <c r="X13" i="4"/>
  <c r="X14" i="4"/>
  <c r="U15" i="4"/>
  <c r="T8" i="4"/>
  <c r="N13" i="4"/>
  <c r="I26" i="1"/>
  <c r="P26" i="1" s="1"/>
  <c r="I31" i="1"/>
  <c r="P31" i="1" s="1"/>
  <c r="I28" i="1"/>
  <c r="P28" i="1" s="1"/>
  <c r="I18" i="1"/>
  <c r="P18" i="1" s="1"/>
  <c r="I2" i="1"/>
  <c r="P2" i="1" s="1"/>
  <c r="E7" i="1"/>
  <c r="E7" i="4" s="1"/>
  <c r="E6" i="1"/>
  <c r="E6" i="4" s="1"/>
  <c r="E8" i="1"/>
  <c r="E8" i="4" s="1"/>
  <c r="R17" i="4"/>
  <c r="I17" i="1"/>
  <c r="P17" i="1" s="1"/>
  <c r="E9" i="1"/>
  <c r="E9" i="4" s="1"/>
  <c r="L11" i="4"/>
  <c r="I30" i="1"/>
  <c r="P30" i="1" s="1"/>
  <c r="I25" i="1"/>
  <c r="P25" i="1" s="1"/>
  <c r="I14" i="1"/>
  <c r="P14" i="1" s="1"/>
  <c r="X30" i="4"/>
  <c r="X29" i="4"/>
  <c r="L29" i="4" s="1"/>
  <c r="X23" i="4"/>
  <c r="N30" i="4"/>
  <c r="I24" i="1"/>
  <c r="P24" i="1" s="1"/>
  <c r="AJ14" i="4"/>
  <c r="AI14" i="4"/>
  <c r="AH14" i="4"/>
  <c r="AG14" i="4"/>
  <c r="AF14" i="4"/>
  <c r="AE14" i="4"/>
  <c r="AD14" i="4"/>
  <c r="AC14" i="4"/>
  <c r="AB14" i="4"/>
  <c r="AA14" i="4"/>
  <c r="Y14" i="4"/>
  <c r="Z10" i="4"/>
  <c r="X21" i="4"/>
  <c r="L21" i="4" s="1"/>
  <c r="U22" i="4"/>
  <c r="R14" i="4"/>
  <c r="O15" i="4"/>
  <c r="N23" i="4"/>
  <c r="N14" i="4"/>
  <c r="N20" i="4"/>
  <c r="X20" i="4"/>
  <c r="I22" i="1"/>
  <c r="P22" i="1" s="1"/>
  <c r="F14" i="4"/>
  <c r="O31" i="1"/>
  <c r="O3" i="1"/>
  <c r="O21" i="1"/>
  <c r="O20" i="1"/>
  <c r="O16" i="1"/>
  <c r="O10" i="1"/>
  <c r="L18" i="4" l="1"/>
  <c r="J5" i="1"/>
  <c r="J2" i="1"/>
  <c r="J27" i="1"/>
  <c r="U7" i="1"/>
  <c r="J22" i="1"/>
  <c r="J25" i="1"/>
  <c r="J18" i="1"/>
  <c r="J31" i="1"/>
  <c r="J8" i="1"/>
  <c r="J9" i="1"/>
  <c r="J19" i="1"/>
  <c r="J23" i="1"/>
  <c r="J26" i="1"/>
  <c r="J13" i="1"/>
  <c r="J6" i="1"/>
  <c r="J10" i="1"/>
  <c r="J29" i="1"/>
  <c r="J17" i="1"/>
  <c r="U12" i="1"/>
  <c r="X6" i="4"/>
  <c r="L6" i="4" s="1"/>
  <c r="X10" i="4"/>
  <c r="L10" i="4" s="1"/>
  <c r="X7" i="4"/>
  <c r="L7" i="4" s="1"/>
  <c r="X2" i="4"/>
  <c r="L2" i="4" s="1"/>
  <c r="X5" i="4"/>
  <c r="L5" i="4" s="1"/>
  <c r="X4" i="4"/>
  <c r="L4" i="4" s="1"/>
  <c r="X8" i="4"/>
  <c r="L8" i="4" s="1"/>
  <c r="X3" i="4"/>
  <c r="L3" i="4" s="1"/>
  <c r="X9" i="4"/>
  <c r="L9" i="4" s="1"/>
  <c r="G21" i="1"/>
  <c r="T21" i="1" s="1"/>
  <c r="G7" i="1"/>
  <c r="T7" i="1" s="1"/>
  <c r="L13" i="4"/>
  <c r="G8" i="1"/>
  <c r="T8" i="1" s="1"/>
  <c r="G30" i="1"/>
  <c r="T30" i="1" s="1"/>
  <c r="G9" i="1"/>
  <c r="T9" i="1" s="1"/>
  <c r="G4" i="1"/>
  <c r="T4" i="1" s="1"/>
  <c r="G2" i="1"/>
  <c r="T2" i="1" s="1"/>
  <c r="G20" i="1"/>
  <c r="T20" i="1" s="1"/>
  <c r="G19" i="1"/>
  <c r="T19" i="1" s="1"/>
  <c r="G6" i="1"/>
  <c r="T6" i="1" s="1"/>
  <c r="G15" i="1"/>
  <c r="T15" i="1" s="1"/>
  <c r="G16" i="1"/>
  <c r="T16" i="1" s="1"/>
  <c r="L14" i="4"/>
  <c r="G29" i="1"/>
  <c r="T29" i="1" s="1"/>
  <c r="G31" i="1"/>
  <c r="T31" i="1" s="1"/>
  <c r="U27" i="1"/>
  <c r="G14" i="1"/>
  <c r="T14" i="1" s="1"/>
  <c r="G24" i="1"/>
  <c r="T24" i="1" s="1"/>
  <c r="G12" i="1"/>
  <c r="T12" i="1" s="1"/>
  <c r="G5" i="1"/>
  <c r="T5" i="1" s="1"/>
  <c r="G18" i="1"/>
  <c r="T18" i="1" s="1"/>
  <c r="G25" i="1"/>
  <c r="T25" i="1" s="1"/>
  <c r="G22" i="1"/>
  <c r="T22" i="1" s="1"/>
  <c r="G27" i="1"/>
  <c r="T27" i="1" s="1"/>
  <c r="G3" i="1"/>
  <c r="T3" i="1" s="1"/>
  <c r="G13" i="1"/>
  <c r="T13" i="1" s="1"/>
  <c r="L30" i="4"/>
  <c r="L23" i="4"/>
  <c r="U8" i="1"/>
  <c r="U31" i="1"/>
  <c r="U13" i="1"/>
  <c r="J14" i="1"/>
  <c r="U14" i="1"/>
  <c r="U15" i="1"/>
  <c r="G28" i="1"/>
  <c r="T28" i="1" s="1"/>
  <c r="G26" i="1"/>
  <c r="T26" i="1" s="1"/>
  <c r="J30" i="1"/>
  <c r="U30" i="1"/>
  <c r="U5" i="1"/>
  <c r="U6" i="1"/>
  <c r="U4" i="1"/>
  <c r="U10" i="1"/>
  <c r="U26" i="1"/>
  <c r="J24" i="1"/>
  <c r="U24" i="1"/>
  <c r="G11" i="1"/>
  <c r="T11" i="1" s="1"/>
  <c r="G23" i="1"/>
  <c r="T23" i="1" s="1"/>
  <c r="L20" i="4"/>
  <c r="U22" i="1"/>
  <c r="G10" i="1"/>
  <c r="T10" i="1" s="1"/>
  <c r="U23" i="1"/>
  <c r="U29" i="1"/>
  <c r="U17" i="1"/>
  <c r="U19" i="1"/>
  <c r="U28" i="1"/>
  <c r="J28" i="1"/>
  <c r="J16" i="1"/>
  <c r="U16" i="1"/>
  <c r="U3" i="1"/>
  <c r="J3" i="1"/>
  <c r="U20" i="1"/>
  <c r="J20" i="1"/>
  <c r="U25" i="1"/>
  <c r="J21" i="1"/>
  <c r="U21" i="1"/>
  <c r="U11" i="1"/>
  <c r="U18" i="1" l="1"/>
  <c r="U2" i="1"/>
  <c r="J7" i="1"/>
  <c r="J12" i="1"/>
  <c r="U9" i="1"/>
</calcChain>
</file>

<file path=xl/sharedStrings.xml><?xml version="1.0" encoding="utf-8"?>
<sst xmlns="http://schemas.openxmlformats.org/spreadsheetml/2006/main" count="263" uniqueCount="127">
  <si>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</si>
  <si>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</si>
  <si>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</si>
  <si>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</si>
  <si>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</si>
  <si>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</si>
  <si>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</si>
  <si>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</si>
  <si>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</si>
  <si>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</si>
  <si>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</si>
  <si>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Water Tanks </t>
  </si>
  <si>
    <t>Cost of Water Tanks Rs</t>
  </si>
  <si>
    <t>Water Utility Supply (m3) Rs/m3</t>
  </si>
  <si>
    <t>Electricity Tariff (Rs/Kwh)</t>
  </si>
  <si>
    <t>LPG Rs/Kg</t>
  </si>
  <si>
    <t>Exchange Rate</t>
  </si>
  <si>
    <t xml:space="preserve">Total LPG Cost </t>
  </si>
  <si>
    <t xml:space="preserve">Total Water Cost </t>
  </si>
  <si>
    <t>Mauritius at Anahita</t>
  </si>
  <si>
    <t>Hotel (KWh)</t>
  </si>
  <si>
    <t>Vacoas (KWh)</t>
  </si>
  <si>
    <t>Laundry (KWh)</t>
  </si>
  <si>
    <t>Villa 145 (KWh)</t>
  </si>
  <si>
    <t>Villa 146 (KWh)</t>
  </si>
  <si>
    <t>Villa 111 (KWh)</t>
  </si>
  <si>
    <t>Villa 128 (KWh)</t>
  </si>
  <si>
    <t>Hotel (m3)</t>
  </si>
  <si>
    <t>Bamboo Pool (m3)</t>
  </si>
  <si>
    <t xml:space="preserve">Island (m3) </t>
  </si>
  <si>
    <t>Main Building (m3)</t>
  </si>
  <si>
    <t>Pantry A (m3)</t>
  </si>
  <si>
    <t>Pantry B (m3)</t>
  </si>
  <si>
    <t>Pantry C (m3)</t>
  </si>
  <si>
    <t>Pantry D (m3)</t>
  </si>
  <si>
    <t>Pantry E (m3)</t>
  </si>
  <si>
    <t>Pantry F (m3)</t>
  </si>
  <si>
    <t>Pantry G (m3)</t>
  </si>
  <si>
    <t>North Parcel (m3)</t>
  </si>
  <si>
    <t>South Parcel (m3)</t>
  </si>
  <si>
    <t>Beau champ (Kg)</t>
  </si>
  <si>
    <t>Acquapazza (Kg)</t>
  </si>
  <si>
    <t>Bamboo (Kg)</t>
  </si>
  <si>
    <t>Steam Boiler (Kg)</t>
  </si>
  <si>
    <t>Laundry (Kg)</t>
  </si>
  <si>
    <t>Pantry A (Kg)</t>
  </si>
  <si>
    <t>Pantry B (Kg)</t>
  </si>
  <si>
    <t>Pantry C (Kg)</t>
  </si>
  <si>
    <t>Pantry D (Kg)</t>
  </si>
  <si>
    <t>Pantry E (Kg)</t>
  </si>
  <si>
    <t>Pantry F (Kg)</t>
  </si>
  <si>
    <t>Pantry G (Kg)</t>
  </si>
  <si>
    <t>Hotel Electricity</t>
  </si>
  <si>
    <t>Gen 01</t>
  </si>
  <si>
    <t>Gen 02</t>
  </si>
  <si>
    <t>Vacoas KW</t>
  </si>
  <si>
    <t>CONS</t>
  </si>
  <si>
    <t>Hotel</t>
  </si>
  <si>
    <t>% Water Available</t>
  </si>
  <si>
    <t>Water Softener</t>
  </si>
  <si>
    <t>bamboo pool</t>
  </si>
  <si>
    <t>laundry</t>
  </si>
  <si>
    <t>Island</t>
  </si>
  <si>
    <t>Island Sub</t>
  </si>
  <si>
    <t>Main Building</t>
  </si>
  <si>
    <t>Pantry A</t>
  </si>
  <si>
    <t>Pantry B</t>
  </si>
  <si>
    <t>Pantry C</t>
  </si>
  <si>
    <t>Pantry D</t>
  </si>
  <si>
    <t>Pantry E</t>
  </si>
  <si>
    <t>Pantry F</t>
  </si>
  <si>
    <t>Pantry G</t>
  </si>
  <si>
    <t>North</t>
  </si>
  <si>
    <t>North Sub</t>
  </si>
  <si>
    <t>South</t>
  </si>
  <si>
    <t>South Sub</t>
  </si>
  <si>
    <t>Diesel</t>
  </si>
  <si>
    <t>Gas</t>
  </si>
  <si>
    <t>Steam Boiler</t>
  </si>
  <si>
    <t>Pool Temperature</t>
  </si>
  <si>
    <t>Date</t>
  </si>
  <si>
    <t>KVAH</t>
  </si>
  <si>
    <t>KWH</t>
  </si>
  <si>
    <t>PF</t>
  </si>
  <si>
    <t>KVA</t>
  </si>
  <si>
    <t>KVA max</t>
  </si>
  <si>
    <t>CWA23</t>
  </si>
  <si>
    <t>Truck Meter</t>
  </si>
  <si>
    <t>Cons</t>
  </si>
  <si>
    <t xml:space="preserve">UV reading </t>
  </si>
  <si>
    <t>chiller</t>
  </si>
  <si>
    <t>island</t>
  </si>
  <si>
    <t>cons</t>
  </si>
  <si>
    <t>M.Buil</t>
  </si>
  <si>
    <t>Main Kitchen</t>
  </si>
  <si>
    <t>Bamboo H</t>
  </si>
  <si>
    <t>Bamboo C</t>
  </si>
  <si>
    <t>cyclon bridge</t>
  </si>
  <si>
    <t>Island - Hot</t>
  </si>
  <si>
    <t>Island Cold</t>
  </si>
  <si>
    <t>north</t>
  </si>
  <si>
    <t>south</t>
  </si>
  <si>
    <t>Total water consump</t>
  </si>
  <si>
    <t>Total HW consump</t>
  </si>
  <si>
    <t>DIESEL</t>
  </si>
  <si>
    <t>stock</t>
  </si>
  <si>
    <t>Del</t>
  </si>
  <si>
    <t>Meter</t>
  </si>
  <si>
    <t>Kg</t>
  </si>
  <si>
    <t>LPG 1</t>
  </si>
  <si>
    <t>LPG 2</t>
  </si>
  <si>
    <t>LPG 3</t>
  </si>
  <si>
    <t>total stock</t>
  </si>
  <si>
    <t>del</t>
  </si>
  <si>
    <t>Beau champ</t>
  </si>
  <si>
    <t>cons(Litres)</t>
  </si>
  <si>
    <t>Cons(Kg)</t>
  </si>
  <si>
    <t>Acquapazza</t>
  </si>
  <si>
    <t xml:space="preserve">Bamboo </t>
  </si>
  <si>
    <t>Villa 111</t>
  </si>
  <si>
    <t>Villa 128</t>
  </si>
  <si>
    <t>Room Nights</t>
  </si>
  <si>
    <t>Bed Nights</t>
  </si>
  <si>
    <t>% OCC</t>
  </si>
  <si>
    <t>California</t>
  </si>
  <si>
    <t>Infiniti</t>
  </si>
  <si>
    <t>Fitness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</si>
</sst>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;@"/>
    <numFmt numFmtId="166" formatCode="0.0%"/>
  </numFmts>
  <fonts count="9">
    <font>
      <sz val="10"/>
      <name val="Arial"/>
      <family val="2"/>
    </font>
    <font>
      <b/>
      <sz val="10"/>
      <name val="Arial"/>
      <family val="2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B7DEE8"/>
        <bgColor rgb="FF000000"/>
      </patternFill>
    </fill>
    <fill>
      <patternFill patternType="solid">
        <fgColor rgb="FFC5D9F1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8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13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/>
    <xf numFmtId="2" fontId="1" fillId="0" borderId="1" xfId="0" applyNumberFormat="1" applyFont="1" applyBorder="1" applyAlignment="1">
      <alignment wrapText="1"/>
    </xf>
    <xf numFmtId="2" fontId="1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2" applyFont="1" applyAlignment="1">
      <alignment horizontal="center"/>
    </xf>
    <xf numFmtId="0" fontId="4" fillId="0" borderId="0" xfId="2" applyAlignment="1">
      <alignment horizontal="center"/>
    </xf>
    <xf numFmtId="0" fontId="1" fillId="0" borderId="1" xfId="0" applyFont="1" applyBorder="1" applyAlignment="1">
      <alignment horizontal="center" wrapText="1"/>
    </xf>
    <xf numFmtId="2" fontId="0" fillId="0" borderId="0" xfId="0" applyNumberFormat="1" applyAlignment="1">
      <alignment horizontal="center"/>
    </xf>
    <xf numFmtId="0" fontId="1" fillId="0" borderId="16" xfId="0" applyFont="1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9" fontId="0" fillId="0" borderId="0" xfId="0" applyNumberFormat="1"/>
    <xf numFmtId="0" fontId="0" fillId="2" borderId="0" xfId="0" applyFill="1" applyAlignment="1">
      <alignment horizontal="center" vertical="center"/>
    </xf>
    <xf numFmtId="0" fontId="5" fillId="0" borderId="0" xfId="0" applyFont="1" applyProtection="1">
      <protection locked="0"/>
    </xf>
    <xf numFmtId="0" fontId="6" fillId="4" borderId="5" xfId="0" applyFont="1" applyFill="1" applyBorder="1" applyAlignment="1" applyProtection="1">
      <alignment horizontal="center"/>
      <protection locked="0"/>
    </xf>
    <xf numFmtId="0" fontId="6" fillId="0" borderId="3" xfId="2" applyFont="1" applyBorder="1" applyAlignment="1" applyProtection="1">
      <alignment horizontal="center"/>
      <protection locked="0"/>
    </xf>
    <xf numFmtId="0" fontId="6" fillId="0" borderId="8" xfId="2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wrapText="1"/>
      <protection locked="0"/>
    </xf>
    <xf numFmtId="0" fontId="5" fillId="4" borderId="0" xfId="0" applyFont="1" applyFill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6" fillId="0" borderId="2" xfId="2" applyFont="1" applyBorder="1" applyProtection="1">
      <protection locked="0"/>
    </xf>
    <xf numFmtId="0" fontId="5" fillId="0" borderId="0" xfId="2" applyFont="1" applyProtection="1">
      <protection locked="0"/>
    </xf>
    <xf numFmtId="0" fontId="6" fillId="0" borderId="3" xfId="0" applyFont="1" applyBorder="1" applyProtection="1">
      <protection locked="0"/>
    </xf>
    <xf numFmtId="0" fontId="6" fillId="0" borderId="8" xfId="0" applyFont="1" applyBorder="1" applyProtection="1">
      <protection locked="0"/>
    </xf>
    <xf numFmtId="0" fontId="6" fillId="0" borderId="4" xfId="2" applyFont="1" applyBorder="1" applyAlignment="1" applyProtection="1">
      <alignment horizontal="center"/>
      <protection locked="0"/>
    </xf>
    <xf numFmtId="0" fontId="0" fillId="0" borderId="10" xfId="0" applyBorder="1"/>
    <xf numFmtId="0" fontId="0" fillId="0" borderId="18" xfId="0" applyBorder="1"/>
    <xf numFmtId="1" fontId="0" fillId="0" borderId="6" xfId="0" applyNumberFormat="1" applyBorder="1"/>
    <xf numFmtId="0" fontId="0" fillId="0" borderId="6" xfId="0" applyBorder="1"/>
    <xf numFmtId="1" fontId="0" fillId="2" borderId="6" xfId="0" applyNumberFormat="1" applyFill="1" applyBorder="1"/>
    <xf numFmtId="0" fontId="0" fillId="0" borderId="17" xfId="0" applyBorder="1"/>
    <xf numFmtId="0" fontId="0" fillId="0" borderId="11" xfId="0" applyBorder="1" applyAlignment="1">
      <alignment wrapText="1"/>
    </xf>
    <xf numFmtId="0" fontId="0" fillId="0" borderId="12" xfId="0" applyBorder="1"/>
    <xf numFmtId="0" fontId="0" fillId="0" borderId="6" xfId="0" applyBorder="1" applyProtection="1">
      <protection locked="0"/>
    </xf>
    <xf numFmtId="0" fontId="0" fillId="0" borderId="13" xfId="0" applyBorder="1" applyAlignment="1">
      <alignment wrapText="1"/>
    </xf>
    <xf numFmtId="0" fontId="0" fillId="0" borderId="9" xfId="2" applyFont="1" applyBorder="1" applyAlignment="1">
      <alignment wrapText="1"/>
    </xf>
    <xf numFmtId="0" fontId="0" fillId="2" borderId="6" xfId="0" applyFill="1" applyBorder="1"/>
    <xf numFmtId="0" fontId="0" fillId="0" borderId="14" xfId="0" applyBorder="1"/>
    <xf numFmtId="0" fontId="0" fillId="0" borderId="15" xfId="0" applyBorder="1" applyAlignment="1">
      <alignment horizontal="center" vertical="center" wrapText="1"/>
    </xf>
    <xf numFmtId="0" fontId="0" fillId="0" borderId="6" xfId="2" applyFont="1" applyBorder="1" applyAlignment="1">
      <alignment wrapText="1"/>
    </xf>
    <xf numFmtId="0" fontId="0" fillId="0" borderId="14" xfId="2" applyFont="1" applyBorder="1" applyAlignment="1">
      <alignment wrapText="1"/>
    </xf>
    <xf numFmtId="0" fontId="0" fillId="3" borderId="14" xfId="0" applyFill="1" applyBorder="1"/>
    <xf numFmtId="0" fontId="0" fillId="0" borderId="15" xfId="0" applyBorder="1"/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6" borderId="3" xfId="0" applyFill="1" applyBorder="1" applyAlignment="1">
      <alignment horizontal="center" vertical="center" wrapText="1"/>
    </xf>
    <xf numFmtId="16" fontId="5" fillId="0" borderId="19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7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7" borderId="8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/>
    <xf numFmtId="0" fontId="5" fillId="7" borderId="9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5" fillId="8" borderId="2" xfId="0" applyFont="1" applyFill="1" applyBorder="1" applyAlignment="1">
      <alignment horizontal="center"/>
    </xf>
    <xf numFmtId="0" fontId="5" fillId="8" borderId="20" xfId="0" applyFont="1" applyFill="1" applyBorder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9" borderId="7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8" xfId="0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7" xfId="0" applyFont="1" applyBorder="1" applyAlignment="1">
      <alignment horizontal="center"/>
    </xf>
    <xf numFmtId="0" fontId="5" fillId="7" borderId="22" xfId="0" applyFont="1" applyFill="1" applyBorder="1" applyAlignment="1">
      <alignment horizontal="center"/>
    </xf>
    <xf numFmtId="0" fontId="5" fillId="7" borderId="23" xfId="0" applyFont="1" applyFill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2" xfId="0" applyFont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0" fontId="6" fillId="5" borderId="3" xfId="0" applyFont="1" applyFill="1" applyBorder="1" applyAlignment="1" applyProtection="1">
      <alignment horizontal="center"/>
      <protection locked="0"/>
    </xf>
    <xf numFmtId="0" fontId="6" fillId="5" borderId="5" xfId="0" applyFont="1" applyFill="1" applyBorder="1" applyAlignment="1" applyProtection="1">
      <alignment horizontal="center"/>
      <protection locked="0"/>
    </xf>
    <xf numFmtId="0" fontId="6" fillId="5" borderId="8" xfId="0" applyFont="1" applyFill="1" applyBorder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5" xfId="0" applyFont="1" applyBorder="1" applyAlignment="1" applyProtection="1">
      <alignment horizontal="center"/>
      <protection locked="0"/>
    </xf>
    <xf numFmtId="0" fontId="6" fillId="0" borderId="15" xfId="0" applyFont="1" applyBorder="1" applyAlignment="1" applyProtection="1">
      <alignment horizontal="center"/>
      <protection locked="0"/>
    </xf>
    <xf numFmtId="0" fontId="6" fillId="0" borderId="8" xfId="0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6" fillId="4" borderId="3" xfId="0" applyFont="1" applyFill="1" applyBorder="1" applyAlignment="1" applyProtection="1">
      <alignment horizontal="center"/>
      <protection locked="0"/>
    </xf>
    <xf numFmtId="0" fontId="6" fillId="4" borderId="8" xfId="0" applyFont="1" applyFill="1" applyBorder="1" applyAlignment="1" applyProtection="1">
      <alignment horizontal="center"/>
      <protection locked="0"/>
    </xf>
    <xf numFmtId="164" fontId="0" fillId="0" borderId="19" xfId="0" applyNumberFormat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0" fillId="10" borderId="2" xfId="0" applyFill="1" applyBorder="1" applyAlignment="1">
      <alignment horizontal="center"/>
    </xf>
    <xf numFmtId="0" fontId="0" fillId="0" borderId="2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10" borderId="8" xfId="0" applyFill="1" applyBorder="1" applyAlignment="1">
      <alignment horizontal="center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1" fontId="0" fillId="0" borderId="21" xfId="0" applyNumberFormat="1" applyBorder="1" applyAlignment="1" applyProtection="1">
      <alignment horizontal="center"/>
      <protection locked="0"/>
    </xf>
    <xf numFmtId="1" fontId="0" fillId="0" borderId="2" xfId="0" applyNumberFormat="1" applyBorder="1" applyAlignment="1" applyProtection="1">
      <alignment horizontal="center" vertical="center"/>
      <protection locked="0"/>
    </xf>
    <xf numFmtId="0" fontId="0" fillId="3" borderId="2" xfId="0" applyFill="1" applyBorder="1" applyAlignment="1">
      <alignment horizontal="center" vertical="center"/>
    </xf>
    <xf numFmtId="0" fontId="0" fillId="10" borderId="22" xfId="0" applyFill="1" applyBorder="1" applyAlignment="1">
      <alignment horizontal="center"/>
    </xf>
    <xf numFmtId="0" fontId="0" fillId="10" borderId="7" xfId="0" applyFill="1" applyBorder="1" applyAlignment="1">
      <alignment horizontal="center"/>
    </xf>
    <xf numFmtId="0" fontId="0" fillId="0" borderId="3" xfId="0" applyBorder="1" applyAlignment="1" applyProtection="1">
      <alignment horizontal="center"/>
      <protection locked="0"/>
    </xf>
    <xf numFmtId="0" fontId="0" fillId="0" borderId="20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/>
      <protection locked="0"/>
    </xf>
    <xf numFmtId="0" fontId="0" fillId="10" borderId="9" xfId="0" applyFill="1" applyBorder="1" applyAlignment="1">
      <alignment horizontal="center"/>
    </xf>
    <xf numFmtId="0" fontId="0" fillId="2" borderId="2" xfId="0" applyFill="1" applyBorder="1" applyAlignment="1" applyProtection="1">
      <alignment horizontal="center"/>
      <protection locked="0"/>
    </xf>
    <xf numFmtId="0" fontId="0" fillId="2" borderId="8" xfId="0" applyFill="1" applyBorder="1" applyAlignment="1" applyProtection="1">
      <alignment horizontal="center" vertical="center"/>
      <protection locked="0"/>
    </xf>
    <xf numFmtId="0" fontId="0" fillId="2" borderId="8" xfId="0" applyFill="1" applyBorder="1" applyAlignment="1" applyProtection="1">
      <alignment horizontal="center"/>
      <protection locked="0"/>
    </xf>
    <xf numFmtId="0" fontId="0" fillId="3" borderId="2" xfId="0" applyFill="1" applyBorder="1" applyAlignment="1">
      <alignment horizont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0" fillId="3" borderId="20" xfId="0" applyFill="1" applyBorder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0" fontId="4" fillId="0" borderId="0" xfId="2" applyAlignment="1" applyProtection="1">
      <alignment horizontal="center" vertical="center"/>
      <protection locked="0"/>
    </xf>
    <xf numFmtId="0" fontId="0" fillId="10" borderId="23" xfId="0" applyFill="1" applyBorder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4" fillId="0" borderId="3" xfId="2" applyBorder="1" applyAlignment="1" applyProtection="1">
      <alignment horizontal="center" vertical="center"/>
      <protection locked="0"/>
    </xf>
    <xf numFmtId="0" fontId="4" fillId="0" borderId="2" xfId="2" applyBorder="1" applyAlignment="1" applyProtection="1">
      <alignment horizontal="center" vertical="center"/>
      <protection locked="0"/>
    </xf>
    <xf numFmtId="1" fontId="0" fillId="3" borderId="22" xfId="0" applyNumberFormat="1" applyFill="1" applyBorder="1" applyAlignment="1">
      <alignment horizontal="center" vertical="center"/>
    </xf>
    <xf numFmtId="1" fontId="0" fillId="3" borderId="2" xfId="0" applyNumberFormat="1" applyFill="1" applyBorder="1" applyAlignment="1">
      <alignment horizontal="center"/>
    </xf>
    <xf numFmtId="1" fontId="0" fillId="3" borderId="24" xfId="0" applyNumberFormat="1" applyFill="1" applyBorder="1" applyAlignment="1">
      <alignment horizontal="center" vertical="center"/>
    </xf>
    <xf numFmtId="1" fontId="0" fillId="3" borderId="22" xfId="0" applyNumberFormat="1" applyFill="1" applyBorder="1" applyAlignment="1">
      <alignment horizontal="center"/>
    </xf>
    <xf numFmtId="1" fontId="0" fillId="3" borderId="8" xfId="0" applyNumberFormat="1" applyFill="1" applyBorder="1" applyAlignment="1">
      <alignment horizontal="center" vertical="center"/>
    </xf>
    <xf numFmtId="0" fontId="0" fillId="0" borderId="7" xfId="0" applyBorder="1" applyAlignment="1" applyProtection="1">
      <alignment horizontal="center" vertical="center"/>
      <protection locked="0"/>
    </xf>
    <xf numFmtId="0" fontId="8" fillId="0" borderId="2" xfId="0" applyFont="1" applyBorder="1" applyAlignment="1" applyProtection="1">
      <alignment horizontal="center" vertical="center"/>
      <protection locked="0"/>
    </xf>
    <xf numFmtId="0" fontId="0" fillId="3" borderId="7" xfId="0" applyFill="1" applyBorder="1" applyAlignment="1">
      <alignment horizontal="center"/>
    </xf>
    <xf numFmtId="166" fontId="0" fillId="0" borderId="2" xfId="0" applyNumberFormat="1" applyBorder="1" applyAlignment="1" applyProtection="1">
      <alignment horizontal="center" vertical="center" wrapText="1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</cellXfs>
  <cellStyles count="3">
    <cellStyle name="Normal" xfId="0" builtinId="0"/>
    <cellStyle name="Normal 11" xfId="1" xr:uid="{00000000-0005-0000-0000-000001000000}"/>
    <cellStyle name="Normal 2" xfId="2" xr:uid="{00000000-0005-0000-0000-000002000000}"/>
  </cellStyles>
  <dxfs count="466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\Utilities\Consumption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 NEW"/>
      <sheetName val="Daily report"/>
      <sheetName val="Sep 2019"/>
      <sheetName val="Aug 2019"/>
      <sheetName val="July 2019"/>
      <sheetName val="June 2019"/>
      <sheetName val="May 2019"/>
      <sheetName val="Apr 2019"/>
      <sheetName val="Mar 2019"/>
      <sheetName val="Feb 2019"/>
      <sheetName val="Jan 2019"/>
      <sheetName val="Dec 18"/>
      <sheetName val="Nov 18 (PS)"/>
      <sheetName val="Nov 18"/>
      <sheetName val="Oct 18"/>
      <sheetName val="Sep 18"/>
      <sheetName val="Aug 2018"/>
      <sheetName val="July 18"/>
      <sheetName val="June 18"/>
      <sheetName val="May 18"/>
      <sheetName val="April 18"/>
      <sheetName val="Mar 18"/>
      <sheetName val="Feb 18"/>
      <sheetName val="Jan 18"/>
      <sheetName val="Dec17"/>
      <sheetName val="Nov 17"/>
      <sheetName val="Oct 17"/>
      <sheetName val="Sept 17"/>
      <sheetName val="cc"/>
      <sheetName val="AUGUST 17"/>
      <sheetName val="July17"/>
      <sheetName val="June17"/>
      <sheetName val="May17"/>
      <sheetName val="April17"/>
      <sheetName val="Mar17"/>
      <sheetName val="Feb17"/>
      <sheetName val="Jan17"/>
      <sheetName val="Dec16"/>
      <sheetName val="Nov16"/>
      <sheetName val="Oct16"/>
      <sheetName val="Sept16"/>
      <sheetName val="Aug16"/>
      <sheetName val="July16"/>
      <sheetName val="June16"/>
      <sheetName val="May16"/>
      <sheetName val="April16"/>
      <sheetName val="March16"/>
      <sheetName val="Feb16"/>
      <sheetName val="Jan16"/>
      <sheetName val="Dec15"/>
      <sheetName val="Nov15"/>
      <sheetName val="OCT15"/>
      <sheetName val="Sept15"/>
      <sheetName val="Aug15"/>
      <sheetName val="July15"/>
      <sheetName val="June 15"/>
      <sheetName val="May15"/>
      <sheetName val="Apr15"/>
      <sheetName val="Mar 15"/>
      <sheetName val="Chart1"/>
      <sheetName val="Feb 15"/>
      <sheetName val="Jan15"/>
      <sheetName val="Dec 14"/>
      <sheetName val="Nov 14"/>
      <sheetName val="Oct14"/>
      <sheetName val="Sept14"/>
      <sheetName val="Aug14"/>
      <sheetName val="July14"/>
      <sheetName val="June14"/>
      <sheetName val="May14"/>
      <sheetName val="April14"/>
      <sheetName val="Mar14"/>
      <sheetName val="Jan14 (2)"/>
      <sheetName val="Feb14"/>
      <sheetName val="Jan14"/>
      <sheetName val="Dec13"/>
      <sheetName val="Nov13"/>
      <sheetName val="Oct13"/>
      <sheetName val="Sept13"/>
      <sheetName val="Aug13 (2)"/>
      <sheetName val="Aug13"/>
      <sheetName val="July 13"/>
      <sheetName val="June13"/>
      <sheetName val="May 13"/>
      <sheetName val="Apr13"/>
      <sheetName val="Mar 13"/>
      <sheetName val="Feb 13"/>
      <sheetName val="Jan13"/>
      <sheetName val="Dec12"/>
      <sheetName val="Nov12"/>
      <sheetName val="Oct12"/>
      <sheetName val="Sept12"/>
      <sheetName val="Aug12"/>
      <sheetName val="july12"/>
      <sheetName val="june12"/>
      <sheetName val="May12"/>
      <sheetName val="April12"/>
      <sheetName val="March12"/>
      <sheetName val="feb12"/>
      <sheetName val="jan12"/>
      <sheetName val="dec11 (2)"/>
      <sheetName val="nov11"/>
      <sheetName val="Sept11"/>
      <sheetName val="Aug11"/>
      <sheetName val="july 11"/>
      <sheetName val="june11"/>
      <sheetName val="jan11"/>
      <sheetName val="DEC10"/>
      <sheetName val="sept10"/>
      <sheetName val="aug10"/>
      <sheetName val="july10"/>
      <sheetName val="june10"/>
      <sheetName val="may10"/>
      <sheetName val="April10"/>
      <sheetName val="mar10"/>
      <sheetName val="FEB10"/>
      <sheetName val="jan10"/>
      <sheetName val="dec09"/>
      <sheetName val="nov09"/>
      <sheetName val="oct09"/>
      <sheetName val="sept09"/>
      <sheetName val="august09"/>
      <sheetName val="july09"/>
      <sheetName val="june09"/>
      <sheetName val="may 09"/>
      <sheetName val="april09 (2)"/>
      <sheetName val="dec08"/>
      <sheetName val="JAN 09"/>
      <sheetName val="Feb 09 (2)"/>
      <sheetName val="march09"/>
    </sheetNames>
    <sheetDataSet>
      <sheetData sheetId="0" refreshError="1"/>
      <sheetData sheetId="1" refreshError="1"/>
      <sheetData sheetId="2" refreshError="1">
        <row r="3">
          <cell r="R3">
            <v>2054945</v>
          </cell>
        </row>
        <row r="4">
          <cell r="R4">
            <v>2055440</v>
          </cell>
        </row>
        <row r="5">
          <cell r="R5">
            <v>2056149</v>
          </cell>
        </row>
        <row r="6">
          <cell r="R6">
            <v>2056651</v>
          </cell>
        </row>
        <row r="7">
          <cell r="R7">
            <v>2057174</v>
          </cell>
        </row>
        <row r="8">
          <cell r="R8">
            <v>2057715</v>
          </cell>
        </row>
        <row r="9">
          <cell r="R9">
            <v>2058246</v>
          </cell>
        </row>
        <row r="10">
          <cell r="R10">
            <v>2058780</v>
          </cell>
        </row>
        <row r="11">
          <cell r="R11">
            <v>2059332</v>
          </cell>
        </row>
        <row r="12">
          <cell r="R12">
            <v>2059908</v>
          </cell>
        </row>
        <row r="13">
          <cell r="R13">
            <v>2060432</v>
          </cell>
        </row>
        <row r="14">
          <cell r="R14">
            <v>2061086</v>
          </cell>
        </row>
        <row r="15">
          <cell r="R15">
            <v>2061615</v>
          </cell>
        </row>
        <row r="16">
          <cell r="R16">
            <v>2062113</v>
          </cell>
        </row>
        <row r="17">
          <cell r="R17">
            <v>2062731</v>
          </cell>
        </row>
        <row r="18">
          <cell r="R18">
            <v>2063291</v>
          </cell>
          <cell r="W18">
            <v>7</v>
          </cell>
          <cell r="EA18">
            <v>0.67</v>
          </cell>
        </row>
        <row r="19">
          <cell r="R19">
            <v>2063914</v>
          </cell>
          <cell r="W19">
            <v>7</v>
          </cell>
          <cell r="EA19">
            <v>0.63</v>
          </cell>
        </row>
        <row r="20">
          <cell r="R20">
            <v>2064501</v>
          </cell>
          <cell r="W20">
            <v>8</v>
          </cell>
          <cell r="EA20">
            <v>0.69</v>
          </cell>
        </row>
        <row r="21">
          <cell r="R21">
            <v>2065035</v>
          </cell>
          <cell r="T21">
            <v>426545</v>
          </cell>
          <cell r="W21">
            <v>8</v>
          </cell>
          <cell r="EA21">
            <v>0.7</v>
          </cell>
        </row>
        <row r="22">
          <cell r="B22">
            <v>9576003</v>
          </cell>
          <cell r="D22">
            <v>9185016</v>
          </cell>
          <cell r="G22">
            <v>1264</v>
          </cell>
          <cell r="I22">
            <v>0</v>
          </cell>
          <cell r="J22">
            <v>729</v>
          </cell>
          <cell r="R22">
            <v>2065573</v>
          </cell>
          <cell r="T22">
            <v>426720</v>
          </cell>
          <cell r="V22">
            <v>61.7</v>
          </cell>
          <cell r="W22">
            <v>14</v>
          </cell>
          <cell r="X22">
            <v>114723.6</v>
          </cell>
          <cell r="Z22">
            <v>961</v>
          </cell>
          <cell r="AB22">
            <v>2535</v>
          </cell>
          <cell r="AF22">
            <v>542040</v>
          </cell>
          <cell r="AH22">
            <v>48870</v>
          </cell>
          <cell r="AJ22">
            <v>8302</v>
          </cell>
          <cell r="BO22">
            <v>20498</v>
          </cell>
          <cell r="CG22">
            <v>24323</v>
          </cell>
          <cell r="CJ22">
            <v>32962</v>
          </cell>
          <cell r="CM22">
            <v>6797</v>
          </cell>
          <cell r="CP22">
            <v>82233</v>
          </cell>
          <cell r="CS22">
            <v>4366</v>
          </cell>
          <cell r="CV22">
            <v>5316</v>
          </cell>
          <cell r="CY22">
            <v>2440</v>
          </cell>
          <cell r="DB22">
            <v>1679</v>
          </cell>
          <cell r="DE22">
            <v>3575</v>
          </cell>
          <cell r="DH22">
            <v>3444</v>
          </cell>
          <cell r="DK22">
            <v>3861</v>
          </cell>
          <cell r="DN22">
            <v>3171</v>
          </cell>
          <cell r="DQ22">
            <v>112173</v>
          </cell>
          <cell r="DS22">
            <v>52938</v>
          </cell>
          <cell r="DU22">
            <v>15019</v>
          </cell>
          <cell r="DW22">
            <v>22622</v>
          </cell>
          <cell r="EA22">
            <v>0.79</v>
          </cell>
        </row>
        <row r="23">
          <cell r="B23">
            <v>9598864</v>
          </cell>
          <cell r="D23">
            <v>9207028</v>
          </cell>
          <cell r="G23">
            <v>1264</v>
          </cell>
          <cell r="P23">
            <v>2322786</v>
          </cell>
          <cell r="R23">
            <v>2066117</v>
          </cell>
          <cell r="T23">
            <v>426872</v>
          </cell>
          <cell r="V23">
            <v>60.9</v>
          </cell>
          <cell r="W23">
            <v>8</v>
          </cell>
          <cell r="X23">
            <v>114934</v>
          </cell>
          <cell r="Z23">
            <v>961</v>
          </cell>
          <cell r="AB23">
            <v>2538</v>
          </cell>
          <cell r="AJ23">
            <v>8308</v>
          </cell>
          <cell r="BO23">
            <v>20580</v>
          </cell>
          <cell r="CG23">
            <v>24343</v>
          </cell>
          <cell r="CJ23">
            <v>32970</v>
          </cell>
          <cell r="CM23">
            <v>6824</v>
          </cell>
          <cell r="CP23">
            <v>82238</v>
          </cell>
          <cell r="CS23">
            <v>4381</v>
          </cell>
          <cell r="CV23">
            <v>5325</v>
          </cell>
          <cell r="CY23">
            <v>2447</v>
          </cell>
          <cell r="DB23">
            <v>1680</v>
          </cell>
          <cell r="DE23">
            <v>3580</v>
          </cell>
          <cell r="DH23">
            <v>3453</v>
          </cell>
          <cell r="DK23">
            <v>3871</v>
          </cell>
          <cell r="DN23">
            <v>3179</v>
          </cell>
          <cell r="DQ23">
            <v>112173</v>
          </cell>
          <cell r="DS23">
            <v>52938</v>
          </cell>
          <cell r="DU23">
            <v>15019</v>
          </cell>
          <cell r="DW23">
            <v>22622</v>
          </cell>
          <cell r="EA23">
            <v>0.83</v>
          </cell>
        </row>
        <row r="24">
          <cell r="B24">
            <v>9621009</v>
          </cell>
          <cell r="D24">
            <v>9228427</v>
          </cell>
          <cell r="G24">
            <v>1264</v>
          </cell>
          <cell r="P24">
            <v>2323995</v>
          </cell>
          <cell r="R24">
            <v>2066577</v>
          </cell>
          <cell r="T24">
            <v>426975</v>
          </cell>
          <cell r="V24">
            <v>58.8</v>
          </cell>
          <cell r="W24">
            <v>7</v>
          </cell>
          <cell r="X24">
            <v>115258</v>
          </cell>
          <cell r="Z24">
            <v>961</v>
          </cell>
          <cell r="AB24">
            <v>2544</v>
          </cell>
          <cell r="AJ24">
            <v>8312</v>
          </cell>
          <cell r="BO24">
            <v>20661</v>
          </cell>
          <cell r="CG24">
            <v>24365</v>
          </cell>
          <cell r="CJ24">
            <v>32980</v>
          </cell>
          <cell r="CM24">
            <v>6859</v>
          </cell>
          <cell r="CP24">
            <v>82243</v>
          </cell>
          <cell r="CS24">
            <v>4399</v>
          </cell>
          <cell r="CV24">
            <v>5334</v>
          </cell>
          <cell r="CY24">
            <v>2454</v>
          </cell>
          <cell r="DB24">
            <v>1681</v>
          </cell>
          <cell r="DE24">
            <v>3596</v>
          </cell>
          <cell r="DH24">
            <v>3463</v>
          </cell>
          <cell r="DK24">
            <v>3881</v>
          </cell>
          <cell r="DN24">
            <v>3188</v>
          </cell>
          <cell r="DQ24">
            <v>112173</v>
          </cell>
          <cell r="DS24">
            <v>52938</v>
          </cell>
          <cell r="DU24">
            <v>15019</v>
          </cell>
          <cell r="DW24">
            <v>22622</v>
          </cell>
          <cell r="EA24">
            <v>0.85</v>
          </cell>
        </row>
        <row r="25">
          <cell r="B25">
            <v>9644072</v>
          </cell>
          <cell r="D25">
            <v>9250623</v>
          </cell>
          <cell r="G25">
            <v>1264</v>
          </cell>
          <cell r="P25">
            <v>2325704</v>
          </cell>
          <cell r="R25">
            <v>2067069</v>
          </cell>
          <cell r="T25">
            <v>427090</v>
          </cell>
          <cell r="V25">
            <v>61</v>
          </cell>
          <cell r="W25">
            <v>0</v>
          </cell>
          <cell r="X25">
            <v>115479</v>
          </cell>
          <cell r="Z25">
            <v>962</v>
          </cell>
          <cell r="AB25">
            <v>2544</v>
          </cell>
          <cell r="AJ25">
            <v>8316</v>
          </cell>
          <cell r="BO25">
            <v>20744</v>
          </cell>
          <cell r="CG25">
            <v>24389</v>
          </cell>
          <cell r="CJ25">
            <v>32988</v>
          </cell>
          <cell r="CM25">
            <v>6890</v>
          </cell>
          <cell r="CP25">
            <v>82248</v>
          </cell>
          <cell r="CS25">
            <v>4415</v>
          </cell>
          <cell r="CV25">
            <v>5342</v>
          </cell>
          <cell r="CY25">
            <v>2459</v>
          </cell>
          <cell r="DB25">
            <v>1682</v>
          </cell>
          <cell r="DE25">
            <v>3607</v>
          </cell>
          <cell r="DH25">
            <v>3472</v>
          </cell>
          <cell r="DK25">
            <v>3890</v>
          </cell>
          <cell r="DN25">
            <v>3195</v>
          </cell>
          <cell r="DQ25">
            <v>112173</v>
          </cell>
          <cell r="DS25">
            <v>52938</v>
          </cell>
          <cell r="DU25">
            <v>15019</v>
          </cell>
          <cell r="DW25">
            <v>22622</v>
          </cell>
          <cell r="EA25">
            <v>0.85</v>
          </cell>
        </row>
        <row r="26">
          <cell r="B26">
            <v>9666928</v>
          </cell>
          <cell r="D26">
            <v>9272670</v>
          </cell>
          <cell r="G26">
            <v>1264</v>
          </cell>
          <cell r="P26">
            <v>2327245</v>
          </cell>
          <cell r="R26">
            <v>2067623</v>
          </cell>
          <cell r="T26">
            <v>427227</v>
          </cell>
          <cell r="V26">
            <v>58.24</v>
          </cell>
          <cell r="W26">
            <v>5</v>
          </cell>
          <cell r="X26">
            <v>115633</v>
          </cell>
          <cell r="Z26">
            <v>962</v>
          </cell>
          <cell r="AB26">
            <v>2554</v>
          </cell>
          <cell r="AJ26">
            <v>8321</v>
          </cell>
          <cell r="BO26">
            <v>20819</v>
          </cell>
          <cell r="CG26">
            <v>24414</v>
          </cell>
          <cell r="CJ26">
            <v>32998</v>
          </cell>
          <cell r="CM26">
            <v>6918</v>
          </cell>
          <cell r="CP26">
            <v>82257</v>
          </cell>
          <cell r="CS26">
            <v>4427</v>
          </cell>
          <cell r="CV26">
            <v>5352</v>
          </cell>
          <cell r="CY26">
            <v>2465</v>
          </cell>
          <cell r="DB26">
            <v>1683</v>
          </cell>
          <cell r="DE26">
            <v>3618</v>
          </cell>
          <cell r="DH26">
            <v>3482</v>
          </cell>
          <cell r="DK26">
            <v>3900</v>
          </cell>
          <cell r="DN26">
            <v>3203</v>
          </cell>
          <cell r="DQ26">
            <v>112173</v>
          </cell>
          <cell r="DS26">
            <v>52938</v>
          </cell>
          <cell r="DU26">
            <v>15019</v>
          </cell>
          <cell r="DW26">
            <v>22622</v>
          </cell>
          <cell r="EA26">
            <v>0.82</v>
          </cell>
        </row>
        <row r="27">
          <cell r="B27">
            <v>9690612</v>
          </cell>
          <cell r="D27">
            <v>9295412</v>
          </cell>
          <cell r="G27">
            <v>1264</v>
          </cell>
          <cell r="P27">
            <v>2327908</v>
          </cell>
          <cell r="R27">
            <v>2068165</v>
          </cell>
          <cell r="T27">
            <v>427316</v>
          </cell>
          <cell r="V27">
            <v>50.81</v>
          </cell>
          <cell r="W27">
            <v>10</v>
          </cell>
          <cell r="X27">
            <v>115855</v>
          </cell>
          <cell r="Z27">
            <v>963</v>
          </cell>
          <cell r="AB27">
            <v>2563</v>
          </cell>
          <cell r="AJ27">
            <v>8325</v>
          </cell>
          <cell r="BO27">
            <v>20905</v>
          </cell>
          <cell r="CG27">
            <v>24440</v>
          </cell>
          <cell r="CJ27">
            <v>33006</v>
          </cell>
          <cell r="CM27">
            <v>6945</v>
          </cell>
          <cell r="CP27">
            <v>82264</v>
          </cell>
          <cell r="CS27">
            <v>4439</v>
          </cell>
          <cell r="CV27">
            <v>5361</v>
          </cell>
          <cell r="CY27">
            <v>2472</v>
          </cell>
          <cell r="DB27">
            <v>1684</v>
          </cell>
          <cell r="DE27">
            <v>3629</v>
          </cell>
          <cell r="DH27">
            <v>3492</v>
          </cell>
          <cell r="DK27">
            <v>3911</v>
          </cell>
          <cell r="DN27">
            <v>3212</v>
          </cell>
          <cell r="DQ27">
            <v>112173</v>
          </cell>
          <cell r="DS27">
            <v>52938</v>
          </cell>
          <cell r="DU27">
            <v>15019</v>
          </cell>
          <cell r="DW27">
            <v>22622</v>
          </cell>
          <cell r="EA27">
            <v>0.69</v>
          </cell>
        </row>
        <row r="28">
          <cell r="B28">
            <v>9714311</v>
          </cell>
          <cell r="D28">
            <v>9318320</v>
          </cell>
          <cell r="G28">
            <v>1264</v>
          </cell>
          <cell r="P28">
            <v>2329030</v>
          </cell>
          <cell r="R28">
            <v>2068716</v>
          </cell>
          <cell r="T28">
            <v>427432</v>
          </cell>
          <cell r="V28">
            <v>48.5</v>
          </cell>
          <cell r="W28">
            <v>7</v>
          </cell>
          <cell r="X28">
            <v>116109</v>
          </cell>
          <cell r="Z28">
            <v>964</v>
          </cell>
          <cell r="AB28">
            <v>2563</v>
          </cell>
          <cell r="AJ28">
            <v>8327</v>
          </cell>
          <cell r="BO28">
            <v>20989</v>
          </cell>
          <cell r="CG28">
            <v>24494</v>
          </cell>
          <cell r="CJ28">
            <v>33009</v>
          </cell>
          <cell r="CM28">
            <v>6963</v>
          </cell>
          <cell r="CP28">
            <v>81270</v>
          </cell>
          <cell r="CS28">
            <v>4453</v>
          </cell>
          <cell r="CV28">
            <v>5370</v>
          </cell>
          <cell r="CY28">
            <v>2472.9</v>
          </cell>
          <cell r="DB28">
            <v>1685</v>
          </cell>
          <cell r="DE28">
            <v>3640</v>
          </cell>
          <cell r="DH28">
            <v>3502</v>
          </cell>
          <cell r="DK28">
            <v>3919</v>
          </cell>
          <cell r="DN28">
            <v>3220.6</v>
          </cell>
          <cell r="DQ28">
            <v>112173</v>
          </cell>
          <cell r="DS28">
            <v>52938</v>
          </cell>
          <cell r="DU28">
            <v>15019</v>
          </cell>
          <cell r="DW28">
            <v>22622</v>
          </cell>
          <cell r="EA28">
            <v>0.85</v>
          </cell>
        </row>
        <row r="29">
          <cell r="B29">
            <v>9739019</v>
          </cell>
          <cell r="D29">
            <v>9342039</v>
          </cell>
          <cell r="G29">
            <v>1264</v>
          </cell>
          <cell r="P29">
            <v>2330162</v>
          </cell>
          <cell r="R29">
            <v>2069255</v>
          </cell>
          <cell r="T29">
            <v>427491</v>
          </cell>
          <cell r="V29">
            <v>46.83</v>
          </cell>
          <cell r="W29">
            <v>9</v>
          </cell>
          <cell r="X29">
            <v>116341</v>
          </cell>
          <cell r="Z29">
            <v>965</v>
          </cell>
          <cell r="AB29">
            <v>2573</v>
          </cell>
          <cell r="AJ29">
            <v>8331</v>
          </cell>
          <cell r="BO29">
            <v>21072</v>
          </cell>
          <cell r="CG29">
            <v>24546</v>
          </cell>
          <cell r="CJ29">
            <v>33017</v>
          </cell>
          <cell r="CM29">
            <v>6987</v>
          </cell>
          <cell r="CP29">
            <v>82276</v>
          </cell>
          <cell r="CS29">
            <v>4464</v>
          </cell>
          <cell r="CV29">
            <v>5379</v>
          </cell>
          <cell r="CY29">
            <v>2484</v>
          </cell>
          <cell r="DB29">
            <v>1686.7</v>
          </cell>
          <cell r="DE29">
            <v>3650</v>
          </cell>
          <cell r="DH29">
            <v>3511</v>
          </cell>
          <cell r="DK29">
            <v>3926</v>
          </cell>
          <cell r="DN29">
            <v>3227</v>
          </cell>
          <cell r="DQ29">
            <v>112173</v>
          </cell>
          <cell r="DS29">
            <v>52938</v>
          </cell>
          <cell r="DU29">
            <v>15019</v>
          </cell>
          <cell r="DW29">
            <v>22622</v>
          </cell>
          <cell r="EA29">
            <v>0.85</v>
          </cell>
        </row>
        <row r="30">
          <cell r="B30">
            <v>9764276</v>
          </cell>
          <cell r="D30">
            <v>9369634</v>
          </cell>
          <cell r="G30">
            <v>1264</v>
          </cell>
          <cell r="P30">
            <v>2331403</v>
          </cell>
          <cell r="R30">
            <v>2069799</v>
          </cell>
          <cell r="T30">
            <v>427500</v>
          </cell>
          <cell r="V30">
            <v>68.42</v>
          </cell>
          <cell r="W30">
            <v>16</v>
          </cell>
          <cell r="X30">
            <v>116799</v>
          </cell>
          <cell r="Z30">
            <v>965</v>
          </cell>
          <cell r="AB30">
            <v>2583</v>
          </cell>
          <cell r="AJ30">
            <v>8335</v>
          </cell>
          <cell r="BO30">
            <v>21156</v>
          </cell>
          <cell r="CG30">
            <v>24606</v>
          </cell>
          <cell r="CJ30">
            <v>33026</v>
          </cell>
          <cell r="CM30">
            <v>7009</v>
          </cell>
          <cell r="CP30">
            <v>82281</v>
          </cell>
          <cell r="CS30">
            <v>4477</v>
          </cell>
          <cell r="CV30">
            <v>5388</v>
          </cell>
          <cell r="CY30">
            <v>2490</v>
          </cell>
          <cell r="DB30">
            <v>1687.8</v>
          </cell>
          <cell r="DE30">
            <v>3659</v>
          </cell>
          <cell r="DH30">
            <v>3521</v>
          </cell>
          <cell r="DK30">
            <v>3936</v>
          </cell>
          <cell r="DN30">
            <v>3235</v>
          </cell>
          <cell r="DQ30">
            <v>112173</v>
          </cell>
          <cell r="DS30">
            <v>52938</v>
          </cell>
          <cell r="DU30">
            <v>15111</v>
          </cell>
          <cell r="DW30">
            <v>22622</v>
          </cell>
          <cell r="EA30">
            <v>0.82</v>
          </cell>
        </row>
        <row r="31">
          <cell r="B31">
            <v>9788235</v>
          </cell>
          <cell r="D31">
            <v>9389524</v>
          </cell>
          <cell r="G31">
            <v>1264</v>
          </cell>
          <cell r="P31">
            <v>2332288</v>
          </cell>
          <cell r="R31">
            <v>2070337</v>
          </cell>
          <cell r="T31">
            <v>427708</v>
          </cell>
          <cell r="V31">
            <v>61.73</v>
          </cell>
          <cell r="W31">
            <v>5</v>
          </cell>
          <cell r="X31">
            <v>116939</v>
          </cell>
          <cell r="Z31">
            <v>965</v>
          </cell>
          <cell r="AB31">
            <v>2585</v>
          </cell>
          <cell r="AJ31">
            <v>8338</v>
          </cell>
          <cell r="BO31">
            <v>21234</v>
          </cell>
          <cell r="CG31">
            <v>24663</v>
          </cell>
          <cell r="CJ31">
            <v>33034</v>
          </cell>
          <cell r="CM31">
            <v>7031</v>
          </cell>
          <cell r="CP31">
            <v>82286</v>
          </cell>
          <cell r="CS31">
            <v>4486</v>
          </cell>
          <cell r="CV31">
            <v>5398</v>
          </cell>
          <cell r="CY31">
            <v>2497</v>
          </cell>
          <cell r="DB31">
            <v>1688.9</v>
          </cell>
          <cell r="DE31">
            <v>3669</v>
          </cell>
          <cell r="DH31">
            <v>3531</v>
          </cell>
          <cell r="DK31">
            <v>3945</v>
          </cell>
          <cell r="DN31">
            <v>3242</v>
          </cell>
          <cell r="DQ31">
            <v>112173</v>
          </cell>
          <cell r="DS31">
            <v>52938</v>
          </cell>
          <cell r="DU31">
            <v>15111</v>
          </cell>
          <cell r="DW31">
            <v>22622</v>
          </cell>
          <cell r="EA31">
            <v>0.88</v>
          </cell>
        </row>
        <row r="32">
          <cell r="B32">
            <v>9813889</v>
          </cell>
          <cell r="D32">
            <v>9414268</v>
          </cell>
          <cell r="G32">
            <v>1264</v>
          </cell>
          <cell r="P32">
            <v>2333027</v>
          </cell>
          <cell r="R32">
            <v>2070888</v>
          </cell>
          <cell r="T32">
            <v>427772</v>
          </cell>
          <cell r="V32">
            <v>60.13</v>
          </cell>
          <cell r="W32">
            <v>8</v>
          </cell>
          <cell r="X32">
            <v>117024</v>
          </cell>
          <cell r="Z32">
            <v>965</v>
          </cell>
          <cell r="AB32">
            <v>2606</v>
          </cell>
          <cell r="AJ32">
            <v>8341</v>
          </cell>
          <cell r="BO32">
            <v>21378</v>
          </cell>
          <cell r="CG32">
            <v>24718</v>
          </cell>
          <cell r="CJ32">
            <v>33042</v>
          </cell>
          <cell r="CM32">
            <v>7053</v>
          </cell>
          <cell r="CP32">
            <v>82295</v>
          </cell>
          <cell r="CS32">
            <v>4497</v>
          </cell>
          <cell r="CV32">
            <v>5407</v>
          </cell>
          <cell r="CY32">
            <v>2503</v>
          </cell>
          <cell r="DB32">
            <v>1690</v>
          </cell>
          <cell r="DE32">
            <v>3679</v>
          </cell>
          <cell r="DH32">
            <v>3541</v>
          </cell>
          <cell r="DK32">
            <v>3955</v>
          </cell>
          <cell r="DN32">
            <v>3250</v>
          </cell>
          <cell r="DQ32">
            <v>112173</v>
          </cell>
          <cell r="DS32">
            <v>52938</v>
          </cell>
          <cell r="DU32">
            <v>15111</v>
          </cell>
          <cell r="DW32">
            <v>22622</v>
          </cell>
          <cell r="EA32">
            <v>0.77</v>
          </cell>
        </row>
        <row r="33">
          <cell r="B33">
            <v>9838014</v>
          </cell>
          <cell r="D33">
            <v>9437590</v>
          </cell>
          <cell r="G33">
            <v>1264</v>
          </cell>
          <cell r="P33">
            <v>2334027</v>
          </cell>
          <cell r="R33">
            <v>2071438</v>
          </cell>
          <cell r="T33">
            <v>427875</v>
          </cell>
          <cell r="V33">
            <v>67.77</v>
          </cell>
          <cell r="W33">
            <v>8</v>
          </cell>
          <cell r="X33">
            <v>117307</v>
          </cell>
          <cell r="Z33">
            <v>966</v>
          </cell>
          <cell r="AB33">
            <v>2607</v>
          </cell>
          <cell r="AJ33">
            <v>8343</v>
          </cell>
          <cell r="BO33">
            <v>21407</v>
          </cell>
          <cell r="CG33">
            <v>24757</v>
          </cell>
          <cell r="CJ33">
            <v>33050</v>
          </cell>
          <cell r="CM33">
            <v>7073</v>
          </cell>
          <cell r="CP33">
            <v>82301</v>
          </cell>
          <cell r="CS33">
            <v>4506</v>
          </cell>
          <cell r="CV33">
            <v>5415</v>
          </cell>
          <cell r="CY33">
            <v>2506</v>
          </cell>
          <cell r="DB33">
            <v>1691</v>
          </cell>
          <cell r="DE33">
            <v>3688</v>
          </cell>
          <cell r="DH33">
            <v>3550</v>
          </cell>
          <cell r="DK33">
            <v>3964</v>
          </cell>
          <cell r="DN33">
            <v>3258</v>
          </cell>
          <cell r="DQ33">
            <v>114104</v>
          </cell>
          <cell r="DS33">
            <v>53636</v>
          </cell>
          <cell r="DU33">
            <v>15139</v>
          </cell>
          <cell r="DW33">
            <v>22854</v>
          </cell>
          <cell r="EA33">
            <v>0.76</v>
          </cell>
        </row>
        <row r="34">
          <cell r="B34">
            <v>0</v>
          </cell>
          <cell r="D34">
            <v>0</v>
          </cell>
          <cell r="G34">
            <v>0</v>
          </cell>
          <cell r="L34">
            <v>0</v>
          </cell>
          <cell r="O34">
            <v>0</v>
          </cell>
          <cell r="R34">
            <v>0</v>
          </cell>
          <cell r="AJ34">
            <v>0</v>
          </cell>
          <cell r="BO34">
            <v>0</v>
          </cell>
          <cell r="CG34">
            <v>0</v>
          </cell>
          <cell r="CM34">
            <v>0</v>
          </cell>
          <cell r="CS34">
            <v>0</v>
          </cell>
          <cell r="DQ34">
            <v>0</v>
          </cell>
          <cell r="EA34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"/>
  <sheetViews>
    <sheetView zoomScaleNormal="100" workbookViewId="0">
      <pane xSplit="4" ySplit="13" topLeftCell="E14" activePane="bottomRight" state="frozen"/>
      <selection pane="bottomRight" activeCell="C2" sqref="C2:D32"/>
      <selection pane="bottomLeft" activeCell="A14" sqref="A14"/>
      <selection pane="topRight" activeCell="E1" sqref="E1"/>
    </sheetView>
  </sheetViews>
  <sheetFormatPr defaultColWidth="11.5703125" defaultRowHeight="12.75"/>
  <cols>
    <col min="1" max="1" width="22" customWidth="1"/>
    <col min="2" max="3" width="11.5703125" style="7"/>
    <col min="4" max="4" width="13.42578125" style="7" customWidth="1"/>
    <col min="5" max="6" width="12.5703125" style="7" customWidth="1"/>
    <col min="7" max="13" width="11.5703125" style="7"/>
    <col min="14" max="14" width="15.140625" style="7" customWidth="1"/>
    <col min="15" max="15" width="15.85546875" style="7" customWidth="1"/>
    <col min="16" max="18" width="11.5703125" style="7" customWidth="1"/>
    <col min="19" max="19" width="11.5703125" style="7" hidden="1" customWidth="1"/>
    <col min="20" max="20" width="12.28515625" style="7" customWidth="1"/>
    <col min="21" max="21" width="14.42578125" style="7" customWidth="1"/>
  </cols>
  <sheetData>
    <row r="1" spans="1:21" s="1" customFormat="1" ht="53.25" customHeight="1">
      <c r="A1" s="3" t="s">
        <v>0</v>
      </c>
      <c r="B1" s="10" t="s">
        <v>1</v>
      </c>
      <c r="C1" s="10" t="s">
        <v>2</v>
      </c>
      <c r="D1" s="10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7"/>
      <c r="M1" s="15"/>
      <c r="N1" s="15" t="s">
        <v>11</v>
      </c>
      <c r="O1" s="15" t="s">
        <v>12</v>
      </c>
      <c r="P1" s="15" t="s">
        <v>13</v>
      </c>
      <c r="Q1" s="15" t="s">
        <v>14</v>
      </c>
      <c r="R1" s="15" t="s">
        <v>15</v>
      </c>
      <c r="S1" s="6" t="s">
        <v>16</v>
      </c>
      <c r="T1" s="6" t="s">
        <v>17</v>
      </c>
      <c r="U1" s="6" t="s">
        <v>18</v>
      </c>
    </row>
    <row r="2" spans="1:21">
      <c r="A2" s="2" t="s">
        <v>19</v>
      </c>
      <c r="B2" s="7">
        <v>1</v>
      </c>
      <c r="C2" s="7">
        <v>3</v>
      </c>
      <c r="D2" s="7">
        <v>2021</v>
      </c>
      <c r="E2" s="8">
        <f>HOTEL!E4</f>
        <v>6632</v>
      </c>
      <c r="F2" s="16">
        <v>6.21</v>
      </c>
      <c r="G2" s="8">
        <f>HOTEL!CK4</f>
        <v>0</v>
      </c>
      <c r="H2" s="16">
        <v>57.45</v>
      </c>
      <c r="I2" s="8">
        <f>HOTEL!V4+HOTEL!Y4</f>
        <v>34</v>
      </c>
      <c r="J2" s="16">
        <f>P2</f>
        <v>99.99941230144222</v>
      </c>
      <c r="K2" s="7">
        <f>HOTEL!EE4</f>
        <v>3</v>
      </c>
      <c r="L2" s="18"/>
      <c r="N2" s="7">
        <f>HOTEL!X12</f>
        <v>152730</v>
      </c>
      <c r="O2" s="7">
        <f t="shared" ref="O2:O19" si="0">N2*2500</f>
        <v>381825000</v>
      </c>
      <c r="P2" s="8">
        <f>IFERROR(((((HOTEL!V4*34))+(N2*2500))/(I2+N2*25)),0)</f>
        <v>99.99941230144222</v>
      </c>
      <c r="Q2" s="7">
        <v>6.21</v>
      </c>
      <c r="R2" s="16">
        <f>H2</f>
        <v>57.45</v>
      </c>
      <c r="S2" s="7">
        <v>33.880000000000003</v>
      </c>
      <c r="T2" s="8">
        <f>G2*H2</f>
        <v>0</v>
      </c>
      <c r="U2" s="8">
        <f>I2*P2</f>
        <v>3399.9800182490353</v>
      </c>
    </row>
    <row r="3" spans="1:21">
      <c r="A3" s="2" t="s">
        <v>19</v>
      </c>
      <c r="B3" s="7">
        <f>B2+1</f>
        <v>2</v>
      </c>
      <c r="C3" s="7">
        <v>3</v>
      </c>
      <c r="D3" s="7">
        <v>2021</v>
      </c>
      <c r="E3" s="8">
        <f>HOTEL!E5</f>
        <v>7021</v>
      </c>
      <c r="F3" s="16">
        <v>6.21</v>
      </c>
      <c r="G3" s="8">
        <f>HOTEL!CK5</f>
        <v>107.75</v>
      </c>
      <c r="H3" s="16">
        <v>57.45</v>
      </c>
      <c r="I3" s="8">
        <f>HOTEL!V5+HOTEL!Y5</f>
        <v>34</v>
      </c>
      <c r="J3" s="16">
        <f t="shared" ref="J3:J31" si="1">P3</f>
        <v>99.99941230144222</v>
      </c>
      <c r="K3" s="7">
        <f>HOTEL!EE5</f>
        <v>3</v>
      </c>
      <c r="L3" s="18"/>
      <c r="N3" s="7">
        <f>HOTEL!X13</f>
        <v>152730</v>
      </c>
      <c r="O3" s="7">
        <f t="shared" si="0"/>
        <v>381825000</v>
      </c>
      <c r="P3" s="8">
        <f>IFERROR(((((HOTEL!V5*34))+(N3*2500))/(I3+N3*25)),0)</f>
        <v>99.99941230144222</v>
      </c>
      <c r="Q3" s="7">
        <v>6.21</v>
      </c>
      <c r="R3" s="16">
        <f t="shared" ref="R3:R31" si="2">H3</f>
        <v>57.45</v>
      </c>
      <c r="S3" s="7">
        <v>33.880000000000003</v>
      </c>
      <c r="T3" s="8">
        <f t="shared" ref="T3:T19" si="3">G3*H3</f>
        <v>6190.2375000000002</v>
      </c>
      <c r="U3" s="8">
        <f t="shared" ref="U3:U31" si="4">I3*P3</f>
        <v>3399.9800182490353</v>
      </c>
    </row>
    <row r="4" spans="1:21">
      <c r="A4" s="2" t="s">
        <v>19</v>
      </c>
      <c r="B4" s="7">
        <f t="shared" ref="B4:B30" si="5">B3+1</f>
        <v>3</v>
      </c>
      <c r="C4" s="7">
        <v>3</v>
      </c>
      <c r="D4" s="7">
        <v>2021</v>
      </c>
      <c r="E4" s="8">
        <f>HOTEL!E6</f>
        <v>6018</v>
      </c>
      <c r="F4" s="16">
        <v>6.21</v>
      </c>
      <c r="G4" s="8">
        <f>HOTEL!CK6</f>
        <v>0</v>
      </c>
      <c r="H4" s="16">
        <v>57.45</v>
      </c>
      <c r="I4" s="8">
        <f>HOTEL!V6+HOTEL!Y6</f>
        <v>34</v>
      </c>
      <c r="J4" s="16">
        <f t="shared" si="1"/>
        <v>99.99941230144222</v>
      </c>
      <c r="K4" s="7">
        <f>HOTEL!EE6</f>
        <v>3</v>
      </c>
      <c r="L4" s="18"/>
      <c r="N4" s="7">
        <f>HOTEL!X14</f>
        <v>152730</v>
      </c>
      <c r="O4" s="7">
        <f t="shared" si="0"/>
        <v>381825000</v>
      </c>
      <c r="P4" s="8">
        <f>IFERROR(((((HOTEL!V6*34))+(N4*2500))/(I4+N4*25)),0)</f>
        <v>99.99941230144222</v>
      </c>
      <c r="Q4" s="7">
        <v>6.21</v>
      </c>
      <c r="R4" s="16">
        <f t="shared" si="2"/>
        <v>57.45</v>
      </c>
      <c r="S4" s="7">
        <v>33.880000000000003</v>
      </c>
      <c r="T4" s="8">
        <f t="shared" si="3"/>
        <v>0</v>
      </c>
      <c r="U4" s="8">
        <f t="shared" si="4"/>
        <v>3399.9800182490353</v>
      </c>
    </row>
    <row r="5" spans="1:21">
      <c r="A5" s="2" t="s">
        <v>19</v>
      </c>
      <c r="B5" s="7">
        <f t="shared" si="5"/>
        <v>4</v>
      </c>
      <c r="C5" s="7">
        <v>3</v>
      </c>
      <c r="D5" s="7">
        <v>2021</v>
      </c>
      <c r="E5" s="8">
        <f>HOTEL!E7</f>
        <v>6730</v>
      </c>
      <c r="F5" s="16">
        <v>6.21</v>
      </c>
      <c r="G5" s="8">
        <f>HOTEL!CK7</f>
        <v>0</v>
      </c>
      <c r="H5" s="16">
        <v>57.45</v>
      </c>
      <c r="I5" s="8">
        <f>HOTEL!V7+HOTEL!Y7</f>
        <v>34</v>
      </c>
      <c r="J5" s="16">
        <f t="shared" si="1"/>
        <v>99.99941230144222</v>
      </c>
      <c r="K5" s="7">
        <f>HOTEL!EE7</f>
        <v>3</v>
      </c>
      <c r="L5" s="18"/>
      <c r="N5" s="7">
        <f>HOTEL!X15</f>
        <v>152730</v>
      </c>
      <c r="O5" s="7">
        <f t="shared" si="0"/>
        <v>381825000</v>
      </c>
      <c r="P5" s="8">
        <f>IFERROR(((((HOTEL!V7*34))+(N5*2500))/(I5+N5*25)),0)</f>
        <v>99.99941230144222</v>
      </c>
      <c r="Q5" s="7">
        <v>6.21</v>
      </c>
      <c r="R5" s="16">
        <f t="shared" si="2"/>
        <v>57.45</v>
      </c>
      <c r="S5" s="7">
        <v>33.880000000000003</v>
      </c>
      <c r="T5" s="8">
        <f t="shared" si="3"/>
        <v>0</v>
      </c>
      <c r="U5" s="8">
        <f t="shared" si="4"/>
        <v>3399.9800182490353</v>
      </c>
    </row>
    <row r="6" spans="1:21">
      <c r="A6" s="2" t="s">
        <v>19</v>
      </c>
      <c r="B6" s="7">
        <f t="shared" si="5"/>
        <v>5</v>
      </c>
      <c r="C6" s="7">
        <v>3</v>
      </c>
      <c r="D6" s="7">
        <v>2021</v>
      </c>
      <c r="E6" s="8">
        <f>HOTEL!E8</f>
        <v>6943</v>
      </c>
      <c r="F6" s="16">
        <v>6.21</v>
      </c>
      <c r="G6" s="8">
        <f>HOTEL!CK8</f>
        <v>107.75</v>
      </c>
      <c r="H6" s="16">
        <v>57.45</v>
      </c>
      <c r="I6" s="8">
        <f>HOTEL!V8+HOTEL!Y8</f>
        <v>34</v>
      </c>
      <c r="J6" s="16">
        <f t="shared" si="1"/>
        <v>99.99941230144222</v>
      </c>
      <c r="K6" s="7">
        <f>HOTEL!EE8</f>
        <v>3</v>
      </c>
      <c r="L6" s="18"/>
      <c r="N6" s="7">
        <f>HOTEL!X16</f>
        <v>152730</v>
      </c>
      <c r="O6" s="7">
        <f t="shared" si="0"/>
        <v>381825000</v>
      </c>
      <c r="P6" s="8">
        <f>IFERROR(((((HOTEL!V8*34))+(N6*2500))/(I6+N6*25)),0)</f>
        <v>99.99941230144222</v>
      </c>
      <c r="Q6" s="7">
        <v>6.21</v>
      </c>
      <c r="R6" s="16">
        <f t="shared" si="2"/>
        <v>57.45</v>
      </c>
      <c r="S6" s="7">
        <v>33.880000000000003</v>
      </c>
      <c r="T6" s="8">
        <f t="shared" si="3"/>
        <v>6190.2375000000002</v>
      </c>
      <c r="U6" s="8">
        <f t="shared" si="4"/>
        <v>3399.9800182490353</v>
      </c>
    </row>
    <row r="7" spans="1:21">
      <c r="A7" s="2" t="s">
        <v>19</v>
      </c>
      <c r="B7" s="7">
        <f t="shared" si="5"/>
        <v>6</v>
      </c>
      <c r="C7" s="7">
        <v>3</v>
      </c>
      <c r="D7" s="7">
        <v>2021</v>
      </c>
      <c r="E7" s="8">
        <f>HOTEL!E9</f>
        <v>7301</v>
      </c>
      <c r="F7" s="16">
        <v>6.21</v>
      </c>
      <c r="G7" s="8">
        <f>HOTEL!CK9</f>
        <v>0</v>
      </c>
      <c r="H7" s="16">
        <v>57.45</v>
      </c>
      <c r="I7" s="8">
        <f>HOTEL!V9+HOTEL!Y9</f>
        <v>34</v>
      </c>
      <c r="J7" s="16">
        <f t="shared" si="1"/>
        <v>99.99941230144222</v>
      </c>
      <c r="K7" s="7">
        <f>HOTEL!EE9</f>
        <v>2</v>
      </c>
      <c r="L7" s="18"/>
      <c r="N7" s="7">
        <f>HOTEL!X17</f>
        <v>152730</v>
      </c>
      <c r="O7" s="7">
        <f t="shared" si="0"/>
        <v>381825000</v>
      </c>
      <c r="P7" s="8">
        <f>IFERROR(((((HOTEL!V9*34))+(N7*2500))/(I7+N7*25)),0)</f>
        <v>99.99941230144222</v>
      </c>
      <c r="Q7" s="7">
        <v>6.21</v>
      </c>
      <c r="R7" s="16">
        <f t="shared" si="2"/>
        <v>57.45</v>
      </c>
      <c r="S7" s="7">
        <v>33.880000000000003</v>
      </c>
      <c r="T7" s="8">
        <f t="shared" si="3"/>
        <v>0</v>
      </c>
      <c r="U7" s="8">
        <f t="shared" si="4"/>
        <v>3399.9800182490353</v>
      </c>
    </row>
    <row r="8" spans="1:21">
      <c r="A8" s="2" t="s">
        <v>19</v>
      </c>
      <c r="B8" s="7">
        <f t="shared" si="5"/>
        <v>7</v>
      </c>
      <c r="C8" s="7">
        <v>3</v>
      </c>
      <c r="D8" s="7">
        <v>2021</v>
      </c>
      <c r="E8" s="8">
        <f>HOTEL!E10</f>
        <v>6686</v>
      </c>
      <c r="F8" s="16">
        <v>6.21</v>
      </c>
      <c r="G8" s="8">
        <f>HOTEL!CK10</f>
        <v>0</v>
      </c>
      <c r="H8" s="16">
        <v>57.45</v>
      </c>
      <c r="I8" s="8">
        <f>HOTEL!V10+HOTEL!Y10</f>
        <v>34</v>
      </c>
      <c r="J8" s="16">
        <f t="shared" si="1"/>
        <v>99.99941230144222</v>
      </c>
      <c r="K8" s="7">
        <f>HOTEL!EE10</f>
        <v>2</v>
      </c>
      <c r="L8" s="18"/>
      <c r="N8" s="7">
        <f>HOTEL!X18</f>
        <v>152730</v>
      </c>
      <c r="O8" s="7">
        <f t="shared" si="0"/>
        <v>381825000</v>
      </c>
      <c r="P8" s="8">
        <f>IFERROR(((((HOTEL!V10*34))+(N8*2500))/(I8+N8*25)),0)</f>
        <v>99.99941230144222</v>
      </c>
      <c r="Q8" s="7">
        <v>6.21</v>
      </c>
      <c r="R8" s="16">
        <f t="shared" si="2"/>
        <v>57.45</v>
      </c>
      <c r="S8" s="7">
        <v>33.880000000000003</v>
      </c>
      <c r="T8" s="8">
        <f t="shared" si="3"/>
        <v>0</v>
      </c>
      <c r="U8" s="8">
        <f t="shared" si="4"/>
        <v>3399.9800182490353</v>
      </c>
    </row>
    <row r="9" spans="1:21">
      <c r="A9" s="2" t="s">
        <v>19</v>
      </c>
      <c r="B9" s="7">
        <f t="shared" si="5"/>
        <v>8</v>
      </c>
      <c r="C9" s="7">
        <v>3</v>
      </c>
      <c r="D9" s="7">
        <v>2021</v>
      </c>
      <c r="E9" s="8">
        <f>HOTEL!E11</f>
        <v>7066</v>
      </c>
      <c r="F9" s="16">
        <v>6.21</v>
      </c>
      <c r="G9" s="8">
        <f>HOTEL!CK11</f>
        <v>107.75</v>
      </c>
      <c r="H9" s="16">
        <v>57.45</v>
      </c>
      <c r="I9" s="8">
        <f>HOTEL!V11+HOTEL!Y11</f>
        <v>58</v>
      </c>
      <c r="J9" s="16">
        <f t="shared" si="1"/>
        <v>99.998997461702928</v>
      </c>
      <c r="K9" s="7">
        <f>HOTEL!EE11</f>
        <v>2</v>
      </c>
      <c r="L9" s="18"/>
      <c r="N9" s="7">
        <f>HOTEL!X19</f>
        <v>152730</v>
      </c>
      <c r="O9" s="7">
        <f>N9*2500</f>
        <v>381825000</v>
      </c>
      <c r="P9" s="8">
        <f>IFERROR(((((HOTEL!V11*34))+(N9*2500))/(I9+N9*25)),0)</f>
        <v>99.998997461702928</v>
      </c>
      <c r="Q9" s="7">
        <v>6.21</v>
      </c>
      <c r="R9" s="16">
        <f t="shared" si="2"/>
        <v>57.45</v>
      </c>
      <c r="S9" s="7">
        <v>33.880000000000003</v>
      </c>
      <c r="T9" s="8">
        <f>G9*H9</f>
        <v>6190.2375000000002</v>
      </c>
      <c r="U9" s="8">
        <f t="shared" si="4"/>
        <v>5799.9418527787702</v>
      </c>
    </row>
    <row r="10" spans="1:21">
      <c r="A10" s="2" t="s">
        <v>19</v>
      </c>
      <c r="B10" s="7">
        <f t="shared" si="5"/>
        <v>9</v>
      </c>
      <c r="C10" s="7">
        <v>3</v>
      </c>
      <c r="D10" s="7">
        <v>2021</v>
      </c>
      <c r="E10" s="8">
        <f>HOTEL!E12</f>
        <v>6838</v>
      </c>
      <c r="F10" s="16">
        <v>6.21</v>
      </c>
      <c r="G10" s="8">
        <f>HOTEL!CK12</f>
        <v>0</v>
      </c>
      <c r="H10" s="16">
        <v>57.45</v>
      </c>
      <c r="I10" s="8">
        <f>HOTEL!V12+HOTEL!Y12</f>
        <v>61</v>
      </c>
      <c r="J10" s="16">
        <f t="shared" si="1"/>
        <v>99.9989456071022</v>
      </c>
      <c r="K10" s="7">
        <f>HOTEL!EE12</f>
        <v>2</v>
      </c>
      <c r="L10" s="18"/>
      <c r="N10" s="7">
        <f>HOTEL!X20</f>
        <v>152730</v>
      </c>
      <c r="O10" s="7">
        <f t="shared" si="0"/>
        <v>381825000</v>
      </c>
      <c r="P10" s="8">
        <f>IFERROR(((((HOTEL!V12*34))+(N10*2500))/(I10+N10*25)),0)</f>
        <v>99.9989456071022</v>
      </c>
      <c r="Q10" s="7">
        <v>6.21</v>
      </c>
      <c r="R10" s="16">
        <f t="shared" si="2"/>
        <v>57.45</v>
      </c>
      <c r="S10" s="7">
        <v>33.93</v>
      </c>
      <c r="T10" s="8">
        <f t="shared" si="3"/>
        <v>0</v>
      </c>
      <c r="U10" s="8">
        <f t="shared" si="4"/>
        <v>6099.9356820332341</v>
      </c>
    </row>
    <row r="11" spans="1:21">
      <c r="A11" s="2" t="s">
        <v>19</v>
      </c>
      <c r="B11" s="7">
        <f t="shared" si="5"/>
        <v>10</v>
      </c>
      <c r="C11" s="7">
        <v>3</v>
      </c>
      <c r="D11" s="7">
        <v>2021</v>
      </c>
      <c r="E11" s="8">
        <f>HOTEL!E13</f>
        <v>5970</v>
      </c>
      <c r="F11" s="16">
        <v>6.21</v>
      </c>
      <c r="G11" s="8">
        <f>HOTEL!CK13</f>
        <v>107.75</v>
      </c>
      <c r="H11" s="16">
        <v>57.45</v>
      </c>
      <c r="I11" s="8">
        <f>HOTEL!V13+HOTEL!Y13</f>
        <v>36</v>
      </c>
      <c r="J11" s="16">
        <f t="shared" si="1"/>
        <v>99.999377731264758</v>
      </c>
      <c r="K11" s="7">
        <f>HOTEL!EE13</f>
        <v>2</v>
      </c>
      <c r="L11" s="18"/>
      <c r="N11" s="7">
        <f>HOTEL!X21</f>
        <v>152730</v>
      </c>
      <c r="O11" s="7">
        <f>N11*2500</f>
        <v>381825000</v>
      </c>
      <c r="P11" s="8">
        <f>IFERROR(((((HOTEL!V13*34))+(N11*2500))/(I11+N11*25)),0)</f>
        <v>99.999377731264758</v>
      </c>
      <c r="Q11" s="7">
        <v>6.21</v>
      </c>
      <c r="R11" s="16">
        <f t="shared" si="2"/>
        <v>57.45</v>
      </c>
      <c r="S11" s="7">
        <v>33.93</v>
      </c>
      <c r="T11" s="8">
        <f>G11*H11</f>
        <v>6190.2375000000002</v>
      </c>
      <c r="U11" s="8">
        <f t="shared" si="4"/>
        <v>3599.9775983255313</v>
      </c>
    </row>
    <row r="12" spans="1:21">
      <c r="A12" s="2" t="s">
        <v>19</v>
      </c>
      <c r="B12" s="7">
        <f t="shared" si="5"/>
        <v>11</v>
      </c>
      <c r="C12" s="7">
        <v>3</v>
      </c>
      <c r="D12" s="7">
        <v>2021</v>
      </c>
      <c r="E12" s="8">
        <f>HOTEL!E14</f>
        <v>6062</v>
      </c>
      <c r="F12" s="16">
        <v>6.21</v>
      </c>
      <c r="G12" s="8">
        <f>HOTEL!CK14</f>
        <v>0</v>
      </c>
      <c r="H12" s="16">
        <v>57.45</v>
      </c>
      <c r="I12" s="8">
        <f>HOTEL!V14+HOTEL!Y14</f>
        <v>37</v>
      </c>
      <c r="J12" s="16">
        <f t="shared" si="1"/>
        <v>99.999360446189613</v>
      </c>
      <c r="K12" s="7">
        <f>HOTEL!EE14</f>
        <v>2</v>
      </c>
      <c r="L12" s="18"/>
      <c r="N12" s="7">
        <f>HOTEL!X22</f>
        <v>152730</v>
      </c>
      <c r="O12" s="7">
        <f>N12*2500</f>
        <v>381825000</v>
      </c>
      <c r="P12" s="8">
        <f>IFERROR(((((HOTEL!V14*34))+(N12*2500))/(I12+N12*25)),0)</f>
        <v>99.999360446189613</v>
      </c>
      <c r="Q12" s="7">
        <v>6.21</v>
      </c>
      <c r="R12" s="16">
        <f t="shared" si="2"/>
        <v>57.45</v>
      </c>
      <c r="S12" s="7">
        <v>33.93</v>
      </c>
      <c r="T12" s="8">
        <f>G12*H12</f>
        <v>0</v>
      </c>
      <c r="U12" s="8">
        <f t="shared" si="4"/>
        <v>3699.9763365090157</v>
      </c>
    </row>
    <row r="13" spans="1:21">
      <c r="A13" s="2" t="s">
        <v>19</v>
      </c>
      <c r="B13" s="7">
        <f t="shared" si="5"/>
        <v>12</v>
      </c>
      <c r="C13" s="7">
        <v>3</v>
      </c>
      <c r="D13" s="7">
        <v>2021</v>
      </c>
      <c r="E13" s="8">
        <f>HOTEL!E15</f>
        <v>6128</v>
      </c>
      <c r="F13" s="16">
        <v>6.21</v>
      </c>
      <c r="G13" s="8">
        <f>HOTEL!CK15</f>
        <v>107.75</v>
      </c>
      <c r="H13" s="16">
        <v>57.45</v>
      </c>
      <c r="I13" s="8">
        <f>HOTEL!V15+HOTEL!Y15</f>
        <v>65</v>
      </c>
      <c r="J13" s="16">
        <f t="shared" si="1"/>
        <v>99.998876467761306</v>
      </c>
      <c r="K13" s="7">
        <f>HOTEL!EE15</f>
        <v>2</v>
      </c>
      <c r="L13" s="18"/>
      <c r="N13" s="7">
        <f>HOTEL!X23</f>
        <v>152730</v>
      </c>
      <c r="O13" s="7">
        <f t="shared" si="0"/>
        <v>381825000</v>
      </c>
      <c r="P13" s="8">
        <f>IFERROR(((((HOTEL!V15*34))+(N13*2500))/(I13+N13*25)),0)</f>
        <v>99.998876467761306</v>
      </c>
      <c r="Q13" s="7">
        <v>6.21</v>
      </c>
      <c r="R13" s="16">
        <f t="shared" si="2"/>
        <v>57.45</v>
      </c>
      <c r="S13" s="7">
        <v>33.93</v>
      </c>
      <c r="T13" s="8">
        <f t="shared" si="3"/>
        <v>6190.2375000000002</v>
      </c>
      <c r="U13" s="8">
        <f t="shared" si="4"/>
        <v>6499.9269704044846</v>
      </c>
    </row>
    <row r="14" spans="1:21">
      <c r="A14" s="2" t="s">
        <v>19</v>
      </c>
      <c r="B14" s="7">
        <f t="shared" si="5"/>
        <v>13</v>
      </c>
      <c r="C14" s="7">
        <v>3</v>
      </c>
      <c r="D14" s="7">
        <v>2021</v>
      </c>
      <c r="E14" s="8">
        <f>HOTEL!E16</f>
        <v>5925</v>
      </c>
      <c r="F14" s="16">
        <v>6.21</v>
      </c>
      <c r="G14" s="8">
        <f>HOTEL!CK16</f>
        <v>0</v>
      </c>
      <c r="H14" s="16">
        <v>57.45</v>
      </c>
      <c r="I14" s="8">
        <f>HOTEL!V16+HOTEL!Y16</f>
        <v>70</v>
      </c>
      <c r="J14" s="16">
        <f t="shared" si="1"/>
        <v>99.998790043788887</v>
      </c>
      <c r="K14" s="7">
        <f>HOTEL!EE16</f>
        <v>2</v>
      </c>
      <c r="L14" s="18"/>
      <c r="N14" s="7">
        <f>HOTEL!X24</f>
        <v>152730</v>
      </c>
      <c r="O14" s="7">
        <f t="shared" si="0"/>
        <v>381825000</v>
      </c>
      <c r="P14" s="8">
        <f>IFERROR(((((HOTEL!V16*34))+(N14*2500))/(I14+N14*25)),0)</f>
        <v>99.998790043788887</v>
      </c>
      <c r="Q14" s="7">
        <v>6.21</v>
      </c>
      <c r="R14" s="16">
        <f t="shared" si="2"/>
        <v>57.45</v>
      </c>
      <c r="S14" s="7">
        <v>33.93</v>
      </c>
      <c r="T14" s="8">
        <f t="shared" si="3"/>
        <v>0</v>
      </c>
      <c r="U14" s="8">
        <f t="shared" si="4"/>
        <v>6999.9153030652224</v>
      </c>
    </row>
    <row r="15" spans="1:21">
      <c r="A15" s="2" t="s">
        <v>19</v>
      </c>
      <c r="B15" s="7">
        <f t="shared" si="5"/>
        <v>14</v>
      </c>
      <c r="C15" s="7">
        <v>3</v>
      </c>
      <c r="D15" s="7">
        <v>2021</v>
      </c>
      <c r="E15" s="8">
        <f>HOTEL!E17</f>
        <v>6374</v>
      </c>
      <c r="F15" s="16">
        <v>6.21</v>
      </c>
      <c r="G15" s="8">
        <f>HOTEL!CK17</f>
        <v>107.75</v>
      </c>
      <c r="H15" s="16">
        <v>57.45</v>
      </c>
      <c r="I15" s="8">
        <f>HOTEL!V17+HOTEL!Y17</f>
        <v>60</v>
      </c>
      <c r="J15" s="16">
        <f t="shared" si="1"/>
        <v>99.998960441654788</v>
      </c>
      <c r="K15" s="7">
        <f>HOTEL!EE17</f>
        <v>2</v>
      </c>
      <c r="L15" s="18"/>
      <c r="N15" s="7">
        <f>HOTEL!X25</f>
        <v>152370</v>
      </c>
      <c r="O15" s="7">
        <f t="shared" si="0"/>
        <v>380925000</v>
      </c>
      <c r="P15" s="8">
        <f>IFERROR(((((HOTEL!V17*34))+(N15*2500))/(I15+N15*25)),0)</f>
        <v>99.998960441654788</v>
      </c>
      <c r="Q15" s="7">
        <v>6.21</v>
      </c>
      <c r="R15" s="16">
        <f t="shared" si="2"/>
        <v>57.45</v>
      </c>
      <c r="S15" s="7">
        <v>33.93</v>
      </c>
      <c r="T15" s="8">
        <f t="shared" si="3"/>
        <v>6190.2375000000002</v>
      </c>
      <c r="U15" s="8">
        <f t="shared" si="4"/>
        <v>5999.937626499287</v>
      </c>
    </row>
    <row r="16" spans="1:21">
      <c r="A16" s="2" t="s">
        <v>19</v>
      </c>
      <c r="B16" s="7">
        <f t="shared" si="5"/>
        <v>15</v>
      </c>
      <c r="C16" s="7">
        <v>3</v>
      </c>
      <c r="D16" s="7">
        <v>2021</v>
      </c>
      <c r="E16" s="8">
        <f>HOTEL!E18</f>
        <v>6567</v>
      </c>
      <c r="F16" s="16">
        <v>6.21</v>
      </c>
      <c r="G16" s="8">
        <f>HOTEL!CK18</f>
        <v>107.75</v>
      </c>
      <c r="H16" s="16">
        <v>57.45</v>
      </c>
      <c r="I16" s="8">
        <f>HOTEL!V18+HOTEL!Y18</f>
        <v>43</v>
      </c>
      <c r="J16" s="16">
        <f t="shared" si="1"/>
        <v>99.999254979861092</v>
      </c>
      <c r="K16" s="7">
        <f>HOTEL!EE18</f>
        <v>2</v>
      </c>
      <c r="L16" s="18"/>
      <c r="N16" s="7">
        <f>HOTEL!X26</f>
        <v>152370</v>
      </c>
      <c r="O16" s="7">
        <f t="shared" si="0"/>
        <v>380925000</v>
      </c>
      <c r="P16" s="8">
        <f>IFERROR(((((HOTEL!V18*34))+(N16*2500))/(I16+N16*25)),0)</f>
        <v>99.999254979861092</v>
      </c>
      <c r="Q16" s="7">
        <v>6.21</v>
      </c>
      <c r="R16" s="16">
        <f t="shared" si="2"/>
        <v>57.45</v>
      </c>
      <c r="S16" s="7">
        <v>33.93</v>
      </c>
      <c r="T16" s="8">
        <f t="shared" si="3"/>
        <v>6190.2375000000002</v>
      </c>
      <c r="U16" s="8">
        <f t="shared" si="4"/>
        <v>4299.9679641340272</v>
      </c>
    </row>
    <row r="17" spans="1:21">
      <c r="A17" s="2" t="s">
        <v>19</v>
      </c>
      <c r="B17" s="7">
        <f t="shared" si="5"/>
        <v>16</v>
      </c>
      <c r="C17" s="7">
        <v>3</v>
      </c>
      <c r="D17" s="7">
        <v>2021</v>
      </c>
      <c r="E17" s="8">
        <f>HOTEL!E19</f>
        <v>6326</v>
      </c>
      <c r="F17" s="16">
        <v>6.21</v>
      </c>
      <c r="G17" s="8">
        <f>HOTEL!CK19</f>
        <v>323.25</v>
      </c>
      <c r="H17" s="16">
        <v>57.45</v>
      </c>
      <c r="I17" s="8">
        <f>HOTEL!V19+HOTEL!Y19</f>
        <v>50</v>
      </c>
      <c r="J17" s="16">
        <f t="shared" si="1"/>
        <v>99.999133699104817</v>
      </c>
      <c r="K17" s="7">
        <f>HOTEL!EE19</f>
        <v>2</v>
      </c>
      <c r="L17" s="18"/>
      <c r="N17" s="7">
        <f>HOTEL!X27</f>
        <v>152370</v>
      </c>
      <c r="O17" s="7">
        <f t="shared" si="0"/>
        <v>380925000</v>
      </c>
      <c r="P17" s="8">
        <f>IFERROR(((((HOTEL!V19*34))+(N17*2500))/(I17+N17*25)),0)</f>
        <v>99.999133699104817</v>
      </c>
      <c r="Q17" s="7">
        <v>6.21</v>
      </c>
      <c r="R17" s="16">
        <f t="shared" si="2"/>
        <v>57.45</v>
      </c>
      <c r="S17" s="7">
        <v>33.93</v>
      </c>
      <c r="T17" s="8">
        <f t="shared" si="3"/>
        <v>18570.712500000001</v>
      </c>
      <c r="U17" s="8">
        <f t="shared" si="4"/>
        <v>4999.9566849552411</v>
      </c>
    </row>
    <row r="18" spans="1:21">
      <c r="A18" s="2" t="s">
        <v>19</v>
      </c>
      <c r="B18" s="7">
        <f t="shared" si="5"/>
        <v>17</v>
      </c>
      <c r="C18" s="7">
        <v>3</v>
      </c>
      <c r="D18" s="7">
        <v>2021</v>
      </c>
      <c r="E18" s="8">
        <f>HOTEL!E20</f>
        <v>6003</v>
      </c>
      <c r="F18" s="16">
        <v>6.21</v>
      </c>
      <c r="G18" s="8">
        <f>HOTEL!CK20</f>
        <v>0</v>
      </c>
      <c r="H18" s="16">
        <v>57.45</v>
      </c>
      <c r="I18" s="8">
        <f>HOTEL!V20+HOTEL!Y20</f>
        <v>42</v>
      </c>
      <c r="J18" s="16">
        <f t="shared" si="1"/>
        <v>99.999272305719799</v>
      </c>
      <c r="K18" s="7">
        <f>HOTEL!EE20</f>
        <v>2</v>
      </c>
      <c r="L18" s="18"/>
      <c r="N18" s="7">
        <f>HOTEL!X28</f>
        <v>152370</v>
      </c>
      <c r="O18" s="7">
        <f t="shared" si="0"/>
        <v>380925000</v>
      </c>
      <c r="P18" s="8">
        <f>IFERROR(((((HOTEL!V20*34))+(N18*2500))/(I18+N18*25)),0)</f>
        <v>99.999272305719799</v>
      </c>
      <c r="Q18" s="7">
        <v>6.21</v>
      </c>
      <c r="R18" s="16">
        <f t="shared" si="2"/>
        <v>57.45</v>
      </c>
      <c r="S18" s="7">
        <v>33.93</v>
      </c>
      <c r="T18" s="8">
        <f t="shared" si="3"/>
        <v>0</v>
      </c>
      <c r="U18" s="8">
        <f t="shared" si="4"/>
        <v>4199.9694368402315</v>
      </c>
    </row>
    <row r="19" spans="1:21">
      <c r="A19" s="2" t="s">
        <v>19</v>
      </c>
      <c r="B19" s="7">
        <f t="shared" si="5"/>
        <v>18</v>
      </c>
      <c r="C19" s="7">
        <v>3</v>
      </c>
      <c r="D19" s="7">
        <v>2021</v>
      </c>
      <c r="E19" s="8">
        <f>HOTEL!E21</f>
        <v>5949</v>
      </c>
      <c r="F19" s="16">
        <v>6.21</v>
      </c>
      <c r="G19" s="8">
        <f>HOTEL!CK21</f>
        <v>107.75</v>
      </c>
      <c r="H19" s="16">
        <v>57.45</v>
      </c>
      <c r="I19" s="8">
        <f>HOTEL!V21+HOTEL!Y21</f>
        <v>50</v>
      </c>
      <c r="J19" s="16">
        <f t="shared" si="1"/>
        <v>99.999133699104817</v>
      </c>
      <c r="K19" s="7">
        <f>HOTEL!EE21</f>
        <v>2</v>
      </c>
      <c r="L19" s="18"/>
      <c r="N19" s="7">
        <f>HOTEL!X29</f>
        <v>152370</v>
      </c>
      <c r="O19" s="7">
        <f t="shared" si="0"/>
        <v>380925000</v>
      </c>
      <c r="P19" s="8">
        <f>IFERROR(((((HOTEL!V21*34))+(N19*2500))/(I19+N19*25)),0)</f>
        <v>99.999133699104817</v>
      </c>
      <c r="Q19" s="7">
        <v>6.21</v>
      </c>
      <c r="R19" s="16">
        <f t="shared" si="2"/>
        <v>57.45</v>
      </c>
      <c r="S19" s="7">
        <v>33.93</v>
      </c>
      <c r="T19" s="8">
        <f t="shared" si="3"/>
        <v>6190.2375000000002</v>
      </c>
      <c r="U19" s="8">
        <f t="shared" si="4"/>
        <v>4999.9566849552411</v>
      </c>
    </row>
    <row r="20" spans="1:21">
      <c r="A20" s="2" t="s">
        <v>19</v>
      </c>
      <c r="B20" s="7">
        <f t="shared" si="5"/>
        <v>19</v>
      </c>
      <c r="C20" s="7">
        <v>3</v>
      </c>
      <c r="D20" s="7">
        <v>2021</v>
      </c>
      <c r="E20" s="8">
        <f>HOTEL!E22</f>
        <v>6136</v>
      </c>
      <c r="F20" s="16">
        <v>6.21</v>
      </c>
      <c r="G20" s="8">
        <f>HOTEL!CK22</f>
        <v>0</v>
      </c>
      <c r="H20" s="16">
        <v>57.45</v>
      </c>
      <c r="I20" s="8">
        <f>HOTEL!V22+HOTEL!Y22</f>
        <v>55</v>
      </c>
      <c r="J20" s="16">
        <f t="shared" si="1"/>
        <v>99.999047070266101</v>
      </c>
      <c r="K20" s="7">
        <f>HOTEL!EE22</f>
        <v>2</v>
      </c>
      <c r="L20" s="18"/>
      <c r="N20" s="7">
        <f>HOTEL!X30</f>
        <v>152370</v>
      </c>
      <c r="O20" s="7">
        <f>N20*2500</f>
        <v>380925000</v>
      </c>
      <c r="P20" s="8">
        <f>IFERROR(((((HOTEL!V22*34))+(N20*2500))/(I20+N20*25)),0)</f>
        <v>99.999047070266101</v>
      </c>
      <c r="Q20" s="7">
        <v>6.21</v>
      </c>
      <c r="R20" s="16">
        <f t="shared" si="2"/>
        <v>57.45</v>
      </c>
      <c r="S20" s="7">
        <v>33.93</v>
      </c>
      <c r="T20" s="8">
        <f>G20*H20</f>
        <v>0</v>
      </c>
      <c r="U20" s="8">
        <f t="shared" si="4"/>
        <v>5499.9475888646357</v>
      </c>
    </row>
    <row r="21" spans="1:21">
      <c r="A21" s="2" t="s">
        <v>19</v>
      </c>
      <c r="B21" s="7">
        <f t="shared" si="5"/>
        <v>20</v>
      </c>
      <c r="C21" s="7">
        <v>3</v>
      </c>
      <c r="D21" s="7">
        <v>2021</v>
      </c>
      <c r="E21" s="8">
        <f>HOTEL!E23</f>
        <v>6331</v>
      </c>
      <c r="F21" s="16">
        <v>6.21</v>
      </c>
      <c r="G21" s="8">
        <f>HOTEL!CK23</f>
        <v>0</v>
      </c>
      <c r="H21" s="16">
        <v>57.45</v>
      </c>
      <c r="I21" s="8">
        <f>HOTEL!V23+HOTEL!Y23</f>
        <v>54</v>
      </c>
      <c r="J21" s="16">
        <f t="shared" si="1"/>
        <v>99.999064396015655</v>
      </c>
      <c r="K21" s="7">
        <f>HOTEL!EE23</f>
        <v>2</v>
      </c>
      <c r="L21" s="18"/>
      <c r="N21" s="7">
        <f>HOTEL!X31</f>
        <v>152370</v>
      </c>
      <c r="O21" s="7">
        <f>N21*2500</f>
        <v>380925000</v>
      </c>
      <c r="P21" s="8">
        <f>IFERROR(((((HOTEL!V23*34))+(N21*2500))/(I21+N21*25)),0)</f>
        <v>99.999064396015655</v>
      </c>
      <c r="Q21" s="7">
        <v>6.21</v>
      </c>
      <c r="R21" s="16">
        <f t="shared" si="2"/>
        <v>57.45</v>
      </c>
      <c r="S21" s="7">
        <v>33.93</v>
      </c>
      <c r="T21" s="8">
        <f>G21*H21</f>
        <v>0</v>
      </c>
      <c r="U21" s="8">
        <f t="shared" si="4"/>
        <v>5399.9494773848455</v>
      </c>
    </row>
    <row r="22" spans="1:21">
      <c r="A22" s="2" t="s">
        <v>19</v>
      </c>
      <c r="B22" s="7">
        <f t="shared" si="5"/>
        <v>21</v>
      </c>
      <c r="C22" s="7">
        <v>3</v>
      </c>
      <c r="D22" s="7">
        <v>2021</v>
      </c>
      <c r="E22" s="8">
        <f>HOTEL!E24</f>
        <v>6490</v>
      </c>
      <c r="F22" s="16">
        <v>6.21</v>
      </c>
      <c r="G22" s="8">
        <f>HOTEL!CK24</f>
        <v>0</v>
      </c>
      <c r="H22" s="16">
        <v>57.45</v>
      </c>
      <c r="I22" s="8">
        <f>HOTEL!V24+HOTEL!Y24</f>
        <v>48</v>
      </c>
      <c r="J22" s="16">
        <f t="shared" si="1"/>
        <v>99.999168350703982</v>
      </c>
      <c r="K22" s="7">
        <f>HOTEL!EE24</f>
        <v>2</v>
      </c>
      <c r="L22" s="18"/>
      <c r="N22" s="7">
        <f>HOTEL!X32</f>
        <v>152370</v>
      </c>
      <c r="O22" s="7">
        <f t="shared" ref="O22:O31" si="6">N22*2500</f>
        <v>380925000</v>
      </c>
      <c r="P22" s="8">
        <f>IFERROR(((((HOTEL!V24*34))+(N22*2500))/(I22+N22*25)),0)</f>
        <v>99.999168350703982</v>
      </c>
      <c r="Q22" s="7">
        <v>6.21</v>
      </c>
      <c r="R22" s="16">
        <f t="shared" si="2"/>
        <v>57.45</v>
      </c>
      <c r="S22" s="7">
        <v>33.93</v>
      </c>
      <c r="T22" s="8">
        <f t="shared" ref="T22:T31" si="7">G22*H22</f>
        <v>0</v>
      </c>
      <c r="U22" s="8">
        <f t="shared" si="4"/>
        <v>4799.9600808337909</v>
      </c>
    </row>
    <row r="23" spans="1:21">
      <c r="A23" s="2" t="s">
        <v>19</v>
      </c>
      <c r="B23" s="7">
        <f t="shared" si="5"/>
        <v>22</v>
      </c>
      <c r="C23" s="7">
        <v>3</v>
      </c>
      <c r="D23" s="7">
        <v>2021</v>
      </c>
      <c r="E23" s="8">
        <f>HOTEL!E25</f>
        <v>5970</v>
      </c>
      <c r="F23" s="16">
        <v>6.21</v>
      </c>
      <c r="G23" s="8">
        <f>HOTEL!CK25</f>
        <v>0</v>
      </c>
      <c r="H23" s="16">
        <v>57.45</v>
      </c>
      <c r="I23" s="8">
        <f>HOTEL!V25+HOTEL!Y25</f>
        <v>51</v>
      </c>
      <c r="J23" s="16">
        <f t="shared" si="1"/>
        <v>99.999116373318884</v>
      </c>
      <c r="K23" s="7">
        <f>HOTEL!EE25</f>
        <v>2</v>
      </c>
      <c r="L23" s="18"/>
      <c r="N23" s="7">
        <f>HOTEL!X33</f>
        <v>152370</v>
      </c>
      <c r="O23" s="7">
        <f t="shared" si="6"/>
        <v>380925000</v>
      </c>
      <c r="P23" s="8">
        <f>IFERROR(((((HOTEL!V25*34))+(N23*2500))/(I23+N23*25)),0)</f>
        <v>99.999116373318884</v>
      </c>
      <c r="Q23" s="7">
        <v>6.21</v>
      </c>
      <c r="R23" s="16">
        <f t="shared" si="2"/>
        <v>57.45</v>
      </c>
      <c r="S23" s="7">
        <v>33.93</v>
      </c>
      <c r="T23" s="8">
        <f t="shared" si="7"/>
        <v>0</v>
      </c>
      <c r="U23" s="8">
        <f t="shared" si="4"/>
        <v>5099.9549350392626</v>
      </c>
    </row>
    <row r="24" spans="1:21">
      <c r="A24" s="2" t="s">
        <v>19</v>
      </c>
      <c r="B24" s="7">
        <f t="shared" si="5"/>
        <v>23</v>
      </c>
      <c r="C24" s="7">
        <v>3</v>
      </c>
      <c r="D24" s="7">
        <v>2021</v>
      </c>
      <c r="E24" s="8">
        <f>HOTEL!E26</f>
        <v>5635</v>
      </c>
      <c r="F24" s="16">
        <v>6.21</v>
      </c>
      <c r="G24" s="8">
        <f>HOTEL!CK26</f>
        <v>107.75</v>
      </c>
      <c r="H24" s="16">
        <v>57.45</v>
      </c>
      <c r="I24" s="8">
        <f>HOTEL!V26+HOTEL!Y26</f>
        <v>52</v>
      </c>
      <c r="J24" s="16">
        <f t="shared" si="1"/>
        <v>34</v>
      </c>
      <c r="K24" s="7">
        <f>HOTEL!EE26</f>
        <v>2</v>
      </c>
      <c r="L24" s="18"/>
      <c r="N24" s="7">
        <f>HOTEL!X34</f>
        <v>0</v>
      </c>
      <c r="O24" s="7">
        <f t="shared" si="6"/>
        <v>0</v>
      </c>
      <c r="P24" s="8">
        <f>IFERROR(((((HOTEL!V26*34))+(N24*2500))/(I24+N24*25)),0)</f>
        <v>34</v>
      </c>
      <c r="Q24" s="7">
        <v>6.21</v>
      </c>
      <c r="R24" s="16">
        <f t="shared" si="2"/>
        <v>57.45</v>
      </c>
      <c r="S24" s="7">
        <v>33.93</v>
      </c>
      <c r="T24" s="8">
        <f t="shared" si="7"/>
        <v>6190.2375000000002</v>
      </c>
      <c r="U24" s="8">
        <f t="shared" si="4"/>
        <v>1768</v>
      </c>
    </row>
    <row r="25" spans="1:21">
      <c r="A25" s="2" t="s">
        <v>19</v>
      </c>
      <c r="B25" s="7">
        <f t="shared" si="5"/>
        <v>24</v>
      </c>
      <c r="C25" s="7">
        <v>3</v>
      </c>
      <c r="D25" s="7">
        <v>2021</v>
      </c>
      <c r="E25" s="8">
        <f>HOTEL!E27</f>
        <v>6094</v>
      </c>
      <c r="F25" s="16">
        <v>6.21</v>
      </c>
      <c r="G25" s="8">
        <f>HOTEL!CK27</f>
        <v>0</v>
      </c>
      <c r="H25" s="16">
        <v>57.45</v>
      </c>
      <c r="I25" s="8">
        <f>HOTEL!V27+HOTEL!Y27</f>
        <v>36</v>
      </c>
      <c r="J25" s="16">
        <f t="shared" si="1"/>
        <v>34</v>
      </c>
      <c r="K25" s="7">
        <f>HOTEL!EE27</f>
        <v>2</v>
      </c>
      <c r="L25" s="18"/>
      <c r="N25" s="7">
        <f>HOTEL!X35</f>
        <v>0</v>
      </c>
      <c r="O25" s="7">
        <f t="shared" si="6"/>
        <v>0</v>
      </c>
      <c r="P25" s="8">
        <f>IFERROR(((((HOTEL!V27*34))+(N25*2500))/(I25+N25*25)),0)</f>
        <v>34</v>
      </c>
      <c r="Q25" s="7">
        <v>6.21</v>
      </c>
      <c r="R25" s="16">
        <f t="shared" si="2"/>
        <v>57.45</v>
      </c>
      <c r="S25" s="7">
        <v>33.93</v>
      </c>
      <c r="T25" s="8">
        <f t="shared" si="7"/>
        <v>0</v>
      </c>
      <c r="U25" s="8">
        <f t="shared" si="4"/>
        <v>1224</v>
      </c>
    </row>
    <row r="26" spans="1:21">
      <c r="A26" s="2" t="s">
        <v>19</v>
      </c>
      <c r="B26" s="7">
        <f>B25+1</f>
        <v>25</v>
      </c>
      <c r="C26" s="7">
        <v>3</v>
      </c>
      <c r="D26" s="7">
        <v>2021</v>
      </c>
      <c r="E26" s="8">
        <f>HOTEL!E28</f>
        <v>5765</v>
      </c>
      <c r="F26" s="16">
        <v>6.21</v>
      </c>
      <c r="G26" s="8">
        <f>HOTEL!CK28</f>
        <v>0</v>
      </c>
      <c r="H26" s="16">
        <v>57.45</v>
      </c>
      <c r="I26" s="8">
        <f>HOTEL!V28+HOTEL!Y28</f>
        <v>40</v>
      </c>
      <c r="J26" s="16">
        <f t="shared" si="1"/>
        <v>34</v>
      </c>
      <c r="K26" s="7">
        <f>HOTEL!EE28</f>
        <v>2</v>
      </c>
      <c r="L26" s="18"/>
      <c r="N26" s="7">
        <f>HOTEL!X36</f>
        <v>0</v>
      </c>
      <c r="O26" s="7">
        <f t="shared" si="6"/>
        <v>0</v>
      </c>
      <c r="P26" s="8">
        <f>IFERROR(((((HOTEL!V28*34))+(N26*2500))/(I26+N26*25)),0)</f>
        <v>34</v>
      </c>
      <c r="Q26" s="7">
        <v>6.21</v>
      </c>
      <c r="R26" s="16">
        <f t="shared" si="2"/>
        <v>57.45</v>
      </c>
      <c r="S26" s="7">
        <v>33.93</v>
      </c>
      <c r="T26" s="8">
        <f t="shared" si="7"/>
        <v>0</v>
      </c>
      <c r="U26" s="8">
        <f t="shared" si="4"/>
        <v>1360</v>
      </c>
    </row>
    <row r="27" spans="1:21">
      <c r="A27" s="2" t="s">
        <v>19</v>
      </c>
      <c r="B27" s="7">
        <f t="shared" si="5"/>
        <v>26</v>
      </c>
      <c r="C27" s="7">
        <v>3</v>
      </c>
      <c r="D27" s="7">
        <v>2021</v>
      </c>
      <c r="E27" s="8">
        <f>HOTEL!E29</f>
        <v>5206</v>
      </c>
      <c r="F27" s="16">
        <v>6.21</v>
      </c>
      <c r="G27" s="8">
        <f>HOTEL!CK29</f>
        <v>107.75</v>
      </c>
      <c r="H27" s="16">
        <v>57.45</v>
      </c>
      <c r="I27" s="8">
        <f>HOTEL!V29+HOTEL!Y29</f>
        <v>52</v>
      </c>
      <c r="J27" s="16">
        <f t="shared" si="1"/>
        <v>34</v>
      </c>
      <c r="K27" s="7">
        <f>HOTEL!EE29</f>
        <v>2</v>
      </c>
      <c r="L27" s="18"/>
      <c r="N27" s="7">
        <f>HOTEL!X37</f>
        <v>0</v>
      </c>
      <c r="O27" s="7">
        <f t="shared" si="6"/>
        <v>0</v>
      </c>
      <c r="P27" s="8">
        <f>IFERROR(((((HOTEL!V29*34))+(N27*2500))/(I27+N27*25)),0)</f>
        <v>34</v>
      </c>
      <c r="Q27" s="7">
        <v>6.21</v>
      </c>
      <c r="R27" s="16">
        <f t="shared" si="2"/>
        <v>57.45</v>
      </c>
      <c r="S27" s="7">
        <v>33.93</v>
      </c>
      <c r="T27" s="8">
        <f t="shared" si="7"/>
        <v>6190.2375000000002</v>
      </c>
      <c r="U27" s="8">
        <f t="shared" si="4"/>
        <v>1768</v>
      </c>
    </row>
    <row r="28" spans="1:21">
      <c r="A28" s="2" t="s">
        <v>19</v>
      </c>
      <c r="B28" s="7">
        <f t="shared" si="5"/>
        <v>27</v>
      </c>
      <c r="C28" s="7">
        <v>3</v>
      </c>
      <c r="D28" s="7">
        <v>2021</v>
      </c>
      <c r="E28" s="8">
        <f>HOTEL!E30</f>
        <v>5408</v>
      </c>
      <c r="F28" s="16">
        <v>6.21</v>
      </c>
      <c r="G28" s="8">
        <f>HOTEL!CK30</f>
        <v>0</v>
      </c>
      <c r="H28" s="16">
        <v>57.45</v>
      </c>
      <c r="I28" s="8">
        <f>HOTEL!V30+HOTEL!Y30</f>
        <v>44</v>
      </c>
      <c r="J28" s="16">
        <f t="shared" si="1"/>
        <v>34</v>
      </c>
      <c r="K28" s="7">
        <f>HOTEL!EE30</f>
        <v>2</v>
      </c>
      <c r="L28" s="18"/>
      <c r="N28" s="7">
        <f>HOTEL!X38</f>
        <v>0</v>
      </c>
      <c r="O28" s="7">
        <f t="shared" si="6"/>
        <v>0</v>
      </c>
      <c r="P28" s="8">
        <f>IFERROR(((((HOTEL!V30*34))+(N28*2500))/(I28+N28*25)),0)</f>
        <v>34</v>
      </c>
      <c r="Q28" s="7">
        <v>6.21</v>
      </c>
      <c r="R28" s="16">
        <f t="shared" si="2"/>
        <v>57.45</v>
      </c>
      <c r="S28" s="7">
        <v>33.93</v>
      </c>
      <c r="T28" s="8">
        <f t="shared" si="7"/>
        <v>0</v>
      </c>
      <c r="U28" s="8">
        <f t="shared" si="4"/>
        <v>1496</v>
      </c>
    </row>
    <row r="29" spans="1:21">
      <c r="A29" s="2" t="s">
        <v>19</v>
      </c>
      <c r="B29" s="7">
        <f t="shared" si="5"/>
        <v>28</v>
      </c>
      <c r="C29" s="7">
        <v>3</v>
      </c>
      <c r="D29" s="7">
        <v>2021</v>
      </c>
      <c r="E29" s="8">
        <f>HOTEL!E31</f>
        <v>4925</v>
      </c>
      <c r="F29" s="16">
        <v>6.21</v>
      </c>
      <c r="G29" s="8">
        <f>HOTEL!CK31</f>
        <v>107.75</v>
      </c>
      <c r="H29" s="16">
        <v>57.45</v>
      </c>
      <c r="I29" s="8">
        <f>HOTEL!V31+HOTEL!Y31</f>
        <v>39</v>
      </c>
      <c r="J29" s="16">
        <f t="shared" si="1"/>
        <v>34</v>
      </c>
      <c r="K29" s="7">
        <f>HOTEL!EE31</f>
        <v>2</v>
      </c>
      <c r="L29" s="18"/>
      <c r="N29" s="7">
        <f>HOTEL!X39</f>
        <v>0</v>
      </c>
      <c r="O29" s="7">
        <f t="shared" si="6"/>
        <v>0</v>
      </c>
      <c r="P29" s="8">
        <f>IFERROR(((((HOTEL!V31*34))+(N29*2500))/(I29+N29*25)),0)</f>
        <v>34</v>
      </c>
      <c r="Q29" s="7">
        <v>6.21</v>
      </c>
      <c r="R29" s="16">
        <f t="shared" si="2"/>
        <v>57.45</v>
      </c>
      <c r="S29" s="7">
        <v>33.93</v>
      </c>
      <c r="T29" s="8">
        <f t="shared" si="7"/>
        <v>6190.2375000000002</v>
      </c>
      <c r="U29" s="8">
        <f t="shared" si="4"/>
        <v>1326</v>
      </c>
    </row>
    <row r="30" spans="1:21">
      <c r="A30" s="2" t="s">
        <v>19</v>
      </c>
      <c r="B30" s="7">
        <f t="shared" si="5"/>
        <v>29</v>
      </c>
      <c r="C30" s="7">
        <v>3</v>
      </c>
      <c r="D30" s="7">
        <v>2021</v>
      </c>
      <c r="E30" s="8">
        <f>HOTEL!E32</f>
        <v>4354</v>
      </c>
      <c r="F30" s="16">
        <v>6.21</v>
      </c>
      <c r="G30" s="8">
        <f>HOTEL!CK32</f>
        <v>107.75</v>
      </c>
      <c r="H30" s="16">
        <v>57.45</v>
      </c>
      <c r="I30" s="8">
        <f>HOTEL!V32+HOTEL!Y32</f>
        <v>38</v>
      </c>
      <c r="J30" s="16">
        <f t="shared" si="1"/>
        <v>34</v>
      </c>
      <c r="K30" s="7">
        <f>HOTEL!EE32</f>
        <v>2</v>
      </c>
      <c r="L30" s="18"/>
      <c r="N30" s="7">
        <f>HOTEL!X40</f>
        <v>0</v>
      </c>
      <c r="O30" s="7">
        <f t="shared" si="6"/>
        <v>0</v>
      </c>
      <c r="P30" s="8">
        <f>IFERROR(((((HOTEL!V32*34))+(N30*2500))/(I30+N30*25)),0)</f>
        <v>34</v>
      </c>
      <c r="Q30" s="7">
        <v>6.21</v>
      </c>
      <c r="R30" s="16">
        <f t="shared" si="2"/>
        <v>57.45</v>
      </c>
      <c r="T30" s="8">
        <f t="shared" si="7"/>
        <v>6190.2375000000002</v>
      </c>
      <c r="U30" s="8">
        <f t="shared" si="4"/>
        <v>1292</v>
      </c>
    </row>
    <row r="31" spans="1:21">
      <c r="A31" s="2" t="s">
        <v>19</v>
      </c>
      <c r="B31" s="7">
        <f>B30+1</f>
        <v>30</v>
      </c>
      <c r="C31" s="7">
        <v>3</v>
      </c>
      <c r="D31" s="7">
        <v>2021</v>
      </c>
      <c r="E31" s="8">
        <f>HOTEL!E33</f>
        <v>5597</v>
      </c>
      <c r="F31" s="16">
        <v>6.21</v>
      </c>
      <c r="G31" s="8">
        <f>HOTEL!CK33</f>
        <v>0</v>
      </c>
      <c r="H31" s="16">
        <v>57.45</v>
      </c>
      <c r="I31" s="8">
        <f>HOTEL!V33+HOTEL!Y33</f>
        <v>39</v>
      </c>
      <c r="J31" s="16">
        <f t="shared" si="1"/>
        <v>34</v>
      </c>
      <c r="K31" s="7">
        <f>HOTEL!EE33</f>
        <v>2</v>
      </c>
      <c r="L31" s="18"/>
      <c r="N31" s="7">
        <f>HOTEL!X41</f>
        <v>0</v>
      </c>
      <c r="O31" s="7">
        <f t="shared" si="6"/>
        <v>0</v>
      </c>
      <c r="P31" s="8">
        <f>IFERROR(((((HOTEL!V33*34))+(N31*2500))/(I31+N31*25)),0)</f>
        <v>34</v>
      </c>
      <c r="Q31" s="7">
        <v>6.21</v>
      </c>
      <c r="R31" s="16">
        <f t="shared" si="2"/>
        <v>57.45</v>
      </c>
      <c r="T31" s="8">
        <f t="shared" si="7"/>
        <v>0</v>
      </c>
      <c r="U31" s="8">
        <f t="shared" si="4"/>
        <v>1326</v>
      </c>
    </row>
    <row r="32" spans="1:21">
      <c r="A32" s="2" t="s">
        <v>19</v>
      </c>
      <c r="B32" s="7">
        <f>B31+1</f>
        <v>31</v>
      </c>
      <c r="C32" s="7">
        <v>3</v>
      </c>
      <c r="D32" s="7">
        <v>2021</v>
      </c>
      <c r="E32" s="8">
        <f>HOTEL!E34</f>
        <v>0</v>
      </c>
      <c r="F32" s="16">
        <v>6.21</v>
      </c>
      <c r="G32" s="8" t="str">
        <f>HOTEL!CK34</f>
        <v>0</v>
      </c>
      <c r="H32" s="16">
        <v>57.45</v>
      </c>
      <c r="I32" s="8">
        <f>HOTEL!V34+HOTEL!Y34</f>
        <v>0</v>
      </c>
      <c r="J32" s="16">
        <f t="shared" ref="J32" si="8">P32</f>
        <v>0</v>
      </c>
      <c r="K32" s="7">
        <f>HOTEL!EE34</f>
        <v>0</v>
      </c>
      <c r="L32" s="18"/>
      <c r="N32" s="7">
        <f>HOTEL!X42</f>
        <v>0</v>
      </c>
      <c r="O32" s="7">
        <f t="shared" ref="O32" si="9">N32*2500</f>
        <v>0</v>
      </c>
      <c r="P32" s="8">
        <f>IFERROR(((((HOTEL!V34*34))+(N32*2500))/(I32+N32*25)),0)</f>
        <v>0</v>
      </c>
      <c r="Q32" s="7">
        <v>6.21</v>
      </c>
      <c r="R32" s="16">
        <f t="shared" ref="R32" si="10">H32</f>
        <v>57.45</v>
      </c>
      <c r="T32" s="8">
        <f t="shared" ref="T32" si="11">G32*H32</f>
        <v>0</v>
      </c>
      <c r="U32" s="8">
        <f t="shared" ref="U32" si="12">I32*P32</f>
        <v>0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32"/>
  <sheetViews>
    <sheetView workbookViewId="0">
      <selection activeCell="C2" sqref="C2:D32"/>
    </sheetView>
  </sheetViews>
  <sheetFormatPr defaultRowHeight="12.75"/>
  <cols>
    <col min="1" max="1" width="22" customWidth="1"/>
    <col min="2" max="3" width="11.5703125" style="7" customWidth="1"/>
    <col min="4" max="4" width="13.42578125" style="7" customWidth="1"/>
    <col min="5" max="5" width="11.7109375" style="7" bestFit="1" customWidth="1"/>
    <col min="6" max="6" width="13.7109375" style="7" bestFit="1" customWidth="1"/>
    <col min="7" max="11" width="13.7109375" style="7" customWidth="1"/>
    <col min="12" max="20" width="9.28515625" style="7" customWidth="1"/>
    <col min="21" max="21" width="12.42578125" style="7" bestFit="1" customWidth="1"/>
    <col min="22" max="38" width="9.28515625" style="7" customWidth="1"/>
  </cols>
  <sheetData>
    <row r="1" spans="1:38" s="1" customFormat="1" ht="38.25">
      <c r="A1" s="4" t="s">
        <v>0</v>
      </c>
      <c r="B1" s="5" t="s">
        <v>1</v>
      </c>
      <c r="C1" s="10" t="s">
        <v>2</v>
      </c>
      <c r="D1" s="5" t="s">
        <v>3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  <c r="K1" s="5" t="s">
        <v>26</v>
      </c>
      <c r="L1" s="5" t="s">
        <v>27</v>
      </c>
      <c r="M1" s="5" t="s">
        <v>28</v>
      </c>
      <c r="N1" s="5" t="s">
        <v>29</v>
      </c>
      <c r="O1" s="5" t="s">
        <v>30</v>
      </c>
      <c r="P1" s="5" t="s">
        <v>31</v>
      </c>
      <c r="Q1" s="5" t="s">
        <v>32</v>
      </c>
      <c r="R1" s="5" t="s">
        <v>33</v>
      </c>
      <c r="S1" s="5" t="s">
        <v>34</v>
      </c>
      <c r="T1" s="5" t="s">
        <v>35</v>
      </c>
      <c r="U1" s="5" t="s">
        <v>36</v>
      </c>
      <c r="V1" s="5" t="s">
        <v>37</v>
      </c>
      <c r="W1" s="5" t="s">
        <v>38</v>
      </c>
      <c r="X1" s="5" t="s">
        <v>39</v>
      </c>
      <c r="Y1" s="5" t="s">
        <v>40</v>
      </c>
      <c r="Z1" s="5" t="s">
        <v>41</v>
      </c>
      <c r="AA1" s="5" t="s">
        <v>42</v>
      </c>
      <c r="AB1" s="5" t="s">
        <v>43</v>
      </c>
      <c r="AC1" s="5" t="s">
        <v>44</v>
      </c>
      <c r="AD1" s="5" t="s">
        <v>45</v>
      </c>
      <c r="AE1" s="5" t="s">
        <v>46</v>
      </c>
      <c r="AF1" s="5" t="s">
        <v>47</v>
      </c>
      <c r="AG1" s="5" t="s">
        <v>48</v>
      </c>
      <c r="AH1" s="5" t="s">
        <v>49</v>
      </c>
      <c r="AI1" s="5" t="s">
        <v>50</v>
      </c>
      <c r="AJ1" s="5" t="s">
        <v>51</v>
      </c>
      <c r="AK1" s="5" t="s">
        <v>10</v>
      </c>
      <c r="AL1" s="6"/>
    </row>
    <row r="2" spans="1:38">
      <c r="A2" s="2" t="s">
        <v>19</v>
      </c>
      <c r="B2" s="7">
        <v>1</v>
      </c>
      <c r="C2" s="7">
        <v>3</v>
      </c>
      <c r="D2" s="7">
        <v>2021</v>
      </c>
      <c r="E2" s="7">
        <f>TOTAL!E2</f>
        <v>6632</v>
      </c>
      <c r="F2" s="7">
        <f>HOTEL!R4</f>
        <v>114</v>
      </c>
      <c r="G2" s="7">
        <f>HOTEL!T4</f>
        <v>2</v>
      </c>
      <c r="H2" s="8">
        <f>HOTEL!DX4</f>
        <v>0</v>
      </c>
      <c r="I2" s="8">
        <f>HOTEL!DZ4</f>
        <v>0</v>
      </c>
      <c r="J2" s="8">
        <f>HOTEL!EB4</f>
        <v>0</v>
      </c>
      <c r="K2" s="8">
        <f>HOTEL!ED4</f>
        <v>0</v>
      </c>
      <c r="L2" s="7">
        <f t="shared" ref="L2:L7" si="0">N2+W2+X2</f>
        <v>20</v>
      </c>
      <c r="M2" s="7">
        <f>HOTEL!AE4</f>
        <v>3</v>
      </c>
      <c r="N2" s="7">
        <f>HOTEL!AI4</f>
        <v>10</v>
      </c>
      <c r="O2" s="7">
        <f>HOTEL!AM4</f>
        <v>1</v>
      </c>
      <c r="P2" s="7">
        <f>HOTEL!AO4</f>
        <v>0</v>
      </c>
      <c r="Q2" s="7">
        <f>HOTEL!AQ4</f>
        <v>0</v>
      </c>
      <c r="R2" s="7">
        <f>HOTEL!AS4</f>
        <v>0</v>
      </c>
      <c r="S2" s="7">
        <f>HOTEL!AU4</f>
        <v>0</v>
      </c>
      <c r="T2" s="7">
        <f>HOTEL!AW4</f>
        <v>0</v>
      </c>
      <c r="U2" s="7">
        <f>HOTEL!AY4</f>
        <v>0</v>
      </c>
      <c r="V2" s="7">
        <f>HOTEL!BA4</f>
        <v>0</v>
      </c>
      <c r="W2" s="7">
        <f>HOTEL!BM4</f>
        <v>10</v>
      </c>
      <c r="X2" s="7">
        <f>HOTEL!BT4</f>
        <v>0</v>
      </c>
      <c r="Y2" s="7">
        <f>HOTEL!CO4</f>
        <v>3.4159999999857971</v>
      </c>
      <c r="Z2" s="7">
        <f>HOTEL!CR3</f>
        <v>0</v>
      </c>
      <c r="AA2" s="7">
        <f>HOTEL!CU4</f>
        <v>0</v>
      </c>
      <c r="AB2" s="8">
        <f>HOTEL!CX4</f>
        <v>0</v>
      </c>
      <c r="AC2" s="7">
        <f>HOTEL!DA4</f>
        <v>0</v>
      </c>
      <c r="AD2" s="8">
        <f>HOTEL!DD4</f>
        <v>0</v>
      </c>
      <c r="AE2" s="7">
        <f>HOTEL!DG4</f>
        <v>0</v>
      </c>
      <c r="AF2" s="7">
        <f>HOTEL!DJ4</f>
        <v>0</v>
      </c>
      <c r="AG2" s="7">
        <f>HOTEL!DM4</f>
        <v>0</v>
      </c>
      <c r="AH2" s="7">
        <f>HOTEL!DP4</f>
        <v>0</v>
      </c>
      <c r="AI2" s="7">
        <f>HOTEL!DS4</f>
        <v>0</v>
      </c>
      <c r="AJ2" s="7">
        <f>HOTEL!DV4</f>
        <v>9.3209999999991311</v>
      </c>
      <c r="AK2" s="7">
        <f>TOTAL!K2</f>
        <v>3</v>
      </c>
    </row>
    <row r="3" spans="1:38">
      <c r="A3" s="2" t="s">
        <v>19</v>
      </c>
      <c r="B3" s="7">
        <f>B2+1</f>
        <v>2</v>
      </c>
      <c r="C3" s="7">
        <v>3</v>
      </c>
      <c r="D3" s="7">
        <v>2021</v>
      </c>
      <c r="E3" s="7">
        <f>TOTAL!E3</f>
        <v>7021</v>
      </c>
      <c r="F3" s="7">
        <f>HOTEL!R5</f>
        <v>27</v>
      </c>
      <c r="G3" s="7">
        <f>HOTEL!T5</f>
        <v>3</v>
      </c>
      <c r="H3" s="8">
        <f>HOTEL!DX5</f>
        <v>0</v>
      </c>
      <c r="I3" s="8">
        <f>HOTEL!DZ5</f>
        <v>0</v>
      </c>
      <c r="J3" s="8">
        <f>HOTEL!EB5</f>
        <v>0</v>
      </c>
      <c r="K3" s="8">
        <f>HOTEL!ED5</f>
        <v>0</v>
      </c>
      <c r="L3" s="7">
        <f t="shared" si="0"/>
        <v>30</v>
      </c>
      <c r="M3" s="7">
        <f>HOTEL!AE5</f>
        <v>0</v>
      </c>
      <c r="N3" s="7">
        <f>HOTEL!AI5</f>
        <v>0</v>
      </c>
      <c r="O3" s="7">
        <f>HOTEL!AM5</f>
        <v>0</v>
      </c>
      <c r="P3" s="7">
        <f>HOTEL!AO5</f>
        <v>0</v>
      </c>
      <c r="Q3" s="7">
        <f>HOTEL!AQ5</f>
        <v>0</v>
      </c>
      <c r="R3" s="7">
        <f>HOTEL!AS5</f>
        <v>0</v>
      </c>
      <c r="S3" s="7">
        <f>HOTEL!AU5</f>
        <v>0</v>
      </c>
      <c r="T3" s="7">
        <f>HOTEL!AW5</f>
        <v>0</v>
      </c>
      <c r="U3" s="7">
        <f>HOTEL!AY5</f>
        <v>0</v>
      </c>
      <c r="V3" s="7">
        <f>HOTEL!BA5</f>
        <v>0</v>
      </c>
      <c r="W3" s="7">
        <f>HOTEL!BM5</f>
        <v>30</v>
      </c>
      <c r="X3" s="7">
        <f>HOTEL!BT5</f>
        <v>0</v>
      </c>
      <c r="Y3" s="7">
        <f>HOTEL!CO5</f>
        <v>3.9040000000142028</v>
      </c>
      <c r="Z3" s="7">
        <f>HOTEL!CR4</f>
        <v>0</v>
      </c>
      <c r="AA3" s="7">
        <f>HOTEL!CU5</f>
        <v>0</v>
      </c>
      <c r="AB3" s="8">
        <f>HOTEL!CX5</f>
        <v>0</v>
      </c>
      <c r="AC3" s="7">
        <f>HOTEL!DA5</f>
        <v>2.39</v>
      </c>
      <c r="AD3" s="8">
        <f>HOTEL!DD5</f>
        <v>0</v>
      </c>
      <c r="AE3" s="7">
        <f>HOTEL!DG5</f>
        <v>0</v>
      </c>
      <c r="AF3" s="7">
        <f>HOTEL!DJ5</f>
        <v>0</v>
      </c>
      <c r="AG3" s="7">
        <f>HOTEL!DM5</f>
        <v>0</v>
      </c>
      <c r="AH3" s="7">
        <f>HOTEL!DP5</f>
        <v>0</v>
      </c>
      <c r="AI3" s="7">
        <f>HOTEL!DS5</f>
        <v>0</v>
      </c>
      <c r="AJ3" s="7">
        <f>HOTEL!DV5</f>
        <v>14.817999999999566</v>
      </c>
      <c r="AK3" s="7">
        <f>TOTAL!K3</f>
        <v>3</v>
      </c>
    </row>
    <row r="4" spans="1:38">
      <c r="A4" s="2" t="s">
        <v>19</v>
      </c>
      <c r="B4" s="7">
        <f t="shared" ref="B4:B32" si="1">B3+1</f>
        <v>3</v>
      </c>
      <c r="C4" s="7">
        <v>3</v>
      </c>
      <c r="D4" s="7">
        <v>2021</v>
      </c>
      <c r="E4" s="7">
        <f>TOTAL!E4</f>
        <v>6018</v>
      </c>
      <c r="F4" s="7">
        <f>HOTEL!R6</f>
        <v>8</v>
      </c>
      <c r="G4" s="7">
        <f>HOTEL!T6</f>
        <v>1</v>
      </c>
      <c r="H4" s="8">
        <f>HOTEL!DX6</f>
        <v>0</v>
      </c>
      <c r="I4" s="8">
        <f>HOTEL!DZ6</f>
        <v>0</v>
      </c>
      <c r="J4" s="8">
        <f>HOTEL!EB6</f>
        <v>0</v>
      </c>
      <c r="K4" s="8">
        <f>HOTEL!ED6</f>
        <v>0</v>
      </c>
      <c r="L4" s="7">
        <f t="shared" si="0"/>
        <v>20</v>
      </c>
      <c r="M4" s="7">
        <f>HOTEL!AE6</f>
        <v>0</v>
      </c>
      <c r="N4" s="7">
        <f>HOTEL!AI6</f>
        <v>0</v>
      </c>
      <c r="O4" s="7">
        <f>HOTEL!AM6</f>
        <v>0</v>
      </c>
      <c r="P4" s="7">
        <f>HOTEL!AO6</f>
        <v>0</v>
      </c>
      <c r="Q4" s="7">
        <f>HOTEL!AQ6</f>
        <v>0</v>
      </c>
      <c r="R4" s="7">
        <f>HOTEL!AS6</f>
        <v>0</v>
      </c>
      <c r="S4" s="7">
        <f>HOTEL!AU6</f>
        <v>0</v>
      </c>
      <c r="T4" s="7">
        <f>HOTEL!AW6</f>
        <v>0</v>
      </c>
      <c r="U4" s="7">
        <f>HOTEL!AY6</f>
        <v>0</v>
      </c>
      <c r="V4" s="7">
        <f>HOTEL!BA6</f>
        <v>0</v>
      </c>
      <c r="W4" s="7">
        <f>HOTEL!BM6</f>
        <v>10</v>
      </c>
      <c r="X4" s="7">
        <f>HOTEL!BT6</f>
        <v>10</v>
      </c>
      <c r="Y4" s="7">
        <f>HOTEL!CO6</f>
        <v>2.9279999999928985</v>
      </c>
      <c r="Z4" s="7">
        <f>HOTEL!CR5</f>
        <v>0</v>
      </c>
      <c r="AA4" s="7">
        <f>HOTEL!CU6</f>
        <v>0</v>
      </c>
      <c r="AB4" s="8">
        <f>HOTEL!CX6</f>
        <v>0</v>
      </c>
      <c r="AC4" s="7">
        <f>HOTEL!DA6</f>
        <v>0</v>
      </c>
      <c r="AD4" s="8">
        <f>HOTEL!DD6</f>
        <v>0</v>
      </c>
      <c r="AE4" s="7">
        <f>HOTEL!DG6</f>
        <v>0</v>
      </c>
      <c r="AF4" s="7">
        <f>HOTEL!DJ6</f>
        <v>0</v>
      </c>
      <c r="AG4" s="7">
        <f>HOTEL!DM6</f>
        <v>0</v>
      </c>
      <c r="AH4" s="7">
        <f>HOTEL!DP6</f>
        <v>0</v>
      </c>
      <c r="AI4" s="7">
        <f>HOTEL!DS6</f>
        <v>0</v>
      </c>
      <c r="AJ4" s="7">
        <f>HOTEL!DV6</f>
        <v>4.5410000000013042</v>
      </c>
      <c r="AK4" s="7">
        <f>TOTAL!K4</f>
        <v>3</v>
      </c>
    </row>
    <row r="5" spans="1:38">
      <c r="A5" s="2" t="s">
        <v>19</v>
      </c>
      <c r="B5" s="7">
        <f t="shared" si="1"/>
        <v>4</v>
      </c>
      <c r="C5" s="7">
        <v>3</v>
      </c>
      <c r="D5" s="7">
        <v>2021</v>
      </c>
      <c r="E5" s="7">
        <f>TOTAL!E5</f>
        <v>6730</v>
      </c>
      <c r="F5" s="7">
        <f>HOTEL!R7</f>
        <v>65</v>
      </c>
      <c r="G5" s="7">
        <f>HOTEL!T7</f>
        <v>2</v>
      </c>
      <c r="H5" s="8">
        <f>HOTEL!DX7</f>
        <v>0</v>
      </c>
      <c r="I5" s="8">
        <f>HOTEL!DZ7</f>
        <v>0</v>
      </c>
      <c r="J5" s="8">
        <f>HOTEL!EB7</f>
        <v>0</v>
      </c>
      <c r="K5" s="8">
        <f>HOTEL!ED7</f>
        <v>0</v>
      </c>
      <c r="L5" s="7">
        <f t="shared" si="0"/>
        <v>10</v>
      </c>
      <c r="M5" s="7">
        <f>HOTEL!AE7</f>
        <v>0</v>
      </c>
      <c r="N5" s="7">
        <f>HOTEL!AI7</f>
        <v>0</v>
      </c>
      <c r="O5" s="7">
        <f>HOTEL!AM7</f>
        <v>0</v>
      </c>
      <c r="P5" s="7">
        <f>HOTEL!AO7</f>
        <v>0</v>
      </c>
      <c r="Q5" s="7">
        <f>HOTEL!AQ7</f>
        <v>0</v>
      </c>
      <c r="R5" s="7">
        <f>HOTEL!AS7</f>
        <v>0</v>
      </c>
      <c r="S5" s="7">
        <f>HOTEL!AU7</f>
        <v>0</v>
      </c>
      <c r="T5" s="7">
        <f>HOTEL!AW7</f>
        <v>0</v>
      </c>
      <c r="U5" s="7">
        <f>HOTEL!AY7</f>
        <v>0</v>
      </c>
      <c r="V5" s="7">
        <f>HOTEL!BA7</f>
        <v>0</v>
      </c>
      <c r="W5" s="7">
        <f>HOTEL!BM7</f>
        <v>10</v>
      </c>
      <c r="X5" s="7">
        <f>HOTEL!BT7</f>
        <v>0</v>
      </c>
      <c r="Y5" s="7">
        <f>HOTEL!CO7</f>
        <v>1.9520000000071014</v>
      </c>
      <c r="Z5" s="7">
        <f>HOTEL!CR6</f>
        <v>0</v>
      </c>
      <c r="AA5" s="7">
        <f>HOTEL!CU7</f>
        <v>0</v>
      </c>
      <c r="AB5" s="8">
        <f>HOTEL!CX7</f>
        <v>0</v>
      </c>
      <c r="AC5" s="7">
        <f>HOTEL!DA7</f>
        <v>2.39</v>
      </c>
      <c r="AD5" s="8">
        <f>HOTEL!DD7</f>
        <v>0</v>
      </c>
      <c r="AE5" s="7">
        <f>HOTEL!DG7</f>
        <v>0</v>
      </c>
      <c r="AF5" s="7">
        <f>HOTEL!DJ7</f>
        <v>0</v>
      </c>
      <c r="AG5" s="7">
        <f>HOTEL!DM7</f>
        <v>0</v>
      </c>
      <c r="AH5" s="7">
        <f>HOTEL!DP7</f>
        <v>0</v>
      </c>
      <c r="AI5" s="7">
        <f>HOTEL!DS7</f>
        <v>0</v>
      </c>
      <c r="AJ5" s="7">
        <f>HOTEL!DV7</f>
        <v>9.56</v>
      </c>
      <c r="AK5" s="7">
        <f>TOTAL!K5</f>
        <v>3</v>
      </c>
    </row>
    <row r="6" spans="1:38">
      <c r="A6" s="2" t="s">
        <v>19</v>
      </c>
      <c r="B6" s="7">
        <f t="shared" si="1"/>
        <v>5</v>
      </c>
      <c r="C6" s="7">
        <v>3</v>
      </c>
      <c r="D6" s="7">
        <v>2021</v>
      </c>
      <c r="E6" s="7">
        <f>TOTAL!E6</f>
        <v>6943</v>
      </c>
      <c r="F6" s="7">
        <f>HOTEL!R8</f>
        <v>16</v>
      </c>
      <c r="G6" s="7">
        <f>HOTEL!T8</f>
        <v>5</v>
      </c>
      <c r="H6" s="8">
        <f>HOTEL!DX8</f>
        <v>0</v>
      </c>
      <c r="I6" s="8">
        <f>HOTEL!DZ8</f>
        <v>0</v>
      </c>
      <c r="J6" s="8">
        <f>HOTEL!EB8</f>
        <v>0</v>
      </c>
      <c r="K6" s="8">
        <f>HOTEL!ED8</f>
        <v>0</v>
      </c>
      <c r="L6" s="7">
        <f t="shared" si="0"/>
        <v>50</v>
      </c>
      <c r="M6" s="7">
        <f>HOTEL!AE8</f>
        <v>4</v>
      </c>
      <c r="N6" s="7">
        <f>HOTEL!AI8</f>
        <v>20</v>
      </c>
      <c r="O6" s="7">
        <f>HOTEL!AM8</f>
        <v>1</v>
      </c>
      <c r="P6" s="7">
        <f>HOTEL!AO8</f>
        <v>0</v>
      </c>
      <c r="Q6" s="7">
        <f>HOTEL!AQ8</f>
        <v>0</v>
      </c>
      <c r="R6" s="7">
        <f>HOTEL!AS8</f>
        <v>0</v>
      </c>
      <c r="S6" s="7">
        <f>HOTEL!AU8</f>
        <v>0</v>
      </c>
      <c r="T6" s="7">
        <f>HOTEL!AW8</f>
        <v>0</v>
      </c>
      <c r="U6" s="7">
        <f>HOTEL!AY8</f>
        <v>0</v>
      </c>
      <c r="V6" s="7">
        <f>HOTEL!BA8</f>
        <v>0</v>
      </c>
      <c r="W6" s="7">
        <f>HOTEL!BM8</f>
        <v>30</v>
      </c>
      <c r="X6" s="7">
        <f>HOTEL!BT8</f>
        <v>0</v>
      </c>
      <c r="Y6" s="7">
        <f>HOTEL!CO8</f>
        <v>1.4639999999964493</v>
      </c>
      <c r="Z6" s="7">
        <f>HOTEL!CR7</f>
        <v>0</v>
      </c>
      <c r="AA6" s="7">
        <f>HOTEL!CU8</f>
        <v>0</v>
      </c>
      <c r="AB6" s="8">
        <f>HOTEL!CX8</f>
        <v>0</v>
      </c>
      <c r="AC6" s="7">
        <f>HOTEL!DA8</f>
        <v>2.39</v>
      </c>
      <c r="AD6" s="8">
        <f>HOTEL!DD8</f>
        <v>0</v>
      </c>
      <c r="AE6" s="7">
        <f>HOTEL!DG8</f>
        <v>0</v>
      </c>
      <c r="AF6" s="7">
        <f>HOTEL!DJ8</f>
        <v>0</v>
      </c>
      <c r="AG6" s="7">
        <f>HOTEL!DM8</f>
        <v>0</v>
      </c>
      <c r="AH6" s="7">
        <f>HOTEL!DP8</f>
        <v>0</v>
      </c>
      <c r="AI6" s="7">
        <f>HOTEL!DS8</f>
        <v>0</v>
      </c>
      <c r="AJ6" s="7">
        <f>HOTEL!DV8</f>
        <v>14.817999999999566</v>
      </c>
      <c r="AK6" s="7">
        <f>TOTAL!K6</f>
        <v>3</v>
      </c>
    </row>
    <row r="7" spans="1:38">
      <c r="A7" s="2" t="s">
        <v>19</v>
      </c>
      <c r="B7" s="7">
        <f t="shared" si="1"/>
        <v>6</v>
      </c>
      <c r="C7" s="7">
        <v>3</v>
      </c>
      <c r="D7" s="7">
        <v>2021</v>
      </c>
      <c r="E7" s="7">
        <f>TOTAL!E7</f>
        <v>7301</v>
      </c>
      <c r="F7" s="7">
        <f>HOTEL!R9</f>
        <v>7</v>
      </c>
      <c r="G7" s="7">
        <f>HOTEL!T9</f>
        <v>1</v>
      </c>
      <c r="H7" s="8">
        <f>HOTEL!DX9</f>
        <v>0</v>
      </c>
      <c r="I7" s="8">
        <f>HOTEL!DZ9</f>
        <v>0</v>
      </c>
      <c r="J7" s="8">
        <f>HOTEL!EB9</f>
        <v>0</v>
      </c>
      <c r="K7" s="8">
        <f>HOTEL!ED9</f>
        <v>0</v>
      </c>
      <c r="L7" s="7">
        <f t="shared" si="0"/>
        <v>20</v>
      </c>
      <c r="M7" s="7">
        <f>HOTEL!AE9</f>
        <v>0</v>
      </c>
      <c r="N7" s="7">
        <f>HOTEL!AI9</f>
        <v>0</v>
      </c>
      <c r="O7" s="7">
        <f>HOTEL!AM9</f>
        <v>0</v>
      </c>
      <c r="P7" s="7">
        <f>HOTEL!AO9</f>
        <v>0</v>
      </c>
      <c r="Q7" s="7">
        <f>HOTEL!AQ9</f>
        <v>0</v>
      </c>
      <c r="R7" s="7">
        <f>HOTEL!AS9</f>
        <v>0</v>
      </c>
      <c r="S7" s="7">
        <f>HOTEL!AU9</f>
        <v>0</v>
      </c>
      <c r="T7" s="7">
        <f>HOTEL!AW9</f>
        <v>0</v>
      </c>
      <c r="U7" s="7">
        <f>HOTEL!AY9</f>
        <v>0</v>
      </c>
      <c r="V7" s="7">
        <f>HOTEL!BA9</f>
        <v>0</v>
      </c>
      <c r="W7" s="7">
        <f>HOTEL!BM9</f>
        <v>10</v>
      </c>
      <c r="X7" s="7">
        <f>HOTEL!BT9</f>
        <v>10</v>
      </c>
      <c r="Y7" s="7">
        <f>HOTEL!CO9</f>
        <v>4.1479999999928987</v>
      </c>
      <c r="Z7" s="7">
        <f>HOTEL!CR8</f>
        <v>0</v>
      </c>
      <c r="AA7" s="7">
        <f>HOTEL!CU9</f>
        <v>0</v>
      </c>
      <c r="AB7" s="8">
        <f>HOTEL!CX9</f>
        <v>0</v>
      </c>
      <c r="AC7" s="7">
        <f>HOTEL!DA9</f>
        <v>0</v>
      </c>
      <c r="AD7" s="8">
        <f>HOTEL!DD9</f>
        <v>0</v>
      </c>
      <c r="AE7" s="7">
        <f>HOTEL!DG9</f>
        <v>0</v>
      </c>
      <c r="AF7" s="7">
        <f>HOTEL!DJ9</f>
        <v>0</v>
      </c>
      <c r="AG7" s="7">
        <f>HOTEL!DM9</f>
        <v>0</v>
      </c>
      <c r="AH7" s="7">
        <f>HOTEL!DP9</f>
        <v>0</v>
      </c>
      <c r="AI7" s="7">
        <f>HOTEL!DS9</f>
        <v>0</v>
      </c>
      <c r="AJ7" s="7">
        <f>HOTEL!DV9</f>
        <v>4.0629999999995654</v>
      </c>
      <c r="AK7" s="7">
        <f>TOTAL!K7</f>
        <v>2</v>
      </c>
    </row>
    <row r="8" spans="1:38">
      <c r="A8" s="2" t="s">
        <v>19</v>
      </c>
      <c r="B8" s="7">
        <f t="shared" si="1"/>
        <v>7</v>
      </c>
      <c r="C8" s="7">
        <v>3</v>
      </c>
      <c r="D8" s="7">
        <v>2021</v>
      </c>
      <c r="E8" s="7">
        <f>TOTAL!E8</f>
        <v>6686</v>
      </c>
      <c r="F8" s="7">
        <f>HOTEL!R10</f>
        <v>27</v>
      </c>
      <c r="G8" s="7">
        <f>HOTEL!T10</f>
        <v>5</v>
      </c>
      <c r="H8" s="8">
        <f>HOTEL!DX10</f>
        <v>0</v>
      </c>
      <c r="I8" s="8">
        <f>HOTEL!DZ10</f>
        <v>0</v>
      </c>
      <c r="J8" s="8">
        <f>HOTEL!EB10</f>
        <v>0</v>
      </c>
      <c r="K8" s="8">
        <f>HOTEL!ED10</f>
        <v>0</v>
      </c>
      <c r="L8" s="7">
        <f>N8+W8+X8</f>
        <v>20</v>
      </c>
      <c r="M8" s="7">
        <f>HOTEL!AE10</f>
        <v>0</v>
      </c>
      <c r="N8" s="7">
        <f>HOTEL!AI10</f>
        <v>0</v>
      </c>
      <c r="O8" s="7">
        <f>HOTEL!AM10</f>
        <v>0</v>
      </c>
      <c r="P8" s="7">
        <f>HOTEL!AO10</f>
        <v>0</v>
      </c>
      <c r="Q8" s="7">
        <f>HOTEL!AQ10</f>
        <v>0</v>
      </c>
      <c r="R8" s="7">
        <f>HOTEL!AS10</f>
        <v>0</v>
      </c>
      <c r="S8" s="7">
        <f>HOTEL!AU10</f>
        <v>0</v>
      </c>
      <c r="T8" s="7">
        <f>HOTEL!AW10</f>
        <v>0</v>
      </c>
      <c r="U8" s="7">
        <f>HOTEL!AY10</f>
        <v>0</v>
      </c>
      <c r="V8" s="7">
        <f>HOTEL!BA10</f>
        <v>0</v>
      </c>
      <c r="W8" s="7">
        <f>HOTEL!BM10</f>
        <v>20</v>
      </c>
      <c r="X8" s="7">
        <f>HOTEL!BT10</f>
        <v>0</v>
      </c>
      <c r="Y8" s="7">
        <f>HOTEL!CO10</f>
        <v>2.1960000000035507</v>
      </c>
      <c r="Z8" s="7">
        <f>HOTEL!CR9</f>
        <v>0</v>
      </c>
      <c r="AA8" s="7">
        <f>HOTEL!CU10</f>
        <v>0</v>
      </c>
      <c r="AB8" s="8">
        <f>HOTEL!CX10</f>
        <v>0</v>
      </c>
      <c r="AC8" s="7">
        <f>HOTEL!DA10</f>
        <v>0</v>
      </c>
      <c r="AD8" s="8">
        <f>HOTEL!DD10</f>
        <v>0</v>
      </c>
      <c r="AE8" s="7">
        <f>HOTEL!DG10</f>
        <v>0</v>
      </c>
      <c r="AF8" s="7">
        <f>HOTEL!DJ10</f>
        <v>0</v>
      </c>
      <c r="AG8" s="7">
        <f>HOTEL!DM10</f>
        <v>0</v>
      </c>
      <c r="AH8" s="7">
        <f>HOTEL!DP10</f>
        <v>0</v>
      </c>
      <c r="AI8" s="7">
        <f>HOTEL!DS10</f>
        <v>0</v>
      </c>
      <c r="AJ8" s="7">
        <f>HOTEL!DV10</f>
        <v>7.8870000000004348</v>
      </c>
      <c r="AK8" s="7">
        <f>TOTAL!K8</f>
        <v>2</v>
      </c>
    </row>
    <row r="9" spans="1:38">
      <c r="A9" s="2" t="s">
        <v>19</v>
      </c>
      <c r="B9" s="7">
        <f t="shared" si="1"/>
        <v>8</v>
      </c>
      <c r="C9" s="7">
        <v>3</v>
      </c>
      <c r="D9" s="7">
        <v>2021</v>
      </c>
      <c r="E9" s="7">
        <f>TOTAL!E9</f>
        <v>7066</v>
      </c>
      <c r="F9" s="7">
        <f>HOTEL!R11</f>
        <v>0</v>
      </c>
      <c r="G9" s="7">
        <f>HOTEL!T11</f>
        <v>3</v>
      </c>
      <c r="H9" s="8">
        <f>HOTEL!DX11</f>
        <v>0</v>
      </c>
      <c r="I9" s="8">
        <f>HOTEL!DZ11</f>
        <v>0</v>
      </c>
      <c r="J9" s="8">
        <f>HOTEL!EB11</f>
        <v>0</v>
      </c>
      <c r="K9" s="8">
        <f>HOTEL!ED11</f>
        <v>0</v>
      </c>
      <c r="L9" s="7">
        <f>N9+W9+X9</f>
        <v>60</v>
      </c>
      <c r="M9" s="7">
        <f>HOTEL!AE11</f>
        <v>0</v>
      </c>
      <c r="N9" s="7">
        <f>HOTEL!AI11</f>
        <v>0</v>
      </c>
      <c r="O9" s="7">
        <f>HOTEL!AM11</f>
        <v>0</v>
      </c>
      <c r="P9" s="7">
        <f>HOTEL!AO11</f>
        <v>0</v>
      </c>
      <c r="Q9" s="7">
        <f>HOTEL!AQ11</f>
        <v>0</v>
      </c>
      <c r="R9" s="7">
        <f>HOTEL!AS11</f>
        <v>0</v>
      </c>
      <c r="S9" s="7">
        <f>HOTEL!AU11</f>
        <v>0</v>
      </c>
      <c r="T9" s="7">
        <f>HOTEL!AW11</f>
        <v>0</v>
      </c>
      <c r="U9" s="7">
        <f>HOTEL!AY11</f>
        <v>0</v>
      </c>
      <c r="V9" s="7">
        <f>HOTEL!BA11</f>
        <v>1</v>
      </c>
      <c r="W9" s="7">
        <f>HOTEL!BM11</f>
        <v>20</v>
      </c>
      <c r="X9" s="7">
        <f>HOTEL!BT11</f>
        <v>40</v>
      </c>
      <c r="Y9" s="7">
        <f>HOTEL!CO11</f>
        <v>2.44</v>
      </c>
      <c r="Z9" s="7">
        <f>HOTEL!CR10</f>
        <v>0</v>
      </c>
      <c r="AA9" s="7">
        <f>HOTEL!CU11</f>
        <v>0</v>
      </c>
      <c r="AB9" s="8">
        <f>HOTEL!CX11</f>
        <v>0</v>
      </c>
      <c r="AC9" s="7">
        <f>HOTEL!DA11</f>
        <v>2.39</v>
      </c>
      <c r="AD9" s="8">
        <f>HOTEL!DD11</f>
        <v>0</v>
      </c>
      <c r="AE9" s="7">
        <f>HOTEL!DG11</f>
        <v>0</v>
      </c>
      <c r="AF9" s="7">
        <f>HOTEL!DJ11</f>
        <v>0</v>
      </c>
      <c r="AG9" s="7">
        <f>HOTEL!DM11</f>
        <v>0</v>
      </c>
      <c r="AH9" s="7">
        <f>HOTEL!DP11</f>
        <v>0</v>
      </c>
      <c r="AI9" s="7">
        <f>HOTEL!DS11</f>
        <v>0</v>
      </c>
      <c r="AJ9" s="7">
        <f>HOTEL!DV11</f>
        <v>14.34</v>
      </c>
      <c r="AK9" s="7">
        <f>TOTAL!K9</f>
        <v>2</v>
      </c>
    </row>
    <row r="10" spans="1:38">
      <c r="A10" s="2" t="s">
        <v>19</v>
      </c>
      <c r="B10" s="7">
        <f t="shared" si="1"/>
        <v>9</v>
      </c>
      <c r="C10" s="7">
        <v>3</v>
      </c>
      <c r="D10" s="7">
        <v>2021</v>
      </c>
      <c r="E10" s="7">
        <f>TOTAL!E10</f>
        <v>6838</v>
      </c>
      <c r="F10" s="7">
        <f>HOTEL!R12</f>
        <v>35</v>
      </c>
      <c r="G10" s="7">
        <f>HOTEL!T12</f>
        <v>2</v>
      </c>
      <c r="H10" s="8">
        <f>HOTEL!DX12</f>
        <v>0</v>
      </c>
      <c r="I10" s="8">
        <f>HOTEL!DZ12</f>
        <v>0</v>
      </c>
      <c r="J10" s="8">
        <f>HOTEL!EB12</f>
        <v>0</v>
      </c>
      <c r="K10" s="8">
        <f>HOTEL!ED12</f>
        <v>0</v>
      </c>
      <c r="L10" s="7">
        <f>N10+W10+X10</f>
        <v>60</v>
      </c>
      <c r="M10" s="7">
        <f>HOTEL!AE12</f>
        <v>15</v>
      </c>
      <c r="N10" s="7">
        <f>HOTEL!AI12</f>
        <v>30</v>
      </c>
      <c r="O10" s="7">
        <f>HOTEL!AM12</f>
        <v>1</v>
      </c>
      <c r="P10" s="7">
        <f>HOTEL!AO12</f>
        <v>0</v>
      </c>
      <c r="Q10" s="7">
        <f>HOTEL!AQ12</f>
        <v>0</v>
      </c>
      <c r="R10" s="7">
        <f>HOTEL!AS12</f>
        <v>1</v>
      </c>
      <c r="S10" s="7">
        <f>HOTEL!AU12</f>
        <v>0</v>
      </c>
      <c r="T10" s="7">
        <f>HOTEL!AW12</f>
        <v>0</v>
      </c>
      <c r="U10" s="7">
        <f>HOTEL!AY12</f>
        <v>0</v>
      </c>
      <c r="V10" s="7">
        <f>HOTEL!BA12</f>
        <v>0</v>
      </c>
      <c r="W10" s="7">
        <f>HOTEL!BM12</f>
        <v>20</v>
      </c>
      <c r="X10" s="7">
        <f>HOTEL!BT12</f>
        <v>10</v>
      </c>
      <c r="Y10" s="7">
        <f>HOTEL!CO12</f>
        <v>3.4160000000035504</v>
      </c>
      <c r="Z10" s="7">
        <f>HOTEL!CR11</f>
        <v>0</v>
      </c>
      <c r="AA10" s="7">
        <f>HOTEL!CU12</f>
        <v>0</v>
      </c>
      <c r="AB10" s="8">
        <f>HOTEL!CX12</f>
        <v>0</v>
      </c>
      <c r="AC10" s="7">
        <f>HOTEL!DA12</f>
        <v>2.39</v>
      </c>
      <c r="AD10" s="8">
        <f>HOTEL!DD12</f>
        <v>0</v>
      </c>
      <c r="AE10" s="7">
        <f>HOTEL!DG12</f>
        <v>0</v>
      </c>
      <c r="AF10" s="7">
        <f>HOTEL!DJ12</f>
        <v>0</v>
      </c>
      <c r="AG10" s="7">
        <f>HOTEL!DM12</f>
        <v>0</v>
      </c>
      <c r="AH10" s="7">
        <f>HOTEL!DP12</f>
        <v>0</v>
      </c>
      <c r="AI10" s="7">
        <f>HOTEL!DS12</f>
        <v>0</v>
      </c>
      <c r="AJ10" s="7">
        <f>HOTEL!DV12</f>
        <v>6.452999999999566</v>
      </c>
      <c r="AK10" s="7">
        <f>TOTAL!K10</f>
        <v>2</v>
      </c>
    </row>
    <row r="11" spans="1:38">
      <c r="A11" s="2" t="s">
        <v>19</v>
      </c>
      <c r="B11" s="7">
        <f t="shared" si="1"/>
        <v>10</v>
      </c>
      <c r="C11" s="7">
        <v>3</v>
      </c>
      <c r="D11" s="7">
        <v>2021</v>
      </c>
      <c r="E11" s="7">
        <f>TOTAL!E11</f>
        <v>5970</v>
      </c>
      <c r="F11" s="7">
        <f>HOTEL!R13</f>
        <v>24</v>
      </c>
      <c r="G11" s="7">
        <f>HOTEL!T13</f>
        <v>2</v>
      </c>
      <c r="H11" s="8">
        <f>HOTEL!DX13</f>
        <v>0</v>
      </c>
      <c r="I11" s="8">
        <f>HOTEL!DZ13</f>
        <v>0</v>
      </c>
      <c r="J11" s="8">
        <f>HOTEL!EB13</f>
        <v>0</v>
      </c>
      <c r="K11" s="8">
        <f>HOTEL!ED13</f>
        <v>0</v>
      </c>
      <c r="L11" s="7">
        <f t="shared" ref="L11:L31" si="2">N11+W11+X11</f>
        <v>10</v>
      </c>
      <c r="M11" s="7">
        <f>HOTEL!AE13</f>
        <v>0</v>
      </c>
      <c r="N11" s="7">
        <f>HOTEL!AI13</f>
        <v>0</v>
      </c>
      <c r="O11" s="7">
        <f>HOTEL!AM13</f>
        <v>0</v>
      </c>
      <c r="P11" s="7">
        <f>HOTEL!AO13</f>
        <v>0</v>
      </c>
      <c r="Q11" s="7">
        <f>HOTEL!AQ13</f>
        <v>0</v>
      </c>
      <c r="R11" s="7">
        <f>HOTEL!AS13</f>
        <v>0</v>
      </c>
      <c r="S11" s="7">
        <f>HOTEL!AU13</f>
        <v>0</v>
      </c>
      <c r="T11" s="7">
        <f>HOTEL!AW13</f>
        <v>0</v>
      </c>
      <c r="U11" s="7">
        <f>HOTEL!AY13</f>
        <v>0</v>
      </c>
      <c r="V11" s="7">
        <f>HOTEL!BA13</f>
        <v>0</v>
      </c>
      <c r="W11" s="7">
        <f>HOTEL!BM13</f>
        <v>10</v>
      </c>
      <c r="X11" s="7">
        <f>HOTEL!BT13</f>
        <v>0</v>
      </c>
      <c r="Y11" s="7">
        <f>HOTEL!CO13</f>
        <v>2.44</v>
      </c>
      <c r="Z11" s="7">
        <f>HOTEL!CR12</f>
        <v>0</v>
      </c>
      <c r="AA11" s="7">
        <f>HOTEL!CU13</f>
        <v>0</v>
      </c>
      <c r="AB11" s="8">
        <f>HOTEL!CX13</f>
        <v>0</v>
      </c>
      <c r="AC11" s="7">
        <f>HOTEL!DA13</f>
        <v>0</v>
      </c>
      <c r="AD11" s="8">
        <f>HOTEL!DD13</f>
        <v>0</v>
      </c>
      <c r="AE11" s="7">
        <f>HOTEL!DG13</f>
        <v>0</v>
      </c>
      <c r="AF11" s="7">
        <f>HOTEL!DJ13</f>
        <v>0</v>
      </c>
      <c r="AG11" s="7">
        <f>HOTEL!DM13</f>
        <v>0</v>
      </c>
      <c r="AH11" s="7">
        <f>HOTEL!DP13</f>
        <v>0</v>
      </c>
      <c r="AI11" s="7">
        <f>HOTEL!DS13</f>
        <v>0</v>
      </c>
      <c r="AJ11" s="7">
        <f>HOTEL!DV13</f>
        <v>9.3210000000013054</v>
      </c>
      <c r="AK11" s="7">
        <f>TOTAL!K11</f>
        <v>2</v>
      </c>
    </row>
    <row r="12" spans="1:38">
      <c r="A12" s="2" t="s">
        <v>19</v>
      </c>
      <c r="B12" s="7">
        <f t="shared" si="1"/>
        <v>11</v>
      </c>
      <c r="C12" s="7">
        <v>3</v>
      </c>
      <c r="D12" s="7">
        <v>2021</v>
      </c>
      <c r="E12" s="7">
        <f>TOTAL!E12</f>
        <v>6062</v>
      </c>
      <c r="F12" s="7">
        <f>HOTEL!R14</f>
        <v>17</v>
      </c>
      <c r="G12" s="7">
        <f>HOTEL!T14</f>
        <v>2</v>
      </c>
      <c r="H12" s="8">
        <f>HOTEL!DX14</f>
        <v>0</v>
      </c>
      <c r="I12" s="8">
        <f>HOTEL!DZ14</f>
        <v>0</v>
      </c>
      <c r="J12" s="8">
        <f>HOTEL!EB14</f>
        <v>0</v>
      </c>
      <c r="K12" s="8">
        <f>HOTEL!ED14</f>
        <v>0</v>
      </c>
      <c r="L12" s="7">
        <f t="shared" si="2"/>
        <v>30</v>
      </c>
      <c r="M12" s="7">
        <f>HOTEL!AE14</f>
        <v>1</v>
      </c>
      <c r="N12" s="7">
        <f>HOTEL!AI14</f>
        <v>0</v>
      </c>
      <c r="O12" s="7">
        <f>HOTEL!AM14</f>
        <v>0</v>
      </c>
      <c r="P12" s="7">
        <f>HOTEL!AO14</f>
        <v>0</v>
      </c>
      <c r="Q12" s="7">
        <f>HOTEL!AQ14</f>
        <v>0</v>
      </c>
      <c r="R12" s="7">
        <f>HOTEL!AS14</f>
        <v>0</v>
      </c>
      <c r="S12" s="7">
        <f>HOTEL!AU14</f>
        <v>0</v>
      </c>
      <c r="T12" s="7">
        <f>HOTEL!AW14</f>
        <v>0</v>
      </c>
      <c r="U12" s="7">
        <f>HOTEL!AY14</f>
        <v>0</v>
      </c>
      <c r="V12" s="7">
        <f>HOTEL!BA14</f>
        <v>0</v>
      </c>
      <c r="W12" s="7">
        <f>HOTEL!BM14</f>
        <v>20</v>
      </c>
      <c r="X12" s="7">
        <f>HOTEL!BT14</f>
        <v>10</v>
      </c>
      <c r="Y12" s="7">
        <f>HOTEL!CO14</f>
        <v>2.1960000000035507</v>
      </c>
      <c r="Z12" s="7">
        <f>HOTEL!CR13</f>
        <v>0</v>
      </c>
      <c r="AA12" s="7">
        <f>HOTEL!CU14</f>
        <v>0</v>
      </c>
      <c r="AB12" s="8">
        <f>HOTEL!CX14</f>
        <v>0</v>
      </c>
      <c r="AC12" s="7">
        <f>HOTEL!DA14</f>
        <v>3.8240000000008698</v>
      </c>
      <c r="AD12" s="8">
        <f>HOTEL!DD14</f>
        <v>0</v>
      </c>
      <c r="AE12" s="7">
        <f>HOTEL!DG14</f>
        <v>0</v>
      </c>
      <c r="AF12" s="7">
        <f>HOTEL!DJ14</f>
        <v>0</v>
      </c>
      <c r="AG12" s="7">
        <f>HOTEL!DM14</f>
        <v>0</v>
      </c>
      <c r="AH12" s="7">
        <f>HOTEL!DP14</f>
        <v>0</v>
      </c>
      <c r="AI12" s="7">
        <f>HOTEL!DS14</f>
        <v>0</v>
      </c>
      <c r="AJ12" s="7">
        <f>HOTEL!DV14</f>
        <v>10.037999999999565</v>
      </c>
      <c r="AK12" s="7">
        <f>TOTAL!K12</f>
        <v>2</v>
      </c>
    </row>
    <row r="13" spans="1:38">
      <c r="A13" s="2" t="s">
        <v>19</v>
      </c>
      <c r="B13" s="7">
        <f t="shared" si="1"/>
        <v>12</v>
      </c>
      <c r="C13" s="7">
        <v>3</v>
      </c>
      <c r="D13" s="7">
        <v>2021</v>
      </c>
      <c r="E13" s="7">
        <f>TOTAL!E13</f>
        <v>6128</v>
      </c>
      <c r="F13" s="7">
        <f>HOTEL!R15</f>
        <v>57</v>
      </c>
      <c r="G13" s="7">
        <f>HOTEL!T15</f>
        <v>2</v>
      </c>
      <c r="H13" s="8">
        <f>HOTEL!DX15</f>
        <v>0</v>
      </c>
      <c r="I13" s="8">
        <f>HOTEL!DZ15</f>
        <v>0</v>
      </c>
      <c r="J13" s="8">
        <f>HOTEL!EB15</f>
        <v>0</v>
      </c>
      <c r="K13" s="8">
        <f>HOTEL!ED15</f>
        <v>0</v>
      </c>
      <c r="L13" s="7">
        <f t="shared" si="2"/>
        <v>80</v>
      </c>
      <c r="M13" s="7">
        <f>HOTEL!AE15</f>
        <v>0</v>
      </c>
      <c r="N13" s="7">
        <f>HOTEL!AI15</f>
        <v>0</v>
      </c>
      <c r="O13" s="7">
        <f>HOTEL!AM15</f>
        <v>1</v>
      </c>
      <c r="P13" s="7">
        <f>HOTEL!AO15</f>
        <v>0</v>
      </c>
      <c r="Q13" s="7">
        <f>HOTEL!AQ15</f>
        <v>0</v>
      </c>
      <c r="R13" s="7">
        <f>HOTEL!AS15</f>
        <v>0</v>
      </c>
      <c r="S13" s="7">
        <f>HOTEL!AU15</f>
        <v>0</v>
      </c>
      <c r="T13" s="7">
        <f>HOTEL!AW15</f>
        <v>0</v>
      </c>
      <c r="U13" s="7">
        <f>HOTEL!AY15</f>
        <v>0</v>
      </c>
      <c r="V13" s="7">
        <f>HOTEL!BA15</f>
        <v>0</v>
      </c>
      <c r="W13" s="7">
        <f>HOTEL!BM15</f>
        <v>20</v>
      </c>
      <c r="X13" s="7">
        <f>HOTEL!BT15</f>
        <v>60</v>
      </c>
      <c r="Y13" s="7">
        <f>HOTEL!CO15</f>
        <v>1.7079999999928985</v>
      </c>
      <c r="Z13" s="7">
        <f>HOTEL!CR14</f>
        <v>0</v>
      </c>
      <c r="AA13" s="7">
        <f>HOTEL!CU15</f>
        <v>0</v>
      </c>
      <c r="AB13" s="8">
        <f>HOTEL!CX15</f>
        <v>0</v>
      </c>
      <c r="AC13" s="7">
        <f>HOTEL!DA15</f>
        <v>0.95599999999913055</v>
      </c>
      <c r="AD13" s="8">
        <f>HOTEL!DD15</f>
        <v>0</v>
      </c>
      <c r="AE13" s="7">
        <f>HOTEL!DG15</f>
        <v>0</v>
      </c>
      <c r="AF13" s="7">
        <f>HOTEL!DJ15</f>
        <v>0</v>
      </c>
      <c r="AG13" s="7">
        <f>HOTEL!DM15</f>
        <v>0</v>
      </c>
      <c r="AH13" s="7">
        <f>HOTEL!DP15</f>
        <v>0</v>
      </c>
      <c r="AI13" s="7">
        <f>HOTEL!DS15</f>
        <v>0</v>
      </c>
      <c r="AJ13" s="7">
        <f>HOTEL!DV15</f>
        <v>14.817999999999566</v>
      </c>
      <c r="AK13" s="7">
        <f>TOTAL!K13</f>
        <v>2</v>
      </c>
    </row>
    <row r="14" spans="1:38">
      <c r="A14" s="2" t="s">
        <v>19</v>
      </c>
      <c r="B14" s="7">
        <f t="shared" si="1"/>
        <v>13</v>
      </c>
      <c r="C14" s="7">
        <v>3</v>
      </c>
      <c r="D14" s="7">
        <v>2021</v>
      </c>
      <c r="E14" s="7">
        <f>TOTAL!E14</f>
        <v>5925</v>
      </c>
      <c r="F14" s="7">
        <f>HOTEL!R16</f>
        <v>7</v>
      </c>
      <c r="G14" s="7">
        <f>HOTEL!T16</f>
        <v>0</v>
      </c>
      <c r="H14" s="8">
        <f>HOTEL!DX16</f>
        <v>0</v>
      </c>
      <c r="I14" s="8">
        <f>HOTEL!DZ16</f>
        <v>0</v>
      </c>
      <c r="J14" s="8">
        <f>HOTEL!EB16</f>
        <v>0</v>
      </c>
      <c r="K14" s="8">
        <f>HOTEL!ED16</f>
        <v>0</v>
      </c>
      <c r="L14" s="7">
        <f t="shared" si="2"/>
        <v>40</v>
      </c>
      <c r="M14" s="7">
        <f>HOTEL!AE16</f>
        <v>0</v>
      </c>
      <c r="N14" s="7">
        <f>HOTEL!AI16</f>
        <v>0</v>
      </c>
      <c r="O14" s="7">
        <f>HOTEL!AM16</f>
        <v>0</v>
      </c>
      <c r="P14" s="7">
        <f>HOTEL!AO16</f>
        <v>0</v>
      </c>
      <c r="Q14" s="7">
        <f>HOTEL!AQ16</f>
        <v>0</v>
      </c>
      <c r="R14" s="7">
        <f>HOTEL!AS16</f>
        <v>0</v>
      </c>
      <c r="S14" s="7">
        <f>HOTEL!AU16</f>
        <v>0</v>
      </c>
      <c r="T14" s="7">
        <f>HOTEL!AW16</f>
        <v>0</v>
      </c>
      <c r="U14" s="7">
        <f>HOTEL!AY16</f>
        <v>0</v>
      </c>
      <c r="V14" s="7">
        <f>HOTEL!BA16</f>
        <v>0</v>
      </c>
      <c r="W14" s="7">
        <f>HOTEL!BM16</f>
        <v>10</v>
      </c>
      <c r="X14" s="7">
        <f>HOTEL!BT16</f>
        <v>30</v>
      </c>
      <c r="Y14" s="7">
        <f>HOTEL!CO16</f>
        <v>3.66</v>
      </c>
      <c r="Z14" s="7">
        <f>HOTEL!CR15</f>
        <v>0</v>
      </c>
      <c r="AA14" s="7">
        <f>HOTEL!CU16</f>
        <v>0</v>
      </c>
      <c r="AB14" s="8">
        <f>HOTEL!CX16</f>
        <v>0</v>
      </c>
      <c r="AC14" s="7">
        <f>HOTEL!DA16</f>
        <v>2.8679999999995656</v>
      </c>
      <c r="AD14" s="8">
        <f>HOTEL!DD16</f>
        <v>0</v>
      </c>
      <c r="AE14" s="7">
        <f>HOTEL!DG16</f>
        <v>0</v>
      </c>
      <c r="AF14" s="7">
        <f>HOTEL!DJ16</f>
        <v>0</v>
      </c>
      <c r="AG14" s="7">
        <f>HOTEL!DM16</f>
        <v>0</v>
      </c>
      <c r="AH14" s="7">
        <f>HOTEL!DP16</f>
        <v>0</v>
      </c>
      <c r="AI14" s="7">
        <f>HOTEL!DS16</f>
        <v>0</v>
      </c>
      <c r="AJ14" s="7">
        <f>HOTEL!DV16</f>
        <v>4.5409999999991308</v>
      </c>
      <c r="AK14" s="7">
        <f>TOTAL!K14</f>
        <v>2</v>
      </c>
    </row>
    <row r="15" spans="1:38">
      <c r="A15" s="2" t="s">
        <v>19</v>
      </c>
      <c r="B15" s="7">
        <f t="shared" si="1"/>
        <v>14</v>
      </c>
      <c r="C15" s="7">
        <v>3</v>
      </c>
      <c r="D15" s="7">
        <v>2021</v>
      </c>
      <c r="E15" s="8">
        <f>TOTAL!E15</f>
        <v>6374</v>
      </c>
      <c r="F15" s="7">
        <f>HOTEL!R17</f>
        <v>25</v>
      </c>
      <c r="G15" s="7">
        <f>HOTEL!T17</f>
        <v>13</v>
      </c>
      <c r="H15" s="8">
        <f>HOTEL!DX17</f>
        <v>0</v>
      </c>
      <c r="I15" s="8">
        <f>HOTEL!DZ17</f>
        <v>0</v>
      </c>
      <c r="J15" s="8">
        <f>HOTEL!EB17</f>
        <v>0</v>
      </c>
      <c r="K15" s="8">
        <f>HOTEL!ED17</f>
        <v>0</v>
      </c>
      <c r="L15" s="7">
        <f t="shared" si="2"/>
        <v>80</v>
      </c>
      <c r="M15" s="7">
        <f>HOTEL!AE17</f>
        <v>0</v>
      </c>
      <c r="N15" s="7">
        <f>HOTEL!AI17</f>
        <v>10</v>
      </c>
      <c r="O15" s="7">
        <f>HOTEL!AM17</f>
        <v>1</v>
      </c>
      <c r="P15" s="7">
        <f>HOTEL!AO17</f>
        <v>0</v>
      </c>
      <c r="Q15" s="7">
        <f>HOTEL!AQ17</f>
        <v>0</v>
      </c>
      <c r="R15" s="7">
        <f>HOTEL!AS17</f>
        <v>0</v>
      </c>
      <c r="S15" s="7">
        <f>HOTEL!AU17</f>
        <v>0</v>
      </c>
      <c r="T15" s="7">
        <f>HOTEL!AW17</f>
        <v>0</v>
      </c>
      <c r="U15" s="7">
        <f>HOTEL!AY17</f>
        <v>0</v>
      </c>
      <c r="V15" s="7">
        <f>HOTEL!BA17</f>
        <v>0</v>
      </c>
      <c r="W15" s="7">
        <f>HOTEL!BM17</f>
        <v>30</v>
      </c>
      <c r="X15" s="7">
        <f>HOTEL!BT17</f>
        <v>40</v>
      </c>
      <c r="Y15" s="7">
        <f>HOTEL!CO17</f>
        <v>2.1960000000035507</v>
      </c>
      <c r="Z15" s="7">
        <f>HOTEL!CR16</f>
        <v>0</v>
      </c>
      <c r="AA15" s="7">
        <f>HOTEL!CU17</f>
        <v>0</v>
      </c>
      <c r="AB15" s="8">
        <f>HOTEL!CX17</f>
        <v>5.6120000001136212</v>
      </c>
      <c r="AC15" s="7">
        <f>HOTEL!DA17</f>
        <v>3.3460000000013044</v>
      </c>
      <c r="AD15" s="8">
        <f>HOTEL!DD17</f>
        <v>0</v>
      </c>
      <c r="AE15" s="7">
        <f>HOTEL!DG17</f>
        <v>0</v>
      </c>
      <c r="AF15" s="7">
        <f>HOTEL!DJ17</f>
        <v>0</v>
      </c>
      <c r="AG15" s="7">
        <f>HOTEL!DM17</f>
        <v>0</v>
      </c>
      <c r="AH15" s="7">
        <f>HOTEL!DP17</f>
        <v>0</v>
      </c>
      <c r="AI15" s="7">
        <f>HOTEL!DS17</f>
        <v>0</v>
      </c>
      <c r="AJ15" s="7">
        <f>HOTEL!DV17</f>
        <v>11.711000000001304</v>
      </c>
      <c r="AK15" s="7">
        <f>TOTAL!K15</f>
        <v>2</v>
      </c>
    </row>
    <row r="16" spans="1:38">
      <c r="A16" s="2" t="s">
        <v>19</v>
      </c>
      <c r="B16" s="7">
        <f t="shared" si="1"/>
        <v>15</v>
      </c>
      <c r="C16" s="7">
        <v>3</v>
      </c>
      <c r="D16" s="7">
        <v>2021</v>
      </c>
      <c r="E16" s="7">
        <f>TOTAL!E16</f>
        <v>6567</v>
      </c>
      <c r="F16" s="7">
        <f>HOTEL!R18</f>
        <v>8</v>
      </c>
      <c r="G16" s="7">
        <f>HOTEL!T18</f>
        <v>0</v>
      </c>
      <c r="H16" s="8">
        <f>HOTEL!DX18</f>
        <v>0</v>
      </c>
      <c r="I16" s="8">
        <f>HOTEL!DZ18</f>
        <v>0</v>
      </c>
      <c r="J16" s="8">
        <f>HOTEL!EB18</f>
        <v>0</v>
      </c>
      <c r="K16" s="8">
        <f>HOTEL!ED18</f>
        <v>0</v>
      </c>
      <c r="L16" s="7">
        <f t="shared" si="2"/>
        <v>20</v>
      </c>
      <c r="M16" s="7">
        <f>HOTEL!AE18</f>
        <v>0</v>
      </c>
      <c r="N16" s="7">
        <f>HOTEL!AI18</f>
        <v>0</v>
      </c>
      <c r="O16" s="7">
        <f>HOTEL!AM18</f>
        <v>1</v>
      </c>
      <c r="P16" s="7">
        <f>HOTEL!AO18</f>
        <v>0</v>
      </c>
      <c r="Q16" s="7">
        <f>HOTEL!AQ18</f>
        <v>0</v>
      </c>
      <c r="R16" s="7">
        <f>HOTEL!AS18</f>
        <v>0</v>
      </c>
      <c r="S16" s="7">
        <f>HOTEL!AU18</f>
        <v>0</v>
      </c>
      <c r="T16" s="7">
        <f>HOTEL!AW18</f>
        <v>0</v>
      </c>
      <c r="U16" s="7">
        <f>HOTEL!AY18</f>
        <v>0</v>
      </c>
      <c r="V16" s="7">
        <f>HOTEL!BA18</f>
        <v>1</v>
      </c>
      <c r="W16" s="7">
        <f>HOTEL!BM18</f>
        <v>10</v>
      </c>
      <c r="X16" s="7">
        <f>HOTEL!BT18</f>
        <v>10</v>
      </c>
      <c r="Y16" s="7">
        <f>HOTEL!CO18</f>
        <v>3.9039999999964494</v>
      </c>
      <c r="Z16" s="7">
        <f>HOTEL!CR17</f>
        <v>0</v>
      </c>
      <c r="AA16" s="7">
        <f>HOTEL!CU18</f>
        <v>0</v>
      </c>
      <c r="AB16" s="8">
        <f>HOTEL!CX18</f>
        <v>0</v>
      </c>
      <c r="AC16" s="7">
        <f>HOTEL!DA18</f>
        <v>0.71699999999826103</v>
      </c>
      <c r="AD16" s="8">
        <f>HOTEL!DD18</f>
        <v>0</v>
      </c>
      <c r="AE16" s="7">
        <f>HOTEL!DG18</f>
        <v>0</v>
      </c>
      <c r="AF16" s="7">
        <f>HOTEL!DJ18</f>
        <v>0</v>
      </c>
      <c r="AG16" s="7">
        <f>HOTEL!DM18</f>
        <v>0</v>
      </c>
      <c r="AH16" s="7">
        <f>HOTEL!DP18</f>
        <v>0</v>
      </c>
      <c r="AI16" s="7">
        <f>HOTEL!DS18</f>
        <v>0</v>
      </c>
      <c r="AJ16" s="7">
        <f>HOTEL!DV18</f>
        <v>4.5409999999991308</v>
      </c>
      <c r="AK16" s="7">
        <f>TOTAL!K16</f>
        <v>2</v>
      </c>
    </row>
    <row r="17" spans="1:37">
      <c r="A17" s="2" t="s">
        <v>19</v>
      </c>
      <c r="B17" s="7">
        <f t="shared" si="1"/>
        <v>16</v>
      </c>
      <c r="C17" s="7">
        <v>3</v>
      </c>
      <c r="D17" s="7">
        <v>2021</v>
      </c>
      <c r="E17" s="7">
        <f>TOTAL!E17</f>
        <v>6326</v>
      </c>
      <c r="F17" s="7">
        <f>HOTEL!R19</f>
        <v>20</v>
      </c>
      <c r="G17" s="7">
        <f>HOTEL!T19</f>
        <v>135</v>
      </c>
      <c r="H17" s="8">
        <f>HOTEL!DX19</f>
        <v>0</v>
      </c>
      <c r="I17" s="8">
        <f>HOTEL!DZ19</f>
        <v>0</v>
      </c>
      <c r="J17" s="8">
        <f>HOTEL!EB19</f>
        <v>0</v>
      </c>
      <c r="K17" s="8">
        <f>HOTEL!ED19</f>
        <v>0</v>
      </c>
      <c r="L17" s="7">
        <f t="shared" si="2"/>
        <v>30</v>
      </c>
      <c r="M17" s="7">
        <f>HOTEL!AE19</f>
        <v>0</v>
      </c>
      <c r="N17" s="7">
        <f>HOTEL!AI19</f>
        <v>0</v>
      </c>
      <c r="O17" s="7">
        <f>HOTEL!AM19</f>
        <v>12</v>
      </c>
      <c r="P17" s="7">
        <f>HOTEL!AO19</f>
        <v>0</v>
      </c>
      <c r="Q17" s="7">
        <f>HOTEL!AQ19</f>
        <v>0</v>
      </c>
      <c r="R17" s="7">
        <f>HOTEL!AS19</f>
        <v>0</v>
      </c>
      <c r="S17" s="7">
        <f>HOTEL!AU19</f>
        <v>0</v>
      </c>
      <c r="T17" s="7">
        <f>HOTEL!AW19</f>
        <v>0</v>
      </c>
      <c r="U17" s="7">
        <f>HOTEL!AY19</f>
        <v>0</v>
      </c>
      <c r="V17" s="7">
        <f>HOTEL!BA19</f>
        <v>0</v>
      </c>
      <c r="W17" s="7">
        <f>HOTEL!BM19</f>
        <v>30</v>
      </c>
      <c r="X17" s="7">
        <f>HOTEL!BT19</f>
        <v>0</v>
      </c>
      <c r="Y17" s="7">
        <f>HOTEL!CO19</f>
        <v>2.44</v>
      </c>
      <c r="Z17" s="7">
        <f>HOTEL!CR18</f>
        <v>0</v>
      </c>
      <c r="AA17" s="7">
        <f>HOTEL!CU19</f>
        <v>0</v>
      </c>
      <c r="AB17" s="8">
        <f>HOTEL!CX19</f>
        <v>25.62</v>
      </c>
      <c r="AC17" s="7">
        <f>HOTEL!DA19</f>
        <v>7.4090000000008702</v>
      </c>
      <c r="AD17" s="8">
        <f>HOTEL!DD19</f>
        <v>0</v>
      </c>
      <c r="AE17" s="7">
        <f>HOTEL!DG19</f>
        <v>0</v>
      </c>
      <c r="AF17" s="7">
        <f>HOTEL!DJ19</f>
        <v>0</v>
      </c>
      <c r="AG17" s="7">
        <f>HOTEL!DM19</f>
        <v>0</v>
      </c>
      <c r="AH17" s="7">
        <f>HOTEL!DP19</f>
        <v>0</v>
      </c>
      <c r="AI17" s="7">
        <f>HOTEL!DS19</f>
        <v>0</v>
      </c>
      <c r="AJ17" s="7">
        <f>HOTEL!DV19</f>
        <v>9.7990000000008699</v>
      </c>
      <c r="AK17" s="7">
        <f>TOTAL!K17</f>
        <v>2</v>
      </c>
    </row>
    <row r="18" spans="1:37">
      <c r="A18" s="2" t="s">
        <v>19</v>
      </c>
      <c r="B18" s="7">
        <f t="shared" si="1"/>
        <v>17</v>
      </c>
      <c r="C18" s="7">
        <v>3</v>
      </c>
      <c r="D18" s="7">
        <v>2021</v>
      </c>
      <c r="E18" s="7">
        <f>TOTAL!E18</f>
        <v>6003</v>
      </c>
      <c r="F18" s="7">
        <f>HOTEL!R20</f>
        <v>32</v>
      </c>
      <c r="G18" s="7">
        <f>HOTEL!T20</f>
        <v>4</v>
      </c>
      <c r="H18" s="8">
        <f>HOTEL!DX20</f>
        <v>0</v>
      </c>
      <c r="I18" s="8">
        <f>HOTEL!DZ20</f>
        <v>0</v>
      </c>
      <c r="J18" s="8">
        <f>HOTEL!EB20</f>
        <v>0</v>
      </c>
      <c r="K18" s="8">
        <f>HOTEL!ED20</f>
        <v>0</v>
      </c>
      <c r="L18" s="7">
        <f t="shared" si="2"/>
        <v>40</v>
      </c>
      <c r="M18" s="7">
        <f>HOTEL!AE20</f>
        <v>0</v>
      </c>
      <c r="N18" s="7">
        <f>HOTEL!AI20</f>
        <v>0</v>
      </c>
      <c r="O18" s="7">
        <f>HOTEL!AM20</f>
        <v>4</v>
      </c>
      <c r="P18" s="7">
        <f>HOTEL!AO20</f>
        <v>1</v>
      </c>
      <c r="Q18" s="7">
        <f>HOTEL!AQ20</f>
        <v>0</v>
      </c>
      <c r="R18" s="7">
        <f>HOTEL!AS20</f>
        <v>0</v>
      </c>
      <c r="S18" s="7">
        <f>HOTEL!AU20</f>
        <v>0</v>
      </c>
      <c r="T18" s="7">
        <f>HOTEL!AW20</f>
        <v>0</v>
      </c>
      <c r="U18" s="7">
        <f>HOTEL!AY20</f>
        <v>0</v>
      </c>
      <c r="V18" s="7">
        <f>HOTEL!BA20</f>
        <v>0</v>
      </c>
      <c r="W18" s="7">
        <f>HOTEL!BM20</f>
        <v>30</v>
      </c>
      <c r="X18" s="7">
        <f>HOTEL!BT20</f>
        <v>10</v>
      </c>
      <c r="Y18" s="7">
        <f>HOTEL!CO20</f>
        <v>2.44</v>
      </c>
      <c r="Z18" s="7">
        <f>HOTEL!CR19</f>
        <v>0</v>
      </c>
      <c r="AA18" s="7">
        <f>HOTEL!CU20</f>
        <v>0</v>
      </c>
      <c r="AB18" s="8">
        <f>HOTEL!CX20</f>
        <v>0</v>
      </c>
      <c r="AC18" s="7">
        <f>HOTEL!DA20</f>
        <v>4.78</v>
      </c>
      <c r="AD18" s="8">
        <f>HOTEL!DD20</f>
        <v>0</v>
      </c>
      <c r="AE18" s="7">
        <f>HOTEL!DG20</f>
        <v>0</v>
      </c>
      <c r="AF18" s="7">
        <f>HOTEL!DJ20</f>
        <v>0</v>
      </c>
      <c r="AG18" s="7">
        <f>HOTEL!DM20</f>
        <v>0</v>
      </c>
      <c r="AH18" s="7">
        <f>HOTEL!DP20</f>
        <v>0</v>
      </c>
      <c r="AI18" s="7">
        <f>HOTEL!DS20</f>
        <v>0</v>
      </c>
      <c r="AJ18" s="7">
        <f>HOTEL!DV20</f>
        <v>15.535</v>
      </c>
      <c r="AK18" s="7">
        <f>TOTAL!K18</f>
        <v>2</v>
      </c>
    </row>
    <row r="19" spans="1:37">
      <c r="A19" s="2" t="s">
        <v>19</v>
      </c>
      <c r="B19" s="7">
        <f t="shared" si="1"/>
        <v>18</v>
      </c>
      <c r="C19" s="7">
        <v>3</v>
      </c>
      <c r="D19" s="7">
        <v>2021</v>
      </c>
      <c r="E19" s="7">
        <f>TOTAL!E19</f>
        <v>5949</v>
      </c>
      <c r="F19" s="7">
        <f>HOTEL!R21</f>
        <v>9</v>
      </c>
      <c r="G19" s="7">
        <f>HOTEL!T21</f>
        <v>1</v>
      </c>
      <c r="H19" s="8">
        <f>HOTEL!DX21</f>
        <v>0</v>
      </c>
      <c r="I19" s="8">
        <f>HOTEL!DZ21</f>
        <v>0</v>
      </c>
      <c r="J19" s="8">
        <f>HOTEL!EB21</f>
        <v>0</v>
      </c>
      <c r="K19" s="8">
        <f>HOTEL!ED21</f>
        <v>0</v>
      </c>
      <c r="L19" s="7">
        <f t="shared" si="2"/>
        <v>40</v>
      </c>
      <c r="M19" s="7">
        <f>HOTEL!AE21</f>
        <v>0</v>
      </c>
      <c r="N19" s="7">
        <f>HOTEL!AI21</f>
        <v>10</v>
      </c>
      <c r="O19" s="7">
        <f>HOTEL!AM21</f>
        <v>0</v>
      </c>
      <c r="P19" s="7">
        <f>HOTEL!AO21</f>
        <v>0</v>
      </c>
      <c r="Q19" s="7">
        <f>HOTEL!AQ21</f>
        <v>0</v>
      </c>
      <c r="R19" s="7">
        <f>HOTEL!AS21</f>
        <v>0</v>
      </c>
      <c r="S19" s="7">
        <f>HOTEL!AU21</f>
        <v>0</v>
      </c>
      <c r="T19" s="7">
        <f>HOTEL!AW21</f>
        <v>0</v>
      </c>
      <c r="U19" s="7">
        <f>HOTEL!AY21</f>
        <v>0</v>
      </c>
      <c r="V19" s="7">
        <f>HOTEL!BA21</f>
        <v>0</v>
      </c>
      <c r="W19" s="7">
        <f>HOTEL!BM21</f>
        <v>10</v>
      </c>
      <c r="X19" s="7">
        <f>HOTEL!BT21</f>
        <v>20</v>
      </c>
      <c r="Y19" s="7">
        <f>HOTEL!CO21</f>
        <v>2.44</v>
      </c>
      <c r="Z19" s="7">
        <f>HOTEL!CR20</f>
        <v>0</v>
      </c>
      <c r="AA19" s="7">
        <f>HOTEL!CU21</f>
        <v>0</v>
      </c>
      <c r="AB19" s="8">
        <f>HOTEL!CX21</f>
        <v>0</v>
      </c>
      <c r="AC19" s="7">
        <f>HOTEL!DA21</f>
        <v>1.1950000000000001</v>
      </c>
      <c r="AD19" s="8">
        <f>HOTEL!DD21</f>
        <v>0</v>
      </c>
      <c r="AE19" s="7">
        <f>HOTEL!DG21</f>
        <v>0</v>
      </c>
      <c r="AF19" s="7">
        <f>HOTEL!DJ21</f>
        <v>0</v>
      </c>
      <c r="AG19" s="7">
        <f>HOTEL!DM21</f>
        <v>0</v>
      </c>
      <c r="AH19" s="7">
        <f>HOTEL!DP21</f>
        <v>0</v>
      </c>
      <c r="AI19" s="7">
        <f>HOTEL!DS21</f>
        <v>0</v>
      </c>
      <c r="AJ19" s="7">
        <f>HOTEL!DV21</f>
        <v>4.5409999999991308</v>
      </c>
      <c r="AK19" s="7">
        <f>TOTAL!K19</f>
        <v>2</v>
      </c>
    </row>
    <row r="20" spans="1:37">
      <c r="A20" s="2" t="s">
        <v>19</v>
      </c>
      <c r="B20" s="7">
        <f t="shared" si="1"/>
        <v>19</v>
      </c>
      <c r="C20" s="7">
        <v>3</v>
      </c>
      <c r="D20" s="7">
        <v>2021</v>
      </c>
      <c r="E20" s="7">
        <f>TOTAL!E20</f>
        <v>6136</v>
      </c>
      <c r="F20" s="7">
        <f>HOTEL!R22</f>
        <v>30</v>
      </c>
      <c r="G20" s="7">
        <f>HOTEL!T22</f>
        <v>1</v>
      </c>
      <c r="H20" s="8">
        <f>HOTEL!DX22</f>
        <v>0</v>
      </c>
      <c r="I20" s="8">
        <f>HOTEL!DZ22</f>
        <v>0</v>
      </c>
      <c r="J20" s="8">
        <f>HOTEL!EB22</f>
        <v>0</v>
      </c>
      <c r="K20" s="8">
        <f>HOTEL!ED22</f>
        <v>0</v>
      </c>
      <c r="L20" s="7">
        <f t="shared" si="2"/>
        <v>50</v>
      </c>
      <c r="M20" s="7">
        <f>HOTEL!AE22</f>
        <v>0</v>
      </c>
      <c r="N20" s="7">
        <f>HOTEL!AI22</f>
        <v>0</v>
      </c>
      <c r="O20" s="7">
        <f>HOTEL!AM22</f>
        <v>0</v>
      </c>
      <c r="P20" s="7">
        <f>HOTEL!AO22</f>
        <v>0</v>
      </c>
      <c r="Q20" s="7">
        <f>HOTEL!AQ22</f>
        <v>0</v>
      </c>
      <c r="R20" s="7">
        <f>HOTEL!AS22</f>
        <v>0</v>
      </c>
      <c r="S20" s="7">
        <f>HOTEL!AU22</f>
        <v>0</v>
      </c>
      <c r="T20" s="7">
        <f>HOTEL!AW22</f>
        <v>0</v>
      </c>
      <c r="U20" s="7">
        <f>HOTEL!AY22</f>
        <v>0</v>
      </c>
      <c r="V20" s="7">
        <f>HOTEL!BA22</f>
        <v>0</v>
      </c>
      <c r="W20" s="7">
        <f>HOTEL!BM22</f>
        <v>20</v>
      </c>
      <c r="X20" s="7">
        <f>HOTEL!BT22</f>
        <v>30</v>
      </c>
      <c r="Y20" s="7">
        <f>HOTEL!CO22</f>
        <v>2.6839999999964492</v>
      </c>
      <c r="Z20" s="7">
        <f>HOTEL!CR21</f>
        <v>0</v>
      </c>
      <c r="AA20" s="7">
        <f>HOTEL!CU22</f>
        <v>0</v>
      </c>
      <c r="AB20" s="8">
        <f>HOTEL!CX22</f>
        <v>0</v>
      </c>
      <c r="AC20" s="7">
        <f>HOTEL!DA22</f>
        <v>2.1509999999991307</v>
      </c>
      <c r="AD20" s="8">
        <f>HOTEL!DD22</f>
        <v>0</v>
      </c>
      <c r="AE20" s="7">
        <f>HOTEL!DG22</f>
        <v>0</v>
      </c>
      <c r="AF20" s="7">
        <f>HOTEL!DJ22</f>
        <v>0</v>
      </c>
      <c r="AG20" s="7">
        <f>HOTEL!DM22</f>
        <v>0</v>
      </c>
      <c r="AH20" s="7">
        <f>HOTEL!DP22</f>
        <v>0</v>
      </c>
      <c r="AI20" s="7">
        <f>HOTEL!DS22</f>
        <v>0</v>
      </c>
      <c r="AJ20" s="7">
        <f>HOTEL!DV22</f>
        <v>10.037999999999565</v>
      </c>
      <c r="AK20" s="7">
        <f>TOTAL!K20</f>
        <v>2</v>
      </c>
    </row>
    <row r="21" spans="1:37">
      <c r="A21" s="2" t="s">
        <v>19</v>
      </c>
      <c r="B21" s="7">
        <f t="shared" si="1"/>
        <v>20</v>
      </c>
      <c r="C21" s="7">
        <v>3</v>
      </c>
      <c r="D21" s="7">
        <v>2021</v>
      </c>
      <c r="E21" s="7">
        <f>TOTAL!E21</f>
        <v>6331</v>
      </c>
      <c r="F21" s="7">
        <f>HOTEL!R23</f>
        <v>59</v>
      </c>
      <c r="G21" s="7">
        <f>HOTEL!T23</f>
        <v>4</v>
      </c>
      <c r="H21" s="8">
        <f>HOTEL!DX23</f>
        <v>0</v>
      </c>
      <c r="I21" s="8">
        <f>HOTEL!DZ23</f>
        <v>0</v>
      </c>
      <c r="J21" s="8">
        <f>HOTEL!EB23</f>
        <v>0</v>
      </c>
      <c r="K21" s="8">
        <f>HOTEL!ED23</f>
        <v>0</v>
      </c>
      <c r="L21" s="7">
        <f t="shared" si="2"/>
        <v>70</v>
      </c>
      <c r="M21" s="7">
        <f>HOTEL!AE23</f>
        <v>0</v>
      </c>
      <c r="N21" s="7">
        <f>HOTEL!AI23</f>
        <v>0</v>
      </c>
      <c r="O21" s="7">
        <f>HOTEL!AM23</f>
        <v>0</v>
      </c>
      <c r="P21" s="7">
        <f>HOTEL!AO23</f>
        <v>1</v>
      </c>
      <c r="Q21" s="7">
        <f>HOTEL!AQ23</f>
        <v>0</v>
      </c>
      <c r="R21" s="7">
        <f>HOTEL!AS23</f>
        <v>0</v>
      </c>
      <c r="S21" s="7">
        <f>HOTEL!AU23</f>
        <v>0</v>
      </c>
      <c r="T21" s="7">
        <f>HOTEL!AW23</f>
        <v>0</v>
      </c>
      <c r="U21" s="7">
        <f>HOTEL!AY23</f>
        <v>0</v>
      </c>
      <c r="V21" s="7">
        <f>HOTEL!BA23</f>
        <v>1</v>
      </c>
      <c r="W21" s="7">
        <f>HOTEL!BM23</f>
        <v>30</v>
      </c>
      <c r="X21" s="7">
        <f>HOTEL!BT23</f>
        <v>40</v>
      </c>
      <c r="Y21" s="7">
        <f>HOTEL!CO23</f>
        <v>3.66</v>
      </c>
      <c r="Z21" s="7">
        <f>HOTEL!CR22</f>
        <v>0</v>
      </c>
      <c r="AA21" s="7">
        <f>HOTEL!CU23</f>
        <v>0</v>
      </c>
      <c r="AB21" s="8">
        <f>HOTEL!CX23</f>
        <v>0</v>
      </c>
      <c r="AC21" s="7">
        <f>HOTEL!DA23</f>
        <v>2.39</v>
      </c>
      <c r="AD21" s="8">
        <f>HOTEL!DD23</f>
        <v>0</v>
      </c>
      <c r="AE21" s="7">
        <f>HOTEL!DG23</f>
        <v>0</v>
      </c>
      <c r="AF21" s="7">
        <f>HOTEL!DJ23</f>
        <v>0</v>
      </c>
      <c r="AG21" s="7">
        <f>HOTEL!DM23</f>
        <v>0</v>
      </c>
      <c r="AH21" s="7">
        <f>HOTEL!DP23</f>
        <v>0</v>
      </c>
      <c r="AI21" s="7">
        <f>HOTEL!DS23</f>
        <v>0</v>
      </c>
      <c r="AJ21" s="7">
        <f>HOTEL!DV23</f>
        <v>16.252000000000436</v>
      </c>
      <c r="AK21" s="7">
        <f>TOTAL!K21</f>
        <v>2</v>
      </c>
    </row>
    <row r="22" spans="1:37">
      <c r="A22" s="2" t="s">
        <v>19</v>
      </c>
      <c r="B22" s="7">
        <f t="shared" si="1"/>
        <v>21</v>
      </c>
      <c r="C22" s="7">
        <v>3</v>
      </c>
      <c r="D22" s="7">
        <v>2021</v>
      </c>
      <c r="E22" s="7">
        <f>TOTAL!E22</f>
        <v>6490</v>
      </c>
      <c r="F22" s="7">
        <f>HOTEL!R24</f>
        <v>6</v>
      </c>
      <c r="G22" s="7">
        <f>HOTEL!T24</f>
        <v>0</v>
      </c>
      <c r="H22" s="8">
        <f>HOTEL!DX24</f>
        <v>0</v>
      </c>
      <c r="I22" s="8">
        <f>HOTEL!DZ24</f>
        <v>0</v>
      </c>
      <c r="J22" s="8">
        <f>HOTEL!EB24</f>
        <v>0</v>
      </c>
      <c r="K22" s="8">
        <f>HOTEL!ED24</f>
        <v>0</v>
      </c>
      <c r="L22" s="7">
        <f t="shared" si="2"/>
        <v>20</v>
      </c>
      <c r="M22" s="7">
        <f>HOTEL!AE24</f>
        <v>0</v>
      </c>
      <c r="N22" s="7">
        <f>HOTEL!AI24</f>
        <v>0</v>
      </c>
      <c r="O22" s="7">
        <f>HOTEL!AM24</f>
        <v>1</v>
      </c>
      <c r="P22" s="7">
        <f>HOTEL!AO24</f>
        <v>0</v>
      </c>
      <c r="Q22" s="7">
        <f>HOTEL!AQ24</f>
        <v>0</v>
      </c>
      <c r="R22" s="7">
        <f>HOTEL!AS24</f>
        <v>0</v>
      </c>
      <c r="S22" s="7">
        <f>HOTEL!AU24</f>
        <v>0</v>
      </c>
      <c r="T22" s="7">
        <f>HOTEL!AW24</f>
        <v>0</v>
      </c>
      <c r="U22" s="7">
        <f>HOTEL!AY24</f>
        <v>0</v>
      </c>
      <c r="V22" s="7">
        <f>HOTEL!BA24</f>
        <v>0</v>
      </c>
      <c r="W22" s="7">
        <f>HOTEL!BM24</f>
        <v>10</v>
      </c>
      <c r="X22" s="7">
        <f>HOTEL!BT24</f>
        <v>10</v>
      </c>
      <c r="Y22" s="7">
        <f>HOTEL!CO24</f>
        <v>3.66</v>
      </c>
      <c r="Z22" s="7">
        <f>HOTEL!CR23</f>
        <v>0</v>
      </c>
      <c r="AA22" s="7">
        <f>HOTEL!CU24</f>
        <v>0</v>
      </c>
      <c r="AB22" s="8">
        <f>HOTEL!CX24</f>
        <v>0</v>
      </c>
      <c r="AC22" s="7">
        <f>HOTEL!DA24</f>
        <v>2.1510000000013045</v>
      </c>
      <c r="AD22" s="8">
        <f>HOTEL!DD24</f>
        <v>0</v>
      </c>
      <c r="AE22" s="7">
        <f>HOTEL!DG24</f>
        <v>0</v>
      </c>
      <c r="AF22" s="7">
        <f>HOTEL!DJ24</f>
        <v>0</v>
      </c>
      <c r="AG22" s="7">
        <f>HOTEL!DM24</f>
        <v>0</v>
      </c>
      <c r="AH22" s="7">
        <f>HOTEL!DP24</f>
        <v>0</v>
      </c>
      <c r="AI22" s="7">
        <f>HOTEL!DS24</f>
        <v>0</v>
      </c>
      <c r="AJ22" s="7">
        <f>HOTEL!DV24</f>
        <v>4.5410000000013042</v>
      </c>
      <c r="AK22" s="7">
        <f>TOTAL!K22</f>
        <v>2</v>
      </c>
    </row>
    <row r="23" spans="1:37">
      <c r="A23" s="2" t="s">
        <v>19</v>
      </c>
      <c r="B23" s="7">
        <f t="shared" si="1"/>
        <v>22</v>
      </c>
      <c r="C23" s="7">
        <v>3</v>
      </c>
      <c r="D23" s="7">
        <v>2021</v>
      </c>
      <c r="E23" s="7">
        <f>TOTAL!E23</f>
        <v>5970</v>
      </c>
      <c r="F23" s="7">
        <f>HOTEL!R25</f>
        <v>24</v>
      </c>
      <c r="G23" s="7">
        <f>HOTEL!T25</f>
        <v>1</v>
      </c>
      <c r="H23" s="8">
        <f>HOTEL!DX25</f>
        <v>0</v>
      </c>
      <c r="I23" s="8">
        <f>HOTEL!DZ25</f>
        <v>0</v>
      </c>
      <c r="J23" s="8">
        <f>HOTEL!EB25</f>
        <v>0</v>
      </c>
      <c r="K23" s="8">
        <f>HOTEL!ED25</f>
        <v>0</v>
      </c>
      <c r="L23" s="7">
        <f t="shared" si="2"/>
        <v>40</v>
      </c>
      <c r="M23" s="7">
        <f>HOTEL!AE25</f>
        <v>0</v>
      </c>
      <c r="N23" s="7">
        <f>HOTEL!AI25</f>
        <v>0</v>
      </c>
      <c r="O23" s="7">
        <f>HOTEL!AM25</f>
        <v>1</v>
      </c>
      <c r="P23" s="7">
        <f>HOTEL!AO25</f>
        <v>0</v>
      </c>
      <c r="Q23" s="7">
        <f>HOTEL!AQ25</f>
        <v>0</v>
      </c>
      <c r="R23" s="7">
        <f>HOTEL!AS25</f>
        <v>0</v>
      </c>
      <c r="S23" s="7">
        <f>HOTEL!AU25</f>
        <v>0</v>
      </c>
      <c r="T23" s="7">
        <f>HOTEL!AW25</f>
        <v>0</v>
      </c>
      <c r="U23" s="7">
        <f>HOTEL!AY25</f>
        <v>0</v>
      </c>
      <c r="V23" s="7">
        <f>HOTEL!BA25</f>
        <v>0</v>
      </c>
      <c r="W23" s="7">
        <f>HOTEL!BM25</f>
        <v>20</v>
      </c>
      <c r="X23" s="7">
        <f>HOTEL!BT25</f>
        <v>20</v>
      </c>
      <c r="Y23" s="7">
        <f>HOTEL!CO25</f>
        <v>6.3439999999964494</v>
      </c>
      <c r="Z23" s="7">
        <f>HOTEL!CR24</f>
        <v>0</v>
      </c>
      <c r="AA23" s="7">
        <f>HOTEL!CU25</f>
        <v>0</v>
      </c>
      <c r="AB23" s="8">
        <f>HOTEL!CX25</f>
        <v>0</v>
      </c>
      <c r="AC23" s="7">
        <f>HOTEL!DA25</f>
        <v>3.107000000000435</v>
      </c>
      <c r="AD23" s="8">
        <f>HOTEL!DD25</f>
        <v>0</v>
      </c>
      <c r="AE23" s="7">
        <f>HOTEL!DG25</f>
        <v>0</v>
      </c>
      <c r="AF23" s="7">
        <f>HOTEL!DJ25</f>
        <v>0</v>
      </c>
      <c r="AG23" s="7">
        <f>HOTEL!DM25</f>
        <v>0</v>
      </c>
      <c r="AH23" s="7">
        <f>HOTEL!DP25</f>
        <v>0</v>
      </c>
      <c r="AI23" s="7">
        <f>HOTEL!DS25</f>
        <v>0</v>
      </c>
      <c r="AJ23" s="7">
        <f>HOTEL!DV25</f>
        <v>9.56</v>
      </c>
      <c r="AK23" s="7">
        <f>TOTAL!K23</f>
        <v>2</v>
      </c>
    </row>
    <row r="24" spans="1:37">
      <c r="A24" s="2" t="s">
        <v>19</v>
      </c>
      <c r="B24" s="7">
        <f t="shared" si="1"/>
        <v>23</v>
      </c>
      <c r="C24" s="7">
        <v>3</v>
      </c>
      <c r="D24" s="7">
        <v>2021</v>
      </c>
      <c r="E24" s="7">
        <f>TOTAL!E24</f>
        <v>5635</v>
      </c>
      <c r="F24" s="7">
        <f>HOTEL!R26</f>
        <v>33</v>
      </c>
      <c r="G24" s="7">
        <f>HOTEL!T26</f>
        <v>2</v>
      </c>
      <c r="H24" s="8">
        <f>HOTEL!DX26</f>
        <v>0</v>
      </c>
      <c r="I24" s="8">
        <f>HOTEL!DZ26</f>
        <v>0</v>
      </c>
      <c r="J24" s="8">
        <f>HOTEL!EB26</f>
        <v>0</v>
      </c>
      <c r="K24" s="8">
        <f>HOTEL!ED26</f>
        <v>0</v>
      </c>
      <c r="L24" s="7">
        <f t="shared" si="2"/>
        <v>70</v>
      </c>
      <c r="M24" s="7">
        <f>HOTEL!AE26</f>
        <v>0</v>
      </c>
      <c r="N24" s="7">
        <f>HOTEL!AI26</f>
        <v>0</v>
      </c>
      <c r="O24" s="7">
        <f>HOTEL!AM26</f>
        <v>0</v>
      </c>
      <c r="P24" s="7">
        <f>HOTEL!AO26</f>
        <v>0</v>
      </c>
      <c r="Q24" s="7">
        <f>HOTEL!AQ26</f>
        <v>0</v>
      </c>
      <c r="R24" s="7">
        <f>HOTEL!AS26</f>
        <v>0</v>
      </c>
      <c r="S24" s="7">
        <f>HOTEL!AU26</f>
        <v>0</v>
      </c>
      <c r="T24" s="7">
        <f>HOTEL!AW26</f>
        <v>0</v>
      </c>
      <c r="U24" s="7">
        <f>HOTEL!AY26</f>
        <v>0</v>
      </c>
      <c r="V24" s="7">
        <f>HOTEL!BA26</f>
        <v>0</v>
      </c>
      <c r="W24" s="7">
        <f>HOTEL!BM26</f>
        <v>30</v>
      </c>
      <c r="X24" s="7">
        <f>HOTEL!BT26</f>
        <v>40</v>
      </c>
      <c r="Y24" s="7">
        <f>HOTEL!CO26</f>
        <v>4.88</v>
      </c>
      <c r="Z24" s="7">
        <f>HOTEL!CR25</f>
        <v>0</v>
      </c>
      <c r="AA24" s="7">
        <f>HOTEL!CU26</f>
        <v>0</v>
      </c>
      <c r="AB24" s="8">
        <f>HOTEL!CX26</f>
        <v>0</v>
      </c>
      <c r="AC24" s="7">
        <f>HOTEL!DA26</f>
        <v>3.1069999999982612</v>
      </c>
      <c r="AD24" s="8">
        <f>HOTEL!DD26</f>
        <v>0</v>
      </c>
      <c r="AE24" s="7">
        <f>HOTEL!DG26</f>
        <v>0</v>
      </c>
      <c r="AF24" s="7">
        <f>HOTEL!DJ26</f>
        <v>0</v>
      </c>
      <c r="AG24" s="7">
        <f>HOTEL!DM26</f>
        <v>0</v>
      </c>
      <c r="AH24" s="7">
        <f>HOTEL!DP26</f>
        <v>0</v>
      </c>
      <c r="AI24" s="7">
        <f>HOTEL!DS26</f>
        <v>0</v>
      </c>
      <c r="AJ24" s="7">
        <f>HOTEL!DV26</f>
        <v>15.535</v>
      </c>
      <c r="AK24" s="7">
        <f>TOTAL!K24</f>
        <v>2</v>
      </c>
    </row>
    <row r="25" spans="1:37">
      <c r="A25" s="2" t="s">
        <v>19</v>
      </c>
      <c r="B25" s="7">
        <f t="shared" si="1"/>
        <v>24</v>
      </c>
      <c r="C25" s="7">
        <v>3</v>
      </c>
      <c r="D25" s="7">
        <v>2021</v>
      </c>
      <c r="E25" s="7">
        <f>TOTAL!E25</f>
        <v>6094</v>
      </c>
      <c r="F25" s="7">
        <f>HOTEL!R27</f>
        <v>23</v>
      </c>
      <c r="G25" s="7">
        <f>HOTEL!T27</f>
        <v>0</v>
      </c>
      <c r="H25" s="8">
        <f>HOTEL!DX27</f>
        <v>0</v>
      </c>
      <c r="I25" s="8">
        <f>HOTEL!DZ27</f>
        <v>0</v>
      </c>
      <c r="J25" s="8">
        <f>HOTEL!EB27</f>
        <v>0</v>
      </c>
      <c r="K25" s="8">
        <f>HOTEL!ED27</f>
        <v>0</v>
      </c>
      <c r="L25" s="7">
        <f t="shared" si="2"/>
        <v>20</v>
      </c>
      <c r="M25" s="7">
        <f>HOTEL!AE27</f>
        <v>0</v>
      </c>
      <c r="N25" s="7">
        <f>HOTEL!AI27</f>
        <v>10</v>
      </c>
      <c r="O25" s="7">
        <f>HOTEL!AM27</f>
        <v>1</v>
      </c>
      <c r="P25" s="7">
        <f>HOTEL!AO27</f>
        <v>0</v>
      </c>
      <c r="Q25" s="7">
        <f>HOTEL!AQ27</f>
        <v>0</v>
      </c>
      <c r="R25" s="7">
        <f>HOTEL!AS27</f>
        <v>0</v>
      </c>
      <c r="S25" s="7">
        <f>HOTEL!AU27</f>
        <v>0</v>
      </c>
      <c r="T25" s="7">
        <f>HOTEL!AW27</f>
        <v>0</v>
      </c>
      <c r="U25" s="7">
        <f>HOTEL!AY27</f>
        <v>0</v>
      </c>
      <c r="V25" s="7">
        <f>HOTEL!BA27</f>
        <v>0</v>
      </c>
      <c r="W25" s="7">
        <f>HOTEL!BM27</f>
        <v>10</v>
      </c>
      <c r="X25" s="7">
        <f>HOTEL!BT27</f>
        <v>0</v>
      </c>
      <c r="Y25" s="7">
        <f>HOTEL!CO27</f>
        <v>1.9520000000071014</v>
      </c>
      <c r="Z25" s="7">
        <f>HOTEL!CR26</f>
        <v>0</v>
      </c>
      <c r="AA25" s="7">
        <f>HOTEL!CU27</f>
        <v>0</v>
      </c>
      <c r="AB25" s="8">
        <f>HOTEL!CX27</f>
        <v>0</v>
      </c>
      <c r="AC25" s="7">
        <f>HOTEL!DA27</f>
        <v>1.6730000000017391</v>
      </c>
      <c r="AD25" s="8">
        <f>HOTEL!DD27</f>
        <v>0</v>
      </c>
      <c r="AE25" s="7">
        <f>HOTEL!DG27</f>
        <v>40</v>
      </c>
      <c r="AF25" s="7">
        <f>HOTEL!DJ27</f>
        <v>0</v>
      </c>
      <c r="AG25" s="7">
        <f>HOTEL!DM27</f>
        <v>0</v>
      </c>
      <c r="AH25" s="7">
        <f>HOTEL!DP27</f>
        <v>0</v>
      </c>
      <c r="AI25" s="7">
        <f>HOTEL!DS27</f>
        <v>0</v>
      </c>
      <c r="AJ25" s="7">
        <f>HOTEL!DV27</f>
        <v>4.78</v>
      </c>
      <c r="AK25" s="7">
        <f>TOTAL!K25</f>
        <v>2</v>
      </c>
    </row>
    <row r="26" spans="1:37">
      <c r="A26" s="2" t="s">
        <v>19</v>
      </c>
      <c r="B26" s="7">
        <f>B25+1</f>
        <v>25</v>
      </c>
      <c r="C26" s="7">
        <v>3</v>
      </c>
      <c r="D26" s="7">
        <v>2021</v>
      </c>
      <c r="E26" s="7">
        <f>TOTAL!E26</f>
        <v>5765</v>
      </c>
      <c r="F26" s="7">
        <f>HOTEL!R28</f>
        <v>36</v>
      </c>
      <c r="G26" s="7">
        <f>HOTEL!T28</f>
        <v>0</v>
      </c>
      <c r="H26" s="8">
        <f>HOTEL!DX28</f>
        <v>0</v>
      </c>
      <c r="I26" s="8">
        <f>HOTEL!DZ28</f>
        <v>0</v>
      </c>
      <c r="J26" s="8">
        <f>HOTEL!EB28</f>
        <v>0</v>
      </c>
      <c r="K26" s="8">
        <f>HOTEL!ED28</f>
        <v>0</v>
      </c>
      <c r="L26" s="7">
        <f t="shared" si="2"/>
        <v>30</v>
      </c>
      <c r="M26" s="7">
        <f>HOTEL!AE28</f>
        <v>0</v>
      </c>
      <c r="N26" s="7">
        <f>HOTEL!AI28</f>
        <v>0</v>
      </c>
      <c r="O26" s="7">
        <f>HOTEL!AM28</f>
        <v>0</v>
      </c>
      <c r="P26" s="7">
        <f>HOTEL!AO28</f>
        <v>0</v>
      </c>
      <c r="Q26" s="7">
        <f>HOTEL!AQ28</f>
        <v>0</v>
      </c>
      <c r="R26" s="7">
        <f>HOTEL!AS28</f>
        <v>0</v>
      </c>
      <c r="S26" s="7">
        <f>HOTEL!AU28</f>
        <v>0</v>
      </c>
      <c r="T26" s="7">
        <f>HOTEL!AW28</f>
        <v>0</v>
      </c>
      <c r="U26" s="7">
        <f>HOTEL!AY28</f>
        <v>0</v>
      </c>
      <c r="V26" s="7">
        <f>HOTEL!BA28</f>
        <v>0</v>
      </c>
      <c r="W26" s="7">
        <f>HOTEL!BM28</f>
        <v>20</v>
      </c>
      <c r="X26" s="7">
        <f>HOTEL!BT28</f>
        <v>10</v>
      </c>
      <c r="Y26" s="7">
        <f>HOTEL!CO28</f>
        <v>1.9520000000071014</v>
      </c>
      <c r="Z26" s="7">
        <f>HOTEL!CR27</f>
        <v>0</v>
      </c>
      <c r="AA26" s="7">
        <f>HOTEL!CU28</f>
        <v>0</v>
      </c>
      <c r="AB26" s="8">
        <f>HOTEL!CX28</f>
        <v>0</v>
      </c>
      <c r="AC26" s="7">
        <f>HOTEL!DA28</f>
        <v>1.9119999999982611</v>
      </c>
      <c r="AD26" s="8">
        <f>HOTEL!DD28</f>
        <v>0</v>
      </c>
      <c r="AE26" s="7">
        <f>HOTEL!DG28</f>
        <v>0</v>
      </c>
      <c r="AF26" s="7">
        <f>HOTEL!DJ28</f>
        <v>0</v>
      </c>
      <c r="AG26" s="7">
        <f>HOTEL!DM28</f>
        <v>0</v>
      </c>
      <c r="AH26" s="7">
        <f>HOTEL!DP28</f>
        <v>0</v>
      </c>
      <c r="AI26" s="7">
        <f>HOTEL!DS28</f>
        <v>0</v>
      </c>
      <c r="AJ26" s="7">
        <f>HOTEL!DV28</f>
        <v>10.037999999999565</v>
      </c>
      <c r="AK26" s="7">
        <f>TOTAL!K26</f>
        <v>2</v>
      </c>
    </row>
    <row r="27" spans="1:37">
      <c r="A27" s="2" t="s">
        <v>19</v>
      </c>
      <c r="B27" s="7">
        <f t="shared" si="1"/>
        <v>26</v>
      </c>
      <c r="C27" s="7">
        <v>3</v>
      </c>
      <c r="D27" s="7">
        <v>2021</v>
      </c>
      <c r="E27" s="7">
        <f>TOTAL!E27</f>
        <v>5206</v>
      </c>
      <c r="F27" s="7">
        <f>HOTEL!R29</f>
        <v>34</v>
      </c>
      <c r="G27" s="7">
        <f>HOTEL!T29</f>
        <v>0</v>
      </c>
      <c r="H27" s="8">
        <f>HOTEL!DX29</f>
        <v>0</v>
      </c>
      <c r="I27" s="8">
        <f>HOTEL!DZ29</f>
        <v>0</v>
      </c>
      <c r="J27" s="8">
        <f>HOTEL!EB29</f>
        <v>0</v>
      </c>
      <c r="K27" s="8">
        <f>HOTEL!ED29</f>
        <v>0</v>
      </c>
      <c r="L27" s="7">
        <f t="shared" si="2"/>
        <v>50</v>
      </c>
      <c r="M27" s="7">
        <f>HOTEL!AE29</f>
        <v>0</v>
      </c>
      <c r="N27" s="7">
        <f>HOTEL!AI29</f>
        <v>10</v>
      </c>
      <c r="O27" s="7">
        <f>HOTEL!AM29</f>
        <v>0</v>
      </c>
      <c r="P27" s="7">
        <f>HOTEL!AO29</f>
        <v>0</v>
      </c>
      <c r="Q27" s="7">
        <f>HOTEL!AQ29</f>
        <v>0</v>
      </c>
      <c r="R27" s="7">
        <f>HOTEL!AS29</f>
        <v>0</v>
      </c>
      <c r="S27" s="7">
        <f>HOTEL!AU29</f>
        <v>0</v>
      </c>
      <c r="T27" s="7">
        <f>HOTEL!AW29</f>
        <v>0</v>
      </c>
      <c r="U27" s="7">
        <f>HOTEL!AY29</f>
        <v>0</v>
      </c>
      <c r="V27" s="7">
        <f>HOTEL!BA29</f>
        <v>1</v>
      </c>
      <c r="W27" s="7">
        <f>HOTEL!BM29</f>
        <v>20</v>
      </c>
      <c r="X27" s="7">
        <f>HOTEL!BT29</f>
        <v>20</v>
      </c>
      <c r="Y27" s="7">
        <f>HOTEL!CO29</f>
        <v>4.3919999999893475</v>
      </c>
      <c r="Z27" s="7">
        <f>HOTEL!CR28</f>
        <v>0</v>
      </c>
      <c r="AA27" s="7">
        <f>HOTEL!CU29</f>
        <v>0</v>
      </c>
      <c r="AB27" s="8">
        <f>HOTEL!CX29</f>
        <v>0</v>
      </c>
      <c r="AC27" s="7">
        <f>HOTEL!DA29</f>
        <v>2.39</v>
      </c>
      <c r="AD27" s="8">
        <f>HOTEL!DD29</f>
        <v>0</v>
      </c>
      <c r="AE27" s="7">
        <f>HOTEL!DG29</f>
        <v>0</v>
      </c>
      <c r="AF27" s="7">
        <f>HOTEL!DJ29</f>
        <v>0</v>
      </c>
      <c r="AG27" s="7">
        <f>HOTEL!DM29</f>
        <v>0</v>
      </c>
      <c r="AH27" s="7">
        <f>HOTEL!DP29</f>
        <v>0</v>
      </c>
      <c r="AI27" s="7">
        <f>HOTEL!DS29</f>
        <v>0</v>
      </c>
      <c r="AJ27" s="7">
        <f>HOTEL!DV29</f>
        <v>15.295999999999131</v>
      </c>
      <c r="AK27" s="7">
        <f>TOTAL!K27</f>
        <v>2</v>
      </c>
    </row>
    <row r="28" spans="1:37">
      <c r="A28" s="2" t="s">
        <v>19</v>
      </c>
      <c r="B28" s="7">
        <f t="shared" si="1"/>
        <v>27</v>
      </c>
      <c r="C28" s="7">
        <v>3</v>
      </c>
      <c r="D28" s="7">
        <v>2021</v>
      </c>
      <c r="E28" s="7">
        <f>TOTAL!E28</f>
        <v>5408</v>
      </c>
      <c r="F28" s="7">
        <f>HOTEL!R30</f>
        <v>7</v>
      </c>
      <c r="G28" s="7">
        <f>HOTEL!T30</f>
        <v>0</v>
      </c>
      <c r="H28" s="8">
        <f>HOTEL!DX30</f>
        <v>0</v>
      </c>
      <c r="I28" s="8">
        <f>HOTEL!DZ30</f>
        <v>0</v>
      </c>
      <c r="J28" s="8">
        <f>HOTEL!EB30</f>
        <v>0</v>
      </c>
      <c r="K28" s="8">
        <f>HOTEL!ED30</f>
        <v>0</v>
      </c>
      <c r="L28" s="7">
        <f t="shared" si="2"/>
        <v>20</v>
      </c>
      <c r="M28" s="7">
        <f>HOTEL!AE30</f>
        <v>0</v>
      </c>
      <c r="N28" s="7">
        <f>HOTEL!AI30</f>
        <v>10</v>
      </c>
      <c r="O28" s="7">
        <f>HOTEL!AM30</f>
        <v>0</v>
      </c>
      <c r="P28" s="7">
        <f>HOTEL!AO30</f>
        <v>0</v>
      </c>
      <c r="Q28" s="7">
        <f>HOTEL!AQ30</f>
        <v>0</v>
      </c>
      <c r="R28" s="7">
        <f>HOTEL!AS30</f>
        <v>1</v>
      </c>
      <c r="S28" s="7">
        <f>HOTEL!AU30</f>
        <v>0</v>
      </c>
      <c r="T28" s="7">
        <f>HOTEL!AW30</f>
        <v>0</v>
      </c>
      <c r="U28" s="7">
        <f>HOTEL!AY30</f>
        <v>0</v>
      </c>
      <c r="V28" s="7">
        <f>HOTEL!BA30</f>
        <v>0</v>
      </c>
      <c r="W28" s="7">
        <f>HOTEL!BM30</f>
        <v>20</v>
      </c>
      <c r="X28" s="7">
        <f>HOTEL!BT30</f>
        <v>-10</v>
      </c>
      <c r="Y28" s="7">
        <f>HOTEL!CO30</f>
        <v>2.44</v>
      </c>
      <c r="Z28" s="7">
        <f>HOTEL!CR29</f>
        <v>0</v>
      </c>
      <c r="AA28" s="7">
        <f>HOTEL!CU30</f>
        <v>0</v>
      </c>
      <c r="AB28" s="8">
        <f>HOTEL!CX30</f>
        <v>0</v>
      </c>
      <c r="AC28" s="7">
        <f>HOTEL!DA30</f>
        <v>1.1950000000000001</v>
      </c>
      <c r="AD28" s="8">
        <f>HOTEL!DD30</f>
        <v>0</v>
      </c>
      <c r="AE28" s="7">
        <f>HOTEL!DG30</f>
        <v>0</v>
      </c>
      <c r="AF28" s="7">
        <f>HOTEL!DJ30</f>
        <v>0</v>
      </c>
      <c r="AG28" s="7">
        <f>HOTEL!DM30</f>
        <v>0</v>
      </c>
      <c r="AH28" s="7">
        <f>HOTEL!DP30</f>
        <v>0</v>
      </c>
      <c r="AI28" s="7">
        <f>HOTEL!DS30</f>
        <v>0</v>
      </c>
      <c r="AJ28" s="7">
        <f>HOTEL!DV30</f>
        <v>4.5410000000013042</v>
      </c>
      <c r="AK28" s="7">
        <f>TOTAL!K28</f>
        <v>2</v>
      </c>
    </row>
    <row r="29" spans="1:37">
      <c r="A29" s="2" t="s">
        <v>19</v>
      </c>
      <c r="B29" s="7">
        <f t="shared" si="1"/>
        <v>28</v>
      </c>
      <c r="C29" s="7">
        <v>3</v>
      </c>
      <c r="D29" s="7">
        <v>2021</v>
      </c>
      <c r="E29" s="7">
        <f>TOTAL!E29</f>
        <v>4925</v>
      </c>
      <c r="F29" s="7">
        <f>HOTEL!R31</f>
        <v>17</v>
      </c>
      <c r="G29" s="7">
        <f>HOTEL!T31</f>
        <v>0</v>
      </c>
      <c r="H29" s="8">
        <f>HOTEL!DX31</f>
        <v>0</v>
      </c>
      <c r="I29" s="8">
        <f>HOTEL!DZ31</f>
        <v>0</v>
      </c>
      <c r="J29" s="8">
        <f>HOTEL!EB31</f>
        <v>0</v>
      </c>
      <c r="K29" s="8">
        <f>HOTEL!ED31</f>
        <v>0</v>
      </c>
      <c r="L29" s="7">
        <f t="shared" si="2"/>
        <v>30</v>
      </c>
      <c r="M29" s="7">
        <f>HOTEL!AE31</f>
        <v>0</v>
      </c>
      <c r="N29" s="7">
        <f>HOTEL!AI31</f>
        <v>0</v>
      </c>
      <c r="O29" s="7">
        <f>HOTEL!AM31</f>
        <v>1</v>
      </c>
      <c r="P29" s="7">
        <f>HOTEL!AO31</f>
        <v>0</v>
      </c>
      <c r="Q29" s="7">
        <f>HOTEL!AQ31</f>
        <v>0</v>
      </c>
      <c r="R29" s="7">
        <f>HOTEL!AS31</f>
        <v>0</v>
      </c>
      <c r="S29" s="7">
        <f>HOTEL!AU31</f>
        <v>0</v>
      </c>
      <c r="T29" s="7">
        <f>HOTEL!AW31</f>
        <v>0</v>
      </c>
      <c r="U29" s="7">
        <f>HOTEL!AY31</f>
        <v>0</v>
      </c>
      <c r="V29" s="7">
        <f>HOTEL!BA31</f>
        <v>0</v>
      </c>
      <c r="W29" s="7">
        <f>HOTEL!BM31</f>
        <v>10</v>
      </c>
      <c r="X29" s="7">
        <f>HOTEL!BT31</f>
        <v>20</v>
      </c>
      <c r="Y29" s="7">
        <f>HOTEL!CO31</f>
        <v>2.44</v>
      </c>
      <c r="Z29" s="7">
        <f>HOTEL!CR30</f>
        <v>0</v>
      </c>
      <c r="AA29" s="7">
        <f>HOTEL!CU31</f>
        <v>0</v>
      </c>
      <c r="AB29" s="8">
        <f>HOTEL!CX31</f>
        <v>0</v>
      </c>
      <c r="AC29" s="7">
        <f>HOTEL!DA31</f>
        <v>1.9120000000004349</v>
      </c>
      <c r="AD29" s="8">
        <f>HOTEL!DD31</f>
        <v>0</v>
      </c>
      <c r="AE29" s="7">
        <f>HOTEL!DG31</f>
        <v>0</v>
      </c>
      <c r="AF29" s="7">
        <f>HOTEL!DJ31</f>
        <v>0</v>
      </c>
      <c r="AG29" s="7">
        <f>HOTEL!DM31</f>
        <v>0</v>
      </c>
      <c r="AH29" s="7">
        <f>HOTEL!DP31</f>
        <v>0</v>
      </c>
      <c r="AI29" s="7">
        <f>HOTEL!DS31</f>
        <v>0</v>
      </c>
      <c r="AJ29" s="7">
        <f>HOTEL!DV31</f>
        <v>9.7989999999986956</v>
      </c>
      <c r="AK29" s="7">
        <f>TOTAL!K29</f>
        <v>2</v>
      </c>
    </row>
    <row r="30" spans="1:37">
      <c r="A30" s="2" t="s">
        <v>19</v>
      </c>
      <c r="B30" s="7">
        <f t="shared" si="1"/>
        <v>29</v>
      </c>
      <c r="C30" s="7">
        <v>3</v>
      </c>
      <c r="D30" s="7">
        <v>2021</v>
      </c>
      <c r="E30" s="7">
        <f>TOTAL!E30</f>
        <v>4354</v>
      </c>
      <c r="F30" s="7">
        <f>HOTEL!R32</f>
        <v>58</v>
      </c>
      <c r="G30" s="7">
        <f>HOTEL!T32</f>
        <v>0</v>
      </c>
      <c r="H30" s="8">
        <f>HOTEL!DX32</f>
        <v>0</v>
      </c>
      <c r="I30" s="8">
        <f>HOTEL!DZ32</f>
        <v>0</v>
      </c>
      <c r="J30" s="8">
        <f>HOTEL!EB32</f>
        <v>0</v>
      </c>
      <c r="K30" s="8">
        <f>HOTEL!ED32</f>
        <v>0</v>
      </c>
      <c r="L30" s="7">
        <f t="shared" si="2"/>
        <v>40</v>
      </c>
      <c r="M30" s="7">
        <f>HOTEL!AE32</f>
        <v>0</v>
      </c>
      <c r="N30" s="7">
        <f>HOTEL!AI32</f>
        <v>0</v>
      </c>
      <c r="O30" s="7">
        <f>HOTEL!AM32</f>
        <v>0</v>
      </c>
      <c r="P30" s="7">
        <f>HOTEL!AO32</f>
        <v>0</v>
      </c>
      <c r="Q30" s="7">
        <f>HOTEL!AQ32</f>
        <v>0</v>
      </c>
      <c r="R30" s="7">
        <f>HOTEL!AS32</f>
        <v>0</v>
      </c>
      <c r="S30" s="7">
        <f>HOTEL!AU32</f>
        <v>0</v>
      </c>
      <c r="T30" s="7">
        <f>HOTEL!AW32</f>
        <v>0</v>
      </c>
      <c r="U30" s="7">
        <f>HOTEL!AY32</f>
        <v>0</v>
      </c>
      <c r="V30" s="7">
        <f>HOTEL!BA32</f>
        <v>0</v>
      </c>
      <c r="W30" s="7">
        <f>HOTEL!BM32</f>
        <v>30</v>
      </c>
      <c r="X30" s="7">
        <f>HOTEL!BT32</f>
        <v>10</v>
      </c>
      <c r="Y30" s="7">
        <f>HOTEL!CO32</f>
        <v>3.9039999999964494</v>
      </c>
      <c r="Z30" s="7">
        <f>HOTEL!CR31</f>
        <v>0</v>
      </c>
      <c r="AA30" s="7">
        <f>HOTEL!CU32</f>
        <v>0</v>
      </c>
      <c r="AB30" s="8">
        <f>HOTEL!CX32</f>
        <v>0</v>
      </c>
      <c r="AC30" s="7">
        <f>HOTEL!DA32</f>
        <v>3.3460000000013044</v>
      </c>
      <c r="AD30" s="8">
        <f>HOTEL!DD32</f>
        <v>0</v>
      </c>
      <c r="AE30" s="7">
        <f>HOTEL!DG32</f>
        <v>0</v>
      </c>
      <c r="AF30" s="7">
        <f>HOTEL!DJ32</f>
        <v>0</v>
      </c>
      <c r="AG30" s="7">
        <f>HOTEL!DM32</f>
        <v>0</v>
      </c>
      <c r="AH30" s="7">
        <f>HOTEL!DP32</f>
        <v>0</v>
      </c>
      <c r="AI30" s="7">
        <f>HOTEL!DS32</f>
        <v>0</v>
      </c>
      <c r="AJ30" s="7">
        <f>HOTEL!DV32</f>
        <v>16.73</v>
      </c>
      <c r="AK30" s="7">
        <f>TOTAL!K30</f>
        <v>2</v>
      </c>
    </row>
    <row r="31" spans="1:37">
      <c r="A31" s="2" t="s">
        <v>19</v>
      </c>
      <c r="B31" s="7">
        <f t="shared" si="1"/>
        <v>30</v>
      </c>
      <c r="C31" s="7">
        <v>3</v>
      </c>
      <c r="D31" s="7">
        <v>2021</v>
      </c>
      <c r="E31" s="7">
        <f>TOTAL!E31</f>
        <v>5597</v>
      </c>
      <c r="F31" s="7">
        <f>HOTEL!R33</f>
        <v>47</v>
      </c>
      <c r="G31" s="7">
        <f>HOTEL!T33</f>
        <v>0</v>
      </c>
      <c r="H31" s="8">
        <f>HOTEL!DX33</f>
        <v>0</v>
      </c>
      <c r="I31" s="8">
        <f>HOTEL!DZ33</f>
        <v>0</v>
      </c>
      <c r="J31" s="8">
        <f>HOTEL!EB33</f>
        <v>0</v>
      </c>
      <c r="K31" s="8">
        <f>HOTEL!ED33</f>
        <v>0</v>
      </c>
      <c r="L31" s="7">
        <f t="shared" si="2"/>
        <v>10</v>
      </c>
      <c r="M31" s="7">
        <f>HOTEL!AE33</f>
        <v>0</v>
      </c>
      <c r="N31" s="7">
        <f>HOTEL!AI33</f>
        <v>0</v>
      </c>
      <c r="O31" s="7">
        <f>HOTEL!AM33</f>
        <v>1</v>
      </c>
      <c r="P31" s="7">
        <f>HOTEL!AO33</f>
        <v>1</v>
      </c>
      <c r="Q31" s="7">
        <f>HOTEL!AQ33</f>
        <v>0</v>
      </c>
      <c r="R31" s="7">
        <f>HOTEL!AS33</f>
        <v>0</v>
      </c>
      <c r="S31" s="7">
        <f>HOTEL!AU33</f>
        <v>0</v>
      </c>
      <c r="T31" s="7">
        <f>HOTEL!AW33</f>
        <v>0</v>
      </c>
      <c r="U31" s="7">
        <f>HOTEL!AY33</f>
        <v>0</v>
      </c>
      <c r="V31" s="7">
        <f>HOTEL!BA33</f>
        <v>0</v>
      </c>
      <c r="W31" s="7">
        <f>HOTEL!BM33</f>
        <v>10</v>
      </c>
      <c r="X31" s="7">
        <f>HOTEL!BT33</f>
        <v>0</v>
      </c>
      <c r="Y31" s="7">
        <f>HOTEL!CO33</f>
        <v>2.9280000000106519</v>
      </c>
      <c r="Z31" s="7">
        <f>HOTEL!CR32</f>
        <v>0</v>
      </c>
      <c r="AA31" s="7">
        <f>HOTEL!CU33</f>
        <v>0</v>
      </c>
      <c r="AB31" s="8">
        <f>HOTEL!CX33</f>
        <v>0</v>
      </c>
      <c r="AC31" s="7">
        <f>HOTEL!DA33</f>
        <v>1.4339999999986959</v>
      </c>
      <c r="AD31" s="8">
        <f>HOTEL!DD33</f>
        <v>0</v>
      </c>
      <c r="AE31" s="7">
        <f>HOTEL!DG33</f>
        <v>0</v>
      </c>
      <c r="AF31" s="7">
        <f>HOTEL!DJ33</f>
        <v>0</v>
      </c>
      <c r="AG31" s="7">
        <f>HOTEL!DM33</f>
        <v>0</v>
      </c>
      <c r="AH31" s="7">
        <f>HOTEL!DP33</f>
        <v>0</v>
      </c>
      <c r="AI31" s="7">
        <f>HOTEL!DS33</f>
        <v>0</v>
      </c>
      <c r="AJ31" s="7">
        <f>HOTEL!DV33</f>
        <v>5.2579999999995657</v>
      </c>
      <c r="AK31" s="7">
        <f>TOTAL!K31</f>
        <v>2</v>
      </c>
    </row>
    <row r="32" spans="1:37">
      <c r="A32" s="2" t="s">
        <v>19</v>
      </c>
      <c r="B32" s="7">
        <f t="shared" si="1"/>
        <v>31</v>
      </c>
      <c r="C32" s="7">
        <v>3</v>
      </c>
      <c r="D32" s="7">
        <v>2021</v>
      </c>
      <c r="E32" s="7">
        <f>TOTAL!E32</f>
        <v>0</v>
      </c>
      <c r="F32" s="7">
        <f>HOTEL!R34</f>
        <v>0</v>
      </c>
      <c r="G32" s="7">
        <f>HOTEL!T34</f>
        <v>0</v>
      </c>
      <c r="H32" s="8">
        <f>HOTEL!DX34</f>
        <v>-12871</v>
      </c>
      <c r="I32" s="8">
        <f>HOTEL!DZ34</f>
        <v>0</v>
      </c>
      <c r="J32" s="8">
        <f>HOTEL!EB34</f>
        <v>0</v>
      </c>
      <c r="K32" s="8">
        <f>HOTEL!ED34</f>
        <v>0</v>
      </c>
      <c r="L32" s="7">
        <f t="shared" ref="L32" si="3">N32+W32+X32</f>
        <v>0</v>
      </c>
      <c r="M32" s="7">
        <f>HOTEL!AE34</f>
        <v>0</v>
      </c>
      <c r="N32" s="7">
        <f>HOTEL!AI34</f>
        <v>0</v>
      </c>
      <c r="O32" s="7">
        <f>HOTEL!AM34</f>
        <v>0</v>
      </c>
      <c r="P32" s="7">
        <f>HOTEL!AO34</f>
        <v>0</v>
      </c>
      <c r="Q32" s="7">
        <f>HOTEL!AQ34</f>
        <v>0</v>
      </c>
      <c r="R32" s="7">
        <f>HOTEL!AS34</f>
        <v>0</v>
      </c>
      <c r="S32" s="7">
        <f>HOTEL!AU34</f>
        <v>0</v>
      </c>
      <c r="T32" s="7">
        <f>HOTEL!AW34</f>
        <v>0</v>
      </c>
      <c r="U32" s="7">
        <f>HOTEL!AY34</f>
        <v>0</v>
      </c>
      <c r="V32" s="7">
        <f>HOTEL!BA34</f>
        <v>0</v>
      </c>
      <c r="W32" s="7">
        <f>HOTEL!BM34</f>
        <v>0</v>
      </c>
      <c r="X32" s="7">
        <f>HOTEL!BT34</f>
        <v>0</v>
      </c>
      <c r="Y32" s="7">
        <f>HOTEL!CO34</f>
        <v>0</v>
      </c>
      <c r="Z32" s="7">
        <f>HOTEL!CR33</f>
        <v>0</v>
      </c>
      <c r="AA32" s="7">
        <f>HOTEL!CU34</f>
        <v>0</v>
      </c>
      <c r="AB32" s="8">
        <f>HOTEL!CX34</f>
        <v>0</v>
      </c>
      <c r="AC32" s="7">
        <f>HOTEL!DA34</f>
        <v>0</v>
      </c>
      <c r="AD32" s="8">
        <f>HOTEL!DD34</f>
        <v>0</v>
      </c>
      <c r="AE32" s="7">
        <f>HOTEL!DG34</f>
        <v>0</v>
      </c>
      <c r="AF32" s="7">
        <f>HOTEL!DJ34</f>
        <v>0</v>
      </c>
      <c r="AG32" s="7">
        <f>HOTEL!DM34</f>
        <v>0</v>
      </c>
      <c r="AH32" s="7">
        <f>HOTEL!DP34</f>
        <v>0</v>
      </c>
      <c r="AI32" s="7">
        <f>HOTEL!DS34</f>
        <v>0</v>
      </c>
      <c r="AJ32" s="7">
        <f>HOTEL!DV34</f>
        <v>0</v>
      </c>
      <c r="AK32" s="7">
        <f>TOTAL!K32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EN55"/>
  <sheetViews>
    <sheetView tabSelected="1" zoomScale="85" zoomScaleNormal="85" workbookViewId="0">
      <pane xSplit="1" ySplit="2" topLeftCell="DI3" activePane="bottomRight" state="frozen"/>
      <selection pane="bottomRight" activeCell="DW2" sqref="DW2"/>
      <selection pane="bottomLeft" activeCell="A3" sqref="A3"/>
      <selection pane="topRight" activeCell="B1" sqref="B1"/>
    </sheetView>
  </sheetViews>
  <sheetFormatPr defaultRowHeight="12.75"/>
  <cols>
    <col min="1" max="1" width="8.85546875" style="7" customWidth="1"/>
    <col min="2" max="2" width="11" style="20" customWidth="1"/>
    <col min="3" max="3" width="10.5703125" style="11" bestFit="1" customWidth="1"/>
    <col min="4" max="4" width="11.140625" style="7" bestFit="1" customWidth="1"/>
    <col min="5" max="5" width="11" style="11" bestFit="1" customWidth="1"/>
    <col min="6" max="6" width="8.85546875" style="7" customWidth="1"/>
    <col min="7" max="7" width="9.42578125" style="7" bestFit="1" customWidth="1"/>
    <col min="8" max="8" width="9.42578125" style="7" customWidth="1"/>
    <col min="9" max="9" width="8.85546875" style="7" customWidth="1"/>
    <col min="10" max="10" width="8.85546875" style="12" customWidth="1"/>
    <col min="11" max="11" width="8.85546875" style="7" customWidth="1"/>
    <col min="12" max="12" width="8.85546875" style="12" customWidth="1"/>
    <col min="13" max="13" width="8.85546875" style="7" customWidth="1"/>
    <col min="14" max="14" width="8.85546875" style="12" customWidth="1"/>
    <col min="15" max="15" width="8.85546875" style="7" customWidth="1"/>
    <col min="16" max="16" width="8.85546875" style="12" customWidth="1"/>
    <col min="17" max="17" width="11.7109375" style="7" customWidth="1"/>
    <col min="18" max="18" width="9.85546875" style="12" bestFit="1" customWidth="1"/>
    <col min="19" max="19" width="15" style="7" customWidth="1"/>
    <col min="20" max="20" width="13.28515625" style="12" customWidth="1"/>
    <col min="21" max="21" width="8.85546875" style="7" customWidth="1"/>
    <col min="22" max="22" width="8.85546875" style="12" customWidth="1"/>
    <col min="23" max="23" width="8.85546875" style="7" customWidth="1"/>
    <col min="24" max="24" width="12" style="7" bestFit="1" customWidth="1"/>
    <col min="25" max="25" width="8.85546875" style="12" customWidth="1"/>
    <col min="26" max="26" width="8.85546875" style="7" customWidth="1"/>
    <col min="27" max="27" width="8.85546875" style="12" bestFit="1" customWidth="1"/>
    <col min="28" max="28" width="8.85546875" style="7" customWidth="1"/>
    <col min="29" max="29" width="8.85546875" style="12" bestFit="1" customWidth="1"/>
    <col min="30" max="30" width="13.7109375" style="7" bestFit="1" customWidth="1"/>
    <col min="31" max="31" width="8.85546875" style="12" customWidth="1"/>
    <col min="32" max="33" width="0" style="7" hidden="1" customWidth="1"/>
    <col min="34" max="34" width="8.85546875" style="7" customWidth="1"/>
    <col min="35" max="35" width="9.7109375" style="12" bestFit="1" customWidth="1"/>
    <col min="36" max="36" width="8.85546875" style="7" customWidth="1"/>
    <col min="37" max="37" width="9.7109375" style="12" bestFit="1" customWidth="1"/>
    <col min="38" max="38" width="8.85546875" style="7" customWidth="1"/>
    <col min="39" max="39" width="8.85546875" style="12" customWidth="1"/>
    <col min="40" max="40" width="8.85546875" style="7" customWidth="1"/>
    <col min="41" max="41" width="8.85546875" style="12" customWidth="1"/>
    <col min="42" max="42" width="8.85546875" style="7" customWidth="1"/>
    <col min="43" max="43" width="8.85546875" style="12" customWidth="1"/>
    <col min="44" max="44" width="8.85546875" style="7" customWidth="1"/>
    <col min="45" max="45" width="8.85546875" style="12" customWidth="1"/>
    <col min="46" max="46" width="8.85546875" style="7" customWidth="1"/>
    <col min="47" max="47" width="8.85546875" style="12" customWidth="1"/>
    <col min="48" max="48" width="8.85546875" style="7" customWidth="1"/>
    <col min="49" max="49" width="8.85546875" style="12" customWidth="1"/>
    <col min="50" max="50" width="8.85546875" style="7" customWidth="1"/>
    <col min="51" max="51" width="8.85546875" style="12" customWidth="1"/>
    <col min="52" max="52" width="8.85546875" style="7" customWidth="1"/>
    <col min="53" max="53" width="8.85546875" style="12" customWidth="1"/>
    <col min="54" max="54" width="12.85546875" style="7" bestFit="1" customWidth="1"/>
    <col min="55" max="55" width="8.5703125" style="12" bestFit="1" customWidth="1"/>
    <col min="56" max="56" width="13.140625" style="7" bestFit="1" customWidth="1"/>
    <col min="57" max="57" width="8.42578125" style="12" bestFit="1" customWidth="1"/>
    <col min="58" max="58" width="15.42578125" style="7" customWidth="1"/>
    <col min="59" max="59" width="8.85546875" style="12" customWidth="1"/>
    <col min="60" max="60" width="17.28515625" style="7" bestFit="1" customWidth="1"/>
    <col min="61" max="61" width="8.85546875" style="12" customWidth="1"/>
    <col min="62" max="62" width="14.85546875" style="7" bestFit="1" customWidth="1"/>
    <col min="63" max="63" width="10.7109375" style="7" bestFit="1" customWidth="1"/>
    <col min="64" max="64" width="9.28515625" style="7" bestFit="1" customWidth="1"/>
    <col min="65" max="65" width="9.7109375" style="7" bestFit="1" customWidth="1"/>
    <col min="66" max="66" width="9.28515625" style="7" bestFit="1" customWidth="1"/>
    <col min="67" max="67" width="9.7109375" style="7" bestFit="1" customWidth="1"/>
    <col min="68" max="68" width="8.85546875" style="7" customWidth="1"/>
    <col min="69" max="69" width="9.7109375" style="7" bestFit="1" customWidth="1"/>
    <col min="70" max="70" width="8.85546875" style="7" customWidth="1"/>
    <col min="71" max="72" width="9.7109375" style="7" bestFit="1" customWidth="1"/>
    <col min="73" max="73" width="8.85546875" style="7" customWidth="1"/>
    <col min="74" max="74" width="9.7109375" style="7" bestFit="1" customWidth="1"/>
    <col min="75" max="75" width="10.28515625" style="7" customWidth="1"/>
    <col min="76" max="76" width="10.5703125" style="7" bestFit="1" customWidth="1"/>
    <col min="77" max="77" width="6" style="7" customWidth="1"/>
    <col min="78" max="78" width="9.42578125" style="7" customWidth="1"/>
    <col min="79" max="79" width="10" style="7" bestFit="1" customWidth="1"/>
    <col min="80" max="80" width="9.28515625" style="7" bestFit="1" customWidth="1"/>
    <col min="81" max="81" width="10.5703125" style="7" bestFit="1" customWidth="1"/>
    <col min="82" max="87" width="8.85546875" style="7" customWidth="1"/>
    <col min="88" max="88" width="10.5703125" style="7" bestFit="1" customWidth="1"/>
    <col min="89" max="89" width="10.140625" style="7" bestFit="1" customWidth="1"/>
    <col min="90" max="90" width="10.5703125" style="7" bestFit="1" customWidth="1"/>
    <col min="91" max="91" width="12.140625" style="7" bestFit="1" customWidth="1"/>
    <col min="92" max="92" width="8.85546875" style="7" customWidth="1"/>
    <col min="93" max="93" width="10.7109375" style="7" bestFit="1" customWidth="1"/>
    <col min="94" max="94" width="11.5703125" style="7" bestFit="1" customWidth="1"/>
    <col min="95" max="95" width="8.7109375" style="7" customWidth="1"/>
    <col min="96" max="96" width="14.5703125" style="7" bestFit="1" customWidth="1"/>
    <col min="97" max="97" width="8.7109375" style="7" bestFit="1" customWidth="1"/>
    <col min="98" max="98" width="8.85546875" style="7" customWidth="1"/>
    <col min="99" max="99" width="11.7109375" style="7" bestFit="1" customWidth="1"/>
    <col min="100" max="101" width="8.85546875" style="7" customWidth="1"/>
    <col min="102" max="102" width="9.7109375" style="7" bestFit="1" customWidth="1"/>
    <col min="103" max="126" width="8.85546875" style="7" customWidth="1"/>
    <col min="127" max="130" width="8.7109375" style="7" customWidth="1"/>
    <col min="131" max="134" width="8.85546875" style="7" customWidth="1"/>
    <col min="135" max="135" width="12" style="7" customWidth="1"/>
    <col min="136" max="137" width="9.140625" style="7"/>
    <col min="138" max="138" width="12" style="7" customWidth="1"/>
    <col min="139" max="16384" width="9.140625" style="7"/>
  </cols>
  <sheetData>
    <row r="1" spans="1:143" s="25" customFormat="1" ht="39.75" customHeight="1">
      <c r="B1" s="89" t="s">
        <v>52</v>
      </c>
      <c r="C1" s="90"/>
      <c r="D1" s="90"/>
      <c r="E1" s="90"/>
      <c r="F1" s="90"/>
      <c r="G1" s="90"/>
      <c r="H1" s="90"/>
      <c r="I1" s="91" t="s">
        <v>53</v>
      </c>
      <c r="J1" s="91"/>
      <c r="K1" s="91"/>
      <c r="L1" s="91"/>
      <c r="M1" s="91" t="s">
        <v>54</v>
      </c>
      <c r="N1" s="91"/>
      <c r="O1" s="91"/>
      <c r="P1" s="91"/>
      <c r="Q1" s="26" t="s">
        <v>55</v>
      </c>
      <c r="R1" s="77" t="s">
        <v>56</v>
      </c>
      <c r="S1" s="27" t="s">
        <v>22</v>
      </c>
      <c r="T1" s="28" t="s">
        <v>56</v>
      </c>
      <c r="U1" s="89" t="s">
        <v>57</v>
      </c>
      <c r="V1" s="92"/>
      <c r="W1" s="29" t="s">
        <v>58</v>
      </c>
      <c r="X1" s="29"/>
      <c r="Y1" s="29"/>
      <c r="Z1" s="30"/>
      <c r="AA1" s="30"/>
      <c r="AB1" s="93" t="s">
        <v>59</v>
      </c>
      <c r="AC1" s="93"/>
      <c r="AD1" s="78" t="s">
        <v>60</v>
      </c>
      <c r="AE1" s="78"/>
      <c r="AF1" s="29" t="s">
        <v>61</v>
      </c>
      <c r="AG1" s="78" t="s">
        <v>56</v>
      </c>
      <c r="AH1" s="94" t="s">
        <v>62</v>
      </c>
      <c r="AI1" s="95"/>
      <c r="AJ1" s="94" t="s">
        <v>63</v>
      </c>
      <c r="AK1" s="95"/>
      <c r="AL1" s="89" t="s">
        <v>64</v>
      </c>
      <c r="AM1" s="92"/>
      <c r="AN1" s="89" t="s">
        <v>65</v>
      </c>
      <c r="AO1" s="92"/>
      <c r="AP1" s="89" t="s">
        <v>66</v>
      </c>
      <c r="AQ1" s="92"/>
      <c r="AR1" s="89" t="s">
        <v>67</v>
      </c>
      <c r="AS1" s="92"/>
      <c r="AT1" s="89" t="s">
        <v>68</v>
      </c>
      <c r="AU1" s="92"/>
      <c r="AV1" s="89" t="s">
        <v>69</v>
      </c>
      <c r="AW1" s="92"/>
      <c r="AX1" s="89" t="s">
        <v>70</v>
      </c>
      <c r="AY1" s="92"/>
      <c r="AZ1" s="89" t="s">
        <v>71</v>
      </c>
      <c r="BA1" s="92"/>
      <c r="BB1" s="31"/>
      <c r="BC1" s="31"/>
      <c r="BD1" s="31"/>
      <c r="BE1" s="31"/>
      <c r="BF1" s="31"/>
      <c r="BG1" s="31"/>
      <c r="BH1" s="78"/>
      <c r="BI1" s="78"/>
      <c r="BJ1" s="78"/>
      <c r="BK1" s="78"/>
      <c r="BL1" s="94" t="s">
        <v>72</v>
      </c>
      <c r="BM1" s="95"/>
      <c r="BN1" s="94" t="s">
        <v>73</v>
      </c>
      <c r="BO1" s="95"/>
      <c r="BP1" s="89" t="s">
        <v>74</v>
      </c>
      <c r="BQ1" s="92"/>
      <c r="BR1" s="94" t="s">
        <v>75</v>
      </c>
      <c r="BS1" s="95"/>
      <c r="BT1" s="30"/>
      <c r="BU1" s="30"/>
      <c r="BV1" s="30"/>
      <c r="BW1" s="32" t="s">
        <v>76</v>
      </c>
      <c r="BX1" s="33"/>
      <c r="BY1" s="33"/>
      <c r="BZ1" s="33"/>
      <c r="CA1" s="34" t="s">
        <v>77</v>
      </c>
      <c r="CB1" s="35"/>
      <c r="CV1" s="85" t="s">
        <v>78</v>
      </c>
      <c r="CW1" s="86"/>
      <c r="CX1" s="87"/>
      <c r="CY1" s="89" t="s">
        <v>64</v>
      </c>
      <c r="CZ1" s="90"/>
      <c r="DA1" s="92"/>
      <c r="DB1" s="85" t="s">
        <v>65</v>
      </c>
      <c r="DC1" s="86"/>
      <c r="DD1" s="87"/>
      <c r="DE1" s="85" t="s">
        <v>66</v>
      </c>
      <c r="DF1" s="86"/>
      <c r="DG1" s="87"/>
      <c r="DH1" s="85" t="s">
        <v>67</v>
      </c>
      <c r="DI1" s="86"/>
      <c r="DJ1" s="87"/>
      <c r="DK1" s="85" t="s">
        <v>68</v>
      </c>
      <c r="DL1" s="86"/>
      <c r="DM1" s="87"/>
      <c r="DN1" s="85" t="s">
        <v>69</v>
      </c>
      <c r="DO1" s="86"/>
      <c r="DP1" s="87"/>
      <c r="DQ1" s="85" t="s">
        <v>70</v>
      </c>
      <c r="DR1" s="86"/>
      <c r="DS1" s="87"/>
      <c r="DT1" s="85" t="s">
        <v>71</v>
      </c>
      <c r="DU1" s="86"/>
      <c r="DV1" s="87"/>
      <c r="DW1" s="36"/>
      <c r="DX1" s="36"/>
      <c r="DY1" s="36"/>
      <c r="DZ1" s="36"/>
      <c r="EH1" s="88" t="s">
        <v>79</v>
      </c>
      <c r="EI1" s="88"/>
      <c r="EJ1" s="88"/>
    </row>
    <row r="2" spans="1:143" customFormat="1" ht="38.25">
      <c r="A2" s="37" t="s">
        <v>80</v>
      </c>
      <c r="B2" s="38" t="s">
        <v>81</v>
      </c>
      <c r="C2" s="39" t="s">
        <v>56</v>
      </c>
      <c r="D2" s="40" t="s">
        <v>82</v>
      </c>
      <c r="E2" s="41" t="s">
        <v>56</v>
      </c>
      <c r="F2" s="40" t="s">
        <v>83</v>
      </c>
      <c r="G2" s="42" t="s">
        <v>84</v>
      </c>
      <c r="H2" s="43" t="s">
        <v>85</v>
      </c>
      <c r="K2" s="44"/>
      <c r="L2" s="40"/>
      <c r="M2" s="45"/>
      <c r="N2" s="40"/>
      <c r="O2" s="40"/>
      <c r="P2" s="40"/>
      <c r="Q2" s="40"/>
      <c r="R2" s="40"/>
      <c r="S2" s="46"/>
      <c r="T2" s="47"/>
      <c r="U2" s="40" t="s">
        <v>86</v>
      </c>
      <c r="V2" s="48" t="s">
        <v>56</v>
      </c>
      <c r="W2" s="49"/>
      <c r="X2" s="49" t="s">
        <v>87</v>
      </c>
      <c r="Y2" s="49" t="s">
        <v>88</v>
      </c>
      <c r="Z2" s="50" t="s">
        <v>89</v>
      </c>
      <c r="AA2" s="50"/>
      <c r="AB2" s="49" t="s">
        <v>90</v>
      </c>
      <c r="AC2" s="49" t="s">
        <v>56</v>
      </c>
      <c r="AD2" s="49"/>
      <c r="AE2" s="49" t="s">
        <v>56</v>
      </c>
      <c r="AF2" s="49"/>
      <c r="AG2" s="49"/>
      <c r="AH2" s="40" t="s">
        <v>91</v>
      </c>
      <c r="AI2" s="40" t="s">
        <v>92</v>
      </c>
      <c r="AJ2" s="40"/>
      <c r="AK2" s="40"/>
      <c r="AL2" s="40" t="s">
        <v>93</v>
      </c>
      <c r="AM2" s="40" t="s">
        <v>88</v>
      </c>
      <c r="AN2" s="40" t="s">
        <v>65</v>
      </c>
      <c r="AO2" s="40" t="s">
        <v>88</v>
      </c>
      <c r="AP2" s="40" t="s">
        <v>66</v>
      </c>
      <c r="AQ2" s="40" t="s">
        <v>88</v>
      </c>
      <c r="AR2" s="40" t="s">
        <v>67</v>
      </c>
      <c r="AS2" s="40" t="s">
        <v>92</v>
      </c>
      <c r="AT2" s="40" t="s">
        <v>68</v>
      </c>
      <c r="AU2" s="40" t="s">
        <v>92</v>
      </c>
      <c r="AV2" s="40" t="s">
        <v>69</v>
      </c>
      <c r="AW2" s="40" t="s">
        <v>92</v>
      </c>
      <c r="AX2" s="40" t="s">
        <v>70</v>
      </c>
      <c r="AY2" s="40" t="s">
        <v>88</v>
      </c>
      <c r="AZ2" s="40" t="s">
        <v>71</v>
      </c>
      <c r="BA2" s="40" t="s">
        <v>88</v>
      </c>
      <c r="BB2" s="40" t="s">
        <v>94</v>
      </c>
      <c r="BC2" s="40" t="s">
        <v>88</v>
      </c>
      <c r="BD2" s="40" t="s">
        <v>95</v>
      </c>
      <c r="BE2" s="40" t="s">
        <v>88</v>
      </c>
      <c r="BF2" s="40" t="s">
        <v>96</v>
      </c>
      <c r="BG2" s="40" t="s">
        <v>88</v>
      </c>
      <c r="BH2" s="49" t="s">
        <v>97</v>
      </c>
      <c r="BI2" s="49" t="s">
        <v>92</v>
      </c>
      <c r="BJ2" s="49" t="s">
        <v>98</v>
      </c>
      <c r="BK2" s="49" t="s">
        <v>99</v>
      </c>
      <c r="BL2" s="40" t="s">
        <v>100</v>
      </c>
      <c r="BM2" s="40" t="s">
        <v>92</v>
      </c>
      <c r="BN2" s="40"/>
      <c r="BO2" s="40"/>
      <c r="BP2" s="40" t="s">
        <v>101</v>
      </c>
      <c r="BQ2" s="40" t="s">
        <v>92</v>
      </c>
      <c r="BR2" s="40"/>
      <c r="BS2" s="40"/>
      <c r="BT2" s="49" t="s">
        <v>101</v>
      </c>
      <c r="BU2" s="50" t="s">
        <v>102</v>
      </c>
      <c r="BV2" s="50" t="s">
        <v>103</v>
      </c>
      <c r="BW2" s="51" t="s">
        <v>104</v>
      </c>
      <c r="BX2" s="52" t="s">
        <v>105</v>
      </c>
      <c r="BY2" s="52" t="s">
        <v>106</v>
      </c>
      <c r="BZ2" s="52" t="s">
        <v>56</v>
      </c>
      <c r="CA2" s="40" t="s">
        <v>107</v>
      </c>
      <c r="CB2" s="40" t="s">
        <v>92</v>
      </c>
      <c r="CC2" s="49" t="s">
        <v>108</v>
      </c>
      <c r="CD2" s="49" t="s">
        <v>109</v>
      </c>
      <c r="CE2" s="49" t="s">
        <v>105</v>
      </c>
      <c r="CF2" s="49" t="s">
        <v>110</v>
      </c>
      <c r="CG2" s="53" t="s">
        <v>105</v>
      </c>
      <c r="CH2" s="49" t="s">
        <v>111</v>
      </c>
      <c r="CI2" s="49" t="s">
        <v>105</v>
      </c>
      <c r="CJ2" s="49" t="s">
        <v>112</v>
      </c>
      <c r="CK2" s="54" t="s">
        <v>92</v>
      </c>
      <c r="CL2" s="54" t="s">
        <v>113</v>
      </c>
      <c r="CM2" s="54" t="s">
        <v>114</v>
      </c>
      <c r="CN2" s="54" t="s">
        <v>115</v>
      </c>
      <c r="CO2" s="54" t="s">
        <v>116</v>
      </c>
      <c r="CP2" s="54" t="s">
        <v>117</v>
      </c>
      <c r="CQ2" s="54" t="s">
        <v>115</v>
      </c>
      <c r="CR2" s="54" t="s">
        <v>116</v>
      </c>
      <c r="CS2" s="54" t="s">
        <v>118</v>
      </c>
      <c r="CT2" s="54" t="s">
        <v>115</v>
      </c>
      <c r="CU2" s="54" t="s">
        <v>116</v>
      </c>
      <c r="CV2" s="40"/>
      <c r="CW2" s="54" t="s">
        <v>115</v>
      </c>
      <c r="CX2" s="54" t="s">
        <v>116</v>
      </c>
      <c r="CY2" s="40"/>
      <c r="CZ2" s="54" t="s">
        <v>115</v>
      </c>
      <c r="DA2" s="54" t="s">
        <v>116</v>
      </c>
      <c r="DB2" s="40"/>
      <c r="DC2" s="54" t="s">
        <v>115</v>
      </c>
      <c r="DD2" s="54" t="s">
        <v>116</v>
      </c>
      <c r="DE2" s="40"/>
      <c r="DF2" s="54" t="s">
        <v>115</v>
      </c>
      <c r="DG2" s="54" t="s">
        <v>116</v>
      </c>
      <c r="DH2" s="40"/>
      <c r="DI2" s="54" t="s">
        <v>115</v>
      </c>
      <c r="DJ2" s="54" t="s">
        <v>116</v>
      </c>
      <c r="DK2" s="40"/>
      <c r="DL2" s="54" t="s">
        <v>115</v>
      </c>
      <c r="DM2" s="54" t="s">
        <v>116</v>
      </c>
      <c r="DN2" s="40"/>
      <c r="DO2" s="54" t="s">
        <v>115</v>
      </c>
      <c r="DP2" s="54" t="s">
        <v>116</v>
      </c>
      <c r="DQ2" s="40"/>
      <c r="DR2" s="54" t="s">
        <v>115</v>
      </c>
      <c r="DS2" s="54" t="s">
        <v>116</v>
      </c>
      <c r="DT2" s="40"/>
      <c r="DU2" s="54" t="s">
        <v>115</v>
      </c>
      <c r="DV2" s="54" t="s">
        <v>116</v>
      </c>
      <c r="DW2" s="55">
        <v>145</v>
      </c>
      <c r="DX2" s="22" t="s">
        <v>56</v>
      </c>
      <c r="DY2" s="55">
        <v>146</v>
      </c>
      <c r="DZ2" s="56" t="s">
        <v>56</v>
      </c>
      <c r="EA2" s="56" t="s">
        <v>119</v>
      </c>
      <c r="EB2" s="56" t="s">
        <v>56</v>
      </c>
      <c r="EC2" s="56" t="s">
        <v>120</v>
      </c>
      <c r="ED2" s="56" t="s">
        <v>56</v>
      </c>
      <c r="EE2" s="9" t="s">
        <v>121</v>
      </c>
      <c r="EF2" s="9" t="s">
        <v>122</v>
      </c>
      <c r="EG2" s="57" t="s">
        <v>123</v>
      </c>
      <c r="EH2" s="56" t="s">
        <v>124</v>
      </c>
      <c r="EI2" s="56" t="s">
        <v>125</v>
      </c>
      <c r="EJ2" s="22" t="s">
        <v>126</v>
      </c>
    </row>
    <row r="3" spans="1:143" s="20" customFormat="1" ht="15">
      <c r="A3" s="96">
        <v>44286</v>
      </c>
      <c r="B3" s="97">
        <v>6662838</v>
      </c>
      <c r="C3" s="98">
        <v>6616</v>
      </c>
      <c r="D3" s="97">
        <v>5903454</v>
      </c>
      <c r="E3" s="98">
        <v>6355</v>
      </c>
      <c r="F3" s="22">
        <v>0.96055018137847648</v>
      </c>
      <c r="G3" s="99">
        <v>528</v>
      </c>
      <c r="H3" s="99">
        <v>478</v>
      </c>
      <c r="I3" s="100">
        <v>288023</v>
      </c>
      <c r="J3" s="101">
        <v>0</v>
      </c>
      <c r="K3" s="102">
        <v>774</v>
      </c>
      <c r="L3" s="101">
        <v>0</v>
      </c>
      <c r="M3" s="103">
        <v>633922</v>
      </c>
      <c r="N3" s="98">
        <v>0</v>
      </c>
      <c r="O3" s="103">
        <v>992</v>
      </c>
      <c r="P3" s="101">
        <v>0</v>
      </c>
      <c r="Q3" s="97">
        <v>2547758</v>
      </c>
      <c r="R3" s="101">
        <v>28</v>
      </c>
      <c r="S3" s="97">
        <v>2191644</v>
      </c>
      <c r="T3" s="101">
        <v>1</v>
      </c>
      <c r="U3" s="97">
        <v>109262</v>
      </c>
      <c r="V3" s="101">
        <v>34</v>
      </c>
      <c r="W3" s="74">
        <v>100</v>
      </c>
      <c r="X3" s="103">
        <v>152370</v>
      </c>
      <c r="Y3" s="101">
        <v>0</v>
      </c>
      <c r="Z3" s="103">
        <v>39583</v>
      </c>
      <c r="AA3" s="106">
        <v>7</v>
      </c>
      <c r="AB3" s="103">
        <v>1112</v>
      </c>
      <c r="AC3" s="107">
        <v>0</v>
      </c>
      <c r="AD3" s="103">
        <v>4582</v>
      </c>
      <c r="AE3" s="108">
        <v>7</v>
      </c>
      <c r="AH3" s="97">
        <v>580130</v>
      </c>
      <c r="AI3" s="101">
        <v>0</v>
      </c>
      <c r="AJ3" s="112">
        <v>467</v>
      </c>
      <c r="AK3" s="98">
        <v>0</v>
      </c>
      <c r="AL3" s="97">
        <v>52228</v>
      </c>
      <c r="AM3" s="113">
        <v>0</v>
      </c>
      <c r="AN3" s="97">
        <v>8913</v>
      </c>
      <c r="AO3" s="98">
        <v>1</v>
      </c>
      <c r="AP3" s="97">
        <v>10571</v>
      </c>
      <c r="AQ3" s="101">
        <v>0</v>
      </c>
      <c r="AR3" s="97">
        <v>14553</v>
      </c>
      <c r="AS3" s="101">
        <v>0</v>
      </c>
      <c r="AT3" s="97">
        <v>19369</v>
      </c>
      <c r="AU3" s="113">
        <v>0</v>
      </c>
      <c r="AV3" s="97">
        <v>20677</v>
      </c>
      <c r="AW3" s="106">
        <v>0</v>
      </c>
      <c r="AX3" s="97">
        <v>13871</v>
      </c>
      <c r="AY3" s="106">
        <v>0</v>
      </c>
      <c r="AZ3" s="97">
        <v>6218</v>
      </c>
      <c r="BA3" s="108">
        <v>0</v>
      </c>
      <c r="BB3" s="97">
        <v>26469</v>
      </c>
      <c r="BC3" s="108">
        <v>1</v>
      </c>
      <c r="BD3" s="97">
        <v>1115</v>
      </c>
      <c r="BE3" s="108">
        <v>0</v>
      </c>
      <c r="BF3" s="97">
        <v>4363</v>
      </c>
      <c r="BG3" s="108">
        <v>0</v>
      </c>
      <c r="BH3" s="97">
        <v>3636</v>
      </c>
      <c r="BI3" s="98">
        <v>0</v>
      </c>
      <c r="BJ3" s="106">
        <v>0</v>
      </c>
      <c r="BK3" s="106">
        <v>0</v>
      </c>
      <c r="BL3" s="103">
        <v>600840</v>
      </c>
      <c r="BM3" s="106">
        <v>10</v>
      </c>
      <c r="BN3" s="118">
        <v>709</v>
      </c>
      <c r="BO3" s="117">
        <v>0</v>
      </c>
      <c r="BP3" s="103">
        <v>778580</v>
      </c>
      <c r="BQ3" s="106">
        <v>10</v>
      </c>
      <c r="BR3" s="118">
        <v>6623</v>
      </c>
      <c r="BS3" s="106">
        <v>1</v>
      </c>
      <c r="BT3" s="117">
        <v>10</v>
      </c>
      <c r="BU3" s="106">
        <v>20</v>
      </c>
      <c r="BV3" s="119">
        <v>1</v>
      </c>
      <c r="BW3" s="97">
        <v>125</v>
      </c>
      <c r="BX3" s="120">
        <v>15594.962224985846</v>
      </c>
      <c r="BY3" s="121"/>
      <c r="BZ3" s="122">
        <v>0</v>
      </c>
      <c r="CA3" s="123">
        <v>206465</v>
      </c>
      <c r="CB3" s="106">
        <v>0.70000000001164153</v>
      </c>
      <c r="CC3" s="117">
        <v>3.9970000000664729</v>
      </c>
      <c r="CD3" s="123">
        <v>39</v>
      </c>
      <c r="CE3" s="126">
        <v>4202.25</v>
      </c>
      <c r="CF3" s="123">
        <v>38</v>
      </c>
      <c r="CG3" s="127">
        <v>4094.5</v>
      </c>
      <c r="CH3" s="123">
        <v>40</v>
      </c>
      <c r="CI3" s="128">
        <v>4310</v>
      </c>
      <c r="CJ3" s="129">
        <v>12606.75</v>
      </c>
      <c r="CK3" s="130">
        <v>0</v>
      </c>
      <c r="CL3" s="131"/>
      <c r="CM3" s="97">
        <v>34504.800000000003</v>
      </c>
      <c r="CN3" s="106">
        <v>1.9000000000014552</v>
      </c>
      <c r="CO3" s="117">
        <v>4.6360000000035502</v>
      </c>
      <c r="CP3" s="97">
        <v>34300</v>
      </c>
      <c r="CQ3" s="106">
        <v>0</v>
      </c>
      <c r="CR3" s="117">
        <v>0</v>
      </c>
      <c r="CS3" s="103">
        <v>10235.6</v>
      </c>
      <c r="CT3" s="106">
        <v>0</v>
      </c>
      <c r="CU3" s="117">
        <v>0</v>
      </c>
      <c r="CV3" s="103">
        <v>832145</v>
      </c>
      <c r="CW3" s="106">
        <v>0</v>
      </c>
      <c r="CX3" s="117">
        <v>0</v>
      </c>
      <c r="CY3" s="97">
        <v>5970</v>
      </c>
      <c r="CZ3" s="106">
        <v>1</v>
      </c>
      <c r="DA3" s="117">
        <v>2.39</v>
      </c>
      <c r="DB3" s="97">
        <v>7420</v>
      </c>
      <c r="DC3" s="106">
        <v>0</v>
      </c>
      <c r="DD3" s="106">
        <v>0</v>
      </c>
      <c r="DE3" s="103">
        <v>3840</v>
      </c>
      <c r="DF3" s="106">
        <v>0</v>
      </c>
      <c r="DG3" s="106">
        <v>0</v>
      </c>
      <c r="DH3" s="97">
        <v>1855.9</v>
      </c>
      <c r="DI3" s="106">
        <v>0</v>
      </c>
      <c r="DJ3" s="106">
        <v>0</v>
      </c>
      <c r="DK3" s="97">
        <v>5081.7</v>
      </c>
      <c r="DL3" s="106">
        <v>0</v>
      </c>
      <c r="DM3" s="106">
        <v>0</v>
      </c>
      <c r="DN3" s="97">
        <v>4454.7</v>
      </c>
      <c r="DO3" s="106">
        <v>0</v>
      </c>
      <c r="DP3" s="106">
        <v>0</v>
      </c>
      <c r="DQ3" s="97">
        <v>5089.6000000000004</v>
      </c>
      <c r="DR3" s="106">
        <v>0</v>
      </c>
      <c r="DS3" s="106">
        <v>0</v>
      </c>
      <c r="DT3" s="97">
        <v>4939.8</v>
      </c>
      <c r="DU3" s="106">
        <v>1.8000000000001819</v>
      </c>
      <c r="DV3" s="117">
        <v>4.3020000000004348</v>
      </c>
      <c r="DW3" s="121">
        <v>12871</v>
      </c>
      <c r="DX3" s="117">
        <v>0</v>
      </c>
      <c r="DY3" s="121">
        <v>62789</v>
      </c>
      <c r="DZ3" s="133">
        <v>0</v>
      </c>
      <c r="EA3" s="97">
        <v>15588</v>
      </c>
      <c r="EB3" s="133">
        <v>0</v>
      </c>
      <c r="EC3" s="97">
        <v>24679</v>
      </c>
      <c r="ED3" s="133">
        <v>0</v>
      </c>
      <c r="EE3" s="97">
        <v>3</v>
      </c>
      <c r="EF3" s="97">
        <v>7</v>
      </c>
      <c r="EG3" s="134">
        <v>2.3E-2</v>
      </c>
      <c r="EH3" s="58"/>
      <c r="EI3" s="58"/>
      <c r="EJ3" s="58"/>
      <c r="EK3"/>
      <c r="EL3"/>
      <c r="EM3"/>
    </row>
    <row r="4" spans="1:143" ht="15">
      <c r="A4" s="96">
        <v>44287</v>
      </c>
      <c r="B4" s="104">
        <v>6669857</v>
      </c>
      <c r="C4" s="98">
        <f t="shared" ref="C4:C33" si="0">IF((B4-B3)&lt;0,"0",(B4-B3))</f>
        <v>7019</v>
      </c>
      <c r="D4" s="103">
        <v>5910086</v>
      </c>
      <c r="E4" s="98">
        <f t="shared" ref="E4:E33" si="1">IF((D4-D3)&lt;0,"0",(D4-D3))</f>
        <v>6632</v>
      </c>
      <c r="F4" s="22">
        <f t="shared" ref="F4:F33" si="2">E4/C4</f>
        <v>0.94486394073229807</v>
      </c>
      <c r="G4" s="99">
        <v>378</v>
      </c>
      <c r="H4" s="99">
        <v>578</v>
      </c>
      <c r="I4" s="100">
        <v>288023</v>
      </c>
      <c r="J4" s="101">
        <f t="shared" ref="J4:N33" si="3">IF((I4-I3)&lt;0,"0",(I4-I3))</f>
        <v>0</v>
      </c>
      <c r="K4" s="102">
        <v>774</v>
      </c>
      <c r="L4" s="101">
        <f t="shared" ref="L4:L6" si="4">IF((K4-K3)&lt;0,"0",(K4-K3))</f>
        <v>0</v>
      </c>
      <c r="M4" s="103">
        <v>633922</v>
      </c>
      <c r="N4" s="101">
        <f t="shared" ref="N4:N6" si="5">IF((M4-M3)&lt;0,"0",(M4-M3))</f>
        <v>0</v>
      </c>
      <c r="O4" s="103">
        <v>992</v>
      </c>
      <c r="P4" s="101">
        <f t="shared" ref="P4:P33" si="6">IF((O4-O3)&lt;0,"0",(O4-O3))</f>
        <v>0</v>
      </c>
      <c r="Q4" s="103">
        <v>2547872</v>
      </c>
      <c r="R4" s="101">
        <f t="shared" ref="R4:T19" si="7">(Q4-Q3)</f>
        <v>114</v>
      </c>
      <c r="S4" s="103">
        <v>2191646</v>
      </c>
      <c r="T4" s="101">
        <f t="shared" si="7"/>
        <v>2</v>
      </c>
      <c r="U4" s="99">
        <v>109298</v>
      </c>
      <c r="V4" s="101">
        <v>34</v>
      </c>
      <c r="W4" s="74">
        <v>100</v>
      </c>
      <c r="X4" s="103">
        <v>152370</v>
      </c>
      <c r="Y4" s="98">
        <v>0</v>
      </c>
      <c r="Z4" s="103">
        <v>39585</v>
      </c>
      <c r="AA4" s="106">
        <f t="shared" ref="AA4:AC19" si="8">IF((Z4-Z3)&lt;0,"0",(Z4-Z3))</f>
        <v>2</v>
      </c>
      <c r="AB4" s="109">
        <v>1113</v>
      </c>
      <c r="AC4" s="107">
        <v>0</v>
      </c>
      <c r="AD4" s="102">
        <v>4585</v>
      </c>
      <c r="AE4" s="108">
        <f>(AD4-AD3)</f>
        <v>3</v>
      </c>
      <c r="AF4" s="22"/>
      <c r="AG4" s="22"/>
      <c r="AH4" s="103">
        <v>580140</v>
      </c>
      <c r="AI4" s="101">
        <f t="shared" ref="AI4:AI33" si="9">IF((AH4-AH3)&lt;0,"0",(AH4-AH3))</f>
        <v>10</v>
      </c>
      <c r="AJ4" s="114">
        <v>467</v>
      </c>
      <c r="AK4" s="98">
        <f t="shared" ref="AK4:AK33" si="10">(AJ4-AJ3)</f>
        <v>0</v>
      </c>
      <c r="AL4" s="111">
        <v>52229</v>
      </c>
      <c r="AM4" s="113">
        <f t="shared" ref="AM4:AM19" si="11">(AL4-AL3)</f>
        <v>1</v>
      </c>
      <c r="AN4" s="102">
        <v>8913</v>
      </c>
      <c r="AO4" s="98">
        <f t="shared" ref="AO4:AU19" si="12">(AN4-AN3)</f>
        <v>0</v>
      </c>
      <c r="AP4" s="103">
        <v>10571</v>
      </c>
      <c r="AQ4" s="98">
        <f t="shared" si="12"/>
        <v>0</v>
      </c>
      <c r="AR4" s="103">
        <v>14553</v>
      </c>
      <c r="AS4" s="98">
        <f t="shared" si="12"/>
        <v>0</v>
      </c>
      <c r="AT4" s="103">
        <v>19369</v>
      </c>
      <c r="AU4" s="98">
        <f t="shared" si="12"/>
        <v>0</v>
      </c>
      <c r="AV4" s="103">
        <v>20677</v>
      </c>
      <c r="AW4" s="106">
        <f t="shared" ref="AW4:AW33" si="13">IF((AV4-AV3)&lt;0,"0",(AV4-AV3))</f>
        <v>0</v>
      </c>
      <c r="AX4" s="97">
        <v>13871</v>
      </c>
      <c r="AY4" s="106">
        <f t="shared" ref="AY4:AY24" si="14">IF((AX5-AX3)&lt;0,"0",(AX5-AX3))</f>
        <v>0</v>
      </c>
      <c r="AZ4" s="103">
        <v>6218</v>
      </c>
      <c r="BA4" s="98">
        <f t="shared" ref="BA4:BA33" si="15">(AZ4-AZ3)</f>
        <v>0</v>
      </c>
      <c r="BB4" s="103">
        <v>26469</v>
      </c>
      <c r="BC4" s="98">
        <f t="shared" ref="BC4:BC33" si="16">(BB4-BB3)</f>
        <v>0</v>
      </c>
      <c r="BD4" s="103">
        <v>1115</v>
      </c>
      <c r="BE4" s="98">
        <f t="shared" ref="BE4:BE33" si="17">(BD4-BD3)</f>
        <v>0</v>
      </c>
      <c r="BF4" s="103">
        <v>4373</v>
      </c>
      <c r="BG4" s="98">
        <f t="shared" ref="BG4:BG33" si="18">(BF4-BF3)</f>
        <v>10</v>
      </c>
      <c r="BH4" s="103">
        <v>3636</v>
      </c>
      <c r="BI4" s="98">
        <v>0</v>
      </c>
      <c r="BJ4" s="106">
        <f t="shared" ref="BJ4:BJ33" si="19">AY4+AW4+AS4</f>
        <v>0</v>
      </c>
      <c r="BK4" s="106">
        <f t="shared" ref="BK4:BK33" si="20">AI4-BJ4</f>
        <v>10</v>
      </c>
      <c r="BL4" s="103">
        <v>600850</v>
      </c>
      <c r="BM4" s="106">
        <f t="shared" ref="BM4:BM12" si="21">IF((BL4-BL3)&lt;0,"0",(BL4-BL3))</f>
        <v>10</v>
      </c>
      <c r="BN4" s="118">
        <v>709</v>
      </c>
      <c r="BO4" s="98">
        <f t="shared" ref="BO4:BO31" si="22">(BN4-BN3)</f>
        <v>0</v>
      </c>
      <c r="BP4" s="103">
        <v>778590</v>
      </c>
      <c r="BQ4" s="106">
        <f t="shared" ref="BQ4:BQ33" si="23">IF((BP4-BP3)&lt;0,"0",(BP4-BP3))</f>
        <v>10</v>
      </c>
      <c r="BR4" s="118">
        <v>6624</v>
      </c>
      <c r="BS4" s="106">
        <f t="shared" ref="BS4:BS33" si="24">IF((BR4-BR3)&lt;0,"0",(BR4-BR3))</f>
        <v>1</v>
      </c>
      <c r="BT4" s="117">
        <f t="shared" ref="BT4:BT33" si="25">BQ4-AI4</f>
        <v>0</v>
      </c>
      <c r="BU4" s="106">
        <f t="shared" ref="BU4:BU33" si="26">SUM(BM4, BQ4)</f>
        <v>20</v>
      </c>
      <c r="BV4" s="119">
        <f t="shared" ref="BV4:BV33" si="27" xml:space="preserve"> SUM(AM4,AO4,AQ4,AS4,AU4,AW4,AY4,BA4,BE4)</f>
        <v>1</v>
      </c>
      <c r="BW4" s="103">
        <v>125</v>
      </c>
      <c r="BX4" s="120">
        <f t="shared" ref="BX4:BX33" si="28">(IF(BW4&lt;=116.4,((116.4*116.4*ACOS((116.4-BW4)/116.4))-((116.4-BW4)*SQRT(2*116.4*BW4-BW4*BW4)))*669.8,((3.1416*116.4*116.4)-((116.4*116.4*ACOS((116.4-(2*116.4-BW4))/116.4))-((116.4-(2*116.4-BW4))*SQRT(2*116.4*(2*116.4-BW4)-((2*116.4-BW4)*(2*116.4-BW4))))))*669.8))/1000</f>
        <v>15594.962224985846</v>
      </c>
      <c r="BY4" s="124"/>
      <c r="BZ4" s="122">
        <f t="shared" ref="BZ4:BZ33" si="29">(BY4-BY3)</f>
        <v>0</v>
      </c>
      <c r="CA4" s="100">
        <v>206465.5</v>
      </c>
      <c r="CB4" s="106">
        <f t="shared" ref="CB4:CB33" si="30">IF((CA4-CA3)&lt;0,"0",(CA4-CA3))</f>
        <v>0.5</v>
      </c>
      <c r="CC4" s="117">
        <f t="shared" ref="CC4:CC34" si="31">CB4*5.71</f>
        <v>2.855</v>
      </c>
      <c r="CD4" s="109">
        <v>39</v>
      </c>
      <c r="CE4" s="126">
        <f t="shared" ref="CE4:CE34" si="32">(CD4*10775)/100</f>
        <v>4202.25</v>
      </c>
      <c r="CF4" s="100">
        <v>38</v>
      </c>
      <c r="CG4" s="127">
        <f t="shared" ref="CG4:CG34" si="33">(CF4*10775)/100</f>
        <v>4094.5</v>
      </c>
      <c r="CH4" s="109">
        <v>40</v>
      </c>
      <c r="CI4" s="128">
        <v>4310</v>
      </c>
      <c r="CJ4" s="129">
        <f t="shared" ref="CJ4:CJ34" si="34">CE4+CG4+CI4</f>
        <v>12606.75</v>
      </c>
      <c r="CK4" s="130">
        <f t="shared" ref="CK4:CK34" si="35">IF((CJ3-CJ4+CL3)=CJ3,"0",(CJ3-CJ4+CL3))</f>
        <v>0</v>
      </c>
      <c r="CL4" s="103"/>
      <c r="CM4" s="103">
        <v>34506.199999999997</v>
      </c>
      <c r="CN4" s="106">
        <f t="shared" ref="CN4:CN34" si="36">IF((CM4-CM3)&lt;0,"0",(CM4-CM3))</f>
        <v>1.3999999999941792</v>
      </c>
      <c r="CO4" s="117">
        <f t="shared" ref="CO4:CO34" si="37">CN4*2.44</f>
        <v>3.4159999999857971</v>
      </c>
      <c r="CP4" s="97">
        <v>34300</v>
      </c>
      <c r="CQ4" s="106">
        <f t="shared" ref="CQ4:CQ33" si="38">IF((CP4-CP3)&lt;0,"0",(CP4-CP3))</f>
        <v>0</v>
      </c>
      <c r="CR4" s="117">
        <f t="shared" ref="CR4:CR33" si="39">CQ4*2.44</f>
        <v>0</v>
      </c>
      <c r="CS4" s="103">
        <v>10235.6</v>
      </c>
      <c r="CT4" s="106">
        <v>0</v>
      </c>
      <c r="CU4" s="117">
        <f t="shared" ref="CU4:CU34" si="40">CT4*2.44</f>
        <v>0</v>
      </c>
      <c r="CV4" s="103">
        <v>832145</v>
      </c>
      <c r="CW4" s="106">
        <f t="shared" ref="CW4:CW34" si="41">IF((CV4-CV3)&lt;0,"0",(CV4-CV3))</f>
        <v>0</v>
      </c>
      <c r="CX4" s="117">
        <f t="shared" ref="CX4:CX34" si="42">CW4*2.44</f>
        <v>0</v>
      </c>
      <c r="CY4" s="102">
        <v>5970</v>
      </c>
      <c r="CZ4" s="106">
        <f t="shared" ref="CZ4:CZ34" si="43">IF((CY4-CY3)&lt;0,"0",(CY4-CY3))</f>
        <v>0</v>
      </c>
      <c r="DA4" s="117">
        <f t="shared" ref="DA4:DA34" si="44">CZ4*2.39</f>
        <v>0</v>
      </c>
      <c r="DB4" s="103">
        <v>7420</v>
      </c>
      <c r="DC4" s="106">
        <f t="shared" ref="DC4:DD19" si="45">IF((DB4-DB3)&lt;0,"0",(DB4-DB3))</f>
        <v>0</v>
      </c>
      <c r="DD4" s="106">
        <f t="shared" si="45"/>
        <v>0</v>
      </c>
      <c r="DE4" s="103">
        <v>3840</v>
      </c>
      <c r="DF4" s="106">
        <f t="shared" ref="DF4:DS19" si="46">IF((DE4-DE3)&lt;0,"0",(DE4-DE3))</f>
        <v>0</v>
      </c>
      <c r="DG4" s="106">
        <f t="shared" si="46"/>
        <v>0</v>
      </c>
      <c r="DH4" s="103">
        <v>1855.9</v>
      </c>
      <c r="DI4" s="106">
        <f t="shared" si="46"/>
        <v>0</v>
      </c>
      <c r="DJ4" s="106">
        <f t="shared" si="46"/>
        <v>0</v>
      </c>
      <c r="DK4" s="103">
        <v>5081.7</v>
      </c>
      <c r="DL4" s="106">
        <f t="shared" si="46"/>
        <v>0</v>
      </c>
      <c r="DM4" s="106">
        <f t="shared" si="46"/>
        <v>0</v>
      </c>
      <c r="DN4" s="103">
        <v>4454.7</v>
      </c>
      <c r="DO4" s="106">
        <f t="shared" si="46"/>
        <v>0</v>
      </c>
      <c r="DP4" s="106">
        <f t="shared" si="46"/>
        <v>0</v>
      </c>
      <c r="DQ4" s="103">
        <v>5089.6000000000004</v>
      </c>
      <c r="DR4" s="106">
        <f t="shared" si="46"/>
        <v>0</v>
      </c>
      <c r="DS4" s="106">
        <f t="shared" si="46"/>
        <v>0</v>
      </c>
      <c r="DT4" s="103">
        <v>4943.7</v>
      </c>
      <c r="DU4" s="106">
        <f t="shared" ref="DU4:DU34" si="47">IF((DT4-DT3)&lt;0,"0",(DT4-DT3))</f>
        <v>3.8999999999996362</v>
      </c>
      <c r="DV4" s="117">
        <f t="shared" ref="DV4:DV34" si="48">DU4*2.39</f>
        <v>9.3209999999991311</v>
      </c>
      <c r="DW4" s="124">
        <v>12871</v>
      </c>
      <c r="DX4" s="117">
        <f>(DW4-DW3)</f>
        <v>0</v>
      </c>
      <c r="DY4" s="124">
        <v>62789</v>
      </c>
      <c r="DZ4" s="117">
        <f t="shared" ref="DZ4:EB19" si="49">(DY4-DY3)</f>
        <v>0</v>
      </c>
      <c r="EA4" s="135">
        <v>15588</v>
      </c>
      <c r="EB4" s="117">
        <f t="shared" si="49"/>
        <v>0</v>
      </c>
      <c r="EC4" s="97">
        <v>24679</v>
      </c>
      <c r="ED4" s="117">
        <f t="shared" ref="ED4:ED33" si="50">(EC4-EC3)</f>
        <v>0</v>
      </c>
      <c r="EE4" s="135">
        <v>3</v>
      </c>
      <c r="EF4" s="136">
        <v>7</v>
      </c>
      <c r="EG4" s="134">
        <v>2.3E-2</v>
      </c>
      <c r="EH4" s="82"/>
      <c r="EI4" s="58"/>
      <c r="EJ4" s="58"/>
      <c r="EK4"/>
      <c r="EL4"/>
      <c r="EM4"/>
    </row>
    <row r="5" spans="1:143" ht="15">
      <c r="A5" s="96">
        <v>44288</v>
      </c>
      <c r="B5" s="99">
        <v>6677225</v>
      </c>
      <c r="C5" s="98">
        <f t="shared" si="0"/>
        <v>7368</v>
      </c>
      <c r="D5" s="99">
        <v>5917107</v>
      </c>
      <c r="E5" s="98">
        <f t="shared" si="1"/>
        <v>7021</v>
      </c>
      <c r="F5" s="22">
        <f t="shared" si="2"/>
        <v>0.95290445168295335</v>
      </c>
      <c r="G5" s="99">
        <v>400</v>
      </c>
      <c r="H5" s="99">
        <v>528</v>
      </c>
      <c r="I5" s="100">
        <v>288023</v>
      </c>
      <c r="J5" s="101">
        <f t="shared" si="3"/>
        <v>0</v>
      </c>
      <c r="K5" s="102">
        <v>774</v>
      </c>
      <c r="L5" s="101">
        <f t="shared" si="4"/>
        <v>0</v>
      </c>
      <c r="M5" s="103">
        <v>633922</v>
      </c>
      <c r="N5" s="101">
        <f t="shared" si="5"/>
        <v>0</v>
      </c>
      <c r="O5" s="103">
        <v>992</v>
      </c>
      <c r="P5" s="101">
        <f t="shared" si="6"/>
        <v>0</v>
      </c>
      <c r="Q5" s="103">
        <v>2547899</v>
      </c>
      <c r="R5" s="101">
        <f t="shared" si="7"/>
        <v>27</v>
      </c>
      <c r="S5" s="103">
        <v>2191649</v>
      </c>
      <c r="T5" s="101">
        <f t="shared" si="7"/>
        <v>3</v>
      </c>
      <c r="U5" s="103">
        <v>109331</v>
      </c>
      <c r="V5" s="101">
        <v>34</v>
      </c>
      <c r="W5" s="74">
        <v>100</v>
      </c>
      <c r="X5" s="103">
        <v>152370</v>
      </c>
      <c r="Y5" s="98">
        <v>0</v>
      </c>
      <c r="Z5" s="110">
        <v>39589</v>
      </c>
      <c r="AA5" s="106">
        <f t="shared" si="8"/>
        <v>4</v>
      </c>
      <c r="AB5" s="111">
        <v>1113</v>
      </c>
      <c r="AC5" s="107">
        <f t="shared" si="8"/>
        <v>0</v>
      </c>
      <c r="AD5" s="100">
        <v>4585</v>
      </c>
      <c r="AE5" s="108">
        <f>(AD5-AD4)</f>
        <v>0</v>
      </c>
      <c r="AF5" s="22"/>
      <c r="AG5" s="22"/>
      <c r="AH5" s="99">
        <v>580140</v>
      </c>
      <c r="AI5" s="101">
        <f t="shared" si="9"/>
        <v>0</v>
      </c>
      <c r="AJ5" s="114">
        <v>467</v>
      </c>
      <c r="AK5" s="98">
        <f t="shared" si="10"/>
        <v>0</v>
      </c>
      <c r="AL5" s="109">
        <v>52229</v>
      </c>
      <c r="AM5" s="113">
        <f t="shared" si="11"/>
        <v>0</v>
      </c>
      <c r="AN5" s="100">
        <v>8913</v>
      </c>
      <c r="AO5" s="98">
        <f t="shared" si="12"/>
        <v>0</v>
      </c>
      <c r="AP5" s="99">
        <v>10571</v>
      </c>
      <c r="AQ5" s="98">
        <f t="shared" si="12"/>
        <v>0</v>
      </c>
      <c r="AR5" s="99">
        <v>14553</v>
      </c>
      <c r="AS5" s="98">
        <f t="shared" si="12"/>
        <v>0</v>
      </c>
      <c r="AT5" s="103">
        <v>19369</v>
      </c>
      <c r="AU5" s="98">
        <f t="shared" si="12"/>
        <v>0</v>
      </c>
      <c r="AV5" s="103">
        <v>20677</v>
      </c>
      <c r="AW5" s="106">
        <f t="shared" si="13"/>
        <v>0</v>
      </c>
      <c r="AX5" s="103">
        <v>13871</v>
      </c>
      <c r="AY5" s="106">
        <f t="shared" si="14"/>
        <v>0</v>
      </c>
      <c r="AZ5" s="103">
        <v>6218</v>
      </c>
      <c r="BA5" s="98">
        <f t="shared" si="15"/>
        <v>0</v>
      </c>
      <c r="BB5" s="99">
        <v>26470</v>
      </c>
      <c r="BC5" s="98">
        <f t="shared" si="16"/>
        <v>1</v>
      </c>
      <c r="BD5" s="99">
        <v>1115</v>
      </c>
      <c r="BE5" s="98">
        <f t="shared" si="17"/>
        <v>0</v>
      </c>
      <c r="BF5" s="99">
        <v>4373</v>
      </c>
      <c r="BG5" s="98">
        <f t="shared" si="18"/>
        <v>0</v>
      </c>
      <c r="BH5" s="103">
        <v>3636</v>
      </c>
      <c r="BI5" s="98">
        <f t="shared" ref="BI5:BI33" si="51">(BH5-BH4)</f>
        <v>0</v>
      </c>
      <c r="BJ5" s="106">
        <f t="shared" si="19"/>
        <v>0</v>
      </c>
      <c r="BK5" s="106">
        <f t="shared" si="20"/>
        <v>0</v>
      </c>
      <c r="BL5" s="99">
        <v>600880</v>
      </c>
      <c r="BM5" s="106">
        <f t="shared" si="21"/>
        <v>30</v>
      </c>
      <c r="BN5" s="114">
        <v>709</v>
      </c>
      <c r="BO5" s="98">
        <f t="shared" si="22"/>
        <v>0</v>
      </c>
      <c r="BP5" s="103">
        <v>778590</v>
      </c>
      <c r="BQ5" s="106">
        <f t="shared" si="23"/>
        <v>0</v>
      </c>
      <c r="BR5" s="114">
        <v>6626</v>
      </c>
      <c r="BS5" s="106">
        <f t="shared" si="24"/>
        <v>2</v>
      </c>
      <c r="BT5" s="117">
        <f t="shared" si="25"/>
        <v>0</v>
      </c>
      <c r="BU5" s="106">
        <f t="shared" si="26"/>
        <v>30</v>
      </c>
      <c r="BV5" s="119">
        <f t="shared" si="27"/>
        <v>0</v>
      </c>
      <c r="BW5" s="103">
        <v>125</v>
      </c>
      <c r="BX5" s="120">
        <f t="shared" si="28"/>
        <v>15594.962224985846</v>
      </c>
      <c r="BY5" s="125"/>
      <c r="BZ5" s="122">
        <f t="shared" si="29"/>
        <v>0</v>
      </c>
      <c r="CA5" s="99">
        <v>206466.2</v>
      </c>
      <c r="CB5" s="106">
        <f t="shared" si="30"/>
        <v>0.70000000001164153</v>
      </c>
      <c r="CC5" s="117">
        <f t="shared" si="31"/>
        <v>3.9970000000664729</v>
      </c>
      <c r="CD5" s="109">
        <v>39</v>
      </c>
      <c r="CE5" s="126">
        <f t="shared" si="32"/>
        <v>4202.25</v>
      </c>
      <c r="CF5" s="100">
        <v>38</v>
      </c>
      <c r="CG5" s="127">
        <f t="shared" si="33"/>
        <v>4094.5</v>
      </c>
      <c r="CH5" s="109">
        <v>39</v>
      </c>
      <c r="CI5" s="128">
        <f t="shared" ref="CI5:CI34" si="52">(CH5*10775)/100</f>
        <v>4202.25</v>
      </c>
      <c r="CJ5" s="129">
        <f t="shared" si="34"/>
        <v>12499</v>
      </c>
      <c r="CK5" s="130">
        <f t="shared" si="35"/>
        <v>107.75</v>
      </c>
      <c r="CL5" s="103"/>
      <c r="CM5" s="99">
        <v>34507.800000000003</v>
      </c>
      <c r="CN5" s="106">
        <f t="shared" si="36"/>
        <v>1.6000000000058208</v>
      </c>
      <c r="CO5" s="117">
        <f t="shared" si="37"/>
        <v>3.9040000000142028</v>
      </c>
      <c r="CP5" s="103">
        <v>34300</v>
      </c>
      <c r="CQ5" s="106">
        <f t="shared" si="38"/>
        <v>0</v>
      </c>
      <c r="CR5" s="117">
        <f t="shared" si="39"/>
        <v>0</v>
      </c>
      <c r="CS5" s="103">
        <v>10235.6</v>
      </c>
      <c r="CT5" s="106">
        <v>0</v>
      </c>
      <c r="CU5" s="117">
        <f t="shared" si="40"/>
        <v>0</v>
      </c>
      <c r="CV5" s="103">
        <v>832145</v>
      </c>
      <c r="CW5" s="106">
        <f t="shared" si="41"/>
        <v>0</v>
      </c>
      <c r="CX5" s="117">
        <f t="shared" si="42"/>
        <v>0</v>
      </c>
      <c r="CY5" s="103">
        <v>5971</v>
      </c>
      <c r="CZ5" s="106">
        <f t="shared" si="43"/>
        <v>1</v>
      </c>
      <c r="DA5" s="117">
        <f t="shared" si="44"/>
        <v>2.39</v>
      </c>
      <c r="DB5" s="99">
        <v>7420</v>
      </c>
      <c r="DC5" s="106">
        <f t="shared" si="45"/>
        <v>0</v>
      </c>
      <c r="DD5" s="106">
        <f t="shared" si="45"/>
        <v>0</v>
      </c>
      <c r="DE5" s="99">
        <v>3840</v>
      </c>
      <c r="DF5" s="106">
        <f t="shared" si="46"/>
        <v>0</v>
      </c>
      <c r="DG5" s="106">
        <f t="shared" si="46"/>
        <v>0</v>
      </c>
      <c r="DH5" s="103">
        <v>1855.9</v>
      </c>
      <c r="DI5" s="106">
        <f t="shared" si="46"/>
        <v>0</v>
      </c>
      <c r="DJ5" s="106">
        <f t="shared" si="46"/>
        <v>0</v>
      </c>
      <c r="DK5" s="103">
        <v>5081.7</v>
      </c>
      <c r="DL5" s="106">
        <f t="shared" si="46"/>
        <v>0</v>
      </c>
      <c r="DM5" s="106">
        <f t="shared" si="46"/>
        <v>0</v>
      </c>
      <c r="DN5" s="103">
        <v>4454.7</v>
      </c>
      <c r="DO5" s="106">
        <f t="shared" si="46"/>
        <v>0</v>
      </c>
      <c r="DP5" s="106">
        <f t="shared" si="46"/>
        <v>0</v>
      </c>
      <c r="DQ5" s="103">
        <v>5089.6000000000004</v>
      </c>
      <c r="DR5" s="106">
        <f t="shared" si="46"/>
        <v>0</v>
      </c>
      <c r="DS5" s="106">
        <f t="shared" si="46"/>
        <v>0</v>
      </c>
      <c r="DT5" s="103">
        <v>4949.8999999999996</v>
      </c>
      <c r="DU5" s="106">
        <f t="shared" si="47"/>
        <v>6.1999999999998181</v>
      </c>
      <c r="DV5" s="117">
        <f t="shared" si="48"/>
        <v>14.817999999999566</v>
      </c>
      <c r="DW5" s="124">
        <v>12871</v>
      </c>
      <c r="DX5" s="117">
        <f t="shared" ref="DX5:DX34" si="53">(DW5-DW4)</f>
        <v>0</v>
      </c>
      <c r="DY5" s="124">
        <v>62789</v>
      </c>
      <c r="DZ5" s="117">
        <f t="shared" si="49"/>
        <v>0</v>
      </c>
      <c r="EA5" s="135">
        <v>15588</v>
      </c>
      <c r="EB5" s="117">
        <f t="shared" si="49"/>
        <v>0</v>
      </c>
      <c r="EC5" s="97">
        <v>24679</v>
      </c>
      <c r="ED5" s="117">
        <f t="shared" si="50"/>
        <v>0</v>
      </c>
      <c r="EE5" s="135">
        <v>3</v>
      </c>
      <c r="EF5" s="136">
        <v>7</v>
      </c>
      <c r="EG5" s="134">
        <v>2.3E-2</v>
      </c>
      <c r="EH5" s="82"/>
      <c r="EI5" s="58"/>
      <c r="EJ5" s="58"/>
      <c r="EK5"/>
      <c r="EL5"/>
      <c r="EM5"/>
    </row>
    <row r="6" spans="1:143" s="20" customFormat="1" ht="15">
      <c r="A6" s="96">
        <v>44289</v>
      </c>
      <c r="B6" s="99">
        <v>6683601</v>
      </c>
      <c r="C6" s="98">
        <f t="shared" si="0"/>
        <v>6376</v>
      </c>
      <c r="D6" s="99">
        <v>5923125</v>
      </c>
      <c r="E6" s="98">
        <f t="shared" si="1"/>
        <v>6018</v>
      </c>
      <c r="F6" s="22">
        <f t="shared" si="2"/>
        <v>0.94385194479297363</v>
      </c>
      <c r="G6" s="99">
        <v>400</v>
      </c>
      <c r="H6" s="102">
        <v>528</v>
      </c>
      <c r="I6" s="102">
        <v>288023</v>
      </c>
      <c r="J6" s="101">
        <f t="shared" si="3"/>
        <v>0</v>
      </c>
      <c r="K6" s="102">
        <v>774</v>
      </c>
      <c r="L6" s="101">
        <f t="shared" si="4"/>
        <v>0</v>
      </c>
      <c r="M6" s="103">
        <v>633922</v>
      </c>
      <c r="N6" s="101">
        <f t="shared" si="5"/>
        <v>0</v>
      </c>
      <c r="O6" s="103">
        <v>992</v>
      </c>
      <c r="P6" s="101">
        <f t="shared" si="6"/>
        <v>0</v>
      </c>
      <c r="Q6" s="103">
        <v>2547907</v>
      </c>
      <c r="R6" s="101">
        <f t="shared" si="7"/>
        <v>8</v>
      </c>
      <c r="S6" s="103">
        <v>2191650</v>
      </c>
      <c r="T6" s="101">
        <f t="shared" si="7"/>
        <v>1</v>
      </c>
      <c r="U6" s="103">
        <v>109365</v>
      </c>
      <c r="V6" s="101">
        <v>34</v>
      </c>
      <c r="W6" s="76">
        <v>100</v>
      </c>
      <c r="X6" s="103">
        <v>152370</v>
      </c>
      <c r="Y6" s="98">
        <v>0</v>
      </c>
      <c r="Z6" s="110">
        <v>39591</v>
      </c>
      <c r="AA6" s="106">
        <f t="shared" si="8"/>
        <v>2</v>
      </c>
      <c r="AB6" s="111">
        <v>1113</v>
      </c>
      <c r="AC6" s="107">
        <f t="shared" si="8"/>
        <v>0</v>
      </c>
      <c r="AD6" s="100">
        <v>4585</v>
      </c>
      <c r="AE6" s="108">
        <f t="shared" ref="AE6:AE33" si="54">(AD6-AD5)</f>
        <v>0</v>
      </c>
      <c r="AF6" s="22"/>
      <c r="AG6" s="22"/>
      <c r="AH6" s="99">
        <v>580140</v>
      </c>
      <c r="AI6" s="101">
        <f t="shared" si="9"/>
        <v>0</v>
      </c>
      <c r="AJ6" s="114">
        <v>467</v>
      </c>
      <c r="AK6" s="98">
        <f t="shared" si="10"/>
        <v>0</v>
      </c>
      <c r="AL6" s="99">
        <v>52229</v>
      </c>
      <c r="AM6" s="113">
        <f t="shared" si="11"/>
        <v>0</v>
      </c>
      <c r="AN6" s="99">
        <v>8913</v>
      </c>
      <c r="AO6" s="98">
        <f t="shared" si="12"/>
        <v>0</v>
      </c>
      <c r="AP6" s="99">
        <v>10571</v>
      </c>
      <c r="AQ6" s="98">
        <f t="shared" si="12"/>
        <v>0</v>
      </c>
      <c r="AR6" s="99">
        <v>14553</v>
      </c>
      <c r="AS6" s="98">
        <f t="shared" si="12"/>
        <v>0</v>
      </c>
      <c r="AT6" s="103">
        <v>19369</v>
      </c>
      <c r="AU6" s="98">
        <f t="shared" si="12"/>
        <v>0</v>
      </c>
      <c r="AV6" s="103">
        <v>20677</v>
      </c>
      <c r="AW6" s="106">
        <f t="shared" si="13"/>
        <v>0</v>
      </c>
      <c r="AX6" s="103">
        <v>13871</v>
      </c>
      <c r="AY6" s="106">
        <f t="shared" si="14"/>
        <v>0</v>
      </c>
      <c r="AZ6" s="103">
        <v>6218</v>
      </c>
      <c r="BA6" s="98">
        <f t="shared" si="15"/>
        <v>0</v>
      </c>
      <c r="BB6" s="99">
        <v>26471</v>
      </c>
      <c r="BC6" s="98">
        <f t="shared" si="16"/>
        <v>1</v>
      </c>
      <c r="BD6" s="99">
        <v>1115</v>
      </c>
      <c r="BE6" s="98">
        <f t="shared" si="17"/>
        <v>0</v>
      </c>
      <c r="BF6" s="99">
        <v>4373</v>
      </c>
      <c r="BG6" s="98">
        <f t="shared" si="18"/>
        <v>0</v>
      </c>
      <c r="BH6" s="103">
        <v>3636</v>
      </c>
      <c r="BI6" s="98">
        <f t="shared" si="51"/>
        <v>0</v>
      </c>
      <c r="BJ6" s="106">
        <f t="shared" si="19"/>
        <v>0</v>
      </c>
      <c r="BK6" s="106">
        <f t="shared" si="20"/>
        <v>0</v>
      </c>
      <c r="BL6" s="99">
        <v>600890</v>
      </c>
      <c r="BM6" s="106">
        <f t="shared" si="21"/>
        <v>10</v>
      </c>
      <c r="BN6" s="114">
        <v>709</v>
      </c>
      <c r="BO6" s="98">
        <f t="shared" si="22"/>
        <v>0</v>
      </c>
      <c r="BP6" s="103">
        <v>778600</v>
      </c>
      <c r="BQ6" s="106">
        <f t="shared" si="23"/>
        <v>10</v>
      </c>
      <c r="BR6" s="114">
        <v>6626</v>
      </c>
      <c r="BS6" s="106">
        <f t="shared" si="24"/>
        <v>0</v>
      </c>
      <c r="BT6" s="117">
        <f t="shared" si="25"/>
        <v>10</v>
      </c>
      <c r="BU6" s="106">
        <f t="shared" si="26"/>
        <v>20</v>
      </c>
      <c r="BV6" s="119">
        <f t="shared" si="27"/>
        <v>0</v>
      </c>
      <c r="BW6" s="103">
        <v>125</v>
      </c>
      <c r="BX6" s="120">
        <f t="shared" si="28"/>
        <v>15594.962224985846</v>
      </c>
      <c r="BY6" s="125"/>
      <c r="BZ6" s="122">
        <f t="shared" si="29"/>
        <v>0</v>
      </c>
      <c r="CA6" s="99">
        <v>206466.6</v>
      </c>
      <c r="CB6" s="106">
        <f t="shared" si="30"/>
        <v>0.39999999999417923</v>
      </c>
      <c r="CC6" s="117">
        <f t="shared" si="31"/>
        <v>2.2839999999667633</v>
      </c>
      <c r="CD6" s="109">
        <v>39</v>
      </c>
      <c r="CE6" s="126">
        <f t="shared" si="32"/>
        <v>4202.25</v>
      </c>
      <c r="CF6" s="100">
        <v>38</v>
      </c>
      <c r="CG6" s="127">
        <f t="shared" si="33"/>
        <v>4094.5</v>
      </c>
      <c r="CH6" s="109">
        <v>39</v>
      </c>
      <c r="CI6" s="128">
        <f t="shared" si="52"/>
        <v>4202.25</v>
      </c>
      <c r="CJ6" s="129">
        <f t="shared" si="34"/>
        <v>12499</v>
      </c>
      <c r="CK6" s="130">
        <f t="shared" si="35"/>
        <v>0</v>
      </c>
      <c r="CL6" s="103"/>
      <c r="CM6" s="99">
        <v>34509</v>
      </c>
      <c r="CN6" s="106">
        <f t="shared" si="36"/>
        <v>1.1999999999970896</v>
      </c>
      <c r="CO6" s="117">
        <f t="shared" si="37"/>
        <v>2.9279999999928985</v>
      </c>
      <c r="CP6" s="103">
        <v>34300</v>
      </c>
      <c r="CQ6" s="106">
        <f t="shared" si="38"/>
        <v>0</v>
      </c>
      <c r="CR6" s="117">
        <f t="shared" si="39"/>
        <v>0</v>
      </c>
      <c r="CS6" s="103">
        <v>10235.6</v>
      </c>
      <c r="CT6" s="106">
        <v>0</v>
      </c>
      <c r="CU6" s="117">
        <f t="shared" si="40"/>
        <v>0</v>
      </c>
      <c r="CV6" s="103">
        <v>832145</v>
      </c>
      <c r="CW6" s="106">
        <f t="shared" si="41"/>
        <v>0</v>
      </c>
      <c r="CX6" s="117">
        <f t="shared" si="42"/>
        <v>0</v>
      </c>
      <c r="CY6" s="103">
        <v>5971</v>
      </c>
      <c r="CZ6" s="106">
        <f t="shared" si="43"/>
        <v>0</v>
      </c>
      <c r="DA6" s="117">
        <f t="shared" si="44"/>
        <v>0</v>
      </c>
      <c r="DB6" s="99">
        <v>7420</v>
      </c>
      <c r="DC6" s="106">
        <f t="shared" si="45"/>
        <v>0</v>
      </c>
      <c r="DD6" s="106">
        <f t="shared" si="45"/>
        <v>0</v>
      </c>
      <c r="DE6" s="99">
        <v>3840</v>
      </c>
      <c r="DF6" s="106">
        <f t="shared" si="46"/>
        <v>0</v>
      </c>
      <c r="DG6" s="106">
        <f t="shared" si="46"/>
        <v>0</v>
      </c>
      <c r="DH6" s="103">
        <v>1855.9</v>
      </c>
      <c r="DI6" s="106">
        <f t="shared" si="46"/>
        <v>0</v>
      </c>
      <c r="DJ6" s="106">
        <f t="shared" si="46"/>
        <v>0</v>
      </c>
      <c r="DK6" s="103">
        <v>5081.7</v>
      </c>
      <c r="DL6" s="106">
        <f t="shared" si="46"/>
        <v>0</v>
      </c>
      <c r="DM6" s="106">
        <f t="shared" si="46"/>
        <v>0</v>
      </c>
      <c r="DN6" s="103">
        <v>4454.7</v>
      </c>
      <c r="DO6" s="106">
        <f t="shared" si="46"/>
        <v>0</v>
      </c>
      <c r="DP6" s="106">
        <f t="shared" si="46"/>
        <v>0</v>
      </c>
      <c r="DQ6" s="103">
        <v>5089.6000000000004</v>
      </c>
      <c r="DR6" s="106">
        <f t="shared" si="46"/>
        <v>0</v>
      </c>
      <c r="DS6" s="106">
        <f t="shared" si="46"/>
        <v>0</v>
      </c>
      <c r="DT6" s="103">
        <v>4951.8</v>
      </c>
      <c r="DU6" s="106">
        <f t="shared" si="47"/>
        <v>1.9000000000005457</v>
      </c>
      <c r="DV6" s="117">
        <f t="shared" si="48"/>
        <v>4.5410000000013042</v>
      </c>
      <c r="DW6" s="124">
        <v>12871</v>
      </c>
      <c r="DX6" s="117">
        <f t="shared" si="53"/>
        <v>0</v>
      </c>
      <c r="DY6" s="124">
        <v>62789</v>
      </c>
      <c r="DZ6" s="117">
        <f t="shared" si="49"/>
        <v>0</v>
      </c>
      <c r="EA6" s="135">
        <v>15588</v>
      </c>
      <c r="EB6" s="117">
        <f t="shared" si="49"/>
        <v>0</v>
      </c>
      <c r="EC6" s="135">
        <v>24679</v>
      </c>
      <c r="ED6" s="117">
        <f t="shared" si="50"/>
        <v>0</v>
      </c>
      <c r="EE6" s="135">
        <v>3</v>
      </c>
      <c r="EF6" s="136">
        <v>7</v>
      </c>
      <c r="EG6" s="134">
        <v>2.3E-2</v>
      </c>
      <c r="EH6" s="83"/>
      <c r="EI6" s="58"/>
      <c r="EJ6" s="58"/>
      <c r="EK6"/>
      <c r="EL6"/>
      <c r="EM6"/>
    </row>
    <row r="7" spans="1:143" s="20" customFormat="1" ht="15">
      <c r="A7" s="96">
        <v>44290</v>
      </c>
      <c r="B7" s="103">
        <v>6690563</v>
      </c>
      <c r="C7" s="98">
        <f t="shared" si="0"/>
        <v>6962</v>
      </c>
      <c r="D7" s="103">
        <v>5929855</v>
      </c>
      <c r="E7" s="98">
        <f t="shared" si="1"/>
        <v>6730</v>
      </c>
      <c r="F7" s="22">
        <f t="shared" si="2"/>
        <v>0.96667624245906347</v>
      </c>
      <c r="G7" s="99">
        <v>404</v>
      </c>
      <c r="H7" s="99">
        <v>528</v>
      </c>
      <c r="I7" s="102">
        <v>288023</v>
      </c>
      <c r="J7" s="101">
        <f t="shared" si="3"/>
        <v>0</v>
      </c>
      <c r="K7" s="102">
        <v>774</v>
      </c>
      <c r="L7" s="98">
        <v>0</v>
      </c>
      <c r="M7" s="103">
        <v>633922</v>
      </c>
      <c r="N7" s="98">
        <v>0</v>
      </c>
      <c r="O7" s="103">
        <v>992</v>
      </c>
      <c r="P7" s="101">
        <f t="shared" si="6"/>
        <v>0</v>
      </c>
      <c r="Q7" s="103">
        <v>2547972</v>
      </c>
      <c r="R7" s="101">
        <f t="shared" si="7"/>
        <v>65</v>
      </c>
      <c r="S7" s="103">
        <v>2191652</v>
      </c>
      <c r="T7" s="101">
        <f t="shared" si="7"/>
        <v>2</v>
      </c>
      <c r="U7" s="103">
        <v>109396</v>
      </c>
      <c r="V7" s="101">
        <v>34</v>
      </c>
      <c r="W7" s="76">
        <v>100</v>
      </c>
      <c r="X7" s="103">
        <v>152730</v>
      </c>
      <c r="Y7" s="98">
        <v>0</v>
      </c>
      <c r="Z7" s="110">
        <v>39593</v>
      </c>
      <c r="AA7" s="106">
        <f t="shared" si="8"/>
        <v>2</v>
      </c>
      <c r="AB7" s="103">
        <v>1113</v>
      </c>
      <c r="AC7" s="107">
        <f t="shared" si="8"/>
        <v>0</v>
      </c>
      <c r="AD7" s="99">
        <v>4585</v>
      </c>
      <c r="AE7" s="108">
        <f t="shared" si="54"/>
        <v>0</v>
      </c>
      <c r="AF7" s="19"/>
      <c r="AG7" s="19"/>
      <c r="AH7" s="99">
        <v>580140</v>
      </c>
      <c r="AI7" s="101">
        <f t="shared" si="9"/>
        <v>0</v>
      </c>
      <c r="AJ7" s="114">
        <v>467</v>
      </c>
      <c r="AK7" s="98">
        <f t="shared" si="10"/>
        <v>0</v>
      </c>
      <c r="AL7" s="99">
        <v>52229</v>
      </c>
      <c r="AM7" s="113">
        <f t="shared" si="11"/>
        <v>0</v>
      </c>
      <c r="AN7" s="103">
        <v>8913</v>
      </c>
      <c r="AO7" s="98">
        <f t="shared" si="12"/>
        <v>0</v>
      </c>
      <c r="AP7" s="103">
        <v>10571</v>
      </c>
      <c r="AQ7" s="98">
        <f t="shared" si="12"/>
        <v>0</v>
      </c>
      <c r="AR7" s="99">
        <v>14553</v>
      </c>
      <c r="AS7" s="98">
        <f t="shared" si="12"/>
        <v>0</v>
      </c>
      <c r="AT7" s="103">
        <v>19369</v>
      </c>
      <c r="AU7" s="98">
        <f t="shared" si="12"/>
        <v>0</v>
      </c>
      <c r="AV7" s="103">
        <v>20677</v>
      </c>
      <c r="AW7" s="106">
        <f t="shared" si="13"/>
        <v>0</v>
      </c>
      <c r="AX7" s="103">
        <v>13871</v>
      </c>
      <c r="AY7" s="106">
        <f t="shared" si="14"/>
        <v>0</v>
      </c>
      <c r="AZ7" s="103">
        <v>6218</v>
      </c>
      <c r="BA7" s="98">
        <f t="shared" si="15"/>
        <v>0</v>
      </c>
      <c r="BB7" s="99">
        <v>26471</v>
      </c>
      <c r="BC7" s="98">
        <f t="shared" si="16"/>
        <v>0</v>
      </c>
      <c r="BD7" s="99">
        <v>1115</v>
      </c>
      <c r="BE7" s="98">
        <f t="shared" si="17"/>
        <v>0</v>
      </c>
      <c r="BF7" s="99">
        <v>4373</v>
      </c>
      <c r="BG7" s="98">
        <f t="shared" si="18"/>
        <v>0</v>
      </c>
      <c r="BH7" s="103">
        <v>3636</v>
      </c>
      <c r="BI7" s="98">
        <f t="shared" si="51"/>
        <v>0</v>
      </c>
      <c r="BJ7" s="106">
        <f t="shared" si="19"/>
        <v>0</v>
      </c>
      <c r="BK7" s="106">
        <f t="shared" si="20"/>
        <v>0</v>
      </c>
      <c r="BL7" s="99">
        <v>600900</v>
      </c>
      <c r="BM7" s="106">
        <f t="shared" si="21"/>
        <v>10</v>
      </c>
      <c r="BN7" s="114">
        <v>709</v>
      </c>
      <c r="BO7" s="98">
        <f t="shared" si="22"/>
        <v>0</v>
      </c>
      <c r="BP7" s="103">
        <v>778600</v>
      </c>
      <c r="BQ7" s="106">
        <f t="shared" si="23"/>
        <v>0</v>
      </c>
      <c r="BR7" s="114">
        <v>6628</v>
      </c>
      <c r="BS7" s="106">
        <f t="shared" si="24"/>
        <v>2</v>
      </c>
      <c r="BT7" s="117">
        <f t="shared" si="25"/>
        <v>0</v>
      </c>
      <c r="BU7" s="106">
        <f t="shared" si="26"/>
        <v>10</v>
      </c>
      <c r="BV7" s="119">
        <f t="shared" si="27"/>
        <v>0</v>
      </c>
      <c r="BW7" s="103">
        <v>125</v>
      </c>
      <c r="BX7" s="120">
        <f t="shared" si="28"/>
        <v>15594.962224985846</v>
      </c>
      <c r="BY7" s="103"/>
      <c r="BZ7" s="122">
        <f t="shared" si="29"/>
        <v>0</v>
      </c>
      <c r="CA7" s="99">
        <v>206466.8</v>
      </c>
      <c r="CB7" s="106">
        <f t="shared" si="30"/>
        <v>0.1999999999825377</v>
      </c>
      <c r="CC7" s="117">
        <f t="shared" si="31"/>
        <v>1.1419999999002903</v>
      </c>
      <c r="CD7" s="99">
        <v>39</v>
      </c>
      <c r="CE7" s="126">
        <f t="shared" si="32"/>
        <v>4202.25</v>
      </c>
      <c r="CF7" s="99">
        <v>38</v>
      </c>
      <c r="CG7" s="127">
        <f t="shared" si="33"/>
        <v>4094.5</v>
      </c>
      <c r="CH7" s="103">
        <v>39</v>
      </c>
      <c r="CI7" s="128">
        <f t="shared" si="52"/>
        <v>4202.25</v>
      </c>
      <c r="CJ7" s="129">
        <f t="shared" si="34"/>
        <v>12499</v>
      </c>
      <c r="CK7" s="130">
        <f t="shared" si="35"/>
        <v>0</v>
      </c>
      <c r="CL7" s="103"/>
      <c r="CM7" s="103">
        <v>34509.800000000003</v>
      </c>
      <c r="CN7" s="106">
        <f t="shared" si="36"/>
        <v>0.80000000000291038</v>
      </c>
      <c r="CO7" s="117">
        <f t="shared" si="37"/>
        <v>1.9520000000071014</v>
      </c>
      <c r="CP7" s="103">
        <v>34300</v>
      </c>
      <c r="CQ7" s="106">
        <f t="shared" si="38"/>
        <v>0</v>
      </c>
      <c r="CR7" s="117">
        <f t="shared" si="39"/>
        <v>0</v>
      </c>
      <c r="CS7" s="103">
        <v>10235.6</v>
      </c>
      <c r="CT7" s="106">
        <v>0</v>
      </c>
      <c r="CU7" s="117">
        <f t="shared" si="40"/>
        <v>0</v>
      </c>
      <c r="CV7" s="103">
        <v>832145</v>
      </c>
      <c r="CW7" s="106">
        <f t="shared" si="41"/>
        <v>0</v>
      </c>
      <c r="CX7" s="117">
        <f t="shared" si="42"/>
        <v>0</v>
      </c>
      <c r="CY7" s="103">
        <v>5972</v>
      </c>
      <c r="CZ7" s="106">
        <f t="shared" si="43"/>
        <v>1</v>
      </c>
      <c r="DA7" s="117">
        <f t="shared" si="44"/>
        <v>2.39</v>
      </c>
      <c r="DB7" s="103">
        <v>7420</v>
      </c>
      <c r="DC7" s="106">
        <f t="shared" si="45"/>
        <v>0</v>
      </c>
      <c r="DD7" s="106">
        <f t="shared" si="45"/>
        <v>0</v>
      </c>
      <c r="DE7" s="99">
        <v>3840</v>
      </c>
      <c r="DF7" s="106">
        <f t="shared" si="46"/>
        <v>0</v>
      </c>
      <c r="DG7" s="106">
        <f t="shared" si="46"/>
        <v>0</v>
      </c>
      <c r="DH7" s="103">
        <v>1855.9</v>
      </c>
      <c r="DI7" s="106">
        <f t="shared" si="46"/>
        <v>0</v>
      </c>
      <c r="DJ7" s="106">
        <f t="shared" si="46"/>
        <v>0</v>
      </c>
      <c r="DK7" s="103">
        <v>5081.7</v>
      </c>
      <c r="DL7" s="106">
        <f t="shared" si="46"/>
        <v>0</v>
      </c>
      <c r="DM7" s="106">
        <f t="shared" si="46"/>
        <v>0</v>
      </c>
      <c r="DN7" s="103">
        <v>4454.7</v>
      </c>
      <c r="DO7" s="106">
        <f t="shared" si="46"/>
        <v>0</v>
      </c>
      <c r="DP7" s="106">
        <f t="shared" si="46"/>
        <v>0</v>
      </c>
      <c r="DQ7" s="103">
        <v>5089.6000000000004</v>
      </c>
      <c r="DR7" s="106">
        <f t="shared" si="46"/>
        <v>0</v>
      </c>
      <c r="DS7" s="106">
        <f t="shared" si="46"/>
        <v>0</v>
      </c>
      <c r="DT7" s="103">
        <v>4955.8</v>
      </c>
      <c r="DU7" s="106">
        <f t="shared" si="47"/>
        <v>4</v>
      </c>
      <c r="DV7" s="117">
        <f t="shared" si="48"/>
        <v>9.56</v>
      </c>
      <c r="DW7" s="124">
        <v>12871</v>
      </c>
      <c r="DX7" s="117">
        <f t="shared" si="53"/>
        <v>0</v>
      </c>
      <c r="DY7" s="124">
        <v>62789</v>
      </c>
      <c r="DZ7" s="117">
        <f t="shared" si="49"/>
        <v>0</v>
      </c>
      <c r="EA7" s="135">
        <v>15588</v>
      </c>
      <c r="EB7" s="117">
        <f t="shared" si="49"/>
        <v>0</v>
      </c>
      <c r="EC7" s="135">
        <v>24679</v>
      </c>
      <c r="ED7" s="117">
        <f t="shared" si="50"/>
        <v>0</v>
      </c>
      <c r="EE7" s="135">
        <v>3</v>
      </c>
      <c r="EF7" s="136">
        <v>7</v>
      </c>
      <c r="EG7" s="134">
        <v>2.3E-2</v>
      </c>
      <c r="EH7" s="83"/>
      <c r="EI7" s="58"/>
      <c r="EJ7" s="58"/>
      <c r="EK7"/>
      <c r="EL7"/>
      <c r="EM7"/>
    </row>
    <row r="8" spans="1:143" s="20" customFormat="1" ht="15">
      <c r="A8" s="96">
        <v>44291</v>
      </c>
      <c r="B8" s="103">
        <v>6697817</v>
      </c>
      <c r="C8" s="98">
        <f t="shared" si="0"/>
        <v>7254</v>
      </c>
      <c r="D8" s="103">
        <v>5936798</v>
      </c>
      <c r="E8" s="98">
        <f t="shared" si="1"/>
        <v>6943</v>
      </c>
      <c r="F8" s="22">
        <f t="shared" si="2"/>
        <v>0.95712710228839259</v>
      </c>
      <c r="G8" s="99">
        <v>418</v>
      </c>
      <c r="H8" s="99">
        <v>528</v>
      </c>
      <c r="I8" s="100">
        <v>288023</v>
      </c>
      <c r="J8" s="101">
        <f t="shared" si="3"/>
        <v>0</v>
      </c>
      <c r="K8" s="102">
        <v>774</v>
      </c>
      <c r="L8" s="98">
        <v>0</v>
      </c>
      <c r="M8" s="103">
        <v>633922</v>
      </c>
      <c r="N8" s="98">
        <v>0</v>
      </c>
      <c r="O8" s="103">
        <v>992</v>
      </c>
      <c r="P8" s="101">
        <f t="shared" si="6"/>
        <v>0</v>
      </c>
      <c r="Q8" s="103">
        <v>2547988</v>
      </c>
      <c r="R8" s="101">
        <f t="shared" si="7"/>
        <v>16</v>
      </c>
      <c r="S8" s="103">
        <v>2191657</v>
      </c>
      <c r="T8" s="101">
        <f t="shared" si="7"/>
        <v>5</v>
      </c>
      <c r="U8" s="103">
        <v>109444</v>
      </c>
      <c r="V8" s="101">
        <v>34</v>
      </c>
      <c r="W8" s="76">
        <v>100</v>
      </c>
      <c r="X8" s="103">
        <v>152730</v>
      </c>
      <c r="Y8" s="98">
        <v>0</v>
      </c>
      <c r="Z8" s="110">
        <v>39599</v>
      </c>
      <c r="AA8" s="106">
        <f t="shared" si="8"/>
        <v>6</v>
      </c>
      <c r="AB8" s="103">
        <v>1113</v>
      </c>
      <c r="AC8" s="107">
        <f t="shared" si="8"/>
        <v>0</v>
      </c>
      <c r="AD8" s="99">
        <v>4589</v>
      </c>
      <c r="AE8" s="108">
        <f t="shared" si="54"/>
        <v>4</v>
      </c>
      <c r="AF8" s="19"/>
      <c r="AG8" s="19"/>
      <c r="AH8" s="99">
        <v>580160</v>
      </c>
      <c r="AI8" s="101">
        <f t="shared" si="9"/>
        <v>20</v>
      </c>
      <c r="AJ8" s="114">
        <v>467</v>
      </c>
      <c r="AK8" s="98">
        <f t="shared" si="10"/>
        <v>0</v>
      </c>
      <c r="AL8" s="103">
        <v>52230</v>
      </c>
      <c r="AM8" s="113">
        <f t="shared" si="11"/>
        <v>1</v>
      </c>
      <c r="AN8" s="103">
        <v>8913</v>
      </c>
      <c r="AO8" s="98">
        <f t="shared" si="12"/>
        <v>0</v>
      </c>
      <c r="AP8" s="103">
        <v>10571</v>
      </c>
      <c r="AQ8" s="98">
        <f t="shared" si="12"/>
        <v>0</v>
      </c>
      <c r="AR8" s="99">
        <v>14553</v>
      </c>
      <c r="AS8" s="98">
        <f t="shared" si="12"/>
        <v>0</v>
      </c>
      <c r="AT8" s="103">
        <v>19369</v>
      </c>
      <c r="AU8" s="98">
        <f t="shared" si="12"/>
        <v>0</v>
      </c>
      <c r="AV8" s="103">
        <v>20677</v>
      </c>
      <c r="AW8" s="106">
        <f t="shared" si="13"/>
        <v>0</v>
      </c>
      <c r="AX8" s="103">
        <v>13871</v>
      </c>
      <c r="AY8" s="106">
        <f t="shared" si="14"/>
        <v>0</v>
      </c>
      <c r="AZ8" s="103">
        <v>6218</v>
      </c>
      <c r="BA8" s="98">
        <f t="shared" si="15"/>
        <v>0</v>
      </c>
      <c r="BB8" s="103">
        <v>26472</v>
      </c>
      <c r="BC8" s="98">
        <f t="shared" si="16"/>
        <v>1</v>
      </c>
      <c r="BD8" s="99">
        <v>1115</v>
      </c>
      <c r="BE8" s="98">
        <f t="shared" si="17"/>
        <v>0</v>
      </c>
      <c r="BF8" s="99">
        <v>4374</v>
      </c>
      <c r="BG8" s="98">
        <f t="shared" si="18"/>
        <v>1</v>
      </c>
      <c r="BH8" s="103">
        <v>3636</v>
      </c>
      <c r="BI8" s="98">
        <f t="shared" si="51"/>
        <v>0</v>
      </c>
      <c r="BJ8" s="106">
        <f t="shared" si="19"/>
        <v>0</v>
      </c>
      <c r="BK8" s="106">
        <f t="shared" si="20"/>
        <v>20</v>
      </c>
      <c r="BL8" s="99">
        <v>600930</v>
      </c>
      <c r="BM8" s="106">
        <f t="shared" si="21"/>
        <v>30</v>
      </c>
      <c r="BN8" s="114">
        <v>710</v>
      </c>
      <c r="BO8" s="98">
        <f t="shared" si="22"/>
        <v>1</v>
      </c>
      <c r="BP8" s="103">
        <v>778620</v>
      </c>
      <c r="BQ8" s="106">
        <f t="shared" si="23"/>
        <v>20</v>
      </c>
      <c r="BR8" s="114">
        <v>6630</v>
      </c>
      <c r="BS8" s="106">
        <f t="shared" si="24"/>
        <v>2</v>
      </c>
      <c r="BT8" s="117">
        <f t="shared" si="25"/>
        <v>0</v>
      </c>
      <c r="BU8" s="106">
        <f t="shared" si="26"/>
        <v>50</v>
      </c>
      <c r="BV8" s="119">
        <f t="shared" si="27"/>
        <v>1</v>
      </c>
      <c r="BW8" s="103">
        <v>125</v>
      </c>
      <c r="BX8" s="120">
        <f t="shared" si="28"/>
        <v>15594.962224985846</v>
      </c>
      <c r="BY8" s="103"/>
      <c r="BZ8" s="122">
        <f t="shared" si="29"/>
        <v>0</v>
      </c>
      <c r="CA8" s="103">
        <v>206467.20000000001</v>
      </c>
      <c r="CB8" s="106">
        <f t="shared" si="30"/>
        <v>0.40000000002328306</v>
      </c>
      <c r="CC8" s="117">
        <f t="shared" si="31"/>
        <v>2.2840000001329464</v>
      </c>
      <c r="CD8" s="99">
        <v>38</v>
      </c>
      <c r="CE8" s="126">
        <f t="shared" si="32"/>
        <v>4094.5</v>
      </c>
      <c r="CF8" s="103">
        <v>38</v>
      </c>
      <c r="CG8" s="127">
        <f t="shared" si="33"/>
        <v>4094.5</v>
      </c>
      <c r="CH8" s="103">
        <v>39</v>
      </c>
      <c r="CI8" s="128">
        <f t="shared" si="52"/>
        <v>4202.25</v>
      </c>
      <c r="CJ8" s="129">
        <f t="shared" si="34"/>
        <v>12391.25</v>
      </c>
      <c r="CK8" s="130">
        <f t="shared" si="35"/>
        <v>107.75</v>
      </c>
      <c r="CL8" s="103"/>
      <c r="CM8" s="103">
        <v>34510.400000000001</v>
      </c>
      <c r="CN8" s="106">
        <f t="shared" si="36"/>
        <v>0.59999999999854481</v>
      </c>
      <c r="CO8" s="117">
        <f t="shared" si="37"/>
        <v>1.4639999999964493</v>
      </c>
      <c r="CP8" s="103">
        <v>34300</v>
      </c>
      <c r="CQ8" s="106">
        <f t="shared" si="38"/>
        <v>0</v>
      </c>
      <c r="CR8" s="117">
        <f t="shared" si="39"/>
        <v>0</v>
      </c>
      <c r="CS8" s="103">
        <v>10235.6</v>
      </c>
      <c r="CT8" s="106">
        <v>0</v>
      </c>
      <c r="CU8" s="117">
        <f t="shared" si="40"/>
        <v>0</v>
      </c>
      <c r="CV8" s="103">
        <v>832145</v>
      </c>
      <c r="CW8" s="106">
        <f t="shared" si="41"/>
        <v>0</v>
      </c>
      <c r="CX8" s="117">
        <f t="shared" si="42"/>
        <v>0</v>
      </c>
      <c r="CY8" s="103">
        <v>5973</v>
      </c>
      <c r="CZ8" s="106">
        <f t="shared" si="43"/>
        <v>1</v>
      </c>
      <c r="DA8" s="117">
        <f t="shared" si="44"/>
        <v>2.39</v>
      </c>
      <c r="DB8" s="103">
        <v>7420</v>
      </c>
      <c r="DC8" s="106">
        <f t="shared" si="45"/>
        <v>0</v>
      </c>
      <c r="DD8" s="106">
        <f t="shared" si="45"/>
        <v>0</v>
      </c>
      <c r="DE8" s="103">
        <v>3840</v>
      </c>
      <c r="DF8" s="106">
        <f t="shared" si="46"/>
        <v>0</v>
      </c>
      <c r="DG8" s="106">
        <f t="shared" si="46"/>
        <v>0</v>
      </c>
      <c r="DH8" s="103">
        <v>1855.9</v>
      </c>
      <c r="DI8" s="106">
        <f t="shared" si="46"/>
        <v>0</v>
      </c>
      <c r="DJ8" s="106">
        <f t="shared" si="46"/>
        <v>0</v>
      </c>
      <c r="DK8" s="103">
        <v>5081.7</v>
      </c>
      <c r="DL8" s="106">
        <f t="shared" si="46"/>
        <v>0</v>
      </c>
      <c r="DM8" s="106">
        <f t="shared" si="46"/>
        <v>0</v>
      </c>
      <c r="DN8" s="103">
        <v>4454.7</v>
      </c>
      <c r="DO8" s="106">
        <f t="shared" si="46"/>
        <v>0</v>
      </c>
      <c r="DP8" s="106">
        <f t="shared" si="46"/>
        <v>0</v>
      </c>
      <c r="DQ8" s="103">
        <v>5089.6000000000004</v>
      </c>
      <c r="DR8" s="106">
        <f t="shared" si="46"/>
        <v>0</v>
      </c>
      <c r="DS8" s="106">
        <f t="shared" si="46"/>
        <v>0</v>
      </c>
      <c r="DT8" s="103">
        <v>4962</v>
      </c>
      <c r="DU8" s="106">
        <f t="shared" si="47"/>
        <v>6.1999999999998181</v>
      </c>
      <c r="DV8" s="117">
        <f t="shared" si="48"/>
        <v>14.817999999999566</v>
      </c>
      <c r="DW8" s="124">
        <v>12871</v>
      </c>
      <c r="DX8" s="117">
        <f t="shared" si="53"/>
        <v>0</v>
      </c>
      <c r="DY8" s="124">
        <v>62789</v>
      </c>
      <c r="DZ8" s="117">
        <f t="shared" si="49"/>
        <v>0</v>
      </c>
      <c r="EA8" s="135">
        <v>15588</v>
      </c>
      <c r="EB8" s="117">
        <f t="shared" si="49"/>
        <v>0</v>
      </c>
      <c r="EC8" s="135">
        <v>24679</v>
      </c>
      <c r="ED8" s="117">
        <f t="shared" si="50"/>
        <v>0</v>
      </c>
      <c r="EE8" s="135">
        <v>3</v>
      </c>
      <c r="EF8" s="136">
        <v>7</v>
      </c>
      <c r="EG8" s="134">
        <v>2.3E-2</v>
      </c>
      <c r="EH8" s="83"/>
      <c r="EI8" s="58"/>
      <c r="EJ8" s="58"/>
      <c r="EK8"/>
      <c r="EL8"/>
      <c r="EM8"/>
    </row>
    <row r="9" spans="1:143" s="20" customFormat="1" ht="15">
      <c r="A9" s="96">
        <v>44292</v>
      </c>
      <c r="B9" s="103">
        <v>6705412</v>
      </c>
      <c r="C9" s="98">
        <f t="shared" si="0"/>
        <v>7595</v>
      </c>
      <c r="D9" s="103">
        <v>5944099</v>
      </c>
      <c r="E9" s="98">
        <f t="shared" si="1"/>
        <v>7301</v>
      </c>
      <c r="F9" s="22">
        <f t="shared" si="2"/>
        <v>0.96129032258064517</v>
      </c>
      <c r="G9" s="99">
        <v>478</v>
      </c>
      <c r="H9" s="99">
        <v>528</v>
      </c>
      <c r="I9" s="100">
        <v>288023</v>
      </c>
      <c r="J9" s="101">
        <f t="shared" si="3"/>
        <v>0</v>
      </c>
      <c r="K9" s="102">
        <v>774</v>
      </c>
      <c r="L9" s="98">
        <v>0</v>
      </c>
      <c r="M9" s="103">
        <v>633922</v>
      </c>
      <c r="N9" s="98">
        <v>0</v>
      </c>
      <c r="O9" s="103">
        <v>992</v>
      </c>
      <c r="P9" s="101">
        <f t="shared" si="6"/>
        <v>0</v>
      </c>
      <c r="Q9" s="103">
        <v>2547995</v>
      </c>
      <c r="R9" s="101">
        <f t="shared" si="7"/>
        <v>7</v>
      </c>
      <c r="S9" s="103">
        <v>2191658</v>
      </c>
      <c r="T9" s="101">
        <f t="shared" si="7"/>
        <v>1</v>
      </c>
      <c r="U9" s="103">
        <v>109478</v>
      </c>
      <c r="V9" s="101">
        <v>34</v>
      </c>
      <c r="W9" s="76">
        <v>100</v>
      </c>
      <c r="X9" s="103">
        <v>152730</v>
      </c>
      <c r="Y9" s="98">
        <v>0</v>
      </c>
      <c r="Z9" s="110">
        <v>39600</v>
      </c>
      <c r="AA9" s="106">
        <f t="shared" si="8"/>
        <v>1</v>
      </c>
      <c r="AB9" s="103">
        <v>1113</v>
      </c>
      <c r="AC9" s="107">
        <f t="shared" si="8"/>
        <v>0</v>
      </c>
      <c r="AD9" s="99">
        <v>4589</v>
      </c>
      <c r="AE9" s="108">
        <f t="shared" si="54"/>
        <v>0</v>
      </c>
      <c r="AF9" s="19"/>
      <c r="AG9" s="19"/>
      <c r="AH9" s="99">
        <v>580160</v>
      </c>
      <c r="AI9" s="101">
        <f t="shared" si="9"/>
        <v>0</v>
      </c>
      <c r="AJ9" s="114">
        <v>467</v>
      </c>
      <c r="AK9" s="98">
        <f t="shared" si="10"/>
        <v>0</v>
      </c>
      <c r="AL9" s="99">
        <v>52230</v>
      </c>
      <c r="AM9" s="113"/>
      <c r="AN9" s="103">
        <v>8913</v>
      </c>
      <c r="AO9" s="98">
        <f t="shared" si="12"/>
        <v>0</v>
      </c>
      <c r="AP9" s="103">
        <v>10571</v>
      </c>
      <c r="AQ9" s="98">
        <f t="shared" si="12"/>
        <v>0</v>
      </c>
      <c r="AR9" s="99">
        <v>14553</v>
      </c>
      <c r="AS9" s="98">
        <f t="shared" si="12"/>
        <v>0</v>
      </c>
      <c r="AT9" s="103">
        <v>19369</v>
      </c>
      <c r="AU9" s="98">
        <f t="shared" si="12"/>
        <v>0</v>
      </c>
      <c r="AV9" s="103">
        <v>20677</v>
      </c>
      <c r="AW9" s="106">
        <f t="shared" si="13"/>
        <v>0</v>
      </c>
      <c r="AX9" s="103">
        <v>13871</v>
      </c>
      <c r="AY9" s="106">
        <f t="shared" si="14"/>
        <v>0</v>
      </c>
      <c r="AZ9" s="103">
        <v>6218</v>
      </c>
      <c r="BA9" s="98">
        <f t="shared" si="15"/>
        <v>0</v>
      </c>
      <c r="BB9" s="99">
        <v>26473</v>
      </c>
      <c r="BC9" s="98">
        <f t="shared" si="16"/>
        <v>1</v>
      </c>
      <c r="BD9" s="99">
        <v>1115</v>
      </c>
      <c r="BE9" s="98">
        <f t="shared" si="17"/>
        <v>0</v>
      </c>
      <c r="BF9" s="99">
        <v>4374</v>
      </c>
      <c r="BG9" s="98">
        <f t="shared" si="18"/>
        <v>0</v>
      </c>
      <c r="BH9" s="103">
        <v>3636</v>
      </c>
      <c r="BI9" s="98">
        <f t="shared" si="51"/>
        <v>0</v>
      </c>
      <c r="BJ9" s="106">
        <f t="shared" si="19"/>
        <v>0</v>
      </c>
      <c r="BK9" s="106">
        <f t="shared" si="20"/>
        <v>0</v>
      </c>
      <c r="BL9" s="99">
        <v>600940</v>
      </c>
      <c r="BM9" s="106">
        <f t="shared" si="21"/>
        <v>10</v>
      </c>
      <c r="BN9" s="114">
        <v>711</v>
      </c>
      <c r="BO9" s="98">
        <f t="shared" si="22"/>
        <v>1</v>
      </c>
      <c r="BP9" s="103">
        <v>778630</v>
      </c>
      <c r="BQ9" s="106">
        <f t="shared" si="23"/>
        <v>10</v>
      </c>
      <c r="BR9" s="114">
        <v>6630</v>
      </c>
      <c r="BS9" s="106">
        <f t="shared" si="24"/>
        <v>0</v>
      </c>
      <c r="BT9" s="117">
        <f t="shared" si="25"/>
        <v>10</v>
      </c>
      <c r="BU9" s="106">
        <f t="shared" si="26"/>
        <v>20</v>
      </c>
      <c r="BV9" s="119">
        <f t="shared" si="27"/>
        <v>0</v>
      </c>
      <c r="BW9" s="103">
        <v>125</v>
      </c>
      <c r="BX9" s="120">
        <f t="shared" si="28"/>
        <v>15594.962224985846</v>
      </c>
      <c r="BY9" s="103"/>
      <c r="BZ9" s="122">
        <f t="shared" si="29"/>
        <v>0</v>
      </c>
      <c r="CA9" s="103">
        <v>206467.3</v>
      </c>
      <c r="CB9" s="106">
        <f t="shared" si="30"/>
        <v>9.9999999976716936E-2</v>
      </c>
      <c r="CC9" s="117">
        <f t="shared" si="31"/>
        <v>0.57099999986705374</v>
      </c>
      <c r="CD9" s="103">
        <v>38</v>
      </c>
      <c r="CE9" s="126">
        <f t="shared" si="32"/>
        <v>4094.5</v>
      </c>
      <c r="CF9" s="103">
        <v>38</v>
      </c>
      <c r="CG9" s="127">
        <f t="shared" si="33"/>
        <v>4094.5</v>
      </c>
      <c r="CH9" s="103">
        <v>39</v>
      </c>
      <c r="CI9" s="128">
        <f t="shared" si="52"/>
        <v>4202.25</v>
      </c>
      <c r="CJ9" s="129">
        <f t="shared" si="34"/>
        <v>12391.25</v>
      </c>
      <c r="CK9" s="130">
        <f t="shared" si="35"/>
        <v>0</v>
      </c>
      <c r="CL9" s="103"/>
      <c r="CM9" s="103">
        <v>34512.1</v>
      </c>
      <c r="CN9" s="106">
        <f t="shared" si="36"/>
        <v>1.6999999999970896</v>
      </c>
      <c r="CO9" s="117">
        <f t="shared" si="37"/>
        <v>4.1479999999928987</v>
      </c>
      <c r="CP9" s="103">
        <v>34300</v>
      </c>
      <c r="CQ9" s="106">
        <f t="shared" si="38"/>
        <v>0</v>
      </c>
      <c r="CR9" s="117">
        <f t="shared" si="39"/>
        <v>0</v>
      </c>
      <c r="CS9" s="99">
        <v>10235.6</v>
      </c>
      <c r="CT9" s="106">
        <f t="shared" ref="CT9:CT34" si="55">IF((CS9-CS8)&lt;0,"0",(CS9-CS8))</f>
        <v>0</v>
      </c>
      <c r="CU9" s="117">
        <f t="shared" si="40"/>
        <v>0</v>
      </c>
      <c r="CV9" s="103">
        <v>832145</v>
      </c>
      <c r="CW9" s="106">
        <f t="shared" si="41"/>
        <v>0</v>
      </c>
      <c r="CX9" s="117">
        <f t="shared" si="42"/>
        <v>0</v>
      </c>
      <c r="CY9" s="103">
        <v>5973</v>
      </c>
      <c r="CZ9" s="106">
        <f t="shared" si="43"/>
        <v>0</v>
      </c>
      <c r="DA9" s="117">
        <f t="shared" si="44"/>
        <v>0</v>
      </c>
      <c r="DB9" s="103">
        <v>7420</v>
      </c>
      <c r="DC9" s="106">
        <f t="shared" si="45"/>
        <v>0</v>
      </c>
      <c r="DD9" s="106">
        <f t="shared" si="45"/>
        <v>0</v>
      </c>
      <c r="DE9" s="103">
        <v>3840</v>
      </c>
      <c r="DF9" s="106">
        <f t="shared" si="46"/>
        <v>0</v>
      </c>
      <c r="DG9" s="106">
        <f t="shared" si="46"/>
        <v>0</v>
      </c>
      <c r="DH9" s="103">
        <v>1855.9</v>
      </c>
      <c r="DI9" s="106">
        <f t="shared" si="46"/>
        <v>0</v>
      </c>
      <c r="DJ9" s="106">
        <f t="shared" si="46"/>
        <v>0</v>
      </c>
      <c r="DK9" s="103">
        <v>5081.7</v>
      </c>
      <c r="DL9" s="106">
        <f t="shared" si="46"/>
        <v>0</v>
      </c>
      <c r="DM9" s="106">
        <f t="shared" si="46"/>
        <v>0</v>
      </c>
      <c r="DN9" s="103">
        <v>4454.7</v>
      </c>
      <c r="DO9" s="106">
        <f t="shared" si="46"/>
        <v>0</v>
      </c>
      <c r="DP9" s="106">
        <f t="shared" si="46"/>
        <v>0</v>
      </c>
      <c r="DQ9" s="103">
        <v>5089.6000000000004</v>
      </c>
      <c r="DR9" s="106">
        <f t="shared" si="46"/>
        <v>0</v>
      </c>
      <c r="DS9" s="106">
        <f t="shared" si="46"/>
        <v>0</v>
      </c>
      <c r="DT9" s="103">
        <v>4963.7</v>
      </c>
      <c r="DU9" s="106">
        <f t="shared" si="47"/>
        <v>1.6999999999998181</v>
      </c>
      <c r="DV9" s="117">
        <f t="shared" si="48"/>
        <v>4.0629999999995654</v>
      </c>
      <c r="DW9" s="124">
        <v>12871</v>
      </c>
      <c r="DX9" s="117">
        <f t="shared" si="53"/>
        <v>0</v>
      </c>
      <c r="DY9" s="124">
        <v>62789</v>
      </c>
      <c r="DZ9" s="117">
        <f t="shared" si="49"/>
        <v>0</v>
      </c>
      <c r="EA9" s="135">
        <v>15588</v>
      </c>
      <c r="EB9" s="117">
        <f t="shared" si="49"/>
        <v>0</v>
      </c>
      <c r="EC9" s="135">
        <v>24679</v>
      </c>
      <c r="ED9" s="117">
        <f t="shared" si="50"/>
        <v>0</v>
      </c>
      <c r="EE9" s="135">
        <v>2</v>
      </c>
      <c r="EF9" s="136">
        <v>6</v>
      </c>
      <c r="EG9" s="134">
        <v>1.4999999999999999E-2</v>
      </c>
      <c r="EH9" s="83"/>
      <c r="EI9" s="58"/>
      <c r="EJ9" s="58"/>
      <c r="EK9"/>
      <c r="EL9"/>
      <c r="EM9"/>
    </row>
    <row r="10" spans="1:143" s="20" customFormat="1" ht="15">
      <c r="A10" s="96">
        <v>44293</v>
      </c>
      <c r="B10" s="103">
        <v>6712412</v>
      </c>
      <c r="C10" s="98">
        <f t="shared" si="0"/>
        <v>7000</v>
      </c>
      <c r="D10" s="103">
        <v>5950785</v>
      </c>
      <c r="E10" s="98">
        <f t="shared" si="1"/>
        <v>6686</v>
      </c>
      <c r="F10" s="22">
        <f t="shared" si="2"/>
        <v>0.95514285714285718</v>
      </c>
      <c r="G10" s="99">
        <v>418</v>
      </c>
      <c r="H10" s="99">
        <v>528</v>
      </c>
      <c r="I10" s="100">
        <v>288023</v>
      </c>
      <c r="J10" s="101">
        <f t="shared" si="3"/>
        <v>0</v>
      </c>
      <c r="K10" s="102">
        <v>774</v>
      </c>
      <c r="L10" s="98">
        <v>0</v>
      </c>
      <c r="M10" s="103">
        <v>633922</v>
      </c>
      <c r="N10" s="98">
        <v>0</v>
      </c>
      <c r="O10" s="103">
        <v>992</v>
      </c>
      <c r="P10" s="101">
        <f t="shared" si="6"/>
        <v>0</v>
      </c>
      <c r="Q10" s="103">
        <v>2548022</v>
      </c>
      <c r="R10" s="101">
        <f t="shared" si="7"/>
        <v>27</v>
      </c>
      <c r="S10" s="103">
        <v>2191663</v>
      </c>
      <c r="T10" s="101">
        <f t="shared" si="7"/>
        <v>5</v>
      </c>
      <c r="U10" s="103">
        <v>109513</v>
      </c>
      <c r="V10" s="101">
        <v>34</v>
      </c>
      <c r="W10" s="76">
        <v>100</v>
      </c>
      <c r="X10" s="103">
        <v>152730</v>
      </c>
      <c r="Y10" s="98">
        <v>0</v>
      </c>
      <c r="Z10" s="110">
        <v>39603</v>
      </c>
      <c r="AA10" s="106">
        <f t="shared" si="8"/>
        <v>3</v>
      </c>
      <c r="AB10" s="103">
        <v>1113</v>
      </c>
      <c r="AC10" s="107">
        <f t="shared" si="8"/>
        <v>0</v>
      </c>
      <c r="AD10" s="99">
        <v>4589</v>
      </c>
      <c r="AE10" s="108">
        <f t="shared" si="54"/>
        <v>0</v>
      </c>
      <c r="AF10" s="19"/>
      <c r="AG10" s="19"/>
      <c r="AH10" s="99">
        <v>580160</v>
      </c>
      <c r="AI10" s="101">
        <f t="shared" si="9"/>
        <v>0</v>
      </c>
      <c r="AJ10" s="114">
        <v>467</v>
      </c>
      <c r="AK10" s="98">
        <f t="shared" si="10"/>
        <v>0</v>
      </c>
      <c r="AL10" s="99">
        <v>52230</v>
      </c>
      <c r="AM10" s="113">
        <f t="shared" si="11"/>
        <v>0</v>
      </c>
      <c r="AN10" s="103">
        <v>8913</v>
      </c>
      <c r="AO10" s="98">
        <f t="shared" si="12"/>
        <v>0</v>
      </c>
      <c r="AP10" s="103">
        <v>10571</v>
      </c>
      <c r="AQ10" s="98">
        <f t="shared" si="12"/>
        <v>0</v>
      </c>
      <c r="AR10" s="99">
        <v>14553</v>
      </c>
      <c r="AS10" s="98">
        <f t="shared" si="12"/>
        <v>0</v>
      </c>
      <c r="AT10" s="103">
        <v>19369</v>
      </c>
      <c r="AU10" s="98">
        <f t="shared" si="12"/>
        <v>0</v>
      </c>
      <c r="AV10" s="103">
        <v>20677</v>
      </c>
      <c r="AW10" s="106">
        <f t="shared" si="13"/>
        <v>0</v>
      </c>
      <c r="AX10" s="103">
        <v>13871</v>
      </c>
      <c r="AY10" s="106">
        <f t="shared" si="14"/>
        <v>0</v>
      </c>
      <c r="AZ10" s="103">
        <v>6218</v>
      </c>
      <c r="BA10" s="98">
        <f t="shared" si="15"/>
        <v>0</v>
      </c>
      <c r="BB10" s="99">
        <v>26473</v>
      </c>
      <c r="BC10" s="98">
        <f t="shared" si="16"/>
        <v>0</v>
      </c>
      <c r="BD10" s="99">
        <v>1115</v>
      </c>
      <c r="BE10" s="98">
        <f t="shared" si="17"/>
        <v>0</v>
      </c>
      <c r="BF10" s="99">
        <v>4374</v>
      </c>
      <c r="BG10" s="98">
        <f t="shared" si="18"/>
        <v>0</v>
      </c>
      <c r="BH10" s="103">
        <v>3636</v>
      </c>
      <c r="BI10" s="98">
        <f t="shared" si="51"/>
        <v>0</v>
      </c>
      <c r="BJ10" s="106">
        <f t="shared" si="19"/>
        <v>0</v>
      </c>
      <c r="BK10" s="106">
        <f t="shared" si="20"/>
        <v>0</v>
      </c>
      <c r="BL10" s="99">
        <v>600960</v>
      </c>
      <c r="BM10" s="106">
        <f t="shared" si="21"/>
        <v>20</v>
      </c>
      <c r="BN10" s="114">
        <v>711</v>
      </c>
      <c r="BO10" s="98">
        <f t="shared" si="22"/>
        <v>0</v>
      </c>
      <c r="BP10" s="99">
        <v>778630</v>
      </c>
      <c r="BQ10" s="106">
        <f t="shared" si="23"/>
        <v>0</v>
      </c>
      <c r="BR10" s="114">
        <v>6632</v>
      </c>
      <c r="BS10" s="106">
        <f t="shared" si="24"/>
        <v>2</v>
      </c>
      <c r="BT10" s="117">
        <f t="shared" si="25"/>
        <v>0</v>
      </c>
      <c r="BU10" s="106">
        <f t="shared" si="26"/>
        <v>20</v>
      </c>
      <c r="BV10" s="119">
        <f t="shared" si="27"/>
        <v>0</v>
      </c>
      <c r="BW10" s="103">
        <v>125</v>
      </c>
      <c r="BX10" s="120">
        <f t="shared" si="28"/>
        <v>15594.962224985846</v>
      </c>
      <c r="BY10" s="103"/>
      <c r="BZ10" s="122">
        <f t="shared" si="29"/>
        <v>0</v>
      </c>
      <c r="CA10" s="103">
        <v>206468</v>
      </c>
      <c r="CB10" s="106">
        <f t="shared" si="30"/>
        <v>0.70000000001164153</v>
      </c>
      <c r="CC10" s="117">
        <f t="shared" si="31"/>
        <v>3.9970000000664729</v>
      </c>
      <c r="CD10" s="103">
        <v>38</v>
      </c>
      <c r="CE10" s="126">
        <f t="shared" si="32"/>
        <v>4094.5</v>
      </c>
      <c r="CF10" s="103">
        <v>38</v>
      </c>
      <c r="CG10" s="127">
        <f t="shared" si="33"/>
        <v>4094.5</v>
      </c>
      <c r="CH10" s="103">
        <v>39</v>
      </c>
      <c r="CI10" s="128">
        <f t="shared" si="52"/>
        <v>4202.25</v>
      </c>
      <c r="CJ10" s="129">
        <f t="shared" si="34"/>
        <v>12391.25</v>
      </c>
      <c r="CK10" s="130">
        <f t="shared" si="35"/>
        <v>0</v>
      </c>
      <c r="CL10" s="103"/>
      <c r="CM10" s="103">
        <v>34513</v>
      </c>
      <c r="CN10" s="106">
        <f t="shared" si="36"/>
        <v>0.90000000000145519</v>
      </c>
      <c r="CO10" s="117">
        <f t="shared" si="37"/>
        <v>2.1960000000035507</v>
      </c>
      <c r="CP10" s="103">
        <v>34300</v>
      </c>
      <c r="CQ10" s="106">
        <f t="shared" si="38"/>
        <v>0</v>
      </c>
      <c r="CR10" s="117">
        <f t="shared" si="39"/>
        <v>0</v>
      </c>
      <c r="CS10" s="103">
        <v>10235.6</v>
      </c>
      <c r="CT10" s="106">
        <f t="shared" si="55"/>
        <v>0</v>
      </c>
      <c r="CU10" s="117">
        <f t="shared" si="40"/>
        <v>0</v>
      </c>
      <c r="CV10" s="103">
        <v>832145</v>
      </c>
      <c r="CW10" s="106">
        <f t="shared" si="41"/>
        <v>0</v>
      </c>
      <c r="CX10" s="117">
        <f t="shared" si="42"/>
        <v>0</v>
      </c>
      <c r="CY10" s="103">
        <v>5973</v>
      </c>
      <c r="CZ10" s="106">
        <f t="shared" si="43"/>
        <v>0</v>
      </c>
      <c r="DA10" s="117">
        <f t="shared" si="44"/>
        <v>0</v>
      </c>
      <c r="DB10" s="103">
        <v>7420</v>
      </c>
      <c r="DC10" s="106">
        <f t="shared" si="45"/>
        <v>0</v>
      </c>
      <c r="DD10" s="106">
        <f t="shared" si="45"/>
        <v>0</v>
      </c>
      <c r="DE10" s="103">
        <v>3840</v>
      </c>
      <c r="DF10" s="106">
        <f t="shared" si="46"/>
        <v>0</v>
      </c>
      <c r="DG10" s="106">
        <f t="shared" si="46"/>
        <v>0</v>
      </c>
      <c r="DH10" s="103">
        <v>1855.9</v>
      </c>
      <c r="DI10" s="106">
        <f t="shared" si="46"/>
        <v>0</v>
      </c>
      <c r="DJ10" s="106">
        <f t="shared" si="46"/>
        <v>0</v>
      </c>
      <c r="DK10" s="103">
        <v>5081.7</v>
      </c>
      <c r="DL10" s="106">
        <f t="shared" si="46"/>
        <v>0</v>
      </c>
      <c r="DM10" s="106">
        <f t="shared" si="46"/>
        <v>0</v>
      </c>
      <c r="DN10" s="103">
        <v>4454.7</v>
      </c>
      <c r="DO10" s="106">
        <f t="shared" si="46"/>
        <v>0</v>
      </c>
      <c r="DP10" s="106">
        <f t="shared" si="46"/>
        <v>0</v>
      </c>
      <c r="DQ10" s="103">
        <v>5089.6000000000004</v>
      </c>
      <c r="DR10" s="106">
        <f t="shared" si="46"/>
        <v>0</v>
      </c>
      <c r="DS10" s="106">
        <f t="shared" si="46"/>
        <v>0</v>
      </c>
      <c r="DT10" s="103">
        <v>4967</v>
      </c>
      <c r="DU10" s="106">
        <f t="shared" si="47"/>
        <v>3.3000000000001819</v>
      </c>
      <c r="DV10" s="117">
        <f t="shared" si="48"/>
        <v>7.8870000000004348</v>
      </c>
      <c r="DW10" s="124">
        <v>12871</v>
      </c>
      <c r="DX10" s="117">
        <f t="shared" si="53"/>
        <v>0</v>
      </c>
      <c r="DY10" s="124">
        <v>62789</v>
      </c>
      <c r="DZ10" s="117">
        <f t="shared" si="49"/>
        <v>0</v>
      </c>
      <c r="EA10" s="135">
        <v>15588</v>
      </c>
      <c r="EB10" s="117">
        <f t="shared" si="49"/>
        <v>0</v>
      </c>
      <c r="EC10" s="135">
        <v>24679</v>
      </c>
      <c r="ED10" s="117">
        <f t="shared" si="50"/>
        <v>0</v>
      </c>
      <c r="EE10" s="135">
        <v>2</v>
      </c>
      <c r="EF10" s="136">
        <v>6</v>
      </c>
      <c r="EG10" s="134">
        <v>1.4999999999999999E-2</v>
      </c>
      <c r="EH10" s="83"/>
      <c r="EI10" s="58"/>
      <c r="EJ10" s="58"/>
      <c r="EK10"/>
      <c r="EL10"/>
      <c r="EM10"/>
    </row>
    <row r="11" spans="1:143" s="20" customFormat="1" ht="15">
      <c r="A11" s="96">
        <v>44294</v>
      </c>
      <c r="B11" s="103">
        <v>6719795</v>
      </c>
      <c r="C11" s="98">
        <f t="shared" si="0"/>
        <v>7383</v>
      </c>
      <c r="D11" s="103">
        <v>5957851</v>
      </c>
      <c r="E11" s="98">
        <f t="shared" si="1"/>
        <v>7066</v>
      </c>
      <c r="F11" s="22">
        <f t="shared" si="2"/>
        <v>0.9570635243126101</v>
      </c>
      <c r="G11" s="99">
        <v>418</v>
      </c>
      <c r="H11" s="99">
        <v>528</v>
      </c>
      <c r="I11" s="100">
        <v>288023</v>
      </c>
      <c r="J11" s="101">
        <f t="shared" si="3"/>
        <v>0</v>
      </c>
      <c r="K11" s="102">
        <v>774</v>
      </c>
      <c r="L11" s="98">
        <v>0</v>
      </c>
      <c r="M11" s="103">
        <v>633922</v>
      </c>
      <c r="N11" s="98">
        <v>0</v>
      </c>
      <c r="O11" s="103">
        <v>992</v>
      </c>
      <c r="P11" s="101">
        <f t="shared" si="6"/>
        <v>0</v>
      </c>
      <c r="Q11" s="103">
        <v>2548022</v>
      </c>
      <c r="R11" s="101">
        <f t="shared" si="7"/>
        <v>0</v>
      </c>
      <c r="S11" s="103">
        <v>2191666</v>
      </c>
      <c r="T11" s="101">
        <f t="shared" si="7"/>
        <v>3</v>
      </c>
      <c r="U11" s="103">
        <v>109571</v>
      </c>
      <c r="V11" s="101">
        <f t="shared" ref="T11:V33" si="56">IF((U11-U10)&lt;0,"0",(U11-U10))</f>
        <v>58</v>
      </c>
      <c r="W11" s="76">
        <v>100</v>
      </c>
      <c r="X11" s="103">
        <v>152730</v>
      </c>
      <c r="Y11" s="98">
        <v>0</v>
      </c>
      <c r="Z11" s="110">
        <v>39611</v>
      </c>
      <c r="AA11" s="106">
        <f t="shared" si="8"/>
        <v>8</v>
      </c>
      <c r="AB11" s="103">
        <v>1113</v>
      </c>
      <c r="AC11" s="107">
        <f t="shared" si="8"/>
        <v>0</v>
      </c>
      <c r="AD11" s="99">
        <v>4589</v>
      </c>
      <c r="AE11" s="108">
        <f t="shared" si="54"/>
        <v>0</v>
      </c>
      <c r="AF11" s="19"/>
      <c r="AG11" s="19"/>
      <c r="AH11" s="99">
        <v>580160</v>
      </c>
      <c r="AI11" s="101">
        <f t="shared" si="9"/>
        <v>0</v>
      </c>
      <c r="AJ11" s="114">
        <v>467</v>
      </c>
      <c r="AK11" s="98">
        <f t="shared" si="10"/>
        <v>0</v>
      </c>
      <c r="AL11" s="99">
        <v>52230</v>
      </c>
      <c r="AM11" s="113">
        <f t="shared" si="11"/>
        <v>0</v>
      </c>
      <c r="AN11" s="103">
        <v>8913</v>
      </c>
      <c r="AO11" s="98">
        <f t="shared" si="12"/>
        <v>0</v>
      </c>
      <c r="AP11" s="103">
        <v>10571</v>
      </c>
      <c r="AQ11" s="98">
        <f t="shared" si="12"/>
        <v>0</v>
      </c>
      <c r="AR11" s="99">
        <v>14553</v>
      </c>
      <c r="AS11" s="98">
        <f t="shared" si="12"/>
        <v>0</v>
      </c>
      <c r="AT11" s="103">
        <v>19369</v>
      </c>
      <c r="AU11" s="98">
        <f t="shared" si="12"/>
        <v>0</v>
      </c>
      <c r="AV11" s="103">
        <v>20677</v>
      </c>
      <c r="AW11" s="106">
        <f t="shared" si="13"/>
        <v>0</v>
      </c>
      <c r="AX11" s="103">
        <v>13871</v>
      </c>
      <c r="AY11" s="106">
        <f t="shared" si="14"/>
        <v>0</v>
      </c>
      <c r="AZ11" s="103">
        <v>6219</v>
      </c>
      <c r="BA11" s="98">
        <f t="shared" si="15"/>
        <v>1</v>
      </c>
      <c r="BB11" s="99">
        <v>26474</v>
      </c>
      <c r="BC11" s="98">
        <f t="shared" si="16"/>
        <v>1</v>
      </c>
      <c r="BD11" s="99">
        <v>1115</v>
      </c>
      <c r="BE11" s="98">
        <f t="shared" si="17"/>
        <v>0</v>
      </c>
      <c r="BF11" s="99">
        <v>4374</v>
      </c>
      <c r="BG11" s="98">
        <f t="shared" si="18"/>
        <v>0</v>
      </c>
      <c r="BH11" s="103">
        <v>3636</v>
      </c>
      <c r="BI11" s="98">
        <f t="shared" si="51"/>
        <v>0</v>
      </c>
      <c r="BJ11" s="106">
        <f t="shared" si="19"/>
        <v>0</v>
      </c>
      <c r="BK11" s="106">
        <f t="shared" si="20"/>
        <v>0</v>
      </c>
      <c r="BL11" s="99">
        <v>600980</v>
      </c>
      <c r="BM11" s="106">
        <f t="shared" si="21"/>
        <v>20</v>
      </c>
      <c r="BN11" s="114">
        <v>711</v>
      </c>
      <c r="BO11" s="98">
        <f t="shared" si="22"/>
        <v>0</v>
      </c>
      <c r="BP11" s="99">
        <v>778670</v>
      </c>
      <c r="BQ11" s="106">
        <f t="shared" si="23"/>
        <v>40</v>
      </c>
      <c r="BR11" s="114">
        <v>6632</v>
      </c>
      <c r="BS11" s="106">
        <f t="shared" si="24"/>
        <v>0</v>
      </c>
      <c r="BT11" s="117">
        <f t="shared" si="25"/>
        <v>40</v>
      </c>
      <c r="BU11" s="106">
        <f t="shared" si="26"/>
        <v>60</v>
      </c>
      <c r="BV11" s="119">
        <f t="shared" si="27"/>
        <v>1</v>
      </c>
      <c r="BW11" s="103">
        <v>125</v>
      </c>
      <c r="BX11" s="120">
        <f t="shared" si="28"/>
        <v>15594.962224985846</v>
      </c>
      <c r="BY11" s="103"/>
      <c r="BZ11" s="122">
        <f t="shared" si="29"/>
        <v>0</v>
      </c>
      <c r="CA11" s="103">
        <v>206468.4</v>
      </c>
      <c r="CB11" s="106">
        <f t="shared" si="30"/>
        <v>0.39999999999417923</v>
      </c>
      <c r="CC11" s="117">
        <f t="shared" si="31"/>
        <v>2.2839999999667633</v>
      </c>
      <c r="CD11" s="103">
        <v>38</v>
      </c>
      <c r="CE11" s="126">
        <f t="shared" si="32"/>
        <v>4094.5</v>
      </c>
      <c r="CF11" s="103">
        <v>37</v>
      </c>
      <c r="CG11" s="127">
        <f t="shared" si="33"/>
        <v>3986.75</v>
      </c>
      <c r="CH11" s="103">
        <v>39</v>
      </c>
      <c r="CI11" s="128">
        <f t="shared" si="52"/>
        <v>4202.25</v>
      </c>
      <c r="CJ11" s="129">
        <f t="shared" si="34"/>
        <v>12283.5</v>
      </c>
      <c r="CK11" s="130">
        <f t="shared" si="35"/>
        <v>107.75</v>
      </c>
      <c r="CL11" s="103"/>
      <c r="CM11" s="103">
        <v>34514</v>
      </c>
      <c r="CN11" s="106">
        <f t="shared" si="36"/>
        <v>1</v>
      </c>
      <c r="CO11" s="117">
        <f t="shared" si="37"/>
        <v>2.44</v>
      </c>
      <c r="CP11" s="103">
        <v>34300</v>
      </c>
      <c r="CQ11" s="106">
        <f t="shared" si="38"/>
        <v>0</v>
      </c>
      <c r="CR11" s="117">
        <f t="shared" si="39"/>
        <v>0</v>
      </c>
      <c r="CS11" s="103">
        <v>10235.6</v>
      </c>
      <c r="CT11" s="106">
        <f t="shared" si="55"/>
        <v>0</v>
      </c>
      <c r="CU11" s="117">
        <f t="shared" si="40"/>
        <v>0</v>
      </c>
      <c r="CV11" s="103">
        <v>832145</v>
      </c>
      <c r="CW11" s="106">
        <f t="shared" si="41"/>
        <v>0</v>
      </c>
      <c r="CX11" s="117">
        <f t="shared" si="42"/>
        <v>0</v>
      </c>
      <c r="CY11" s="103">
        <v>5974</v>
      </c>
      <c r="CZ11" s="106">
        <f t="shared" si="43"/>
        <v>1</v>
      </c>
      <c r="DA11" s="117">
        <f t="shared" si="44"/>
        <v>2.39</v>
      </c>
      <c r="DB11" s="103">
        <v>7420</v>
      </c>
      <c r="DC11" s="106">
        <f t="shared" si="45"/>
        <v>0</v>
      </c>
      <c r="DD11" s="106">
        <f t="shared" si="45"/>
        <v>0</v>
      </c>
      <c r="DE11" s="103">
        <v>3840</v>
      </c>
      <c r="DF11" s="106">
        <f t="shared" si="46"/>
        <v>0</v>
      </c>
      <c r="DG11" s="106">
        <f t="shared" si="46"/>
        <v>0</v>
      </c>
      <c r="DH11" s="103">
        <v>1855.9</v>
      </c>
      <c r="DI11" s="106">
        <f t="shared" si="46"/>
        <v>0</v>
      </c>
      <c r="DJ11" s="106">
        <f t="shared" si="46"/>
        <v>0</v>
      </c>
      <c r="DK11" s="103">
        <v>5081.7</v>
      </c>
      <c r="DL11" s="106">
        <f t="shared" si="46"/>
        <v>0</v>
      </c>
      <c r="DM11" s="106">
        <f t="shared" si="46"/>
        <v>0</v>
      </c>
      <c r="DN11" s="103">
        <v>4454.7</v>
      </c>
      <c r="DO11" s="106">
        <f t="shared" si="46"/>
        <v>0</v>
      </c>
      <c r="DP11" s="106">
        <f t="shared" si="46"/>
        <v>0</v>
      </c>
      <c r="DQ11" s="103">
        <v>5089.6000000000004</v>
      </c>
      <c r="DR11" s="106">
        <f t="shared" si="46"/>
        <v>0</v>
      </c>
      <c r="DS11" s="106">
        <f t="shared" si="46"/>
        <v>0</v>
      </c>
      <c r="DT11" s="103">
        <v>4973</v>
      </c>
      <c r="DU11" s="106">
        <f t="shared" si="47"/>
        <v>6</v>
      </c>
      <c r="DV11" s="117">
        <f t="shared" si="48"/>
        <v>14.34</v>
      </c>
      <c r="DW11" s="124">
        <v>12871</v>
      </c>
      <c r="DX11" s="117">
        <f t="shared" si="53"/>
        <v>0</v>
      </c>
      <c r="DY11" s="124">
        <v>62789</v>
      </c>
      <c r="DZ11" s="117">
        <f t="shared" si="49"/>
        <v>0</v>
      </c>
      <c r="EA11" s="135">
        <v>15588</v>
      </c>
      <c r="EB11" s="117">
        <f t="shared" si="49"/>
        <v>0</v>
      </c>
      <c r="EC11" s="135">
        <v>24679</v>
      </c>
      <c r="ED11" s="117">
        <f t="shared" si="50"/>
        <v>0</v>
      </c>
      <c r="EE11" s="135">
        <v>2</v>
      </c>
      <c r="EF11" s="136">
        <v>6</v>
      </c>
      <c r="EG11" s="134">
        <v>1.4999999999999999E-2</v>
      </c>
      <c r="EH11" s="83"/>
      <c r="EI11" s="58"/>
      <c r="EJ11" s="58"/>
      <c r="EK11"/>
      <c r="EL11"/>
      <c r="EM11"/>
    </row>
    <row r="12" spans="1:143" s="20" customFormat="1" ht="15">
      <c r="A12" s="96">
        <v>44295</v>
      </c>
      <c r="B12" s="103">
        <v>6726908</v>
      </c>
      <c r="C12" s="98">
        <f t="shared" si="0"/>
        <v>7113</v>
      </c>
      <c r="D12" s="103">
        <v>5964689</v>
      </c>
      <c r="E12" s="98">
        <f t="shared" si="1"/>
        <v>6838</v>
      </c>
      <c r="F12" s="22">
        <f t="shared" si="2"/>
        <v>0.96133839448896385</v>
      </c>
      <c r="G12" s="99">
        <v>418</v>
      </c>
      <c r="H12" s="99">
        <v>528</v>
      </c>
      <c r="I12" s="100">
        <v>288023</v>
      </c>
      <c r="J12" s="101">
        <f t="shared" si="3"/>
        <v>0</v>
      </c>
      <c r="K12" s="102">
        <v>774</v>
      </c>
      <c r="L12" s="98">
        <v>0</v>
      </c>
      <c r="M12" s="103">
        <v>633922</v>
      </c>
      <c r="N12" s="98">
        <v>0</v>
      </c>
      <c r="O12" s="103">
        <v>992</v>
      </c>
      <c r="P12" s="101">
        <f t="shared" si="6"/>
        <v>0</v>
      </c>
      <c r="Q12" s="103">
        <v>2548057</v>
      </c>
      <c r="R12" s="101">
        <f t="shared" si="7"/>
        <v>35</v>
      </c>
      <c r="S12" s="103">
        <v>2191668</v>
      </c>
      <c r="T12" s="101">
        <f t="shared" si="7"/>
        <v>2</v>
      </c>
      <c r="U12" s="103">
        <v>109632</v>
      </c>
      <c r="V12" s="101">
        <f t="shared" si="56"/>
        <v>61</v>
      </c>
      <c r="W12" s="76">
        <v>100</v>
      </c>
      <c r="X12" s="103">
        <v>152730</v>
      </c>
      <c r="Y12" s="98">
        <v>0</v>
      </c>
      <c r="Z12" s="110">
        <v>39615</v>
      </c>
      <c r="AA12" s="106">
        <f t="shared" si="8"/>
        <v>4</v>
      </c>
      <c r="AB12" s="103">
        <v>1114</v>
      </c>
      <c r="AC12" s="107">
        <f t="shared" si="8"/>
        <v>1</v>
      </c>
      <c r="AD12" s="99">
        <v>4604</v>
      </c>
      <c r="AE12" s="108">
        <f t="shared" si="54"/>
        <v>15</v>
      </c>
      <c r="AF12" s="19"/>
      <c r="AG12" s="19"/>
      <c r="AH12" s="99">
        <v>580190</v>
      </c>
      <c r="AI12" s="101">
        <f t="shared" si="9"/>
        <v>30</v>
      </c>
      <c r="AJ12" s="114">
        <v>467</v>
      </c>
      <c r="AK12" s="98">
        <f t="shared" si="10"/>
        <v>0</v>
      </c>
      <c r="AL12" s="99">
        <v>52231</v>
      </c>
      <c r="AM12" s="113">
        <f t="shared" si="11"/>
        <v>1</v>
      </c>
      <c r="AN12" s="103">
        <v>8913</v>
      </c>
      <c r="AO12" s="98">
        <f t="shared" si="12"/>
        <v>0</v>
      </c>
      <c r="AP12" s="103">
        <v>10571</v>
      </c>
      <c r="AQ12" s="98">
        <f t="shared" si="12"/>
        <v>0</v>
      </c>
      <c r="AR12" s="99">
        <v>14554</v>
      </c>
      <c r="AS12" s="98">
        <f t="shared" si="12"/>
        <v>1</v>
      </c>
      <c r="AT12" s="103">
        <v>19369</v>
      </c>
      <c r="AU12" s="98">
        <f t="shared" si="12"/>
        <v>0</v>
      </c>
      <c r="AV12" s="103">
        <v>20677</v>
      </c>
      <c r="AW12" s="106">
        <f t="shared" si="13"/>
        <v>0</v>
      </c>
      <c r="AX12" s="103">
        <v>13871</v>
      </c>
      <c r="AY12" s="106">
        <f t="shared" si="14"/>
        <v>0</v>
      </c>
      <c r="AZ12" s="103">
        <v>6219</v>
      </c>
      <c r="BA12" s="98">
        <f t="shared" si="15"/>
        <v>0</v>
      </c>
      <c r="BB12" s="99">
        <v>26475</v>
      </c>
      <c r="BC12" s="98">
        <f t="shared" si="16"/>
        <v>1</v>
      </c>
      <c r="BD12" s="99">
        <v>1115</v>
      </c>
      <c r="BE12" s="98">
        <f t="shared" si="17"/>
        <v>0</v>
      </c>
      <c r="BF12" s="99">
        <v>4375</v>
      </c>
      <c r="BG12" s="98">
        <f t="shared" si="18"/>
        <v>1</v>
      </c>
      <c r="BH12" s="103">
        <v>3636</v>
      </c>
      <c r="BI12" s="98">
        <f t="shared" si="51"/>
        <v>0</v>
      </c>
      <c r="BJ12" s="106">
        <f t="shared" si="19"/>
        <v>1</v>
      </c>
      <c r="BK12" s="106">
        <f t="shared" si="20"/>
        <v>29</v>
      </c>
      <c r="BL12" s="103">
        <v>601000</v>
      </c>
      <c r="BM12" s="106">
        <f t="shared" si="21"/>
        <v>20</v>
      </c>
      <c r="BN12" s="114">
        <v>712</v>
      </c>
      <c r="BO12" s="98">
        <f t="shared" si="22"/>
        <v>1</v>
      </c>
      <c r="BP12" s="99">
        <v>778710</v>
      </c>
      <c r="BQ12" s="106">
        <f t="shared" si="23"/>
        <v>40</v>
      </c>
      <c r="BR12" s="114">
        <v>6632</v>
      </c>
      <c r="BS12" s="106">
        <f t="shared" si="24"/>
        <v>0</v>
      </c>
      <c r="BT12" s="117">
        <f t="shared" si="25"/>
        <v>10</v>
      </c>
      <c r="BU12" s="106">
        <f t="shared" si="26"/>
        <v>60</v>
      </c>
      <c r="BV12" s="119">
        <f t="shared" si="27"/>
        <v>2</v>
      </c>
      <c r="BW12" s="103">
        <v>125</v>
      </c>
      <c r="BX12" s="120">
        <f t="shared" si="28"/>
        <v>15594.962224985846</v>
      </c>
      <c r="BY12" s="103"/>
      <c r="BZ12" s="122">
        <f t="shared" si="29"/>
        <v>0</v>
      </c>
      <c r="CA12" s="103">
        <v>206468.9</v>
      </c>
      <c r="CB12" s="106">
        <f t="shared" si="30"/>
        <v>0.5</v>
      </c>
      <c r="CC12" s="117">
        <f t="shared" si="31"/>
        <v>2.855</v>
      </c>
      <c r="CD12" s="103">
        <v>38</v>
      </c>
      <c r="CE12" s="126">
        <f t="shared" si="32"/>
        <v>4094.5</v>
      </c>
      <c r="CF12" s="103">
        <v>37</v>
      </c>
      <c r="CG12" s="127">
        <f t="shared" si="33"/>
        <v>3986.75</v>
      </c>
      <c r="CH12" s="103">
        <v>39</v>
      </c>
      <c r="CI12" s="128">
        <f t="shared" si="52"/>
        <v>4202.25</v>
      </c>
      <c r="CJ12" s="129">
        <f t="shared" si="34"/>
        <v>12283.5</v>
      </c>
      <c r="CK12" s="130">
        <f t="shared" si="35"/>
        <v>0</v>
      </c>
      <c r="CL12" s="103"/>
      <c r="CM12" s="103">
        <v>34515.4</v>
      </c>
      <c r="CN12" s="106">
        <f t="shared" si="36"/>
        <v>1.4000000000014552</v>
      </c>
      <c r="CO12" s="117">
        <f t="shared" si="37"/>
        <v>3.4160000000035504</v>
      </c>
      <c r="CP12" s="103">
        <v>34300</v>
      </c>
      <c r="CQ12" s="106">
        <f t="shared" si="38"/>
        <v>0</v>
      </c>
      <c r="CR12" s="117">
        <f t="shared" si="39"/>
        <v>0</v>
      </c>
      <c r="CS12" s="103">
        <v>10235.6</v>
      </c>
      <c r="CT12" s="106">
        <f t="shared" si="55"/>
        <v>0</v>
      </c>
      <c r="CU12" s="117">
        <f t="shared" si="40"/>
        <v>0</v>
      </c>
      <c r="CV12" s="103">
        <v>832145</v>
      </c>
      <c r="CW12" s="106">
        <f t="shared" si="41"/>
        <v>0</v>
      </c>
      <c r="CX12" s="117">
        <f t="shared" si="42"/>
        <v>0</v>
      </c>
      <c r="CY12" s="103">
        <v>5975</v>
      </c>
      <c r="CZ12" s="106">
        <f t="shared" si="43"/>
        <v>1</v>
      </c>
      <c r="DA12" s="117">
        <f t="shared" si="44"/>
        <v>2.39</v>
      </c>
      <c r="DB12" s="103">
        <v>7420</v>
      </c>
      <c r="DC12" s="106">
        <f t="shared" si="45"/>
        <v>0</v>
      </c>
      <c r="DD12" s="106">
        <f t="shared" si="45"/>
        <v>0</v>
      </c>
      <c r="DE12" s="103">
        <v>3840</v>
      </c>
      <c r="DF12" s="106">
        <f t="shared" si="46"/>
        <v>0</v>
      </c>
      <c r="DG12" s="106">
        <f t="shared" si="46"/>
        <v>0</v>
      </c>
      <c r="DH12" s="103">
        <v>1855.9</v>
      </c>
      <c r="DI12" s="106">
        <f t="shared" si="46"/>
        <v>0</v>
      </c>
      <c r="DJ12" s="106">
        <f t="shared" si="46"/>
        <v>0</v>
      </c>
      <c r="DK12" s="103">
        <v>5081.7</v>
      </c>
      <c r="DL12" s="106">
        <f t="shared" si="46"/>
        <v>0</v>
      </c>
      <c r="DM12" s="106">
        <f t="shared" si="46"/>
        <v>0</v>
      </c>
      <c r="DN12" s="103">
        <v>4454.7</v>
      </c>
      <c r="DO12" s="106">
        <f t="shared" si="46"/>
        <v>0</v>
      </c>
      <c r="DP12" s="106">
        <f t="shared" si="46"/>
        <v>0</v>
      </c>
      <c r="DQ12" s="103">
        <v>5089.6000000000004</v>
      </c>
      <c r="DR12" s="106">
        <f t="shared" si="46"/>
        <v>0</v>
      </c>
      <c r="DS12" s="106">
        <f t="shared" si="46"/>
        <v>0</v>
      </c>
      <c r="DT12" s="103">
        <v>4975.7</v>
      </c>
      <c r="DU12" s="106">
        <f t="shared" si="47"/>
        <v>2.6999999999998181</v>
      </c>
      <c r="DV12" s="117">
        <f t="shared" si="48"/>
        <v>6.452999999999566</v>
      </c>
      <c r="DW12" s="124">
        <v>12871</v>
      </c>
      <c r="DX12" s="117">
        <f t="shared" si="53"/>
        <v>0</v>
      </c>
      <c r="DY12" s="124">
        <v>62789</v>
      </c>
      <c r="DZ12" s="117">
        <f t="shared" si="49"/>
        <v>0</v>
      </c>
      <c r="EA12" s="135">
        <v>15588</v>
      </c>
      <c r="EB12" s="117">
        <f t="shared" si="49"/>
        <v>0</v>
      </c>
      <c r="EC12" s="135">
        <v>24679</v>
      </c>
      <c r="ED12" s="117">
        <f t="shared" si="50"/>
        <v>0</v>
      </c>
      <c r="EE12" s="135">
        <v>2</v>
      </c>
      <c r="EF12" s="136">
        <v>6</v>
      </c>
      <c r="EG12" s="134">
        <v>1.4999999999999999E-2</v>
      </c>
      <c r="EH12" s="83"/>
      <c r="EI12" s="58"/>
      <c r="EJ12" s="58"/>
      <c r="EK12"/>
      <c r="EL12"/>
      <c r="EM12"/>
    </row>
    <row r="13" spans="1:143" s="20" customFormat="1" ht="15">
      <c r="A13" s="96">
        <v>44296</v>
      </c>
      <c r="B13" s="103">
        <v>6733193</v>
      </c>
      <c r="C13" s="98">
        <f t="shared" si="0"/>
        <v>6285</v>
      </c>
      <c r="D13" s="103">
        <v>5970659</v>
      </c>
      <c r="E13" s="98">
        <f t="shared" si="1"/>
        <v>5970</v>
      </c>
      <c r="F13" s="22">
        <f t="shared" si="2"/>
        <v>0.94988066825775652</v>
      </c>
      <c r="G13" s="99">
        <v>418</v>
      </c>
      <c r="H13" s="99">
        <v>528</v>
      </c>
      <c r="I13" s="100">
        <v>288023</v>
      </c>
      <c r="J13" s="101">
        <f t="shared" si="3"/>
        <v>0</v>
      </c>
      <c r="K13" s="102">
        <v>774</v>
      </c>
      <c r="L13" s="98">
        <v>0</v>
      </c>
      <c r="M13" s="103">
        <v>633922</v>
      </c>
      <c r="N13" s="98">
        <v>0</v>
      </c>
      <c r="O13" s="103">
        <v>992</v>
      </c>
      <c r="P13" s="101">
        <f t="shared" si="6"/>
        <v>0</v>
      </c>
      <c r="Q13" s="103">
        <v>2548081</v>
      </c>
      <c r="R13" s="101">
        <f t="shared" si="7"/>
        <v>24</v>
      </c>
      <c r="S13" s="103">
        <v>2191670</v>
      </c>
      <c r="T13" s="101">
        <f t="shared" si="7"/>
        <v>2</v>
      </c>
      <c r="U13" s="103">
        <v>109668</v>
      </c>
      <c r="V13" s="101">
        <f t="shared" si="56"/>
        <v>36</v>
      </c>
      <c r="W13" s="76">
        <v>100</v>
      </c>
      <c r="X13" s="103">
        <v>152730</v>
      </c>
      <c r="Y13" s="98">
        <v>0</v>
      </c>
      <c r="Z13" s="99">
        <v>39618</v>
      </c>
      <c r="AA13" s="106">
        <f t="shared" si="8"/>
        <v>3</v>
      </c>
      <c r="AB13" s="103">
        <v>1114</v>
      </c>
      <c r="AC13" s="107">
        <f t="shared" si="8"/>
        <v>0</v>
      </c>
      <c r="AD13" s="99">
        <v>4604</v>
      </c>
      <c r="AE13" s="108">
        <f t="shared" si="54"/>
        <v>0</v>
      </c>
      <c r="AF13" s="19"/>
      <c r="AG13" s="19"/>
      <c r="AH13" s="99">
        <v>580190</v>
      </c>
      <c r="AI13" s="101">
        <f t="shared" si="9"/>
        <v>0</v>
      </c>
      <c r="AJ13" s="114">
        <v>467</v>
      </c>
      <c r="AK13" s="98">
        <f t="shared" si="10"/>
        <v>0</v>
      </c>
      <c r="AL13" s="99">
        <v>52231</v>
      </c>
      <c r="AM13" s="113">
        <f t="shared" si="11"/>
        <v>0</v>
      </c>
      <c r="AN13" s="103">
        <v>8913</v>
      </c>
      <c r="AO13" s="98">
        <f t="shared" si="12"/>
        <v>0</v>
      </c>
      <c r="AP13" s="103">
        <v>10571</v>
      </c>
      <c r="AQ13" s="98">
        <f t="shared" si="12"/>
        <v>0</v>
      </c>
      <c r="AR13" s="99">
        <v>14554</v>
      </c>
      <c r="AS13" s="98">
        <f t="shared" si="12"/>
        <v>0</v>
      </c>
      <c r="AT13" s="103">
        <v>19369</v>
      </c>
      <c r="AU13" s="98">
        <f t="shared" si="12"/>
        <v>0</v>
      </c>
      <c r="AV13" s="103">
        <v>20677</v>
      </c>
      <c r="AW13" s="106">
        <f t="shared" si="13"/>
        <v>0</v>
      </c>
      <c r="AX13" s="103">
        <v>13871</v>
      </c>
      <c r="AY13" s="106">
        <f t="shared" si="14"/>
        <v>0</v>
      </c>
      <c r="AZ13" s="103">
        <v>6219</v>
      </c>
      <c r="BA13" s="98">
        <f t="shared" si="15"/>
        <v>0</v>
      </c>
      <c r="BB13" s="103">
        <v>26475</v>
      </c>
      <c r="BC13" s="98">
        <f t="shared" si="16"/>
        <v>0</v>
      </c>
      <c r="BD13" s="99">
        <v>1115</v>
      </c>
      <c r="BE13" s="98">
        <f t="shared" si="17"/>
        <v>0</v>
      </c>
      <c r="BF13" s="99">
        <v>4375</v>
      </c>
      <c r="BG13" s="98">
        <f t="shared" si="18"/>
        <v>0</v>
      </c>
      <c r="BH13" s="103">
        <v>3636</v>
      </c>
      <c r="BI13" s="98">
        <f t="shared" si="51"/>
        <v>0</v>
      </c>
      <c r="BJ13" s="106">
        <f t="shared" si="19"/>
        <v>0</v>
      </c>
      <c r="BK13" s="106">
        <f t="shared" si="20"/>
        <v>0</v>
      </c>
      <c r="BL13" s="103">
        <v>601010</v>
      </c>
      <c r="BM13" s="106">
        <f>IF((BL13-BL12)&lt;0,"0",(BL13-BL12))</f>
        <v>10</v>
      </c>
      <c r="BN13" s="114">
        <v>712</v>
      </c>
      <c r="BO13" s="98">
        <f t="shared" si="22"/>
        <v>0</v>
      </c>
      <c r="BP13" s="99">
        <v>778710</v>
      </c>
      <c r="BQ13" s="106">
        <f t="shared" si="23"/>
        <v>0</v>
      </c>
      <c r="BR13" s="114">
        <v>6632</v>
      </c>
      <c r="BS13" s="106">
        <f t="shared" si="24"/>
        <v>0</v>
      </c>
      <c r="BT13" s="117">
        <f t="shared" si="25"/>
        <v>0</v>
      </c>
      <c r="BU13" s="106">
        <f t="shared" si="26"/>
        <v>10</v>
      </c>
      <c r="BV13" s="119">
        <f t="shared" si="27"/>
        <v>0</v>
      </c>
      <c r="BW13" s="103">
        <v>125</v>
      </c>
      <c r="BX13" s="120">
        <f t="shared" si="28"/>
        <v>15594.962224985846</v>
      </c>
      <c r="BY13" s="125"/>
      <c r="BZ13" s="122">
        <f t="shared" si="29"/>
        <v>0</v>
      </c>
      <c r="CA13" s="103">
        <v>206469.2</v>
      </c>
      <c r="CB13" s="106">
        <f t="shared" si="30"/>
        <v>0.3000000000174623</v>
      </c>
      <c r="CC13" s="117">
        <f t="shared" si="31"/>
        <v>1.7130000000997097</v>
      </c>
      <c r="CD13" s="103">
        <v>38</v>
      </c>
      <c r="CE13" s="126">
        <f t="shared" si="32"/>
        <v>4094.5</v>
      </c>
      <c r="CF13" s="103">
        <v>36</v>
      </c>
      <c r="CG13" s="127">
        <f t="shared" si="33"/>
        <v>3879</v>
      </c>
      <c r="CH13" s="103">
        <v>39</v>
      </c>
      <c r="CI13" s="128">
        <f t="shared" si="52"/>
        <v>4202.25</v>
      </c>
      <c r="CJ13" s="129">
        <f t="shared" si="34"/>
        <v>12175.75</v>
      </c>
      <c r="CK13" s="130">
        <f t="shared" si="35"/>
        <v>107.75</v>
      </c>
      <c r="CL13" s="103"/>
      <c r="CM13" s="103">
        <v>34516.400000000001</v>
      </c>
      <c r="CN13" s="106">
        <f t="shared" si="36"/>
        <v>1</v>
      </c>
      <c r="CO13" s="117">
        <f t="shared" si="37"/>
        <v>2.44</v>
      </c>
      <c r="CP13" s="103">
        <v>34300</v>
      </c>
      <c r="CQ13" s="106">
        <f t="shared" si="38"/>
        <v>0</v>
      </c>
      <c r="CR13" s="117">
        <f t="shared" si="39"/>
        <v>0</v>
      </c>
      <c r="CS13" s="103">
        <v>10235.6</v>
      </c>
      <c r="CT13" s="106">
        <f t="shared" si="55"/>
        <v>0</v>
      </c>
      <c r="CU13" s="117">
        <f t="shared" si="40"/>
        <v>0</v>
      </c>
      <c r="CV13" s="103">
        <v>832145</v>
      </c>
      <c r="CW13" s="106">
        <f t="shared" si="41"/>
        <v>0</v>
      </c>
      <c r="CX13" s="117">
        <f t="shared" si="42"/>
        <v>0</v>
      </c>
      <c r="CY13" s="103">
        <v>5975</v>
      </c>
      <c r="CZ13" s="106">
        <f t="shared" si="43"/>
        <v>0</v>
      </c>
      <c r="DA13" s="117">
        <f t="shared" si="44"/>
        <v>0</v>
      </c>
      <c r="DB13" s="103">
        <v>7420</v>
      </c>
      <c r="DC13" s="106">
        <f t="shared" si="45"/>
        <v>0</v>
      </c>
      <c r="DD13" s="106">
        <f t="shared" si="45"/>
        <v>0</v>
      </c>
      <c r="DE13" s="103">
        <v>3840</v>
      </c>
      <c r="DF13" s="106">
        <f t="shared" si="46"/>
        <v>0</v>
      </c>
      <c r="DG13" s="106">
        <f t="shared" si="46"/>
        <v>0</v>
      </c>
      <c r="DH13" s="103">
        <v>1855.9</v>
      </c>
      <c r="DI13" s="106">
        <f t="shared" si="46"/>
        <v>0</v>
      </c>
      <c r="DJ13" s="106">
        <f t="shared" si="46"/>
        <v>0</v>
      </c>
      <c r="DK13" s="103">
        <v>5081.7</v>
      </c>
      <c r="DL13" s="106">
        <f t="shared" si="46"/>
        <v>0</v>
      </c>
      <c r="DM13" s="106">
        <f t="shared" si="46"/>
        <v>0</v>
      </c>
      <c r="DN13" s="103">
        <v>4454.7</v>
      </c>
      <c r="DO13" s="106">
        <f t="shared" si="46"/>
        <v>0</v>
      </c>
      <c r="DP13" s="106">
        <f t="shared" si="46"/>
        <v>0</v>
      </c>
      <c r="DQ13" s="103">
        <v>5089.6000000000004</v>
      </c>
      <c r="DR13" s="106">
        <f t="shared" si="46"/>
        <v>0</v>
      </c>
      <c r="DS13" s="106">
        <f t="shared" si="46"/>
        <v>0</v>
      </c>
      <c r="DT13" s="103">
        <v>4979.6000000000004</v>
      </c>
      <c r="DU13" s="106">
        <f t="shared" si="47"/>
        <v>3.9000000000005457</v>
      </c>
      <c r="DV13" s="117">
        <f t="shared" si="48"/>
        <v>9.3210000000013054</v>
      </c>
      <c r="DW13" s="124">
        <v>12871</v>
      </c>
      <c r="DX13" s="117">
        <f t="shared" si="53"/>
        <v>0</v>
      </c>
      <c r="DY13" s="124">
        <v>62789</v>
      </c>
      <c r="DZ13" s="117">
        <f t="shared" si="49"/>
        <v>0</v>
      </c>
      <c r="EA13" s="135">
        <v>15588</v>
      </c>
      <c r="EB13" s="117">
        <f t="shared" si="49"/>
        <v>0</v>
      </c>
      <c r="EC13" s="135">
        <v>24679</v>
      </c>
      <c r="ED13" s="117">
        <f t="shared" si="50"/>
        <v>0</v>
      </c>
      <c r="EE13" s="135">
        <v>2</v>
      </c>
      <c r="EF13" s="136">
        <v>6</v>
      </c>
      <c r="EG13" s="134">
        <v>1.4999999999999999E-2</v>
      </c>
      <c r="EH13" s="83"/>
      <c r="EI13" s="58"/>
      <c r="EJ13" s="58"/>
      <c r="EK13"/>
      <c r="EL13"/>
      <c r="EM13"/>
    </row>
    <row r="14" spans="1:143" s="20" customFormat="1" ht="15">
      <c r="A14" s="96">
        <v>44297</v>
      </c>
      <c r="B14" s="103">
        <v>6739516</v>
      </c>
      <c r="C14" s="98">
        <f t="shared" si="0"/>
        <v>6323</v>
      </c>
      <c r="D14" s="103">
        <v>5976721</v>
      </c>
      <c r="E14" s="98">
        <f t="shared" si="1"/>
        <v>6062</v>
      </c>
      <c r="F14" s="22">
        <f t="shared" si="2"/>
        <v>0.95872212557330383</v>
      </c>
      <c r="G14" s="99">
        <v>418</v>
      </c>
      <c r="H14" s="99">
        <v>528</v>
      </c>
      <c r="I14" s="100">
        <v>288023</v>
      </c>
      <c r="J14" s="101">
        <f t="shared" si="3"/>
        <v>0</v>
      </c>
      <c r="K14" s="102">
        <v>774</v>
      </c>
      <c r="L14" s="98">
        <v>0</v>
      </c>
      <c r="M14" s="103">
        <v>633922</v>
      </c>
      <c r="N14" s="98">
        <v>0</v>
      </c>
      <c r="O14" s="103">
        <v>992</v>
      </c>
      <c r="P14" s="101">
        <f t="shared" si="6"/>
        <v>0</v>
      </c>
      <c r="Q14" s="103">
        <v>2548098</v>
      </c>
      <c r="R14" s="101">
        <f t="shared" si="7"/>
        <v>17</v>
      </c>
      <c r="S14" s="103">
        <v>2191672</v>
      </c>
      <c r="T14" s="101">
        <f t="shared" si="7"/>
        <v>2</v>
      </c>
      <c r="U14" s="103">
        <v>109705</v>
      </c>
      <c r="V14" s="101">
        <f t="shared" si="56"/>
        <v>37</v>
      </c>
      <c r="W14" s="76">
        <v>100</v>
      </c>
      <c r="X14" s="103">
        <v>152730</v>
      </c>
      <c r="Y14" s="98">
        <v>0</v>
      </c>
      <c r="Z14" s="99">
        <v>39621</v>
      </c>
      <c r="AA14" s="106">
        <f t="shared" si="8"/>
        <v>3</v>
      </c>
      <c r="AB14" s="103">
        <v>1114</v>
      </c>
      <c r="AC14" s="107">
        <f t="shared" si="8"/>
        <v>0</v>
      </c>
      <c r="AD14" s="99">
        <v>4605</v>
      </c>
      <c r="AE14" s="108">
        <f t="shared" si="54"/>
        <v>1</v>
      </c>
      <c r="AF14" s="19"/>
      <c r="AG14" s="19"/>
      <c r="AH14" s="99">
        <v>580190</v>
      </c>
      <c r="AI14" s="101">
        <f t="shared" si="9"/>
        <v>0</v>
      </c>
      <c r="AJ14" s="114">
        <v>467</v>
      </c>
      <c r="AK14" s="98">
        <f t="shared" si="10"/>
        <v>0</v>
      </c>
      <c r="AL14" s="99">
        <v>52231</v>
      </c>
      <c r="AM14" s="113">
        <f t="shared" si="11"/>
        <v>0</v>
      </c>
      <c r="AN14" s="103">
        <v>8913</v>
      </c>
      <c r="AO14" s="98">
        <f t="shared" si="12"/>
        <v>0</v>
      </c>
      <c r="AP14" s="103">
        <v>10571</v>
      </c>
      <c r="AQ14" s="98">
        <f t="shared" si="12"/>
        <v>0</v>
      </c>
      <c r="AR14" s="99">
        <v>14554</v>
      </c>
      <c r="AS14" s="98">
        <f t="shared" si="12"/>
        <v>0</v>
      </c>
      <c r="AT14" s="103">
        <v>19369</v>
      </c>
      <c r="AU14" s="98">
        <f t="shared" si="12"/>
        <v>0</v>
      </c>
      <c r="AV14" s="103">
        <v>20677</v>
      </c>
      <c r="AW14" s="106">
        <f t="shared" si="13"/>
        <v>0</v>
      </c>
      <c r="AX14" s="103">
        <v>13871</v>
      </c>
      <c r="AY14" s="106">
        <f t="shared" si="14"/>
        <v>0</v>
      </c>
      <c r="AZ14" s="103">
        <v>6219</v>
      </c>
      <c r="BA14" s="98">
        <f t="shared" si="15"/>
        <v>0</v>
      </c>
      <c r="BB14" s="103">
        <v>26475</v>
      </c>
      <c r="BC14" s="98">
        <f t="shared" si="16"/>
        <v>0</v>
      </c>
      <c r="BD14" s="99">
        <v>1115</v>
      </c>
      <c r="BE14" s="98">
        <f t="shared" si="17"/>
        <v>0</v>
      </c>
      <c r="BF14" s="99">
        <v>4375</v>
      </c>
      <c r="BG14" s="98">
        <f t="shared" si="18"/>
        <v>0</v>
      </c>
      <c r="BH14" s="103">
        <v>3636</v>
      </c>
      <c r="BI14" s="98">
        <f t="shared" si="51"/>
        <v>0</v>
      </c>
      <c r="BJ14" s="106">
        <f t="shared" si="19"/>
        <v>0</v>
      </c>
      <c r="BK14" s="106">
        <f t="shared" si="20"/>
        <v>0</v>
      </c>
      <c r="BL14" s="103">
        <v>601030</v>
      </c>
      <c r="BM14" s="106">
        <f t="shared" ref="BM14:BM33" si="57">IF((BL14-BL13)&lt;0,"0",(BL14-BL13))</f>
        <v>20</v>
      </c>
      <c r="BN14" s="114">
        <v>712</v>
      </c>
      <c r="BO14" s="98">
        <f t="shared" si="22"/>
        <v>0</v>
      </c>
      <c r="BP14" s="99">
        <v>778720</v>
      </c>
      <c r="BQ14" s="106">
        <f t="shared" si="23"/>
        <v>10</v>
      </c>
      <c r="BR14" s="114">
        <v>6632</v>
      </c>
      <c r="BS14" s="106">
        <f t="shared" si="24"/>
        <v>0</v>
      </c>
      <c r="BT14" s="117">
        <f t="shared" si="25"/>
        <v>10</v>
      </c>
      <c r="BU14" s="106">
        <f t="shared" si="26"/>
        <v>30</v>
      </c>
      <c r="BV14" s="119">
        <f t="shared" si="27"/>
        <v>0</v>
      </c>
      <c r="BW14" s="103">
        <v>125</v>
      </c>
      <c r="BX14" s="120">
        <f t="shared" si="28"/>
        <v>15594.962224985846</v>
      </c>
      <c r="BY14" s="103"/>
      <c r="BZ14" s="122">
        <f t="shared" si="29"/>
        <v>0</v>
      </c>
      <c r="CA14" s="103">
        <v>206469.5</v>
      </c>
      <c r="CB14" s="106">
        <f t="shared" si="30"/>
        <v>0.29999999998835847</v>
      </c>
      <c r="CC14" s="117">
        <f t="shared" si="31"/>
        <v>1.7129999999335268</v>
      </c>
      <c r="CD14" s="103">
        <v>38</v>
      </c>
      <c r="CE14" s="126">
        <f t="shared" si="32"/>
        <v>4094.5</v>
      </c>
      <c r="CF14" s="103">
        <v>36</v>
      </c>
      <c r="CG14" s="127">
        <f t="shared" si="33"/>
        <v>3879</v>
      </c>
      <c r="CH14" s="103">
        <v>39</v>
      </c>
      <c r="CI14" s="128">
        <f t="shared" si="52"/>
        <v>4202.25</v>
      </c>
      <c r="CJ14" s="129">
        <f t="shared" si="34"/>
        <v>12175.75</v>
      </c>
      <c r="CK14" s="130">
        <f t="shared" si="35"/>
        <v>0</v>
      </c>
      <c r="CL14" s="103"/>
      <c r="CM14" s="103">
        <v>34517.300000000003</v>
      </c>
      <c r="CN14" s="106">
        <f t="shared" si="36"/>
        <v>0.90000000000145519</v>
      </c>
      <c r="CO14" s="117">
        <f t="shared" si="37"/>
        <v>2.1960000000035507</v>
      </c>
      <c r="CP14" s="103">
        <v>34300</v>
      </c>
      <c r="CQ14" s="106">
        <f t="shared" si="38"/>
        <v>0</v>
      </c>
      <c r="CR14" s="117">
        <f t="shared" si="39"/>
        <v>0</v>
      </c>
      <c r="CS14" s="103">
        <v>10235.6</v>
      </c>
      <c r="CT14" s="106">
        <f t="shared" si="55"/>
        <v>0</v>
      </c>
      <c r="CU14" s="117">
        <f t="shared" si="40"/>
        <v>0</v>
      </c>
      <c r="CV14" s="103">
        <v>832145</v>
      </c>
      <c r="CW14" s="106">
        <f t="shared" si="41"/>
        <v>0</v>
      </c>
      <c r="CX14" s="117">
        <f t="shared" si="42"/>
        <v>0</v>
      </c>
      <c r="CY14" s="103">
        <v>5976.6</v>
      </c>
      <c r="CZ14" s="106">
        <f t="shared" si="43"/>
        <v>1.6000000000003638</v>
      </c>
      <c r="DA14" s="117">
        <f t="shared" si="44"/>
        <v>3.8240000000008698</v>
      </c>
      <c r="DB14" s="103">
        <v>7420</v>
      </c>
      <c r="DC14" s="106">
        <f t="shared" si="45"/>
        <v>0</v>
      </c>
      <c r="DD14" s="106">
        <f t="shared" si="45"/>
        <v>0</v>
      </c>
      <c r="DE14" s="103">
        <v>3840</v>
      </c>
      <c r="DF14" s="106">
        <f t="shared" si="46"/>
        <v>0</v>
      </c>
      <c r="DG14" s="106">
        <f t="shared" si="46"/>
        <v>0</v>
      </c>
      <c r="DH14" s="103">
        <v>1855.9</v>
      </c>
      <c r="DI14" s="106">
        <f t="shared" si="46"/>
        <v>0</v>
      </c>
      <c r="DJ14" s="106">
        <f t="shared" si="46"/>
        <v>0</v>
      </c>
      <c r="DK14" s="103">
        <v>5081.7</v>
      </c>
      <c r="DL14" s="106">
        <f t="shared" si="46"/>
        <v>0</v>
      </c>
      <c r="DM14" s="106">
        <f t="shared" si="46"/>
        <v>0</v>
      </c>
      <c r="DN14" s="103">
        <v>4454.7</v>
      </c>
      <c r="DO14" s="106">
        <f t="shared" si="46"/>
        <v>0</v>
      </c>
      <c r="DP14" s="106">
        <f t="shared" si="46"/>
        <v>0</v>
      </c>
      <c r="DQ14" s="103">
        <v>5089.6000000000004</v>
      </c>
      <c r="DR14" s="106">
        <f t="shared" si="46"/>
        <v>0</v>
      </c>
      <c r="DS14" s="106">
        <f t="shared" si="46"/>
        <v>0</v>
      </c>
      <c r="DT14" s="103">
        <v>4983.8</v>
      </c>
      <c r="DU14" s="106">
        <f t="shared" si="47"/>
        <v>4.1999999999998181</v>
      </c>
      <c r="DV14" s="117">
        <f t="shared" si="48"/>
        <v>10.037999999999565</v>
      </c>
      <c r="DW14" s="124">
        <v>12871</v>
      </c>
      <c r="DX14" s="117">
        <f t="shared" si="53"/>
        <v>0</v>
      </c>
      <c r="DY14" s="124">
        <v>62789</v>
      </c>
      <c r="DZ14" s="117">
        <f t="shared" si="49"/>
        <v>0</v>
      </c>
      <c r="EA14" s="135">
        <v>15588</v>
      </c>
      <c r="EB14" s="117">
        <f t="shared" si="49"/>
        <v>0</v>
      </c>
      <c r="EC14" s="135">
        <v>24679</v>
      </c>
      <c r="ED14" s="117">
        <f t="shared" si="50"/>
        <v>0</v>
      </c>
      <c r="EE14" s="135">
        <v>2</v>
      </c>
      <c r="EF14" s="136">
        <v>6</v>
      </c>
      <c r="EG14" s="134">
        <v>1.4999999999999999E-2</v>
      </c>
      <c r="EH14" s="83"/>
      <c r="EI14" s="58"/>
      <c r="EJ14" s="58"/>
      <c r="EK14"/>
      <c r="EL14"/>
      <c r="EM14"/>
    </row>
    <row r="15" spans="1:143" s="20" customFormat="1" ht="15">
      <c r="A15" s="96">
        <v>44298</v>
      </c>
      <c r="B15" s="103">
        <v>6745950</v>
      </c>
      <c r="C15" s="98">
        <f t="shared" si="0"/>
        <v>6434</v>
      </c>
      <c r="D15" s="103">
        <v>5982849</v>
      </c>
      <c r="E15" s="98">
        <f t="shared" si="1"/>
        <v>6128</v>
      </c>
      <c r="F15" s="22">
        <f t="shared" si="2"/>
        <v>0.95244016164128065</v>
      </c>
      <c r="G15" s="99">
        <v>418</v>
      </c>
      <c r="H15" s="99">
        <v>528</v>
      </c>
      <c r="I15" s="100">
        <v>288023</v>
      </c>
      <c r="J15" s="101">
        <f t="shared" si="3"/>
        <v>0</v>
      </c>
      <c r="K15" s="102">
        <v>774</v>
      </c>
      <c r="L15" s="98">
        <f t="shared" ref="L15:L26" si="58">IF((K15-K14)&lt;0,"0",(K15-K14))</f>
        <v>0</v>
      </c>
      <c r="M15" s="103">
        <v>633922</v>
      </c>
      <c r="N15" s="98">
        <v>0</v>
      </c>
      <c r="O15" s="103">
        <v>992</v>
      </c>
      <c r="P15" s="101">
        <f t="shared" si="6"/>
        <v>0</v>
      </c>
      <c r="Q15" s="103">
        <v>2548155</v>
      </c>
      <c r="R15" s="101">
        <f t="shared" si="7"/>
        <v>57</v>
      </c>
      <c r="S15" s="103">
        <v>2191674</v>
      </c>
      <c r="T15" s="101">
        <f t="shared" si="7"/>
        <v>2</v>
      </c>
      <c r="U15" s="103">
        <v>109770</v>
      </c>
      <c r="V15" s="101">
        <f t="shared" si="56"/>
        <v>65</v>
      </c>
      <c r="W15" s="76">
        <v>100</v>
      </c>
      <c r="X15" s="103">
        <v>152730</v>
      </c>
      <c r="Y15" s="98">
        <v>0</v>
      </c>
      <c r="Z15" s="99">
        <v>39631</v>
      </c>
      <c r="AA15" s="106">
        <f t="shared" si="8"/>
        <v>10</v>
      </c>
      <c r="AB15" s="103">
        <v>1114</v>
      </c>
      <c r="AC15" s="107">
        <f t="shared" si="8"/>
        <v>0</v>
      </c>
      <c r="AD15" s="103">
        <v>4605</v>
      </c>
      <c r="AE15" s="108">
        <f t="shared" si="54"/>
        <v>0</v>
      </c>
      <c r="AF15" s="19"/>
      <c r="AG15" s="19"/>
      <c r="AH15" s="103">
        <v>580190</v>
      </c>
      <c r="AI15" s="101">
        <f t="shared" si="9"/>
        <v>0</v>
      </c>
      <c r="AJ15" s="114">
        <v>467</v>
      </c>
      <c r="AK15" s="98">
        <f t="shared" si="10"/>
        <v>0</v>
      </c>
      <c r="AL15" s="99">
        <v>52232</v>
      </c>
      <c r="AM15" s="113">
        <f t="shared" si="11"/>
        <v>1</v>
      </c>
      <c r="AN15" s="103">
        <v>8913</v>
      </c>
      <c r="AO15" s="98">
        <f t="shared" si="12"/>
        <v>0</v>
      </c>
      <c r="AP15" s="103">
        <v>10571</v>
      </c>
      <c r="AQ15" s="98">
        <f t="shared" si="12"/>
        <v>0</v>
      </c>
      <c r="AR15" s="99">
        <v>14554</v>
      </c>
      <c r="AS15" s="98">
        <f t="shared" si="12"/>
        <v>0</v>
      </c>
      <c r="AT15" s="103">
        <v>19369</v>
      </c>
      <c r="AU15" s="98">
        <f t="shared" si="12"/>
        <v>0</v>
      </c>
      <c r="AV15" s="103">
        <v>20677</v>
      </c>
      <c r="AW15" s="106">
        <f t="shared" si="13"/>
        <v>0</v>
      </c>
      <c r="AX15" s="103">
        <v>13871</v>
      </c>
      <c r="AY15" s="106">
        <f t="shared" si="14"/>
        <v>0</v>
      </c>
      <c r="AZ15" s="103">
        <v>6219</v>
      </c>
      <c r="BA15" s="98">
        <f t="shared" si="15"/>
        <v>0</v>
      </c>
      <c r="BB15" s="103">
        <v>26476</v>
      </c>
      <c r="BC15" s="98">
        <f t="shared" si="16"/>
        <v>1</v>
      </c>
      <c r="BD15" s="99">
        <v>1115</v>
      </c>
      <c r="BE15" s="98">
        <f t="shared" si="17"/>
        <v>0</v>
      </c>
      <c r="BF15" s="99">
        <v>4375</v>
      </c>
      <c r="BG15" s="98">
        <f t="shared" si="18"/>
        <v>0</v>
      </c>
      <c r="BH15" s="103">
        <v>3636</v>
      </c>
      <c r="BI15" s="98">
        <f t="shared" si="51"/>
        <v>0</v>
      </c>
      <c r="BJ15" s="106">
        <f t="shared" si="19"/>
        <v>0</v>
      </c>
      <c r="BK15" s="106">
        <f t="shared" si="20"/>
        <v>0</v>
      </c>
      <c r="BL15" s="103">
        <v>601050</v>
      </c>
      <c r="BM15" s="106">
        <f t="shared" si="57"/>
        <v>20</v>
      </c>
      <c r="BN15" s="114">
        <v>712</v>
      </c>
      <c r="BO15" s="98">
        <f t="shared" si="22"/>
        <v>0</v>
      </c>
      <c r="BP15" s="99">
        <v>778780</v>
      </c>
      <c r="BQ15" s="106">
        <f t="shared" si="23"/>
        <v>60</v>
      </c>
      <c r="BR15" s="114">
        <v>6753</v>
      </c>
      <c r="BS15" s="106">
        <f t="shared" si="24"/>
        <v>121</v>
      </c>
      <c r="BT15" s="117">
        <f t="shared" si="25"/>
        <v>60</v>
      </c>
      <c r="BU15" s="106">
        <f t="shared" si="26"/>
        <v>80</v>
      </c>
      <c r="BV15" s="119">
        <f t="shared" si="27"/>
        <v>1</v>
      </c>
      <c r="BW15" s="103">
        <v>125</v>
      </c>
      <c r="BX15" s="120">
        <f t="shared" si="28"/>
        <v>15594.962224985846</v>
      </c>
      <c r="BY15" s="103"/>
      <c r="BZ15" s="122">
        <f t="shared" si="29"/>
        <v>0</v>
      </c>
      <c r="CA15" s="103">
        <v>206470</v>
      </c>
      <c r="CB15" s="106">
        <f t="shared" si="30"/>
        <v>0.5</v>
      </c>
      <c r="CC15" s="117">
        <f t="shared" si="31"/>
        <v>2.855</v>
      </c>
      <c r="CD15" s="103">
        <v>38</v>
      </c>
      <c r="CE15" s="126">
        <f t="shared" si="32"/>
        <v>4094.5</v>
      </c>
      <c r="CF15" s="103">
        <v>36</v>
      </c>
      <c r="CG15" s="127">
        <f t="shared" si="33"/>
        <v>3879</v>
      </c>
      <c r="CH15" s="103">
        <v>38</v>
      </c>
      <c r="CI15" s="128">
        <f t="shared" si="52"/>
        <v>4094.5</v>
      </c>
      <c r="CJ15" s="129">
        <f t="shared" si="34"/>
        <v>12068</v>
      </c>
      <c r="CK15" s="130">
        <f t="shared" si="35"/>
        <v>107.75</v>
      </c>
      <c r="CL15" s="132"/>
      <c r="CM15" s="103">
        <v>34518</v>
      </c>
      <c r="CN15" s="106">
        <f t="shared" si="36"/>
        <v>0.69999999999708962</v>
      </c>
      <c r="CO15" s="117">
        <f t="shared" si="37"/>
        <v>1.7079999999928985</v>
      </c>
      <c r="CP15" s="103">
        <v>34300</v>
      </c>
      <c r="CQ15" s="106">
        <f t="shared" si="38"/>
        <v>0</v>
      </c>
      <c r="CR15" s="117">
        <f t="shared" si="39"/>
        <v>0</v>
      </c>
      <c r="CS15" s="103">
        <v>10235.6</v>
      </c>
      <c r="CT15" s="106">
        <f t="shared" si="55"/>
        <v>0</v>
      </c>
      <c r="CU15" s="117">
        <f t="shared" si="40"/>
        <v>0</v>
      </c>
      <c r="CV15" s="103">
        <v>832145</v>
      </c>
      <c r="CW15" s="106">
        <f t="shared" si="41"/>
        <v>0</v>
      </c>
      <c r="CX15" s="117">
        <f t="shared" si="42"/>
        <v>0</v>
      </c>
      <c r="CY15" s="103">
        <v>5977</v>
      </c>
      <c r="CZ15" s="106">
        <f t="shared" si="43"/>
        <v>0.3999999999996362</v>
      </c>
      <c r="DA15" s="117">
        <f t="shared" si="44"/>
        <v>0.95599999999913055</v>
      </c>
      <c r="DB15" s="103">
        <v>7420</v>
      </c>
      <c r="DC15" s="106">
        <f t="shared" si="45"/>
        <v>0</v>
      </c>
      <c r="DD15" s="106">
        <f t="shared" si="45"/>
        <v>0</v>
      </c>
      <c r="DE15" s="103">
        <v>3840</v>
      </c>
      <c r="DF15" s="106">
        <f t="shared" si="46"/>
        <v>0</v>
      </c>
      <c r="DG15" s="106">
        <f t="shared" si="46"/>
        <v>0</v>
      </c>
      <c r="DH15" s="103">
        <v>1855.9</v>
      </c>
      <c r="DI15" s="106">
        <f t="shared" si="46"/>
        <v>0</v>
      </c>
      <c r="DJ15" s="106">
        <f t="shared" si="46"/>
        <v>0</v>
      </c>
      <c r="DK15" s="103">
        <v>5081.7</v>
      </c>
      <c r="DL15" s="106">
        <f t="shared" si="46"/>
        <v>0</v>
      </c>
      <c r="DM15" s="106">
        <f t="shared" si="46"/>
        <v>0</v>
      </c>
      <c r="DN15" s="103">
        <v>4454.7</v>
      </c>
      <c r="DO15" s="106">
        <f t="shared" si="46"/>
        <v>0</v>
      </c>
      <c r="DP15" s="106">
        <f t="shared" si="46"/>
        <v>0</v>
      </c>
      <c r="DQ15" s="103">
        <v>5089.6000000000004</v>
      </c>
      <c r="DR15" s="106">
        <f t="shared" si="46"/>
        <v>0</v>
      </c>
      <c r="DS15" s="106">
        <f t="shared" si="46"/>
        <v>0</v>
      </c>
      <c r="DT15" s="103">
        <v>4990</v>
      </c>
      <c r="DU15" s="106">
        <f t="shared" si="47"/>
        <v>6.1999999999998181</v>
      </c>
      <c r="DV15" s="117">
        <f t="shared" si="48"/>
        <v>14.817999999999566</v>
      </c>
      <c r="DW15" s="124">
        <v>12871</v>
      </c>
      <c r="DX15" s="117">
        <f t="shared" si="53"/>
        <v>0</v>
      </c>
      <c r="DY15" s="124">
        <v>62789</v>
      </c>
      <c r="DZ15" s="117">
        <f t="shared" si="49"/>
        <v>0</v>
      </c>
      <c r="EA15" s="135">
        <v>15588</v>
      </c>
      <c r="EB15" s="117">
        <f t="shared" si="49"/>
        <v>0</v>
      </c>
      <c r="EC15" s="135">
        <v>24679</v>
      </c>
      <c r="ED15" s="117">
        <f t="shared" si="50"/>
        <v>0</v>
      </c>
      <c r="EE15" s="135">
        <v>2</v>
      </c>
      <c r="EF15" s="136">
        <v>6</v>
      </c>
      <c r="EG15" s="134">
        <v>1.4999999999999999E-2</v>
      </c>
      <c r="EH15" s="83"/>
      <c r="EI15" s="58"/>
      <c r="EJ15" s="58"/>
      <c r="EK15"/>
      <c r="EL15"/>
      <c r="EM15"/>
    </row>
    <row r="16" spans="1:143" s="20" customFormat="1" ht="15">
      <c r="A16" s="96">
        <v>44299</v>
      </c>
      <c r="B16" s="103">
        <v>6752342</v>
      </c>
      <c r="C16" s="98">
        <f t="shared" si="0"/>
        <v>6392</v>
      </c>
      <c r="D16" s="103">
        <v>5988774</v>
      </c>
      <c r="E16" s="98">
        <f t="shared" si="1"/>
        <v>5925</v>
      </c>
      <c r="F16" s="22">
        <f t="shared" si="2"/>
        <v>0.92693992490613264</v>
      </c>
      <c r="G16" s="99">
        <v>418</v>
      </c>
      <c r="H16" s="99">
        <v>528</v>
      </c>
      <c r="I16" s="100">
        <v>288023</v>
      </c>
      <c r="J16" s="101">
        <f t="shared" si="3"/>
        <v>0</v>
      </c>
      <c r="K16" s="102">
        <v>774</v>
      </c>
      <c r="L16" s="98">
        <f t="shared" si="58"/>
        <v>0</v>
      </c>
      <c r="M16" s="103">
        <v>633922</v>
      </c>
      <c r="N16" s="98">
        <v>0</v>
      </c>
      <c r="O16" s="103">
        <v>992</v>
      </c>
      <c r="P16" s="101">
        <f t="shared" si="6"/>
        <v>0</v>
      </c>
      <c r="Q16" s="103">
        <v>2548162</v>
      </c>
      <c r="R16" s="101">
        <f t="shared" si="7"/>
        <v>7</v>
      </c>
      <c r="S16" s="103">
        <v>2191674</v>
      </c>
      <c r="T16" s="101">
        <f t="shared" si="7"/>
        <v>0</v>
      </c>
      <c r="U16" s="103">
        <v>109840</v>
      </c>
      <c r="V16" s="101">
        <f t="shared" si="56"/>
        <v>70</v>
      </c>
      <c r="W16" s="76">
        <v>100</v>
      </c>
      <c r="X16" s="103">
        <v>152730</v>
      </c>
      <c r="Y16" s="98">
        <v>0</v>
      </c>
      <c r="Z16" s="99">
        <v>39636</v>
      </c>
      <c r="AA16" s="106">
        <f t="shared" si="8"/>
        <v>5</v>
      </c>
      <c r="AB16" s="103">
        <v>1114</v>
      </c>
      <c r="AC16" s="107">
        <f t="shared" si="8"/>
        <v>0</v>
      </c>
      <c r="AD16" s="103">
        <v>4605</v>
      </c>
      <c r="AE16" s="108">
        <f t="shared" si="54"/>
        <v>0</v>
      </c>
      <c r="AF16" s="19"/>
      <c r="AG16" s="19"/>
      <c r="AH16" s="103">
        <v>580190</v>
      </c>
      <c r="AI16" s="101">
        <f t="shared" si="9"/>
        <v>0</v>
      </c>
      <c r="AJ16" s="115">
        <v>467</v>
      </c>
      <c r="AK16" s="98">
        <f t="shared" si="10"/>
        <v>0</v>
      </c>
      <c r="AL16" s="99">
        <v>52232</v>
      </c>
      <c r="AM16" s="113">
        <f t="shared" si="11"/>
        <v>0</v>
      </c>
      <c r="AN16" s="103">
        <v>8913</v>
      </c>
      <c r="AO16" s="98">
        <f t="shared" si="12"/>
        <v>0</v>
      </c>
      <c r="AP16" s="103">
        <v>10571</v>
      </c>
      <c r="AQ16" s="98">
        <f t="shared" si="12"/>
        <v>0</v>
      </c>
      <c r="AR16" s="99">
        <v>14554</v>
      </c>
      <c r="AS16" s="98">
        <f t="shared" si="12"/>
        <v>0</v>
      </c>
      <c r="AT16" s="103">
        <v>19369</v>
      </c>
      <c r="AU16" s="98">
        <f t="shared" si="12"/>
        <v>0</v>
      </c>
      <c r="AV16" s="103">
        <v>20677</v>
      </c>
      <c r="AW16" s="106">
        <f t="shared" si="13"/>
        <v>0</v>
      </c>
      <c r="AX16" s="103">
        <v>13871</v>
      </c>
      <c r="AY16" s="106">
        <f t="shared" si="14"/>
        <v>0</v>
      </c>
      <c r="AZ16" s="103">
        <v>6219</v>
      </c>
      <c r="BA16" s="98">
        <f t="shared" si="15"/>
        <v>0</v>
      </c>
      <c r="BB16" s="103">
        <v>26476</v>
      </c>
      <c r="BC16" s="98">
        <f t="shared" si="16"/>
        <v>0</v>
      </c>
      <c r="BD16" s="99">
        <v>1115</v>
      </c>
      <c r="BE16" s="98">
        <f t="shared" si="17"/>
        <v>0</v>
      </c>
      <c r="BF16" s="99">
        <v>4375</v>
      </c>
      <c r="BG16" s="98">
        <f t="shared" si="18"/>
        <v>0</v>
      </c>
      <c r="BH16" s="103">
        <v>3636</v>
      </c>
      <c r="BI16" s="98">
        <f t="shared" si="51"/>
        <v>0</v>
      </c>
      <c r="BJ16" s="106">
        <f t="shared" si="19"/>
        <v>0</v>
      </c>
      <c r="BK16" s="106">
        <f t="shared" si="20"/>
        <v>0</v>
      </c>
      <c r="BL16" s="103">
        <v>601060</v>
      </c>
      <c r="BM16" s="106">
        <f t="shared" si="57"/>
        <v>10</v>
      </c>
      <c r="BN16" s="114">
        <v>712</v>
      </c>
      <c r="BO16" s="98">
        <f t="shared" si="22"/>
        <v>0</v>
      </c>
      <c r="BP16" s="103">
        <v>778810</v>
      </c>
      <c r="BQ16" s="106">
        <f t="shared" si="23"/>
        <v>30</v>
      </c>
      <c r="BR16" s="114">
        <v>6777</v>
      </c>
      <c r="BS16" s="106">
        <f t="shared" si="24"/>
        <v>24</v>
      </c>
      <c r="BT16" s="117">
        <f t="shared" si="25"/>
        <v>30</v>
      </c>
      <c r="BU16" s="106">
        <f t="shared" si="26"/>
        <v>40</v>
      </c>
      <c r="BV16" s="119">
        <f t="shared" si="27"/>
        <v>0</v>
      </c>
      <c r="BW16" s="103">
        <v>125</v>
      </c>
      <c r="BX16" s="120">
        <f t="shared" si="28"/>
        <v>15594.962224985846</v>
      </c>
      <c r="BY16" s="103"/>
      <c r="BZ16" s="122">
        <f t="shared" si="29"/>
        <v>0</v>
      </c>
      <c r="CA16" s="103">
        <v>206470.39999999999</v>
      </c>
      <c r="CB16" s="106">
        <f t="shared" si="30"/>
        <v>0.39999999999417923</v>
      </c>
      <c r="CC16" s="117">
        <f t="shared" si="31"/>
        <v>2.2839999999667633</v>
      </c>
      <c r="CD16" s="103">
        <v>38</v>
      </c>
      <c r="CE16" s="126">
        <f t="shared" si="32"/>
        <v>4094.5</v>
      </c>
      <c r="CF16" s="103">
        <v>36</v>
      </c>
      <c r="CG16" s="127">
        <f t="shared" si="33"/>
        <v>3879</v>
      </c>
      <c r="CH16" s="103">
        <v>38</v>
      </c>
      <c r="CI16" s="128">
        <f t="shared" si="52"/>
        <v>4094.5</v>
      </c>
      <c r="CJ16" s="129">
        <f t="shared" si="34"/>
        <v>12068</v>
      </c>
      <c r="CK16" s="130">
        <f t="shared" si="35"/>
        <v>0</v>
      </c>
      <c r="CL16" s="103"/>
      <c r="CM16" s="103">
        <v>34519.5</v>
      </c>
      <c r="CN16" s="106">
        <f t="shared" si="36"/>
        <v>1.5</v>
      </c>
      <c r="CO16" s="117">
        <f t="shared" si="37"/>
        <v>3.66</v>
      </c>
      <c r="CP16" s="103">
        <v>34300</v>
      </c>
      <c r="CQ16" s="106">
        <f t="shared" si="38"/>
        <v>0</v>
      </c>
      <c r="CR16" s="117">
        <f t="shared" si="39"/>
        <v>0</v>
      </c>
      <c r="CS16" s="103">
        <v>10235.6</v>
      </c>
      <c r="CT16" s="106">
        <f t="shared" si="55"/>
        <v>0</v>
      </c>
      <c r="CU16" s="117">
        <f t="shared" si="40"/>
        <v>0</v>
      </c>
      <c r="CV16" s="103">
        <v>832145</v>
      </c>
      <c r="CW16" s="106">
        <f t="shared" si="41"/>
        <v>0</v>
      </c>
      <c r="CX16" s="117">
        <f t="shared" si="42"/>
        <v>0</v>
      </c>
      <c r="CY16" s="103">
        <v>5978.2</v>
      </c>
      <c r="CZ16" s="106">
        <f t="shared" si="43"/>
        <v>1.1999999999998181</v>
      </c>
      <c r="DA16" s="117">
        <f t="shared" si="44"/>
        <v>2.8679999999995656</v>
      </c>
      <c r="DB16" s="103">
        <v>7420</v>
      </c>
      <c r="DC16" s="106">
        <f t="shared" si="45"/>
        <v>0</v>
      </c>
      <c r="DD16" s="106">
        <f t="shared" si="45"/>
        <v>0</v>
      </c>
      <c r="DE16" s="103">
        <v>3840</v>
      </c>
      <c r="DF16" s="106">
        <f t="shared" si="46"/>
        <v>0</v>
      </c>
      <c r="DG16" s="106">
        <f t="shared" si="46"/>
        <v>0</v>
      </c>
      <c r="DH16" s="103">
        <v>1855.9</v>
      </c>
      <c r="DI16" s="106">
        <f t="shared" si="46"/>
        <v>0</v>
      </c>
      <c r="DJ16" s="106">
        <f t="shared" si="46"/>
        <v>0</v>
      </c>
      <c r="DK16" s="103">
        <v>5081.7</v>
      </c>
      <c r="DL16" s="106">
        <f t="shared" si="46"/>
        <v>0</v>
      </c>
      <c r="DM16" s="106">
        <f t="shared" si="46"/>
        <v>0</v>
      </c>
      <c r="DN16" s="103">
        <v>4454.7</v>
      </c>
      <c r="DO16" s="106">
        <f t="shared" si="46"/>
        <v>0</v>
      </c>
      <c r="DP16" s="106">
        <f t="shared" si="46"/>
        <v>0</v>
      </c>
      <c r="DQ16" s="103">
        <v>5089.6000000000004</v>
      </c>
      <c r="DR16" s="106">
        <f t="shared" si="46"/>
        <v>0</v>
      </c>
      <c r="DS16" s="106">
        <f t="shared" si="46"/>
        <v>0</v>
      </c>
      <c r="DT16" s="103">
        <v>4991.8999999999996</v>
      </c>
      <c r="DU16" s="106">
        <f t="shared" si="47"/>
        <v>1.8999999999996362</v>
      </c>
      <c r="DV16" s="117">
        <f t="shared" si="48"/>
        <v>4.5409999999991308</v>
      </c>
      <c r="DW16" s="124">
        <v>12871</v>
      </c>
      <c r="DX16" s="117">
        <f t="shared" si="53"/>
        <v>0</v>
      </c>
      <c r="DY16" s="124">
        <v>62789</v>
      </c>
      <c r="DZ16" s="117">
        <f t="shared" si="49"/>
        <v>0</v>
      </c>
      <c r="EA16" s="135">
        <v>15588</v>
      </c>
      <c r="EB16" s="117">
        <f t="shared" si="49"/>
        <v>0</v>
      </c>
      <c r="EC16" s="135">
        <v>24679</v>
      </c>
      <c r="ED16" s="117">
        <f t="shared" si="50"/>
        <v>0</v>
      </c>
      <c r="EE16" s="135">
        <v>2</v>
      </c>
      <c r="EF16" s="136">
        <v>6</v>
      </c>
      <c r="EG16" s="134">
        <v>1.4999999999999999E-2</v>
      </c>
      <c r="EH16" s="83"/>
      <c r="EI16" s="58"/>
      <c r="EJ16" s="58"/>
      <c r="EK16"/>
      <c r="EL16"/>
      <c r="EM16"/>
    </row>
    <row r="17" spans="1:144" s="24" customFormat="1" ht="15">
      <c r="A17" s="96">
        <v>44300</v>
      </c>
      <c r="B17" s="103">
        <v>6758809</v>
      </c>
      <c r="C17" s="98">
        <f t="shared" si="0"/>
        <v>6467</v>
      </c>
      <c r="D17" s="103">
        <v>5995148</v>
      </c>
      <c r="E17" s="98">
        <f t="shared" si="1"/>
        <v>6374</v>
      </c>
      <c r="F17" s="22">
        <f t="shared" si="2"/>
        <v>0.98561929797433123</v>
      </c>
      <c r="G17" s="99">
        <v>418</v>
      </c>
      <c r="H17" s="99">
        <v>528</v>
      </c>
      <c r="I17" s="100">
        <v>288023</v>
      </c>
      <c r="J17" s="101">
        <f t="shared" si="3"/>
        <v>0</v>
      </c>
      <c r="K17" s="102">
        <v>774</v>
      </c>
      <c r="L17" s="98">
        <f t="shared" si="58"/>
        <v>0</v>
      </c>
      <c r="M17" s="103">
        <v>633922</v>
      </c>
      <c r="N17" s="98">
        <f t="shared" si="3"/>
        <v>0</v>
      </c>
      <c r="O17" s="103">
        <v>992</v>
      </c>
      <c r="P17" s="101">
        <f t="shared" si="6"/>
        <v>0</v>
      </c>
      <c r="Q17" s="103">
        <v>2548187</v>
      </c>
      <c r="R17" s="101">
        <f t="shared" si="7"/>
        <v>25</v>
      </c>
      <c r="S17" s="103">
        <v>2191687</v>
      </c>
      <c r="T17" s="101">
        <f t="shared" si="7"/>
        <v>13</v>
      </c>
      <c r="U17" s="103">
        <v>109900</v>
      </c>
      <c r="V17" s="101">
        <f t="shared" si="56"/>
        <v>60</v>
      </c>
      <c r="W17" s="76">
        <v>100</v>
      </c>
      <c r="X17" s="103">
        <v>152730</v>
      </c>
      <c r="Y17" s="98">
        <v>0</v>
      </c>
      <c r="Z17" s="99">
        <v>39643</v>
      </c>
      <c r="AA17" s="106">
        <f t="shared" si="8"/>
        <v>7</v>
      </c>
      <c r="AB17" s="103">
        <v>1114</v>
      </c>
      <c r="AC17" s="107">
        <f t="shared" si="8"/>
        <v>0</v>
      </c>
      <c r="AD17" s="103">
        <v>4605</v>
      </c>
      <c r="AE17" s="108">
        <f t="shared" si="54"/>
        <v>0</v>
      </c>
      <c r="AF17" s="19"/>
      <c r="AG17" s="19"/>
      <c r="AH17" s="103">
        <v>580200</v>
      </c>
      <c r="AI17" s="101">
        <f t="shared" si="9"/>
        <v>10</v>
      </c>
      <c r="AJ17" s="115">
        <v>467</v>
      </c>
      <c r="AK17" s="98">
        <f t="shared" si="10"/>
        <v>0</v>
      </c>
      <c r="AL17" s="99">
        <v>52233</v>
      </c>
      <c r="AM17" s="113">
        <f t="shared" si="11"/>
        <v>1</v>
      </c>
      <c r="AN17" s="103">
        <v>8913</v>
      </c>
      <c r="AO17" s="98">
        <f t="shared" si="12"/>
        <v>0</v>
      </c>
      <c r="AP17" s="103">
        <v>10571</v>
      </c>
      <c r="AQ17" s="98">
        <f t="shared" si="12"/>
        <v>0</v>
      </c>
      <c r="AR17" s="99">
        <v>14554</v>
      </c>
      <c r="AS17" s="98">
        <f t="shared" si="12"/>
        <v>0</v>
      </c>
      <c r="AT17" s="103">
        <v>19369</v>
      </c>
      <c r="AU17" s="98">
        <f t="shared" si="12"/>
        <v>0</v>
      </c>
      <c r="AV17" s="103">
        <v>20677</v>
      </c>
      <c r="AW17" s="106">
        <f t="shared" si="13"/>
        <v>0</v>
      </c>
      <c r="AX17" s="103">
        <v>13871</v>
      </c>
      <c r="AY17" s="106">
        <f t="shared" si="14"/>
        <v>0</v>
      </c>
      <c r="AZ17" s="103">
        <v>6219</v>
      </c>
      <c r="BA17" s="98">
        <f t="shared" si="15"/>
        <v>0</v>
      </c>
      <c r="BB17" s="103">
        <v>26477</v>
      </c>
      <c r="BC17" s="98">
        <f t="shared" si="16"/>
        <v>1</v>
      </c>
      <c r="BD17" s="99">
        <v>1115</v>
      </c>
      <c r="BE17" s="98">
        <f t="shared" si="17"/>
        <v>0</v>
      </c>
      <c r="BF17" s="99">
        <v>4375</v>
      </c>
      <c r="BG17" s="98">
        <f t="shared" si="18"/>
        <v>0</v>
      </c>
      <c r="BH17" s="103">
        <v>3636</v>
      </c>
      <c r="BI17" s="98">
        <f t="shared" si="51"/>
        <v>0</v>
      </c>
      <c r="BJ17" s="106">
        <f t="shared" si="19"/>
        <v>0</v>
      </c>
      <c r="BK17" s="106">
        <f t="shared" si="20"/>
        <v>10</v>
      </c>
      <c r="BL17" s="103">
        <v>601090</v>
      </c>
      <c r="BM17" s="106">
        <f t="shared" si="57"/>
        <v>30</v>
      </c>
      <c r="BN17" s="114">
        <v>712</v>
      </c>
      <c r="BO17" s="98">
        <f t="shared" si="22"/>
        <v>0</v>
      </c>
      <c r="BP17" s="103">
        <v>778860</v>
      </c>
      <c r="BQ17" s="106">
        <f t="shared" si="23"/>
        <v>50</v>
      </c>
      <c r="BR17" s="114">
        <v>6817</v>
      </c>
      <c r="BS17" s="106">
        <f>IF((BR17-BR16)&lt;0,"0",(BR17-BR16))</f>
        <v>40</v>
      </c>
      <c r="BT17" s="117">
        <f t="shared" si="25"/>
        <v>40</v>
      </c>
      <c r="BU17" s="106">
        <f t="shared" si="26"/>
        <v>80</v>
      </c>
      <c r="BV17" s="119">
        <f t="shared" si="27"/>
        <v>1</v>
      </c>
      <c r="BW17" s="103">
        <v>125</v>
      </c>
      <c r="BX17" s="120">
        <f t="shared" si="28"/>
        <v>15594.962224985846</v>
      </c>
      <c r="BY17" s="103"/>
      <c r="BZ17" s="122">
        <f t="shared" si="29"/>
        <v>0</v>
      </c>
      <c r="CA17" s="103">
        <v>206478.4</v>
      </c>
      <c r="CB17" s="106">
        <f t="shared" si="30"/>
        <v>8</v>
      </c>
      <c r="CC17" s="117">
        <f t="shared" si="31"/>
        <v>45.68</v>
      </c>
      <c r="CD17" s="103">
        <v>37</v>
      </c>
      <c r="CE17" s="126">
        <f t="shared" si="32"/>
        <v>3986.75</v>
      </c>
      <c r="CF17" s="103">
        <v>36</v>
      </c>
      <c r="CG17" s="127">
        <f t="shared" si="33"/>
        <v>3879</v>
      </c>
      <c r="CH17" s="103">
        <v>38</v>
      </c>
      <c r="CI17" s="128">
        <f t="shared" si="52"/>
        <v>4094.5</v>
      </c>
      <c r="CJ17" s="129">
        <f t="shared" si="34"/>
        <v>11960.25</v>
      </c>
      <c r="CK17" s="130">
        <f t="shared" si="35"/>
        <v>107.75</v>
      </c>
      <c r="CL17" s="103"/>
      <c r="CM17" s="103">
        <v>34520.400000000001</v>
      </c>
      <c r="CN17" s="106">
        <f t="shared" si="36"/>
        <v>0.90000000000145519</v>
      </c>
      <c r="CO17" s="117">
        <f t="shared" si="37"/>
        <v>2.1960000000035507</v>
      </c>
      <c r="CP17" s="103">
        <v>34300</v>
      </c>
      <c r="CQ17" s="106">
        <f t="shared" si="38"/>
        <v>0</v>
      </c>
      <c r="CR17" s="117">
        <f t="shared" si="39"/>
        <v>0</v>
      </c>
      <c r="CS17" s="103">
        <v>10235.6</v>
      </c>
      <c r="CT17" s="106">
        <f t="shared" si="55"/>
        <v>0</v>
      </c>
      <c r="CU17" s="117">
        <f t="shared" si="40"/>
        <v>0</v>
      </c>
      <c r="CV17" s="103">
        <v>832147.3</v>
      </c>
      <c r="CW17" s="106">
        <f t="shared" si="41"/>
        <v>2.3000000000465661</v>
      </c>
      <c r="CX17" s="117">
        <f t="shared" si="42"/>
        <v>5.6120000001136212</v>
      </c>
      <c r="CY17" s="103">
        <v>5979.6</v>
      </c>
      <c r="CZ17" s="106">
        <f t="shared" si="43"/>
        <v>1.4000000000005457</v>
      </c>
      <c r="DA17" s="117">
        <f t="shared" si="44"/>
        <v>3.3460000000013044</v>
      </c>
      <c r="DB17" s="103">
        <v>7420</v>
      </c>
      <c r="DC17" s="106">
        <f t="shared" si="45"/>
        <v>0</v>
      </c>
      <c r="DD17" s="106">
        <f t="shared" si="45"/>
        <v>0</v>
      </c>
      <c r="DE17" s="103">
        <v>3840</v>
      </c>
      <c r="DF17" s="106">
        <f t="shared" si="46"/>
        <v>0</v>
      </c>
      <c r="DG17" s="106">
        <f t="shared" si="46"/>
        <v>0</v>
      </c>
      <c r="DH17" s="103">
        <v>1855.9</v>
      </c>
      <c r="DI17" s="106">
        <f t="shared" si="46"/>
        <v>0</v>
      </c>
      <c r="DJ17" s="106">
        <f t="shared" si="46"/>
        <v>0</v>
      </c>
      <c r="DK17" s="103">
        <v>5081.7</v>
      </c>
      <c r="DL17" s="106">
        <f t="shared" si="46"/>
        <v>0</v>
      </c>
      <c r="DM17" s="106">
        <f t="shared" si="46"/>
        <v>0</v>
      </c>
      <c r="DN17" s="103">
        <v>4454.7</v>
      </c>
      <c r="DO17" s="106">
        <f t="shared" si="46"/>
        <v>0</v>
      </c>
      <c r="DP17" s="106">
        <f t="shared" si="46"/>
        <v>0</v>
      </c>
      <c r="DQ17" s="103">
        <v>5089.6000000000004</v>
      </c>
      <c r="DR17" s="106">
        <f t="shared" si="46"/>
        <v>0</v>
      </c>
      <c r="DS17" s="106">
        <f t="shared" si="46"/>
        <v>0</v>
      </c>
      <c r="DT17" s="103">
        <v>4996.8</v>
      </c>
      <c r="DU17" s="106">
        <f t="shared" si="47"/>
        <v>4.9000000000005457</v>
      </c>
      <c r="DV17" s="117">
        <f t="shared" si="48"/>
        <v>11.711000000001304</v>
      </c>
      <c r="DW17" s="124">
        <v>12871</v>
      </c>
      <c r="DX17" s="117">
        <f t="shared" si="53"/>
        <v>0</v>
      </c>
      <c r="DY17" s="124">
        <v>62789</v>
      </c>
      <c r="DZ17" s="117">
        <f t="shared" si="49"/>
        <v>0</v>
      </c>
      <c r="EA17" s="135">
        <v>15588</v>
      </c>
      <c r="EB17" s="117">
        <f t="shared" si="49"/>
        <v>0</v>
      </c>
      <c r="EC17" s="135">
        <v>24679</v>
      </c>
      <c r="ED17" s="117">
        <f t="shared" si="50"/>
        <v>0</v>
      </c>
      <c r="EE17" s="135">
        <v>2</v>
      </c>
      <c r="EF17" s="136">
        <v>6</v>
      </c>
      <c r="EG17" s="134">
        <v>1.4999999999999999E-2</v>
      </c>
      <c r="EH17" s="84"/>
      <c r="EI17" s="58"/>
      <c r="EJ17" s="58"/>
      <c r="EK17"/>
      <c r="EL17"/>
      <c r="EM17"/>
    </row>
    <row r="18" spans="1:144" s="20" customFormat="1" ht="15">
      <c r="A18" s="96">
        <v>44301</v>
      </c>
      <c r="B18" s="103">
        <v>6765758</v>
      </c>
      <c r="C18" s="98">
        <f t="shared" si="0"/>
        <v>6949</v>
      </c>
      <c r="D18" s="103">
        <v>6001715</v>
      </c>
      <c r="E18" s="98">
        <f t="shared" si="1"/>
        <v>6567</v>
      </c>
      <c r="F18" s="22">
        <f t="shared" si="2"/>
        <v>0.94502806159159591</v>
      </c>
      <c r="G18" s="99">
        <v>432</v>
      </c>
      <c r="H18" s="99">
        <v>528</v>
      </c>
      <c r="I18" s="100">
        <v>288023</v>
      </c>
      <c r="J18" s="101">
        <f t="shared" si="3"/>
        <v>0</v>
      </c>
      <c r="K18" s="102">
        <v>774</v>
      </c>
      <c r="L18" s="98">
        <f t="shared" si="58"/>
        <v>0</v>
      </c>
      <c r="M18" s="103">
        <v>633922</v>
      </c>
      <c r="N18" s="98">
        <f t="shared" si="3"/>
        <v>0</v>
      </c>
      <c r="O18" s="103">
        <v>992</v>
      </c>
      <c r="P18" s="101">
        <f t="shared" si="6"/>
        <v>0</v>
      </c>
      <c r="Q18" s="103">
        <v>2548195</v>
      </c>
      <c r="R18" s="101">
        <f t="shared" si="7"/>
        <v>8</v>
      </c>
      <c r="S18" s="103">
        <v>2191687</v>
      </c>
      <c r="T18" s="101">
        <f t="shared" si="7"/>
        <v>0</v>
      </c>
      <c r="U18" s="103">
        <v>109943</v>
      </c>
      <c r="V18" s="101">
        <f t="shared" si="56"/>
        <v>43</v>
      </c>
      <c r="W18" s="76">
        <v>100</v>
      </c>
      <c r="X18" s="103">
        <v>152730</v>
      </c>
      <c r="Y18" s="98">
        <v>0</v>
      </c>
      <c r="Z18" s="99">
        <v>39646</v>
      </c>
      <c r="AA18" s="106">
        <f t="shared" si="8"/>
        <v>3</v>
      </c>
      <c r="AB18" s="103">
        <v>1114</v>
      </c>
      <c r="AC18" s="107">
        <v>0</v>
      </c>
      <c r="AD18" s="103">
        <v>4605</v>
      </c>
      <c r="AE18" s="108">
        <f t="shared" si="54"/>
        <v>0</v>
      </c>
      <c r="AF18" s="19"/>
      <c r="AG18" s="19"/>
      <c r="AH18" s="103">
        <v>580200</v>
      </c>
      <c r="AI18" s="101">
        <f t="shared" si="9"/>
        <v>0</v>
      </c>
      <c r="AJ18" s="115">
        <v>467</v>
      </c>
      <c r="AK18" s="98">
        <f t="shared" si="10"/>
        <v>0</v>
      </c>
      <c r="AL18" s="99">
        <v>52234</v>
      </c>
      <c r="AM18" s="113">
        <f t="shared" si="11"/>
        <v>1</v>
      </c>
      <c r="AN18" s="103">
        <v>8913</v>
      </c>
      <c r="AO18" s="98">
        <f t="shared" si="12"/>
        <v>0</v>
      </c>
      <c r="AP18" s="103">
        <v>10571</v>
      </c>
      <c r="AQ18" s="98">
        <f t="shared" si="12"/>
        <v>0</v>
      </c>
      <c r="AR18" s="99">
        <v>14554</v>
      </c>
      <c r="AS18" s="98">
        <f t="shared" si="12"/>
        <v>0</v>
      </c>
      <c r="AT18" s="103">
        <v>19369</v>
      </c>
      <c r="AU18" s="98">
        <f t="shared" si="12"/>
        <v>0</v>
      </c>
      <c r="AV18" s="103">
        <v>20677</v>
      </c>
      <c r="AW18" s="106">
        <f t="shared" si="13"/>
        <v>0</v>
      </c>
      <c r="AX18" s="103">
        <v>13871</v>
      </c>
      <c r="AY18" s="106">
        <f t="shared" si="14"/>
        <v>0</v>
      </c>
      <c r="AZ18" s="103">
        <v>6220</v>
      </c>
      <c r="BA18" s="98">
        <f t="shared" si="15"/>
        <v>1</v>
      </c>
      <c r="BB18" s="103">
        <v>26477</v>
      </c>
      <c r="BC18" s="98">
        <f t="shared" si="16"/>
        <v>0</v>
      </c>
      <c r="BD18" s="99">
        <v>1115</v>
      </c>
      <c r="BE18" s="98">
        <f t="shared" si="17"/>
        <v>0</v>
      </c>
      <c r="BF18" s="99">
        <v>4375</v>
      </c>
      <c r="BG18" s="98">
        <f t="shared" si="18"/>
        <v>0</v>
      </c>
      <c r="BH18" s="103">
        <v>3636</v>
      </c>
      <c r="BI18" s="98">
        <f t="shared" si="51"/>
        <v>0</v>
      </c>
      <c r="BJ18" s="106">
        <f t="shared" si="19"/>
        <v>0</v>
      </c>
      <c r="BK18" s="106">
        <f t="shared" si="20"/>
        <v>0</v>
      </c>
      <c r="BL18" s="103">
        <v>601100</v>
      </c>
      <c r="BM18" s="106">
        <f t="shared" si="57"/>
        <v>10</v>
      </c>
      <c r="BN18" s="114">
        <v>712</v>
      </c>
      <c r="BO18" s="98">
        <f t="shared" si="22"/>
        <v>0</v>
      </c>
      <c r="BP18" s="103">
        <v>778870</v>
      </c>
      <c r="BQ18" s="106">
        <f t="shared" si="23"/>
        <v>10</v>
      </c>
      <c r="BR18" s="114">
        <v>6823</v>
      </c>
      <c r="BS18" s="106">
        <f t="shared" si="24"/>
        <v>6</v>
      </c>
      <c r="BT18" s="117">
        <f t="shared" si="25"/>
        <v>10</v>
      </c>
      <c r="BU18" s="106">
        <f t="shared" si="26"/>
        <v>20</v>
      </c>
      <c r="BV18" s="119">
        <f t="shared" si="27"/>
        <v>2</v>
      </c>
      <c r="BW18" s="103">
        <v>125</v>
      </c>
      <c r="BX18" s="120">
        <f t="shared" si="28"/>
        <v>15594.962224985846</v>
      </c>
      <c r="BY18" s="103"/>
      <c r="BZ18" s="122">
        <f t="shared" si="29"/>
        <v>0</v>
      </c>
      <c r="CA18" s="103">
        <v>206478.8</v>
      </c>
      <c r="CB18" s="106">
        <f t="shared" si="30"/>
        <v>0.39999999999417923</v>
      </c>
      <c r="CC18" s="117">
        <f t="shared" si="31"/>
        <v>2.2839999999667633</v>
      </c>
      <c r="CD18" s="103">
        <v>37</v>
      </c>
      <c r="CE18" s="126">
        <f t="shared" si="32"/>
        <v>3986.75</v>
      </c>
      <c r="CF18" s="103">
        <v>35</v>
      </c>
      <c r="CG18" s="127">
        <f t="shared" si="33"/>
        <v>3771.25</v>
      </c>
      <c r="CH18" s="103">
        <v>38</v>
      </c>
      <c r="CI18" s="128">
        <f t="shared" si="52"/>
        <v>4094.5</v>
      </c>
      <c r="CJ18" s="129">
        <f t="shared" si="34"/>
        <v>11852.5</v>
      </c>
      <c r="CK18" s="130">
        <f t="shared" si="35"/>
        <v>107.75</v>
      </c>
      <c r="CL18" s="103"/>
      <c r="CM18" s="103">
        <v>34522</v>
      </c>
      <c r="CN18" s="106">
        <f t="shared" si="36"/>
        <v>1.5999999999985448</v>
      </c>
      <c r="CO18" s="117">
        <f t="shared" si="37"/>
        <v>3.9039999999964494</v>
      </c>
      <c r="CP18" s="103">
        <v>34300</v>
      </c>
      <c r="CQ18" s="106">
        <f t="shared" si="38"/>
        <v>0</v>
      </c>
      <c r="CR18" s="117">
        <f t="shared" si="39"/>
        <v>0</v>
      </c>
      <c r="CS18" s="103">
        <v>10235.6</v>
      </c>
      <c r="CT18" s="106">
        <f t="shared" si="55"/>
        <v>0</v>
      </c>
      <c r="CU18" s="117">
        <f t="shared" si="40"/>
        <v>0</v>
      </c>
      <c r="CV18" s="103">
        <v>832147.3</v>
      </c>
      <c r="CW18" s="106">
        <f t="shared" si="41"/>
        <v>0</v>
      </c>
      <c r="CX18" s="117">
        <f t="shared" si="42"/>
        <v>0</v>
      </c>
      <c r="CY18" s="103">
        <v>5979.9</v>
      </c>
      <c r="CZ18" s="106">
        <f t="shared" si="43"/>
        <v>0.2999999999992724</v>
      </c>
      <c r="DA18" s="117">
        <f t="shared" si="44"/>
        <v>0.71699999999826103</v>
      </c>
      <c r="DB18" s="103">
        <v>7420</v>
      </c>
      <c r="DC18" s="106">
        <f t="shared" si="45"/>
        <v>0</v>
      </c>
      <c r="DD18" s="106">
        <f t="shared" si="45"/>
        <v>0</v>
      </c>
      <c r="DE18" s="103">
        <v>3840</v>
      </c>
      <c r="DF18" s="106">
        <f t="shared" si="46"/>
        <v>0</v>
      </c>
      <c r="DG18" s="106">
        <f t="shared" si="46"/>
        <v>0</v>
      </c>
      <c r="DH18" s="103">
        <v>1855.9</v>
      </c>
      <c r="DI18" s="106">
        <f t="shared" si="46"/>
        <v>0</v>
      </c>
      <c r="DJ18" s="106">
        <f t="shared" si="46"/>
        <v>0</v>
      </c>
      <c r="DK18" s="103">
        <v>5081.7</v>
      </c>
      <c r="DL18" s="106">
        <f t="shared" si="46"/>
        <v>0</v>
      </c>
      <c r="DM18" s="106">
        <f t="shared" si="46"/>
        <v>0</v>
      </c>
      <c r="DN18" s="103">
        <v>4454.7</v>
      </c>
      <c r="DO18" s="106">
        <f t="shared" si="46"/>
        <v>0</v>
      </c>
      <c r="DP18" s="106">
        <f t="shared" si="46"/>
        <v>0</v>
      </c>
      <c r="DQ18" s="103">
        <v>5089.6000000000004</v>
      </c>
      <c r="DR18" s="106">
        <f t="shared" si="46"/>
        <v>0</v>
      </c>
      <c r="DS18" s="106">
        <f t="shared" si="46"/>
        <v>0</v>
      </c>
      <c r="DT18" s="103">
        <v>4998.7</v>
      </c>
      <c r="DU18" s="106">
        <f t="shared" si="47"/>
        <v>1.8999999999996362</v>
      </c>
      <c r="DV18" s="117">
        <f t="shared" si="48"/>
        <v>4.5409999999991308</v>
      </c>
      <c r="DW18" s="124">
        <v>12871</v>
      </c>
      <c r="DX18" s="117">
        <f t="shared" si="53"/>
        <v>0</v>
      </c>
      <c r="DY18" s="124">
        <v>62789</v>
      </c>
      <c r="DZ18" s="117">
        <f t="shared" si="49"/>
        <v>0</v>
      </c>
      <c r="EA18" s="135">
        <v>15588</v>
      </c>
      <c r="EB18" s="117">
        <f t="shared" si="49"/>
        <v>0</v>
      </c>
      <c r="EC18" s="135">
        <v>24679</v>
      </c>
      <c r="ED18" s="117">
        <f t="shared" si="50"/>
        <v>0</v>
      </c>
      <c r="EE18" s="135">
        <v>2</v>
      </c>
      <c r="EF18" s="136">
        <v>6</v>
      </c>
      <c r="EG18" s="134">
        <v>1.4999999999999999E-2</v>
      </c>
      <c r="EH18" s="83"/>
      <c r="EI18" s="58"/>
      <c r="EJ18" s="58"/>
      <c r="EK18"/>
      <c r="EL18"/>
      <c r="EM18"/>
      <c r="EN18"/>
    </row>
    <row r="19" spans="1:144" s="20" customFormat="1" ht="15">
      <c r="A19" s="96">
        <v>44302</v>
      </c>
      <c r="B19" s="103">
        <v>6772350</v>
      </c>
      <c r="C19" s="98">
        <f t="shared" si="0"/>
        <v>6592</v>
      </c>
      <c r="D19" s="103">
        <v>6008041</v>
      </c>
      <c r="E19" s="98">
        <f t="shared" si="1"/>
        <v>6326</v>
      </c>
      <c r="F19" s="22">
        <f t="shared" si="2"/>
        <v>0.95964805825242716</v>
      </c>
      <c r="G19" s="99">
        <v>432</v>
      </c>
      <c r="H19" s="99">
        <v>528</v>
      </c>
      <c r="I19" s="100">
        <v>288023</v>
      </c>
      <c r="J19" s="101">
        <f t="shared" si="3"/>
        <v>0</v>
      </c>
      <c r="K19" s="102">
        <v>774</v>
      </c>
      <c r="L19" s="98">
        <f t="shared" si="58"/>
        <v>0</v>
      </c>
      <c r="M19" s="103">
        <v>633922</v>
      </c>
      <c r="N19" s="98">
        <f t="shared" si="3"/>
        <v>0</v>
      </c>
      <c r="O19" s="103">
        <v>992</v>
      </c>
      <c r="P19" s="101">
        <f t="shared" si="6"/>
        <v>0</v>
      </c>
      <c r="Q19" s="103">
        <v>2548215</v>
      </c>
      <c r="R19" s="101">
        <f t="shared" si="7"/>
        <v>20</v>
      </c>
      <c r="S19" s="103">
        <v>2191822</v>
      </c>
      <c r="T19" s="101">
        <f t="shared" si="7"/>
        <v>135</v>
      </c>
      <c r="U19" s="103">
        <v>109993</v>
      </c>
      <c r="V19" s="101">
        <f t="shared" si="56"/>
        <v>50</v>
      </c>
      <c r="W19" s="76">
        <v>100</v>
      </c>
      <c r="X19" s="103">
        <v>152730</v>
      </c>
      <c r="Y19" s="98">
        <v>0</v>
      </c>
      <c r="Z19" s="99">
        <v>39651</v>
      </c>
      <c r="AA19" s="106">
        <f t="shared" si="8"/>
        <v>5</v>
      </c>
      <c r="AB19" s="103">
        <v>1114</v>
      </c>
      <c r="AC19" s="107">
        <f t="shared" ref="AC19:AC33" si="59">IF((AB19-AB18)&lt;0,"0",(AB19-AB18))</f>
        <v>0</v>
      </c>
      <c r="AD19" s="103">
        <v>4605</v>
      </c>
      <c r="AE19" s="108">
        <f t="shared" si="54"/>
        <v>0</v>
      </c>
      <c r="AF19" s="19"/>
      <c r="AG19" s="19"/>
      <c r="AH19" s="103">
        <v>580200</v>
      </c>
      <c r="AI19" s="101">
        <f t="shared" si="9"/>
        <v>0</v>
      </c>
      <c r="AJ19" s="116">
        <v>467</v>
      </c>
      <c r="AK19" s="98">
        <f t="shared" si="10"/>
        <v>0</v>
      </c>
      <c r="AL19" s="103">
        <v>52246</v>
      </c>
      <c r="AM19" s="113">
        <f t="shared" si="11"/>
        <v>12</v>
      </c>
      <c r="AN19" s="103">
        <v>8913</v>
      </c>
      <c r="AO19" s="98">
        <f t="shared" si="12"/>
        <v>0</v>
      </c>
      <c r="AP19" s="103">
        <v>10571</v>
      </c>
      <c r="AQ19" s="98">
        <f t="shared" si="12"/>
        <v>0</v>
      </c>
      <c r="AR19" s="99">
        <v>14554</v>
      </c>
      <c r="AS19" s="98">
        <f t="shared" si="12"/>
        <v>0</v>
      </c>
      <c r="AT19" s="103">
        <v>19369</v>
      </c>
      <c r="AU19" s="98">
        <f t="shared" si="12"/>
        <v>0</v>
      </c>
      <c r="AV19" s="103">
        <v>20677</v>
      </c>
      <c r="AW19" s="106">
        <f t="shared" si="13"/>
        <v>0</v>
      </c>
      <c r="AX19" s="103">
        <v>13871</v>
      </c>
      <c r="AY19" s="106">
        <f t="shared" si="14"/>
        <v>0</v>
      </c>
      <c r="AZ19" s="103">
        <v>6220</v>
      </c>
      <c r="BA19" s="98">
        <f t="shared" si="15"/>
        <v>0</v>
      </c>
      <c r="BB19" s="103">
        <v>26478</v>
      </c>
      <c r="BC19" s="98">
        <f t="shared" si="16"/>
        <v>1</v>
      </c>
      <c r="BD19" s="103">
        <v>1115</v>
      </c>
      <c r="BE19" s="98">
        <f t="shared" si="17"/>
        <v>0</v>
      </c>
      <c r="BF19" s="103">
        <v>4375</v>
      </c>
      <c r="BG19" s="98">
        <f t="shared" si="18"/>
        <v>0</v>
      </c>
      <c r="BH19" s="103">
        <v>3636</v>
      </c>
      <c r="BI19" s="98">
        <f t="shared" si="51"/>
        <v>0</v>
      </c>
      <c r="BJ19" s="106">
        <f t="shared" si="19"/>
        <v>0</v>
      </c>
      <c r="BK19" s="106">
        <f t="shared" si="20"/>
        <v>0</v>
      </c>
      <c r="BL19" s="103">
        <v>601130</v>
      </c>
      <c r="BM19" s="106">
        <f t="shared" si="57"/>
        <v>30</v>
      </c>
      <c r="BN19" s="114">
        <v>713</v>
      </c>
      <c r="BO19" s="98">
        <f t="shared" si="22"/>
        <v>1</v>
      </c>
      <c r="BP19" s="103">
        <v>778870</v>
      </c>
      <c r="BQ19" s="106">
        <f t="shared" si="23"/>
        <v>0</v>
      </c>
      <c r="BR19" s="114">
        <v>6827</v>
      </c>
      <c r="BS19" s="106">
        <f t="shared" si="24"/>
        <v>4</v>
      </c>
      <c r="BT19" s="117">
        <f t="shared" si="25"/>
        <v>0</v>
      </c>
      <c r="BU19" s="106">
        <f t="shared" si="26"/>
        <v>30</v>
      </c>
      <c r="BV19" s="119">
        <f t="shared" si="27"/>
        <v>12</v>
      </c>
      <c r="BW19" s="103">
        <v>125</v>
      </c>
      <c r="BX19" s="120">
        <f t="shared" si="28"/>
        <v>15594.962224985846</v>
      </c>
      <c r="BY19" s="103"/>
      <c r="BZ19" s="122">
        <f t="shared" si="29"/>
        <v>0</v>
      </c>
      <c r="CA19" s="103">
        <v>206523.4</v>
      </c>
      <c r="CB19" s="106">
        <f t="shared" si="30"/>
        <v>44.600000000005821</v>
      </c>
      <c r="CC19" s="117">
        <f t="shared" si="31"/>
        <v>254.66600000003322</v>
      </c>
      <c r="CD19" s="103">
        <v>36</v>
      </c>
      <c r="CE19" s="126">
        <f t="shared" si="32"/>
        <v>3879</v>
      </c>
      <c r="CF19" s="103">
        <v>35</v>
      </c>
      <c r="CG19" s="127">
        <f t="shared" si="33"/>
        <v>3771.25</v>
      </c>
      <c r="CH19" s="103">
        <v>36</v>
      </c>
      <c r="CI19" s="128">
        <f t="shared" si="52"/>
        <v>3879</v>
      </c>
      <c r="CJ19" s="129">
        <f t="shared" si="34"/>
        <v>11529.25</v>
      </c>
      <c r="CK19" s="130">
        <f t="shared" si="35"/>
        <v>323.25</v>
      </c>
      <c r="CL19" s="103"/>
      <c r="CM19" s="103">
        <v>34523</v>
      </c>
      <c r="CN19" s="106">
        <f t="shared" si="36"/>
        <v>1</v>
      </c>
      <c r="CO19" s="117">
        <f t="shared" si="37"/>
        <v>2.44</v>
      </c>
      <c r="CP19" s="103">
        <v>34300</v>
      </c>
      <c r="CQ19" s="106">
        <f t="shared" si="38"/>
        <v>0</v>
      </c>
      <c r="CR19" s="117">
        <f t="shared" si="39"/>
        <v>0</v>
      </c>
      <c r="CS19" s="103">
        <v>10235.6</v>
      </c>
      <c r="CT19" s="106">
        <f t="shared" si="55"/>
        <v>0</v>
      </c>
      <c r="CU19" s="117">
        <f t="shared" si="40"/>
        <v>0</v>
      </c>
      <c r="CV19" s="103">
        <v>832157.8</v>
      </c>
      <c r="CW19" s="106">
        <f t="shared" si="41"/>
        <v>10.5</v>
      </c>
      <c r="CX19" s="117">
        <f t="shared" si="42"/>
        <v>25.62</v>
      </c>
      <c r="CY19" s="103">
        <v>5983</v>
      </c>
      <c r="CZ19" s="106">
        <f t="shared" si="43"/>
        <v>3.1000000000003638</v>
      </c>
      <c r="DA19" s="117">
        <f t="shared" si="44"/>
        <v>7.4090000000008702</v>
      </c>
      <c r="DB19" s="103">
        <v>7420</v>
      </c>
      <c r="DC19" s="106">
        <f t="shared" si="45"/>
        <v>0</v>
      </c>
      <c r="DD19" s="106">
        <f t="shared" si="45"/>
        <v>0</v>
      </c>
      <c r="DE19" s="103">
        <v>3840</v>
      </c>
      <c r="DF19" s="106">
        <f t="shared" si="46"/>
        <v>0</v>
      </c>
      <c r="DG19" s="106">
        <f t="shared" si="46"/>
        <v>0</v>
      </c>
      <c r="DH19" s="103">
        <v>1855.9</v>
      </c>
      <c r="DI19" s="106">
        <f t="shared" si="46"/>
        <v>0</v>
      </c>
      <c r="DJ19" s="106">
        <f t="shared" si="46"/>
        <v>0</v>
      </c>
      <c r="DK19" s="103">
        <v>5081.7</v>
      </c>
      <c r="DL19" s="106">
        <f t="shared" si="46"/>
        <v>0</v>
      </c>
      <c r="DM19" s="106">
        <f t="shared" si="46"/>
        <v>0</v>
      </c>
      <c r="DN19" s="103">
        <v>4454.7</v>
      </c>
      <c r="DO19" s="106">
        <f t="shared" si="46"/>
        <v>0</v>
      </c>
      <c r="DP19" s="106">
        <f t="shared" si="46"/>
        <v>0</v>
      </c>
      <c r="DQ19" s="103">
        <v>5089.6000000000004</v>
      </c>
      <c r="DR19" s="106">
        <f t="shared" si="46"/>
        <v>0</v>
      </c>
      <c r="DS19" s="106">
        <f t="shared" si="46"/>
        <v>0</v>
      </c>
      <c r="DT19" s="103">
        <v>5002.8</v>
      </c>
      <c r="DU19" s="106">
        <f t="shared" si="47"/>
        <v>4.1000000000003638</v>
      </c>
      <c r="DV19" s="117">
        <f t="shared" si="48"/>
        <v>9.7990000000008699</v>
      </c>
      <c r="DW19" s="124">
        <v>12871</v>
      </c>
      <c r="DX19" s="117">
        <f t="shared" si="53"/>
        <v>0</v>
      </c>
      <c r="DY19" s="124">
        <v>62789</v>
      </c>
      <c r="DZ19" s="117">
        <f t="shared" si="49"/>
        <v>0</v>
      </c>
      <c r="EA19" s="135">
        <v>15588</v>
      </c>
      <c r="EB19" s="117">
        <f t="shared" si="49"/>
        <v>0</v>
      </c>
      <c r="EC19" s="135">
        <v>24679</v>
      </c>
      <c r="ED19" s="117">
        <f t="shared" si="50"/>
        <v>0</v>
      </c>
      <c r="EE19" s="135">
        <v>2</v>
      </c>
      <c r="EF19" s="136">
        <v>6</v>
      </c>
      <c r="EG19" s="134">
        <v>1.4999999999999999E-2</v>
      </c>
      <c r="EH19" s="83"/>
      <c r="EI19" s="58"/>
      <c r="EJ19" s="58"/>
      <c r="EK19"/>
      <c r="EL19"/>
      <c r="EM19"/>
    </row>
    <row r="20" spans="1:144" s="20" customFormat="1" ht="15">
      <c r="A20" s="96">
        <v>44303</v>
      </c>
      <c r="B20" s="103">
        <v>6778656</v>
      </c>
      <c r="C20" s="98">
        <f t="shared" si="0"/>
        <v>6306</v>
      </c>
      <c r="D20" s="103">
        <v>6014044</v>
      </c>
      <c r="E20" s="98">
        <f t="shared" si="1"/>
        <v>6003</v>
      </c>
      <c r="F20" s="22">
        <f t="shared" si="2"/>
        <v>0.95195052331113228</v>
      </c>
      <c r="G20" s="99">
        <v>432</v>
      </c>
      <c r="H20" s="99">
        <v>528</v>
      </c>
      <c r="I20" s="100">
        <v>288023</v>
      </c>
      <c r="J20" s="101">
        <f t="shared" si="3"/>
        <v>0</v>
      </c>
      <c r="K20" s="102">
        <v>774</v>
      </c>
      <c r="L20" s="98">
        <f t="shared" si="58"/>
        <v>0</v>
      </c>
      <c r="M20" s="103">
        <v>633922</v>
      </c>
      <c r="N20" s="98">
        <f t="shared" si="3"/>
        <v>0</v>
      </c>
      <c r="O20" s="103">
        <v>992</v>
      </c>
      <c r="P20" s="101">
        <f t="shared" si="6"/>
        <v>0</v>
      </c>
      <c r="Q20" s="103">
        <v>2548247</v>
      </c>
      <c r="R20" s="101">
        <f t="shared" ref="R20:R33" si="60">(Q20-Q19)</f>
        <v>32</v>
      </c>
      <c r="S20" s="103">
        <v>2191826</v>
      </c>
      <c r="T20" s="101">
        <f t="shared" ref="T20:T33" si="61">(S20-S19)</f>
        <v>4</v>
      </c>
      <c r="U20" s="103">
        <v>110035</v>
      </c>
      <c r="V20" s="101">
        <f t="shared" si="56"/>
        <v>42</v>
      </c>
      <c r="W20" s="76">
        <v>100</v>
      </c>
      <c r="X20" s="103">
        <v>152730</v>
      </c>
      <c r="Y20" s="98">
        <v>0</v>
      </c>
      <c r="Z20" s="99">
        <v>39655</v>
      </c>
      <c r="AA20" s="106">
        <f t="shared" ref="AA20:AA33" si="62">IF((Z20-Z19)&lt;0,"0",(Z20-Z19))</f>
        <v>4</v>
      </c>
      <c r="AB20" s="103">
        <v>1114</v>
      </c>
      <c r="AC20" s="107">
        <f t="shared" si="59"/>
        <v>0</v>
      </c>
      <c r="AD20" s="103">
        <v>4605</v>
      </c>
      <c r="AE20" s="108">
        <f t="shared" si="54"/>
        <v>0</v>
      </c>
      <c r="AF20" s="19"/>
      <c r="AG20" s="19"/>
      <c r="AH20" s="103">
        <v>580200</v>
      </c>
      <c r="AI20" s="101">
        <f t="shared" si="9"/>
        <v>0</v>
      </c>
      <c r="AJ20" s="116">
        <v>467</v>
      </c>
      <c r="AK20" s="98">
        <f t="shared" si="10"/>
        <v>0</v>
      </c>
      <c r="AL20" s="103">
        <v>52250</v>
      </c>
      <c r="AM20" s="113">
        <f>(AL20-AL19)</f>
        <v>4</v>
      </c>
      <c r="AN20" s="103">
        <v>8914</v>
      </c>
      <c r="AO20" s="98">
        <f t="shared" ref="AO20:AO33" si="63">(AN20-AN19)</f>
        <v>1</v>
      </c>
      <c r="AP20" s="103">
        <v>10571</v>
      </c>
      <c r="AQ20" s="98">
        <f t="shared" ref="AQ20:AQ25" si="64">(AP20-AP19)</f>
        <v>0</v>
      </c>
      <c r="AR20" s="103">
        <v>14554</v>
      </c>
      <c r="AS20" s="98">
        <f t="shared" ref="AS20:AS31" si="65">(AR20-AR19)</f>
        <v>0</v>
      </c>
      <c r="AT20" s="103">
        <v>19369</v>
      </c>
      <c r="AU20" s="98">
        <f t="shared" ref="AU20:AU33" si="66">(AT20-AT19)</f>
        <v>0</v>
      </c>
      <c r="AV20" s="103">
        <v>20677</v>
      </c>
      <c r="AW20" s="106">
        <f t="shared" si="13"/>
        <v>0</v>
      </c>
      <c r="AX20" s="103">
        <v>13871</v>
      </c>
      <c r="AY20" s="106">
        <f t="shared" si="14"/>
        <v>0</v>
      </c>
      <c r="AZ20" s="103">
        <v>6220</v>
      </c>
      <c r="BA20" s="98">
        <f t="shared" si="15"/>
        <v>0</v>
      </c>
      <c r="BB20" s="103">
        <v>26478</v>
      </c>
      <c r="BC20" s="98">
        <f t="shared" si="16"/>
        <v>0</v>
      </c>
      <c r="BD20" s="103">
        <v>1115</v>
      </c>
      <c r="BE20" s="98">
        <f t="shared" si="17"/>
        <v>0</v>
      </c>
      <c r="BF20" s="103">
        <v>4375</v>
      </c>
      <c r="BG20" s="98">
        <f t="shared" si="18"/>
        <v>0</v>
      </c>
      <c r="BH20" s="103">
        <v>3636</v>
      </c>
      <c r="BI20" s="98">
        <f t="shared" si="51"/>
        <v>0</v>
      </c>
      <c r="BJ20" s="106">
        <f t="shared" si="19"/>
        <v>0</v>
      </c>
      <c r="BK20" s="106">
        <f t="shared" si="20"/>
        <v>0</v>
      </c>
      <c r="BL20" s="103">
        <v>601160</v>
      </c>
      <c r="BM20" s="106">
        <f t="shared" si="57"/>
        <v>30</v>
      </c>
      <c r="BN20" s="114">
        <v>713</v>
      </c>
      <c r="BO20" s="98">
        <f t="shared" si="22"/>
        <v>0</v>
      </c>
      <c r="BP20" s="103">
        <v>778880</v>
      </c>
      <c r="BQ20" s="106">
        <f t="shared" si="23"/>
        <v>10</v>
      </c>
      <c r="BR20" s="118">
        <v>6832</v>
      </c>
      <c r="BS20" s="106">
        <f t="shared" si="24"/>
        <v>5</v>
      </c>
      <c r="BT20" s="117">
        <f t="shared" si="25"/>
        <v>10</v>
      </c>
      <c r="BU20" s="106">
        <f t="shared" si="26"/>
        <v>40</v>
      </c>
      <c r="BV20" s="119">
        <f t="shared" si="27"/>
        <v>5</v>
      </c>
      <c r="BW20" s="103">
        <v>125</v>
      </c>
      <c r="BX20" s="120">
        <f t="shared" si="28"/>
        <v>15594.962224985846</v>
      </c>
      <c r="BY20" s="125"/>
      <c r="BZ20" s="122">
        <f t="shared" si="29"/>
        <v>0</v>
      </c>
      <c r="CA20" s="103">
        <v>206524</v>
      </c>
      <c r="CB20" s="106">
        <f t="shared" si="30"/>
        <v>0.60000000000582077</v>
      </c>
      <c r="CC20" s="117">
        <f t="shared" si="31"/>
        <v>3.4260000000332367</v>
      </c>
      <c r="CD20" s="103">
        <v>36</v>
      </c>
      <c r="CE20" s="126">
        <f t="shared" si="32"/>
        <v>3879</v>
      </c>
      <c r="CF20" s="103">
        <v>35</v>
      </c>
      <c r="CG20" s="127">
        <f t="shared" si="33"/>
        <v>3771.25</v>
      </c>
      <c r="CH20" s="103">
        <v>36</v>
      </c>
      <c r="CI20" s="128">
        <f t="shared" si="52"/>
        <v>3879</v>
      </c>
      <c r="CJ20" s="129">
        <f t="shared" si="34"/>
        <v>11529.25</v>
      </c>
      <c r="CK20" s="130">
        <f t="shared" si="35"/>
        <v>0</v>
      </c>
      <c r="CL20" s="103"/>
      <c r="CM20" s="103">
        <v>34524</v>
      </c>
      <c r="CN20" s="106">
        <f t="shared" si="36"/>
        <v>1</v>
      </c>
      <c r="CO20" s="117">
        <f t="shared" si="37"/>
        <v>2.44</v>
      </c>
      <c r="CP20" s="103">
        <v>34300</v>
      </c>
      <c r="CQ20" s="106">
        <f t="shared" si="38"/>
        <v>0</v>
      </c>
      <c r="CR20" s="117">
        <f t="shared" si="39"/>
        <v>0</v>
      </c>
      <c r="CS20" s="103">
        <v>10235.6</v>
      </c>
      <c r="CT20" s="106">
        <f t="shared" si="55"/>
        <v>0</v>
      </c>
      <c r="CU20" s="117">
        <f t="shared" si="40"/>
        <v>0</v>
      </c>
      <c r="CV20" s="103">
        <v>832157.8</v>
      </c>
      <c r="CW20" s="106">
        <f t="shared" si="41"/>
        <v>0</v>
      </c>
      <c r="CX20" s="117">
        <f t="shared" si="42"/>
        <v>0</v>
      </c>
      <c r="CY20" s="103">
        <v>5985</v>
      </c>
      <c r="CZ20" s="106">
        <f t="shared" si="43"/>
        <v>2</v>
      </c>
      <c r="DA20" s="117">
        <f t="shared" si="44"/>
        <v>4.78</v>
      </c>
      <c r="DB20" s="103">
        <v>7420</v>
      </c>
      <c r="DC20" s="106">
        <f t="shared" ref="DC20:DD34" si="67">IF((DB20-DB19)&lt;0,"0",(DB20-DB19))</f>
        <v>0</v>
      </c>
      <c r="DD20" s="106">
        <f t="shared" si="67"/>
        <v>0</v>
      </c>
      <c r="DE20" s="103">
        <v>3840</v>
      </c>
      <c r="DF20" s="106">
        <f t="shared" ref="DF20:DG34" si="68">IF((DE20-DE19)&lt;0,"0",(DE20-DE19))</f>
        <v>0</v>
      </c>
      <c r="DG20" s="106">
        <f t="shared" si="68"/>
        <v>0</v>
      </c>
      <c r="DH20" s="103">
        <v>1855.9</v>
      </c>
      <c r="DI20" s="106">
        <f t="shared" ref="DI20:DJ34" si="69">IF((DH20-DH19)&lt;0,"0",(DH20-DH19))</f>
        <v>0</v>
      </c>
      <c r="DJ20" s="106">
        <f t="shared" si="69"/>
        <v>0</v>
      </c>
      <c r="DK20" s="103">
        <v>5081.7</v>
      </c>
      <c r="DL20" s="106">
        <f t="shared" ref="DL20:DM34" si="70">IF((DK20-DK19)&lt;0,"0",(DK20-DK19))</f>
        <v>0</v>
      </c>
      <c r="DM20" s="106">
        <f t="shared" si="70"/>
        <v>0</v>
      </c>
      <c r="DN20" s="103">
        <v>4454.7</v>
      </c>
      <c r="DO20" s="106">
        <f t="shared" ref="DO20:DP34" si="71">IF((DN20-DN19)&lt;0,"0",(DN20-DN19))</f>
        <v>0</v>
      </c>
      <c r="DP20" s="106">
        <f t="shared" si="71"/>
        <v>0</v>
      </c>
      <c r="DQ20" s="103">
        <v>5089.6000000000004</v>
      </c>
      <c r="DR20" s="106">
        <f t="shared" ref="DR20:DS34" si="72">IF((DQ20-DQ19)&lt;0,"0",(DQ20-DQ19))</f>
        <v>0</v>
      </c>
      <c r="DS20" s="106">
        <f t="shared" si="72"/>
        <v>0</v>
      </c>
      <c r="DT20" s="103">
        <v>5009.3</v>
      </c>
      <c r="DU20" s="106">
        <f t="shared" si="47"/>
        <v>6.5</v>
      </c>
      <c r="DV20" s="117">
        <f t="shared" si="48"/>
        <v>15.535</v>
      </c>
      <c r="DW20" s="124">
        <v>12871</v>
      </c>
      <c r="DX20" s="117">
        <f t="shared" si="53"/>
        <v>0</v>
      </c>
      <c r="DY20" s="124">
        <v>62789</v>
      </c>
      <c r="DZ20" s="117">
        <f t="shared" ref="DZ20:DZ34" si="73">(DY20-DY19)</f>
        <v>0</v>
      </c>
      <c r="EA20" s="135">
        <v>15588</v>
      </c>
      <c r="EB20" s="117">
        <f t="shared" ref="EB20:EB34" si="74">(EA20-EA19)</f>
        <v>0</v>
      </c>
      <c r="EC20" s="135">
        <v>24679</v>
      </c>
      <c r="ED20" s="117">
        <f t="shared" si="50"/>
        <v>0</v>
      </c>
      <c r="EE20" s="135">
        <v>2</v>
      </c>
      <c r="EF20" s="136">
        <v>6</v>
      </c>
      <c r="EG20" s="134">
        <v>1.4999999999999999E-2</v>
      </c>
      <c r="EH20" s="83"/>
      <c r="EI20" s="58"/>
      <c r="EJ20" s="58"/>
      <c r="EK20"/>
      <c r="EL20"/>
      <c r="EM20"/>
    </row>
    <row r="21" spans="1:144" s="20" customFormat="1" ht="15">
      <c r="A21" s="96">
        <v>44304</v>
      </c>
      <c r="B21" s="103">
        <v>6784848</v>
      </c>
      <c r="C21" s="98">
        <f t="shared" si="0"/>
        <v>6192</v>
      </c>
      <c r="D21" s="103">
        <v>6019993</v>
      </c>
      <c r="E21" s="98">
        <f t="shared" si="1"/>
        <v>5949</v>
      </c>
      <c r="F21" s="22">
        <f t="shared" si="2"/>
        <v>0.96075581395348841</v>
      </c>
      <c r="G21" s="99">
        <v>432</v>
      </c>
      <c r="H21" s="99">
        <v>528</v>
      </c>
      <c r="I21" s="100">
        <v>288023</v>
      </c>
      <c r="J21" s="101">
        <f t="shared" si="3"/>
        <v>0</v>
      </c>
      <c r="K21" s="102">
        <v>774</v>
      </c>
      <c r="L21" s="98">
        <f t="shared" si="58"/>
        <v>0</v>
      </c>
      <c r="M21" s="103">
        <v>633922</v>
      </c>
      <c r="N21" s="98">
        <f t="shared" si="3"/>
        <v>0</v>
      </c>
      <c r="O21" s="103">
        <v>992</v>
      </c>
      <c r="P21" s="101">
        <f t="shared" si="6"/>
        <v>0</v>
      </c>
      <c r="Q21" s="103">
        <v>2548256</v>
      </c>
      <c r="R21" s="101">
        <f t="shared" si="60"/>
        <v>9</v>
      </c>
      <c r="S21" s="103">
        <v>2191827</v>
      </c>
      <c r="T21" s="101">
        <f t="shared" si="61"/>
        <v>1</v>
      </c>
      <c r="U21" s="103">
        <v>110085</v>
      </c>
      <c r="V21" s="101">
        <f t="shared" si="56"/>
        <v>50</v>
      </c>
      <c r="W21" s="76">
        <v>100</v>
      </c>
      <c r="X21" s="103">
        <v>152730</v>
      </c>
      <c r="Y21" s="98">
        <v>0</v>
      </c>
      <c r="Z21" s="99">
        <v>39659</v>
      </c>
      <c r="AA21" s="106">
        <f t="shared" si="62"/>
        <v>4</v>
      </c>
      <c r="AB21" s="103">
        <v>1114</v>
      </c>
      <c r="AC21" s="107">
        <f t="shared" si="59"/>
        <v>0</v>
      </c>
      <c r="AD21" s="103">
        <v>4605</v>
      </c>
      <c r="AE21" s="108">
        <f t="shared" si="54"/>
        <v>0</v>
      </c>
      <c r="AF21" s="19"/>
      <c r="AG21" s="19"/>
      <c r="AH21" s="103">
        <v>580210</v>
      </c>
      <c r="AI21" s="101">
        <f t="shared" si="9"/>
        <v>10</v>
      </c>
      <c r="AJ21" s="116">
        <v>467</v>
      </c>
      <c r="AK21" s="98">
        <f t="shared" si="10"/>
        <v>0</v>
      </c>
      <c r="AL21" s="103">
        <v>52250</v>
      </c>
      <c r="AM21" s="113">
        <f t="shared" ref="AM21:AM33" si="75">(AL21-AL20)</f>
        <v>0</v>
      </c>
      <c r="AN21" s="103">
        <v>8914</v>
      </c>
      <c r="AO21" s="98">
        <f t="shared" si="63"/>
        <v>0</v>
      </c>
      <c r="AP21" s="103">
        <v>10571</v>
      </c>
      <c r="AQ21" s="98">
        <f t="shared" si="64"/>
        <v>0</v>
      </c>
      <c r="AR21" s="103">
        <v>14554</v>
      </c>
      <c r="AS21" s="98">
        <f t="shared" si="65"/>
        <v>0</v>
      </c>
      <c r="AT21" s="103">
        <v>19369</v>
      </c>
      <c r="AU21" s="98">
        <f t="shared" si="66"/>
        <v>0</v>
      </c>
      <c r="AV21" s="103">
        <v>20677</v>
      </c>
      <c r="AW21" s="106">
        <f t="shared" si="13"/>
        <v>0</v>
      </c>
      <c r="AX21" s="103">
        <v>13871</v>
      </c>
      <c r="AY21" s="106">
        <f t="shared" si="14"/>
        <v>0</v>
      </c>
      <c r="AZ21" s="103">
        <v>6220</v>
      </c>
      <c r="BA21" s="98">
        <f t="shared" si="15"/>
        <v>0</v>
      </c>
      <c r="BB21" s="103">
        <v>26479</v>
      </c>
      <c r="BC21" s="98">
        <f t="shared" si="16"/>
        <v>1</v>
      </c>
      <c r="BD21" s="103">
        <v>1115</v>
      </c>
      <c r="BE21" s="98">
        <f t="shared" si="17"/>
        <v>0</v>
      </c>
      <c r="BF21" s="103">
        <v>4375</v>
      </c>
      <c r="BG21" s="98">
        <f t="shared" si="18"/>
        <v>0</v>
      </c>
      <c r="BH21" s="103">
        <v>3636</v>
      </c>
      <c r="BI21" s="98">
        <f t="shared" si="51"/>
        <v>0</v>
      </c>
      <c r="BJ21" s="106">
        <f t="shared" si="19"/>
        <v>0</v>
      </c>
      <c r="BK21" s="106">
        <f t="shared" si="20"/>
        <v>10</v>
      </c>
      <c r="BL21" s="103">
        <v>601170</v>
      </c>
      <c r="BM21" s="106">
        <f t="shared" si="57"/>
        <v>10</v>
      </c>
      <c r="BN21" s="114">
        <v>713</v>
      </c>
      <c r="BO21" s="98">
        <f t="shared" si="22"/>
        <v>0</v>
      </c>
      <c r="BP21" s="103">
        <v>778910</v>
      </c>
      <c r="BQ21" s="106">
        <f t="shared" si="23"/>
        <v>30</v>
      </c>
      <c r="BR21" s="118">
        <v>6853</v>
      </c>
      <c r="BS21" s="106">
        <f t="shared" si="24"/>
        <v>21</v>
      </c>
      <c r="BT21" s="117">
        <f t="shared" si="25"/>
        <v>20</v>
      </c>
      <c r="BU21" s="106">
        <f t="shared" si="26"/>
        <v>40</v>
      </c>
      <c r="BV21" s="119">
        <f t="shared" si="27"/>
        <v>0</v>
      </c>
      <c r="BW21" s="103">
        <v>125</v>
      </c>
      <c r="BX21" s="120">
        <f t="shared" si="28"/>
        <v>15594.962224985846</v>
      </c>
      <c r="BY21" s="125"/>
      <c r="BZ21" s="122">
        <f t="shared" si="29"/>
        <v>0</v>
      </c>
      <c r="CA21" s="103">
        <v>206524.2</v>
      </c>
      <c r="CB21" s="106">
        <f t="shared" si="30"/>
        <v>0.20000000001164153</v>
      </c>
      <c r="CC21" s="117">
        <f t="shared" si="31"/>
        <v>1.1420000000664732</v>
      </c>
      <c r="CD21" s="103">
        <v>35</v>
      </c>
      <c r="CE21" s="126">
        <f t="shared" si="32"/>
        <v>3771.25</v>
      </c>
      <c r="CF21" s="103">
        <v>35</v>
      </c>
      <c r="CG21" s="127">
        <f t="shared" si="33"/>
        <v>3771.25</v>
      </c>
      <c r="CH21" s="103">
        <v>36</v>
      </c>
      <c r="CI21" s="128">
        <f t="shared" si="52"/>
        <v>3879</v>
      </c>
      <c r="CJ21" s="129">
        <f t="shared" si="34"/>
        <v>11421.5</v>
      </c>
      <c r="CK21" s="130">
        <f t="shared" si="35"/>
        <v>107.75</v>
      </c>
      <c r="CL21" s="103"/>
      <c r="CM21" s="103">
        <v>34525</v>
      </c>
      <c r="CN21" s="106">
        <f t="shared" si="36"/>
        <v>1</v>
      </c>
      <c r="CO21" s="117">
        <f t="shared" si="37"/>
        <v>2.44</v>
      </c>
      <c r="CP21" s="103">
        <v>34300</v>
      </c>
      <c r="CQ21" s="106">
        <f t="shared" si="38"/>
        <v>0</v>
      </c>
      <c r="CR21" s="117">
        <f t="shared" si="39"/>
        <v>0</v>
      </c>
      <c r="CS21" s="103">
        <v>10235.6</v>
      </c>
      <c r="CT21" s="106">
        <f t="shared" si="55"/>
        <v>0</v>
      </c>
      <c r="CU21" s="117">
        <f t="shared" si="40"/>
        <v>0</v>
      </c>
      <c r="CV21" s="103">
        <v>832157.8</v>
      </c>
      <c r="CW21" s="106">
        <f t="shared" si="41"/>
        <v>0</v>
      </c>
      <c r="CX21" s="117">
        <f t="shared" si="42"/>
        <v>0</v>
      </c>
      <c r="CY21" s="103">
        <v>5985.5</v>
      </c>
      <c r="CZ21" s="106">
        <f t="shared" si="43"/>
        <v>0.5</v>
      </c>
      <c r="DA21" s="117">
        <f t="shared" si="44"/>
        <v>1.1950000000000001</v>
      </c>
      <c r="DB21" s="103">
        <v>7420</v>
      </c>
      <c r="DC21" s="106">
        <f t="shared" si="67"/>
        <v>0</v>
      </c>
      <c r="DD21" s="106">
        <f t="shared" si="67"/>
        <v>0</v>
      </c>
      <c r="DE21" s="103">
        <v>3840</v>
      </c>
      <c r="DF21" s="106">
        <f t="shared" si="68"/>
        <v>0</v>
      </c>
      <c r="DG21" s="106">
        <f t="shared" si="68"/>
        <v>0</v>
      </c>
      <c r="DH21" s="103">
        <v>1855.9</v>
      </c>
      <c r="DI21" s="106">
        <f t="shared" si="69"/>
        <v>0</v>
      </c>
      <c r="DJ21" s="106">
        <f t="shared" si="69"/>
        <v>0</v>
      </c>
      <c r="DK21" s="103">
        <v>5081.7</v>
      </c>
      <c r="DL21" s="106">
        <f t="shared" si="70"/>
        <v>0</v>
      </c>
      <c r="DM21" s="106">
        <f t="shared" si="70"/>
        <v>0</v>
      </c>
      <c r="DN21" s="103">
        <v>4454.7</v>
      </c>
      <c r="DO21" s="106">
        <f t="shared" si="71"/>
        <v>0</v>
      </c>
      <c r="DP21" s="106">
        <f t="shared" si="71"/>
        <v>0</v>
      </c>
      <c r="DQ21" s="103">
        <v>5089.6000000000004</v>
      </c>
      <c r="DR21" s="106">
        <f t="shared" si="72"/>
        <v>0</v>
      </c>
      <c r="DS21" s="106">
        <f t="shared" si="72"/>
        <v>0</v>
      </c>
      <c r="DT21" s="103">
        <v>5011.2</v>
      </c>
      <c r="DU21" s="106">
        <f t="shared" si="47"/>
        <v>1.8999999999996362</v>
      </c>
      <c r="DV21" s="117">
        <f t="shared" si="48"/>
        <v>4.5409999999991308</v>
      </c>
      <c r="DW21" s="124">
        <v>12871</v>
      </c>
      <c r="DX21" s="117">
        <f t="shared" si="53"/>
        <v>0</v>
      </c>
      <c r="DY21" s="124">
        <v>62789</v>
      </c>
      <c r="DZ21" s="117">
        <f t="shared" si="73"/>
        <v>0</v>
      </c>
      <c r="EA21" s="135">
        <v>15588</v>
      </c>
      <c r="EB21" s="117">
        <f t="shared" si="74"/>
        <v>0</v>
      </c>
      <c r="EC21" s="135">
        <v>24679</v>
      </c>
      <c r="ED21" s="117">
        <f t="shared" si="50"/>
        <v>0</v>
      </c>
      <c r="EE21" s="135">
        <v>2</v>
      </c>
      <c r="EF21" s="136">
        <v>6</v>
      </c>
      <c r="EG21" s="134">
        <v>1.4999999999999999E-2</v>
      </c>
      <c r="EH21" s="83"/>
      <c r="EI21" s="58"/>
      <c r="EJ21" s="58"/>
      <c r="EK21"/>
      <c r="EL21"/>
      <c r="EM21"/>
    </row>
    <row r="22" spans="1:144" s="20" customFormat="1" ht="15">
      <c r="A22" s="96">
        <v>44305</v>
      </c>
      <c r="B22" s="103">
        <v>6791294</v>
      </c>
      <c r="C22" s="98">
        <f t="shared" si="0"/>
        <v>6446</v>
      </c>
      <c r="D22" s="103">
        <v>6026129</v>
      </c>
      <c r="E22" s="98">
        <f t="shared" si="1"/>
        <v>6136</v>
      </c>
      <c r="F22" s="22">
        <f t="shared" si="2"/>
        <v>0.95190816009928636</v>
      </c>
      <c r="G22" s="99">
        <v>432</v>
      </c>
      <c r="H22" s="99">
        <v>528</v>
      </c>
      <c r="I22" s="100">
        <v>288023</v>
      </c>
      <c r="J22" s="101">
        <f t="shared" si="3"/>
        <v>0</v>
      </c>
      <c r="K22" s="102">
        <v>774</v>
      </c>
      <c r="L22" s="98">
        <f t="shared" si="58"/>
        <v>0</v>
      </c>
      <c r="M22" s="103">
        <v>633922</v>
      </c>
      <c r="N22" s="98">
        <f t="shared" si="3"/>
        <v>0</v>
      </c>
      <c r="O22" s="103">
        <v>992</v>
      </c>
      <c r="P22" s="101">
        <f t="shared" si="6"/>
        <v>0</v>
      </c>
      <c r="Q22" s="103">
        <v>2548286</v>
      </c>
      <c r="R22" s="101">
        <f t="shared" si="60"/>
        <v>30</v>
      </c>
      <c r="S22" s="103">
        <v>2191828</v>
      </c>
      <c r="T22" s="101">
        <f t="shared" si="61"/>
        <v>1</v>
      </c>
      <c r="U22" s="103">
        <v>110140</v>
      </c>
      <c r="V22" s="101">
        <f t="shared" si="56"/>
        <v>55</v>
      </c>
      <c r="W22" s="74">
        <v>100</v>
      </c>
      <c r="X22" s="103">
        <v>152730</v>
      </c>
      <c r="Y22" s="101">
        <v>0</v>
      </c>
      <c r="Z22" s="99">
        <v>39665</v>
      </c>
      <c r="AA22" s="106">
        <f t="shared" si="62"/>
        <v>6</v>
      </c>
      <c r="AB22" s="103">
        <v>1114</v>
      </c>
      <c r="AC22" s="107">
        <f t="shared" si="59"/>
        <v>0</v>
      </c>
      <c r="AD22" s="103">
        <v>4605</v>
      </c>
      <c r="AE22" s="108">
        <f t="shared" si="54"/>
        <v>0</v>
      </c>
      <c r="AF22" s="19"/>
      <c r="AG22" s="19"/>
      <c r="AH22" s="103">
        <v>580210</v>
      </c>
      <c r="AI22" s="101">
        <f t="shared" si="9"/>
        <v>0</v>
      </c>
      <c r="AJ22" s="116">
        <v>467</v>
      </c>
      <c r="AK22" s="98">
        <f t="shared" si="10"/>
        <v>0</v>
      </c>
      <c r="AL22" s="103">
        <v>52250</v>
      </c>
      <c r="AM22" s="113">
        <f t="shared" si="75"/>
        <v>0</v>
      </c>
      <c r="AN22" s="103">
        <v>8914</v>
      </c>
      <c r="AO22" s="98">
        <f t="shared" si="63"/>
        <v>0</v>
      </c>
      <c r="AP22" s="103">
        <v>10571</v>
      </c>
      <c r="AQ22" s="98">
        <f t="shared" si="64"/>
        <v>0</v>
      </c>
      <c r="AR22" s="103">
        <v>14554</v>
      </c>
      <c r="AS22" s="98">
        <f t="shared" si="65"/>
        <v>0</v>
      </c>
      <c r="AT22" s="103">
        <v>19369</v>
      </c>
      <c r="AU22" s="98">
        <f t="shared" si="66"/>
        <v>0</v>
      </c>
      <c r="AV22" s="103">
        <v>20677</v>
      </c>
      <c r="AW22" s="106">
        <f t="shared" si="13"/>
        <v>0</v>
      </c>
      <c r="AX22" s="103">
        <v>13871</v>
      </c>
      <c r="AY22" s="106">
        <f t="shared" si="14"/>
        <v>0</v>
      </c>
      <c r="AZ22" s="103">
        <v>6220</v>
      </c>
      <c r="BA22" s="98">
        <f t="shared" si="15"/>
        <v>0</v>
      </c>
      <c r="BB22" s="103">
        <v>26479</v>
      </c>
      <c r="BC22" s="98">
        <f t="shared" si="16"/>
        <v>0</v>
      </c>
      <c r="BD22" s="103">
        <v>1115</v>
      </c>
      <c r="BE22" s="98">
        <f t="shared" si="17"/>
        <v>0</v>
      </c>
      <c r="BF22" s="103">
        <v>4375</v>
      </c>
      <c r="BG22" s="98">
        <f t="shared" si="18"/>
        <v>0</v>
      </c>
      <c r="BH22" s="103">
        <v>3636</v>
      </c>
      <c r="BI22" s="98">
        <f t="shared" si="51"/>
        <v>0</v>
      </c>
      <c r="BJ22" s="106">
        <f t="shared" si="19"/>
        <v>0</v>
      </c>
      <c r="BK22" s="106">
        <f t="shared" si="20"/>
        <v>0</v>
      </c>
      <c r="BL22" s="103">
        <v>601190</v>
      </c>
      <c r="BM22" s="106">
        <f t="shared" si="57"/>
        <v>20</v>
      </c>
      <c r="BN22" s="114">
        <v>713</v>
      </c>
      <c r="BO22" s="98">
        <f t="shared" si="22"/>
        <v>0</v>
      </c>
      <c r="BP22" s="103">
        <v>778940</v>
      </c>
      <c r="BQ22" s="106">
        <f t="shared" si="23"/>
        <v>30</v>
      </c>
      <c r="BR22" s="118">
        <v>6888</v>
      </c>
      <c r="BS22" s="106">
        <f t="shared" si="24"/>
        <v>35</v>
      </c>
      <c r="BT22" s="117">
        <f t="shared" si="25"/>
        <v>30</v>
      </c>
      <c r="BU22" s="106">
        <f t="shared" si="26"/>
        <v>50</v>
      </c>
      <c r="BV22" s="119">
        <f t="shared" si="27"/>
        <v>0</v>
      </c>
      <c r="BW22" s="103">
        <v>125</v>
      </c>
      <c r="BX22" s="120">
        <f t="shared" si="28"/>
        <v>15594.962224985846</v>
      </c>
      <c r="BY22" s="125"/>
      <c r="BZ22" s="122">
        <f t="shared" si="29"/>
        <v>0</v>
      </c>
      <c r="CA22" s="103">
        <v>206524.7</v>
      </c>
      <c r="CB22" s="106">
        <f t="shared" si="30"/>
        <v>0.5</v>
      </c>
      <c r="CC22" s="117">
        <f t="shared" si="31"/>
        <v>2.855</v>
      </c>
      <c r="CD22" s="103">
        <v>35</v>
      </c>
      <c r="CE22" s="126">
        <f t="shared" si="32"/>
        <v>3771.25</v>
      </c>
      <c r="CF22" s="103">
        <v>35</v>
      </c>
      <c r="CG22" s="127">
        <f t="shared" si="33"/>
        <v>3771.25</v>
      </c>
      <c r="CH22" s="103">
        <v>36</v>
      </c>
      <c r="CI22" s="128">
        <f t="shared" si="52"/>
        <v>3879</v>
      </c>
      <c r="CJ22" s="129">
        <f t="shared" si="34"/>
        <v>11421.5</v>
      </c>
      <c r="CK22" s="130">
        <f t="shared" si="35"/>
        <v>0</v>
      </c>
      <c r="CL22" s="103"/>
      <c r="CM22" s="103">
        <v>34526.1</v>
      </c>
      <c r="CN22" s="106">
        <f t="shared" si="36"/>
        <v>1.0999999999985448</v>
      </c>
      <c r="CO22" s="117">
        <f t="shared" si="37"/>
        <v>2.6839999999964492</v>
      </c>
      <c r="CP22" s="103">
        <v>34300</v>
      </c>
      <c r="CQ22" s="106">
        <f t="shared" si="38"/>
        <v>0</v>
      </c>
      <c r="CR22" s="117">
        <f t="shared" si="39"/>
        <v>0</v>
      </c>
      <c r="CS22" s="103">
        <v>10235.6</v>
      </c>
      <c r="CT22" s="106">
        <f t="shared" si="55"/>
        <v>0</v>
      </c>
      <c r="CU22" s="117">
        <f t="shared" si="40"/>
        <v>0</v>
      </c>
      <c r="CV22" s="103">
        <v>832157.8</v>
      </c>
      <c r="CW22" s="106">
        <f t="shared" si="41"/>
        <v>0</v>
      </c>
      <c r="CX22" s="117">
        <f t="shared" si="42"/>
        <v>0</v>
      </c>
      <c r="CY22" s="103">
        <v>5986.4</v>
      </c>
      <c r="CZ22" s="106">
        <f t="shared" si="43"/>
        <v>0.8999999999996362</v>
      </c>
      <c r="DA22" s="117">
        <f t="shared" si="44"/>
        <v>2.1509999999991307</v>
      </c>
      <c r="DB22" s="103">
        <v>7420</v>
      </c>
      <c r="DC22" s="106">
        <f t="shared" si="67"/>
        <v>0</v>
      </c>
      <c r="DD22" s="106">
        <f t="shared" si="67"/>
        <v>0</v>
      </c>
      <c r="DE22" s="103">
        <v>3840</v>
      </c>
      <c r="DF22" s="106">
        <f t="shared" si="68"/>
        <v>0</v>
      </c>
      <c r="DG22" s="106">
        <f t="shared" si="68"/>
        <v>0</v>
      </c>
      <c r="DH22" s="103">
        <v>1855.9</v>
      </c>
      <c r="DI22" s="106">
        <f t="shared" si="69"/>
        <v>0</v>
      </c>
      <c r="DJ22" s="106">
        <f t="shared" si="69"/>
        <v>0</v>
      </c>
      <c r="DK22" s="103">
        <v>5081.7</v>
      </c>
      <c r="DL22" s="106">
        <f t="shared" si="70"/>
        <v>0</v>
      </c>
      <c r="DM22" s="106">
        <f t="shared" si="70"/>
        <v>0</v>
      </c>
      <c r="DN22" s="103">
        <v>4454.7</v>
      </c>
      <c r="DO22" s="106">
        <f t="shared" si="71"/>
        <v>0</v>
      </c>
      <c r="DP22" s="106">
        <f t="shared" si="71"/>
        <v>0</v>
      </c>
      <c r="DQ22" s="103">
        <v>5089.6000000000004</v>
      </c>
      <c r="DR22" s="106">
        <f t="shared" si="72"/>
        <v>0</v>
      </c>
      <c r="DS22" s="106">
        <f t="shared" si="72"/>
        <v>0</v>
      </c>
      <c r="DT22" s="103">
        <v>5015.3999999999996</v>
      </c>
      <c r="DU22" s="106">
        <f t="shared" si="47"/>
        <v>4.1999999999998181</v>
      </c>
      <c r="DV22" s="117">
        <f t="shared" si="48"/>
        <v>10.037999999999565</v>
      </c>
      <c r="DW22" s="124">
        <v>12871</v>
      </c>
      <c r="DX22" s="117">
        <f t="shared" si="53"/>
        <v>0</v>
      </c>
      <c r="DY22" s="124">
        <v>62789</v>
      </c>
      <c r="DZ22" s="117">
        <f t="shared" si="73"/>
        <v>0</v>
      </c>
      <c r="EA22" s="135">
        <v>15588</v>
      </c>
      <c r="EB22" s="117">
        <f t="shared" si="74"/>
        <v>0</v>
      </c>
      <c r="EC22" s="135">
        <v>24679</v>
      </c>
      <c r="ED22" s="117">
        <f t="shared" si="50"/>
        <v>0</v>
      </c>
      <c r="EE22" s="135">
        <v>2</v>
      </c>
      <c r="EF22" s="136">
        <v>6</v>
      </c>
      <c r="EG22" s="134">
        <v>1.4999999999999999E-2</v>
      </c>
      <c r="EH22" s="83"/>
      <c r="EI22" s="58"/>
      <c r="EJ22" s="58"/>
      <c r="EK22"/>
      <c r="EL22"/>
      <c r="EM22"/>
    </row>
    <row r="23" spans="1:144" s="20" customFormat="1" ht="15">
      <c r="A23" s="96">
        <v>44306</v>
      </c>
      <c r="B23" s="103">
        <v>6797920</v>
      </c>
      <c r="C23" s="98">
        <f t="shared" si="0"/>
        <v>6626</v>
      </c>
      <c r="D23" s="103">
        <v>6032460</v>
      </c>
      <c r="E23" s="98">
        <f t="shared" si="1"/>
        <v>6331</v>
      </c>
      <c r="F23" s="22">
        <f t="shared" si="2"/>
        <v>0.95547841835194691</v>
      </c>
      <c r="G23" s="99">
        <v>432</v>
      </c>
      <c r="H23" s="99">
        <v>528</v>
      </c>
      <c r="I23" s="100">
        <v>288023</v>
      </c>
      <c r="J23" s="101">
        <f t="shared" si="3"/>
        <v>0</v>
      </c>
      <c r="K23" s="102">
        <v>774</v>
      </c>
      <c r="L23" s="98">
        <f t="shared" si="58"/>
        <v>0</v>
      </c>
      <c r="M23" s="103">
        <v>633922</v>
      </c>
      <c r="N23" s="98">
        <f t="shared" si="3"/>
        <v>0</v>
      </c>
      <c r="O23" s="103">
        <v>992</v>
      </c>
      <c r="P23" s="101">
        <f t="shared" si="6"/>
        <v>0</v>
      </c>
      <c r="Q23" s="103">
        <v>2548345</v>
      </c>
      <c r="R23" s="101">
        <f t="shared" si="60"/>
        <v>59</v>
      </c>
      <c r="S23" s="103">
        <v>2191832</v>
      </c>
      <c r="T23" s="101">
        <f t="shared" si="61"/>
        <v>4</v>
      </c>
      <c r="U23" s="103">
        <v>110194</v>
      </c>
      <c r="V23" s="101">
        <f t="shared" si="56"/>
        <v>54</v>
      </c>
      <c r="W23" s="74">
        <v>100</v>
      </c>
      <c r="X23" s="103">
        <v>152730</v>
      </c>
      <c r="Y23" s="101">
        <v>0</v>
      </c>
      <c r="Z23" s="99">
        <v>39672</v>
      </c>
      <c r="AA23" s="106">
        <f t="shared" si="62"/>
        <v>7</v>
      </c>
      <c r="AB23" s="103">
        <v>1114</v>
      </c>
      <c r="AC23" s="107">
        <f t="shared" si="59"/>
        <v>0</v>
      </c>
      <c r="AD23" s="103">
        <v>4605</v>
      </c>
      <c r="AE23" s="108">
        <f t="shared" si="54"/>
        <v>0</v>
      </c>
      <c r="AF23" s="19"/>
      <c r="AG23" s="19"/>
      <c r="AH23" s="103">
        <v>580210</v>
      </c>
      <c r="AI23" s="101">
        <f t="shared" si="9"/>
        <v>0</v>
      </c>
      <c r="AJ23" s="116">
        <v>467</v>
      </c>
      <c r="AK23" s="98">
        <f t="shared" si="10"/>
        <v>0</v>
      </c>
      <c r="AL23" s="103">
        <v>52250</v>
      </c>
      <c r="AM23" s="113">
        <f t="shared" si="75"/>
        <v>0</v>
      </c>
      <c r="AN23" s="103">
        <v>8915</v>
      </c>
      <c r="AO23" s="98">
        <f t="shared" si="63"/>
        <v>1</v>
      </c>
      <c r="AP23" s="103">
        <v>10571</v>
      </c>
      <c r="AQ23" s="98">
        <f t="shared" si="64"/>
        <v>0</v>
      </c>
      <c r="AR23" s="103">
        <v>14554</v>
      </c>
      <c r="AS23" s="98">
        <f t="shared" si="65"/>
        <v>0</v>
      </c>
      <c r="AT23" s="103">
        <v>19369</v>
      </c>
      <c r="AU23" s="98">
        <f t="shared" si="66"/>
        <v>0</v>
      </c>
      <c r="AV23" s="103">
        <v>20677</v>
      </c>
      <c r="AW23" s="106">
        <f t="shared" si="13"/>
        <v>0</v>
      </c>
      <c r="AX23" s="103">
        <v>13871</v>
      </c>
      <c r="AY23" s="106">
        <f t="shared" si="14"/>
        <v>0</v>
      </c>
      <c r="AZ23" s="103">
        <v>6221</v>
      </c>
      <c r="BA23" s="98">
        <f t="shared" si="15"/>
        <v>1</v>
      </c>
      <c r="BB23" s="103">
        <v>26480</v>
      </c>
      <c r="BC23" s="98">
        <f t="shared" si="16"/>
        <v>1</v>
      </c>
      <c r="BD23" s="103">
        <v>1115</v>
      </c>
      <c r="BE23" s="98">
        <f t="shared" si="17"/>
        <v>0</v>
      </c>
      <c r="BF23" s="103">
        <v>4375</v>
      </c>
      <c r="BG23" s="98">
        <f t="shared" si="18"/>
        <v>0</v>
      </c>
      <c r="BH23" s="103">
        <v>3636</v>
      </c>
      <c r="BI23" s="98">
        <f t="shared" si="51"/>
        <v>0</v>
      </c>
      <c r="BJ23" s="106">
        <f t="shared" si="19"/>
        <v>0</v>
      </c>
      <c r="BK23" s="106">
        <f t="shared" si="20"/>
        <v>0</v>
      </c>
      <c r="BL23" s="103">
        <v>601220</v>
      </c>
      <c r="BM23" s="106">
        <f t="shared" si="57"/>
        <v>30</v>
      </c>
      <c r="BN23" s="114">
        <v>713</v>
      </c>
      <c r="BO23" s="98">
        <f t="shared" si="22"/>
        <v>0</v>
      </c>
      <c r="BP23" s="103">
        <v>778980</v>
      </c>
      <c r="BQ23" s="106">
        <f t="shared" si="23"/>
        <v>40</v>
      </c>
      <c r="BR23" s="118">
        <v>6922</v>
      </c>
      <c r="BS23" s="106">
        <f t="shared" si="24"/>
        <v>34</v>
      </c>
      <c r="BT23" s="117">
        <f t="shared" si="25"/>
        <v>40</v>
      </c>
      <c r="BU23" s="106">
        <f t="shared" si="26"/>
        <v>70</v>
      </c>
      <c r="BV23" s="119">
        <f t="shared" si="27"/>
        <v>2</v>
      </c>
      <c r="BW23" s="103">
        <v>125</v>
      </c>
      <c r="BX23" s="120">
        <f t="shared" si="28"/>
        <v>15594.962224985846</v>
      </c>
      <c r="BY23" s="125"/>
      <c r="BZ23" s="122">
        <f t="shared" si="29"/>
        <v>0</v>
      </c>
      <c r="CA23" s="103">
        <v>206524.7</v>
      </c>
      <c r="CB23" s="106">
        <f t="shared" si="30"/>
        <v>0</v>
      </c>
      <c r="CC23" s="117">
        <f t="shared" si="31"/>
        <v>0</v>
      </c>
      <c r="CD23" s="103">
        <v>35</v>
      </c>
      <c r="CE23" s="126">
        <f t="shared" si="32"/>
        <v>3771.25</v>
      </c>
      <c r="CF23" s="103">
        <v>35</v>
      </c>
      <c r="CG23" s="127">
        <f t="shared" si="33"/>
        <v>3771.25</v>
      </c>
      <c r="CH23" s="103">
        <v>36</v>
      </c>
      <c r="CI23" s="128">
        <f t="shared" si="52"/>
        <v>3879</v>
      </c>
      <c r="CJ23" s="129">
        <f t="shared" si="34"/>
        <v>11421.5</v>
      </c>
      <c r="CK23" s="130">
        <f t="shared" si="35"/>
        <v>0</v>
      </c>
      <c r="CL23" s="103"/>
      <c r="CM23" s="103">
        <v>34527.599999999999</v>
      </c>
      <c r="CN23" s="106">
        <f t="shared" si="36"/>
        <v>1.5</v>
      </c>
      <c r="CO23" s="117">
        <f t="shared" si="37"/>
        <v>3.66</v>
      </c>
      <c r="CP23" s="103">
        <v>34300</v>
      </c>
      <c r="CQ23" s="106">
        <f t="shared" si="38"/>
        <v>0</v>
      </c>
      <c r="CR23" s="117">
        <f t="shared" si="39"/>
        <v>0</v>
      </c>
      <c r="CS23" s="103">
        <v>10235.6</v>
      </c>
      <c r="CT23" s="106">
        <f t="shared" si="55"/>
        <v>0</v>
      </c>
      <c r="CU23" s="117">
        <f t="shared" si="40"/>
        <v>0</v>
      </c>
      <c r="CV23" s="103">
        <v>832157.8</v>
      </c>
      <c r="CW23" s="106">
        <f t="shared" si="41"/>
        <v>0</v>
      </c>
      <c r="CX23" s="117">
        <f t="shared" si="42"/>
        <v>0</v>
      </c>
      <c r="CY23" s="103">
        <v>5987.4</v>
      </c>
      <c r="CZ23" s="106">
        <f t="shared" si="43"/>
        <v>1</v>
      </c>
      <c r="DA23" s="117">
        <f t="shared" si="44"/>
        <v>2.39</v>
      </c>
      <c r="DB23" s="103">
        <v>7420</v>
      </c>
      <c r="DC23" s="106">
        <f t="shared" si="67"/>
        <v>0</v>
      </c>
      <c r="DD23" s="106">
        <f t="shared" si="67"/>
        <v>0</v>
      </c>
      <c r="DE23" s="103">
        <v>3840</v>
      </c>
      <c r="DF23" s="106">
        <f t="shared" si="68"/>
        <v>0</v>
      </c>
      <c r="DG23" s="106">
        <f t="shared" si="68"/>
        <v>0</v>
      </c>
      <c r="DH23" s="103">
        <v>1855.9</v>
      </c>
      <c r="DI23" s="106">
        <f t="shared" si="69"/>
        <v>0</v>
      </c>
      <c r="DJ23" s="106">
        <f t="shared" si="69"/>
        <v>0</v>
      </c>
      <c r="DK23" s="103">
        <v>5081.7</v>
      </c>
      <c r="DL23" s="106">
        <f t="shared" si="70"/>
        <v>0</v>
      </c>
      <c r="DM23" s="106">
        <f t="shared" si="70"/>
        <v>0</v>
      </c>
      <c r="DN23" s="103">
        <v>4454.7</v>
      </c>
      <c r="DO23" s="106">
        <f t="shared" si="71"/>
        <v>0</v>
      </c>
      <c r="DP23" s="106">
        <f t="shared" si="71"/>
        <v>0</v>
      </c>
      <c r="DQ23" s="103">
        <v>5089.6000000000004</v>
      </c>
      <c r="DR23" s="106">
        <f t="shared" si="72"/>
        <v>0</v>
      </c>
      <c r="DS23" s="106">
        <f t="shared" si="72"/>
        <v>0</v>
      </c>
      <c r="DT23" s="103">
        <v>5022.2</v>
      </c>
      <c r="DU23" s="106">
        <f t="shared" si="47"/>
        <v>6.8000000000001819</v>
      </c>
      <c r="DV23" s="117">
        <f t="shared" si="48"/>
        <v>16.252000000000436</v>
      </c>
      <c r="DW23" s="124">
        <v>12871</v>
      </c>
      <c r="DX23" s="117">
        <f t="shared" si="53"/>
        <v>0</v>
      </c>
      <c r="DY23" s="124">
        <v>62789</v>
      </c>
      <c r="DZ23" s="117">
        <f t="shared" si="73"/>
        <v>0</v>
      </c>
      <c r="EA23" s="135">
        <v>15588</v>
      </c>
      <c r="EB23" s="117">
        <f t="shared" si="74"/>
        <v>0</v>
      </c>
      <c r="EC23" s="135">
        <v>24679</v>
      </c>
      <c r="ED23" s="117">
        <f t="shared" si="50"/>
        <v>0</v>
      </c>
      <c r="EE23" s="135">
        <v>2</v>
      </c>
      <c r="EF23" s="136">
        <v>6</v>
      </c>
      <c r="EG23" s="134">
        <v>1.4999999999999999E-2</v>
      </c>
      <c r="EH23" s="83"/>
      <c r="EI23" s="58"/>
      <c r="EJ23" s="58"/>
      <c r="EK23"/>
      <c r="EL23"/>
      <c r="EM23"/>
    </row>
    <row r="24" spans="1:144" s="20" customFormat="1" ht="15">
      <c r="A24" s="96">
        <v>44307</v>
      </c>
      <c r="B24" s="105">
        <v>6804808</v>
      </c>
      <c r="C24" s="98">
        <f t="shared" si="0"/>
        <v>6888</v>
      </c>
      <c r="D24" s="103">
        <v>6038950</v>
      </c>
      <c r="E24" s="98">
        <f t="shared" si="1"/>
        <v>6490</v>
      </c>
      <c r="F24" s="22">
        <f t="shared" si="2"/>
        <v>0.9422183507549361</v>
      </c>
      <c r="G24" s="99">
        <v>432</v>
      </c>
      <c r="H24" s="99">
        <v>528</v>
      </c>
      <c r="I24" s="100">
        <v>288023</v>
      </c>
      <c r="J24" s="101">
        <f t="shared" si="3"/>
        <v>0</v>
      </c>
      <c r="K24" s="102">
        <v>774</v>
      </c>
      <c r="L24" s="98">
        <f t="shared" si="58"/>
        <v>0</v>
      </c>
      <c r="M24" s="103">
        <v>633922</v>
      </c>
      <c r="N24" s="98">
        <f t="shared" si="3"/>
        <v>0</v>
      </c>
      <c r="O24" s="103">
        <v>992</v>
      </c>
      <c r="P24" s="101">
        <f t="shared" si="6"/>
        <v>0</v>
      </c>
      <c r="Q24" s="103">
        <v>2548351</v>
      </c>
      <c r="R24" s="101">
        <f t="shared" si="60"/>
        <v>6</v>
      </c>
      <c r="S24" s="103">
        <v>2191832</v>
      </c>
      <c r="T24" s="101">
        <f t="shared" si="61"/>
        <v>0</v>
      </c>
      <c r="U24" s="103">
        <v>110242</v>
      </c>
      <c r="V24" s="101">
        <f t="shared" si="56"/>
        <v>48</v>
      </c>
      <c r="W24" s="76">
        <v>100</v>
      </c>
      <c r="X24" s="103">
        <v>152730</v>
      </c>
      <c r="Y24" s="101">
        <v>0</v>
      </c>
      <c r="Z24" s="99">
        <v>39674</v>
      </c>
      <c r="AA24" s="106">
        <f t="shared" si="62"/>
        <v>2</v>
      </c>
      <c r="AB24" s="103">
        <v>1114</v>
      </c>
      <c r="AC24" s="107">
        <f t="shared" si="59"/>
        <v>0</v>
      </c>
      <c r="AD24" s="103">
        <v>4605</v>
      </c>
      <c r="AE24" s="108">
        <f t="shared" si="54"/>
        <v>0</v>
      </c>
      <c r="AF24" s="19"/>
      <c r="AG24" s="19"/>
      <c r="AH24" s="103">
        <v>580210</v>
      </c>
      <c r="AI24" s="101">
        <f t="shared" si="9"/>
        <v>0</v>
      </c>
      <c r="AJ24" s="116">
        <v>467</v>
      </c>
      <c r="AK24" s="98">
        <f t="shared" si="10"/>
        <v>0</v>
      </c>
      <c r="AL24" s="103">
        <v>52251</v>
      </c>
      <c r="AM24" s="113">
        <f t="shared" si="75"/>
        <v>1</v>
      </c>
      <c r="AN24" s="103">
        <v>8915</v>
      </c>
      <c r="AO24" s="98">
        <f t="shared" si="63"/>
        <v>0</v>
      </c>
      <c r="AP24" s="103">
        <v>10571</v>
      </c>
      <c r="AQ24" s="98">
        <f t="shared" si="64"/>
        <v>0</v>
      </c>
      <c r="AR24" s="103">
        <v>14554</v>
      </c>
      <c r="AS24" s="98">
        <f t="shared" si="65"/>
        <v>0</v>
      </c>
      <c r="AT24" s="103">
        <v>19369</v>
      </c>
      <c r="AU24" s="101">
        <f t="shared" si="66"/>
        <v>0</v>
      </c>
      <c r="AV24" s="103">
        <v>20677</v>
      </c>
      <c r="AW24" s="106">
        <f t="shared" si="13"/>
        <v>0</v>
      </c>
      <c r="AX24" s="103">
        <v>13871</v>
      </c>
      <c r="AY24" s="106">
        <f t="shared" si="14"/>
        <v>0</v>
      </c>
      <c r="AZ24" s="103">
        <v>6221</v>
      </c>
      <c r="BA24" s="98">
        <f t="shared" si="15"/>
        <v>0</v>
      </c>
      <c r="BB24" s="103">
        <v>26480</v>
      </c>
      <c r="BC24" s="98">
        <f t="shared" si="16"/>
        <v>0</v>
      </c>
      <c r="BD24" s="103">
        <v>1115</v>
      </c>
      <c r="BE24" s="98">
        <f t="shared" si="17"/>
        <v>0</v>
      </c>
      <c r="BF24" s="103">
        <v>4375</v>
      </c>
      <c r="BG24" s="98">
        <f t="shared" si="18"/>
        <v>0</v>
      </c>
      <c r="BH24" s="103">
        <v>3636</v>
      </c>
      <c r="BI24" s="98">
        <f t="shared" si="51"/>
        <v>0</v>
      </c>
      <c r="BJ24" s="106">
        <f t="shared" si="19"/>
        <v>0</v>
      </c>
      <c r="BK24" s="106">
        <f t="shared" si="20"/>
        <v>0</v>
      </c>
      <c r="BL24" s="103">
        <v>601230</v>
      </c>
      <c r="BM24" s="106">
        <f t="shared" si="57"/>
        <v>10</v>
      </c>
      <c r="BN24" s="114">
        <v>714</v>
      </c>
      <c r="BO24" s="98">
        <f t="shared" si="22"/>
        <v>1</v>
      </c>
      <c r="BP24" s="103">
        <v>778990</v>
      </c>
      <c r="BQ24" s="106">
        <f t="shared" si="23"/>
        <v>10</v>
      </c>
      <c r="BR24" s="118">
        <v>6932</v>
      </c>
      <c r="BS24" s="106">
        <f t="shared" si="24"/>
        <v>10</v>
      </c>
      <c r="BT24" s="117">
        <f t="shared" si="25"/>
        <v>10</v>
      </c>
      <c r="BU24" s="106">
        <f t="shared" si="26"/>
        <v>20</v>
      </c>
      <c r="BV24" s="119">
        <f t="shared" si="27"/>
        <v>1</v>
      </c>
      <c r="BW24" s="103">
        <v>125</v>
      </c>
      <c r="BX24" s="120">
        <f t="shared" si="28"/>
        <v>15594.962224985846</v>
      </c>
      <c r="BY24" s="125"/>
      <c r="BZ24" s="122">
        <f t="shared" si="29"/>
        <v>0</v>
      </c>
      <c r="CA24" s="103">
        <v>206526.2</v>
      </c>
      <c r="CB24" s="106">
        <f t="shared" si="30"/>
        <v>1.5</v>
      </c>
      <c r="CC24" s="117">
        <f t="shared" si="31"/>
        <v>8.5649999999999995</v>
      </c>
      <c r="CD24" s="103">
        <v>35</v>
      </c>
      <c r="CE24" s="126">
        <f t="shared" si="32"/>
        <v>3771.25</v>
      </c>
      <c r="CF24" s="103">
        <v>35</v>
      </c>
      <c r="CG24" s="127">
        <f t="shared" si="33"/>
        <v>3771.25</v>
      </c>
      <c r="CH24" s="103">
        <v>36</v>
      </c>
      <c r="CI24" s="128">
        <f t="shared" si="52"/>
        <v>3879</v>
      </c>
      <c r="CJ24" s="129">
        <f t="shared" si="34"/>
        <v>11421.5</v>
      </c>
      <c r="CK24" s="130">
        <f t="shared" si="35"/>
        <v>0</v>
      </c>
      <c r="CL24" s="103"/>
      <c r="CM24" s="103">
        <v>34529.1</v>
      </c>
      <c r="CN24" s="106">
        <f t="shared" si="36"/>
        <v>1.5</v>
      </c>
      <c r="CO24" s="117">
        <f t="shared" si="37"/>
        <v>3.66</v>
      </c>
      <c r="CP24" s="103">
        <v>34300</v>
      </c>
      <c r="CQ24" s="106">
        <f t="shared" si="38"/>
        <v>0</v>
      </c>
      <c r="CR24" s="117">
        <f t="shared" si="39"/>
        <v>0</v>
      </c>
      <c r="CS24" s="103">
        <v>10235.6</v>
      </c>
      <c r="CT24" s="106">
        <f t="shared" si="55"/>
        <v>0</v>
      </c>
      <c r="CU24" s="117">
        <f t="shared" si="40"/>
        <v>0</v>
      </c>
      <c r="CV24" s="103">
        <v>832157.8</v>
      </c>
      <c r="CW24" s="106">
        <f t="shared" si="41"/>
        <v>0</v>
      </c>
      <c r="CX24" s="117">
        <f t="shared" si="42"/>
        <v>0</v>
      </c>
      <c r="CY24" s="103">
        <v>5988.3</v>
      </c>
      <c r="CZ24" s="106">
        <f t="shared" si="43"/>
        <v>0.9000000000005457</v>
      </c>
      <c r="DA24" s="117">
        <f t="shared" si="44"/>
        <v>2.1510000000013045</v>
      </c>
      <c r="DB24" s="103">
        <v>7420</v>
      </c>
      <c r="DC24" s="106">
        <f t="shared" si="67"/>
        <v>0</v>
      </c>
      <c r="DD24" s="106">
        <f t="shared" si="67"/>
        <v>0</v>
      </c>
      <c r="DE24" s="103">
        <v>3840</v>
      </c>
      <c r="DF24" s="106">
        <f t="shared" si="68"/>
        <v>0</v>
      </c>
      <c r="DG24" s="106">
        <f t="shared" si="68"/>
        <v>0</v>
      </c>
      <c r="DH24" s="103">
        <v>1855.9</v>
      </c>
      <c r="DI24" s="106">
        <f t="shared" si="69"/>
        <v>0</v>
      </c>
      <c r="DJ24" s="106">
        <f t="shared" si="69"/>
        <v>0</v>
      </c>
      <c r="DK24" s="103">
        <v>5081.7</v>
      </c>
      <c r="DL24" s="106">
        <f t="shared" si="70"/>
        <v>0</v>
      </c>
      <c r="DM24" s="106">
        <f t="shared" si="70"/>
        <v>0</v>
      </c>
      <c r="DN24" s="103">
        <v>4454.7</v>
      </c>
      <c r="DO24" s="106">
        <f t="shared" si="71"/>
        <v>0</v>
      </c>
      <c r="DP24" s="106">
        <f t="shared" si="71"/>
        <v>0</v>
      </c>
      <c r="DQ24" s="103">
        <v>5089.6000000000004</v>
      </c>
      <c r="DR24" s="106">
        <f t="shared" si="72"/>
        <v>0</v>
      </c>
      <c r="DS24" s="106">
        <f t="shared" si="72"/>
        <v>0</v>
      </c>
      <c r="DT24" s="103">
        <v>5024.1000000000004</v>
      </c>
      <c r="DU24" s="106">
        <f t="shared" si="47"/>
        <v>1.9000000000005457</v>
      </c>
      <c r="DV24" s="117">
        <f t="shared" si="48"/>
        <v>4.5410000000013042</v>
      </c>
      <c r="DW24" s="124">
        <v>12871</v>
      </c>
      <c r="DX24" s="117">
        <f t="shared" si="53"/>
        <v>0</v>
      </c>
      <c r="DY24" s="124">
        <v>62789</v>
      </c>
      <c r="DZ24" s="117">
        <f t="shared" si="73"/>
        <v>0</v>
      </c>
      <c r="EA24" s="135">
        <v>15588</v>
      </c>
      <c r="EB24" s="117">
        <f t="shared" si="74"/>
        <v>0</v>
      </c>
      <c r="EC24" s="135">
        <v>24679</v>
      </c>
      <c r="ED24" s="117">
        <f t="shared" si="50"/>
        <v>0</v>
      </c>
      <c r="EE24" s="135">
        <v>2</v>
      </c>
      <c r="EF24" s="136">
        <v>6</v>
      </c>
      <c r="EG24" s="134">
        <v>1.4999999999999999E-2</v>
      </c>
      <c r="EH24" s="83"/>
      <c r="EI24" s="58"/>
      <c r="EJ24" s="58"/>
      <c r="EK24"/>
      <c r="EL24"/>
      <c r="EM24"/>
    </row>
    <row r="25" spans="1:144" s="20" customFormat="1" ht="15">
      <c r="A25" s="96">
        <v>44308</v>
      </c>
      <c r="B25" s="103">
        <v>6811030</v>
      </c>
      <c r="C25" s="98">
        <f t="shared" si="0"/>
        <v>6222</v>
      </c>
      <c r="D25" s="103">
        <v>6044920</v>
      </c>
      <c r="E25" s="98">
        <f t="shared" si="1"/>
        <v>5970</v>
      </c>
      <c r="F25" s="22">
        <f t="shared" si="2"/>
        <v>0.95949855351976854</v>
      </c>
      <c r="G25" s="99">
        <v>432</v>
      </c>
      <c r="H25" s="99">
        <v>528</v>
      </c>
      <c r="I25" s="100">
        <v>288041</v>
      </c>
      <c r="J25" s="101">
        <f t="shared" si="3"/>
        <v>18</v>
      </c>
      <c r="K25" s="102">
        <v>775</v>
      </c>
      <c r="L25" s="98">
        <f t="shared" si="58"/>
        <v>1</v>
      </c>
      <c r="M25" s="103">
        <v>633937</v>
      </c>
      <c r="N25" s="98">
        <f t="shared" si="3"/>
        <v>15</v>
      </c>
      <c r="O25" s="103">
        <v>992</v>
      </c>
      <c r="P25" s="101">
        <f t="shared" si="6"/>
        <v>0</v>
      </c>
      <c r="Q25" s="103">
        <v>2548375</v>
      </c>
      <c r="R25" s="101">
        <f t="shared" si="60"/>
        <v>24</v>
      </c>
      <c r="S25" s="103">
        <v>2191833</v>
      </c>
      <c r="T25" s="101">
        <f t="shared" si="61"/>
        <v>1</v>
      </c>
      <c r="U25" s="103">
        <v>110293</v>
      </c>
      <c r="V25" s="101">
        <f t="shared" si="56"/>
        <v>51</v>
      </c>
      <c r="W25" s="74">
        <v>100</v>
      </c>
      <c r="X25" s="103">
        <v>152370</v>
      </c>
      <c r="Y25" s="101">
        <v>0</v>
      </c>
      <c r="Z25" s="99">
        <v>39679</v>
      </c>
      <c r="AA25" s="106">
        <f t="shared" si="62"/>
        <v>5</v>
      </c>
      <c r="AB25" s="103">
        <v>1114</v>
      </c>
      <c r="AC25" s="107">
        <f t="shared" si="59"/>
        <v>0</v>
      </c>
      <c r="AD25" s="103">
        <v>4605</v>
      </c>
      <c r="AE25" s="108">
        <f t="shared" si="54"/>
        <v>0</v>
      </c>
      <c r="AF25" s="19"/>
      <c r="AG25" s="19"/>
      <c r="AH25" s="103">
        <v>580210</v>
      </c>
      <c r="AI25" s="101">
        <f t="shared" si="9"/>
        <v>0</v>
      </c>
      <c r="AJ25" s="116">
        <v>467</v>
      </c>
      <c r="AK25" s="98">
        <f t="shared" si="10"/>
        <v>0</v>
      </c>
      <c r="AL25" s="103">
        <v>52252</v>
      </c>
      <c r="AM25" s="113">
        <f t="shared" si="75"/>
        <v>1</v>
      </c>
      <c r="AN25" s="103">
        <v>8915</v>
      </c>
      <c r="AO25" s="98">
        <f t="shared" si="63"/>
        <v>0</v>
      </c>
      <c r="AP25" s="103">
        <v>10571</v>
      </c>
      <c r="AQ25" s="101">
        <v>0</v>
      </c>
      <c r="AR25" s="103">
        <v>14554</v>
      </c>
      <c r="AS25" s="98">
        <f t="shared" si="65"/>
        <v>0</v>
      </c>
      <c r="AT25" s="103">
        <v>19369</v>
      </c>
      <c r="AU25" s="101">
        <f t="shared" si="66"/>
        <v>0</v>
      </c>
      <c r="AV25" s="103">
        <v>20677</v>
      </c>
      <c r="AW25" s="106">
        <f t="shared" si="13"/>
        <v>0</v>
      </c>
      <c r="AX25" s="103">
        <v>13871</v>
      </c>
      <c r="AY25" s="117">
        <v>0</v>
      </c>
      <c r="AZ25" s="103">
        <v>6221</v>
      </c>
      <c r="BA25" s="98">
        <f t="shared" si="15"/>
        <v>0</v>
      </c>
      <c r="BB25" s="103">
        <v>26481</v>
      </c>
      <c r="BC25" s="98">
        <f t="shared" si="16"/>
        <v>1</v>
      </c>
      <c r="BD25" s="103">
        <v>1115</v>
      </c>
      <c r="BE25" s="98">
        <f t="shared" si="17"/>
        <v>0</v>
      </c>
      <c r="BF25" s="103">
        <v>4375</v>
      </c>
      <c r="BG25" s="98">
        <f t="shared" si="18"/>
        <v>0</v>
      </c>
      <c r="BH25" s="103">
        <v>3636</v>
      </c>
      <c r="BI25" s="98">
        <f t="shared" si="51"/>
        <v>0</v>
      </c>
      <c r="BJ25" s="106">
        <f t="shared" si="19"/>
        <v>0</v>
      </c>
      <c r="BK25" s="106">
        <f t="shared" si="20"/>
        <v>0</v>
      </c>
      <c r="BL25" s="103">
        <v>601250</v>
      </c>
      <c r="BM25" s="106">
        <f t="shared" si="57"/>
        <v>20</v>
      </c>
      <c r="BN25" s="114">
        <v>714</v>
      </c>
      <c r="BO25" s="98">
        <f t="shared" si="22"/>
        <v>0</v>
      </c>
      <c r="BP25" s="103">
        <v>779010</v>
      </c>
      <c r="BQ25" s="106">
        <f t="shared" si="23"/>
        <v>20</v>
      </c>
      <c r="BR25" s="118">
        <v>6954</v>
      </c>
      <c r="BS25" s="106">
        <f t="shared" si="24"/>
        <v>22</v>
      </c>
      <c r="BT25" s="117">
        <f t="shared" si="25"/>
        <v>20</v>
      </c>
      <c r="BU25" s="106">
        <f t="shared" si="26"/>
        <v>40</v>
      </c>
      <c r="BV25" s="119">
        <f t="shared" si="27"/>
        <v>1</v>
      </c>
      <c r="BW25" s="103">
        <v>125</v>
      </c>
      <c r="BX25" s="120">
        <f t="shared" si="28"/>
        <v>15594.962224985846</v>
      </c>
      <c r="BY25" s="125"/>
      <c r="BZ25" s="122">
        <f t="shared" si="29"/>
        <v>0</v>
      </c>
      <c r="CA25" s="103">
        <v>206527.8</v>
      </c>
      <c r="CB25" s="106">
        <f t="shared" si="30"/>
        <v>1.5999999999767169</v>
      </c>
      <c r="CC25" s="117">
        <f t="shared" si="31"/>
        <v>9.1359999998670531</v>
      </c>
      <c r="CD25" s="103">
        <v>35</v>
      </c>
      <c r="CE25" s="126">
        <f t="shared" si="32"/>
        <v>3771.25</v>
      </c>
      <c r="CF25" s="103">
        <v>35</v>
      </c>
      <c r="CG25" s="127">
        <f t="shared" si="33"/>
        <v>3771.25</v>
      </c>
      <c r="CH25" s="103">
        <v>36</v>
      </c>
      <c r="CI25" s="128">
        <f t="shared" si="52"/>
        <v>3879</v>
      </c>
      <c r="CJ25" s="129">
        <f t="shared" si="34"/>
        <v>11421.5</v>
      </c>
      <c r="CK25" s="130">
        <f t="shared" si="35"/>
        <v>0</v>
      </c>
      <c r="CL25" s="103"/>
      <c r="CM25" s="103">
        <v>34531.699999999997</v>
      </c>
      <c r="CN25" s="106">
        <f t="shared" si="36"/>
        <v>2.5999999999985448</v>
      </c>
      <c r="CO25" s="117">
        <f t="shared" si="37"/>
        <v>6.3439999999964494</v>
      </c>
      <c r="CP25" s="103">
        <v>34300</v>
      </c>
      <c r="CQ25" s="106">
        <f t="shared" si="38"/>
        <v>0</v>
      </c>
      <c r="CR25" s="117">
        <f t="shared" si="39"/>
        <v>0</v>
      </c>
      <c r="CS25" s="103">
        <v>10235.6</v>
      </c>
      <c r="CT25" s="106">
        <f t="shared" si="55"/>
        <v>0</v>
      </c>
      <c r="CU25" s="117">
        <f t="shared" si="40"/>
        <v>0</v>
      </c>
      <c r="CV25" s="103">
        <v>832157.8</v>
      </c>
      <c r="CW25" s="106">
        <f t="shared" si="41"/>
        <v>0</v>
      </c>
      <c r="CX25" s="117">
        <f t="shared" si="42"/>
        <v>0</v>
      </c>
      <c r="CY25" s="103">
        <v>5989.6</v>
      </c>
      <c r="CZ25" s="106">
        <f t="shared" si="43"/>
        <v>1.3000000000001819</v>
      </c>
      <c r="DA25" s="117">
        <f t="shared" si="44"/>
        <v>3.107000000000435</v>
      </c>
      <c r="DB25" s="103">
        <v>7420</v>
      </c>
      <c r="DC25" s="106">
        <f t="shared" si="67"/>
        <v>0</v>
      </c>
      <c r="DD25" s="106">
        <f t="shared" si="67"/>
        <v>0</v>
      </c>
      <c r="DE25" s="103">
        <v>3840</v>
      </c>
      <c r="DF25" s="106">
        <f t="shared" si="68"/>
        <v>0</v>
      </c>
      <c r="DG25" s="106">
        <f t="shared" si="68"/>
        <v>0</v>
      </c>
      <c r="DH25" s="103">
        <v>1855.9</v>
      </c>
      <c r="DI25" s="106">
        <f t="shared" si="69"/>
        <v>0</v>
      </c>
      <c r="DJ25" s="106">
        <f t="shared" si="69"/>
        <v>0</v>
      </c>
      <c r="DK25" s="103">
        <v>5081.7</v>
      </c>
      <c r="DL25" s="106">
        <f t="shared" si="70"/>
        <v>0</v>
      </c>
      <c r="DM25" s="106">
        <f t="shared" si="70"/>
        <v>0</v>
      </c>
      <c r="DN25" s="103">
        <v>4454.7</v>
      </c>
      <c r="DO25" s="106">
        <f t="shared" si="71"/>
        <v>0</v>
      </c>
      <c r="DP25" s="106">
        <f t="shared" si="71"/>
        <v>0</v>
      </c>
      <c r="DQ25" s="103">
        <v>5089.6000000000004</v>
      </c>
      <c r="DR25" s="106">
        <f t="shared" si="72"/>
        <v>0</v>
      </c>
      <c r="DS25" s="106">
        <f t="shared" si="72"/>
        <v>0</v>
      </c>
      <c r="DT25" s="103">
        <v>5028.1000000000004</v>
      </c>
      <c r="DU25" s="106">
        <f t="shared" si="47"/>
        <v>4</v>
      </c>
      <c r="DV25" s="117">
        <f t="shared" si="48"/>
        <v>9.56</v>
      </c>
      <c r="DW25" s="124">
        <v>12871</v>
      </c>
      <c r="DX25" s="117">
        <f t="shared" si="53"/>
        <v>0</v>
      </c>
      <c r="DY25" s="124">
        <v>62789</v>
      </c>
      <c r="DZ25" s="117">
        <f t="shared" si="73"/>
        <v>0</v>
      </c>
      <c r="EA25" s="135">
        <v>15588</v>
      </c>
      <c r="EB25" s="117">
        <f t="shared" si="74"/>
        <v>0</v>
      </c>
      <c r="EC25" s="135">
        <v>24679</v>
      </c>
      <c r="ED25" s="117">
        <f t="shared" si="50"/>
        <v>0</v>
      </c>
      <c r="EE25" s="135">
        <v>2</v>
      </c>
      <c r="EF25" s="136">
        <v>6</v>
      </c>
      <c r="EG25" s="134">
        <v>1.4999999999999999E-2</v>
      </c>
      <c r="EH25" s="83"/>
      <c r="EI25" s="58"/>
      <c r="EJ25" s="58"/>
      <c r="EK25"/>
      <c r="EL25"/>
      <c r="EM25"/>
    </row>
    <row r="26" spans="1:144" s="20" customFormat="1" ht="15">
      <c r="A26" s="96">
        <v>44309</v>
      </c>
      <c r="B26" s="103">
        <v>6816905</v>
      </c>
      <c r="C26" s="98">
        <f t="shared" si="0"/>
        <v>5875</v>
      </c>
      <c r="D26" s="103">
        <v>6050555</v>
      </c>
      <c r="E26" s="98">
        <f t="shared" si="1"/>
        <v>5635</v>
      </c>
      <c r="F26" s="22">
        <f t="shared" si="2"/>
        <v>0.9591489361702128</v>
      </c>
      <c r="G26" s="99">
        <v>432</v>
      </c>
      <c r="H26" s="99">
        <v>528</v>
      </c>
      <c r="I26" s="100">
        <v>288041</v>
      </c>
      <c r="J26" s="101">
        <f t="shared" si="3"/>
        <v>0</v>
      </c>
      <c r="K26" s="102">
        <v>775</v>
      </c>
      <c r="L26" s="98">
        <f t="shared" si="58"/>
        <v>0</v>
      </c>
      <c r="M26" s="103">
        <v>633937</v>
      </c>
      <c r="N26" s="98">
        <f t="shared" si="3"/>
        <v>0</v>
      </c>
      <c r="O26" s="103">
        <v>992</v>
      </c>
      <c r="P26" s="101">
        <f t="shared" si="6"/>
        <v>0</v>
      </c>
      <c r="Q26" s="103">
        <v>2548408</v>
      </c>
      <c r="R26" s="101">
        <f t="shared" si="60"/>
        <v>33</v>
      </c>
      <c r="S26" s="103">
        <v>2191835</v>
      </c>
      <c r="T26" s="101">
        <f t="shared" si="61"/>
        <v>2</v>
      </c>
      <c r="U26" s="103">
        <v>110345</v>
      </c>
      <c r="V26" s="101">
        <f t="shared" si="56"/>
        <v>52</v>
      </c>
      <c r="W26" s="74">
        <v>100</v>
      </c>
      <c r="X26" s="103">
        <v>152370</v>
      </c>
      <c r="Y26" s="101">
        <v>0</v>
      </c>
      <c r="Z26" s="99">
        <v>39687</v>
      </c>
      <c r="AA26" s="106">
        <f t="shared" si="62"/>
        <v>8</v>
      </c>
      <c r="AB26" s="103">
        <v>1115</v>
      </c>
      <c r="AC26" s="107">
        <f t="shared" si="59"/>
        <v>1</v>
      </c>
      <c r="AD26" s="103">
        <v>4605</v>
      </c>
      <c r="AE26" s="108">
        <f t="shared" si="54"/>
        <v>0</v>
      </c>
      <c r="AF26" s="19"/>
      <c r="AG26" s="19"/>
      <c r="AH26" s="103">
        <v>580210</v>
      </c>
      <c r="AI26" s="101">
        <f t="shared" si="9"/>
        <v>0</v>
      </c>
      <c r="AJ26" s="116">
        <v>467</v>
      </c>
      <c r="AK26" s="98">
        <f t="shared" si="10"/>
        <v>0</v>
      </c>
      <c r="AL26" s="103">
        <v>52252</v>
      </c>
      <c r="AM26" s="113">
        <f t="shared" si="75"/>
        <v>0</v>
      </c>
      <c r="AN26" s="103">
        <v>8915</v>
      </c>
      <c r="AO26" s="98">
        <f t="shared" si="63"/>
        <v>0</v>
      </c>
      <c r="AP26" s="103">
        <v>10571</v>
      </c>
      <c r="AQ26" s="101">
        <v>0</v>
      </c>
      <c r="AR26" s="103">
        <v>14554</v>
      </c>
      <c r="AS26" s="98">
        <f t="shared" si="65"/>
        <v>0</v>
      </c>
      <c r="AT26" s="103">
        <v>19369</v>
      </c>
      <c r="AU26" s="101">
        <f t="shared" si="66"/>
        <v>0</v>
      </c>
      <c r="AV26" s="103">
        <v>20677</v>
      </c>
      <c r="AW26" s="106">
        <f t="shared" si="13"/>
        <v>0</v>
      </c>
      <c r="AX26" s="103">
        <v>13871</v>
      </c>
      <c r="AY26" s="117">
        <v>0</v>
      </c>
      <c r="AZ26" s="103">
        <v>6221</v>
      </c>
      <c r="BA26" s="98">
        <f t="shared" si="15"/>
        <v>0</v>
      </c>
      <c r="BB26" s="103">
        <v>26482</v>
      </c>
      <c r="BC26" s="98">
        <f t="shared" si="16"/>
        <v>1</v>
      </c>
      <c r="BD26" s="103">
        <v>1115</v>
      </c>
      <c r="BE26" s="98">
        <f t="shared" si="17"/>
        <v>0</v>
      </c>
      <c r="BF26" s="103">
        <v>4376</v>
      </c>
      <c r="BG26" s="98">
        <f t="shared" si="18"/>
        <v>1</v>
      </c>
      <c r="BH26" s="103">
        <v>3636</v>
      </c>
      <c r="BI26" s="98">
        <f t="shared" si="51"/>
        <v>0</v>
      </c>
      <c r="BJ26" s="106">
        <f t="shared" si="19"/>
        <v>0</v>
      </c>
      <c r="BK26" s="106">
        <f t="shared" si="20"/>
        <v>0</v>
      </c>
      <c r="BL26" s="103">
        <v>601280</v>
      </c>
      <c r="BM26" s="106">
        <f t="shared" si="57"/>
        <v>30</v>
      </c>
      <c r="BN26" s="114">
        <v>714</v>
      </c>
      <c r="BO26" s="98">
        <f t="shared" si="22"/>
        <v>0</v>
      </c>
      <c r="BP26" s="103">
        <v>779050</v>
      </c>
      <c r="BQ26" s="106">
        <f t="shared" si="23"/>
        <v>40</v>
      </c>
      <c r="BR26" s="118">
        <v>6989</v>
      </c>
      <c r="BS26" s="106">
        <f t="shared" si="24"/>
        <v>35</v>
      </c>
      <c r="BT26" s="117">
        <f t="shared" si="25"/>
        <v>40</v>
      </c>
      <c r="BU26" s="106">
        <f t="shared" si="26"/>
        <v>70</v>
      </c>
      <c r="BV26" s="119">
        <f t="shared" si="27"/>
        <v>0</v>
      </c>
      <c r="BW26" s="103">
        <v>125</v>
      </c>
      <c r="BX26" s="120">
        <f t="shared" si="28"/>
        <v>15594.962224985846</v>
      </c>
      <c r="BY26" s="125"/>
      <c r="BZ26" s="122">
        <f t="shared" si="29"/>
        <v>0</v>
      </c>
      <c r="CA26" s="103">
        <v>206528.5</v>
      </c>
      <c r="CB26" s="106">
        <f t="shared" si="30"/>
        <v>0.70000000001164153</v>
      </c>
      <c r="CC26" s="117">
        <f t="shared" si="31"/>
        <v>3.9970000000664729</v>
      </c>
      <c r="CD26" s="103">
        <v>35</v>
      </c>
      <c r="CE26" s="126">
        <f t="shared" si="32"/>
        <v>3771.25</v>
      </c>
      <c r="CF26" s="103">
        <v>34</v>
      </c>
      <c r="CG26" s="127">
        <f t="shared" si="33"/>
        <v>3663.5</v>
      </c>
      <c r="CH26" s="103">
        <v>36</v>
      </c>
      <c r="CI26" s="128">
        <f t="shared" si="52"/>
        <v>3879</v>
      </c>
      <c r="CJ26" s="129">
        <f t="shared" si="34"/>
        <v>11313.75</v>
      </c>
      <c r="CK26" s="130">
        <f t="shared" si="35"/>
        <v>107.75</v>
      </c>
      <c r="CL26" s="103"/>
      <c r="CM26" s="103">
        <v>34533.699999999997</v>
      </c>
      <c r="CN26" s="106">
        <f t="shared" si="36"/>
        <v>2</v>
      </c>
      <c r="CO26" s="117">
        <f t="shared" si="37"/>
        <v>4.88</v>
      </c>
      <c r="CP26" s="103">
        <v>34300</v>
      </c>
      <c r="CQ26" s="106">
        <f t="shared" si="38"/>
        <v>0</v>
      </c>
      <c r="CR26" s="117">
        <f t="shared" si="39"/>
        <v>0</v>
      </c>
      <c r="CS26" s="103">
        <v>10235.6</v>
      </c>
      <c r="CT26" s="106">
        <f t="shared" si="55"/>
        <v>0</v>
      </c>
      <c r="CU26" s="117">
        <f t="shared" si="40"/>
        <v>0</v>
      </c>
      <c r="CV26" s="103">
        <v>832157.8</v>
      </c>
      <c r="CW26" s="106">
        <f t="shared" si="41"/>
        <v>0</v>
      </c>
      <c r="CX26" s="117">
        <f t="shared" si="42"/>
        <v>0</v>
      </c>
      <c r="CY26" s="103">
        <v>5990.9</v>
      </c>
      <c r="CZ26" s="106">
        <f t="shared" si="43"/>
        <v>1.2999999999992724</v>
      </c>
      <c r="DA26" s="117">
        <f t="shared" si="44"/>
        <v>3.1069999999982612</v>
      </c>
      <c r="DB26" s="103">
        <v>7420</v>
      </c>
      <c r="DC26" s="106">
        <f t="shared" si="67"/>
        <v>0</v>
      </c>
      <c r="DD26" s="106">
        <f t="shared" si="67"/>
        <v>0</v>
      </c>
      <c r="DE26" s="103">
        <v>3840</v>
      </c>
      <c r="DF26" s="106">
        <f t="shared" si="68"/>
        <v>0</v>
      </c>
      <c r="DG26" s="106">
        <f t="shared" si="68"/>
        <v>0</v>
      </c>
      <c r="DH26" s="103">
        <v>1855.9</v>
      </c>
      <c r="DI26" s="106">
        <f t="shared" si="69"/>
        <v>0</v>
      </c>
      <c r="DJ26" s="106">
        <f t="shared" si="69"/>
        <v>0</v>
      </c>
      <c r="DK26" s="103">
        <v>5081.7</v>
      </c>
      <c r="DL26" s="106">
        <f t="shared" si="70"/>
        <v>0</v>
      </c>
      <c r="DM26" s="106">
        <f t="shared" si="70"/>
        <v>0</v>
      </c>
      <c r="DN26" s="103">
        <v>4454.7</v>
      </c>
      <c r="DO26" s="106">
        <f t="shared" si="71"/>
        <v>0</v>
      </c>
      <c r="DP26" s="106">
        <f t="shared" si="71"/>
        <v>0</v>
      </c>
      <c r="DQ26" s="103">
        <v>5089.6000000000004</v>
      </c>
      <c r="DR26" s="106">
        <f t="shared" si="72"/>
        <v>0</v>
      </c>
      <c r="DS26" s="106">
        <f t="shared" si="72"/>
        <v>0</v>
      </c>
      <c r="DT26" s="103">
        <v>5034.6000000000004</v>
      </c>
      <c r="DU26" s="106">
        <f t="shared" si="47"/>
        <v>6.5</v>
      </c>
      <c r="DV26" s="117">
        <f t="shared" si="48"/>
        <v>15.535</v>
      </c>
      <c r="DW26" s="124">
        <v>12871</v>
      </c>
      <c r="DX26" s="117">
        <f t="shared" si="53"/>
        <v>0</v>
      </c>
      <c r="DY26" s="124">
        <v>62789</v>
      </c>
      <c r="DZ26" s="117">
        <f t="shared" si="73"/>
        <v>0</v>
      </c>
      <c r="EA26" s="135">
        <v>15588</v>
      </c>
      <c r="EB26" s="117">
        <f t="shared" si="74"/>
        <v>0</v>
      </c>
      <c r="EC26" s="135">
        <v>24679</v>
      </c>
      <c r="ED26" s="117">
        <f t="shared" si="50"/>
        <v>0</v>
      </c>
      <c r="EE26" s="135">
        <v>2</v>
      </c>
      <c r="EF26" s="136">
        <v>6</v>
      </c>
      <c r="EG26" s="134">
        <v>1.4999999999999999E-2</v>
      </c>
      <c r="EH26" s="83"/>
      <c r="EI26" s="58"/>
      <c r="EJ26" s="58"/>
      <c r="EK26"/>
      <c r="EL26"/>
      <c r="EM26"/>
    </row>
    <row r="27" spans="1:144" s="20" customFormat="1" ht="15">
      <c r="A27" s="96">
        <v>44310</v>
      </c>
      <c r="B27" s="103">
        <v>6823212</v>
      </c>
      <c r="C27" s="98">
        <f t="shared" si="0"/>
        <v>6307</v>
      </c>
      <c r="D27" s="103">
        <v>6056649</v>
      </c>
      <c r="E27" s="98">
        <f t="shared" si="1"/>
        <v>6094</v>
      </c>
      <c r="F27" s="22">
        <f t="shared" si="2"/>
        <v>0.96622800063421599</v>
      </c>
      <c r="G27" s="99">
        <v>432</v>
      </c>
      <c r="H27" s="99">
        <v>528</v>
      </c>
      <c r="I27" s="100">
        <v>288041</v>
      </c>
      <c r="J27" s="101">
        <f t="shared" si="3"/>
        <v>0</v>
      </c>
      <c r="K27" s="102">
        <v>775</v>
      </c>
      <c r="L27" s="98">
        <v>0</v>
      </c>
      <c r="M27" s="103">
        <v>633937</v>
      </c>
      <c r="N27" s="98">
        <f t="shared" si="3"/>
        <v>0</v>
      </c>
      <c r="O27" s="103">
        <v>992</v>
      </c>
      <c r="P27" s="101">
        <f t="shared" si="6"/>
        <v>0</v>
      </c>
      <c r="Q27" s="103">
        <v>2548431</v>
      </c>
      <c r="R27" s="101">
        <f t="shared" si="60"/>
        <v>23</v>
      </c>
      <c r="S27" s="103">
        <v>2191835</v>
      </c>
      <c r="T27" s="101">
        <f t="shared" si="61"/>
        <v>0</v>
      </c>
      <c r="U27" s="103">
        <v>110381</v>
      </c>
      <c r="V27" s="101">
        <f t="shared" si="56"/>
        <v>36</v>
      </c>
      <c r="W27" s="74">
        <v>100</v>
      </c>
      <c r="X27" s="103">
        <v>152370</v>
      </c>
      <c r="Y27" s="101">
        <v>0</v>
      </c>
      <c r="Z27" s="99">
        <v>39689</v>
      </c>
      <c r="AA27" s="106">
        <f t="shared" si="62"/>
        <v>2</v>
      </c>
      <c r="AB27" s="103">
        <v>1115</v>
      </c>
      <c r="AC27" s="107">
        <f t="shared" si="59"/>
        <v>0</v>
      </c>
      <c r="AD27" s="103">
        <v>4605</v>
      </c>
      <c r="AE27" s="108">
        <f t="shared" si="54"/>
        <v>0</v>
      </c>
      <c r="AF27" s="19"/>
      <c r="AG27" s="19"/>
      <c r="AH27" s="103">
        <v>580220</v>
      </c>
      <c r="AI27" s="101">
        <f t="shared" si="9"/>
        <v>10</v>
      </c>
      <c r="AJ27" s="116">
        <v>467</v>
      </c>
      <c r="AK27" s="98">
        <f t="shared" si="10"/>
        <v>0</v>
      </c>
      <c r="AL27" s="103">
        <v>52253</v>
      </c>
      <c r="AM27" s="113">
        <f t="shared" si="75"/>
        <v>1</v>
      </c>
      <c r="AN27" s="103">
        <v>8915</v>
      </c>
      <c r="AO27" s="98">
        <f t="shared" si="63"/>
        <v>0</v>
      </c>
      <c r="AP27" s="103">
        <v>10571</v>
      </c>
      <c r="AQ27" s="101">
        <v>0</v>
      </c>
      <c r="AR27" s="103">
        <v>14554</v>
      </c>
      <c r="AS27" s="98">
        <f t="shared" si="65"/>
        <v>0</v>
      </c>
      <c r="AT27" s="103">
        <v>19369</v>
      </c>
      <c r="AU27" s="101">
        <f t="shared" si="66"/>
        <v>0</v>
      </c>
      <c r="AV27" s="103">
        <v>20677</v>
      </c>
      <c r="AW27" s="106">
        <f t="shared" si="13"/>
        <v>0</v>
      </c>
      <c r="AX27" s="103">
        <v>13871</v>
      </c>
      <c r="AY27" s="117">
        <v>0</v>
      </c>
      <c r="AZ27" s="103">
        <v>6221</v>
      </c>
      <c r="BA27" s="98">
        <f t="shared" si="15"/>
        <v>0</v>
      </c>
      <c r="BB27" s="103">
        <v>26483</v>
      </c>
      <c r="BC27" s="98">
        <f t="shared" si="16"/>
        <v>1</v>
      </c>
      <c r="BD27" s="103">
        <v>1115</v>
      </c>
      <c r="BE27" s="98">
        <f t="shared" si="17"/>
        <v>0</v>
      </c>
      <c r="BF27" s="103">
        <v>4376</v>
      </c>
      <c r="BG27" s="98">
        <f t="shared" si="18"/>
        <v>0</v>
      </c>
      <c r="BH27" s="103">
        <v>3636</v>
      </c>
      <c r="BI27" s="98">
        <f t="shared" si="51"/>
        <v>0</v>
      </c>
      <c r="BJ27" s="106">
        <f t="shared" si="19"/>
        <v>0</v>
      </c>
      <c r="BK27" s="106">
        <f t="shared" si="20"/>
        <v>10</v>
      </c>
      <c r="BL27" s="103">
        <v>601290</v>
      </c>
      <c r="BM27" s="106">
        <f t="shared" si="57"/>
        <v>10</v>
      </c>
      <c r="BN27" s="114">
        <v>715</v>
      </c>
      <c r="BO27" s="98">
        <f t="shared" si="22"/>
        <v>1</v>
      </c>
      <c r="BP27" s="103">
        <v>779060</v>
      </c>
      <c r="BQ27" s="106">
        <f t="shared" si="23"/>
        <v>10</v>
      </c>
      <c r="BR27" s="118">
        <v>6995</v>
      </c>
      <c r="BS27" s="106">
        <f t="shared" si="24"/>
        <v>6</v>
      </c>
      <c r="BT27" s="117">
        <f t="shared" si="25"/>
        <v>0</v>
      </c>
      <c r="BU27" s="106">
        <f t="shared" si="26"/>
        <v>20</v>
      </c>
      <c r="BV27" s="119">
        <f t="shared" si="27"/>
        <v>1</v>
      </c>
      <c r="BW27" s="103">
        <v>125</v>
      </c>
      <c r="BX27" s="120">
        <f t="shared" si="28"/>
        <v>15594.962224985846</v>
      </c>
      <c r="BY27" s="125"/>
      <c r="BZ27" s="122">
        <f t="shared" si="29"/>
        <v>0</v>
      </c>
      <c r="CA27" s="103">
        <v>206528.8</v>
      </c>
      <c r="CB27" s="106">
        <f t="shared" si="30"/>
        <v>0.29999999998835847</v>
      </c>
      <c r="CC27" s="117">
        <f t="shared" si="31"/>
        <v>1.7129999999335268</v>
      </c>
      <c r="CD27" s="103">
        <v>35</v>
      </c>
      <c r="CE27" s="126">
        <f t="shared" si="32"/>
        <v>3771.25</v>
      </c>
      <c r="CF27" s="103">
        <v>34</v>
      </c>
      <c r="CG27" s="127">
        <f t="shared" si="33"/>
        <v>3663.5</v>
      </c>
      <c r="CH27" s="103">
        <v>36</v>
      </c>
      <c r="CI27" s="128">
        <f t="shared" si="52"/>
        <v>3879</v>
      </c>
      <c r="CJ27" s="129">
        <f t="shared" si="34"/>
        <v>11313.75</v>
      </c>
      <c r="CK27" s="130">
        <f t="shared" si="35"/>
        <v>0</v>
      </c>
      <c r="CL27" s="103"/>
      <c r="CM27" s="103">
        <v>34534.5</v>
      </c>
      <c r="CN27" s="106">
        <f t="shared" si="36"/>
        <v>0.80000000000291038</v>
      </c>
      <c r="CO27" s="117">
        <f t="shared" si="37"/>
        <v>1.9520000000071014</v>
      </c>
      <c r="CP27" s="103">
        <v>34300</v>
      </c>
      <c r="CQ27" s="106">
        <f t="shared" si="38"/>
        <v>0</v>
      </c>
      <c r="CR27" s="117">
        <f t="shared" si="39"/>
        <v>0</v>
      </c>
      <c r="CS27" s="103">
        <v>10235.6</v>
      </c>
      <c r="CT27" s="106">
        <f t="shared" si="55"/>
        <v>0</v>
      </c>
      <c r="CU27" s="117">
        <f t="shared" si="40"/>
        <v>0</v>
      </c>
      <c r="CV27" s="103">
        <v>832157.8</v>
      </c>
      <c r="CW27" s="106">
        <f t="shared" si="41"/>
        <v>0</v>
      </c>
      <c r="CX27" s="117">
        <f t="shared" si="42"/>
        <v>0</v>
      </c>
      <c r="CY27" s="103">
        <v>5991.6</v>
      </c>
      <c r="CZ27" s="106">
        <f t="shared" si="43"/>
        <v>0.7000000000007276</v>
      </c>
      <c r="DA27" s="117">
        <f t="shared" si="44"/>
        <v>1.6730000000017391</v>
      </c>
      <c r="DB27" s="103">
        <v>7420</v>
      </c>
      <c r="DC27" s="106">
        <f t="shared" si="67"/>
        <v>0</v>
      </c>
      <c r="DD27" s="106">
        <f t="shared" si="67"/>
        <v>0</v>
      </c>
      <c r="DE27" s="103">
        <v>3840</v>
      </c>
      <c r="DF27" s="106">
        <f t="shared" si="68"/>
        <v>0</v>
      </c>
      <c r="DG27" s="106">
        <v>40</v>
      </c>
      <c r="DH27" s="103">
        <v>1855.9</v>
      </c>
      <c r="DI27" s="106">
        <f t="shared" si="69"/>
        <v>0</v>
      </c>
      <c r="DJ27" s="106">
        <f t="shared" si="69"/>
        <v>0</v>
      </c>
      <c r="DK27" s="103">
        <v>5081.7</v>
      </c>
      <c r="DL27" s="106">
        <f t="shared" si="70"/>
        <v>0</v>
      </c>
      <c r="DM27" s="106">
        <f t="shared" si="70"/>
        <v>0</v>
      </c>
      <c r="DN27" s="103">
        <v>4454.7</v>
      </c>
      <c r="DO27" s="106">
        <f t="shared" si="71"/>
        <v>0</v>
      </c>
      <c r="DP27" s="106">
        <f t="shared" si="71"/>
        <v>0</v>
      </c>
      <c r="DQ27" s="103">
        <v>5089.6000000000004</v>
      </c>
      <c r="DR27" s="106">
        <f t="shared" si="72"/>
        <v>0</v>
      </c>
      <c r="DS27" s="106">
        <f t="shared" si="72"/>
        <v>0</v>
      </c>
      <c r="DT27" s="103">
        <v>5036.6000000000004</v>
      </c>
      <c r="DU27" s="106">
        <f t="shared" si="47"/>
        <v>2</v>
      </c>
      <c r="DV27" s="117">
        <f t="shared" si="48"/>
        <v>4.78</v>
      </c>
      <c r="DW27" s="124">
        <v>12871</v>
      </c>
      <c r="DX27" s="117">
        <f t="shared" si="53"/>
        <v>0</v>
      </c>
      <c r="DY27" s="124">
        <v>62789</v>
      </c>
      <c r="DZ27" s="117">
        <f t="shared" si="73"/>
        <v>0</v>
      </c>
      <c r="EA27" s="135">
        <v>15588</v>
      </c>
      <c r="EB27" s="117">
        <f t="shared" si="74"/>
        <v>0</v>
      </c>
      <c r="EC27" s="135">
        <v>24679</v>
      </c>
      <c r="ED27" s="117">
        <f t="shared" si="50"/>
        <v>0</v>
      </c>
      <c r="EE27" s="135">
        <v>2</v>
      </c>
      <c r="EF27" s="136">
        <v>6</v>
      </c>
      <c r="EG27" s="134">
        <v>1.4999999999999999E-2</v>
      </c>
      <c r="EH27" s="83"/>
      <c r="EI27" s="58"/>
      <c r="EJ27" s="58"/>
      <c r="EK27"/>
      <c r="EL27"/>
      <c r="EM27"/>
    </row>
    <row r="28" spans="1:144" s="20" customFormat="1" ht="15">
      <c r="A28" s="96">
        <v>44311</v>
      </c>
      <c r="B28" s="103">
        <v>6829204</v>
      </c>
      <c r="C28" s="98">
        <f t="shared" si="0"/>
        <v>5992</v>
      </c>
      <c r="D28" s="103">
        <v>6062414</v>
      </c>
      <c r="E28" s="98">
        <f t="shared" si="1"/>
        <v>5765</v>
      </c>
      <c r="F28" s="22">
        <f t="shared" si="2"/>
        <v>0.96211615487316426</v>
      </c>
      <c r="G28" s="99">
        <v>432</v>
      </c>
      <c r="H28" s="99">
        <v>528</v>
      </c>
      <c r="I28" s="100">
        <v>288041</v>
      </c>
      <c r="J28" s="101">
        <f t="shared" si="3"/>
        <v>0</v>
      </c>
      <c r="K28" s="102">
        <v>775</v>
      </c>
      <c r="L28" s="98">
        <v>0</v>
      </c>
      <c r="M28" s="103">
        <v>633937</v>
      </c>
      <c r="N28" s="98">
        <f t="shared" si="3"/>
        <v>0</v>
      </c>
      <c r="O28" s="103">
        <v>992</v>
      </c>
      <c r="P28" s="101">
        <f t="shared" si="6"/>
        <v>0</v>
      </c>
      <c r="Q28" s="103">
        <v>2548467</v>
      </c>
      <c r="R28" s="101">
        <f t="shared" si="60"/>
        <v>36</v>
      </c>
      <c r="S28" s="103">
        <v>2191835</v>
      </c>
      <c r="T28" s="101">
        <f t="shared" si="61"/>
        <v>0</v>
      </c>
      <c r="U28" s="103">
        <v>110421</v>
      </c>
      <c r="V28" s="101">
        <f t="shared" si="56"/>
        <v>40</v>
      </c>
      <c r="W28" s="74">
        <v>100</v>
      </c>
      <c r="X28" s="103">
        <v>152370</v>
      </c>
      <c r="Y28" s="101">
        <v>0</v>
      </c>
      <c r="Z28" s="99">
        <v>39692</v>
      </c>
      <c r="AA28" s="106">
        <f t="shared" si="62"/>
        <v>3</v>
      </c>
      <c r="AB28" s="103">
        <v>1115</v>
      </c>
      <c r="AC28" s="107">
        <f t="shared" si="59"/>
        <v>0</v>
      </c>
      <c r="AD28" s="103">
        <v>4605</v>
      </c>
      <c r="AE28" s="108">
        <f t="shared" si="54"/>
        <v>0</v>
      </c>
      <c r="AF28" s="19"/>
      <c r="AG28" s="19"/>
      <c r="AH28" s="103">
        <v>580220</v>
      </c>
      <c r="AI28" s="101">
        <f t="shared" si="9"/>
        <v>0</v>
      </c>
      <c r="AJ28" s="116">
        <v>467</v>
      </c>
      <c r="AK28" s="98">
        <f t="shared" si="10"/>
        <v>0</v>
      </c>
      <c r="AL28" s="103">
        <v>52253</v>
      </c>
      <c r="AM28" s="113">
        <f t="shared" si="75"/>
        <v>0</v>
      </c>
      <c r="AN28" s="103">
        <v>8915</v>
      </c>
      <c r="AO28" s="98">
        <f t="shared" si="63"/>
        <v>0</v>
      </c>
      <c r="AP28" s="103">
        <v>10571</v>
      </c>
      <c r="AQ28" s="101">
        <v>0</v>
      </c>
      <c r="AR28" s="103">
        <v>14554</v>
      </c>
      <c r="AS28" s="98">
        <f t="shared" si="65"/>
        <v>0</v>
      </c>
      <c r="AT28" s="103">
        <v>19369</v>
      </c>
      <c r="AU28" s="101">
        <f t="shared" si="66"/>
        <v>0</v>
      </c>
      <c r="AV28" s="103">
        <v>20677</v>
      </c>
      <c r="AW28" s="106">
        <f t="shared" si="13"/>
        <v>0</v>
      </c>
      <c r="AX28" s="103">
        <v>13871</v>
      </c>
      <c r="AY28" s="117">
        <v>0</v>
      </c>
      <c r="AZ28" s="103">
        <v>6221</v>
      </c>
      <c r="BA28" s="98">
        <f t="shared" si="15"/>
        <v>0</v>
      </c>
      <c r="BB28" s="103">
        <v>26483</v>
      </c>
      <c r="BC28" s="98">
        <f t="shared" si="16"/>
        <v>0</v>
      </c>
      <c r="BD28" s="103">
        <v>1115</v>
      </c>
      <c r="BE28" s="98">
        <f t="shared" si="17"/>
        <v>0</v>
      </c>
      <c r="BF28" s="103">
        <v>4376</v>
      </c>
      <c r="BG28" s="98">
        <f t="shared" si="18"/>
        <v>0</v>
      </c>
      <c r="BH28" s="103">
        <v>3636</v>
      </c>
      <c r="BI28" s="98">
        <f t="shared" si="51"/>
        <v>0</v>
      </c>
      <c r="BJ28" s="106">
        <f t="shared" si="19"/>
        <v>0</v>
      </c>
      <c r="BK28" s="106">
        <f t="shared" si="20"/>
        <v>0</v>
      </c>
      <c r="BL28" s="103">
        <v>601310</v>
      </c>
      <c r="BM28" s="106">
        <f t="shared" si="57"/>
        <v>20</v>
      </c>
      <c r="BN28" s="118">
        <v>715</v>
      </c>
      <c r="BO28" s="98">
        <f t="shared" si="22"/>
        <v>0</v>
      </c>
      <c r="BP28" s="103">
        <v>779070</v>
      </c>
      <c r="BQ28" s="106">
        <f t="shared" si="23"/>
        <v>10</v>
      </c>
      <c r="BR28" s="118">
        <v>6999</v>
      </c>
      <c r="BS28" s="106">
        <f t="shared" si="24"/>
        <v>4</v>
      </c>
      <c r="BT28" s="117">
        <f t="shared" si="25"/>
        <v>10</v>
      </c>
      <c r="BU28" s="106">
        <f t="shared" si="26"/>
        <v>30</v>
      </c>
      <c r="BV28" s="119">
        <f t="shared" si="27"/>
        <v>0</v>
      </c>
      <c r="BW28" s="103">
        <v>125</v>
      </c>
      <c r="BX28" s="120">
        <f t="shared" si="28"/>
        <v>15594.962224985846</v>
      </c>
      <c r="BY28" s="125"/>
      <c r="BZ28" s="122">
        <f t="shared" si="29"/>
        <v>0</v>
      </c>
      <c r="CA28" s="103">
        <v>206529.1</v>
      </c>
      <c r="CB28" s="106">
        <f t="shared" si="30"/>
        <v>0.3000000000174623</v>
      </c>
      <c r="CC28" s="117">
        <f t="shared" si="31"/>
        <v>1.7130000000997097</v>
      </c>
      <c r="CD28" s="103">
        <v>35</v>
      </c>
      <c r="CE28" s="126">
        <f t="shared" si="32"/>
        <v>3771.25</v>
      </c>
      <c r="CF28" s="103">
        <v>34</v>
      </c>
      <c r="CG28" s="127">
        <f t="shared" si="33"/>
        <v>3663.5</v>
      </c>
      <c r="CH28" s="103">
        <v>36</v>
      </c>
      <c r="CI28" s="128">
        <f t="shared" si="52"/>
        <v>3879</v>
      </c>
      <c r="CJ28" s="129">
        <f t="shared" si="34"/>
        <v>11313.75</v>
      </c>
      <c r="CK28" s="130">
        <f t="shared" si="35"/>
        <v>0</v>
      </c>
      <c r="CL28" s="103"/>
      <c r="CM28" s="103">
        <v>34535.300000000003</v>
      </c>
      <c r="CN28" s="106">
        <f t="shared" si="36"/>
        <v>0.80000000000291038</v>
      </c>
      <c r="CO28" s="117">
        <f t="shared" si="37"/>
        <v>1.9520000000071014</v>
      </c>
      <c r="CP28" s="103">
        <v>34300</v>
      </c>
      <c r="CQ28" s="106">
        <f t="shared" si="38"/>
        <v>0</v>
      </c>
      <c r="CR28" s="117">
        <f t="shared" si="39"/>
        <v>0</v>
      </c>
      <c r="CS28" s="103">
        <v>10235.6</v>
      </c>
      <c r="CT28" s="106">
        <f t="shared" si="55"/>
        <v>0</v>
      </c>
      <c r="CU28" s="117">
        <f t="shared" si="40"/>
        <v>0</v>
      </c>
      <c r="CV28" s="103">
        <v>832157.8</v>
      </c>
      <c r="CW28" s="106">
        <f t="shared" si="41"/>
        <v>0</v>
      </c>
      <c r="CX28" s="117">
        <f t="shared" si="42"/>
        <v>0</v>
      </c>
      <c r="CY28" s="103">
        <v>5992.4</v>
      </c>
      <c r="CZ28" s="106">
        <f t="shared" si="43"/>
        <v>0.7999999999992724</v>
      </c>
      <c r="DA28" s="117">
        <f t="shared" si="44"/>
        <v>1.9119999999982611</v>
      </c>
      <c r="DB28" s="103">
        <v>7420</v>
      </c>
      <c r="DC28" s="106">
        <f t="shared" si="67"/>
        <v>0</v>
      </c>
      <c r="DD28" s="106">
        <f t="shared" si="67"/>
        <v>0</v>
      </c>
      <c r="DE28" s="103">
        <v>3840</v>
      </c>
      <c r="DF28" s="106">
        <f t="shared" si="68"/>
        <v>0</v>
      </c>
      <c r="DG28" s="106">
        <f t="shared" si="68"/>
        <v>0</v>
      </c>
      <c r="DH28" s="103">
        <v>1855.9</v>
      </c>
      <c r="DI28" s="106">
        <f t="shared" si="69"/>
        <v>0</v>
      </c>
      <c r="DJ28" s="106">
        <f t="shared" si="69"/>
        <v>0</v>
      </c>
      <c r="DK28" s="103">
        <v>5081.7</v>
      </c>
      <c r="DL28" s="106">
        <f t="shared" si="70"/>
        <v>0</v>
      </c>
      <c r="DM28" s="106">
        <f t="shared" si="70"/>
        <v>0</v>
      </c>
      <c r="DN28" s="103">
        <v>4454.7</v>
      </c>
      <c r="DO28" s="106">
        <f t="shared" si="71"/>
        <v>0</v>
      </c>
      <c r="DP28" s="106">
        <f t="shared" si="71"/>
        <v>0</v>
      </c>
      <c r="DQ28" s="103">
        <v>5089.6000000000004</v>
      </c>
      <c r="DR28" s="106">
        <f t="shared" si="72"/>
        <v>0</v>
      </c>
      <c r="DS28" s="106">
        <f t="shared" si="72"/>
        <v>0</v>
      </c>
      <c r="DT28" s="103">
        <v>5040.8</v>
      </c>
      <c r="DU28" s="106">
        <f t="shared" si="47"/>
        <v>4.1999999999998181</v>
      </c>
      <c r="DV28" s="117">
        <f t="shared" si="48"/>
        <v>10.037999999999565</v>
      </c>
      <c r="DW28" s="124">
        <v>12871</v>
      </c>
      <c r="DX28" s="117">
        <f t="shared" si="53"/>
        <v>0</v>
      </c>
      <c r="DY28" s="124">
        <v>62789</v>
      </c>
      <c r="DZ28" s="117">
        <f t="shared" si="73"/>
        <v>0</v>
      </c>
      <c r="EA28" s="135">
        <v>15588</v>
      </c>
      <c r="EB28" s="117">
        <f t="shared" si="74"/>
        <v>0</v>
      </c>
      <c r="EC28" s="135">
        <v>24679</v>
      </c>
      <c r="ED28" s="117">
        <f t="shared" si="50"/>
        <v>0</v>
      </c>
      <c r="EE28" s="135">
        <v>2</v>
      </c>
      <c r="EF28" s="136">
        <v>6</v>
      </c>
      <c r="EG28" s="134">
        <v>1.4999999999999999E-2</v>
      </c>
      <c r="EH28" s="83"/>
      <c r="EI28" s="58"/>
      <c r="EJ28" s="58"/>
      <c r="EK28"/>
      <c r="EL28"/>
      <c r="EM28"/>
    </row>
    <row r="29" spans="1:144" s="20" customFormat="1" ht="15">
      <c r="A29" s="96">
        <v>44312</v>
      </c>
      <c r="B29" s="103">
        <v>6834633</v>
      </c>
      <c r="C29" s="98">
        <f t="shared" si="0"/>
        <v>5429</v>
      </c>
      <c r="D29" s="103">
        <v>6067620</v>
      </c>
      <c r="E29" s="98">
        <f t="shared" si="1"/>
        <v>5206</v>
      </c>
      <c r="F29" s="22">
        <f t="shared" si="2"/>
        <v>0.95892429545035918</v>
      </c>
      <c r="G29" s="99">
        <v>432</v>
      </c>
      <c r="H29" s="99">
        <v>528</v>
      </c>
      <c r="I29" s="100">
        <v>288041</v>
      </c>
      <c r="J29" s="101">
        <f t="shared" si="3"/>
        <v>0</v>
      </c>
      <c r="K29" s="102">
        <v>775</v>
      </c>
      <c r="L29" s="98">
        <v>0</v>
      </c>
      <c r="M29" s="103">
        <v>633937</v>
      </c>
      <c r="N29" s="98">
        <v>0</v>
      </c>
      <c r="O29" s="103">
        <v>992</v>
      </c>
      <c r="P29" s="101">
        <f t="shared" si="6"/>
        <v>0</v>
      </c>
      <c r="Q29" s="103">
        <v>2548501</v>
      </c>
      <c r="R29" s="101">
        <f t="shared" si="60"/>
        <v>34</v>
      </c>
      <c r="S29" s="103">
        <v>2191835</v>
      </c>
      <c r="T29" s="101">
        <f t="shared" si="61"/>
        <v>0</v>
      </c>
      <c r="U29" s="103">
        <v>110473</v>
      </c>
      <c r="V29" s="101">
        <f t="shared" si="56"/>
        <v>52</v>
      </c>
      <c r="W29" s="74">
        <v>100</v>
      </c>
      <c r="X29" s="103">
        <v>152370</v>
      </c>
      <c r="Y29" s="101">
        <v>0</v>
      </c>
      <c r="Z29" s="99">
        <v>39699</v>
      </c>
      <c r="AA29" s="106">
        <f t="shared" si="62"/>
        <v>7</v>
      </c>
      <c r="AB29" s="103">
        <v>1115</v>
      </c>
      <c r="AC29" s="107">
        <f t="shared" si="59"/>
        <v>0</v>
      </c>
      <c r="AD29" s="103">
        <v>4605</v>
      </c>
      <c r="AE29" s="108">
        <f t="shared" si="54"/>
        <v>0</v>
      </c>
      <c r="AF29" s="19"/>
      <c r="AG29" s="19"/>
      <c r="AH29" s="103">
        <v>580230</v>
      </c>
      <c r="AI29" s="101">
        <f t="shared" si="9"/>
        <v>10</v>
      </c>
      <c r="AJ29" s="116">
        <v>467</v>
      </c>
      <c r="AK29" s="98">
        <f t="shared" si="10"/>
        <v>0</v>
      </c>
      <c r="AL29" s="103">
        <v>52253</v>
      </c>
      <c r="AM29" s="113">
        <f t="shared" si="75"/>
        <v>0</v>
      </c>
      <c r="AN29" s="103">
        <v>8915</v>
      </c>
      <c r="AO29" s="98">
        <f t="shared" si="63"/>
        <v>0</v>
      </c>
      <c r="AP29" s="103">
        <v>10571</v>
      </c>
      <c r="AQ29" s="101">
        <v>0</v>
      </c>
      <c r="AR29" s="103">
        <v>14554</v>
      </c>
      <c r="AS29" s="98">
        <f t="shared" si="65"/>
        <v>0</v>
      </c>
      <c r="AT29" s="103">
        <v>19369</v>
      </c>
      <c r="AU29" s="101">
        <f t="shared" si="66"/>
        <v>0</v>
      </c>
      <c r="AV29" s="103">
        <v>20677</v>
      </c>
      <c r="AW29" s="106">
        <f t="shared" si="13"/>
        <v>0</v>
      </c>
      <c r="AX29" s="103">
        <v>13871</v>
      </c>
      <c r="AY29" s="117">
        <v>0</v>
      </c>
      <c r="AZ29" s="103">
        <v>6222</v>
      </c>
      <c r="BA29" s="98">
        <f t="shared" si="15"/>
        <v>1</v>
      </c>
      <c r="BB29" s="103">
        <v>26484</v>
      </c>
      <c r="BC29" s="98">
        <f t="shared" si="16"/>
        <v>1</v>
      </c>
      <c r="BD29" s="103">
        <v>1115</v>
      </c>
      <c r="BE29" s="98">
        <f t="shared" si="17"/>
        <v>0</v>
      </c>
      <c r="BF29" s="103">
        <v>4377</v>
      </c>
      <c r="BG29" s="98">
        <f t="shared" si="18"/>
        <v>1</v>
      </c>
      <c r="BH29" s="103">
        <v>3636</v>
      </c>
      <c r="BI29" s="98">
        <f t="shared" si="51"/>
        <v>0</v>
      </c>
      <c r="BJ29" s="106">
        <f t="shared" si="19"/>
        <v>0</v>
      </c>
      <c r="BK29" s="106">
        <f t="shared" si="20"/>
        <v>10</v>
      </c>
      <c r="BL29" s="103">
        <v>601330</v>
      </c>
      <c r="BM29" s="106">
        <f t="shared" si="57"/>
        <v>20</v>
      </c>
      <c r="BN29" s="118">
        <v>715</v>
      </c>
      <c r="BO29" s="98">
        <f t="shared" si="22"/>
        <v>0</v>
      </c>
      <c r="BP29" s="103">
        <v>779100</v>
      </c>
      <c r="BQ29" s="106">
        <f t="shared" si="23"/>
        <v>30</v>
      </c>
      <c r="BR29" s="118">
        <v>7010</v>
      </c>
      <c r="BS29" s="106">
        <f t="shared" si="24"/>
        <v>11</v>
      </c>
      <c r="BT29" s="117">
        <f>BQ29-AI29</f>
        <v>20</v>
      </c>
      <c r="BU29" s="106">
        <f t="shared" si="26"/>
        <v>50</v>
      </c>
      <c r="BV29" s="119">
        <f t="shared" si="27"/>
        <v>1</v>
      </c>
      <c r="BW29" s="103">
        <v>125</v>
      </c>
      <c r="BX29" s="120">
        <f t="shared" si="28"/>
        <v>15594.962224985846</v>
      </c>
      <c r="BY29" s="125"/>
      <c r="BZ29" s="122">
        <f t="shared" si="29"/>
        <v>0</v>
      </c>
      <c r="CA29" s="103">
        <v>206530</v>
      </c>
      <c r="CB29" s="106">
        <f t="shared" si="30"/>
        <v>0.89999999999417923</v>
      </c>
      <c r="CC29" s="117">
        <f t="shared" si="31"/>
        <v>5.1389999999667637</v>
      </c>
      <c r="CD29" s="103">
        <v>34</v>
      </c>
      <c r="CE29" s="126">
        <f t="shared" si="32"/>
        <v>3663.5</v>
      </c>
      <c r="CF29" s="103">
        <v>34</v>
      </c>
      <c r="CG29" s="127">
        <f t="shared" si="33"/>
        <v>3663.5</v>
      </c>
      <c r="CH29" s="103">
        <v>36</v>
      </c>
      <c r="CI29" s="128">
        <f t="shared" si="52"/>
        <v>3879</v>
      </c>
      <c r="CJ29" s="129">
        <f t="shared" si="34"/>
        <v>11206</v>
      </c>
      <c r="CK29" s="130">
        <f t="shared" si="35"/>
        <v>107.75</v>
      </c>
      <c r="CL29" s="103"/>
      <c r="CM29" s="103">
        <v>34537.1</v>
      </c>
      <c r="CN29" s="106">
        <f t="shared" si="36"/>
        <v>1.7999999999956344</v>
      </c>
      <c r="CO29" s="117">
        <f t="shared" si="37"/>
        <v>4.3919999999893475</v>
      </c>
      <c r="CP29" s="103">
        <v>34300</v>
      </c>
      <c r="CQ29" s="106">
        <f t="shared" si="38"/>
        <v>0</v>
      </c>
      <c r="CR29" s="117">
        <f t="shared" si="39"/>
        <v>0</v>
      </c>
      <c r="CS29" s="103">
        <v>10235.6</v>
      </c>
      <c r="CT29" s="106">
        <f t="shared" si="55"/>
        <v>0</v>
      </c>
      <c r="CU29" s="117">
        <f t="shared" si="40"/>
        <v>0</v>
      </c>
      <c r="CV29" s="103">
        <v>832157.8</v>
      </c>
      <c r="CW29" s="106">
        <f t="shared" si="41"/>
        <v>0</v>
      </c>
      <c r="CX29" s="117">
        <f t="shared" si="42"/>
        <v>0</v>
      </c>
      <c r="CY29" s="103">
        <v>5993.4</v>
      </c>
      <c r="CZ29" s="106">
        <f t="shared" si="43"/>
        <v>1</v>
      </c>
      <c r="DA29" s="117">
        <f t="shared" si="44"/>
        <v>2.39</v>
      </c>
      <c r="DB29" s="103">
        <v>7420</v>
      </c>
      <c r="DC29" s="106">
        <f t="shared" si="67"/>
        <v>0</v>
      </c>
      <c r="DD29" s="106">
        <f t="shared" si="67"/>
        <v>0</v>
      </c>
      <c r="DE29" s="103">
        <v>3840</v>
      </c>
      <c r="DF29" s="106">
        <f t="shared" si="68"/>
        <v>0</v>
      </c>
      <c r="DG29" s="106">
        <f t="shared" si="68"/>
        <v>0</v>
      </c>
      <c r="DH29" s="103">
        <v>1855.9</v>
      </c>
      <c r="DI29" s="106">
        <f t="shared" si="69"/>
        <v>0</v>
      </c>
      <c r="DJ29" s="106">
        <f t="shared" si="69"/>
        <v>0</v>
      </c>
      <c r="DK29" s="103">
        <v>5081.7</v>
      </c>
      <c r="DL29" s="106">
        <f t="shared" si="70"/>
        <v>0</v>
      </c>
      <c r="DM29" s="106">
        <f t="shared" si="70"/>
        <v>0</v>
      </c>
      <c r="DN29" s="103">
        <v>4454.7</v>
      </c>
      <c r="DO29" s="106">
        <f t="shared" si="71"/>
        <v>0</v>
      </c>
      <c r="DP29" s="106">
        <f t="shared" si="71"/>
        <v>0</v>
      </c>
      <c r="DQ29" s="103">
        <v>5089.6000000000004</v>
      </c>
      <c r="DR29" s="106">
        <f t="shared" si="72"/>
        <v>0</v>
      </c>
      <c r="DS29" s="106">
        <f t="shared" si="72"/>
        <v>0</v>
      </c>
      <c r="DT29" s="103">
        <v>5047.2</v>
      </c>
      <c r="DU29" s="106">
        <f t="shared" si="47"/>
        <v>6.3999999999996362</v>
      </c>
      <c r="DV29" s="117">
        <f t="shared" si="48"/>
        <v>15.295999999999131</v>
      </c>
      <c r="DW29" s="124">
        <v>12871</v>
      </c>
      <c r="DX29" s="117">
        <f t="shared" si="53"/>
        <v>0</v>
      </c>
      <c r="DY29" s="124">
        <v>62789</v>
      </c>
      <c r="DZ29" s="117">
        <f t="shared" si="73"/>
        <v>0</v>
      </c>
      <c r="EA29" s="135">
        <v>15588</v>
      </c>
      <c r="EB29" s="117">
        <f t="shared" si="74"/>
        <v>0</v>
      </c>
      <c r="EC29" s="135">
        <v>24679</v>
      </c>
      <c r="ED29" s="117">
        <f t="shared" si="50"/>
        <v>0</v>
      </c>
      <c r="EE29" s="135">
        <v>2</v>
      </c>
      <c r="EF29" s="136">
        <v>6</v>
      </c>
      <c r="EG29" s="134">
        <v>1.4999999999999999E-2</v>
      </c>
      <c r="EH29" s="83"/>
      <c r="EI29" s="58"/>
      <c r="EJ29" s="58"/>
      <c r="EK29"/>
      <c r="EL29"/>
      <c r="EM29"/>
    </row>
    <row r="30" spans="1:144" s="20" customFormat="1" ht="15">
      <c r="A30" s="96">
        <v>44313</v>
      </c>
      <c r="B30" s="103">
        <v>6840273</v>
      </c>
      <c r="C30" s="98">
        <f t="shared" si="0"/>
        <v>5640</v>
      </c>
      <c r="D30" s="103">
        <v>6073028</v>
      </c>
      <c r="E30" s="98">
        <f t="shared" si="1"/>
        <v>5408</v>
      </c>
      <c r="F30" s="22">
        <f t="shared" si="2"/>
        <v>0.95886524822695041</v>
      </c>
      <c r="G30" s="99">
        <v>432</v>
      </c>
      <c r="H30" s="99">
        <v>528</v>
      </c>
      <c r="I30" s="100">
        <v>288041</v>
      </c>
      <c r="J30" s="101">
        <f t="shared" si="3"/>
        <v>0</v>
      </c>
      <c r="K30" s="102">
        <v>775</v>
      </c>
      <c r="L30" s="98">
        <v>0</v>
      </c>
      <c r="M30" s="103">
        <v>633937</v>
      </c>
      <c r="N30" s="98">
        <v>0</v>
      </c>
      <c r="O30" s="103">
        <v>992</v>
      </c>
      <c r="P30" s="101">
        <f t="shared" si="6"/>
        <v>0</v>
      </c>
      <c r="Q30" s="103">
        <v>2548508</v>
      </c>
      <c r="R30" s="101">
        <f t="shared" si="60"/>
        <v>7</v>
      </c>
      <c r="S30" s="103">
        <v>2191835</v>
      </c>
      <c r="T30" s="101">
        <f t="shared" si="61"/>
        <v>0</v>
      </c>
      <c r="U30" s="103">
        <v>110517</v>
      </c>
      <c r="V30" s="101">
        <f t="shared" si="56"/>
        <v>44</v>
      </c>
      <c r="W30" s="74">
        <v>100</v>
      </c>
      <c r="X30" s="103">
        <v>152370</v>
      </c>
      <c r="Y30" s="101">
        <v>0</v>
      </c>
      <c r="Z30" s="103">
        <v>39701</v>
      </c>
      <c r="AA30" s="106">
        <f t="shared" si="62"/>
        <v>2</v>
      </c>
      <c r="AB30" s="103">
        <v>1115</v>
      </c>
      <c r="AC30" s="107">
        <f t="shared" si="59"/>
        <v>0</v>
      </c>
      <c r="AD30" s="103">
        <v>4605</v>
      </c>
      <c r="AE30" s="108">
        <f t="shared" si="54"/>
        <v>0</v>
      </c>
      <c r="AF30" s="19"/>
      <c r="AG30" s="19"/>
      <c r="AH30" s="103">
        <v>580240</v>
      </c>
      <c r="AI30" s="101">
        <f t="shared" si="9"/>
        <v>10</v>
      </c>
      <c r="AJ30" s="116">
        <v>467</v>
      </c>
      <c r="AK30" s="98">
        <f t="shared" si="10"/>
        <v>0</v>
      </c>
      <c r="AL30" s="103">
        <v>52253</v>
      </c>
      <c r="AM30" s="113">
        <f t="shared" si="75"/>
        <v>0</v>
      </c>
      <c r="AN30" s="103">
        <v>8915</v>
      </c>
      <c r="AO30" s="98">
        <f t="shared" si="63"/>
        <v>0</v>
      </c>
      <c r="AP30" s="103">
        <v>10571</v>
      </c>
      <c r="AQ30" s="101">
        <v>0</v>
      </c>
      <c r="AR30" s="103">
        <v>14555</v>
      </c>
      <c r="AS30" s="98">
        <f t="shared" si="65"/>
        <v>1</v>
      </c>
      <c r="AT30" s="103">
        <v>19369</v>
      </c>
      <c r="AU30" s="101">
        <f t="shared" si="66"/>
        <v>0</v>
      </c>
      <c r="AV30" s="103">
        <v>20677</v>
      </c>
      <c r="AW30" s="106">
        <f t="shared" si="13"/>
        <v>0</v>
      </c>
      <c r="AX30" s="103">
        <v>13871</v>
      </c>
      <c r="AY30" s="117">
        <v>0</v>
      </c>
      <c r="AZ30" s="103">
        <v>6222</v>
      </c>
      <c r="BA30" s="98">
        <f t="shared" si="15"/>
        <v>0</v>
      </c>
      <c r="BB30" s="103">
        <v>26485</v>
      </c>
      <c r="BC30" s="98">
        <f t="shared" si="16"/>
        <v>1</v>
      </c>
      <c r="BD30" s="103">
        <v>1115</v>
      </c>
      <c r="BE30" s="98">
        <f t="shared" si="17"/>
        <v>0</v>
      </c>
      <c r="BF30" s="103">
        <v>4377</v>
      </c>
      <c r="BG30" s="98">
        <f t="shared" si="18"/>
        <v>0</v>
      </c>
      <c r="BH30" s="103">
        <v>3636</v>
      </c>
      <c r="BI30" s="98">
        <f t="shared" si="51"/>
        <v>0</v>
      </c>
      <c r="BJ30" s="106">
        <f t="shared" si="19"/>
        <v>1</v>
      </c>
      <c r="BK30" s="106">
        <f t="shared" si="20"/>
        <v>9</v>
      </c>
      <c r="BL30" s="103">
        <v>601350</v>
      </c>
      <c r="BM30" s="106">
        <f t="shared" si="57"/>
        <v>20</v>
      </c>
      <c r="BN30" s="118">
        <v>715</v>
      </c>
      <c r="BO30" s="98">
        <f t="shared" si="22"/>
        <v>0</v>
      </c>
      <c r="BP30" s="103">
        <v>779100</v>
      </c>
      <c r="BQ30" s="106">
        <f t="shared" si="23"/>
        <v>0</v>
      </c>
      <c r="BR30" s="118">
        <v>7012</v>
      </c>
      <c r="BS30" s="106">
        <f t="shared" si="24"/>
        <v>2</v>
      </c>
      <c r="BT30" s="117">
        <f>BQ30-AI30</f>
        <v>-10</v>
      </c>
      <c r="BU30" s="106">
        <f t="shared" si="26"/>
        <v>20</v>
      </c>
      <c r="BV30" s="119">
        <f t="shared" si="27"/>
        <v>1</v>
      </c>
      <c r="BW30" s="103">
        <v>125</v>
      </c>
      <c r="BX30" s="120">
        <f t="shared" si="28"/>
        <v>15594.962224985846</v>
      </c>
      <c r="BY30" s="125"/>
      <c r="BZ30" s="122">
        <f t="shared" si="29"/>
        <v>0</v>
      </c>
      <c r="CA30" s="105">
        <v>206530.3</v>
      </c>
      <c r="CB30" s="106">
        <f t="shared" si="30"/>
        <v>0.29999999998835847</v>
      </c>
      <c r="CC30" s="117">
        <f t="shared" si="31"/>
        <v>1.7129999999335268</v>
      </c>
      <c r="CD30" s="99">
        <v>34</v>
      </c>
      <c r="CE30" s="126">
        <f t="shared" si="32"/>
        <v>3663.5</v>
      </c>
      <c r="CF30" s="99">
        <v>34</v>
      </c>
      <c r="CG30" s="127">
        <f t="shared" si="33"/>
        <v>3663.5</v>
      </c>
      <c r="CH30" s="99">
        <v>36</v>
      </c>
      <c r="CI30" s="128">
        <f t="shared" si="52"/>
        <v>3879</v>
      </c>
      <c r="CJ30" s="129">
        <f t="shared" si="34"/>
        <v>11206</v>
      </c>
      <c r="CK30" s="130">
        <f t="shared" si="35"/>
        <v>0</v>
      </c>
      <c r="CL30" s="103"/>
      <c r="CM30" s="103">
        <v>34538.1</v>
      </c>
      <c r="CN30" s="106">
        <f t="shared" si="36"/>
        <v>1</v>
      </c>
      <c r="CO30" s="117">
        <f t="shared" si="37"/>
        <v>2.44</v>
      </c>
      <c r="CP30" s="103">
        <v>34300</v>
      </c>
      <c r="CQ30" s="106">
        <f t="shared" si="38"/>
        <v>0</v>
      </c>
      <c r="CR30" s="117">
        <f t="shared" si="39"/>
        <v>0</v>
      </c>
      <c r="CS30" s="103">
        <v>10235.6</v>
      </c>
      <c r="CT30" s="106">
        <f t="shared" si="55"/>
        <v>0</v>
      </c>
      <c r="CU30" s="117">
        <f t="shared" si="40"/>
        <v>0</v>
      </c>
      <c r="CV30" s="103">
        <v>832157.8</v>
      </c>
      <c r="CW30" s="106">
        <f t="shared" si="41"/>
        <v>0</v>
      </c>
      <c r="CX30" s="117">
        <f t="shared" si="42"/>
        <v>0</v>
      </c>
      <c r="CY30" s="103">
        <v>5993.9</v>
      </c>
      <c r="CZ30" s="106">
        <f t="shared" si="43"/>
        <v>0.5</v>
      </c>
      <c r="DA30" s="117">
        <f t="shared" si="44"/>
        <v>1.1950000000000001</v>
      </c>
      <c r="DB30" s="103">
        <v>7420</v>
      </c>
      <c r="DC30" s="106">
        <f t="shared" si="67"/>
        <v>0</v>
      </c>
      <c r="DD30" s="106">
        <f t="shared" si="67"/>
        <v>0</v>
      </c>
      <c r="DE30" s="103">
        <v>3840</v>
      </c>
      <c r="DF30" s="106">
        <f t="shared" si="68"/>
        <v>0</v>
      </c>
      <c r="DG30" s="106">
        <f t="shared" si="68"/>
        <v>0</v>
      </c>
      <c r="DH30" s="103">
        <v>1855.9</v>
      </c>
      <c r="DI30" s="106">
        <f t="shared" si="69"/>
        <v>0</v>
      </c>
      <c r="DJ30" s="106">
        <f t="shared" si="69"/>
        <v>0</v>
      </c>
      <c r="DK30" s="103">
        <v>5081.7</v>
      </c>
      <c r="DL30" s="106">
        <f t="shared" si="70"/>
        <v>0</v>
      </c>
      <c r="DM30" s="106">
        <f t="shared" si="70"/>
        <v>0</v>
      </c>
      <c r="DN30" s="103">
        <v>4454.7</v>
      </c>
      <c r="DO30" s="106">
        <f t="shared" si="71"/>
        <v>0</v>
      </c>
      <c r="DP30" s="106">
        <f t="shared" si="71"/>
        <v>0</v>
      </c>
      <c r="DQ30" s="103">
        <v>5089.6000000000004</v>
      </c>
      <c r="DR30" s="106">
        <f t="shared" si="72"/>
        <v>0</v>
      </c>
      <c r="DS30" s="106">
        <f t="shared" si="72"/>
        <v>0</v>
      </c>
      <c r="DT30" s="103">
        <v>5049.1000000000004</v>
      </c>
      <c r="DU30" s="106">
        <f t="shared" si="47"/>
        <v>1.9000000000005457</v>
      </c>
      <c r="DV30" s="117">
        <f t="shared" si="48"/>
        <v>4.5410000000013042</v>
      </c>
      <c r="DW30" s="124">
        <v>12871</v>
      </c>
      <c r="DX30" s="117">
        <f t="shared" si="53"/>
        <v>0</v>
      </c>
      <c r="DY30" s="124">
        <v>62789</v>
      </c>
      <c r="DZ30" s="117">
        <f t="shared" si="73"/>
        <v>0</v>
      </c>
      <c r="EA30" s="135">
        <v>15588</v>
      </c>
      <c r="EB30" s="117">
        <f t="shared" si="74"/>
        <v>0</v>
      </c>
      <c r="EC30" s="135">
        <v>24679</v>
      </c>
      <c r="ED30" s="117">
        <f t="shared" si="50"/>
        <v>0</v>
      </c>
      <c r="EE30" s="135">
        <v>2</v>
      </c>
      <c r="EF30" s="136">
        <v>6</v>
      </c>
      <c r="EG30" s="134">
        <v>1.4999999999999999E-2</v>
      </c>
      <c r="EH30" s="58"/>
      <c r="EI30" s="58"/>
      <c r="EJ30" s="58"/>
      <c r="EK30"/>
      <c r="EL30"/>
      <c r="EM30"/>
    </row>
    <row r="31" spans="1:144" s="20" customFormat="1" ht="15">
      <c r="A31" s="96">
        <v>44314</v>
      </c>
      <c r="B31" s="103">
        <v>6845507</v>
      </c>
      <c r="C31" s="98">
        <f t="shared" si="0"/>
        <v>5234</v>
      </c>
      <c r="D31" s="103">
        <v>6077953</v>
      </c>
      <c r="E31" s="98">
        <f t="shared" si="1"/>
        <v>4925</v>
      </c>
      <c r="F31" s="22">
        <f t="shared" si="2"/>
        <v>0.9409629346580054</v>
      </c>
      <c r="G31" s="99">
        <v>432</v>
      </c>
      <c r="H31" s="99">
        <v>528</v>
      </c>
      <c r="I31" s="100">
        <v>288041</v>
      </c>
      <c r="J31" s="101">
        <f t="shared" si="3"/>
        <v>0</v>
      </c>
      <c r="K31" s="102">
        <v>775</v>
      </c>
      <c r="L31" s="98">
        <v>0</v>
      </c>
      <c r="M31" s="103">
        <v>633937</v>
      </c>
      <c r="N31" s="98">
        <v>0</v>
      </c>
      <c r="O31" s="103">
        <v>992</v>
      </c>
      <c r="P31" s="101">
        <f t="shared" si="6"/>
        <v>0</v>
      </c>
      <c r="Q31" s="103">
        <v>2548525</v>
      </c>
      <c r="R31" s="101">
        <f t="shared" si="60"/>
        <v>17</v>
      </c>
      <c r="S31" s="103">
        <v>2191835</v>
      </c>
      <c r="T31" s="101">
        <f t="shared" si="61"/>
        <v>0</v>
      </c>
      <c r="U31" s="103">
        <v>110556</v>
      </c>
      <c r="V31" s="101">
        <f t="shared" si="56"/>
        <v>39</v>
      </c>
      <c r="W31" s="74">
        <v>100</v>
      </c>
      <c r="X31" s="103">
        <v>152370</v>
      </c>
      <c r="Y31" s="101">
        <v>0</v>
      </c>
      <c r="Z31" s="103">
        <v>39705</v>
      </c>
      <c r="AA31" s="106">
        <f t="shared" si="62"/>
        <v>4</v>
      </c>
      <c r="AB31" s="103">
        <v>1115</v>
      </c>
      <c r="AC31" s="107">
        <f t="shared" si="59"/>
        <v>0</v>
      </c>
      <c r="AD31" s="103">
        <v>4605</v>
      </c>
      <c r="AE31" s="108">
        <f t="shared" si="54"/>
        <v>0</v>
      </c>
      <c r="AF31" s="19"/>
      <c r="AG31" s="19"/>
      <c r="AH31" s="103">
        <v>580240</v>
      </c>
      <c r="AI31" s="101">
        <f t="shared" si="9"/>
        <v>0</v>
      </c>
      <c r="AJ31" s="116">
        <v>467</v>
      </c>
      <c r="AK31" s="98">
        <f t="shared" si="10"/>
        <v>0</v>
      </c>
      <c r="AL31" s="103">
        <v>52254</v>
      </c>
      <c r="AM31" s="113">
        <f t="shared" si="75"/>
        <v>1</v>
      </c>
      <c r="AN31" s="103">
        <v>8915</v>
      </c>
      <c r="AO31" s="98">
        <f t="shared" si="63"/>
        <v>0</v>
      </c>
      <c r="AP31" s="103">
        <v>10571</v>
      </c>
      <c r="AQ31" s="101">
        <v>0</v>
      </c>
      <c r="AR31" s="103">
        <v>14555</v>
      </c>
      <c r="AS31" s="101">
        <v>0</v>
      </c>
      <c r="AT31" s="103">
        <v>19369</v>
      </c>
      <c r="AU31" s="101">
        <f t="shared" si="66"/>
        <v>0</v>
      </c>
      <c r="AV31" s="103">
        <v>20677</v>
      </c>
      <c r="AW31" s="106">
        <f t="shared" si="13"/>
        <v>0</v>
      </c>
      <c r="AX31" s="103">
        <v>13871</v>
      </c>
      <c r="AY31" s="117">
        <v>0</v>
      </c>
      <c r="AZ31" s="103">
        <v>6222</v>
      </c>
      <c r="BA31" s="98">
        <f t="shared" si="15"/>
        <v>0</v>
      </c>
      <c r="BB31" s="103">
        <v>26485</v>
      </c>
      <c r="BC31" s="98">
        <f t="shared" si="16"/>
        <v>0</v>
      </c>
      <c r="BD31" s="103">
        <v>1115</v>
      </c>
      <c r="BE31" s="98">
        <f t="shared" si="17"/>
        <v>0</v>
      </c>
      <c r="BF31" s="103">
        <v>4377</v>
      </c>
      <c r="BG31" s="98">
        <f t="shared" si="18"/>
        <v>0</v>
      </c>
      <c r="BH31" s="103">
        <v>3636</v>
      </c>
      <c r="BI31" s="98">
        <f t="shared" si="51"/>
        <v>0</v>
      </c>
      <c r="BJ31" s="106">
        <f t="shared" si="19"/>
        <v>0</v>
      </c>
      <c r="BK31" s="106">
        <f t="shared" si="20"/>
        <v>0</v>
      </c>
      <c r="BL31" s="103">
        <v>601360</v>
      </c>
      <c r="BM31" s="106">
        <f t="shared" si="57"/>
        <v>10</v>
      </c>
      <c r="BN31" s="118">
        <v>715</v>
      </c>
      <c r="BO31" s="98">
        <f t="shared" si="22"/>
        <v>0</v>
      </c>
      <c r="BP31" s="103">
        <v>779120</v>
      </c>
      <c r="BQ31" s="106">
        <f t="shared" si="23"/>
        <v>20</v>
      </c>
      <c r="BR31" s="118">
        <v>7016</v>
      </c>
      <c r="BS31" s="106">
        <f t="shared" si="24"/>
        <v>4</v>
      </c>
      <c r="BT31" s="117">
        <f t="shared" si="25"/>
        <v>20</v>
      </c>
      <c r="BU31" s="106">
        <f t="shared" si="26"/>
        <v>30</v>
      </c>
      <c r="BV31" s="119">
        <f t="shared" si="27"/>
        <v>1</v>
      </c>
      <c r="BW31" s="103">
        <v>125</v>
      </c>
      <c r="BX31" s="120">
        <f t="shared" si="28"/>
        <v>15594.962224985846</v>
      </c>
      <c r="BY31" s="125"/>
      <c r="BZ31" s="122">
        <f t="shared" si="29"/>
        <v>0</v>
      </c>
      <c r="CA31" s="103">
        <v>206530</v>
      </c>
      <c r="CB31" s="106" t="str">
        <f t="shared" si="30"/>
        <v>0</v>
      </c>
      <c r="CC31" s="117">
        <f t="shared" si="31"/>
        <v>0</v>
      </c>
      <c r="CD31" s="99">
        <v>34</v>
      </c>
      <c r="CE31" s="126">
        <f t="shared" si="32"/>
        <v>3663.5</v>
      </c>
      <c r="CF31" s="99">
        <v>33</v>
      </c>
      <c r="CG31" s="127">
        <f t="shared" si="33"/>
        <v>3555.75</v>
      </c>
      <c r="CH31" s="99">
        <v>36</v>
      </c>
      <c r="CI31" s="128">
        <f t="shared" si="52"/>
        <v>3879</v>
      </c>
      <c r="CJ31" s="129">
        <f t="shared" si="34"/>
        <v>11098.25</v>
      </c>
      <c r="CK31" s="130">
        <f t="shared" si="35"/>
        <v>107.75</v>
      </c>
      <c r="CL31" s="103"/>
      <c r="CM31" s="103">
        <v>34539.1</v>
      </c>
      <c r="CN31" s="106">
        <f t="shared" si="36"/>
        <v>1</v>
      </c>
      <c r="CO31" s="117">
        <f t="shared" si="37"/>
        <v>2.44</v>
      </c>
      <c r="CP31" s="103">
        <v>34300</v>
      </c>
      <c r="CQ31" s="106">
        <f t="shared" si="38"/>
        <v>0</v>
      </c>
      <c r="CR31" s="117">
        <f t="shared" si="39"/>
        <v>0</v>
      </c>
      <c r="CS31" s="103">
        <v>10235.6</v>
      </c>
      <c r="CT31" s="106">
        <f t="shared" si="55"/>
        <v>0</v>
      </c>
      <c r="CU31" s="117">
        <f t="shared" si="40"/>
        <v>0</v>
      </c>
      <c r="CV31" s="103">
        <v>832157.8</v>
      </c>
      <c r="CW31" s="106">
        <f t="shared" si="41"/>
        <v>0</v>
      </c>
      <c r="CX31" s="117">
        <f t="shared" si="42"/>
        <v>0</v>
      </c>
      <c r="CY31" s="103">
        <v>5994.7</v>
      </c>
      <c r="CZ31" s="106">
        <f t="shared" si="43"/>
        <v>0.8000000000001819</v>
      </c>
      <c r="DA31" s="117">
        <f t="shared" si="44"/>
        <v>1.9120000000004349</v>
      </c>
      <c r="DB31" s="103">
        <v>7420</v>
      </c>
      <c r="DC31" s="106">
        <f t="shared" si="67"/>
        <v>0</v>
      </c>
      <c r="DD31" s="106">
        <f t="shared" si="67"/>
        <v>0</v>
      </c>
      <c r="DE31" s="103">
        <v>3840</v>
      </c>
      <c r="DF31" s="106">
        <f t="shared" si="68"/>
        <v>0</v>
      </c>
      <c r="DG31" s="106">
        <f t="shared" si="68"/>
        <v>0</v>
      </c>
      <c r="DH31" s="103">
        <v>1855.9</v>
      </c>
      <c r="DI31" s="106">
        <f t="shared" si="69"/>
        <v>0</v>
      </c>
      <c r="DJ31" s="106">
        <f t="shared" si="69"/>
        <v>0</v>
      </c>
      <c r="DK31" s="103">
        <v>5081.7</v>
      </c>
      <c r="DL31" s="106">
        <f t="shared" si="70"/>
        <v>0</v>
      </c>
      <c r="DM31" s="106">
        <f t="shared" si="70"/>
        <v>0</v>
      </c>
      <c r="DN31" s="103">
        <v>4454.7</v>
      </c>
      <c r="DO31" s="106">
        <f t="shared" si="71"/>
        <v>0</v>
      </c>
      <c r="DP31" s="106">
        <f t="shared" si="71"/>
        <v>0</v>
      </c>
      <c r="DQ31" s="103">
        <v>5089.6000000000004</v>
      </c>
      <c r="DR31" s="106">
        <f t="shared" si="72"/>
        <v>0</v>
      </c>
      <c r="DS31" s="106">
        <f t="shared" si="72"/>
        <v>0</v>
      </c>
      <c r="DT31" s="103">
        <v>5053.2</v>
      </c>
      <c r="DU31" s="106">
        <f t="shared" si="47"/>
        <v>4.0999999999994543</v>
      </c>
      <c r="DV31" s="117">
        <f t="shared" si="48"/>
        <v>9.7989999999986956</v>
      </c>
      <c r="DW31" s="124">
        <v>12871</v>
      </c>
      <c r="DX31" s="117">
        <f t="shared" si="53"/>
        <v>0</v>
      </c>
      <c r="DY31" s="124">
        <v>62789</v>
      </c>
      <c r="DZ31" s="117">
        <f t="shared" si="73"/>
        <v>0</v>
      </c>
      <c r="EA31" s="135">
        <v>15588</v>
      </c>
      <c r="EB31" s="117">
        <f t="shared" si="74"/>
        <v>0</v>
      </c>
      <c r="EC31" s="135">
        <v>24679</v>
      </c>
      <c r="ED31" s="117">
        <f t="shared" si="50"/>
        <v>0</v>
      </c>
      <c r="EE31" s="135">
        <v>2</v>
      </c>
      <c r="EF31" s="136">
        <v>6</v>
      </c>
      <c r="EG31" s="134">
        <v>1.4999999999999999E-2</v>
      </c>
      <c r="EH31" s="58"/>
      <c r="EI31" s="58"/>
      <c r="EJ31" s="58"/>
      <c r="EK31"/>
      <c r="EL31"/>
      <c r="EM31"/>
    </row>
    <row r="32" spans="1:144" s="20" customFormat="1" ht="15">
      <c r="A32" s="96">
        <v>44315</v>
      </c>
      <c r="B32" s="103">
        <v>6850137</v>
      </c>
      <c r="C32" s="98">
        <f t="shared" si="0"/>
        <v>4630</v>
      </c>
      <c r="D32" s="103">
        <v>6082307</v>
      </c>
      <c r="E32" s="98">
        <f t="shared" si="1"/>
        <v>4354</v>
      </c>
      <c r="F32" s="22">
        <f t="shared" si="2"/>
        <v>0.9403887688984881</v>
      </c>
      <c r="G32" s="99">
        <v>432</v>
      </c>
      <c r="H32" s="99">
        <v>528</v>
      </c>
      <c r="I32" s="100">
        <v>288041</v>
      </c>
      <c r="J32" s="101">
        <f t="shared" si="3"/>
        <v>0</v>
      </c>
      <c r="K32" s="102">
        <v>775</v>
      </c>
      <c r="L32" s="98">
        <v>0</v>
      </c>
      <c r="M32" s="103">
        <v>633937</v>
      </c>
      <c r="N32" s="98">
        <v>0</v>
      </c>
      <c r="O32" s="103">
        <v>992</v>
      </c>
      <c r="P32" s="101">
        <f t="shared" si="6"/>
        <v>0</v>
      </c>
      <c r="Q32" s="103">
        <v>2548583</v>
      </c>
      <c r="R32" s="101">
        <f>IF((Q32-Q31)&lt;0,"0",(Q32-Q31))</f>
        <v>58</v>
      </c>
      <c r="S32" s="103">
        <v>2191835</v>
      </c>
      <c r="T32" s="101">
        <f t="shared" si="56"/>
        <v>0</v>
      </c>
      <c r="U32" s="103">
        <v>110594</v>
      </c>
      <c r="V32" s="101">
        <f t="shared" si="56"/>
        <v>38</v>
      </c>
      <c r="W32" s="74">
        <v>100</v>
      </c>
      <c r="X32" s="103">
        <v>152370</v>
      </c>
      <c r="Y32" s="101">
        <v>0</v>
      </c>
      <c r="Z32" s="103">
        <v>39709</v>
      </c>
      <c r="AA32" s="106">
        <f t="shared" si="62"/>
        <v>4</v>
      </c>
      <c r="AB32" s="103">
        <v>1115</v>
      </c>
      <c r="AC32" s="107">
        <f t="shared" si="59"/>
        <v>0</v>
      </c>
      <c r="AD32" s="103">
        <v>4605</v>
      </c>
      <c r="AE32" s="101">
        <f t="shared" ref="AE32" si="76">IF((AD32-AD31)&lt;0,"0",(AD32-AD31))</f>
        <v>0</v>
      </c>
      <c r="AF32" s="19"/>
      <c r="AG32" s="19"/>
      <c r="AH32" s="103">
        <v>580240</v>
      </c>
      <c r="AI32" s="101">
        <f t="shared" si="9"/>
        <v>0</v>
      </c>
      <c r="AJ32" s="116">
        <v>467</v>
      </c>
      <c r="AK32" s="101">
        <f t="shared" ref="AK32:AO33" si="77">IF((AJ32-AJ31)&lt;0,"0",(AJ32-AJ31))</f>
        <v>0</v>
      </c>
      <c r="AL32" s="103">
        <v>52254</v>
      </c>
      <c r="AM32" s="101">
        <f t="shared" si="77"/>
        <v>0</v>
      </c>
      <c r="AN32" s="103">
        <v>8915</v>
      </c>
      <c r="AO32" s="101">
        <f t="shared" si="77"/>
        <v>0</v>
      </c>
      <c r="AP32" s="103">
        <v>10571</v>
      </c>
      <c r="AQ32" s="101">
        <v>0</v>
      </c>
      <c r="AR32" s="103">
        <v>14555</v>
      </c>
      <c r="AS32" s="101">
        <v>0</v>
      </c>
      <c r="AT32" s="103">
        <v>19369</v>
      </c>
      <c r="AU32" s="101">
        <f t="shared" si="66"/>
        <v>0</v>
      </c>
      <c r="AV32" s="103">
        <v>20677</v>
      </c>
      <c r="AW32" s="106">
        <f t="shared" si="13"/>
        <v>0</v>
      </c>
      <c r="AX32" s="103">
        <v>13871</v>
      </c>
      <c r="AY32" s="117">
        <v>0</v>
      </c>
      <c r="AZ32" s="103">
        <v>6222</v>
      </c>
      <c r="BA32" s="101"/>
      <c r="BB32" s="103">
        <v>26485</v>
      </c>
      <c r="BC32" s="101">
        <f t="shared" ref="BC32" si="78">IF((BB32-BB31)&lt;0,"0",(BB32-BB31))</f>
        <v>0</v>
      </c>
      <c r="BD32" s="103">
        <v>1115</v>
      </c>
      <c r="BE32" s="101">
        <f t="shared" ref="BE32" si="79">IF((BD32-BD31)&lt;0,"0",(BD32-BD31))</f>
        <v>0</v>
      </c>
      <c r="BF32" s="103">
        <v>4377</v>
      </c>
      <c r="BG32" s="101">
        <f t="shared" ref="BG32" si="80">IF((BF32-BF31)&lt;0,"0",(BF32-BF31))</f>
        <v>0</v>
      </c>
      <c r="BH32" s="103">
        <v>3636</v>
      </c>
      <c r="BI32" s="101">
        <f t="shared" ref="BI32" si="81">IF((BH32-BH31)&lt;0,"0",(BH32-BH31))</f>
        <v>0</v>
      </c>
      <c r="BJ32" s="106">
        <f t="shared" si="19"/>
        <v>0</v>
      </c>
      <c r="BK32" s="106">
        <f t="shared" si="20"/>
        <v>0</v>
      </c>
      <c r="BL32" s="103">
        <v>601390</v>
      </c>
      <c r="BM32" s="106">
        <f t="shared" si="57"/>
        <v>30</v>
      </c>
      <c r="BN32" s="118">
        <v>716</v>
      </c>
      <c r="BO32" s="117">
        <v>0</v>
      </c>
      <c r="BP32" s="103">
        <v>779130</v>
      </c>
      <c r="BQ32" s="106">
        <f t="shared" si="23"/>
        <v>10</v>
      </c>
      <c r="BR32" s="118">
        <v>7022</v>
      </c>
      <c r="BS32" s="106">
        <f t="shared" si="24"/>
        <v>6</v>
      </c>
      <c r="BT32" s="117">
        <f t="shared" si="25"/>
        <v>10</v>
      </c>
      <c r="BU32" s="106">
        <f t="shared" si="26"/>
        <v>40</v>
      </c>
      <c r="BV32" s="119">
        <f t="shared" si="27"/>
        <v>0</v>
      </c>
      <c r="BW32" s="103">
        <v>125</v>
      </c>
      <c r="BX32" s="120">
        <f t="shared" si="28"/>
        <v>15594.962224985846</v>
      </c>
      <c r="BY32" s="125"/>
      <c r="BZ32" s="122">
        <f t="shared" si="29"/>
        <v>0</v>
      </c>
      <c r="CA32" s="99">
        <v>206531.9</v>
      </c>
      <c r="CB32" s="106">
        <f t="shared" si="30"/>
        <v>1.8999999999941792</v>
      </c>
      <c r="CC32" s="117">
        <f t="shared" si="31"/>
        <v>10.848999999966763</v>
      </c>
      <c r="CD32" s="99">
        <v>34</v>
      </c>
      <c r="CE32" s="126">
        <f t="shared" si="32"/>
        <v>3663.5</v>
      </c>
      <c r="CF32" s="99">
        <v>33</v>
      </c>
      <c r="CG32" s="127">
        <f t="shared" si="33"/>
        <v>3555.75</v>
      </c>
      <c r="CH32" s="99">
        <v>35</v>
      </c>
      <c r="CI32" s="128">
        <f t="shared" si="52"/>
        <v>3771.25</v>
      </c>
      <c r="CJ32" s="129">
        <f t="shared" si="34"/>
        <v>10990.5</v>
      </c>
      <c r="CK32" s="130">
        <f t="shared" si="35"/>
        <v>107.75</v>
      </c>
      <c r="CL32" s="103"/>
      <c r="CM32" s="103">
        <v>34540.699999999997</v>
      </c>
      <c r="CN32" s="106">
        <f t="shared" si="36"/>
        <v>1.5999999999985448</v>
      </c>
      <c r="CO32" s="117">
        <f t="shared" si="37"/>
        <v>3.9039999999964494</v>
      </c>
      <c r="CP32" s="103">
        <v>34300</v>
      </c>
      <c r="CQ32" s="106">
        <f t="shared" si="38"/>
        <v>0</v>
      </c>
      <c r="CR32" s="117">
        <f t="shared" si="39"/>
        <v>0</v>
      </c>
      <c r="CS32" s="103">
        <v>10235.6</v>
      </c>
      <c r="CT32" s="106">
        <f t="shared" si="55"/>
        <v>0</v>
      </c>
      <c r="CU32" s="117">
        <f t="shared" si="40"/>
        <v>0</v>
      </c>
      <c r="CV32" s="103">
        <v>832157.8</v>
      </c>
      <c r="CW32" s="106">
        <f t="shared" si="41"/>
        <v>0</v>
      </c>
      <c r="CX32" s="117">
        <f t="shared" si="42"/>
        <v>0</v>
      </c>
      <c r="CY32" s="103">
        <v>5996.1</v>
      </c>
      <c r="CZ32" s="106">
        <f t="shared" si="43"/>
        <v>1.4000000000005457</v>
      </c>
      <c r="DA32" s="117">
        <f t="shared" si="44"/>
        <v>3.3460000000013044</v>
      </c>
      <c r="DB32" s="103">
        <v>7420</v>
      </c>
      <c r="DC32" s="106">
        <f t="shared" si="67"/>
        <v>0</v>
      </c>
      <c r="DD32" s="106">
        <f t="shared" si="67"/>
        <v>0</v>
      </c>
      <c r="DE32" s="103">
        <v>3840</v>
      </c>
      <c r="DF32" s="106">
        <f t="shared" si="68"/>
        <v>0</v>
      </c>
      <c r="DG32" s="106">
        <f t="shared" si="68"/>
        <v>0</v>
      </c>
      <c r="DH32" s="103">
        <v>1855.9</v>
      </c>
      <c r="DI32" s="106">
        <f t="shared" si="69"/>
        <v>0</v>
      </c>
      <c r="DJ32" s="106">
        <f t="shared" si="69"/>
        <v>0</v>
      </c>
      <c r="DK32" s="103">
        <v>5081.7</v>
      </c>
      <c r="DL32" s="106">
        <f t="shared" si="70"/>
        <v>0</v>
      </c>
      <c r="DM32" s="106">
        <f t="shared" si="70"/>
        <v>0</v>
      </c>
      <c r="DN32" s="103">
        <v>4454.7</v>
      </c>
      <c r="DO32" s="106">
        <f t="shared" si="71"/>
        <v>0</v>
      </c>
      <c r="DP32" s="106">
        <f t="shared" si="71"/>
        <v>0</v>
      </c>
      <c r="DQ32" s="103">
        <v>5089.6000000000004</v>
      </c>
      <c r="DR32" s="106">
        <f t="shared" si="72"/>
        <v>0</v>
      </c>
      <c r="DS32" s="106">
        <f t="shared" si="72"/>
        <v>0</v>
      </c>
      <c r="DT32" s="103">
        <v>5060.2</v>
      </c>
      <c r="DU32" s="106">
        <f t="shared" si="47"/>
        <v>7</v>
      </c>
      <c r="DV32" s="117">
        <f t="shared" si="48"/>
        <v>16.73</v>
      </c>
      <c r="DW32" s="124">
        <v>12871</v>
      </c>
      <c r="DX32" s="117">
        <f t="shared" si="53"/>
        <v>0</v>
      </c>
      <c r="DY32" s="124">
        <v>62789</v>
      </c>
      <c r="DZ32" s="117">
        <f t="shared" si="73"/>
        <v>0</v>
      </c>
      <c r="EA32" s="135">
        <v>15588</v>
      </c>
      <c r="EB32" s="117">
        <f t="shared" si="74"/>
        <v>0</v>
      </c>
      <c r="EC32" s="135">
        <v>24679</v>
      </c>
      <c r="ED32" s="117">
        <f t="shared" si="50"/>
        <v>0</v>
      </c>
      <c r="EE32" s="135">
        <v>2</v>
      </c>
      <c r="EF32" s="136">
        <v>6</v>
      </c>
      <c r="EG32" s="134">
        <v>1.4999999999999999E-2</v>
      </c>
      <c r="EH32" s="58"/>
      <c r="EI32" s="58"/>
      <c r="EJ32" s="58"/>
      <c r="EK32"/>
      <c r="EL32"/>
      <c r="EM32"/>
    </row>
    <row r="33" spans="1:143" s="20" customFormat="1" ht="15">
      <c r="A33" s="96">
        <v>44316</v>
      </c>
      <c r="B33" s="103">
        <v>6855976</v>
      </c>
      <c r="C33" s="98">
        <f t="shared" si="0"/>
        <v>5839</v>
      </c>
      <c r="D33" s="103">
        <v>6087904</v>
      </c>
      <c r="E33" s="98">
        <f t="shared" si="1"/>
        <v>5597</v>
      </c>
      <c r="F33" s="22">
        <f t="shared" si="2"/>
        <v>0.95855454701147458</v>
      </c>
      <c r="G33" s="99">
        <v>432</v>
      </c>
      <c r="H33" s="99">
        <v>528</v>
      </c>
      <c r="I33" s="100">
        <v>288041</v>
      </c>
      <c r="J33" s="101">
        <f t="shared" si="3"/>
        <v>0</v>
      </c>
      <c r="K33" s="102">
        <v>775</v>
      </c>
      <c r="L33" s="98">
        <v>0</v>
      </c>
      <c r="M33" s="103">
        <v>633937</v>
      </c>
      <c r="N33" s="98">
        <v>0</v>
      </c>
      <c r="O33" s="103">
        <v>992</v>
      </c>
      <c r="P33" s="101">
        <f t="shared" si="6"/>
        <v>0</v>
      </c>
      <c r="Q33" s="103">
        <v>2548630</v>
      </c>
      <c r="R33" s="101">
        <f t="shared" si="60"/>
        <v>47</v>
      </c>
      <c r="S33" s="103">
        <v>2191835</v>
      </c>
      <c r="T33" s="101">
        <f t="shared" si="61"/>
        <v>0</v>
      </c>
      <c r="U33" s="103">
        <v>110633</v>
      </c>
      <c r="V33" s="101">
        <f t="shared" si="56"/>
        <v>39</v>
      </c>
      <c r="W33" s="74">
        <v>100</v>
      </c>
      <c r="X33" s="103">
        <v>152370</v>
      </c>
      <c r="Y33" s="101">
        <v>0</v>
      </c>
      <c r="Z33" s="103">
        <v>39711</v>
      </c>
      <c r="AA33" s="106">
        <f t="shared" si="62"/>
        <v>2</v>
      </c>
      <c r="AB33" s="103">
        <v>1116</v>
      </c>
      <c r="AC33" s="107">
        <f t="shared" si="59"/>
        <v>1</v>
      </c>
      <c r="AD33" s="103">
        <v>4605</v>
      </c>
      <c r="AE33" s="108">
        <f t="shared" si="54"/>
        <v>0</v>
      </c>
      <c r="AF33" s="19"/>
      <c r="AG33" s="19"/>
      <c r="AH33" s="103">
        <v>580240</v>
      </c>
      <c r="AI33" s="101">
        <f t="shared" si="9"/>
        <v>0</v>
      </c>
      <c r="AJ33" s="116">
        <v>467</v>
      </c>
      <c r="AK33" s="98">
        <f t="shared" si="10"/>
        <v>0</v>
      </c>
      <c r="AL33" s="103">
        <v>52255</v>
      </c>
      <c r="AM33" s="113">
        <f t="shared" si="75"/>
        <v>1</v>
      </c>
      <c r="AN33" s="103">
        <v>8916</v>
      </c>
      <c r="AO33" s="98">
        <f t="shared" si="63"/>
        <v>1</v>
      </c>
      <c r="AP33" s="103">
        <v>10571</v>
      </c>
      <c r="AQ33" s="101">
        <v>0</v>
      </c>
      <c r="AR33" s="103">
        <v>14555</v>
      </c>
      <c r="AS33" s="101">
        <v>0</v>
      </c>
      <c r="AT33" s="103">
        <v>19369</v>
      </c>
      <c r="AU33" s="101">
        <v>0</v>
      </c>
      <c r="AV33" s="103">
        <v>20677</v>
      </c>
      <c r="AW33" s="106">
        <f t="shared" si="13"/>
        <v>0</v>
      </c>
      <c r="AX33" s="103">
        <v>13871</v>
      </c>
      <c r="AY33" s="106">
        <v>0</v>
      </c>
      <c r="AZ33" s="103">
        <v>6222</v>
      </c>
      <c r="BA33" s="98">
        <f t="shared" si="15"/>
        <v>0</v>
      </c>
      <c r="BB33" s="103">
        <v>26485</v>
      </c>
      <c r="BC33" s="98">
        <f t="shared" si="16"/>
        <v>0</v>
      </c>
      <c r="BD33" s="103">
        <v>1115</v>
      </c>
      <c r="BE33" s="98">
        <f t="shared" si="17"/>
        <v>0</v>
      </c>
      <c r="BF33" s="103">
        <v>4377</v>
      </c>
      <c r="BG33" s="98">
        <f t="shared" si="18"/>
        <v>0</v>
      </c>
      <c r="BH33" s="103">
        <v>3636</v>
      </c>
      <c r="BI33" s="98">
        <f t="shared" si="51"/>
        <v>0</v>
      </c>
      <c r="BJ33" s="106">
        <f t="shared" si="19"/>
        <v>0</v>
      </c>
      <c r="BK33" s="106">
        <f t="shared" si="20"/>
        <v>0</v>
      </c>
      <c r="BL33" s="103">
        <v>601400</v>
      </c>
      <c r="BM33" s="106">
        <f t="shared" si="57"/>
        <v>10</v>
      </c>
      <c r="BN33" s="118">
        <v>716</v>
      </c>
      <c r="BO33" s="117">
        <v>0</v>
      </c>
      <c r="BP33" s="103">
        <v>779130</v>
      </c>
      <c r="BQ33" s="106">
        <f t="shared" si="23"/>
        <v>0</v>
      </c>
      <c r="BR33" s="118">
        <v>7024</v>
      </c>
      <c r="BS33" s="106">
        <f t="shared" si="24"/>
        <v>2</v>
      </c>
      <c r="BT33" s="117">
        <f t="shared" si="25"/>
        <v>0</v>
      </c>
      <c r="BU33" s="106">
        <f t="shared" si="26"/>
        <v>10</v>
      </c>
      <c r="BV33" s="119">
        <f t="shared" si="27"/>
        <v>2</v>
      </c>
      <c r="BW33" s="103">
        <v>125</v>
      </c>
      <c r="BX33" s="120">
        <f t="shared" si="28"/>
        <v>15594.962224985846</v>
      </c>
      <c r="BY33" s="125"/>
      <c r="BZ33" s="122">
        <f t="shared" si="29"/>
        <v>0</v>
      </c>
      <c r="CA33" s="99">
        <v>206532.6</v>
      </c>
      <c r="CB33" s="106">
        <f t="shared" si="30"/>
        <v>0.70000000001164153</v>
      </c>
      <c r="CC33" s="117">
        <f t="shared" si="31"/>
        <v>3.9970000000664729</v>
      </c>
      <c r="CD33" s="99">
        <v>34</v>
      </c>
      <c r="CE33" s="126">
        <f t="shared" si="32"/>
        <v>3663.5</v>
      </c>
      <c r="CF33" s="99">
        <v>33</v>
      </c>
      <c r="CG33" s="127">
        <f t="shared" si="33"/>
        <v>3555.75</v>
      </c>
      <c r="CH33" s="99">
        <v>35</v>
      </c>
      <c r="CI33" s="128">
        <f t="shared" si="52"/>
        <v>3771.25</v>
      </c>
      <c r="CJ33" s="129">
        <f t="shared" si="34"/>
        <v>10990.5</v>
      </c>
      <c r="CK33" s="130">
        <f t="shared" si="35"/>
        <v>0</v>
      </c>
      <c r="CL33" s="103"/>
      <c r="CM33" s="103">
        <v>34541.9</v>
      </c>
      <c r="CN33" s="106">
        <f t="shared" si="36"/>
        <v>1.2000000000043656</v>
      </c>
      <c r="CO33" s="117">
        <f t="shared" si="37"/>
        <v>2.9280000000106519</v>
      </c>
      <c r="CP33" s="103">
        <v>34300</v>
      </c>
      <c r="CQ33" s="106">
        <f t="shared" si="38"/>
        <v>0</v>
      </c>
      <c r="CR33" s="117">
        <f t="shared" si="39"/>
        <v>0</v>
      </c>
      <c r="CS33" s="103">
        <v>10235.6</v>
      </c>
      <c r="CT33" s="106">
        <f t="shared" si="55"/>
        <v>0</v>
      </c>
      <c r="CU33" s="117">
        <f t="shared" si="40"/>
        <v>0</v>
      </c>
      <c r="CV33" s="103">
        <v>832157.8</v>
      </c>
      <c r="CW33" s="106">
        <f t="shared" si="41"/>
        <v>0</v>
      </c>
      <c r="CX33" s="117">
        <f t="shared" si="42"/>
        <v>0</v>
      </c>
      <c r="CY33" s="103">
        <v>5996.7</v>
      </c>
      <c r="CZ33" s="106">
        <f t="shared" si="43"/>
        <v>0.5999999999994543</v>
      </c>
      <c r="DA33" s="117">
        <f t="shared" si="44"/>
        <v>1.4339999999986959</v>
      </c>
      <c r="DB33" s="103">
        <v>7420</v>
      </c>
      <c r="DC33" s="106">
        <f t="shared" si="67"/>
        <v>0</v>
      </c>
      <c r="DD33" s="106">
        <f t="shared" si="67"/>
        <v>0</v>
      </c>
      <c r="DE33" s="103">
        <v>3840</v>
      </c>
      <c r="DF33" s="106">
        <f>IF((DE33-DE32)&lt;0,"0",(DE33-DE32))</f>
        <v>0</v>
      </c>
      <c r="DG33" s="106">
        <f>IF((DF33-DF32)&lt;0,"0",(DF33-DF32))</f>
        <v>0</v>
      </c>
      <c r="DH33" s="103">
        <v>1855.9</v>
      </c>
      <c r="DI33" s="106">
        <f>IF((DH33-DH32)&lt;0,"0",(DH33-DH32))</f>
        <v>0</v>
      </c>
      <c r="DJ33" s="106">
        <f>IF((DI33-DI32)&lt;0,"0",(DI33-DI32))</f>
        <v>0</v>
      </c>
      <c r="DK33" s="103">
        <v>5081.7</v>
      </c>
      <c r="DL33" s="106">
        <f>IF((DK33-DK32)&lt;0,"0",(DK33-DK32))</f>
        <v>0</v>
      </c>
      <c r="DM33" s="106">
        <f>IF((DL33-DL32)&lt;0,"0",(DL33-DL32))</f>
        <v>0</v>
      </c>
      <c r="DN33" s="103">
        <v>4454.7</v>
      </c>
      <c r="DO33" s="106">
        <f>IF((DN33-DN32)&lt;0,"0",(DN33-DN32))</f>
        <v>0</v>
      </c>
      <c r="DP33" s="106">
        <f>IF((DO33-DO32)&lt;0,"0",(DO33-DO32))</f>
        <v>0</v>
      </c>
      <c r="DQ33" s="103">
        <v>5089.6000000000004</v>
      </c>
      <c r="DR33" s="106">
        <f>IF((DQ33-DQ32)&lt;0,"0",(DQ33-DQ32))</f>
        <v>0</v>
      </c>
      <c r="DS33" s="106">
        <f>IF((DR33-DR32)&lt;0,"0",(DR33-DR32))</f>
        <v>0</v>
      </c>
      <c r="DT33" s="103">
        <v>5062.3999999999996</v>
      </c>
      <c r="DU33" s="106">
        <f t="shared" si="47"/>
        <v>2.1999999999998181</v>
      </c>
      <c r="DV33" s="117">
        <f t="shared" si="48"/>
        <v>5.2579999999995657</v>
      </c>
      <c r="DW33" s="124">
        <v>12871</v>
      </c>
      <c r="DX33" s="117">
        <f t="shared" si="53"/>
        <v>0</v>
      </c>
      <c r="DY33" s="124">
        <v>62789</v>
      </c>
      <c r="DZ33" s="117">
        <f t="shared" si="73"/>
        <v>0</v>
      </c>
      <c r="EA33" s="135">
        <v>15588</v>
      </c>
      <c r="EB33" s="117">
        <f t="shared" si="74"/>
        <v>0</v>
      </c>
      <c r="EC33" s="135">
        <v>24679</v>
      </c>
      <c r="ED33" s="117">
        <f t="shared" si="50"/>
        <v>0</v>
      </c>
      <c r="EE33" s="135">
        <v>2</v>
      </c>
      <c r="EF33" s="136">
        <v>6</v>
      </c>
      <c r="EG33" s="134">
        <v>1.4999999999999999E-2</v>
      </c>
      <c r="EH33" s="58"/>
      <c r="EI33" s="58"/>
      <c r="EJ33" s="58"/>
      <c r="EK33"/>
      <c r="EL33"/>
      <c r="EM33"/>
    </row>
    <row r="34" spans="1:143" s="20" customFormat="1" ht="15">
      <c r="A34" s="58"/>
      <c r="B34" s="59"/>
      <c r="C34" s="60"/>
      <c r="D34" s="59"/>
      <c r="E34" s="60"/>
      <c r="F34" s="61"/>
      <c r="G34" s="72"/>
      <c r="H34" s="79"/>
      <c r="I34" s="72"/>
      <c r="J34" s="62"/>
      <c r="K34" s="59"/>
      <c r="L34" s="60"/>
      <c r="M34" s="59"/>
      <c r="N34" s="60"/>
      <c r="O34" s="63"/>
      <c r="P34" s="62"/>
      <c r="Q34" s="59"/>
      <c r="R34" s="62"/>
      <c r="S34" s="59"/>
      <c r="T34" s="62"/>
      <c r="U34" s="59"/>
      <c r="V34" s="62"/>
      <c r="W34" s="74"/>
      <c r="X34" s="63"/>
      <c r="Y34" s="62"/>
      <c r="Z34" s="63"/>
      <c r="AA34" s="66"/>
      <c r="AB34" s="63"/>
      <c r="AC34" s="80"/>
      <c r="AD34" s="63"/>
      <c r="AE34" s="67"/>
      <c r="AF34" s="59"/>
      <c r="AG34" s="62"/>
      <c r="AH34" s="59"/>
      <c r="AI34" s="62"/>
      <c r="AJ34" s="68"/>
      <c r="AK34" s="60"/>
      <c r="AL34" s="59"/>
      <c r="AM34" s="65"/>
      <c r="AN34" s="59"/>
      <c r="AO34" s="60"/>
      <c r="AP34" s="59"/>
      <c r="AQ34" s="62"/>
      <c r="AR34" s="59"/>
      <c r="AS34" s="62"/>
      <c r="AT34" s="59"/>
      <c r="AU34" s="65"/>
      <c r="AV34" s="59"/>
      <c r="AW34" s="66"/>
      <c r="AX34" s="59"/>
      <c r="AY34" s="66"/>
      <c r="AZ34" s="59"/>
      <c r="BA34" s="67"/>
      <c r="BB34" s="59"/>
      <c r="BC34" s="60"/>
      <c r="BD34" s="59"/>
      <c r="BE34" s="67"/>
      <c r="BF34" s="59"/>
      <c r="BG34" s="67"/>
      <c r="BH34" s="59"/>
      <c r="BI34" s="60"/>
      <c r="BJ34" s="66"/>
      <c r="BK34" s="66"/>
      <c r="BL34" s="63"/>
      <c r="BM34" s="66"/>
      <c r="BN34" s="73"/>
      <c r="BO34" s="69"/>
      <c r="BP34" s="63"/>
      <c r="BQ34" s="66"/>
      <c r="BR34" s="73"/>
      <c r="BS34" s="66"/>
      <c r="BT34" s="69"/>
      <c r="BU34" s="66"/>
      <c r="BV34" s="70"/>
      <c r="BW34" s="59"/>
      <c r="BX34" s="71"/>
      <c r="BY34" s="59"/>
      <c r="BZ34" s="81"/>
      <c r="CA34" s="72"/>
      <c r="CB34" s="66"/>
      <c r="CC34" s="117">
        <f t="shared" si="31"/>
        <v>0</v>
      </c>
      <c r="CD34" s="123"/>
      <c r="CE34" s="126">
        <f t="shared" si="32"/>
        <v>0</v>
      </c>
      <c r="CF34" s="123"/>
      <c r="CG34" s="127">
        <f t="shared" si="33"/>
        <v>0</v>
      </c>
      <c r="CH34" s="123"/>
      <c r="CI34" s="128">
        <f t="shared" si="52"/>
        <v>0</v>
      </c>
      <c r="CJ34" s="129">
        <f t="shared" si="34"/>
        <v>0</v>
      </c>
      <c r="CK34" s="130" t="str">
        <f t="shared" si="35"/>
        <v>0</v>
      </c>
      <c r="CL34" s="131"/>
      <c r="CM34" s="97"/>
      <c r="CN34" s="106" t="str">
        <f t="shared" si="36"/>
        <v>0</v>
      </c>
      <c r="CO34" s="117">
        <f t="shared" si="37"/>
        <v>0</v>
      </c>
      <c r="CP34" s="97"/>
      <c r="CQ34" s="106">
        <v>0</v>
      </c>
      <c r="CR34" s="117">
        <v>0</v>
      </c>
      <c r="CS34" s="103"/>
      <c r="CT34" s="106" t="str">
        <f t="shared" si="55"/>
        <v>0</v>
      </c>
      <c r="CU34" s="117">
        <f t="shared" si="40"/>
        <v>0</v>
      </c>
      <c r="CV34" s="103"/>
      <c r="CW34" s="106" t="str">
        <f t="shared" si="41"/>
        <v>0</v>
      </c>
      <c r="CX34" s="117">
        <f t="shared" si="42"/>
        <v>0</v>
      </c>
      <c r="CY34" s="97"/>
      <c r="CZ34" s="106" t="str">
        <f t="shared" si="43"/>
        <v>0</v>
      </c>
      <c r="DA34" s="117">
        <f t="shared" si="44"/>
        <v>0</v>
      </c>
      <c r="DB34" s="97"/>
      <c r="DC34" s="106">
        <v>0</v>
      </c>
      <c r="DD34" s="106">
        <v>0</v>
      </c>
      <c r="DE34" s="103"/>
      <c r="DF34" s="106">
        <v>0</v>
      </c>
      <c r="DG34" s="106">
        <v>0</v>
      </c>
      <c r="DH34" s="97"/>
      <c r="DI34" s="106">
        <v>0</v>
      </c>
      <c r="DJ34" s="106">
        <v>0</v>
      </c>
      <c r="DK34" s="97"/>
      <c r="DL34" s="106">
        <v>0</v>
      </c>
      <c r="DM34" s="106">
        <v>0</v>
      </c>
      <c r="DN34" s="97"/>
      <c r="DO34" s="106">
        <v>0</v>
      </c>
      <c r="DP34" s="106">
        <v>0</v>
      </c>
      <c r="DQ34" s="97"/>
      <c r="DR34" s="106">
        <v>0</v>
      </c>
      <c r="DS34" s="106">
        <v>0</v>
      </c>
      <c r="DT34" s="97"/>
      <c r="DU34" s="106" t="str">
        <f t="shared" si="47"/>
        <v>0</v>
      </c>
      <c r="DV34" s="117">
        <f t="shared" si="48"/>
        <v>0</v>
      </c>
      <c r="DW34" s="121"/>
      <c r="DX34" s="117">
        <f t="shared" si="53"/>
        <v>-12871</v>
      </c>
      <c r="DY34" s="121"/>
      <c r="DZ34" s="133">
        <v>0</v>
      </c>
      <c r="EA34" s="97"/>
      <c r="EB34" s="133">
        <v>0</v>
      </c>
      <c r="EC34" s="97"/>
      <c r="ED34" s="133">
        <v>0</v>
      </c>
      <c r="EE34" s="97"/>
      <c r="EF34" s="97"/>
      <c r="EG34" s="134"/>
      <c r="EH34" s="58"/>
      <c r="EI34" s="58"/>
      <c r="EJ34" s="58"/>
      <c r="EK34"/>
      <c r="EL34"/>
      <c r="EM34"/>
    </row>
    <row r="35" spans="1:143" ht="15">
      <c r="A35" s="64"/>
      <c r="B35" s="64"/>
      <c r="C35" s="75">
        <f>SUM(C4:C34)</f>
        <v>193138</v>
      </c>
      <c r="D35" s="64"/>
      <c r="E35" s="75">
        <f>SUM(E4:E34)</f>
        <v>184450</v>
      </c>
      <c r="F35" s="64"/>
      <c r="G35" s="64"/>
      <c r="H35" s="75">
        <v>363.06666669999998</v>
      </c>
      <c r="I35" s="64"/>
      <c r="J35" s="64"/>
      <c r="K35" s="64"/>
      <c r="L35" s="64"/>
      <c r="M35" s="64"/>
      <c r="N35" s="64"/>
      <c r="O35" s="64"/>
      <c r="P35" s="64"/>
      <c r="Q35" s="64"/>
      <c r="R35" s="75">
        <f>SUM(R4:R34)</f>
        <v>872</v>
      </c>
      <c r="S35" s="64"/>
      <c r="T35" s="75">
        <f>SUM(T4:T34)</f>
        <v>191</v>
      </c>
      <c r="U35" s="64"/>
      <c r="V35" s="75">
        <f>SUM(V4:V34)</f>
        <v>1358</v>
      </c>
      <c r="W35" s="64"/>
      <c r="X35" s="64"/>
      <c r="Y35" s="75">
        <f>SUM(Y4:Y34)</f>
        <v>0</v>
      </c>
      <c r="AA35" s="64"/>
      <c r="AB35" s="64"/>
      <c r="AC35" s="75">
        <f>SUM(AC4:AC34)</f>
        <v>3</v>
      </c>
      <c r="AE35" s="64"/>
      <c r="AF35" s="64"/>
      <c r="AG35" s="64"/>
      <c r="AH35" s="64"/>
      <c r="AI35" s="75">
        <f>SUM(AI4:AI34)</f>
        <v>110</v>
      </c>
      <c r="AK35" s="75">
        <f t="shared" ref="AK35" si="82">SUM(AK4:AK34)</f>
        <v>0</v>
      </c>
      <c r="AM35" s="75">
        <f t="shared" ref="AM35" si="83">SUM(AM4:AM34)</f>
        <v>27</v>
      </c>
      <c r="AO35" s="75">
        <f t="shared" ref="AO35" si="84">SUM(AO4:AO34)</f>
        <v>3</v>
      </c>
      <c r="AQ35" s="75">
        <f t="shared" ref="AQ35" si="85">SUM(AQ4:AQ34)</f>
        <v>0</v>
      </c>
      <c r="AS35" s="75">
        <f t="shared" ref="AS35" si="86">SUM(AS4:AS34)</f>
        <v>2</v>
      </c>
      <c r="AU35" s="75">
        <f t="shared" ref="AU35" si="87">SUM(AU4:AU34)</f>
        <v>0</v>
      </c>
      <c r="AW35" s="75">
        <f t="shared" ref="AW35" si="88">SUM(AW4:AW34)</f>
        <v>0</v>
      </c>
      <c r="AY35" s="75">
        <f t="shared" ref="AY35" si="89">SUM(AY4:AY34)</f>
        <v>0</v>
      </c>
      <c r="BA35" s="75">
        <f t="shared" ref="BA35" si="90">SUM(BA4:BA34)</f>
        <v>4</v>
      </c>
      <c r="BC35" s="75">
        <f t="shared" ref="BC35" si="91">SUM(BC4:BC34)</f>
        <v>16</v>
      </c>
      <c r="BE35" s="75">
        <f t="shared" ref="BE35" si="92">SUM(BE4:BE34)</f>
        <v>0</v>
      </c>
      <c r="BG35" s="75">
        <f t="shared" ref="BG35" si="93">SUM(BG4:BG34)</f>
        <v>14</v>
      </c>
      <c r="BI35" s="75">
        <f t="shared" ref="BI35" si="94">SUM(BI4:BI34)</f>
        <v>0</v>
      </c>
      <c r="BJ35" s="75">
        <v>934</v>
      </c>
      <c r="BK35" s="64"/>
      <c r="BL35" s="64"/>
      <c r="BM35" s="75">
        <f t="shared" ref="BM35" si="95">SUM(BM4:BM34)</f>
        <v>560</v>
      </c>
      <c r="BN35" s="64"/>
      <c r="BO35" s="75">
        <f t="shared" ref="BO35" si="96">SUM(BO4:BO34)</f>
        <v>6</v>
      </c>
      <c r="BP35" s="64"/>
      <c r="BQ35" s="75">
        <f t="shared" ref="BQ35" si="97">SUM(BQ4:BQ34)</f>
        <v>550</v>
      </c>
      <c r="BS35" s="75">
        <f t="shared" ref="BS35" si="98">SUM(BS4:BS34)</f>
        <v>401</v>
      </c>
      <c r="BT35" s="75">
        <f t="shared" ref="BT35" si="99">SUM(BT4:BT34)</f>
        <v>440</v>
      </c>
      <c r="BU35" s="75">
        <f t="shared" ref="BU35" si="100">SUM(BU4:BU34)</f>
        <v>1110</v>
      </c>
      <c r="BV35" s="75">
        <f t="shared" ref="BV35" si="101">SUM(BV4:BV34)</f>
        <v>36</v>
      </c>
      <c r="BW35" s="14"/>
      <c r="BX35" s="64"/>
      <c r="BY35" s="64"/>
      <c r="BZ35" s="75">
        <f t="shared" ref="BZ35" si="102">SUM(BZ4:BZ34)</f>
        <v>0</v>
      </c>
      <c r="CB35" s="75">
        <f t="shared" ref="CB35:CC35" si="103">SUM(CB4:CB34)</f>
        <v>67.899999999994179</v>
      </c>
      <c r="CC35" s="75">
        <f t="shared" si="103"/>
        <v>387.70899999996669</v>
      </c>
      <c r="CK35" s="75">
        <f t="shared" ref="CK35" si="104">SUM(CK4:CK34)</f>
        <v>1616.25</v>
      </c>
      <c r="CL35" s="64"/>
      <c r="CN35" s="75">
        <f t="shared" ref="CN35:CO35" si="105">SUM(CN4:CN34)</f>
        <v>37.099999999998545</v>
      </c>
      <c r="CO35" s="75">
        <f t="shared" si="105"/>
        <v>90.523999999996448</v>
      </c>
      <c r="CQ35" s="75">
        <f t="shared" ref="CQ35" si="106">SUM(CQ4:CQ34)</f>
        <v>0</v>
      </c>
      <c r="CR35" s="75">
        <f t="shared" ref="CR35" si="107">SUM(CR4:CR34)</f>
        <v>0</v>
      </c>
      <c r="CT35" s="75">
        <f t="shared" ref="CT35" si="108">SUM(CT4:CT34)</f>
        <v>0</v>
      </c>
      <c r="CU35" s="75">
        <f t="shared" ref="CU35" si="109">SUM(CU4:CU34)</f>
        <v>0</v>
      </c>
      <c r="CW35" s="75">
        <f t="shared" ref="CW35" si="110">SUM(CW4:CW34)</f>
        <v>12.800000000046566</v>
      </c>
      <c r="CX35" s="75">
        <f t="shared" ref="CX35" si="111">SUM(CX4:CX34)</f>
        <v>31.232000000113622</v>
      </c>
      <c r="CZ35" s="75">
        <f t="shared" ref="CZ35" si="112">SUM(CZ4:CZ34)</f>
        <v>26.699999999999818</v>
      </c>
      <c r="DA35" s="75">
        <f t="shared" ref="DA35" si="113">SUM(DA4:DA34)</f>
        <v>63.812999999999555</v>
      </c>
      <c r="DC35" s="75">
        <f t="shared" ref="DC35" si="114">SUM(DC4:DC34)</f>
        <v>0</v>
      </c>
      <c r="DD35" s="75">
        <f t="shared" ref="DD35" si="115">SUM(DD4:DD34)</f>
        <v>0</v>
      </c>
      <c r="DF35" s="75">
        <f t="shared" ref="DF35" si="116">SUM(DF4:DF34)</f>
        <v>0</v>
      </c>
      <c r="DG35" s="75">
        <f t="shared" ref="DG35" si="117">SUM(DG4:DG34)</f>
        <v>40</v>
      </c>
      <c r="DI35" s="75">
        <f t="shared" ref="DI35" si="118">SUM(DI4:DI34)</f>
        <v>0</v>
      </c>
      <c r="DJ35" s="75">
        <f t="shared" ref="DJ35" si="119">SUM(DJ4:DJ34)</f>
        <v>0</v>
      </c>
      <c r="DL35" s="75">
        <f t="shared" ref="DL35" si="120">SUM(DL4:DL34)</f>
        <v>0</v>
      </c>
      <c r="DM35" s="75">
        <f t="shared" ref="DM35" si="121">SUM(DM4:DM34)</f>
        <v>0</v>
      </c>
      <c r="DO35" s="75">
        <f t="shared" ref="DO35" si="122">SUM(DO4:DO34)</f>
        <v>0</v>
      </c>
      <c r="DP35" s="75">
        <f t="shared" ref="DP35" si="123">SUM(DP4:DP34)</f>
        <v>0</v>
      </c>
      <c r="DR35" s="75">
        <f t="shared" ref="DR35" si="124">SUM(DR4:DR34)</f>
        <v>0</v>
      </c>
      <c r="DS35" s="75">
        <f t="shared" ref="DS35" si="125">SUM(DS4:DS34)</f>
        <v>0</v>
      </c>
      <c r="DU35" s="75">
        <f t="shared" ref="DU35" si="126">SUM(DU4:DU34)</f>
        <v>122.59999999999945</v>
      </c>
      <c r="DV35" s="75">
        <f t="shared" ref="DV35:DX35" si="127">SUM(DV4:DV34)</f>
        <v>293.0139999999987</v>
      </c>
      <c r="DW35" s="14"/>
      <c r="DX35" s="75">
        <f t="shared" si="127"/>
        <v>-12871</v>
      </c>
      <c r="DY35" s="14"/>
      <c r="DZ35" s="75">
        <f t="shared" ref="DZ35" si="128">SUM(DZ4:DZ34)</f>
        <v>0</v>
      </c>
      <c r="EA35" s="14"/>
      <c r="EB35" s="75">
        <f t="shared" ref="EB35" si="129">SUM(EB4:EB34)</f>
        <v>0</v>
      </c>
      <c r="EC35" s="14"/>
      <c r="ED35" s="75">
        <f t="shared" ref="ED35" si="130">SUM(ED4:ED34)</f>
        <v>0</v>
      </c>
      <c r="EE35" s="75">
        <f t="shared" ref="EE35" si="131">SUM(EE4:EE34)</f>
        <v>65</v>
      </c>
      <c r="EF35" s="75">
        <f t="shared" ref="EF35" si="132">SUM(EF4:EF34)</f>
        <v>185</v>
      </c>
      <c r="EG35" s="58"/>
      <c r="EH35" s="58"/>
      <c r="EI35" s="58"/>
      <c r="EJ35" s="58"/>
      <c r="EK35"/>
      <c r="EL35"/>
      <c r="EM35"/>
    </row>
    <row r="36" spans="1:143" ht="15">
      <c r="S36" s="14"/>
      <c r="T36" s="13"/>
      <c r="BW36" s="14"/>
      <c r="BX36" s="14"/>
      <c r="BY36" s="14"/>
      <c r="BZ36" s="14"/>
      <c r="DW36" s="14"/>
      <c r="DX36" s="14"/>
      <c r="DY36" s="14"/>
      <c r="DZ36" s="14"/>
      <c r="EK36"/>
      <c r="EL36"/>
      <c r="EM36"/>
    </row>
    <row r="37" spans="1:143">
      <c r="A37" s="21"/>
      <c r="D37" s="8"/>
    </row>
    <row r="38" spans="1:143">
      <c r="A38" s="21"/>
      <c r="D38" s="8"/>
    </row>
    <row r="39" spans="1:143">
      <c r="A39" s="21"/>
      <c r="D39" s="8"/>
    </row>
    <row r="40" spans="1:143">
      <c r="A40" s="21"/>
      <c r="D40" s="8"/>
    </row>
    <row r="41" spans="1:143">
      <c r="A41" s="21"/>
      <c r="D41" s="8"/>
    </row>
    <row r="42" spans="1:143">
      <c r="A42" s="21"/>
      <c r="D42" s="8"/>
    </row>
    <row r="43" spans="1:143">
      <c r="A43" s="21"/>
      <c r="D43" s="8"/>
    </row>
    <row r="44" spans="1:143">
      <c r="A44" s="21"/>
      <c r="D44" s="8"/>
    </row>
    <row r="45" spans="1:143" ht="39.75" customHeight="1">
      <c r="A45" s="21"/>
      <c r="D45" s="8"/>
    </row>
    <row r="46" spans="1:143">
      <c r="A46" s="21"/>
      <c r="D46" s="8"/>
    </row>
    <row r="47" spans="1:143">
      <c r="A47" s="21"/>
      <c r="D47" s="8"/>
    </row>
    <row r="48" spans="1:143">
      <c r="A48" s="21"/>
      <c r="D48" s="8"/>
    </row>
    <row r="49" spans="1:4">
      <c r="A49" s="21"/>
      <c r="D49" s="8"/>
    </row>
    <row r="50" spans="1:4">
      <c r="A50" s="21"/>
      <c r="D50" s="8"/>
    </row>
    <row r="51" spans="1:4">
      <c r="A51" s="21"/>
      <c r="D51" s="8"/>
    </row>
    <row r="52" spans="1:4">
      <c r="A52" s="21"/>
    </row>
    <row r="53" spans="1:4">
      <c r="A53" s="21"/>
    </row>
    <row r="54" spans="1:4">
      <c r="A54" s="21"/>
    </row>
    <row r="55" spans="1:4">
      <c r="A55" s="21"/>
    </row>
  </sheetData>
  <sheetProtection selectLockedCells="1" selectUnlockedCells="1"/>
  <mergeCells count="29">
    <mergeCell ref="DB1:DD1"/>
    <mergeCell ref="BL1:BM1"/>
    <mergeCell ref="BP1:BQ1"/>
    <mergeCell ref="AN1:AO1"/>
    <mergeCell ref="AP1:AQ1"/>
    <mergeCell ref="AR1:AS1"/>
    <mergeCell ref="AT1:AU1"/>
    <mergeCell ref="AZ1:BA1"/>
    <mergeCell ref="AV1:AW1"/>
    <mergeCell ref="AX1:AY1"/>
    <mergeCell ref="BN1:BO1"/>
    <mergeCell ref="BR1:BS1"/>
    <mergeCell ref="B1:H1"/>
    <mergeCell ref="I1:L1"/>
    <mergeCell ref="M1:P1"/>
    <mergeCell ref="CV1:CX1"/>
    <mergeCell ref="CY1:DA1"/>
    <mergeCell ref="U1:V1"/>
    <mergeCell ref="AB1:AC1"/>
    <mergeCell ref="AH1:AI1"/>
    <mergeCell ref="AL1:AM1"/>
    <mergeCell ref="AJ1:AK1"/>
    <mergeCell ref="DT1:DV1"/>
    <mergeCell ref="EH1:EJ1"/>
    <mergeCell ref="DE1:DG1"/>
    <mergeCell ref="DH1:DJ1"/>
    <mergeCell ref="DK1:DM1"/>
    <mergeCell ref="DN1:DP1"/>
    <mergeCell ref="DQ1:DS1"/>
  </mergeCells>
  <conditionalFormatting sqref="A36:H36 BP36:BQ36 K36:L36 AL36:BM36 BT36 A46:JK65515 P1:Y1 A2:Y2 O36:AI36 A45:ED45 EH37:JK45 A37:EC44 ED36:EG44 EN35:JK36 AD35 BW35 CA35 BW36:EC36 CD35:CJ35 CM35 CP35 CS35 CV35 CY35 DB35 DE35 DH35 DK35 DN35 DQ35 DT35 DW35 DY35 EA35 EC35">
    <cfRule type="cellIs" dxfId="465" priority="7064" operator="lessThan">
      <formula>0</formula>
    </cfRule>
  </conditionalFormatting>
  <conditionalFormatting sqref="I36:J36">
    <cfRule type="cellIs" dxfId="464" priority="3297" operator="lessThan">
      <formula>0</formula>
    </cfRule>
  </conditionalFormatting>
  <conditionalFormatting sqref="M36:N36">
    <cfRule type="cellIs" dxfId="463" priority="3290" operator="lessThan">
      <formula>0</formula>
    </cfRule>
  </conditionalFormatting>
  <conditionalFormatting sqref="AJ36:AK36 AJ35 AL35 AN35 AP35 AR35 AT35 AV35 AX35 AZ35 BB35 BD35 BF35 BH35">
    <cfRule type="cellIs" dxfId="462" priority="3283" operator="lessThan">
      <formula>0</formula>
    </cfRule>
  </conditionalFormatting>
  <conditionalFormatting sqref="BN36:BO36">
    <cfRule type="cellIs" dxfId="461" priority="3273" operator="lessThan">
      <formula>0</formula>
    </cfRule>
  </conditionalFormatting>
  <conditionalFormatting sqref="BR36:BS36 BR35">
    <cfRule type="cellIs" dxfId="460" priority="3264" operator="lessThan">
      <formula>0</formula>
    </cfRule>
  </conditionalFormatting>
  <conditionalFormatting sqref="BU36:BV36">
    <cfRule type="cellIs" dxfId="459" priority="3253" operator="lessThan">
      <formula>0</formula>
    </cfRule>
  </conditionalFormatting>
  <conditionalFormatting sqref="EH36:EJ36">
    <cfRule type="cellIs" dxfId="458" priority="3242" operator="lessThan">
      <formula>0</formula>
    </cfRule>
  </conditionalFormatting>
  <conditionalFormatting sqref="A1:H1 L1 AL1:BN1 BP1:BQ1 AB1:AJ1 BT1:XFD1">
    <cfRule type="cellIs" dxfId="457" priority="3182" operator="lessThan">
      <formula>0</formula>
    </cfRule>
  </conditionalFormatting>
  <conditionalFormatting sqref="BR1">
    <cfRule type="cellIs" dxfId="456" priority="3181" operator="lessThan">
      <formula>0</formula>
    </cfRule>
  </conditionalFormatting>
  <conditionalFormatting sqref="Z1:AA1">
    <cfRule type="cellIs" dxfId="455" priority="3180" operator="lessThan">
      <formula>0</formula>
    </cfRule>
  </conditionalFormatting>
  <conditionalFormatting sqref="AB2:XFD2 EK4:EM17 EK18:EN18 EK19:EM19 EK35:EM36">
    <cfRule type="cellIs" dxfId="454" priority="3176" operator="lessThan">
      <formula>0</formula>
    </cfRule>
  </conditionalFormatting>
  <conditionalFormatting sqref="Z2:AA2">
    <cfRule type="cellIs" dxfId="453" priority="3119" operator="lessThan">
      <formula>0</formula>
    </cfRule>
  </conditionalFormatting>
  <conditionalFormatting sqref="EN4:XFD17 EN19:XFD19 EO18:XFD18">
    <cfRule type="cellIs" dxfId="452" priority="2123" operator="lessThan">
      <formula>0</formula>
    </cfRule>
  </conditionalFormatting>
  <conditionalFormatting sqref="EK20:EM32">
    <cfRule type="cellIs" dxfId="451" priority="780" operator="lessThan">
      <formula>0</formula>
    </cfRule>
  </conditionalFormatting>
  <conditionalFormatting sqref="EN20:XFD32">
    <cfRule type="cellIs" dxfId="450" priority="779" operator="lessThan">
      <formula>0</formula>
    </cfRule>
  </conditionalFormatting>
  <conditionalFormatting sqref="EK33:EM34">
    <cfRule type="cellIs" dxfId="449" priority="700" operator="lessThan">
      <formula>0</formula>
    </cfRule>
  </conditionalFormatting>
  <conditionalFormatting sqref="EN33:XFD34">
    <cfRule type="cellIs" dxfId="448" priority="699" operator="lessThan">
      <formula>0</formula>
    </cfRule>
  </conditionalFormatting>
  <conditionalFormatting sqref="EK3:EM3">
    <cfRule type="cellIs" dxfId="447" priority="568" operator="lessThan">
      <formula>0</formula>
    </cfRule>
  </conditionalFormatting>
  <conditionalFormatting sqref="EN3:XFD3">
    <cfRule type="cellIs" dxfId="446" priority="567" operator="lessThan">
      <formula>0</formula>
    </cfRule>
  </conditionalFormatting>
  <conditionalFormatting sqref="S29:S30 G29:H29 G27:H27 U5:U17 Q22 S20:S23 U19:U33 S32 G7:H22 G6 B5:B16 D5:D16 B19:B33 D19:D33 R4:R31 R33 O8:O11">
    <cfRule type="cellIs" dxfId="445" priority="566" operator="lessThan">
      <formula>0</formula>
    </cfRule>
  </conditionalFormatting>
  <conditionalFormatting sqref="B17:B18">
    <cfRule type="cellIs" dxfId="444" priority="565" operator="lessThan">
      <formula>0</formula>
    </cfRule>
  </conditionalFormatting>
  <conditionalFormatting sqref="D17:D18">
    <cfRule type="cellIs" dxfId="443" priority="564" operator="lessThan">
      <formula>0</formula>
    </cfRule>
  </conditionalFormatting>
  <conditionalFormatting sqref="U18">
    <cfRule type="cellIs" dxfId="442" priority="563" operator="lessThan">
      <formula>0</formula>
    </cfRule>
  </conditionalFormatting>
  <conditionalFormatting sqref="I15:I19">
    <cfRule type="cellIs" dxfId="441" priority="562" operator="lessThan">
      <formula>0</formula>
    </cfRule>
  </conditionalFormatting>
  <conditionalFormatting sqref="S15:S19">
    <cfRule type="cellIs" dxfId="440" priority="561" operator="lessThan">
      <formula>0</formula>
    </cfRule>
  </conditionalFormatting>
  <conditionalFormatting sqref="G23:H23 Q23">
    <cfRule type="cellIs" dxfId="439" priority="560" operator="lessThan">
      <formula>0</formula>
    </cfRule>
  </conditionalFormatting>
  <conditionalFormatting sqref="S24">
    <cfRule type="cellIs" dxfId="438" priority="559" operator="lessThan">
      <formula>0</formula>
    </cfRule>
  </conditionalFormatting>
  <conditionalFormatting sqref="G24:H24 Q24">
    <cfRule type="cellIs" dxfId="437" priority="558" operator="lessThan">
      <formula>0</formula>
    </cfRule>
  </conditionalFormatting>
  <conditionalFormatting sqref="S25">
    <cfRule type="cellIs" dxfId="436" priority="557" operator="lessThan">
      <formula>0</formula>
    </cfRule>
  </conditionalFormatting>
  <conditionalFormatting sqref="G25:H25 Q25">
    <cfRule type="cellIs" dxfId="435" priority="556" operator="lessThan">
      <formula>0</formula>
    </cfRule>
  </conditionalFormatting>
  <conditionalFormatting sqref="S26:S27">
    <cfRule type="cellIs" dxfId="434" priority="555" operator="lessThan">
      <formula>0</formula>
    </cfRule>
  </conditionalFormatting>
  <conditionalFormatting sqref="G26:H26 Q26:Q28">
    <cfRule type="cellIs" dxfId="433" priority="554" operator="lessThan">
      <formula>0</formula>
    </cfRule>
  </conditionalFormatting>
  <conditionalFormatting sqref="G28:H28">
    <cfRule type="cellIs" dxfId="432" priority="553" operator="lessThan">
      <formula>0</formula>
    </cfRule>
  </conditionalFormatting>
  <conditionalFormatting sqref="Q29">
    <cfRule type="cellIs" dxfId="431" priority="552" operator="lessThan">
      <formula>0</formula>
    </cfRule>
  </conditionalFormatting>
  <conditionalFormatting sqref="G30:H30">
    <cfRule type="cellIs" dxfId="430" priority="551" operator="lessThan">
      <formula>0</formula>
    </cfRule>
  </conditionalFormatting>
  <conditionalFormatting sqref="G31:H32">
    <cfRule type="cellIs" dxfId="429" priority="550" operator="lessThan">
      <formula>0</formula>
    </cfRule>
  </conditionalFormatting>
  <conditionalFormatting sqref="Q31:Q32">
    <cfRule type="cellIs" dxfId="428" priority="549" operator="lessThan">
      <formula>0</formula>
    </cfRule>
  </conditionalFormatting>
  <conditionalFormatting sqref="G33:H33">
    <cfRule type="cellIs" dxfId="427" priority="548" operator="lessThan">
      <formula>0</formula>
    </cfRule>
  </conditionalFormatting>
  <conditionalFormatting sqref="S4:S14">
    <cfRule type="cellIs" dxfId="426" priority="547" operator="lessThan">
      <formula>0</formula>
    </cfRule>
  </conditionalFormatting>
  <conditionalFormatting sqref="K15:K19">
    <cfRule type="cellIs" dxfId="425" priority="546" operator="lessThan">
      <formula>0</formula>
    </cfRule>
  </conditionalFormatting>
  <conditionalFormatting sqref="O15:O19">
    <cfRule type="cellIs" dxfId="424" priority="545" operator="lessThan">
      <formula>0</formula>
    </cfRule>
  </conditionalFormatting>
  <conditionalFormatting sqref="Q5:Q19">
    <cfRule type="cellIs" dxfId="423" priority="544" operator="lessThan">
      <formula>0</formula>
    </cfRule>
  </conditionalFormatting>
  <conditionalFormatting sqref="S28">
    <cfRule type="cellIs" dxfId="422" priority="543" operator="lessThan">
      <formula>0</formula>
    </cfRule>
  </conditionalFormatting>
  <conditionalFormatting sqref="S33">
    <cfRule type="cellIs" dxfId="421" priority="542" operator="lessThan">
      <formula>0</formula>
    </cfRule>
  </conditionalFormatting>
  <conditionalFormatting sqref="Q20">
    <cfRule type="cellIs" dxfId="420" priority="541" operator="lessThan">
      <formula>0</formula>
    </cfRule>
  </conditionalFormatting>
  <conditionalFormatting sqref="Q30">
    <cfRule type="cellIs" dxfId="419" priority="540" operator="lessThan">
      <formula>0</formula>
    </cfRule>
  </conditionalFormatting>
  <conditionalFormatting sqref="I26:I27">
    <cfRule type="cellIs" dxfId="418" priority="539" operator="lessThan">
      <formula>0</formula>
    </cfRule>
  </conditionalFormatting>
  <conditionalFormatting sqref="K26">
    <cfRule type="cellIs" dxfId="417" priority="538" operator="lessThan">
      <formula>0</formula>
    </cfRule>
  </conditionalFormatting>
  <conditionalFormatting sqref="O26">
    <cfRule type="cellIs" dxfId="416" priority="537" operator="lessThan">
      <formula>0</formula>
    </cfRule>
  </conditionalFormatting>
  <conditionalFormatting sqref="M26:M27">
    <cfRule type="cellIs" dxfId="415" priority="536" operator="lessThan">
      <formula>0</formula>
    </cfRule>
  </conditionalFormatting>
  <conditionalFormatting sqref="O28">
    <cfRule type="cellIs" dxfId="414" priority="535" operator="lessThan">
      <formula>0</formula>
    </cfRule>
  </conditionalFormatting>
  <conditionalFormatting sqref="L7:L33">
    <cfRule type="cellIs" dxfId="413" priority="534" operator="lessThan">
      <formula>0</formula>
    </cfRule>
  </conditionalFormatting>
  <conditionalFormatting sqref="N7:N33">
    <cfRule type="cellIs" dxfId="412" priority="533" operator="lessThan">
      <formula>0</formula>
    </cfRule>
  </conditionalFormatting>
  <conditionalFormatting sqref="R4:R31 R33">
    <cfRule type="cellIs" dxfId="411" priority="532" operator="lessThan">
      <formula>0</formula>
    </cfRule>
  </conditionalFormatting>
  <conditionalFormatting sqref="O12">
    <cfRule type="cellIs" dxfId="410" priority="531" operator="lessThan">
      <formula>0</formula>
    </cfRule>
  </conditionalFormatting>
  <conditionalFormatting sqref="S31">
    <cfRule type="cellIs" dxfId="409" priority="530" operator="lessThan">
      <formula>0</formula>
    </cfRule>
  </conditionalFormatting>
  <conditionalFormatting sqref="I8:I10">
    <cfRule type="cellIs" dxfId="408" priority="529" operator="lessThan">
      <formula>0</formula>
    </cfRule>
  </conditionalFormatting>
  <conditionalFormatting sqref="M8:M10">
    <cfRule type="cellIs" dxfId="407" priority="528" operator="lessThan">
      <formula>0</formula>
    </cfRule>
  </conditionalFormatting>
  <conditionalFormatting sqref="D4">
    <cfRule type="cellIs" dxfId="406" priority="526" operator="lessThan">
      <formula>0</formula>
    </cfRule>
  </conditionalFormatting>
  <conditionalFormatting sqref="Q4">
    <cfRule type="cellIs" dxfId="405" priority="525" operator="lessThan">
      <formula>0</formula>
    </cfRule>
  </conditionalFormatting>
  <conditionalFormatting sqref="B4 U4">
    <cfRule type="cellIs" dxfId="404" priority="527" operator="lessThan">
      <formula>0</formula>
    </cfRule>
  </conditionalFormatting>
  <conditionalFormatting sqref="K5">
    <cfRule type="cellIs" dxfId="403" priority="524" operator="lessThan">
      <formula>0</formula>
    </cfRule>
  </conditionalFormatting>
  <conditionalFormatting sqref="M5">
    <cfRule type="cellIs" dxfId="402" priority="523" operator="lessThan">
      <formula>0</formula>
    </cfRule>
  </conditionalFormatting>
  <conditionalFormatting sqref="O5">
    <cfRule type="cellIs" dxfId="401" priority="522" operator="lessThan">
      <formula>0</formula>
    </cfRule>
  </conditionalFormatting>
  <conditionalFormatting sqref="H6:I6">
    <cfRule type="cellIs" dxfId="400" priority="521" operator="lessThan">
      <formula>0</formula>
    </cfRule>
  </conditionalFormatting>
  <conditionalFormatting sqref="K6">
    <cfRule type="cellIs" dxfId="399" priority="520" operator="lessThan">
      <formula>0</formula>
    </cfRule>
  </conditionalFormatting>
  <conditionalFormatting sqref="M6">
    <cfRule type="cellIs" dxfId="398" priority="519" operator="lessThan">
      <formula>0</formula>
    </cfRule>
  </conditionalFormatting>
  <conditionalFormatting sqref="O6">
    <cfRule type="cellIs" dxfId="397" priority="518" operator="lessThan">
      <formula>0</formula>
    </cfRule>
  </conditionalFormatting>
  <conditionalFormatting sqref="I7">
    <cfRule type="cellIs" dxfId="396" priority="517" operator="lessThan">
      <formula>0</formula>
    </cfRule>
  </conditionalFormatting>
  <conditionalFormatting sqref="K7:K10">
    <cfRule type="cellIs" dxfId="395" priority="516" operator="lessThan">
      <formula>0</formula>
    </cfRule>
  </conditionalFormatting>
  <conditionalFormatting sqref="M7">
    <cfRule type="cellIs" dxfId="394" priority="515" operator="lessThan">
      <formula>0</formula>
    </cfRule>
  </conditionalFormatting>
  <conditionalFormatting sqref="O7">
    <cfRule type="cellIs" dxfId="393" priority="514" operator="lessThan">
      <formula>0</formula>
    </cfRule>
  </conditionalFormatting>
  <conditionalFormatting sqref="M15">
    <cfRule type="cellIs" dxfId="392" priority="513" operator="lessThan">
      <formula>0</formula>
    </cfRule>
  </conditionalFormatting>
  <conditionalFormatting sqref="Q33">
    <cfRule type="cellIs" dxfId="391" priority="512" operator="lessThan">
      <formula>0</formula>
    </cfRule>
  </conditionalFormatting>
  <conditionalFormatting sqref="V11:V33">
    <cfRule type="cellIs" dxfId="390" priority="497" operator="lessThan">
      <formula>0</formula>
    </cfRule>
  </conditionalFormatting>
  <conditionalFormatting sqref="I32">
    <cfRule type="cellIs" dxfId="389" priority="511" operator="lessThan">
      <formula>0</formula>
    </cfRule>
  </conditionalFormatting>
  <conditionalFormatting sqref="K32">
    <cfRule type="cellIs" dxfId="388" priority="510" operator="lessThan">
      <formula>0</formula>
    </cfRule>
  </conditionalFormatting>
  <conditionalFormatting sqref="M32">
    <cfRule type="cellIs" dxfId="387" priority="509" operator="lessThan">
      <formula>0</formula>
    </cfRule>
  </conditionalFormatting>
  <conditionalFormatting sqref="O32">
    <cfRule type="cellIs" dxfId="386" priority="508" operator="lessThan">
      <formula>0</formula>
    </cfRule>
  </conditionalFormatting>
  <conditionalFormatting sqref="I33">
    <cfRule type="cellIs" dxfId="385" priority="507" operator="lessThan">
      <formula>0</formula>
    </cfRule>
  </conditionalFormatting>
  <conditionalFormatting sqref="K33">
    <cfRule type="cellIs" dxfId="384" priority="506" operator="lessThan">
      <formula>0</formula>
    </cfRule>
  </conditionalFormatting>
  <conditionalFormatting sqref="M33">
    <cfRule type="cellIs" dxfId="383" priority="505" operator="lessThan">
      <formula>0</formula>
    </cfRule>
  </conditionalFormatting>
  <conditionalFormatting sqref="O33">
    <cfRule type="cellIs" dxfId="382" priority="504" operator="lessThan">
      <formula>0</formula>
    </cfRule>
  </conditionalFormatting>
  <conditionalFormatting sqref="E4:E33 C4:C33">
    <cfRule type="cellIs" dxfId="381" priority="503" operator="lessThan">
      <formula>0</formula>
    </cfRule>
  </conditionalFormatting>
  <conditionalFormatting sqref="F4:F33">
    <cfRule type="cellIs" dxfId="380" priority="502" operator="lessThan">
      <formula>0</formula>
    </cfRule>
  </conditionalFormatting>
  <conditionalFormatting sqref="J4:J33">
    <cfRule type="cellIs" dxfId="379" priority="501" operator="lessThan">
      <formula>0</formula>
    </cfRule>
  </conditionalFormatting>
  <conditionalFormatting sqref="L5:L6">
    <cfRule type="cellIs" dxfId="378" priority="500" operator="lessThan">
      <formula>0</formula>
    </cfRule>
  </conditionalFormatting>
  <conditionalFormatting sqref="N4:N6">
    <cfRule type="cellIs" dxfId="377" priority="499" operator="lessThan">
      <formula>0</formula>
    </cfRule>
  </conditionalFormatting>
  <conditionalFormatting sqref="P4:P33">
    <cfRule type="cellIs" dxfId="376" priority="498" operator="lessThan">
      <formula>0</formula>
    </cfRule>
  </conditionalFormatting>
  <conditionalFormatting sqref="T4:T31 T33">
    <cfRule type="cellIs" dxfId="375" priority="496" operator="lessThan">
      <formula>0</formula>
    </cfRule>
  </conditionalFormatting>
  <conditionalFormatting sqref="T4:T31 T33">
    <cfRule type="cellIs" dxfId="374" priority="495" operator="lessThan">
      <formula>0</formula>
    </cfRule>
  </conditionalFormatting>
  <conditionalFormatting sqref="K11">
    <cfRule type="cellIs" dxfId="373" priority="494" operator="lessThan">
      <formula>0</formula>
    </cfRule>
  </conditionalFormatting>
  <conditionalFormatting sqref="M11">
    <cfRule type="cellIs" dxfId="372" priority="493" operator="lessThan">
      <formula>0</formula>
    </cfRule>
  </conditionalFormatting>
  <conditionalFormatting sqref="I12">
    <cfRule type="cellIs" dxfId="371" priority="492" operator="lessThan">
      <formula>0</formula>
    </cfRule>
  </conditionalFormatting>
  <conditionalFormatting sqref="K12">
    <cfRule type="cellIs" dxfId="370" priority="491" operator="lessThan">
      <formula>0</formula>
    </cfRule>
  </conditionalFormatting>
  <conditionalFormatting sqref="M12">
    <cfRule type="cellIs" dxfId="369" priority="490" operator="lessThan">
      <formula>0</formula>
    </cfRule>
  </conditionalFormatting>
  <conditionalFormatting sqref="I13">
    <cfRule type="cellIs" dxfId="368" priority="489" operator="lessThan">
      <formula>0</formula>
    </cfRule>
  </conditionalFormatting>
  <conditionalFormatting sqref="K13">
    <cfRule type="cellIs" dxfId="367" priority="488" operator="lessThan">
      <formula>0</formula>
    </cfRule>
  </conditionalFormatting>
  <conditionalFormatting sqref="M13">
    <cfRule type="cellIs" dxfId="366" priority="487" operator="lessThan">
      <formula>0</formula>
    </cfRule>
  </conditionalFormatting>
  <conditionalFormatting sqref="O13">
    <cfRule type="cellIs" dxfId="365" priority="486" operator="lessThan">
      <formula>0</formula>
    </cfRule>
  </conditionalFormatting>
  <conditionalFormatting sqref="K27">
    <cfRule type="cellIs" dxfId="364" priority="485" operator="lessThan">
      <formula>0</formula>
    </cfRule>
  </conditionalFormatting>
  <conditionalFormatting sqref="O27">
    <cfRule type="cellIs" dxfId="363" priority="484" operator="lessThan">
      <formula>0</formula>
    </cfRule>
  </conditionalFormatting>
  <conditionalFormatting sqref="I28">
    <cfRule type="cellIs" dxfId="362" priority="483" operator="lessThan">
      <formula>0</formula>
    </cfRule>
  </conditionalFormatting>
  <conditionalFormatting sqref="K28">
    <cfRule type="cellIs" dxfId="361" priority="482" operator="lessThan">
      <formula>0</formula>
    </cfRule>
  </conditionalFormatting>
  <conditionalFormatting sqref="M28">
    <cfRule type="cellIs" dxfId="360" priority="481" operator="lessThan">
      <formula>0</formula>
    </cfRule>
  </conditionalFormatting>
  <conditionalFormatting sqref="I29">
    <cfRule type="cellIs" dxfId="359" priority="480" operator="lessThan">
      <formula>0</formula>
    </cfRule>
  </conditionalFormatting>
  <conditionalFormatting sqref="M29">
    <cfRule type="cellIs" dxfId="358" priority="479" operator="lessThan">
      <formula>0</formula>
    </cfRule>
  </conditionalFormatting>
  <conditionalFormatting sqref="O29">
    <cfRule type="cellIs" dxfId="357" priority="478" operator="lessThan">
      <formula>0</formula>
    </cfRule>
  </conditionalFormatting>
  <conditionalFormatting sqref="K29:K30">
    <cfRule type="cellIs" dxfId="356" priority="477" operator="lessThan">
      <formula>0</formula>
    </cfRule>
  </conditionalFormatting>
  <conditionalFormatting sqref="M30">
    <cfRule type="cellIs" dxfId="355" priority="476" operator="lessThan">
      <formula>0</formula>
    </cfRule>
  </conditionalFormatting>
  <conditionalFormatting sqref="O30">
    <cfRule type="cellIs" dxfId="354" priority="475" operator="lessThan">
      <formula>0</formula>
    </cfRule>
  </conditionalFormatting>
  <conditionalFormatting sqref="I31">
    <cfRule type="cellIs" dxfId="353" priority="474" operator="lessThan">
      <formula>0</formula>
    </cfRule>
  </conditionalFormatting>
  <conditionalFormatting sqref="K31">
    <cfRule type="cellIs" dxfId="352" priority="473" operator="lessThan">
      <formula>0</formula>
    </cfRule>
  </conditionalFormatting>
  <conditionalFormatting sqref="M31">
    <cfRule type="cellIs" dxfId="351" priority="472" operator="lessThan">
      <formula>0</formula>
    </cfRule>
  </conditionalFormatting>
  <conditionalFormatting sqref="O31">
    <cfRule type="cellIs" dxfId="350" priority="471" operator="lessThan">
      <formula>0</formula>
    </cfRule>
  </conditionalFormatting>
  <conditionalFormatting sqref="U3 B3 D3 R3">
    <cfRule type="cellIs" dxfId="349" priority="470" operator="lessThan">
      <formula>0</formula>
    </cfRule>
  </conditionalFormatting>
  <conditionalFormatting sqref="S3">
    <cfRule type="cellIs" dxfId="348" priority="469" operator="lessThan">
      <formula>0</formula>
    </cfRule>
  </conditionalFormatting>
  <conditionalFormatting sqref="N3">
    <cfRule type="cellIs" dxfId="347" priority="468" operator="lessThan">
      <formula>0</formula>
    </cfRule>
  </conditionalFormatting>
  <conditionalFormatting sqref="R3">
    <cfRule type="cellIs" dxfId="346" priority="467" operator="lessThan">
      <formula>0</formula>
    </cfRule>
  </conditionalFormatting>
  <conditionalFormatting sqref="A3:A33">
    <cfRule type="cellIs" dxfId="345" priority="466" operator="lessThan">
      <formula>0</formula>
    </cfRule>
  </conditionalFormatting>
  <conditionalFormatting sqref="Q3">
    <cfRule type="cellIs" dxfId="344" priority="465" operator="lessThan">
      <formula>0</formula>
    </cfRule>
  </conditionalFormatting>
  <conditionalFormatting sqref="V3:V10">
    <cfRule type="cellIs" dxfId="343" priority="459" operator="lessThan">
      <formula>0</formula>
    </cfRule>
  </conditionalFormatting>
  <conditionalFormatting sqref="O3">
    <cfRule type="cellIs" dxfId="342" priority="464" operator="lessThan">
      <formula>0</formula>
    </cfRule>
  </conditionalFormatting>
  <conditionalFormatting sqref="C3 E3">
    <cfRule type="cellIs" dxfId="341" priority="463" operator="lessThan">
      <formula>0</formula>
    </cfRule>
  </conditionalFormatting>
  <conditionalFormatting sqref="F3">
    <cfRule type="cellIs" dxfId="340" priority="462" operator="lessThan">
      <formula>0</formula>
    </cfRule>
  </conditionalFormatting>
  <conditionalFormatting sqref="J3">
    <cfRule type="cellIs" dxfId="339" priority="461" operator="lessThan">
      <formula>0</formula>
    </cfRule>
  </conditionalFormatting>
  <conditionalFormatting sqref="P3">
    <cfRule type="cellIs" dxfId="338" priority="460" operator="lessThan">
      <formula>0</formula>
    </cfRule>
  </conditionalFormatting>
  <conditionalFormatting sqref="T3">
    <cfRule type="cellIs" dxfId="337" priority="458" operator="lessThan">
      <formula>0</formula>
    </cfRule>
  </conditionalFormatting>
  <conditionalFormatting sqref="T3">
    <cfRule type="cellIs" dxfId="336" priority="457" operator="lessThan">
      <formula>0</formula>
    </cfRule>
  </conditionalFormatting>
  <conditionalFormatting sqref="O4">
    <cfRule type="cellIs" dxfId="335" priority="456" operator="lessThan">
      <formula>0</formula>
    </cfRule>
  </conditionalFormatting>
  <conditionalFormatting sqref="G3:H5">
    <cfRule type="cellIs" dxfId="334" priority="455" operator="lessThan">
      <formula>0</formula>
    </cfRule>
  </conditionalFormatting>
  <conditionalFormatting sqref="I3:I5">
    <cfRule type="cellIs" dxfId="333" priority="454" operator="lessThan">
      <formula>0</formula>
    </cfRule>
  </conditionalFormatting>
  <conditionalFormatting sqref="K3">
    <cfRule type="cellIs" dxfId="332" priority="453" operator="lessThan">
      <formula>0</formula>
    </cfRule>
  </conditionalFormatting>
  <conditionalFormatting sqref="M3">
    <cfRule type="cellIs" dxfId="331" priority="452" operator="lessThan">
      <formula>0</formula>
    </cfRule>
  </conditionalFormatting>
  <conditionalFormatting sqref="K4">
    <cfRule type="cellIs" dxfId="330" priority="451" operator="lessThan">
      <formula>0</formula>
    </cfRule>
  </conditionalFormatting>
  <conditionalFormatting sqref="M4">
    <cfRule type="cellIs" dxfId="329" priority="450" operator="lessThan">
      <formula>0</formula>
    </cfRule>
  </conditionalFormatting>
  <conditionalFormatting sqref="L3:L4">
    <cfRule type="cellIs" dxfId="328" priority="449" operator="lessThan">
      <formula>0</formula>
    </cfRule>
  </conditionalFormatting>
  <conditionalFormatting sqref="I11">
    <cfRule type="cellIs" dxfId="327" priority="448" operator="lessThan">
      <formula>0</formula>
    </cfRule>
  </conditionalFormatting>
  <conditionalFormatting sqref="M17">
    <cfRule type="cellIs" dxfId="326" priority="447" operator="lessThan">
      <formula>0</formula>
    </cfRule>
  </conditionalFormatting>
  <conditionalFormatting sqref="M18">
    <cfRule type="cellIs" dxfId="325" priority="446" operator="lessThan">
      <formula>0</formula>
    </cfRule>
  </conditionalFormatting>
  <conditionalFormatting sqref="M19">
    <cfRule type="cellIs" dxfId="324" priority="445" operator="lessThan">
      <formula>0</formula>
    </cfRule>
  </conditionalFormatting>
  <conditionalFormatting sqref="I20">
    <cfRule type="cellIs" dxfId="323" priority="444" operator="lessThan">
      <formula>0</formula>
    </cfRule>
  </conditionalFormatting>
  <conditionalFormatting sqref="K20">
    <cfRule type="cellIs" dxfId="322" priority="443" operator="lessThan">
      <formula>0</formula>
    </cfRule>
  </conditionalFormatting>
  <conditionalFormatting sqref="M20">
    <cfRule type="cellIs" dxfId="321" priority="442" operator="lessThan">
      <formula>0</formula>
    </cfRule>
  </conditionalFormatting>
  <conditionalFormatting sqref="O20">
    <cfRule type="cellIs" dxfId="320" priority="441" operator="lessThan">
      <formula>0</formula>
    </cfRule>
  </conditionalFormatting>
  <conditionalFormatting sqref="I21">
    <cfRule type="cellIs" dxfId="319" priority="440" operator="lessThan">
      <formula>0</formula>
    </cfRule>
  </conditionalFormatting>
  <conditionalFormatting sqref="K21">
    <cfRule type="cellIs" dxfId="318" priority="439" operator="lessThan">
      <formula>0</formula>
    </cfRule>
  </conditionalFormatting>
  <conditionalFormatting sqref="M21">
    <cfRule type="cellIs" dxfId="317" priority="438" operator="lessThan">
      <formula>0</formula>
    </cfRule>
  </conditionalFormatting>
  <conditionalFormatting sqref="O21">
    <cfRule type="cellIs" dxfId="316" priority="437" operator="lessThan">
      <formula>0</formula>
    </cfRule>
  </conditionalFormatting>
  <conditionalFormatting sqref="Q21">
    <cfRule type="cellIs" dxfId="315" priority="436" operator="lessThan">
      <formula>0</formula>
    </cfRule>
  </conditionalFormatting>
  <conditionalFormatting sqref="I24">
    <cfRule type="cellIs" dxfId="314" priority="435" operator="lessThan">
      <formula>0</formula>
    </cfRule>
  </conditionalFormatting>
  <conditionalFormatting sqref="K24">
    <cfRule type="cellIs" dxfId="313" priority="434" operator="lessThan">
      <formula>0</formula>
    </cfRule>
  </conditionalFormatting>
  <conditionalFormatting sqref="M24">
    <cfRule type="cellIs" dxfId="312" priority="433" operator="lessThan">
      <formula>0</formula>
    </cfRule>
  </conditionalFormatting>
  <conditionalFormatting sqref="O24">
    <cfRule type="cellIs" dxfId="311" priority="432" operator="lessThan">
      <formula>0</formula>
    </cfRule>
  </conditionalFormatting>
  <conditionalFormatting sqref="I25">
    <cfRule type="cellIs" dxfId="310" priority="431" operator="lessThan">
      <formula>0</formula>
    </cfRule>
  </conditionalFormatting>
  <conditionalFormatting sqref="K25">
    <cfRule type="cellIs" dxfId="309" priority="430" operator="lessThan">
      <formula>0</formula>
    </cfRule>
  </conditionalFormatting>
  <conditionalFormatting sqref="M25">
    <cfRule type="cellIs" dxfId="308" priority="429" operator="lessThan">
      <formula>0</formula>
    </cfRule>
  </conditionalFormatting>
  <conditionalFormatting sqref="O25">
    <cfRule type="cellIs" dxfId="307" priority="428" operator="lessThan">
      <formula>0</formula>
    </cfRule>
  </conditionalFormatting>
  <conditionalFormatting sqref="I30">
    <cfRule type="cellIs" dxfId="306" priority="427" operator="lessThan">
      <formula>0</formula>
    </cfRule>
  </conditionalFormatting>
  <conditionalFormatting sqref="T32">
    <cfRule type="cellIs" dxfId="305" priority="426" operator="lessThan">
      <formula>0</formula>
    </cfRule>
  </conditionalFormatting>
  <conditionalFormatting sqref="R32">
    <cfRule type="cellIs" dxfId="304" priority="425" operator="lessThan">
      <formula>0</formula>
    </cfRule>
  </conditionalFormatting>
  <conditionalFormatting sqref="I14">
    <cfRule type="cellIs" dxfId="303" priority="424" operator="lessThan">
      <formula>0</formula>
    </cfRule>
  </conditionalFormatting>
  <conditionalFormatting sqref="K14">
    <cfRule type="cellIs" dxfId="302" priority="423" operator="lessThan">
      <formula>0</formula>
    </cfRule>
  </conditionalFormatting>
  <conditionalFormatting sqref="M14">
    <cfRule type="cellIs" dxfId="301" priority="422" operator="lessThan">
      <formula>0</formula>
    </cfRule>
  </conditionalFormatting>
  <conditionalFormatting sqref="O14">
    <cfRule type="cellIs" dxfId="300" priority="421" operator="lessThan">
      <formula>0</formula>
    </cfRule>
  </conditionalFormatting>
  <conditionalFormatting sqref="M16">
    <cfRule type="cellIs" dxfId="299" priority="420" operator="lessThan">
      <formula>0</formula>
    </cfRule>
  </conditionalFormatting>
  <conditionalFormatting sqref="I22">
    <cfRule type="cellIs" dxfId="298" priority="419" operator="lessThan">
      <formula>0</formula>
    </cfRule>
  </conditionalFormatting>
  <conditionalFormatting sqref="K22">
    <cfRule type="cellIs" dxfId="297" priority="418" operator="lessThan">
      <formula>0</formula>
    </cfRule>
  </conditionalFormatting>
  <conditionalFormatting sqref="M22">
    <cfRule type="cellIs" dxfId="296" priority="417" operator="lessThan">
      <formula>0</formula>
    </cfRule>
  </conditionalFormatting>
  <conditionalFormatting sqref="O22">
    <cfRule type="cellIs" dxfId="295" priority="416" operator="lessThan">
      <formula>0</formula>
    </cfRule>
  </conditionalFormatting>
  <conditionalFormatting sqref="I23">
    <cfRule type="cellIs" dxfId="294" priority="415" operator="lessThan">
      <formula>0</formula>
    </cfRule>
  </conditionalFormatting>
  <conditionalFormatting sqref="K23">
    <cfRule type="cellIs" dxfId="293" priority="414" operator="lessThan">
      <formula>0</formula>
    </cfRule>
  </conditionalFormatting>
  <conditionalFormatting sqref="M23">
    <cfRule type="cellIs" dxfId="292" priority="413" operator="lessThan">
      <formula>0</formula>
    </cfRule>
  </conditionalFormatting>
  <conditionalFormatting sqref="O23">
    <cfRule type="cellIs" dxfId="291" priority="412" operator="lessThan">
      <formula>0</formula>
    </cfRule>
  </conditionalFormatting>
  <conditionalFormatting sqref="AF17:AG20 AH17:AH18 AH20 AF8:AI11 AF21:AH33 AF5:AH7 AD21:AD33 Z19:Z21 Y4:Y21 AF12:AH16 AB5:AB33 AD5:AD18 Y22:Z33 AA4:AA33 AC4:AC33 AI4:AI7 AI12:AI33">
    <cfRule type="cellIs" dxfId="290" priority="389" operator="lessThan">
      <formula>0</formula>
    </cfRule>
  </conditionalFormatting>
  <conditionalFormatting sqref="AH19">
    <cfRule type="cellIs" dxfId="289" priority="388" operator="lessThan">
      <formula>0</formula>
    </cfRule>
  </conditionalFormatting>
  <conditionalFormatting sqref="Z5:Z17">
    <cfRule type="cellIs" dxfId="288" priority="387" operator="lessThan">
      <formula>0</formula>
    </cfRule>
  </conditionalFormatting>
  <conditionalFormatting sqref="Z18">
    <cfRule type="cellIs" dxfId="287" priority="386" operator="lessThan">
      <formula>0</formula>
    </cfRule>
  </conditionalFormatting>
  <conditionalFormatting sqref="AD19">
    <cfRule type="cellIs" dxfId="286" priority="385" operator="lessThan">
      <formula>0</formula>
    </cfRule>
  </conditionalFormatting>
  <conditionalFormatting sqref="X20">
    <cfRule type="cellIs" dxfId="285" priority="384" operator="lessThan">
      <formula>0</formula>
    </cfRule>
  </conditionalFormatting>
  <conditionalFormatting sqref="AD20">
    <cfRule type="cellIs" dxfId="284" priority="383" operator="lessThan">
      <formula>0</formula>
    </cfRule>
  </conditionalFormatting>
  <conditionalFormatting sqref="X21">
    <cfRule type="cellIs" dxfId="283" priority="382" operator="lessThan">
      <formula>0</formula>
    </cfRule>
  </conditionalFormatting>
  <conditionalFormatting sqref="X24:X25">
    <cfRule type="cellIs" dxfId="282" priority="381" operator="lessThan">
      <formula>0</formula>
    </cfRule>
  </conditionalFormatting>
  <conditionalFormatting sqref="X26">
    <cfRule type="cellIs" dxfId="281" priority="380" operator="lessThan">
      <formula>0</formula>
    </cfRule>
  </conditionalFormatting>
  <conditionalFormatting sqref="X27">
    <cfRule type="cellIs" dxfId="280" priority="379" operator="lessThan">
      <formula>0</formula>
    </cfRule>
  </conditionalFormatting>
  <conditionalFormatting sqref="X28:X33">
    <cfRule type="cellIs" dxfId="279" priority="378" operator="lessThan">
      <formula>0</formula>
    </cfRule>
  </conditionalFormatting>
  <conditionalFormatting sqref="X5:X19">
    <cfRule type="cellIs" dxfId="278" priority="377" operator="lessThan">
      <formula>0</formula>
    </cfRule>
  </conditionalFormatting>
  <conditionalFormatting sqref="X22:X23">
    <cfRule type="cellIs" dxfId="277" priority="376" operator="lessThan">
      <formula>0</formula>
    </cfRule>
  </conditionalFormatting>
  <conditionalFormatting sqref="Z4">
    <cfRule type="cellIs" dxfId="276" priority="374" operator="lessThan">
      <formula>0</formula>
    </cfRule>
  </conditionalFormatting>
  <conditionalFormatting sqref="X4 AD4 AH4">
    <cfRule type="cellIs" dxfId="275" priority="373" operator="lessThan">
      <formula>0</formula>
    </cfRule>
  </conditionalFormatting>
  <conditionalFormatting sqref="AB4 AF4:AG4">
    <cfRule type="cellIs" dxfId="274" priority="375" operator="lessThan">
      <formula>0</formula>
    </cfRule>
  </conditionalFormatting>
  <conditionalFormatting sqref="AE4:AE31 AE33">
    <cfRule type="cellIs" dxfId="273" priority="372" operator="lessThan">
      <formula>0</formula>
    </cfRule>
  </conditionalFormatting>
  <conditionalFormatting sqref="Y3:AD3 AF3:AI3">
    <cfRule type="cellIs" dxfId="272" priority="371" operator="lessThan">
      <formula>0</formula>
    </cfRule>
  </conditionalFormatting>
  <conditionalFormatting sqref="X3">
    <cfRule type="cellIs" dxfId="271" priority="370" operator="lessThan">
      <formula>0</formula>
    </cfRule>
  </conditionalFormatting>
  <conditionalFormatting sqref="AE3">
    <cfRule type="cellIs" dxfId="270" priority="369" operator="lessThan">
      <formula>0</formula>
    </cfRule>
  </conditionalFormatting>
  <conditionalFormatting sqref="AE32">
    <cfRule type="cellIs" dxfId="269" priority="368" operator="lessThan">
      <formula>0</formula>
    </cfRule>
  </conditionalFormatting>
  <conditionalFormatting sqref="AW4:AX4 AN5:AN7 AP5:AP7 AO4:AO7 AR5:AR7 AQ4:AQ7 AN8:AR8 AR9:AR20 AP9:AQ19 AS4:AS22 AJ5:AJ33 AN19:AN21 AN9:AN16 AU4:AU22 AP20:AP21 AQ20:AQ22 AZ23:AZ24 AY4:AY24 AU23:AV26 AX24 AW5:AW26 AX25:AZ26 BA4:BA26 AL5:AL33 AT27:BA30 AN23:AS30 AO9:AO22 AN31:BA33">
    <cfRule type="cellIs" dxfId="268" priority="367" operator="lessThan">
      <formula>0</formula>
    </cfRule>
  </conditionalFormatting>
  <conditionalFormatting sqref="AN17:AN18">
    <cfRule type="cellIs" dxfId="267" priority="366" operator="lessThan">
      <formula>0</formula>
    </cfRule>
  </conditionalFormatting>
  <conditionalFormatting sqref="AV20">
    <cfRule type="cellIs" dxfId="266" priority="365" operator="lessThan">
      <formula>0</formula>
    </cfRule>
  </conditionalFormatting>
  <conditionalFormatting sqref="AX20">
    <cfRule type="cellIs" dxfId="265" priority="364" operator="lessThan">
      <formula>0</formula>
    </cfRule>
  </conditionalFormatting>
  <conditionalFormatting sqref="AZ20">
    <cfRule type="cellIs" dxfId="264" priority="363" operator="lessThan">
      <formula>0</formula>
    </cfRule>
  </conditionalFormatting>
  <conditionalFormatting sqref="AR21">
    <cfRule type="cellIs" dxfId="263" priority="362" operator="lessThan">
      <formula>0</formula>
    </cfRule>
  </conditionalFormatting>
  <conditionalFormatting sqref="AV21">
    <cfRule type="cellIs" dxfId="262" priority="361" operator="lessThan">
      <formula>0</formula>
    </cfRule>
  </conditionalFormatting>
  <conditionalFormatting sqref="AX21">
    <cfRule type="cellIs" dxfId="261" priority="360" operator="lessThan">
      <formula>0</formula>
    </cfRule>
  </conditionalFormatting>
  <conditionalFormatting sqref="AZ21">
    <cfRule type="cellIs" dxfId="260" priority="359" operator="lessThan">
      <formula>0</formula>
    </cfRule>
  </conditionalFormatting>
  <conditionalFormatting sqref="AN22 AP22">
    <cfRule type="cellIs" dxfId="259" priority="358" operator="lessThan">
      <formula>0</formula>
    </cfRule>
  </conditionalFormatting>
  <conditionalFormatting sqref="AR22">
    <cfRule type="cellIs" dxfId="258" priority="357" operator="lessThan">
      <formula>0</formula>
    </cfRule>
  </conditionalFormatting>
  <conditionalFormatting sqref="AV22">
    <cfRule type="cellIs" dxfId="257" priority="356" operator="lessThan">
      <formula>0</formula>
    </cfRule>
  </conditionalFormatting>
  <conditionalFormatting sqref="AX22:AX23">
    <cfRule type="cellIs" dxfId="256" priority="355" operator="lessThan">
      <formula>0</formula>
    </cfRule>
  </conditionalFormatting>
  <conditionalFormatting sqref="AZ22">
    <cfRule type="cellIs" dxfId="255" priority="354" operator="lessThan">
      <formula>0</formula>
    </cfRule>
  </conditionalFormatting>
  <conditionalFormatting sqref="AV8:AV19 AX11:AX19 AZ5:AZ19 AT10:AT26">
    <cfRule type="cellIs" dxfId="254" priority="353" operator="lessThan">
      <formula>0</formula>
    </cfRule>
  </conditionalFormatting>
  <conditionalFormatting sqref="AK4:AK31 AK33">
    <cfRule type="cellIs" dxfId="253" priority="352" operator="lessThan">
      <formula>0</formula>
    </cfRule>
  </conditionalFormatting>
  <conditionalFormatting sqref="AL4 AN4 AP4 AR4 AZ4">
    <cfRule type="cellIs" dxfId="252" priority="350" operator="lessThan">
      <formula>0</formula>
    </cfRule>
  </conditionalFormatting>
  <conditionalFormatting sqref="AJ4">
    <cfRule type="cellIs" dxfId="251" priority="351" operator="lessThan">
      <formula>0</formula>
    </cfRule>
  </conditionalFormatting>
  <conditionalFormatting sqref="AX4:AX10">
    <cfRule type="cellIs" dxfId="250" priority="349" operator="lessThan">
      <formula>0</formula>
    </cfRule>
  </conditionalFormatting>
  <conditionalFormatting sqref="AV4:AV7">
    <cfRule type="cellIs" dxfId="249" priority="348" operator="lessThan">
      <formula>0</formula>
    </cfRule>
  </conditionalFormatting>
  <conditionalFormatting sqref="AT4:AT9">
    <cfRule type="cellIs" dxfId="248" priority="347" operator="lessThan">
      <formula>0</formula>
    </cfRule>
  </conditionalFormatting>
  <conditionalFormatting sqref="AM4:AM31 AM33">
    <cfRule type="cellIs" dxfId="247" priority="346" operator="lessThan">
      <formula>0</formula>
    </cfRule>
  </conditionalFormatting>
  <conditionalFormatting sqref="AL3 AJ3 AN3:BA3">
    <cfRule type="cellIs" dxfId="246" priority="345" operator="lessThan">
      <formula>0</formula>
    </cfRule>
  </conditionalFormatting>
  <conditionalFormatting sqref="AK3">
    <cfRule type="cellIs" dxfId="245" priority="344" operator="lessThan">
      <formula>0</formula>
    </cfRule>
  </conditionalFormatting>
  <conditionalFormatting sqref="AM3">
    <cfRule type="cellIs" dxfId="244" priority="343" operator="lessThan">
      <formula>0</formula>
    </cfRule>
  </conditionalFormatting>
  <conditionalFormatting sqref="AK32">
    <cfRule type="cellIs" dxfId="243" priority="342" operator="lessThan">
      <formula>0</formula>
    </cfRule>
  </conditionalFormatting>
  <conditionalFormatting sqref="AM32">
    <cfRule type="cellIs" dxfId="242" priority="341" operator="lessThan">
      <formula>0</formula>
    </cfRule>
  </conditionalFormatting>
  <conditionalFormatting sqref="BB20 BL5 BK4:BK5 BI5:BJ7 BK6:BL7 BH5:BH8 BI8:BL8 BB5:BB16 BH9:BL9 BD5:BD18 BI10:BL15 CA19:CA33 CA5:CA17 BF5:BF18 BH10:BH21 BE4:BE22 BD23:BE23 BB23:BB25 BB26:BD26 BE24:BF26 BD24:BD25 BH24:BH26 BG4:BG26 BJ16:BL22 BJ23:BK32 BL24:BL31 BW20:BW33 BY5:BY33 BP10:BP33 BR5:BR33 BN5:BN33 BI33:BK33 BI16:BI32 BJ4 BC4:BC25 BB27:BH33">
    <cfRule type="cellIs" dxfId="241" priority="340" operator="lessThan">
      <formula>0</formula>
    </cfRule>
  </conditionalFormatting>
  <conditionalFormatting sqref="CA18">
    <cfRule type="cellIs" dxfId="240" priority="339" operator="lessThan">
      <formula>0</formula>
    </cfRule>
  </conditionalFormatting>
  <conditionalFormatting sqref="BO32:BO33">
    <cfRule type="cellIs" dxfId="239" priority="338" operator="lessThan">
      <formula>0</formula>
    </cfRule>
  </conditionalFormatting>
  <conditionalFormatting sqref="BB17:BB18">
    <cfRule type="cellIs" dxfId="238" priority="337" operator="lessThan">
      <formula>0</formula>
    </cfRule>
  </conditionalFormatting>
  <conditionalFormatting sqref="BB19">
    <cfRule type="cellIs" dxfId="237" priority="336" operator="lessThan">
      <formula>0</formula>
    </cfRule>
  </conditionalFormatting>
  <conditionalFormatting sqref="BD19">
    <cfRule type="cellIs" dxfId="236" priority="335" operator="lessThan">
      <formula>0</formula>
    </cfRule>
  </conditionalFormatting>
  <conditionalFormatting sqref="BF19">
    <cfRule type="cellIs" dxfId="235" priority="334" operator="lessThan">
      <formula>0</formula>
    </cfRule>
  </conditionalFormatting>
  <conditionalFormatting sqref="BD20">
    <cfRule type="cellIs" dxfId="234" priority="333" operator="lessThan">
      <formula>0</formula>
    </cfRule>
  </conditionalFormatting>
  <conditionalFormatting sqref="BF20">
    <cfRule type="cellIs" dxfId="233" priority="332" operator="lessThan">
      <formula>0</formula>
    </cfRule>
  </conditionalFormatting>
  <conditionalFormatting sqref="BB21">
    <cfRule type="cellIs" dxfId="232" priority="331" operator="lessThan">
      <formula>0</formula>
    </cfRule>
  </conditionalFormatting>
  <conditionalFormatting sqref="BD21">
    <cfRule type="cellIs" dxfId="231" priority="330" operator="lessThan">
      <formula>0</formula>
    </cfRule>
  </conditionalFormatting>
  <conditionalFormatting sqref="BF21">
    <cfRule type="cellIs" dxfId="230" priority="329" operator="lessThan">
      <formula>0</formula>
    </cfRule>
  </conditionalFormatting>
  <conditionalFormatting sqref="BB22">
    <cfRule type="cellIs" dxfId="229" priority="328" operator="lessThan">
      <formula>0</formula>
    </cfRule>
  </conditionalFormatting>
  <conditionalFormatting sqref="BH22">
    <cfRule type="cellIs" dxfId="228" priority="327" operator="lessThan">
      <formula>0</formula>
    </cfRule>
  </conditionalFormatting>
  <conditionalFormatting sqref="BD22">
    <cfRule type="cellIs" dxfId="227" priority="326" operator="lessThan">
      <formula>0</formula>
    </cfRule>
  </conditionalFormatting>
  <conditionalFormatting sqref="BF22">
    <cfRule type="cellIs" dxfId="226" priority="325" operator="lessThan">
      <formula>0</formula>
    </cfRule>
  </conditionalFormatting>
  <conditionalFormatting sqref="BL23">
    <cfRule type="cellIs" dxfId="225" priority="324" operator="lessThan">
      <formula>0</formula>
    </cfRule>
  </conditionalFormatting>
  <conditionalFormatting sqref="BH23">
    <cfRule type="cellIs" dxfId="224" priority="323" operator="lessThan">
      <formula>0</formula>
    </cfRule>
  </conditionalFormatting>
  <conditionalFormatting sqref="BF23">
    <cfRule type="cellIs" dxfId="223" priority="322" operator="lessThan">
      <formula>0</formula>
    </cfRule>
  </conditionalFormatting>
  <conditionalFormatting sqref="BP5:BP9 BW5:BW19">
    <cfRule type="cellIs" dxfId="222" priority="321" operator="lessThan">
      <formula>0</formula>
    </cfRule>
  </conditionalFormatting>
  <conditionalFormatting sqref="BB4 BD4 BF4 BH4 BL4 BN4 BP4 BR4 BW4 CA4">
    <cfRule type="cellIs" dxfId="221" priority="319" operator="lessThan">
      <formula>0</formula>
    </cfRule>
  </conditionalFormatting>
  <conditionalFormatting sqref="BY4">
    <cfRule type="cellIs" dxfId="220" priority="320" operator="lessThan">
      <formula>0</formula>
    </cfRule>
  </conditionalFormatting>
  <conditionalFormatting sqref="BL32:BL33">
    <cfRule type="cellIs" dxfId="219" priority="318" operator="lessThan">
      <formula>0</formula>
    </cfRule>
  </conditionalFormatting>
  <conditionalFormatting sqref="BQ4:BQ8 BT4:BV4 BX4:BX8 CB4:CB8 BM4:BM33 BU5:BV8 BT5:BT33">
    <cfRule type="cellIs" dxfId="218" priority="317" operator="lessThan">
      <formula>0</formula>
    </cfRule>
  </conditionalFormatting>
  <conditionalFormatting sqref="BS4:BS8">
    <cfRule type="cellIs" dxfId="217" priority="316" operator="lessThan">
      <formula>0</formula>
    </cfRule>
  </conditionalFormatting>
  <conditionalFormatting sqref="BO4:BO8">
    <cfRule type="cellIs" dxfId="216" priority="315" operator="lessThan">
      <formula>0</formula>
    </cfRule>
  </conditionalFormatting>
  <conditionalFormatting sqref="BZ4:BZ8">
    <cfRule type="cellIs" dxfId="215" priority="314" operator="lessThan">
      <formula>0</formula>
    </cfRule>
  </conditionalFormatting>
  <conditionalFormatting sqref="BO9:BO31">
    <cfRule type="cellIs" dxfId="214" priority="313" operator="lessThan">
      <formula>0</formula>
    </cfRule>
  </conditionalFormatting>
  <conditionalFormatting sqref="BQ9:BQ33">
    <cfRule type="cellIs" dxfId="213" priority="312" operator="lessThan">
      <formula>0</formula>
    </cfRule>
  </conditionalFormatting>
  <conditionalFormatting sqref="BU9:BV33">
    <cfRule type="cellIs" dxfId="212" priority="311" operator="lessThan">
      <formula>0</formula>
    </cfRule>
  </conditionalFormatting>
  <conditionalFormatting sqref="BS9:BS33">
    <cfRule type="cellIs" dxfId="211" priority="310" operator="lessThan">
      <formula>0</formula>
    </cfRule>
  </conditionalFormatting>
  <conditionalFormatting sqref="BX9:BX33">
    <cfRule type="cellIs" dxfId="210" priority="309" operator="lessThan">
      <formula>0</formula>
    </cfRule>
  </conditionalFormatting>
  <conditionalFormatting sqref="BZ9:BZ33">
    <cfRule type="cellIs" dxfId="209" priority="308" operator="lessThan">
      <formula>0</formula>
    </cfRule>
  </conditionalFormatting>
  <conditionalFormatting sqref="CB9:CB33">
    <cfRule type="cellIs" dxfId="208" priority="307" operator="lessThan">
      <formula>0</formula>
    </cfRule>
  </conditionalFormatting>
  <conditionalFormatting sqref="CA3 BW3 BY3 BP3 BR3 BN3 BB3:BK3 BI4">
    <cfRule type="cellIs" dxfId="207" priority="306" operator="lessThan">
      <formula>0</formula>
    </cfRule>
  </conditionalFormatting>
  <conditionalFormatting sqref="BO3">
    <cfRule type="cellIs" dxfId="206" priority="305" operator="lessThan">
      <formula>0</formula>
    </cfRule>
  </conditionalFormatting>
  <conditionalFormatting sqref="BL3">
    <cfRule type="cellIs" dxfId="205" priority="304" operator="lessThan">
      <formula>0</formula>
    </cfRule>
  </conditionalFormatting>
  <conditionalFormatting sqref="BM3">
    <cfRule type="cellIs" dxfId="204" priority="303" operator="lessThan">
      <formula>0</formula>
    </cfRule>
  </conditionalFormatting>
  <conditionalFormatting sqref="BQ3">
    <cfRule type="cellIs" dxfId="203" priority="302" operator="lessThan">
      <formula>0</formula>
    </cfRule>
  </conditionalFormatting>
  <conditionalFormatting sqref="BT3:BV3">
    <cfRule type="cellIs" dxfId="202" priority="301" operator="lessThan">
      <formula>0</formula>
    </cfRule>
  </conditionalFormatting>
  <conditionalFormatting sqref="BS3">
    <cfRule type="cellIs" dxfId="201" priority="300" operator="lessThan">
      <formula>0</formula>
    </cfRule>
  </conditionalFormatting>
  <conditionalFormatting sqref="BX3">
    <cfRule type="cellIs" dxfId="200" priority="299" operator="lessThan">
      <formula>0</formula>
    </cfRule>
  </conditionalFormatting>
  <conditionalFormatting sqref="BZ3">
    <cfRule type="cellIs" dxfId="199" priority="298" operator="lessThan">
      <formula>0</formula>
    </cfRule>
  </conditionalFormatting>
  <conditionalFormatting sqref="CB3">
    <cfRule type="cellIs" dxfId="198" priority="297" operator="lessThan">
      <formula>0</formula>
    </cfRule>
  </conditionalFormatting>
  <conditionalFormatting sqref="DB19:DB34 DQ16:DQ19 DT16:DT19 DN8:DN19 DK10:DK34 CY19:CY34 CP5:CP34 DB5:DB16 DE5:DE16 DH8:DH34 DN21:DN34 DQ21:DQ34 DT21:DT34 CD5:CD16 CL5:CM34 CY7:CY17 CF6:CF17 CD19:CD34 CH5:CH16 CH19:CH34 CF19:CF34 CS9:CS34 CV14:CV34 DE19:DE34">
    <cfRule type="cellIs" dxfId="197" priority="296" operator="lessThan">
      <formula>0</formula>
    </cfRule>
  </conditionalFormatting>
  <conditionalFormatting sqref="CD17:CD18">
    <cfRule type="cellIs" dxfId="196" priority="295" operator="lessThan">
      <formula>0</formula>
    </cfRule>
  </conditionalFormatting>
  <conditionalFormatting sqref="CF18">
    <cfRule type="cellIs" dxfId="195" priority="294" operator="lessThan">
      <formula>0</formula>
    </cfRule>
  </conditionalFormatting>
  <conditionalFormatting sqref="CH17:CH18">
    <cfRule type="cellIs" dxfId="194" priority="293" operator="lessThan">
      <formula>0</formula>
    </cfRule>
  </conditionalFormatting>
  <conditionalFormatting sqref="CY18">
    <cfRule type="cellIs" dxfId="193" priority="292" operator="lessThan">
      <formula>0</formula>
    </cfRule>
  </conditionalFormatting>
  <conditionalFormatting sqref="DB17:DB18">
    <cfRule type="cellIs" dxfId="192" priority="291" operator="lessThan">
      <formula>0</formula>
    </cfRule>
  </conditionalFormatting>
  <conditionalFormatting sqref="DE17:DE18">
    <cfRule type="cellIs" dxfId="191" priority="290" operator="lessThan">
      <formula>0</formula>
    </cfRule>
  </conditionalFormatting>
  <conditionalFormatting sqref="DN20 DQ20 DT20">
    <cfRule type="cellIs" dxfId="190" priority="289" operator="lessThan">
      <formula>0</formula>
    </cfRule>
  </conditionalFormatting>
  <conditionalFormatting sqref="CY5:CY6 DQ8:DQ15 DT8:DT15 CV12:CV13">
    <cfRule type="cellIs" dxfId="189" priority="288" operator="lessThan">
      <formula>0</formula>
    </cfRule>
  </conditionalFormatting>
  <conditionalFormatting sqref="DN5:DN7">
    <cfRule type="cellIs" dxfId="188" priority="287" operator="lessThan">
      <formula>0</formula>
    </cfRule>
  </conditionalFormatting>
  <conditionalFormatting sqref="DK5:DK9">
    <cfRule type="cellIs" dxfId="187" priority="286" operator="lessThan">
      <formula>0</formula>
    </cfRule>
  </conditionalFormatting>
  <conditionalFormatting sqref="DH5:DH7">
    <cfRule type="cellIs" dxfId="186" priority="285" operator="lessThan">
      <formula>0</formula>
    </cfRule>
  </conditionalFormatting>
  <conditionalFormatting sqref="DQ5:DQ7">
    <cfRule type="cellIs" dxfId="185" priority="284" operator="lessThan">
      <formula>0</formula>
    </cfRule>
  </conditionalFormatting>
  <conditionalFormatting sqref="DT5:DT7">
    <cfRule type="cellIs" dxfId="184" priority="283" operator="lessThan">
      <formula>0</formula>
    </cfRule>
  </conditionalFormatting>
  <conditionalFormatting sqref="CM4">
    <cfRule type="cellIs" dxfId="183" priority="281" operator="lessThan">
      <formula>0</formula>
    </cfRule>
  </conditionalFormatting>
  <conditionalFormatting sqref="DB4 DE4 DH4 DK4 DN4 DQ4 DT4 CY4">
    <cfRule type="cellIs" dxfId="182" priority="280" operator="lessThan">
      <formula>0</formula>
    </cfRule>
  </conditionalFormatting>
  <conditionalFormatting sqref="CD4 CL4 CH4 CF4:CF5">
    <cfRule type="cellIs" dxfId="181" priority="282" operator="lessThan">
      <formula>0</formula>
    </cfRule>
  </conditionalFormatting>
  <conditionalFormatting sqref="CN4:CP4 CI5:CK8 CQ4:CR34 DL4:DL34 DI4:DI34 DC4:DD34 CJ9:CK34 CN5:CO34 CT9:CU34 CZ4:CZ34 DF4:DF34 CW4:CX34 DU4:DU34 CU4:CU8 CJ4:CK4 CE4:CE34 DO4:DO34 DR4:DR34">
    <cfRule type="cellIs" dxfId="180" priority="279" operator="lessThan">
      <formula>0</formula>
    </cfRule>
  </conditionalFormatting>
  <conditionalFormatting sqref="DA4:DA34">
    <cfRule type="cellIs" dxfId="179" priority="278" operator="lessThan">
      <formula>0</formula>
    </cfRule>
  </conditionalFormatting>
  <conditionalFormatting sqref="DV4:DV34">
    <cfRule type="cellIs" dxfId="178" priority="277" operator="lessThan">
      <formula>0</formula>
    </cfRule>
  </conditionalFormatting>
  <conditionalFormatting sqref="CC4:CC8">
    <cfRule type="cellIs" dxfId="177" priority="276" operator="lessThan">
      <formula>0</formula>
    </cfRule>
  </conditionalFormatting>
  <conditionalFormatting sqref="DG4:DG34">
    <cfRule type="cellIs" dxfId="176" priority="275" operator="lessThan">
      <formula>0</formula>
    </cfRule>
  </conditionalFormatting>
  <conditionalFormatting sqref="DJ4:DJ34">
    <cfRule type="cellIs" dxfId="175" priority="274" operator="lessThan">
      <formula>0</formula>
    </cfRule>
  </conditionalFormatting>
  <conditionalFormatting sqref="DM4:DM34">
    <cfRule type="cellIs" dxfId="174" priority="273" operator="lessThan">
      <formula>0</formula>
    </cfRule>
  </conditionalFormatting>
  <conditionalFormatting sqref="DP4:DP34">
    <cfRule type="cellIs" dxfId="173" priority="272" operator="lessThan">
      <formula>0</formula>
    </cfRule>
  </conditionalFormatting>
  <conditionalFormatting sqref="DS4:DS34">
    <cfRule type="cellIs" dxfId="172" priority="271" operator="lessThan">
      <formula>0</formula>
    </cfRule>
  </conditionalFormatting>
  <conditionalFormatting sqref="CC9:CC34">
    <cfRule type="cellIs" dxfId="171" priority="270" operator="lessThan">
      <formula>0</formula>
    </cfRule>
  </conditionalFormatting>
  <conditionalFormatting sqref="CG4:CG8">
    <cfRule type="cellIs" dxfId="170" priority="269" operator="lessThan">
      <formula>0</formula>
    </cfRule>
  </conditionalFormatting>
  <conditionalFormatting sqref="CG9:CG34">
    <cfRule type="cellIs" dxfId="169" priority="268" operator="lessThan">
      <formula>0</formula>
    </cfRule>
  </conditionalFormatting>
  <conditionalFormatting sqref="CI9:CI34">
    <cfRule type="cellIs" dxfId="168" priority="267" operator="lessThan">
      <formula>0</formula>
    </cfRule>
  </conditionalFormatting>
  <conditionalFormatting sqref="DB3 DK3 CY3 CP3 DH3 DN3 DQ3 DT3 CL3:CM3 CD3 CH3 CF3 DE3 CV3:CV11">
    <cfRule type="cellIs" dxfId="167" priority="266" operator="lessThan">
      <formula>0</formula>
    </cfRule>
  </conditionalFormatting>
  <conditionalFormatting sqref="CQ3:CR3 DL3 DI3 DC3:DD3 DO3 DR3 CE3 CJ3:CK3 CN3:CO3 CT3:CU3 CW3:CX3 CZ3 DF3 DU3 CT4:CT8">
    <cfRule type="cellIs" dxfId="166" priority="265" operator="lessThan">
      <formula>0</formula>
    </cfRule>
  </conditionalFormatting>
  <conditionalFormatting sqref="DA3">
    <cfRule type="cellIs" dxfId="165" priority="264" operator="lessThan">
      <formula>0</formula>
    </cfRule>
  </conditionalFormatting>
  <conditionalFormatting sqref="DV3">
    <cfRule type="cellIs" dxfId="164" priority="263" operator="lessThan">
      <formula>0</formula>
    </cfRule>
  </conditionalFormatting>
  <conditionalFormatting sqref="DG3">
    <cfRule type="cellIs" dxfId="163" priority="262" operator="lessThan">
      <formula>0</formula>
    </cfRule>
  </conditionalFormatting>
  <conditionalFormatting sqref="DJ3">
    <cfRule type="cellIs" dxfId="162" priority="261" operator="lessThan">
      <formula>0</formula>
    </cfRule>
  </conditionalFormatting>
  <conditionalFormatting sqref="DM3">
    <cfRule type="cellIs" dxfId="161" priority="260" operator="lessThan">
      <formula>0</formula>
    </cfRule>
  </conditionalFormatting>
  <conditionalFormatting sqref="DP3">
    <cfRule type="cellIs" dxfId="160" priority="259" operator="lessThan">
      <formula>0</formula>
    </cfRule>
  </conditionalFormatting>
  <conditionalFormatting sqref="DS3">
    <cfRule type="cellIs" dxfId="159" priority="258" operator="lessThan">
      <formula>0</formula>
    </cfRule>
  </conditionalFormatting>
  <conditionalFormatting sqref="CC3">
    <cfRule type="cellIs" dxfId="158" priority="257" operator="lessThan">
      <formula>0</formula>
    </cfRule>
  </conditionalFormatting>
  <conditionalFormatting sqref="CG3">
    <cfRule type="cellIs" dxfId="157" priority="256" operator="lessThan">
      <formula>0</formula>
    </cfRule>
  </conditionalFormatting>
  <conditionalFormatting sqref="CI3:CI4">
    <cfRule type="cellIs" dxfId="156" priority="255" operator="lessThan">
      <formula>0</formula>
    </cfRule>
  </conditionalFormatting>
  <conditionalFormatting sqref="CS3:CS8">
    <cfRule type="cellIs" dxfId="155" priority="254" operator="lessThan">
      <formula>0</formula>
    </cfRule>
  </conditionalFormatting>
  <conditionalFormatting sqref="EC13:EC16 DW24:DW30 DY25:DY30 EA24:EA30 DX4:DX34">
    <cfRule type="cellIs" dxfId="154" priority="83" operator="lessThan">
      <formula>0</formula>
    </cfRule>
  </conditionalFormatting>
  <conditionalFormatting sqref="EA24:EA30">
    <cfRule type="cellIs" dxfId="153" priority="82" operator="lessThan">
      <formula>0</formula>
    </cfRule>
  </conditionalFormatting>
  <conditionalFormatting sqref="EC25:EC28">
    <cfRule type="cellIs" dxfId="152" priority="81" operator="lessThan">
      <formula>0</formula>
    </cfRule>
  </conditionalFormatting>
  <conditionalFormatting sqref="EC25:EC28">
    <cfRule type="cellIs" dxfId="151" priority="80" operator="lessThan">
      <formula>0</formula>
    </cfRule>
  </conditionalFormatting>
  <conditionalFormatting sqref="EC13:EC16">
    <cfRule type="cellIs" dxfId="150" priority="79" operator="lessThan">
      <formula>0</formula>
    </cfRule>
  </conditionalFormatting>
  <conditionalFormatting sqref="EC15:EC16">
    <cfRule type="cellIs" dxfId="149" priority="78" operator="lessThan">
      <formula>0</formula>
    </cfRule>
  </conditionalFormatting>
  <conditionalFormatting sqref="EE5:EE6 EE9:EE14 EG12:EG34 EE15:EF34">
    <cfRule type="cellIs" dxfId="148" priority="77" operator="lessThan">
      <formula>0</formula>
    </cfRule>
  </conditionalFormatting>
  <conditionalFormatting sqref="EC10:EC12">
    <cfRule type="cellIs" dxfId="147" priority="76" operator="lessThan">
      <formula>0</formula>
    </cfRule>
  </conditionalFormatting>
  <conditionalFormatting sqref="DW5:DW20 DY5:DY20 EA5:EA20">
    <cfRule type="cellIs" dxfId="146" priority="75" operator="lessThan">
      <formula>0</formula>
    </cfRule>
  </conditionalFormatting>
  <conditionalFormatting sqref="EA5:EA20">
    <cfRule type="cellIs" dxfId="145" priority="74" operator="lessThan">
      <formula>0</formula>
    </cfRule>
  </conditionalFormatting>
  <conditionalFormatting sqref="EF5:EF6 EF9:EF14">
    <cfRule type="cellIs" dxfId="144" priority="73" operator="lessThan">
      <formula>0</formula>
    </cfRule>
  </conditionalFormatting>
  <conditionalFormatting sqref="EC17">
    <cfRule type="cellIs" dxfId="143" priority="72" operator="lessThan">
      <formula>0</formula>
    </cfRule>
  </conditionalFormatting>
  <conditionalFormatting sqref="EC17">
    <cfRule type="cellIs" dxfId="142" priority="71" operator="lessThan">
      <formula>0</formula>
    </cfRule>
  </conditionalFormatting>
  <conditionalFormatting sqref="EC17">
    <cfRule type="cellIs" dxfId="141" priority="70" operator="lessThan">
      <formula>0</formula>
    </cfRule>
  </conditionalFormatting>
  <conditionalFormatting sqref="EC18">
    <cfRule type="cellIs" dxfId="140" priority="69" operator="lessThan">
      <formula>0</formula>
    </cfRule>
  </conditionalFormatting>
  <conditionalFormatting sqref="EC18">
    <cfRule type="cellIs" dxfId="139" priority="68" operator="lessThan">
      <formula>0</formula>
    </cfRule>
  </conditionalFormatting>
  <conditionalFormatting sqref="EC18">
    <cfRule type="cellIs" dxfId="138" priority="67" operator="lessThan">
      <formula>0</formula>
    </cfRule>
  </conditionalFormatting>
  <conditionalFormatting sqref="EC19:EC20">
    <cfRule type="cellIs" dxfId="137" priority="66" operator="lessThan">
      <formula>0</formula>
    </cfRule>
  </conditionalFormatting>
  <conditionalFormatting sqref="EC19:EC20">
    <cfRule type="cellIs" dxfId="136" priority="65" operator="lessThan">
      <formula>0</formula>
    </cfRule>
  </conditionalFormatting>
  <conditionalFormatting sqref="EC19:EC20">
    <cfRule type="cellIs" dxfId="135" priority="64" operator="lessThan">
      <formula>0</formula>
    </cfRule>
  </conditionalFormatting>
  <conditionalFormatting sqref="DW21">
    <cfRule type="cellIs" dxfId="134" priority="63" operator="lessThan">
      <formula>0</formula>
    </cfRule>
  </conditionalFormatting>
  <conditionalFormatting sqref="DY21">
    <cfRule type="cellIs" dxfId="133" priority="62" operator="lessThan">
      <formula>0</formula>
    </cfRule>
  </conditionalFormatting>
  <conditionalFormatting sqref="EA21">
    <cfRule type="cellIs" dxfId="132" priority="61" operator="lessThan">
      <formula>0</formula>
    </cfRule>
  </conditionalFormatting>
  <conditionalFormatting sqref="EA21">
    <cfRule type="cellIs" dxfId="131" priority="60" operator="lessThan">
      <formula>0</formula>
    </cfRule>
  </conditionalFormatting>
  <conditionalFormatting sqref="EC21">
    <cfRule type="cellIs" dxfId="130" priority="59" operator="lessThan">
      <formula>0</formula>
    </cfRule>
  </conditionalFormatting>
  <conditionalFormatting sqref="EC21">
    <cfRule type="cellIs" dxfId="129" priority="58" operator="lessThan">
      <formula>0</formula>
    </cfRule>
  </conditionalFormatting>
  <conditionalFormatting sqref="EC21">
    <cfRule type="cellIs" dxfId="128" priority="57" operator="lessThan">
      <formula>0</formula>
    </cfRule>
  </conditionalFormatting>
  <conditionalFormatting sqref="EC9">
    <cfRule type="cellIs" dxfId="127" priority="56" operator="lessThan">
      <formula>0</formula>
    </cfRule>
  </conditionalFormatting>
  <conditionalFormatting sqref="DW22:DW23">
    <cfRule type="cellIs" dxfId="126" priority="55" operator="lessThan">
      <formula>0</formula>
    </cfRule>
  </conditionalFormatting>
  <conditionalFormatting sqref="DY22:DY24">
    <cfRule type="cellIs" dxfId="125" priority="54" operator="lessThan">
      <formula>0</formula>
    </cfRule>
  </conditionalFormatting>
  <conditionalFormatting sqref="EA22:EA23">
    <cfRule type="cellIs" dxfId="124" priority="53" operator="lessThan">
      <formula>0</formula>
    </cfRule>
  </conditionalFormatting>
  <conditionalFormatting sqref="EA22:EA23">
    <cfRule type="cellIs" dxfId="123" priority="52" operator="lessThan">
      <formula>0</formula>
    </cfRule>
  </conditionalFormatting>
  <conditionalFormatting sqref="EC22:EC24">
    <cfRule type="cellIs" dxfId="122" priority="51" operator="lessThan">
      <formula>0</formula>
    </cfRule>
  </conditionalFormatting>
  <conditionalFormatting sqref="EC22:EC24">
    <cfRule type="cellIs" dxfId="121" priority="50" operator="lessThan">
      <formula>0</formula>
    </cfRule>
  </conditionalFormatting>
  <conditionalFormatting sqref="EC22:EC24">
    <cfRule type="cellIs" dxfId="120" priority="49" operator="lessThan">
      <formula>0</formula>
    </cfRule>
  </conditionalFormatting>
  <conditionalFormatting sqref="DW32">
    <cfRule type="cellIs" dxfId="119" priority="48" operator="lessThan">
      <formula>0</formula>
    </cfRule>
  </conditionalFormatting>
  <conditionalFormatting sqref="DY32">
    <cfRule type="cellIs" dxfId="118" priority="47" operator="lessThan">
      <formula>0</formula>
    </cfRule>
  </conditionalFormatting>
  <conditionalFormatting sqref="EA32">
    <cfRule type="cellIs" dxfId="117" priority="46" operator="lessThan">
      <formula>0</formula>
    </cfRule>
  </conditionalFormatting>
  <conditionalFormatting sqref="EA32">
    <cfRule type="cellIs" dxfId="116" priority="45" operator="lessThan">
      <formula>0</formula>
    </cfRule>
  </conditionalFormatting>
  <conditionalFormatting sqref="EC32">
    <cfRule type="cellIs" dxfId="115" priority="43" operator="lessThan">
      <formula>0</formula>
    </cfRule>
  </conditionalFormatting>
  <conditionalFormatting sqref="EC32">
    <cfRule type="cellIs" dxfId="114" priority="44" operator="lessThan">
      <formula>0</formula>
    </cfRule>
  </conditionalFormatting>
  <conditionalFormatting sqref="DZ34">
    <cfRule type="cellIs" dxfId="113" priority="42" operator="lessThan">
      <formula>0</formula>
    </cfRule>
  </conditionalFormatting>
  <conditionalFormatting sqref="EC6">
    <cfRule type="cellIs" dxfId="112" priority="40" operator="lessThan">
      <formula>0</formula>
    </cfRule>
  </conditionalFormatting>
  <conditionalFormatting sqref="EC7">
    <cfRule type="cellIs" dxfId="111" priority="39" operator="lessThan">
      <formula>0</formula>
    </cfRule>
  </conditionalFormatting>
  <conditionalFormatting sqref="EE7">
    <cfRule type="cellIs" dxfId="110" priority="38" operator="lessThan">
      <formula>0</formula>
    </cfRule>
  </conditionalFormatting>
  <conditionalFormatting sqref="EC8">
    <cfRule type="cellIs" dxfId="109" priority="36" operator="lessThan">
      <formula>0</formula>
    </cfRule>
  </conditionalFormatting>
  <conditionalFormatting sqref="EE8">
    <cfRule type="cellIs" dxfId="108" priority="35" operator="lessThan">
      <formula>0</formula>
    </cfRule>
  </conditionalFormatting>
  <conditionalFormatting sqref="EF8">
    <cfRule type="cellIs" dxfId="107" priority="34" operator="lessThan">
      <formula>0</formula>
    </cfRule>
  </conditionalFormatting>
  <conditionalFormatting sqref="EC29">
    <cfRule type="cellIs" dxfId="106" priority="33" operator="lessThan">
      <formula>0</formula>
    </cfRule>
  </conditionalFormatting>
  <conditionalFormatting sqref="EC29">
    <cfRule type="cellIs" dxfId="105" priority="32" operator="lessThan">
      <formula>0</formula>
    </cfRule>
  </conditionalFormatting>
  <conditionalFormatting sqref="EC30">
    <cfRule type="cellIs" dxfId="104" priority="31" operator="lessThan">
      <formula>0</formula>
    </cfRule>
  </conditionalFormatting>
  <conditionalFormatting sqref="EB34">
    <cfRule type="cellIs" dxfId="103" priority="41" operator="lessThan">
      <formula>0</formula>
    </cfRule>
  </conditionalFormatting>
  <conditionalFormatting sqref="EF7">
    <cfRule type="cellIs" dxfId="102" priority="37" operator="lessThan">
      <formula>0</formula>
    </cfRule>
  </conditionalFormatting>
  <conditionalFormatting sqref="EC30">
    <cfRule type="cellIs" dxfId="101" priority="30" operator="lessThan">
      <formula>0</formula>
    </cfRule>
  </conditionalFormatting>
  <conditionalFormatting sqref="DW33:DW34">
    <cfRule type="cellIs" dxfId="100" priority="29" operator="lessThan">
      <formula>0</formula>
    </cfRule>
  </conditionalFormatting>
  <conditionalFormatting sqref="DY33:DY34">
    <cfRule type="cellIs" dxfId="99" priority="28" operator="lessThan">
      <formula>0</formula>
    </cfRule>
  </conditionalFormatting>
  <conditionalFormatting sqref="EA33:EA34">
    <cfRule type="cellIs" dxfId="98" priority="27" operator="lessThan">
      <formula>0</formula>
    </cfRule>
  </conditionalFormatting>
  <conditionalFormatting sqref="EA33:EA34">
    <cfRule type="cellIs" dxfId="97" priority="26" operator="lessThan">
      <formula>0</formula>
    </cfRule>
  </conditionalFormatting>
  <conditionalFormatting sqref="EC33:EC34">
    <cfRule type="cellIs" dxfId="96" priority="24" operator="lessThan">
      <formula>0</formula>
    </cfRule>
  </conditionalFormatting>
  <conditionalFormatting sqref="EC33:EC34">
    <cfRule type="cellIs" dxfId="95" priority="25" operator="lessThan">
      <formula>0</formula>
    </cfRule>
  </conditionalFormatting>
  <conditionalFormatting sqref="DW31">
    <cfRule type="cellIs" dxfId="94" priority="23" operator="lessThan">
      <formula>0</formula>
    </cfRule>
  </conditionalFormatting>
  <conditionalFormatting sqref="DY31">
    <cfRule type="cellIs" dxfId="93" priority="22" operator="lessThan">
      <formula>0</formula>
    </cfRule>
  </conditionalFormatting>
  <conditionalFormatting sqref="EA31">
    <cfRule type="cellIs" dxfId="92" priority="21" operator="lessThan">
      <formula>0</formula>
    </cfRule>
  </conditionalFormatting>
  <conditionalFormatting sqref="EA31">
    <cfRule type="cellIs" dxfId="91" priority="20" operator="lessThan">
      <formula>0</formula>
    </cfRule>
  </conditionalFormatting>
  <conditionalFormatting sqref="EC31">
    <cfRule type="cellIs" dxfId="90" priority="19" operator="lessThan">
      <formula>0</formula>
    </cfRule>
  </conditionalFormatting>
  <conditionalFormatting sqref="EC31">
    <cfRule type="cellIs" dxfId="89" priority="18" operator="lessThan">
      <formula>0</formula>
    </cfRule>
  </conditionalFormatting>
  <conditionalFormatting sqref="DW4 DY4 EA4">
    <cfRule type="cellIs" dxfId="88" priority="17" operator="lessThan">
      <formula>0</formula>
    </cfRule>
  </conditionalFormatting>
  <conditionalFormatting sqref="EE4:EF4">
    <cfRule type="cellIs" dxfId="87" priority="16" operator="lessThan">
      <formula>0</formula>
    </cfRule>
  </conditionalFormatting>
  <conditionalFormatting sqref="EG6:EG11">
    <cfRule type="cellIs" dxfId="86" priority="15" operator="lessThan">
      <formula>0</formula>
    </cfRule>
  </conditionalFormatting>
  <conditionalFormatting sqref="DZ4:DZ33">
    <cfRule type="cellIs" dxfId="85" priority="14" operator="lessThan">
      <formula>0</formula>
    </cfRule>
  </conditionalFormatting>
  <conditionalFormatting sqref="EB4:EB33">
    <cfRule type="cellIs" dxfId="84" priority="13" operator="lessThan">
      <formula>0</formula>
    </cfRule>
  </conditionalFormatting>
  <conditionalFormatting sqref="ED4:ED34">
    <cfRule type="cellIs" dxfId="83" priority="12" operator="lessThan">
      <formula>0</formula>
    </cfRule>
  </conditionalFormatting>
  <conditionalFormatting sqref="DX3">
    <cfRule type="cellIs" dxfId="82" priority="11" operator="lessThan">
      <formula>0</formula>
    </cfRule>
  </conditionalFormatting>
  <conditionalFormatting sqref="EE3:EG3 EG4:EG5">
    <cfRule type="cellIs" dxfId="81" priority="10" operator="lessThan">
      <formula>0</formula>
    </cfRule>
  </conditionalFormatting>
  <conditionalFormatting sqref="DZ3">
    <cfRule type="cellIs" dxfId="80" priority="9" operator="lessThan">
      <formula>0</formula>
    </cfRule>
  </conditionalFormatting>
  <conditionalFormatting sqref="EB3">
    <cfRule type="cellIs" dxfId="79" priority="8" operator="lessThan">
      <formula>0</formula>
    </cfRule>
  </conditionalFormatting>
  <conditionalFormatting sqref="DW3">
    <cfRule type="cellIs" dxfId="78" priority="7" operator="lessThan">
      <formula>0</formula>
    </cfRule>
  </conditionalFormatting>
  <conditionalFormatting sqref="DY3">
    <cfRule type="cellIs" dxfId="77" priority="6" operator="lessThan">
      <formula>0</formula>
    </cfRule>
  </conditionalFormatting>
  <conditionalFormatting sqref="EA3">
    <cfRule type="cellIs" dxfId="76" priority="5" operator="lessThan">
      <formula>0</formula>
    </cfRule>
  </conditionalFormatting>
  <conditionalFormatting sqref="EA3">
    <cfRule type="cellIs" dxfId="75" priority="4" operator="lessThan">
      <formula>0</formula>
    </cfRule>
  </conditionalFormatting>
  <conditionalFormatting sqref="EC3:EC5">
    <cfRule type="cellIs" dxfId="74" priority="2" operator="lessThan">
      <formula>0</formula>
    </cfRule>
  </conditionalFormatting>
  <conditionalFormatting sqref="EC3:EC5">
    <cfRule type="cellIs" dxfId="73" priority="3" operator="lessThan">
      <formula>0</formula>
    </cfRule>
  </conditionalFormatting>
  <conditionalFormatting sqref="ED3">
    <cfRule type="cellIs" dxfId="72" priority="1" operator="lessThan">
      <formula>0</formula>
    </cfRule>
  </conditionalFormatting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U34"/>
  <sheetViews>
    <sheetView workbookViewId="0">
      <selection activeCell="DT18" sqref="DS18:DT18"/>
    </sheetView>
  </sheetViews>
  <sheetFormatPr defaultRowHeight="12.75"/>
  <sheetData>
    <row r="2" spans="14:14" ht="13.5" thickBot="1"/>
    <row r="3" spans="14:14" ht="13.5" thickBot="1">
      <c r="N3" s="22">
        <f>'[1]Sep 2019'!R3</f>
        <v>2054945</v>
      </c>
    </row>
    <row r="4" spans="14:14" ht="13.5" thickBot="1">
      <c r="N4" s="22">
        <f>'[1]Sep 2019'!R4</f>
        <v>2055440</v>
      </c>
    </row>
    <row r="5" spans="14:14" ht="13.5" thickBot="1">
      <c r="N5" s="22">
        <f>'[1]Sep 2019'!R5</f>
        <v>2056149</v>
      </c>
    </row>
    <row r="6" spans="14:14" ht="13.5" thickBot="1">
      <c r="N6" s="22">
        <f>'[1]Sep 2019'!R6</f>
        <v>2056651</v>
      </c>
    </row>
    <row r="7" spans="14:14" ht="13.5" thickBot="1">
      <c r="N7" s="22">
        <f>'[1]Sep 2019'!R7</f>
        <v>2057174</v>
      </c>
    </row>
    <row r="8" spans="14:14" ht="13.5" thickBot="1">
      <c r="N8" s="22">
        <f>'[1]Sep 2019'!R8</f>
        <v>2057715</v>
      </c>
    </row>
    <row r="9" spans="14:14" ht="13.5" thickBot="1">
      <c r="N9" s="22">
        <f>'[1]Sep 2019'!R9</f>
        <v>2058246</v>
      </c>
    </row>
    <row r="10" spans="14:14" ht="13.5" thickBot="1">
      <c r="N10" s="22">
        <f>'[1]Sep 2019'!R10</f>
        <v>2058780</v>
      </c>
    </row>
    <row r="11" spans="14:14" ht="13.5" thickBot="1">
      <c r="N11" s="22">
        <f>'[1]Sep 2019'!R11</f>
        <v>2059332</v>
      </c>
    </row>
    <row r="12" spans="14:14" ht="13.5" thickBot="1">
      <c r="N12" s="22">
        <f>'[1]Sep 2019'!R12</f>
        <v>2059908</v>
      </c>
    </row>
    <row r="13" spans="14:14" ht="13.5" thickBot="1">
      <c r="N13" s="22">
        <f>'[1]Sep 2019'!R13</f>
        <v>2060432</v>
      </c>
    </row>
    <row r="14" spans="14:14" ht="13.5" thickBot="1">
      <c r="N14" s="22">
        <f>'[1]Sep 2019'!R14</f>
        <v>2061086</v>
      </c>
    </row>
    <row r="15" spans="14:14" ht="13.5" thickBot="1">
      <c r="N15" s="22">
        <f>'[1]Sep 2019'!R15</f>
        <v>2061615</v>
      </c>
    </row>
    <row r="16" spans="14:14" ht="13.5" thickBot="1">
      <c r="N16" s="22">
        <f>'[1]Sep 2019'!R16</f>
        <v>2062113</v>
      </c>
    </row>
    <row r="17" spans="2:125" ht="13.5" thickBot="1">
      <c r="N17" s="22">
        <f>'[1]Sep 2019'!R17</f>
        <v>2062731</v>
      </c>
    </row>
    <row r="18" spans="2:125" ht="13.5" thickBot="1">
      <c r="N18" s="22">
        <f>'[1]Sep 2019'!R18</f>
        <v>2063291</v>
      </c>
      <c r="S18">
        <f>'[1]Sep 2019'!W18</f>
        <v>7</v>
      </c>
      <c r="DU18" s="23">
        <f>'[1]Sep 2019'!EA18</f>
        <v>0.67</v>
      </c>
    </row>
    <row r="19" spans="2:125" ht="13.5" thickBot="1">
      <c r="N19" s="22">
        <f>'[1]Sep 2019'!R19</f>
        <v>2063914</v>
      </c>
      <c r="S19">
        <f>'[1]Sep 2019'!W19</f>
        <v>7</v>
      </c>
      <c r="DU19" s="23">
        <f>'[1]Sep 2019'!EA19</f>
        <v>0.63</v>
      </c>
    </row>
    <row r="20" spans="2:125" ht="13.5" thickBot="1">
      <c r="N20" s="22">
        <f>'[1]Sep 2019'!R20</f>
        <v>2064501</v>
      </c>
      <c r="S20">
        <f>'[1]Sep 2019'!W20</f>
        <v>8</v>
      </c>
      <c r="DU20" s="23">
        <f>'[1]Sep 2019'!EA20</f>
        <v>0.69</v>
      </c>
    </row>
    <row r="21" spans="2:125" ht="13.5" thickBot="1">
      <c r="N21" s="22">
        <f>'[1]Sep 2019'!R21</f>
        <v>2065035</v>
      </c>
      <c r="P21">
        <f>'[1]Sep 2019'!T21</f>
        <v>426545</v>
      </c>
      <c r="S21">
        <f>'[1]Sep 2019'!W21</f>
        <v>8</v>
      </c>
      <c r="DU21" s="23">
        <f>'[1]Sep 2019'!EA21</f>
        <v>0.7</v>
      </c>
    </row>
    <row r="22" spans="2:125" ht="13.5" thickBot="1">
      <c r="B22">
        <f>'[1]Sep 2019'!B22</f>
        <v>9576003</v>
      </c>
      <c r="D22">
        <f>'[1]Sep 2019'!D22</f>
        <v>9185016</v>
      </c>
      <c r="G22">
        <f>'[1]Sep 2019'!G22</f>
        <v>1264</v>
      </c>
      <c r="H22">
        <f>'[1]Sep 2019'!$J$22</f>
        <v>729</v>
      </c>
      <c r="I22">
        <f>'[1]Sep 2019'!I22</f>
        <v>0</v>
      </c>
      <c r="J22">
        <v>729</v>
      </c>
      <c r="L22">
        <v>2321595</v>
      </c>
      <c r="N22" s="22">
        <f>'[1]Sep 2019'!R22</f>
        <v>2065573</v>
      </c>
      <c r="P22">
        <f>'[1]Sep 2019'!T22</f>
        <v>426720</v>
      </c>
      <c r="R22">
        <f>'[1]Sep 2019'!V22</f>
        <v>61.7</v>
      </c>
      <c r="S22">
        <f>'[1]Sep 2019'!W22</f>
        <v>14</v>
      </c>
      <c r="T22">
        <f>'[1]Sep 2019'!X22</f>
        <v>114723.6</v>
      </c>
      <c r="V22">
        <f>'[1]Sep 2019'!BO22</f>
        <v>20498</v>
      </c>
      <c r="X22">
        <f>'[1]Sep 2019'!Z22</f>
        <v>961</v>
      </c>
      <c r="Z22">
        <f>'[1]Sep 2019'!AB22</f>
        <v>2535</v>
      </c>
      <c r="AD22">
        <f>'[1]Sep 2019'!AF22</f>
        <v>542040</v>
      </c>
      <c r="AF22">
        <f>'[1]Sep 2019'!AH22</f>
        <v>48870</v>
      </c>
      <c r="AH22">
        <f>'[1]Sep 2019'!AJ22</f>
        <v>8302</v>
      </c>
      <c r="CA22">
        <f>'[1]Sep 2019'!CG22</f>
        <v>24323</v>
      </c>
      <c r="CD22">
        <f>'[1]Sep 2019'!CJ22</f>
        <v>32962</v>
      </c>
      <c r="CG22">
        <f>'[1]Sep 2019'!CM22</f>
        <v>6797</v>
      </c>
      <c r="CJ22">
        <f>'[1]Sep 2019'!CP22</f>
        <v>82233</v>
      </c>
      <c r="CM22">
        <f>'[1]Sep 2019'!CS22</f>
        <v>4366</v>
      </c>
      <c r="CP22">
        <f>'[1]Sep 2019'!CV22</f>
        <v>5316</v>
      </c>
      <c r="CS22">
        <f>'[1]Sep 2019'!CY22</f>
        <v>2440</v>
      </c>
      <c r="CV22">
        <f>'[1]Sep 2019'!DB22</f>
        <v>1679</v>
      </c>
      <c r="CY22">
        <f>'[1]Sep 2019'!DE22</f>
        <v>3575</v>
      </c>
      <c r="DB22">
        <f>'[1]Sep 2019'!DH22</f>
        <v>3444</v>
      </c>
      <c r="DE22">
        <f>'[1]Sep 2019'!DK22</f>
        <v>3861</v>
      </c>
      <c r="DH22">
        <f>'[1]Sep 2019'!DN22</f>
        <v>3171</v>
      </c>
      <c r="DK22">
        <f>'[1]Sep 2019'!DQ22</f>
        <v>112173</v>
      </c>
      <c r="DM22">
        <f>'[1]Sep 2019'!DS22</f>
        <v>52938</v>
      </c>
      <c r="DO22">
        <f>'[1]Sep 2019'!DU22</f>
        <v>15019</v>
      </c>
      <c r="DQ22">
        <f>'[1]Sep 2019'!DW22</f>
        <v>22622</v>
      </c>
      <c r="DU22" s="23">
        <f>'[1]Sep 2019'!EA22</f>
        <v>0.79</v>
      </c>
    </row>
    <row r="23" spans="2:125" ht="13.5" thickBot="1">
      <c r="B23">
        <f>'[1]Sep 2019'!B23</f>
        <v>9598864</v>
      </c>
      <c r="C23">
        <f>IF((B23-B22)&lt;0,"0",(B23-B22))</f>
        <v>22861</v>
      </c>
      <c r="D23">
        <f>'[1]Sep 2019'!D23</f>
        <v>9207028</v>
      </c>
      <c r="G23">
        <f>'[1]Sep 2019'!G23</f>
        <v>1264</v>
      </c>
      <c r="J23">
        <v>729</v>
      </c>
      <c r="L23">
        <f>'[1]Sep 2019'!P23</f>
        <v>2322786</v>
      </c>
      <c r="N23" s="22">
        <f>'[1]Sep 2019'!R23</f>
        <v>2066117</v>
      </c>
      <c r="P23">
        <f>'[1]Sep 2019'!T23</f>
        <v>426872</v>
      </c>
      <c r="R23">
        <f>'[1]Sep 2019'!V23</f>
        <v>60.9</v>
      </c>
      <c r="S23">
        <f>'[1]Sep 2019'!W23</f>
        <v>8</v>
      </c>
      <c r="T23">
        <f>'[1]Sep 2019'!X23</f>
        <v>114934</v>
      </c>
      <c r="V23">
        <f>'[1]Sep 2019'!BO23</f>
        <v>20580</v>
      </c>
      <c r="X23">
        <f>'[1]Sep 2019'!Z23</f>
        <v>961</v>
      </c>
      <c r="Z23">
        <f>'[1]Sep 2019'!AB23</f>
        <v>2538</v>
      </c>
      <c r="AH23">
        <f>'[1]Sep 2019'!AJ23</f>
        <v>8308</v>
      </c>
      <c r="CA23">
        <f>'[1]Sep 2019'!CG23</f>
        <v>24343</v>
      </c>
      <c r="CD23">
        <f>'[1]Sep 2019'!CJ23</f>
        <v>32970</v>
      </c>
      <c r="CG23">
        <f>'[1]Sep 2019'!CM23</f>
        <v>6824</v>
      </c>
      <c r="CJ23">
        <f>'[1]Sep 2019'!CP23</f>
        <v>82238</v>
      </c>
      <c r="CM23">
        <f>'[1]Sep 2019'!CS23</f>
        <v>4381</v>
      </c>
      <c r="CP23">
        <f>'[1]Sep 2019'!CV23</f>
        <v>5325</v>
      </c>
      <c r="CS23">
        <f>'[1]Sep 2019'!CY23</f>
        <v>2447</v>
      </c>
      <c r="CV23">
        <f>'[1]Sep 2019'!DB23</f>
        <v>1680</v>
      </c>
      <c r="CY23">
        <f>'[1]Sep 2019'!DE23</f>
        <v>3580</v>
      </c>
      <c r="DB23">
        <f>'[1]Sep 2019'!DH23</f>
        <v>3453</v>
      </c>
      <c r="DE23">
        <f>'[1]Sep 2019'!DK23</f>
        <v>3871</v>
      </c>
      <c r="DH23">
        <f>'[1]Sep 2019'!DN23</f>
        <v>3179</v>
      </c>
      <c r="DK23">
        <f>'[1]Sep 2019'!DQ23</f>
        <v>112173</v>
      </c>
      <c r="DM23">
        <f>'[1]Sep 2019'!DS23</f>
        <v>52938</v>
      </c>
      <c r="DO23">
        <f>'[1]Sep 2019'!DU23</f>
        <v>15019</v>
      </c>
      <c r="DQ23">
        <f>'[1]Sep 2019'!DW23</f>
        <v>22622</v>
      </c>
      <c r="DU23" s="23">
        <f>'[1]Sep 2019'!EA23</f>
        <v>0.83</v>
      </c>
    </row>
    <row r="24" spans="2:125" ht="13.5" thickBot="1">
      <c r="B24">
        <f>'[1]Sep 2019'!B24</f>
        <v>9621009</v>
      </c>
      <c r="D24">
        <f>'[1]Sep 2019'!D24</f>
        <v>9228427</v>
      </c>
      <c r="G24">
        <f>'[1]Sep 2019'!G24</f>
        <v>1264</v>
      </c>
      <c r="J24">
        <v>729</v>
      </c>
      <c r="L24">
        <f>'[1]Sep 2019'!P24</f>
        <v>2323995</v>
      </c>
      <c r="N24" s="22">
        <f>'[1]Sep 2019'!R24</f>
        <v>2066577</v>
      </c>
      <c r="P24">
        <f>'[1]Sep 2019'!T24</f>
        <v>426975</v>
      </c>
      <c r="R24">
        <f>'[1]Sep 2019'!V24</f>
        <v>58.8</v>
      </c>
      <c r="S24">
        <f>'[1]Sep 2019'!W24</f>
        <v>7</v>
      </c>
      <c r="T24">
        <f>'[1]Sep 2019'!X24</f>
        <v>115258</v>
      </c>
      <c r="V24">
        <f>'[1]Sep 2019'!BO24</f>
        <v>20661</v>
      </c>
      <c r="X24">
        <f>'[1]Sep 2019'!Z24</f>
        <v>961</v>
      </c>
      <c r="Z24">
        <f>'[1]Sep 2019'!AB24</f>
        <v>2544</v>
      </c>
      <c r="AH24">
        <f>'[1]Sep 2019'!AJ24</f>
        <v>8312</v>
      </c>
      <c r="CA24">
        <f>'[1]Sep 2019'!CG24</f>
        <v>24365</v>
      </c>
      <c r="CD24">
        <f>'[1]Sep 2019'!CJ24</f>
        <v>32980</v>
      </c>
      <c r="CG24">
        <f>'[1]Sep 2019'!CM24</f>
        <v>6859</v>
      </c>
      <c r="CJ24">
        <f>'[1]Sep 2019'!CP24</f>
        <v>82243</v>
      </c>
      <c r="CM24">
        <f>'[1]Sep 2019'!CS24</f>
        <v>4399</v>
      </c>
      <c r="CP24">
        <f>'[1]Sep 2019'!CV24</f>
        <v>5334</v>
      </c>
      <c r="CS24">
        <f>'[1]Sep 2019'!CY24</f>
        <v>2454</v>
      </c>
      <c r="CV24">
        <f>'[1]Sep 2019'!DB24</f>
        <v>1681</v>
      </c>
      <c r="CY24">
        <f>'[1]Sep 2019'!DE24</f>
        <v>3596</v>
      </c>
      <c r="DB24">
        <f>'[1]Sep 2019'!DH24</f>
        <v>3463</v>
      </c>
      <c r="DE24">
        <f>'[1]Sep 2019'!DK24</f>
        <v>3881</v>
      </c>
      <c r="DH24">
        <f>'[1]Sep 2019'!DN24</f>
        <v>3188</v>
      </c>
      <c r="DK24">
        <f>'[1]Sep 2019'!DQ24</f>
        <v>112173</v>
      </c>
      <c r="DM24">
        <f>'[1]Sep 2019'!DS24</f>
        <v>52938</v>
      </c>
      <c r="DO24">
        <f>'[1]Sep 2019'!DU24</f>
        <v>15019</v>
      </c>
      <c r="DQ24">
        <f>'[1]Sep 2019'!DW24</f>
        <v>22622</v>
      </c>
      <c r="DU24" s="23">
        <f>'[1]Sep 2019'!EA24</f>
        <v>0.85</v>
      </c>
    </row>
    <row r="25" spans="2:125" ht="13.5" thickBot="1">
      <c r="B25">
        <f>'[1]Sep 2019'!B25</f>
        <v>9644072</v>
      </c>
      <c r="D25">
        <f>'[1]Sep 2019'!D25</f>
        <v>9250623</v>
      </c>
      <c r="G25">
        <f>'[1]Sep 2019'!G25</f>
        <v>1264</v>
      </c>
      <c r="J25">
        <v>729</v>
      </c>
      <c r="L25">
        <f>'[1]Sep 2019'!P25</f>
        <v>2325704</v>
      </c>
      <c r="N25" s="22">
        <f>'[1]Sep 2019'!R25</f>
        <v>2067069</v>
      </c>
      <c r="P25">
        <f>'[1]Sep 2019'!T25</f>
        <v>427090</v>
      </c>
      <c r="R25">
        <f>'[1]Sep 2019'!V25</f>
        <v>61</v>
      </c>
      <c r="S25">
        <f>'[1]Sep 2019'!W25</f>
        <v>0</v>
      </c>
      <c r="T25">
        <f>'[1]Sep 2019'!X25</f>
        <v>115479</v>
      </c>
      <c r="V25">
        <f>'[1]Sep 2019'!BO25</f>
        <v>20744</v>
      </c>
      <c r="X25">
        <f>'[1]Sep 2019'!Z25</f>
        <v>962</v>
      </c>
      <c r="Z25">
        <f>'[1]Sep 2019'!AB25</f>
        <v>2544</v>
      </c>
      <c r="AH25">
        <f>'[1]Sep 2019'!AJ25</f>
        <v>8316</v>
      </c>
      <c r="CA25">
        <f>'[1]Sep 2019'!CG25</f>
        <v>24389</v>
      </c>
      <c r="CD25">
        <f>'[1]Sep 2019'!CJ25</f>
        <v>32988</v>
      </c>
      <c r="CG25">
        <f>'[1]Sep 2019'!CM25</f>
        <v>6890</v>
      </c>
      <c r="CJ25">
        <f>'[1]Sep 2019'!CP25</f>
        <v>82248</v>
      </c>
      <c r="CM25">
        <f>'[1]Sep 2019'!CS25</f>
        <v>4415</v>
      </c>
      <c r="CP25">
        <f>'[1]Sep 2019'!CV25</f>
        <v>5342</v>
      </c>
      <c r="CS25">
        <f>'[1]Sep 2019'!CY25</f>
        <v>2459</v>
      </c>
      <c r="CV25">
        <f>'[1]Sep 2019'!DB25</f>
        <v>1682</v>
      </c>
      <c r="CY25">
        <f>'[1]Sep 2019'!DE25</f>
        <v>3607</v>
      </c>
      <c r="DB25">
        <f>'[1]Sep 2019'!DH25</f>
        <v>3472</v>
      </c>
      <c r="DE25">
        <f>'[1]Sep 2019'!DK25</f>
        <v>3890</v>
      </c>
      <c r="DH25">
        <f>'[1]Sep 2019'!DN25</f>
        <v>3195</v>
      </c>
      <c r="DK25">
        <f>'[1]Sep 2019'!DQ25</f>
        <v>112173</v>
      </c>
      <c r="DM25">
        <f>'[1]Sep 2019'!DS25</f>
        <v>52938</v>
      </c>
      <c r="DO25">
        <f>'[1]Sep 2019'!DU25</f>
        <v>15019</v>
      </c>
      <c r="DQ25">
        <f>'[1]Sep 2019'!DW25</f>
        <v>22622</v>
      </c>
      <c r="DU25" s="23">
        <f>'[1]Sep 2019'!EA25</f>
        <v>0.85</v>
      </c>
    </row>
    <row r="26" spans="2:125" ht="13.5" thickBot="1">
      <c r="B26">
        <f>'[1]Sep 2019'!B26</f>
        <v>9666928</v>
      </c>
      <c r="D26">
        <f>'[1]Sep 2019'!D26</f>
        <v>9272670</v>
      </c>
      <c r="G26">
        <f>'[1]Sep 2019'!G26</f>
        <v>1264</v>
      </c>
      <c r="J26">
        <v>729</v>
      </c>
      <c r="L26">
        <f>'[1]Sep 2019'!P26</f>
        <v>2327245</v>
      </c>
      <c r="N26" s="22">
        <f>'[1]Sep 2019'!R26</f>
        <v>2067623</v>
      </c>
      <c r="P26">
        <f>'[1]Sep 2019'!T26</f>
        <v>427227</v>
      </c>
      <c r="R26">
        <f>'[1]Sep 2019'!V26</f>
        <v>58.24</v>
      </c>
      <c r="S26">
        <f>'[1]Sep 2019'!W26</f>
        <v>5</v>
      </c>
      <c r="T26">
        <f>'[1]Sep 2019'!X26</f>
        <v>115633</v>
      </c>
      <c r="V26">
        <f>'[1]Sep 2019'!BO26</f>
        <v>20819</v>
      </c>
      <c r="X26">
        <f>'[1]Sep 2019'!Z26</f>
        <v>962</v>
      </c>
      <c r="Z26">
        <f>'[1]Sep 2019'!AB26</f>
        <v>2554</v>
      </c>
      <c r="AH26">
        <f>'[1]Sep 2019'!AJ26</f>
        <v>8321</v>
      </c>
      <c r="CA26">
        <f>'[1]Sep 2019'!CG26</f>
        <v>24414</v>
      </c>
      <c r="CD26">
        <f>'[1]Sep 2019'!CJ26</f>
        <v>32998</v>
      </c>
      <c r="CG26">
        <f>'[1]Sep 2019'!CM26</f>
        <v>6918</v>
      </c>
      <c r="CJ26">
        <f>'[1]Sep 2019'!CP26</f>
        <v>82257</v>
      </c>
      <c r="CM26">
        <f>'[1]Sep 2019'!CS26</f>
        <v>4427</v>
      </c>
      <c r="CP26">
        <f>'[1]Sep 2019'!CV26</f>
        <v>5352</v>
      </c>
      <c r="CS26">
        <f>'[1]Sep 2019'!CY26</f>
        <v>2465</v>
      </c>
      <c r="CV26">
        <f>'[1]Sep 2019'!DB26</f>
        <v>1683</v>
      </c>
      <c r="CY26">
        <f>'[1]Sep 2019'!DE26</f>
        <v>3618</v>
      </c>
      <c r="DB26">
        <f>'[1]Sep 2019'!DH26</f>
        <v>3482</v>
      </c>
      <c r="DE26">
        <f>'[1]Sep 2019'!DK26</f>
        <v>3900</v>
      </c>
      <c r="DH26">
        <f>'[1]Sep 2019'!DN26</f>
        <v>3203</v>
      </c>
      <c r="DK26">
        <f>'[1]Sep 2019'!DQ26</f>
        <v>112173</v>
      </c>
      <c r="DM26">
        <f>'[1]Sep 2019'!DS26</f>
        <v>52938</v>
      </c>
      <c r="DO26">
        <f>'[1]Sep 2019'!DU26</f>
        <v>15019</v>
      </c>
      <c r="DQ26">
        <f>'[1]Sep 2019'!DW26</f>
        <v>22622</v>
      </c>
      <c r="DU26" s="23">
        <f>'[1]Sep 2019'!EA26</f>
        <v>0.82</v>
      </c>
    </row>
    <row r="27" spans="2:125" ht="13.5" thickBot="1">
      <c r="B27">
        <f>'[1]Sep 2019'!B27</f>
        <v>9690612</v>
      </c>
      <c r="D27">
        <f>'[1]Sep 2019'!D27</f>
        <v>9295412</v>
      </c>
      <c r="G27">
        <f>'[1]Sep 2019'!G27</f>
        <v>1264</v>
      </c>
      <c r="J27">
        <v>729</v>
      </c>
      <c r="L27">
        <f>'[1]Sep 2019'!P27</f>
        <v>2327908</v>
      </c>
      <c r="N27" s="22">
        <f>'[1]Sep 2019'!R27</f>
        <v>2068165</v>
      </c>
      <c r="P27">
        <f>'[1]Sep 2019'!T27</f>
        <v>427316</v>
      </c>
      <c r="R27">
        <f>'[1]Sep 2019'!V27</f>
        <v>50.81</v>
      </c>
      <c r="S27">
        <f>'[1]Sep 2019'!W27</f>
        <v>10</v>
      </c>
      <c r="T27">
        <f>'[1]Sep 2019'!X27</f>
        <v>115855</v>
      </c>
      <c r="V27">
        <f>'[1]Sep 2019'!BO27</f>
        <v>20905</v>
      </c>
      <c r="X27">
        <f>'[1]Sep 2019'!Z27</f>
        <v>963</v>
      </c>
      <c r="Z27">
        <f>'[1]Sep 2019'!AB27</f>
        <v>2563</v>
      </c>
      <c r="AH27">
        <f>'[1]Sep 2019'!AJ27</f>
        <v>8325</v>
      </c>
      <c r="CA27">
        <f>'[1]Sep 2019'!CG27</f>
        <v>24440</v>
      </c>
      <c r="CD27">
        <f>'[1]Sep 2019'!CJ27</f>
        <v>33006</v>
      </c>
      <c r="CG27">
        <f>'[1]Sep 2019'!CM27</f>
        <v>6945</v>
      </c>
      <c r="CJ27">
        <f>'[1]Sep 2019'!CP27</f>
        <v>82264</v>
      </c>
      <c r="CM27">
        <f>'[1]Sep 2019'!CS27</f>
        <v>4439</v>
      </c>
      <c r="CP27">
        <f>'[1]Sep 2019'!CV27</f>
        <v>5361</v>
      </c>
      <c r="CS27">
        <f>'[1]Sep 2019'!CY27</f>
        <v>2472</v>
      </c>
      <c r="CV27">
        <f>'[1]Sep 2019'!DB27</f>
        <v>1684</v>
      </c>
      <c r="CY27">
        <f>'[1]Sep 2019'!DE27</f>
        <v>3629</v>
      </c>
      <c r="DB27">
        <f>'[1]Sep 2019'!DH27</f>
        <v>3492</v>
      </c>
      <c r="DE27">
        <f>'[1]Sep 2019'!DK27</f>
        <v>3911</v>
      </c>
      <c r="DH27">
        <f>'[1]Sep 2019'!DN27</f>
        <v>3212</v>
      </c>
      <c r="DK27">
        <f>'[1]Sep 2019'!DQ27</f>
        <v>112173</v>
      </c>
      <c r="DM27">
        <f>'[1]Sep 2019'!DS27</f>
        <v>52938</v>
      </c>
      <c r="DO27">
        <f>'[1]Sep 2019'!DU27</f>
        <v>15019</v>
      </c>
      <c r="DQ27">
        <f>'[1]Sep 2019'!DW27</f>
        <v>22622</v>
      </c>
      <c r="DU27" s="23">
        <f>'[1]Sep 2019'!EA27</f>
        <v>0.69</v>
      </c>
    </row>
    <row r="28" spans="2:125" ht="13.5" thickBot="1">
      <c r="B28">
        <f>'[1]Sep 2019'!B28</f>
        <v>9714311</v>
      </c>
      <c r="D28">
        <f>'[1]Sep 2019'!D28</f>
        <v>9318320</v>
      </c>
      <c r="G28">
        <f>'[1]Sep 2019'!G28</f>
        <v>1264</v>
      </c>
      <c r="J28">
        <v>729</v>
      </c>
      <c r="L28">
        <f>'[1]Sep 2019'!P28</f>
        <v>2329030</v>
      </c>
      <c r="N28" s="22">
        <f>'[1]Sep 2019'!R28</f>
        <v>2068716</v>
      </c>
      <c r="P28">
        <f>'[1]Sep 2019'!T28</f>
        <v>427432</v>
      </c>
      <c r="R28">
        <f>'[1]Sep 2019'!V28</f>
        <v>48.5</v>
      </c>
      <c r="S28">
        <f>'[1]Sep 2019'!W28</f>
        <v>7</v>
      </c>
      <c r="T28">
        <f>'[1]Sep 2019'!X28</f>
        <v>116109</v>
      </c>
      <c r="V28">
        <f>'[1]Sep 2019'!BO28</f>
        <v>20989</v>
      </c>
      <c r="X28">
        <f>'[1]Sep 2019'!Z28</f>
        <v>964</v>
      </c>
      <c r="Z28">
        <f>'[1]Sep 2019'!AB28</f>
        <v>2563</v>
      </c>
      <c r="AH28">
        <f>'[1]Sep 2019'!AJ28</f>
        <v>8327</v>
      </c>
      <c r="CA28">
        <f>'[1]Sep 2019'!CG28</f>
        <v>24494</v>
      </c>
      <c r="CD28">
        <f>'[1]Sep 2019'!CJ28</f>
        <v>33009</v>
      </c>
      <c r="CG28">
        <f>'[1]Sep 2019'!CM28</f>
        <v>6963</v>
      </c>
      <c r="CJ28">
        <f>'[1]Sep 2019'!CP28</f>
        <v>81270</v>
      </c>
      <c r="CM28">
        <f>'[1]Sep 2019'!CS28</f>
        <v>4453</v>
      </c>
      <c r="CP28">
        <f>'[1]Sep 2019'!CV28</f>
        <v>5370</v>
      </c>
      <c r="CS28">
        <f>'[1]Sep 2019'!CY28</f>
        <v>2472.9</v>
      </c>
      <c r="CV28">
        <f>'[1]Sep 2019'!DB28</f>
        <v>1685</v>
      </c>
      <c r="CY28">
        <f>'[1]Sep 2019'!DE28</f>
        <v>3640</v>
      </c>
      <c r="DB28">
        <f>'[1]Sep 2019'!DH28</f>
        <v>3502</v>
      </c>
      <c r="DE28">
        <f>'[1]Sep 2019'!DK28</f>
        <v>3919</v>
      </c>
      <c r="DH28">
        <f>'[1]Sep 2019'!DN28</f>
        <v>3220.6</v>
      </c>
      <c r="DK28">
        <f>'[1]Sep 2019'!DQ28</f>
        <v>112173</v>
      </c>
      <c r="DM28">
        <f>'[1]Sep 2019'!DS28</f>
        <v>52938</v>
      </c>
      <c r="DO28">
        <f>'[1]Sep 2019'!DU28</f>
        <v>15019</v>
      </c>
      <c r="DQ28">
        <f>'[1]Sep 2019'!DW28</f>
        <v>22622</v>
      </c>
      <c r="DU28" s="23">
        <f>'[1]Sep 2019'!EA28</f>
        <v>0.85</v>
      </c>
    </row>
    <row r="29" spans="2:125" ht="13.5" thickBot="1">
      <c r="B29">
        <f>'[1]Sep 2019'!B29</f>
        <v>9739019</v>
      </c>
      <c r="D29">
        <f>'[1]Sep 2019'!D29</f>
        <v>9342039</v>
      </c>
      <c r="G29">
        <f>'[1]Sep 2019'!G29</f>
        <v>1264</v>
      </c>
      <c r="J29">
        <v>729</v>
      </c>
      <c r="L29">
        <f>'[1]Sep 2019'!P29</f>
        <v>2330162</v>
      </c>
      <c r="N29" s="22">
        <f>'[1]Sep 2019'!R29</f>
        <v>2069255</v>
      </c>
      <c r="P29">
        <f>'[1]Sep 2019'!T29</f>
        <v>427491</v>
      </c>
      <c r="R29">
        <f>'[1]Sep 2019'!V29</f>
        <v>46.83</v>
      </c>
      <c r="S29">
        <f>'[1]Sep 2019'!W29</f>
        <v>9</v>
      </c>
      <c r="T29">
        <f>'[1]Sep 2019'!X29</f>
        <v>116341</v>
      </c>
      <c r="V29">
        <f>'[1]Sep 2019'!BO29</f>
        <v>21072</v>
      </c>
      <c r="X29">
        <f>'[1]Sep 2019'!Z29</f>
        <v>965</v>
      </c>
      <c r="Z29">
        <f>'[1]Sep 2019'!AB29</f>
        <v>2573</v>
      </c>
      <c r="AH29">
        <f>'[1]Sep 2019'!AJ29</f>
        <v>8331</v>
      </c>
      <c r="BZ29">
        <v>6712</v>
      </c>
      <c r="CA29">
        <f>'[1]Sep 2019'!CG29</f>
        <v>24546</v>
      </c>
      <c r="CD29">
        <f>'[1]Sep 2019'!CJ29</f>
        <v>33017</v>
      </c>
      <c r="CG29">
        <f>'[1]Sep 2019'!CM29</f>
        <v>6987</v>
      </c>
      <c r="CJ29">
        <f>'[1]Sep 2019'!CP29</f>
        <v>82276</v>
      </c>
      <c r="CM29">
        <f>'[1]Sep 2019'!CS29</f>
        <v>4464</v>
      </c>
      <c r="CP29">
        <f>'[1]Sep 2019'!CV29</f>
        <v>5379</v>
      </c>
      <c r="CS29">
        <f>'[1]Sep 2019'!CY29</f>
        <v>2484</v>
      </c>
      <c r="CV29">
        <f>'[1]Sep 2019'!DB29</f>
        <v>1686.7</v>
      </c>
      <c r="CY29">
        <f>'[1]Sep 2019'!DE29</f>
        <v>3650</v>
      </c>
      <c r="DB29">
        <f>'[1]Sep 2019'!DH29</f>
        <v>3511</v>
      </c>
      <c r="DE29">
        <f>'[1]Sep 2019'!DK29</f>
        <v>3926</v>
      </c>
      <c r="DH29">
        <f>'[1]Sep 2019'!DN29</f>
        <v>3227</v>
      </c>
      <c r="DK29">
        <f>'[1]Sep 2019'!DQ29</f>
        <v>112173</v>
      </c>
      <c r="DM29">
        <f>'[1]Sep 2019'!DS29</f>
        <v>52938</v>
      </c>
      <c r="DO29">
        <f>'[1]Sep 2019'!DU29</f>
        <v>15019</v>
      </c>
      <c r="DQ29">
        <f>'[1]Sep 2019'!DW29</f>
        <v>22622</v>
      </c>
      <c r="DU29" s="23">
        <f>'[1]Sep 2019'!EA29</f>
        <v>0.85</v>
      </c>
    </row>
    <row r="30" spans="2:125" ht="13.5" thickBot="1">
      <c r="B30">
        <f>'[1]Sep 2019'!B30</f>
        <v>9764276</v>
      </c>
      <c r="D30">
        <f>'[1]Sep 2019'!D30</f>
        <v>9369634</v>
      </c>
      <c r="G30">
        <f>'[1]Sep 2019'!G30</f>
        <v>1264</v>
      </c>
      <c r="J30">
        <v>729</v>
      </c>
      <c r="L30">
        <f>'[1]Sep 2019'!P30</f>
        <v>2331403</v>
      </c>
      <c r="N30" s="22">
        <f>'[1]Sep 2019'!R30</f>
        <v>2069799</v>
      </c>
      <c r="P30">
        <f>'[1]Sep 2019'!T30</f>
        <v>427500</v>
      </c>
      <c r="R30">
        <f>'[1]Sep 2019'!V30</f>
        <v>68.42</v>
      </c>
      <c r="S30">
        <f>'[1]Sep 2019'!W30</f>
        <v>16</v>
      </c>
      <c r="T30">
        <f>'[1]Sep 2019'!X30</f>
        <v>116799</v>
      </c>
      <c r="V30">
        <f>'[1]Sep 2019'!BO30</f>
        <v>21156</v>
      </c>
      <c r="X30">
        <f>'[1]Sep 2019'!Z30</f>
        <v>965</v>
      </c>
      <c r="Z30">
        <f>'[1]Sep 2019'!AB30</f>
        <v>2583</v>
      </c>
      <c r="AH30">
        <f>'[1]Sep 2019'!AJ30</f>
        <v>8335</v>
      </c>
      <c r="CA30">
        <f>'[1]Sep 2019'!CG30</f>
        <v>24606</v>
      </c>
      <c r="CD30">
        <f>'[1]Sep 2019'!CJ30</f>
        <v>33026</v>
      </c>
      <c r="CG30">
        <f>'[1]Sep 2019'!CM30</f>
        <v>7009</v>
      </c>
      <c r="CJ30">
        <f>'[1]Sep 2019'!CP30</f>
        <v>82281</v>
      </c>
      <c r="CM30">
        <f>'[1]Sep 2019'!CS30</f>
        <v>4477</v>
      </c>
      <c r="CP30">
        <f>'[1]Sep 2019'!CV30</f>
        <v>5388</v>
      </c>
      <c r="CS30">
        <f>'[1]Sep 2019'!CY30</f>
        <v>2490</v>
      </c>
      <c r="CV30">
        <f>'[1]Sep 2019'!DB30</f>
        <v>1687.8</v>
      </c>
      <c r="CY30">
        <f>'[1]Sep 2019'!DE30</f>
        <v>3659</v>
      </c>
      <c r="DB30">
        <f>'[1]Sep 2019'!DH30</f>
        <v>3521</v>
      </c>
      <c r="DE30">
        <f>'[1]Sep 2019'!DK30</f>
        <v>3936</v>
      </c>
      <c r="DH30">
        <f>'[1]Sep 2019'!DN30</f>
        <v>3235</v>
      </c>
      <c r="DK30">
        <f>'[1]Sep 2019'!DQ30</f>
        <v>112173</v>
      </c>
      <c r="DM30">
        <f>'[1]Sep 2019'!DS30</f>
        <v>52938</v>
      </c>
      <c r="DO30">
        <f>'[1]Sep 2019'!DU30</f>
        <v>15111</v>
      </c>
      <c r="DQ30">
        <f>'[1]Sep 2019'!DW30</f>
        <v>22622</v>
      </c>
      <c r="DU30" s="23">
        <f>'[1]Sep 2019'!EA30</f>
        <v>0.82</v>
      </c>
    </row>
    <row r="31" spans="2:125" ht="13.5" thickBot="1">
      <c r="B31">
        <f>'[1]Sep 2019'!B31</f>
        <v>9788235</v>
      </c>
      <c r="D31">
        <f>'[1]Sep 2019'!D31</f>
        <v>9389524</v>
      </c>
      <c r="G31">
        <f>'[1]Sep 2019'!G31</f>
        <v>1264</v>
      </c>
      <c r="J31">
        <v>729</v>
      </c>
      <c r="L31">
        <f>'[1]Sep 2019'!P31</f>
        <v>2332288</v>
      </c>
      <c r="N31" s="22">
        <f>'[1]Sep 2019'!R31</f>
        <v>2070337</v>
      </c>
      <c r="P31">
        <f>'[1]Sep 2019'!T31</f>
        <v>427708</v>
      </c>
      <c r="R31">
        <f>'[1]Sep 2019'!V31</f>
        <v>61.73</v>
      </c>
      <c r="S31">
        <f>'[1]Sep 2019'!W31</f>
        <v>5</v>
      </c>
      <c r="T31">
        <f>'[1]Sep 2019'!X31</f>
        <v>116939</v>
      </c>
      <c r="V31">
        <f>'[1]Sep 2019'!BO31</f>
        <v>21234</v>
      </c>
      <c r="X31">
        <f>'[1]Sep 2019'!Z31</f>
        <v>965</v>
      </c>
      <c r="Z31">
        <f>'[1]Sep 2019'!AB31</f>
        <v>2585</v>
      </c>
      <c r="AH31">
        <f>'[1]Sep 2019'!AJ31</f>
        <v>8338</v>
      </c>
      <c r="CA31">
        <f>'[1]Sep 2019'!CG31</f>
        <v>24663</v>
      </c>
      <c r="CD31">
        <f>'[1]Sep 2019'!CJ31</f>
        <v>33034</v>
      </c>
      <c r="CG31">
        <f>'[1]Sep 2019'!CM31</f>
        <v>7031</v>
      </c>
      <c r="CJ31">
        <f>'[1]Sep 2019'!CP31</f>
        <v>82286</v>
      </c>
      <c r="CM31">
        <f>'[1]Sep 2019'!CS31</f>
        <v>4486</v>
      </c>
      <c r="CP31">
        <f>'[1]Sep 2019'!CV31</f>
        <v>5398</v>
      </c>
      <c r="CS31">
        <f>'[1]Sep 2019'!CY31</f>
        <v>2497</v>
      </c>
      <c r="CV31">
        <f>'[1]Sep 2019'!DB31</f>
        <v>1688.9</v>
      </c>
      <c r="CY31">
        <f>'[1]Sep 2019'!DE31</f>
        <v>3669</v>
      </c>
      <c r="DB31">
        <f>'[1]Sep 2019'!DH31</f>
        <v>3531</v>
      </c>
      <c r="DE31">
        <f>'[1]Sep 2019'!DK31</f>
        <v>3945</v>
      </c>
      <c r="DH31">
        <f>'[1]Sep 2019'!DN31</f>
        <v>3242</v>
      </c>
      <c r="DK31">
        <f>'[1]Sep 2019'!DQ31</f>
        <v>112173</v>
      </c>
      <c r="DM31">
        <f>'[1]Sep 2019'!DS31</f>
        <v>52938</v>
      </c>
      <c r="DO31">
        <f>'[1]Sep 2019'!DU31</f>
        <v>15111</v>
      </c>
      <c r="DQ31">
        <f>'[1]Sep 2019'!DW31</f>
        <v>22622</v>
      </c>
      <c r="DU31" s="23">
        <f>'[1]Sep 2019'!EA31</f>
        <v>0.88</v>
      </c>
    </row>
    <row r="32" spans="2:125" ht="13.5" thickBot="1">
      <c r="B32">
        <f>'[1]Sep 2019'!B32</f>
        <v>9813889</v>
      </c>
      <c r="D32">
        <f>'[1]Sep 2019'!D32</f>
        <v>9414268</v>
      </c>
      <c r="G32">
        <f>'[1]Sep 2019'!G32</f>
        <v>1264</v>
      </c>
      <c r="J32">
        <v>729</v>
      </c>
      <c r="L32">
        <f>'[1]Sep 2019'!P32</f>
        <v>2333027</v>
      </c>
      <c r="N32" s="22">
        <f>'[1]Sep 2019'!R32</f>
        <v>2070888</v>
      </c>
      <c r="P32">
        <f>'[1]Sep 2019'!T32</f>
        <v>427772</v>
      </c>
      <c r="R32">
        <f>'[1]Sep 2019'!V32</f>
        <v>60.13</v>
      </c>
      <c r="S32">
        <f>'[1]Sep 2019'!W32</f>
        <v>8</v>
      </c>
      <c r="T32">
        <f>'[1]Sep 2019'!X32</f>
        <v>117024</v>
      </c>
      <c r="V32">
        <f>'[1]Sep 2019'!BO32</f>
        <v>21378</v>
      </c>
      <c r="X32">
        <f>'[1]Sep 2019'!Z32</f>
        <v>965</v>
      </c>
      <c r="Z32">
        <f>'[1]Sep 2019'!AB32</f>
        <v>2606</v>
      </c>
      <c r="AH32">
        <f>'[1]Sep 2019'!AJ32</f>
        <v>8341</v>
      </c>
      <c r="CA32">
        <f>'[1]Sep 2019'!CG32</f>
        <v>24718</v>
      </c>
      <c r="CD32">
        <f>'[1]Sep 2019'!CJ32</f>
        <v>33042</v>
      </c>
      <c r="CG32">
        <f>'[1]Sep 2019'!CM32</f>
        <v>7053</v>
      </c>
      <c r="CJ32">
        <f>'[1]Sep 2019'!CP32</f>
        <v>82295</v>
      </c>
      <c r="CM32">
        <f>'[1]Sep 2019'!CS32</f>
        <v>4497</v>
      </c>
      <c r="CP32">
        <f>'[1]Sep 2019'!CV32</f>
        <v>5407</v>
      </c>
      <c r="CS32">
        <f>'[1]Sep 2019'!CY32</f>
        <v>2503</v>
      </c>
      <c r="CV32">
        <f>'[1]Sep 2019'!DB32</f>
        <v>1690</v>
      </c>
      <c r="CY32">
        <f>'[1]Sep 2019'!DE32</f>
        <v>3679</v>
      </c>
      <c r="DB32">
        <f>'[1]Sep 2019'!DH32</f>
        <v>3541</v>
      </c>
      <c r="DE32">
        <f>'[1]Sep 2019'!DK32</f>
        <v>3955</v>
      </c>
      <c r="DH32">
        <f>'[1]Sep 2019'!DN32</f>
        <v>3250</v>
      </c>
      <c r="DK32">
        <f>'[1]Sep 2019'!DQ32</f>
        <v>112173</v>
      </c>
      <c r="DM32">
        <f>'[1]Sep 2019'!DS32</f>
        <v>52938</v>
      </c>
      <c r="DO32">
        <f>'[1]Sep 2019'!DU32</f>
        <v>15111</v>
      </c>
      <c r="DQ32">
        <f>'[1]Sep 2019'!DW32</f>
        <v>22622</v>
      </c>
      <c r="DU32" s="23">
        <f>'[1]Sep 2019'!EA32</f>
        <v>0.77</v>
      </c>
    </row>
    <row r="33" spans="2:125" ht="13.5" thickBot="1">
      <c r="B33">
        <f>'[1]Sep 2019'!B33</f>
        <v>9838014</v>
      </c>
      <c r="D33">
        <f>'[1]Sep 2019'!D33</f>
        <v>9437590</v>
      </c>
      <c r="G33">
        <f>'[1]Sep 2019'!G33</f>
        <v>1264</v>
      </c>
      <c r="J33">
        <v>729</v>
      </c>
      <c r="L33">
        <f>'[1]Sep 2019'!P33</f>
        <v>2334027</v>
      </c>
      <c r="N33" s="22">
        <f>'[1]Sep 2019'!R33</f>
        <v>2071438</v>
      </c>
      <c r="P33">
        <f>'[1]Sep 2019'!T33</f>
        <v>427875</v>
      </c>
      <c r="R33">
        <f>'[1]Sep 2019'!V33</f>
        <v>67.77</v>
      </c>
      <c r="S33">
        <f>'[1]Sep 2019'!W33</f>
        <v>8</v>
      </c>
      <c r="T33">
        <f>'[1]Sep 2019'!X33</f>
        <v>117307</v>
      </c>
      <c r="V33">
        <f>'[1]Sep 2019'!BO33</f>
        <v>21407</v>
      </c>
      <c r="X33">
        <f>'[1]Sep 2019'!Z33</f>
        <v>966</v>
      </c>
      <c r="Z33">
        <f>'[1]Sep 2019'!AB33</f>
        <v>2607</v>
      </c>
      <c r="AH33">
        <f>'[1]Sep 2019'!AJ33</f>
        <v>8343</v>
      </c>
      <c r="CA33">
        <f>'[1]Sep 2019'!CG33</f>
        <v>24757</v>
      </c>
      <c r="CD33">
        <f>'[1]Sep 2019'!CJ33</f>
        <v>33050</v>
      </c>
      <c r="CG33">
        <f>'[1]Sep 2019'!CM33</f>
        <v>7073</v>
      </c>
      <c r="CJ33">
        <f>'[1]Sep 2019'!CP33</f>
        <v>82301</v>
      </c>
      <c r="CM33">
        <f>'[1]Sep 2019'!CS33</f>
        <v>4506</v>
      </c>
      <c r="CP33">
        <f>'[1]Sep 2019'!CV33</f>
        <v>5415</v>
      </c>
      <c r="CS33">
        <f>'[1]Sep 2019'!CY33</f>
        <v>2506</v>
      </c>
      <c r="CV33">
        <f>'[1]Sep 2019'!DB33</f>
        <v>1691</v>
      </c>
      <c r="CY33">
        <f>'[1]Sep 2019'!DE33</f>
        <v>3688</v>
      </c>
      <c r="DB33">
        <f>'[1]Sep 2019'!DH33</f>
        <v>3550</v>
      </c>
      <c r="DE33">
        <f>'[1]Sep 2019'!DK33</f>
        <v>3964</v>
      </c>
      <c r="DH33">
        <f>'[1]Sep 2019'!DN33</f>
        <v>3258</v>
      </c>
      <c r="DK33">
        <f>'[1]Sep 2019'!DQ33</f>
        <v>114104</v>
      </c>
      <c r="DM33">
        <f>'[1]Sep 2019'!DS33</f>
        <v>53636</v>
      </c>
      <c r="DO33">
        <f>'[1]Sep 2019'!DU33</f>
        <v>15139</v>
      </c>
      <c r="DQ33">
        <f>'[1]Sep 2019'!DW33</f>
        <v>22854</v>
      </c>
      <c r="DU33" s="23">
        <f>'[1]Sep 2019'!EA33</f>
        <v>0.76</v>
      </c>
    </row>
    <row r="34" spans="2:125" ht="13.5" thickBot="1">
      <c r="B34" s="19">
        <f>'[1]Sep 2019'!B34</f>
        <v>0</v>
      </c>
      <c r="D34">
        <f>'[1]Sep 2019'!D34</f>
        <v>0</v>
      </c>
      <c r="G34">
        <f>'[1]Sep 2019'!G34</f>
        <v>0</v>
      </c>
      <c r="J34">
        <v>0</v>
      </c>
      <c r="L34">
        <f>'[1]Sep 2019'!L34</f>
        <v>0</v>
      </c>
      <c r="N34" s="22">
        <f>'[1]Sep 2019'!R34</f>
        <v>0</v>
      </c>
      <c r="O34">
        <f>'[1]Sep 2019'!O34</f>
        <v>0</v>
      </c>
      <c r="V34">
        <f>'[1]Sep 2019'!BO34</f>
        <v>0</v>
      </c>
      <c r="AH34">
        <f>'[1]Sep 2019'!AJ34</f>
        <v>0</v>
      </c>
      <c r="CA34">
        <f>'[1]Sep 2019'!CG34</f>
        <v>0</v>
      </c>
      <c r="CG34">
        <f>'[1]Sep 2019'!CM34</f>
        <v>0</v>
      </c>
      <c r="CM34">
        <f>'[1]Sep 2019'!CS34</f>
        <v>0</v>
      </c>
      <c r="DK34">
        <f>'[1]Sep 2019'!DQ34</f>
        <v>0</v>
      </c>
      <c r="DU34" s="23">
        <f>'[1]Sep 2019'!EA34</f>
        <v>0</v>
      </c>
    </row>
  </sheetData>
  <conditionalFormatting sqref="B34">
    <cfRule type="cellIs" dxfId="71" priority="374" operator="lessThan">
      <formula>0</formula>
    </cfRule>
  </conditionalFormatting>
  <conditionalFormatting sqref="B34">
    <cfRule type="cellIs" dxfId="70" priority="373" operator="lessThan">
      <formula>0</formula>
    </cfRule>
  </conditionalFormatting>
  <conditionalFormatting sqref="N3:N34">
    <cfRule type="cellIs" dxfId="69" priority="372" operator="lessThan">
      <formula>0</formula>
    </cfRule>
  </conditionalFormatting>
  <conditionalFormatting sqref="N3:N34">
    <cfRule type="cellIs" dxfId="68" priority="371" operator="lessThan">
      <formula>0</formula>
    </cfRule>
  </conditionalFormatting>
  <conditionalFormatting sqref="N3:N34">
    <cfRule type="cellIs" dxfId="67" priority="370" operator="lessThan">
      <formula>0</formula>
    </cfRule>
  </conditionalFormatting>
  <conditionalFormatting sqref="N3:N34">
    <cfRule type="cellIs" dxfId="66" priority="369" operator="lessThan">
      <formula>0</formula>
    </cfRule>
  </conditionalFormatting>
  <conditionalFormatting sqref="N3:N34">
    <cfRule type="cellIs" dxfId="65" priority="368" operator="lessThan">
      <formula>0</formula>
    </cfRule>
  </conditionalFormatting>
  <conditionalFormatting sqref="N3:N34">
    <cfRule type="cellIs" dxfId="64" priority="367" operator="lessThan">
      <formula>0</formula>
    </cfRule>
  </conditionalFormatting>
  <conditionalFormatting sqref="N3:N34">
    <cfRule type="cellIs" dxfId="63" priority="366" operator="lessThan">
      <formula>0</formula>
    </cfRule>
  </conditionalFormatting>
  <conditionalFormatting sqref="N3:N34">
    <cfRule type="cellIs" dxfId="62" priority="365" operator="lessThan">
      <formula>0</formula>
    </cfRule>
  </conditionalFormatting>
  <conditionalFormatting sqref="N3:N34">
    <cfRule type="cellIs" dxfId="61" priority="364" operator="lessThan">
      <formula>0</formula>
    </cfRule>
  </conditionalFormatting>
  <conditionalFormatting sqref="N3:N34">
    <cfRule type="cellIs" dxfId="60" priority="363" operator="lessThan">
      <formula>0</formula>
    </cfRule>
  </conditionalFormatting>
  <conditionalFormatting sqref="N3:N34">
    <cfRule type="cellIs" dxfId="59" priority="362" operator="lessThan">
      <formula>0</formula>
    </cfRule>
  </conditionalFormatting>
  <conditionalFormatting sqref="N3:N34">
    <cfRule type="cellIs" dxfId="58" priority="361" operator="lessThan">
      <formula>0</formula>
    </cfRule>
  </conditionalFormatting>
  <conditionalFormatting sqref="N4:N9">
    <cfRule type="cellIs" dxfId="57" priority="360" operator="lessThan">
      <formula>0</formula>
    </cfRule>
  </conditionalFormatting>
  <conditionalFormatting sqref="N4:N9">
    <cfRule type="cellIs" dxfId="56" priority="359" operator="lessThan">
      <formula>0</formula>
    </cfRule>
  </conditionalFormatting>
  <conditionalFormatting sqref="N3:N34">
    <cfRule type="cellIs" dxfId="55" priority="358" operator="lessThan">
      <formula>0</formula>
    </cfRule>
  </conditionalFormatting>
  <conditionalFormatting sqref="N3:N34">
    <cfRule type="cellIs" dxfId="54" priority="357" operator="lessThan">
      <formula>0</formula>
    </cfRule>
  </conditionalFormatting>
  <conditionalFormatting sqref="N3:N34">
    <cfRule type="cellIs" dxfId="53" priority="356" operator="lessThan">
      <formula>0</formula>
    </cfRule>
  </conditionalFormatting>
  <conditionalFormatting sqref="N3:N34">
    <cfRule type="cellIs" dxfId="52" priority="355" operator="lessThan">
      <formula>0</formula>
    </cfRule>
  </conditionalFormatting>
  <conditionalFormatting sqref="N3:N34">
    <cfRule type="cellIs" dxfId="51" priority="354" operator="lessThan">
      <formula>0</formula>
    </cfRule>
  </conditionalFormatting>
  <conditionalFormatting sqref="N4">
    <cfRule type="cellIs" dxfId="50" priority="353" operator="lessThan">
      <formula>0</formula>
    </cfRule>
  </conditionalFormatting>
  <conditionalFormatting sqref="N3:N34">
    <cfRule type="cellIs" dxfId="49" priority="352" operator="lessThan">
      <formula>0</formula>
    </cfRule>
  </conditionalFormatting>
  <conditionalFormatting sqref="N3:N34">
    <cfRule type="cellIs" dxfId="48" priority="351" operator="lessThan">
      <formula>0</formula>
    </cfRule>
  </conditionalFormatting>
  <conditionalFormatting sqref="N3:N34">
    <cfRule type="cellIs" dxfId="47" priority="350" operator="lessThan">
      <formula>0</formula>
    </cfRule>
  </conditionalFormatting>
  <conditionalFormatting sqref="N3:N34">
    <cfRule type="cellIs" dxfId="46" priority="349" operator="lessThan">
      <formula>0</formula>
    </cfRule>
  </conditionalFormatting>
  <conditionalFormatting sqref="N3:N34">
    <cfRule type="cellIs" dxfId="45" priority="348" operator="lessThan">
      <formula>0</formula>
    </cfRule>
  </conditionalFormatting>
  <conditionalFormatting sqref="N3:N34">
    <cfRule type="cellIs" dxfId="44" priority="347" operator="lessThan">
      <formula>0</formula>
    </cfRule>
  </conditionalFormatting>
  <conditionalFormatting sqref="N3:N34">
    <cfRule type="cellIs" dxfId="43" priority="346" operator="lessThan">
      <formula>0</formula>
    </cfRule>
  </conditionalFormatting>
  <conditionalFormatting sqref="N3:N34">
    <cfRule type="cellIs" dxfId="42" priority="345" operator="lessThan">
      <formula>0</formula>
    </cfRule>
  </conditionalFormatting>
  <conditionalFormatting sqref="N3:N34">
    <cfRule type="cellIs" dxfId="41" priority="344" operator="lessThan">
      <formula>0</formula>
    </cfRule>
  </conditionalFormatting>
  <conditionalFormatting sqref="N3:N34">
    <cfRule type="cellIs" dxfId="40" priority="343" operator="lessThan">
      <formula>0</formula>
    </cfRule>
  </conditionalFormatting>
  <conditionalFormatting sqref="N3:N34">
    <cfRule type="cellIs" dxfId="39" priority="342" operator="lessThan">
      <formula>0</formula>
    </cfRule>
  </conditionalFormatting>
  <conditionalFormatting sqref="N3:N34">
    <cfRule type="cellIs" dxfId="38" priority="341" operator="lessThan">
      <formula>0</formula>
    </cfRule>
  </conditionalFormatting>
  <conditionalFormatting sqref="N3:N34">
    <cfRule type="cellIs" dxfId="37" priority="340" operator="lessThan">
      <formula>0</formula>
    </cfRule>
  </conditionalFormatting>
  <conditionalFormatting sqref="N3:N34">
    <cfRule type="cellIs" dxfId="36" priority="339" operator="lessThan">
      <formula>0</formula>
    </cfRule>
  </conditionalFormatting>
  <conditionalFormatting sqref="N3:N34">
    <cfRule type="cellIs" dxfId="35" priority="338" operator="lessThan">
      <formula>0</formula>
    </cfRule>
  </conditionalFormatting>
  <conditionalFormatting sqref="N3:N34">
    <cfRule type="cellIs" dxfId="34" priority="337" operator="lessThan">
      <formula>0</formula>
    </cfRule>
  </conditionalFormatting>
  <conditionalFormatting sqref="N3:N34">
    <cfRule type="cellIs" dxfId="33" priority="336" operator="lessThan">
      <formula>0</formula>
    </cfRule>
  </conditionalFormatting>
  <conditionalFormatting sqref="N3:N34">
    <cfRule type="cellIs" dxfId="32" priority="335" operator="lessThan">
      <formula>0</formula>
    </cfRule>
  </conditionalFormatting>
  <conditionalFormatting sqref="N3:N34">
    <cfRule type="cellIs" dxfId="31" priority="334" operator="lessThan">
      <formula>0</formula>
    </cfRule>
  </conditionalFormatting>
  <conditionalFormatting sqref="N3:N34">
    <cfRule type="cellIs" dxfId="30" priority="333" operator="lessThan">
      <formula>0</formula>
    </cfRule>
  </conditionalFormatting>
  <conditionalFormatting sqref="N3:N34">
    <cfRule type="cellIs" dxfId="29" priority="332" operator="lessThan">
      <formula>0</formula>
    </cfRule>
  </conditionalFormatting>
  <conditionalFormatting sqref="N3:N34">
    <cfRule type="cellIs" dxfId="28" priority="331" operator="lessThan">
      <formula>0</formula>
    </cfRule>
  </conditionalFormatting>
  <conditionalFormatting sqref="N3:N34">
    <cfRule type="cellIs" dxfId="27" priority="330" operator="lessThan">
      <formula>0</formula>
    </cfRule>
  </conditionalFormatting>
  <conditionalFormatting sqref="N3:N34">
    <cfRule type="cellIs" dxfId="26" priority="329" operator="lessThan">
      <formula>0</formula>
    </cfRule>
  </conditionalFormatting>
  <conditionalFormatting sqref="N3:N34">
    <cfRule type="cellIs" dxfId="25" priority="328" operator="lessThan">
      <formula>0</formula>
    </cfRule>
  </conditionalFormatting>
  <conditionalFormatting sqref="N3:N34">
    <cfRule type="cellIs" dxfId="24" priority="327" operator="lessThan">
      <formula>0</formula>
    </cfRule>
  </conditionalFormatting>
  <conditionalFormatting sqref="N3:N34">
    <cfRule type="cellIs" dxfId="23" priority="326" operator="lessThan">
      <formula>0</formula>
    </cfRule>
  </conditionalFormatting>
  <conditionalFormatting sqref="N3:N34">
    <cfRule type="cellIs" dxfId="22" priority="325" operator="lessThan">
      <formula>0</formula>
    </cfRule>
  </conditionalFormatting>
  <conditionalFormatting sqref="N3:N34">
    <cfRule type="cellIs" dxfId="21" priority="324" operator="lessThan">
      <formula>0</formula>
    </cfRule>
  </conditionalFormatting>
  <conditionalFormatting sqref="N3:N34">
    <cfRule type="cellIs" dxfId="20" priority="323" operator="lessThan">
      <formula>0</formula>
    </cfRule>
  </conditionalFormatting>
  <conditionalFormatting sqref="N3:N34">
    <cfRule type="cellIs" dxfId="19" priority="322" operator="lessThan">
      <formula>0</formula>
    </cfRule>
  </conditionalFormatting>
  <conditionalFormatting sqref="N3:N34">
    <cfRule type="cellIs" dxfId="18" priority="321" operator="lessThan">
      <formula>0</formula>
    </cfRule>
  </conditionalFormatting>
  <conditionalFormatting sqref="N3:N34">
    <cfRule type="cellIs" dxfId="17" priority="320" operator="lessThan">
      <formula>0</formula>
    </cfRule>
  </conditionalFormatting>
  <conditionalFormatting sqref="N3:N34">
    <cfRule type="cellIs" dxfId="16" priority="319" operator="lessThan">
      <formula>0</formula>
    </cfRule>
  </conditionalFormatting>
  <conditionalFormatting sqref="N3:N34">
    <cfRule type="cellIs" dxfId="15" priority="318" operator="lessThan">
      <formula>0</formula>
    </cfRule>
  </conditionalFormatting>
  <conditionalFormatting sqref="N3:N34">
    <cfRule type="cellIs" dxfId="14" priority="317" operator="lessThan">
      <formula>0</formula>
    </cfRule>
  </conditionalFormatting>
  <conditionalFormatting sqref="N3:N34">
    <cfRule type="cellIs" dxfId="13" priority="316" operator="lessThan">
      <formula>0</formula>
    </cfRule>
  </conditionalFormatting>
  <conditionalFormatting sqref="N3:N34">
    <cfRule type="cellIs" dxfId="12" priority="315" operator="lessThan">
      <formula>0</formula>
    </cfRule>
  </conditionalFormatting>
  <conditionalFormatting sqref="N3:N34">
    <cfRule type="cellIs" dxfId="11" priority="314" operator="lessThan">
      <formula>0</formula>
    </cfRule>
  </conditionalFormatting>
  <conditionalFormatting sqref="N5:N9">
    <cfRule type="cellIs" dxfId="10" priority="313" operator="lessThan">
      <formula>0</formula>
    </cfRule>
  </conditionalFormatting>
  <conditionalFormatting sqref="N3:N34">
    <cfRule type="cellIs" dxfId="9" priority="312" operator="lessThan">
      <formula>0</formula>
    </cfRule>
  </conditionalFormatting>
  <conditionalFormatting sqref="N3:N34">
    <cfRule type="cellIs" dxfId="8" priority="311" operator="lessThan">
      <formula>0</formula>
    </cfRule>
  </conditionalFormatting>
  <conditionalFormatting sqref="N3:N34">
    <cfRule type="cellIs" dxfId="7" priority="310" operator="lessThan">
      <formula>0</formula>
    </cfRule>
  </conditionalFormatting>
  <conditionalFormatting sqref="N3:N34">
    <cfRule type="cellIs" dxfId="6" priority="309" operator="lessThan">
      <formula>0</formula>
    </cfRule>
  </conditionalFormatting>
  <conditionalFormatting sqref="N3:N34">
    <cfRule type="cellIs" dxfId="5" priority="308" operator="lessThan">
      <formula>0</formula>
    </cfRule>
  </conditionalFormatting>
  <conditionalFormatting sqref="N3:N34">
    <cfRule type="cellIs" dxfId="4" priority="307" operator="lessThan">
      <formula>0</formula>
    </cfRule>
  </conditionalFormatting>
  <conditionalFormatting sqref="N3:N34">
    <cfRule type="cellIs" dxfId="3" priority="306" operator="lessThan">
      <formula>0</formula>
    </cfRule>
  </conditionalFormatting>
  <conditionalFormatting sqref="N3:N34">
    <cfRule type="cellIs" dxfId="2" priority="305" operator="lessThan">
      <formula>0</formula>
    </cfRule>
  </conditionalFormatting>
  <conditionalFormatting sqref="N3:N34">
    <cfRule type="cellIs" dxfId="1" priority="304" operator="lessThan">
      <formula>0</formula>
    </cfRule>
  </conditionalFormatting>
  <conditionalFormatting sqref="N3:N34">
    <cfRule type="cellIs" dxfId="0" priority="303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Michael Gerard Desire FURLONG</cp:lastModifiedBy>
  <cp:revision/>
  <dcterms:created xsi:type="dcterms:W3CDTF">2016-09-19T10:41:46Z</dcterms:created>
  <dcterms:modified xsi:type="dcterms:W3CDTF">2021-05-04T05:51:47Z</dcterms:modified>
  <cp:category/>
  <cp:contentStatus/>
</cp:coreProperties>
</file>