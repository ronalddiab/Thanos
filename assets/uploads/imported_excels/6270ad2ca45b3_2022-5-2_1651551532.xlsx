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AV36" i="7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7" i="7" l="1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<sst xmlns="http://schemas.openxmlformats.org/spreadsheetml/2006/main" count="128" uniqueCount="49">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</sst>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29060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>
        <f>Hotel!R7</f>
        <v>1790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U8" sqref="AU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44681</v>
      </c>
      <c r="B2" s="40">
        <v>27</v>
      </c>
      <c r="C2" s="24">
        <v>7956030</v>
      </c>
      <c r="D2" s="24">
        <v>18554890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49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>
        <f t="shared" ref="R7:AC7" si="0">IF((D7-D2&lt;0), "0",D7-D2)</f>
        <v>1790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29060</v>
      </c>
      <c r="AF7" s="20">
        <f t="shared" ref="AF7:AF36" si="1">Q7*$D$39</f>
        <v>30.85</v>
      </c>
      <c r="AG7" s="20">
        <f t="shared" ref="AG7:AG36" si="2">R7*$D$39</f>
        <v>8.9500000000000011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145.30000000000001</v>
      </c>
      <c r="AU7" s="47">
        <v>663505</v>
      </c>
      <c r="AV7" s="37">
        <f>IF((AU7-AU6&lt;0),"0",AU7-AU6)</f>
        <v>0</v>
      </c>
      <c r="AW7" s="35">
        <f t="shared" ref="AW7:AW35" si="14">AV7*$D$40</f>
        <v>0</v>
      </c>
    </row>
    <row r="8" spans="1:49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5">
        <f t="shared" si="14"/>
        <v>0</v>
      </c>
    </row>
    <row r="9" spans="1:49" x14ac:dyDescent="0.25">
      <c r="A9" s="23">
        <v>44684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7">IF((C9-C8&lt;0), "0",C9-C8)</f>
        <v>0</v>
      </c>
      <c r="R9" s="37" t="str">
        <f t="shared" ref="R9:R37" si="18">IF((D9-D8&lt;0), "0",D9-D8)</f>
        <v>0</v>
      </c>
      <c r="S9" s="37" t="str">
        <f t="shared" si="16"/>
        <v>0</v>
      </c>
      <c r="T9" s="37" t="str">
        <f t="shared" ref="T9:T35" si="19">IF((F9-F8&lt;0), "0",F9-F8)</f>
        <v>0</v>
      </c>
      <c r="U9" s="37" t="str">
        <f t="shared" ref="U9:U35" si="20">IF((G9-G8&lt;0), "0",G9-G8)</f>
        <v>0</v>
      </c>
      <c r="V9" s="37" t="str">
        <f t="shared" ref="V9:V35" si="21">IF((H9-H8&lt;0), "0",H9-H8)</f>
        <v>0</v>
      </c>
      <c r="W9" s="37" t="str">
        <f t="shared" ref="W9:W35" si="22">IF((I9-I8&lt;0), "0",I9-I8)</f>
        <v>0</v>
      </c>
      <c r="X9" s="37" t="str">
        <f t="shared" ref="X9:X37" si="23">IF((J9-J8&lt;0), "0",J9-J8)</f>
        <v>0</v>
      </c>
      <c r="Y9" s="37" t="str">
        <f t="shared" ref="Y9:Y35" si="24">IF((K9-K8&lt;0), "0",K9-K8)</f>
        <v>0</v>
      </c>
      <c r="Z9" s="37" t="str">
        <f t="shared" ref="Z9:Z35" si="25">IF((L9-L8&lt;0), "0",L9-L8)</f>
        <v>0</v>
      </c>
      <c r="AA9" s="37" t="str">
        <f t="shared" ref="AA9:AA35" si="26">IF((M9-M8&lt;0), "0",M9-M8)</f>
        <v>0</v>
      </c>
      <c r="AB9" s="37" t="str">
        <f t="shared" ref="AB9:AB37" si="27">IF((N9-N8&lt;0), "0",N9-N8)</f>
        <v>0</v>
      </c>
      <c r="AC9" s="37" t="str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47"/>
      <c r="AV9" s="37" t="str">
        <f>IF((AU9-AU8&lt;0),"0",AU9-AU8)</f>
        <v>0</v>
      </c>
      <c r="AW9" s="35">
        <f t="shared" si="14"/>
        <v>0</v>
      </c>
    </row>
    <row r="10" spans="1:49" x14ac:dyDescent="0.25">
      <c r="A10" s="23">
        <v>44685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44686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44687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44688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44689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44690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44691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44692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44693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44694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44695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44696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44697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44698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44699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44700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44701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44702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5">
        <f t="shared" si="14"/>
        <v>0</v>
      </c>
    </row>
    <row r="31" spans="1:49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5">
        <f t="shared" ref="AW36:AW37" si="36">AV36*$D$40</f>
        <v>0</v>
      </c>
    </row>
    <row r="37" spans="1:49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18300</v>
      </c>
      <c r="R38" s="38">
        <f t="shared" ref="R38:AD38" si="60">SUM(R7:R37)</f>
        <v>12610</v>
      </c>
      <c r="S38" s="38">
        <f t="shared" si="60"/>
        <v>0</v>
      </c>
      <c r="T38" s="38">
        <f t="shared" si="60"/>
        <v>2150</v>
      </c>
      <c r="U38" s="38">
        <f t="shared" si="60"/>
        <v>6400</v>
      </c>
      <c r="V38" s="38">
        <f t="shared" si="60"/>
        <v>5980</v>
      </c>
      <c r="W38" s="38">
        <f t="shared" si="60"/>
        <v>4810</v>
      </c>
      <c r="X38" s="38">
        <f t="shared" si="60"/>
        <v>6570</v>
      </c>
      <c r="Y38" s="38">
        <f t="shared" si="60"/>
        <v>5430</v>
      </c>
      <c r="Z38" s="38">
        <f t="shared" si="60"/>
        <v>3650</v>
      </c>
      <c r="AA38" s="38">
        <f t="shared" si="60"/>
        <v>3780</v>
      </c>
      <c r="AB38" s="38">
        <f t="shared" si="60"/>
        <v>10240</v>
      </c>
      <c r="AC38" s="38">
        <f t="shared" si="60"/>
        <v>15050</v>
      </c>
      <c r="AD38" s="38">
        <f t="shared" si="60"/>
        <v>94970</v>
      </c>
      <c r="AF38" s="35">
        <f>SUM(AF7:AF37)</f>
        <v>91.5</v>
      </c>
      <c r="AG38" s="35">
        <f t="shared" ref="AG38:AS38" si="61">SUM(AG7:AG37)</f>
        <v>63.050000000000004</v>
      </c>
      <c r="AH38" s="35">
        <f t="shared" si="61"/>
        <v>0</v>
      </c>
      <c r="AI38" s="35">
        <f t="shared" si="61"/>
        <v>10.75</v>
      </c>
      <c r="AJ38" s="35">
        <f t="shared" si="61"/>
        <v>32</v>
      </c>
      <c r="AK38" s="35">
        <f t="shared" si="61"/>
        <v>29.9</v>
      </c>
      <c r="AL38" s="35">
        <f t="shared" si="61"/>
        <v>24.05</v>
      </c>
      <c r="AM38" s="35">
        <f t="shared" si="61"/>
        <v>32.85</v>
      </c>
      <c r="AN38" s="35">
        <f t="shared" si="61"/>
        <v>27.150000000000002</v>
      </c>
      <c r="AO38" s="35">
        <f t="shared" si="61"/>
        <v>18.25</v>
      </c>
      <c r="AP38" s="35">
        <f t="shared" si="61"/>
        <v>18.899999999999999</v>
      </c>
      <c r="AQ38" s="35">
        <f t="shared" si="61"/>
        <v>51.2</v>
      </c>
      <c r="AR38" s="35">
        <f t="shared" si="61"/>
        <v>75.25</v>
      </c>
      <c r="AS38" s="35">
        <f t="shared" si="61"/>
        <v>474.85</v>
      </c>
      <c r="AU38" s="48"/>
      <c r="AV38" s="34">
        <f>SUM(AV7:AV37)</f>
        <v>0</v>
      </c>
      <c r="AW38" s="35">
        <f>SUM(AW7:AW37)</f>
        <v>0</v>
      </c>
    </row>
    <row r="39" spans="1:49" x14ac:dyDescent="0.25">
      <c r="B39" s="39">
        <f>SUM(B7:B36)</f>
        <v>116</v>
      </c>
      <c r="D39">
        <v>5.0000000000000001E-3</v>
      </c>
      <c r="AV39" s="36">
        <f>AV38*0.00378541*1000</f>
        <v>0</v>
      </c>
    </row>
    <row r="40" spans="1:49" x14ac:dyDescent="0.25">
      <c r="D40">
        <v>2E-3</v>
      </c>
      <c r="AV40">
        <f>AV39/31</f>
        <v>0</v>
      </c>
    </row>
    <row r="41" spans="1:49" x14ac:dyDescent="0.25">
      <c r="AV41">
        <f>AV38*0.00378541</f>
        <v>0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2022-05-03T04:17:20Z</dcterms:modified>
</cp:coreProperties>
</file>