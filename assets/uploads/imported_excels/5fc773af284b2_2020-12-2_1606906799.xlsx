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2" i="1" l="1"/>
  <c r="K32" i="1" l="1"/>
  <c r="I32" i="1"/>
  <c r="G32" i="1"/>
  <c r="Q35" i="2" l="1"/>
  <c r="P35" i="2"/>
  <c r="O35" i="2"/>
  <c r="N35" i="2"/>
  <c r="M35" i="2"/>
  <c r="W35" i="2" l="1"/>
  <c r="W34" i="2"/>
  <c r="Q34" i="2"/>
  <c r="P34" i="2"/>
  <c r="O34" i="2"/>
  <c r="N34" i="2"/>
  <c r="M34" i="2"/>
  <c r="W33" i="2" l="1"/>
  <c r="Q33" i="2" l="1"/>
  <c r="P33" i="2"/>
  <c r="O33" i="2"/>
  <c r="N33" i="2"/>
  <c r="M33" i="2"/>
  <c r="Q32" i="2" l="1"/>
  <c r="P32" i="2"/>
  <c r="Q31" i="2"/>
  <c r="P31" i="2"/>
  <c r="O32" i="2"/>
  <c r="N32" i="2"/>
  <c r="M32" i="2"/>
  <c r="O31" i="2"/>
  <c r="N31" i="2"/>
  <c r="M31" i="2"/>
  <c r="Q30" i="2" l="1"/>
  <c r="P30" i="2"/>
  <c r="O30" i="2"/>
  <c r="N30" i="2"/>
  <c r="M30" i="2"/>
  <c r="Q29" i="2" l="1"/>
  <c r="P29" i="2"/>
  <c r="O29" i="2"/>
  <c r="N29" i="2"/>
  <c r="M29" i="2"/>
  <c r="Q28" i="2" l="1"/>
  <c r="P28" i="2"/>
  <c r="M28" i="2"/>
  <c r="Q27" i="2" l="1"/>
  <c r="P27" i="2"/>
  <c r="O27" i="2"/>
  <c r="N27" i="2"/>
  <c r="M27" i="2"/>
  <c r="AH26" i="2" l="1"/>
  <c r="AG26" i="2"/>
  <c r="Q26" i="2"/>
  <c r="P26" i="2"/>
  <c r="O26" i="2"/>
  <c r="N26" i="2"/>
  <c r="M26" i="2"/>
  <c r="V25" i="2" l="1"/>
  <c r="W32" i="2"/>
  <c r="W31" i="2"/>
  <c r="W30" i="2"/>
  <c r="W29" i="2"/>
  <c r="W28" i="2"/>
  <c r="W27" i="2"/>
  <c r="W26" i="2"/>
  <c r="W25" i="2"/>
  <c r="W24" i="2"/>
  <c r="Q25" i="2"/>
  <c r="P25" i="2"/>
  <c r="Q24" i="2"/>
  <c r="P24" i="2"/>
  <c r="O25" i="2"/>
  <c r="N25" i="2"/>
  <c r="M25" i="2"/>
  <c r="O24" i="2"/>
  <c r="N24" i="2"/>
  <c r="M24" i="2"/>
  <c r="W23" i="2" l="1"/>
  <c r="O23" i="2"/>
  <c r="W22" i="2" l="1"/>
  <c r="M22" i="2"/>
  <c r="W21" i="2" l="1"/>
  <c r="M21" i="2"/>
  <c r="W20" i="2" l="1"/>
  <c r="Q20" i="2"/>
  <c r="P20" i="2"/>
  <c r="M20" i="2"/>
  <c r="V19" i="2" l="1"/>
  <c r="W19" i="2" l="1"/>
  <c r="W18" i="2"/>
  <c r="W17" i="2"/>
  <c r="AI9"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8" i="2"/>
  <c r="AI7" i="2"/>
  <c r="AC7" i="2" l="1"/>
  <c r="J7" i="2" l="1"/>
  <c r="I7" i="2"/>
  <c r="H7" i="2"/>
  <c r="AI6" i="2" l="1"/>
  <c r="AC6" i="2"/>
  <c r="AB6" i="2"/>
  <c r="K35" i="2" l="1"/>
  <c r="L35" i="2" s="1"/>
  <c r="R35" i="2"/>
  <c r="S35" i="2"/>
  <c r="T35" i="2"/>
  <c r="U35" i="2" s="1"/>
  <c r="Z35" i="2"/>
  <c r="AA35" i="2"/>
  <c r="AD35" i="2"/>
  <c r="AE35" i="2" s="1"/>
  <c r="AK35" i="2"/>
  <c r="AL35" i="2" s="1"/>
  <c r="AM35" i="2" s="1"/>
  <c r="AO35" i="2" l="1"/>
  <c r="AN36" i="2"/>
  <c r="AH36" i="2"/>
  <c r="AG36" i="2"/>
  <c r="AF36" i="2"/>
  <c r="J36" i="2"/>
  <c r="I36" i="2"/>
  <c r="H36" i="2"/>
  <c r="G36" i="2"/>
  <c r="D36" i="2"/>
  <c r="Z32" i="3"/>
  <c r="E31" i="3"/>
  <c r="F31" i="3"/>
  <c r="G31" i="3"/>
  <c r="H31" i="3"/>
  <c r="Z7" i="2"/>
  <c r="K6" i="2" l="1"/>
  <c r="L6" i="2" l="1"/>
  <c r="M4" i="1"/>
  <c r="M5" i="1"/>
  <c r="M6" i="1"/>
  <c r="M8" i="1"/>
  <c r="M9" i="1"/>
  <c r="M10" i="1"/>
  <c r="M12" i="1"/>
  <c r="M13" i="1"/>
  <c r="M14" i="1"/>
  <c r="M15" i="1"/>
  <c r="M16" i="1"/>
  <c r="M17" i="1"/>
  <c r="M18" i="1"/>
  <c r="M19" i="1"/>
  <c r="M20" i="1"/>
  <c r="M21" i="1"/>
  <c r="M22" i="1"/>
  <c r="M24" i="1"/>
  <c r="M25" i="1"/>
  <c r="M26" i="1"/>
  <c r="M28" i="1"/>
  <c r="M29" i="1"/>
  <c r="M30" i="1"/>
  <c r="M31"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23" i="1"/>
  <c r="M27" i="1"/>
  <c r="N32" i="1" l="1"/>
  <c r="Z9" i="2"/>
  <c r="P5" i="3" s="1"/>
  <c r="G5" i="1"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R19" i="2"/>
  <c r="O15" i="3" s="1"/>
  <c r="R20" i="2"/>
  <c r="O16" i="3" s="1"/>
  <c r="R21" i="2"/>
  <c r="O17" i="3" s="1"/>
  <c r="R22" i="2"/>
  <c r="O18" i="3" s="1"/>
  <c r="R23" i="2"/>
  <c r="R24" i="2"/>
  <c r="O20" i="3" s="1"/>
  <c r="R25" i="2"/>
  <c r="O21" i="3" s="1"/>
  <c r="R26" i="2"/>
  <c r="R27" i="2"/>
  <c r="O23" i="3" s="1"/>
  <c r="R28" i="2"/>
  <c r="O24" i="3" s="1"/>
  <c r="R29" i="2"/>
  <c r="O25" i="3" s="1"/>
  <c r="R30" i="2"/>
  <c r="O26" i="3" s="1"/>
  <c r="R31" i="2"/>
  <c r="O27" i="3" s="1"/>
  <c r="R32" i="2"/>
  <c r="O28" i="3" s="1"/>
  <c r="R33" i="2"/>
  <c r="O29" i="3" s="1"/>
  <c r="R34" i="2"/>
  <c r="O30" i="3" s="1"/>
  <c r="O31" i="3"/>
  <c r="R6" i="2"/>
  <c r="R7" i="2"/>
  <c r="O3" i="3" s="1"/>
  <c r="R8" i="2"/>
  <c r="O4" i="3" s="1"/>
  <c r="R9" i="2"/>
  <c r="O5" i="3" s="1"/>
  <c r="R10" i="2"/>
  <c r="O6" i="3" s="1"/>
  <c r="R11" i="2"/>
  <c r="O7" i="3" s="1"/>
  <c r="R12" i="2"/>
  <c r="O8" i="3" s="1"/>
  <c r="R13" i="2"/>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AE26" i="2" s="1"/>
  <c r="AD27" i="2"/>
  <c r="AE27" i="2" s="1"/>
  <c r="AD28" i="2"/>
  <c r="AE28" i="2" s="1"/>
  <c r="AD29" i="2"/>
  <c r="AE29" i="2" s="1"/>
  <c r="AD31" i="2"/>
  <c r="AE31" i="2" s="1"/>
  <c r="AD33" i="2"/>
  <c r="AE33" i="2" s="1"/>
  <c r="AK7" i="2"/>
  <c r="AL7" i="2" s="1"/>
  <c r="AM7" i="2" s="1"/>
  <c r="AD8" i="2"/>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T21" i="3" s="1"/>
  <c r="AD30" i="2"/>
  <c r="AE30" i="2" s="1"/>
  <c r="AD32" i="2"/>
  <c r="T28" i="3" s="1"/>
  <c r="AD34" i="2"/>
  <c r="AE34" i="2" s="1"/>
  <c r="AD41" i="2"/>
  <c r="D37" i="2"/>
  <c r="D38" i="2" s="1"/>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U11" i="2" s="1"/>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N2" i="3" s="1"/>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S33" i="2"/>
  <c r="S32" i="2"/>
  <c r="S31" i="2"/>
  <c r="S30" i="2"/>
  <c r="S29" i="2"/>
  <c r="S28" i="2"/>
  <c r="S27" i="2"/>
  <c r="S26" i="2"/>
  <c r="O22" i="3"/>
  <c r="S25" i="2"/>
  <c r="S24" i="2"/>
  <c r="S23" i="2"/>
  <c r="O19" i="3"/>
  <c r="S22" i="2"/>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32" i="2"/>
  <c r="U30" i="2"/>
  <c r="P26" i="3"/>
  <c r="G26" i="1" s="1"/>
  <c r="P15" i="3"/>
  <c r="U15" i="2"/>
  <c r="U8" i="2"/>
  <c r="P27" i="3"/>
  <c r="X10" i="3"/>
  <c r="N3" i="3"/>
  <c r="T30" i="3" l="1"/>
  <c r="P28" i="3"/>
  <c r="G28" i="1" s="1"/>
  <c r="P19" i="3"/>
  <c r="G19" i="1" s="1"/>
  <c r="X18" i="3"/>
  <c r="U19" i="2"/>
  <c r="N10" i="3"/>
  <c r="P9" i="3"/>
  <c r="G9" i="1" s="1"/>
  <c r="X9" i="3"/>
  <c r="W32" i="3"/>
  <c r="T3" i="3"/>
  <c r="T5" i="3"/>
  <c r="I5" i="1" s="1"/>
  <c r="T12" i="3"/>
  <c r="G38" i="2"/>
  <c r="T23" i="3"/>
  <c r="P17" i="3"/>
  <c r="G17" i="1" s="1"/>
  <c r="J32" i="3"/>
  <c r="Q32" i="3"/>
  <c r="T7" i="3"/>
  <c r="I7" i="1" s="1"/>
  <c r="P11" i="3"/>
  <c r="G11" i="1" s="1"/>
  <c r="AL11" i="2"/>
  <c r="AM11" i="2" s="1"/>
  <c r="U17" i="2"/>
  <c r="N19" i="3"/>
  <c r="K19" i="1" s="1"/>
  <c r="T17" i="3"/>
  <c r="I17" i="1" s="1"/>
  <c r="AL25" i="2"/>
  <c r="AM25" i="2" s="1"/>
  <c r="AE32" i="2"/>
  <c r="AO32" i="2" s="1"/>
  <c r="P4" i="3"/>
  <c r="G4" i="1" s="1"/>
  <c r="I32" i="3"/>
  <c r="V32" i="3"/>
  <c r="O2" i="3"/>
  <c r="O32" i="3" s="1"/>
  <c r="R36" i="2"/>
  <c r="R38" i="2" s="1"/>
  <c r="T20" i="3"/>
  <c r="I20" i="1" s="1"/>
  <c r="S27" i="3"/>
  <c r="X27" i="3"/>
  <c r="U16" i="2"/>
  <c r="AE25" i="2"/>
  <c r="L32" i="3"/>
  <c r="X2" i="3"/>
  <c r="AK36" i="2"/>
  <c r="U32" i="3"/>
  <c r="T36" i="2"/>
  <c r="U36" i="2" s="1"/>
  <c r="L7" i="2"/>
  <c r="L36" i="2" s="1"/>
  <c r="K36" i="2"/>
  <c r="T22" i="3"/>
  <c r="I22" i="1" s="1"/>
  <c r="M32" i="3"/>
  <c r="R32" i="3"/>
  <c r="K28" i="1"/>
  <c r="N24" i="3"/>
  <c r="K24" i="1" s="1"/>
  <c r="N29" i="3"/>
  <c r="K29" i="1" s="1"/>
  <c r="P24" i="3"/>
  <c r="G24" i="1" s="1"/>
  <c r="U9" i="2"/>
  <c r="T27" i="3"/>
  <c r="K32" i="3"/>
  <c r="AA6" i="2"/>
  <c r="Z36" i="2"/>
  <c r="AE6" i="2"/>
  <c r="AD36" i="2"/>
  <c r="AE36" i="2" s="1"/>
  <c r="S5" i="3"/>
  <c r="E30" i="1"/>
  <c r="E17" i="1"/>
  <c r="U6" i="2"/>
  <c r="AL6" i="2"/>
  <c r="G3" i="1"/>
  <c r="S3" i="3"/>
  <c r="P2" i="3"/>
  <c r="AA7" i="2"/>
  <c r="U25" i="2"/>
  <c r="I21" i="1"/>
  <c r="N18" i="3"/>
  <c r="K18" i="1" s="1"/>
  <c r="S23" i="3"/>
  <c r="K30" i="1"/>
  <c r="E29" i="1"/>
  <c r="K7" i="1"/>
  <c r="S30" i="3"/>
  <c r="X31" i="3"/>
  <c r="X26" i="3"/>
  <c r="X13" i="3"/>
  <c r="I13" i="1" s="1"/>
  <c r="AL21" i="2"/>
  <c r="AM21" i="2" s="1"/>
  <c r="I31" i="1"/>
  <c r="T25" i="3"/>
  <c r="I25" i="1" s="1"/>
  <c r="T11" i="3"/>
  <c r="T16" i="3"/>
  <c r="S19" i="3"/>
  <c r="S26" i="3"/>
  <c r="AA17" i="2"/>
  <c r="S15" i="3"/>
  <c r="K15" i="1"/>
  <c r="K11" i="1"/>
  <c r="K8" i="1"/>
  <c r="K4" i="1"/>
  <c r="N31" i="3"/>
  <c r="K31" i="1" s="1"/>
  <c r="K25" i="1"/>
  <c r="E24" i="1"/>
  <c r="E13" i="1"/>
  <c r="E6" i="1"/>
  <c r="X30" i="3"/>
  <c r="AL34" i="2"/>
  <c r="AM34" i="2" s="1"/>
  <c r="AL24" i="2"/>
  <c r="AM24" i="2" s="1"/>
  <c r="AL9" i="2"/>
  <c r="AM9" i="2" s="1"/>
  <c r="X4" i="3"/>
  <c r="X19" i="3"/>
  <c r="AE17" i="2"/>
  <c r="T8" i="3"/>
  <c r="I8" i="1" s="1"/>
  <c r="T24" i="3"/>
  <c r="G13" i="1"/>
  <c r="S13" i="3"/>
  <c r="AO33" i="2"/>
  <c r="S14" i="3"/>
  <c r="G15" i="1"/>
  <c r="P29" i="3"/>
  <c r="AA9" i="2"/>
  <c r="AO9" i="2" s="1"/>
  <c r="P10" i="3"/>
  <c r="P25" i="3"/>
  <c r="G25" i="1" s="1"/>
  <c r="N9" i="3"/>
  <c r="K9" i="1" s="1"/>
  <c r="N16" i="3"/>
  <c r="K16" i="1" s="1"/>
  <c r="AO15" i="2"/>
  <c r="K3" i="1"/>
  <c r="N27" i="3"/>
  <c r="K27" i="1" s="1"/>
  <c r="K26" i="1"/>
  <c r="K10" i="1"/>
  <c r="K13" i="1"/>
  <c r="N23" i="3"/>
  <c r="K23" i="1" s="1"/>
  <c r="AO28" i="2"/>
  <c r="K5" i="1"/>
  <c r="K12" i="1"/>
  <c r="N20" i="3"/>
  <c r="K20" i="1" s="1"/>
  <c r="AO31" i="2"/>
  <c r="K21" i="1"/>
  <c r="U12" i="2"/>
  <c r="K6" i="1"/>
  <c r="AO20" i="2"/>
  <c r="E12" i="1"/>
  <c r="E9" i="1"/>
  <c r="E7" i="1"/>
  <c r="E4" i="1"/>
  <c r="E3" i="1"/>
  <c r="E23" i="1"/>
  <c r="E18" i="1"/>
  <c r="E16" i="1"/>
  <c r="E15" i="1"/>
  <c r="E14" i="1"/>
  <c r="E25" i="1"/>
  <c r="AO21" i="2"/>
  <c r="AO16" i="2"/>
  <c r="AO11"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I18" i="1" s="1"/>
  <c r="AE22" i="2"/>
  <c r="AO22" i="2" s="1"/>
  <c r="S22" i="3"/>
  <c r="S21" i="3"/>
  <c r="G21" i="1"/>
  <c r="AO23" i="2"/>
  <c r="T10" i="3"/>
  <c r="I10" i="1" s="1"/>
  <c r="AE14" i="2"/>
  <c r="AO14" i="2" s="1"/>
  <c r="AL32" i="2"/>
  <c r="AM32" i="2" s="1"/>
  <c r="X28" i="3"/>
  <c r="I28" i="1" s="1"/>
  <c r="AL28" i="2"/>
  <c r="AM28" i="2" s="1"/>
  <c r="X24" i="3"/>
  <c r="X16" i="3"/>
  <c r="AL20" i="2"/>
  <c r="AM20" i="2" s="1"/>
  <c r="T6" i="3"/>
  <c r="X3" i="3"/>
  <c r="X12" i="3"/>
  <c r="AA26" i="2"/>
  <c r="AO26" i="2" s="1"/>
  <c r="N22" i="3"/>
  <c r="K22" i="1" s="1"/>
  <c r="N17" i="3"/>
  <c r="K17" i="1" s="1"/>
  <c r="T19" i="3"/>
  <c r="P18" i="3"/>
  <c r="P7" i="3"/>
  <c r="AA25" i="2"/>
  <c r="P12" i="3"/>
  <c r="S9" i="3"/>
  <c r="T26" i="3"/>
  <c r="AL26" i="2"/>
  <c r="AM26" i="2" s="1"/>
  <c r="S28" i="3"/>
  <c r="T29" i="3"/>
  <c r="I29" i="1" s="1"/>
  <c r="AL29" i="2"/>
  <c r="AM29" i="2" s="1"/>
  <c r="AA24" i="2"/>
  <c r="AO24" i="2" s="1"/>
  <c r="P20" i="3"/>
  <c r="S31" i="3"/>
  <c r="G31" i="1"/>
  <c r="AA34" i="2"/>
  <c r="AA18" i="2"/>
  <c r="AO18" i="2" s="1"/>
  <c r="AA12" i="2"/>
  <c r="P8" i="3"/>
  <c r="E31" i="1"/>
  <c r="AL33" i="2"/>
  <c r="AM33" i="2" s="1"/>
  <c r="AL12" i="2"/>
  <c r="AM12" i="2" s="1"/>
  <c r="T2" i="3"/>
  <c r="G27" i="1"/>
  <c r="N14" i="3"/>
  <c r="K14" i="1" s="1"/>
  <c r="X23" i="3"/>
  <c r="T14" i="3"/>
  <c r="I14" i="1" s="1"/>
  <c r="U34" i="2"/>
  <c r="U29" i="2"/>
  <c r="AO29" i="2" s="1"/>
  <c r="X6" i="3"/>
  <c r="X15" i="3"/>
  <c r="U10" i="2"/>
  <c r="AO10" i="2" s="1"/>
  <c r="AL18" i="2"/>
  <c r="AM18" i="2" s="1"/>
  <c r="P6" i="3"/>
  <c r="P16" i="3"/>
  <c r="AA27" i="2"/>
  <c r="AO27" i="2" s="1"/>
  <c r="I30" i="1" l="1"/>
  <c r="AO17" i="2"/>
  <c r="S4" i="3"/>
  <c r="I3" i="1"/>
  <c r="I12" i="1"/>
  <c r="I27" i="1"/>
  <c r="I23" i="1"/>
  <c r="S17" i="3"/>
  <c r="S11" i="3"/>
  <c r="AO6" i="2"/>
  <c r="I24" i="1"/>
  <c r="AO7" i="2"/>
  <c r="AM6" i="2"/>
  <c r="AM36" i="2" s="1"/>
  <c r="AL36" i="2"/>
  <c r="K2" i="1"/>
  <c r="N32" i="3"/>
  <c r="AA36" i="2"/>
  <c r="T32" i="3"/>
  <c r="AO25" i="2"/>
  <c r="S24" i="3"/>
  <c r="G2" i="1"/>
  <c r="P32" i="3"/>
  <c r="S25" i="3"/>
  <c r="I16" i="1"/>
  <c r="S2" i="3"/>
  <c r="I4" i="1"/>
  <c r="I26" i="1"/>
  <c r="I19" i="1"/>
  <c r="I11" i="1"/>
  <c r="AO34" i="2"/>
  <c r="S29" i="3"/>
  <c r="G29" i="1"/>
  <c r="G10" i="1"/>
  <c r="S10" i="3"/>
  <c r="U37" i="2"/>
  <c r="X32" i="3" s="1"/>
  <c r="AO12" i="2"/>
  <c r="G20" i="1"/>
  <c r="S20" i="3"/>
  <c r="G18" i="1"/>
  <c r="S18" i="3"/>
  <c r="S12" i="3"/>
  <c r="G12" i="1"/>
  <c r="S16" i="3"/>
  <c r="G16" i="1"/>
  <c r="I2" i="1"/>
  <c r="S8" i="3"/>
  <c r="G8" i="1"/>
  <c r="I15" i="1"/>
  <c r="G6" i="1"/>
  <c r="S6" i="3"/>
  <c r="S7" i="3"/>
  <c r="G7" i="1"/>
  <c r="I6" i="1"/>
  <c r="AO36" i="2" l="1"/>
  <c r="S32" i="3"/>
  <c r="U38" i="2"/>
  <c r="M2" i="1" l="1"/>
  <c r="Y32" i="3"/>
  <c r="M32" i="1" l="1"/>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<sst xmlns="http://schemas.openxmlformats.org/spreadsheetml/2006/main" count="217" uniqueCount="104">
  <si>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</si>
  <si>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</si>
  <si>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</si>
  <si>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</si>
  <si>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</si>
  <si>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</si>
  <si>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</si>
  <si>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</si>
  <si>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</si>
  <si>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</si>
  <si>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</si>
  <si>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</si>
  <si>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</si>
  <si>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</si>
  <si>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</si>
  <si>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</si>
  <si>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</si>
  <si>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</si>
  <si>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</si>
  <si>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</si>
  <si>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</si>
  <si>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</si>
  <si>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</si>
  <si>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</si>
  <si>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</si>
  <si>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</si>
  <si>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</si>
  <si>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</si>
  <si>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</si>
  <si>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</si>
  <si>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</si>
  <si>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</si>
  <si>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</si>
  <si>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</si>
  <si>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</si>
  <si>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</si>
  <si>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</si>
  <si>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</si>
  <si>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</si>
  <si>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</si>
  <si>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</si>
  <si>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</si>
  <si>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</si>
  <si>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</si>
  <si>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</si>
  <si>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</si>
  <si>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</si>
  <si>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</si>
  <si>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</si>
  <si>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</si>
  <si>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</si>
  <si>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</si>
  <si>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</si>
  <si>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</si>
  <si>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</si>
  <si>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</si>
  <si>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</si>
  <si>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</si>
  <si>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</si>
  <si>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</si>
  <si>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</si>
  <si>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</si>
  <si>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</si>
  <si>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</si>
  <si>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</si>
  <si>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</si>
  <si>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</si>
  <si>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</si>
  <si>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</si>
  <si>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</si>
  <si>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</si>
  <si>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</si>
  <si>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</si>
  <si>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</si>
  <si>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</si>
  <si>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</si>
  <si>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</si>
  <si>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</si>
  <si>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</si>
  <si>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</si>
  <si>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</si>
  <si>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</si>
  <si>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</si>
  <si>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</si>
  <si>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</si>
  <si>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</si>
  <si>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</si>
  <si>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</si>
  <si>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</si>
  <si>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</si>
  <si>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</si>
  <si>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</si>
  <si>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</si>
  <si>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</si>
  <si>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</si>
  <si>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</si>
  <si>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</si>
  <si>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</si>
  <si>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</si>
  <si>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</si>
  <si>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</si>
  <si>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</si>
  <si>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</si>
  <si>
    <t>0001523.21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</si>
</sst>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47">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0" fontId="0" fillId="0" borderId="20" xfId="0"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3" fontId="0" fillId="0" borderId="20" xfId="0" applyNumberForma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K32" sqref="K3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6" t="s">
        <v>0</v>
      </c>
      <c r="B1" s="117" t="s">
        <v>1</v>
      </c>
      <c r="C1" s="118" t="s">
        <v>2</v>
      </c>
      <c r="D1" s="117" t="s">
        <v>3</v>
      </c>
      <c r="E1" s="119" t="s">
        <v>4</v>
      </c>
      <c r="F1" s="120" t="s">
        <v>5</v>
      </c>
      <c r="G1" s="119" t="s">
        <v>10</v>
      </c>
      <c r="H1" s="120" t="s">
        <v>11</v>
      </c>
      <c r="I1" s="121" t="s">
        <v>82</v>
      </c>
      <c r="J1" s="122" t="s">
        <v>83</v>
      </c>
      <c r="K1" s="119" t="s">
        <v>6</v>
      </c>
      <c r="L1" s="123" t="s">
        <v>7</v>
      </c>
      <c r="M1" s="119" t="s">
        <v>8</v>
      </c>
      <c r="N1" s="124" t="s">
        <v>9</v>
      </c>
    </row>
    <row r="2" spans="1:15" x14ac:dyDescent="0.25">
      <c r="A2" s="111" t="s">
        <v>80</v>
      </c>
      <c r="B2" s="112">
        <v>1</v>
      </c>
      <c r="C2" s="113">
        <v>11</v>
      </c>
      <c r="D2" s="112">
        <v>2020</v>
      </c>
      <c r="E2" s="102">
        <f>Submetering!E2+Submetering!F2+Submetering!G2+Submetering!H2+Submetering!I2+Submetering!J2+Submetering!K2</f>
        <v>29884</v>
      </c>
      <c r="F2" s="114">
        <v>0.2</v>
      </c>
      <c r="G2" s="102">
        <f>Submetering!P2</f>
        <v>540.5</v>
      </c>
      <c r="H2" s="114">
        <v>6.47</v>
      </c>
      <c r="I2" s="102">
        <f>Submetering!T2-Submetering!T2*15%-Submetering!X2</f>
        <v>45858.553880000138</v>
      </c>
      <c r="J2" s="101">
        <v>0.21</v>
      </c>
      <c r="K2" s="102">
        <f>Submetering!N2-Submetering!O2</f>
        <v>3.541000000000011</v>
      </c>
      <c r="L2" s="114">
        <v>7.84</v>
      </c>
      <c r="M2" s="102">
        <f>Submetering!Y2</f>
        <v>62</v>
      </c>
      <c r="N2" s="103">
        <f>Submetering!Z2</f>
        <v>102</v>
      </c>
    </row>
    <row r="3" spans="1:15" x14ac:dyDescent="0.25">
      <c r="A3" s="115" t="s">
        <v>80</v>
      </c>
      <c r="B3" s="72">
        <f>B2+1</f>
        <v>2</v>
      </c>
      <c r="C3" s="73">
        <v>11</v>
      </c>
      <c r="D3" s="72">
        <v>2020</v>
      </c>
      <c r="E3" s="71">
        <f>Submetering!E3+Submetering!F3+Submetering!G3+Submetering!H3+Submetering!I3+Submetering!J3+Submetering!K3</f>
        <v>28188</v>
      </c>
      <c r="F3" s="74">
        <v>0.2</v>
      </c>
      <c r="G3" s="71">
        <f>Submetering!P3</f>
        <v>545.5</v>
      </c>
      <c r="H3" s="74">
        <v>6.47</v>
      </c>
      <c r="I3" s="71">
        <f>Submetering!T3-Submetering!T3*15%-Submetering!X3</f>
        <v>44317.221979998692</v>
      </c>
      <c r="J3" s="70">
        <v>0.21</v>
      </c>
      <c r="K3" s="71">
        <f>Submetering!N3-Submetering!O3</f>
        <v>55.567999999999991</v>
      </c>
      <c r="L3" s="74">
        <v>7.84</v>
      </c>
      <c r="M3" s="71">
        <f>Submetering!Y3</f>
        <v>76</v>
      </c>
      <c r="N3" s="105">
        <f>Submetering!Z3</f>
        <v>127</v>
      </c>
    </row>
    <row r="4" spans="1:15" x14ac:dyDescent="0.25">
      <c r="A4" s="115" t="s">
        <v>80</v>
      </c>
      <c r="B4" s="72">
        <f t="shared" ref="B4:B31" si="0">B3+1</f>
        <v>3</v>
      </c>
      <c r="C4" s="73">
        <v>11</v>
      </c>
      <c r="D4" s="72">
        <v>2020</v>
      </c>
      <c r="E4" s="71">
        <f>Submetering!E4+Submetering!F4+Submetering!G4+Submetering!H4+Submetering!I4+Submetering!J4+Submetering!K4</f>
        <v>27406</v>
      </c>
      <c r="F4" s="74">
        <v>0.2</v>
      </c>
      <c r="G4" s="71">
        <f>Submetering!P4</f>
        <v>533.5</v>
      </c>
      <c r="H4" s="74">
        <v>6.47</v>
      </c>
      <c r="I4" s="71">
        <f>Submetering!T4-Submetering!T4*15%-Submetering!X4</f>
        <v>41357.20166000395</v>
      </c>
      <c r="J4" s="70">
        <v>0.21</v>
      </c>
      <c r="K4" s="71">
        <f>Submetering!N4-Submetering!O4</f>
        <v>168.13500000000002</v>
      </c>
      <c r="L4" s="74">
        <v>7.84</v>
      </c>
      <c r="M4" s="71">
        <f>Submetering!Y4</f>
        <v>66</v>
      </c>
      <c r="N4" s="105">
        <f>Submetering!Z4</f>
        <v>116</v>
      </c>
    </row>
    <row r="5" spans="1:15" x14ac:dyDescent="0.25">
      <c r="A5" s="115" t="s">
        <v>80</v>
      </c>
      <c r="B5" s="72">
        <f t="shared" si="0"/>
        <v>4</v>
      </c>
      <c r="C5" s="73">
        <v>11</v>
      </c>
      <c r="D5" s="72">
        <v>2020</v>
      </c>
      <c r="E5" s="71">
        <f>Submetering!E5+Submetering!F5+Submetering!G5+Submetering!H5+Submetering!I5+Submetering!J5+Submetering!K5</f>
        <v>28657</v>
      </c>
      <c r="F5" s="74">
        <v>0.2</v>
      </c>
      <c r="G5" s="71">
        <f>Submetering!P5</f>
        <v>549.09999999997672</v>
      </c>
      <c r="H5" s="74">
        <v>6.47</v>
      </c>
      <c r="I5" s="71">
        <f>Submetering!T5-Submetering!T5*15%-Submetering!X5</f>
        <v>41767.529219997647</v>
      </c>
      <c r="J5" s="70">
        <v>0.21</v>
      </c>
      <c r="K5" s="81">
        <f>Submetering!N5-Submetering!O5</f>
        <v>24.849000000000004</v>
      </c>
      <c r="L5" s="74">
        <v>7.84</v>
      </c>
      <c r="M5" s="71">
        <f>Submetering!Y5</f>
        <v>82</v>
      </c>
      <c r="N5" s="105">
        <f>Submetering!Z5</f>
        <v>139</v>
      </c>
    </row>
    <row r="6" spans="1:15" x14ac:dyDescent="0.25">
      <c r="A6" s="115" t="s">
        <v>80</v>
      </c>
      <c r="B6" s="72">
        <f t="shared" si="0"/>
        <v>5</v>
      </c>
      <c r="C6" s="73">
        <v>11</v>
      </c>
      <c r="D6" s="72">
        <v>2020</v>
      </c>
      <c r="E6" s="71">
        <f>Submetering!E6+Submetering!F6+Submetering!G6+Submetering!H6+Submetering!I6+Submetering!J6+Submetering!K6</f>
        <v>29356</v>
      </c>
      <c r="F6" s="74">
        <v>0.2</v>
      </c>
      <c r="G6" s="71">
        <f>Submetering!P6</f>
        <v>586.09999999997672</v>
      </c>
      <c r="H6" s="74">
        <v>6.47</v>
      </c>
      <c r="I6" s="71">
        <f>Submetering!T6-Submetering!T6*15%-Submetering!X6</f>
        <v>42585.494599997095</v>
      </c>
      <c r="J6" s="70">
        <v>0.21</v>
      </c>
      <c r="K6" s="71">
        <f>Submetering!N6-Submetering!O6</f>
        <v>167.38900000000001</v>
      </c>
      <c r="L6" s="74">
        <v>7.84</v>
      </c>
      <c r="M6" s="71">
        <f>Submetering!Y6</f>
        <v>92</v>
      </c>
      <c r="N6" s="105">
        <f>Submetering!Z6</f>
        <v>163</v>
      </c>
    </row>
    <row r="7" spans="1:15" x14ac:dyDescent="0.25">
      <c r="A7" s="115" t="s">
        <v>80</v>
      </c>
      <c r="B7" s="72">
        <f t="shared" si="0"/>
        <v>6</v>
      </c>
      <c r="C7" s="73">
        <v>11</v>
      </c>
      <c r="D7" s="72">
        <v>2020</v>
      </c>
      <c r="E7" s="71">
        <f>Submetering!E7+Submetering!F7+Submetering!G7+Submetering!H7+Submetering!I7+Submetering!J7+Submetering!K7</f>
        <v>28151</v>
      </c>
      <c r="F7" s="74">
        <v>0.2</v>
      </c>
      <c r="G7" s="71">
        <f>Submetering!P7</f>
        <v>605.20000000006985</v>
      </c>
      <c r="H7" s="74">
        <v>6.47</v>
      </c>
      <c r="I7" s="71">
        <f>Submetering!T7-Submetering!T7*15%-Submetering!X7</f>
        <v>38529.45822000131</v>
      </c>
      <c r="J7" s="70">
        <v>0.21</v>
      </c>
      <c r="K7" s="71">
        <f>Submetering!N7-Submetering!O7</f>
        <v>62.401999999999973</v>
      </c>
      <c r="L7" s="74">
        <v>7.84</v>
      </c>
      <c r="M7" s="71">
        <f>Submetering!Y7</f>
        <v>86</v>
      </c>
      <c r="N7" s="105">
        <f>Submetering!Z7</f>
        <v>156</v>
      </c>
    </row>
    <row r="8" spans="1:15" x14ac:dyDescent="0.25">
      <c r="A8" s="115" t="s">
        <v>80</v>
      </c>
      <c r="B8" s="72">
        <f t="shared" si="0"/>
        <v>7</v>
      </c>
      <c r="C8" s="73">
        <v>11</v>
      </c>
      <c r="D8" s="72">
        <v>2020</v>
      </c>
      <c r="E8" s="71">
        <f>Submetering!E8+Submetering!F8+Submetering!G8+Submetering!H8+Submetering!I8+Submetering!J8+Submetering!K8</f>
        <v>28239</v>
      </c>
      <c r="F8" s="74">
        <v>0.2</v>
      </c>
      <c r="G8" s="71">
        <f>Submetering!P8</f>
        <v>565.19999999995343</v>
      </c>
      <c r="H8" s="74">
        <v>6.47</v>
      </c>
      <c r="I8" s="71">
        <f>Submetering!T8-Submetering!T8*15%-Submetering!X8</f>
        <v>38259.392440002637</v>
      </c>
      <c r="J8" s="70">
        <v>0.21</v>
      </c>
      <c r="K8" s="71">
        <f>Submetering!N8-Submetering!O8</f>
        <v>68.929999999999993</v>
      </c>
      <c r="L8" s="74">
        <v>7.84</v>
      </c>
      <c r="M8" s="71">
        <f>Submetering!Y8</f>
        <v>49</v>
      </c>
      <c r="N8" s="105">
        <f>Submetering!Z8</f>
        <v>83</v>
      </c>
    </row>
    <row r="9" spans="1:15" x14ac:dyDescent="0.25">
      <c r="A9" s="115" t="s">
        <v>80</v>
      </c>
      <c r="B9" s="72">
        <f t="shared" si="0"/>
        <v>8</v>
      </c>
      <c r="C9" s="73">
        <v>11</v>
      </c>
      <c r="D9" s="72">
        <v>2020</v>
      </c>
      <c r="E9" s="71">
        <f>Submetering!E9+Submetering!F9+Submetering!G9+Submetering!H9+Submetering!I9+Submetering!J9+Submetering!K9</f>
        <v>28591</v>
      </c>
      <c r="F9" s="74">
        <v>0.2</v>
      </c>
      <c r="G9" s="71">
        <f>Submetering!P9</f>
        <v>547.09999999997672</v>
      </c>
      <c r="H9" s="74">
        <v>6.47</v>
      </c>
      <c r="I9" s="71">
        <f>Submetering!T9-Submetering!T9*15%-Submetering!X9</f>
        <v>42511.62074000042</v>
      </c>
      <c r="J9" s="70">
        <v>0.21</v>
      </c>
      <c r="K9" s="71">
        <f>Submetering!N9-Submetering!O9</f>
        <v>70.810999999999993</v>
      </c>
      <c r="L9" s="74">
        <v>7.84</v>
      </c>
      <c r="M9" s="71">
        <f>Submetering!Y9</f>
        <v>55</v>
      </c>
      <c r="N9" s="105">
        <f>Submetering!Z9</f>
        <v>94</v>
      </c>
      <c r="O9" s="1" t="s">
        <v>12</v>
      </c>
    </row>
    <row r="10" spans="1:15" x14ac:dyDescent="0.25">
      <c r="A10" s="115" t="s">
        <v>80</v>
      </c>
      <c r="B10" s="72">
        <f t="shared" si="0"/>
        <v>9</v>
      </c>
      <c r="C10" s="73">
        <v>11</v>
      </c>
      <c r="D10" s="72">
        <v>2020</v>
      </c>
      <c r="E10" s="71">
        <f>Submetering!E10+Submetering!F10+Submetering!G10+Submetering!H10+Submetering!I10+Submetering!J10+Submetering!K10</f>
        <v>29601</v>
      </c>
      <c r="F10" s="74">
        <v>0.2</v>
      </c>
      <c r="G10" s="71">
        <f>Submetering!P10</f>
        <v>551</v>
      </c>
      <c r="H10" s="74">
        <v>6.47</v>
      </c>
      <c r="I10" s="71">
        <f>Submetering!T10-Submetering!T10*15%-Submetering!X10</f>
        <v>44780.064580000893</v>
      </c>
      <c r="J10" s="70">
        <v>0.21</v>
      </c>
      <c r="K10" s="71">
        <f>Submetering!N10-Submetering!O10</f>
        <v>34.609000000000009</v>
      </c>
      <c r="L10" s="74">
        <v>7.84</v>
      </c>
      <c r="M10" s="71">
        <f>Submetering!Y10</f>
        <v>50</v>
      </c>
      <c r="N10" s="105">
        <f>Submetering!Z10</f>
        <v>81</v>
      </c>
    </row>
    <row r="11" spans="1:15" x14ac:dyDescent="0.25">
      <c r="A11" s="115" t="s">
        <v>80</v>
      </c>
      <c r="B11" s="72">
        <f t="shared" si="0"/>
        <v>10</v>
      </c>
      <c r="C11" s="73">
        <v>11</v>
      </c>
      <c r="D11" s="72">
        <v>2020</v>
      </c>
      <c r="E11" s="71">
        <f>Submetering!E11+Submetering!F11+Submetering!G11+Submetering!H11+Submetering!I11+Submetering!J11+Submetering!K11</f>
        <v>29013</v>
      </c>
      <c r="F11" s="74">
        <v>0.2</v>
      </c>
      <c r="G11" s="71">
        <f>Submetering!P11</f>
        <v>541.10000000009313</v>
      </c>
      <c r="H11" s="74">
        <v>6.47</v>
      </c>
      <c r="I11" s="71">
        <f>Submetering!T11-Submetering!T11*15%-Submetering!X11</f>
        <v>44471.113219999097</v>
      </c>
      <c r="J11" s="70">
        <v>0.21</v>
      </c>
      <c r="K11" s="71">
        <f>Submetering!N11-Submetering!O11</f>
        <v>79.691000000000003</v>
      </c>
      <c r="L11" s="74">
        <v>7.84</v>
      </c>
      <c r="M11" s="71">
        <f>Submetering!Y11</f>
        <v>63</v>
      </c>
      <c r="N11" s="105">
        <f>Submetering!Z11</f>
        <v>89</v>
      </c>
    </row>
    <row r="12" spans="1:15" x14ac:dyDescent="0.25">
      <c r="A12" s="115" t="s">
        <v>80</v>
      </c>
      <c r="B12" s="72">
        <f t="shared" si="0"/>
        <v>11</v>
      </c>
      <c r="C12" s="73">
        <v>11</v>
      </c>
      <c r="D12" s="72">
        <v>2020</v>
      </c>
      <c r="E12" s="71">
        <f>Submetering!E12+Submetering!F12+Submetering!G12+Submetering!H12+Submetering!I12+Submetering!J12+Submetering!K12</f>
        <v>29743</v>
      </c>
      <c r="F12" s="74">
        <v>0.2</v>
      </c>
      <c r="G12" s="71">
        <f>Submetering!P12</f>
        <v>544.89999999990687</v>
      </c>
      <c r="H12" s="74">
        <v>6.47</v>
      </c>
      <c r="I12" s="71">
        <f>Submetering!T12-Submetering!T12*15%-Submetering!X12</f>
        <v>45501.136659996671</v>
      </c>
      <c r="J12" s="70">
        <v>0.21</v>
      </c>
      <c r="K12" s="71">
        <f>Submetering!N12-Submetering!O12</f>
        <v>15.849999999999994</v>
      </c>
      <c r="L12" s="74">
        <v>7.84</v>
      </c>
      <c r="M12" s="71">
        <f>Submetering!Y12</f>
        <v>60</v>
      </c>
      <c r="N12" s="105">
        <f>Submetering!Z12</f>
        <v>96</v>
      </c>
    </row>
    <row r="13" spans="1:15" x14ac:dyDescent="0.25">
      <c r="A13" s="115" t="s">
        <v>80</v>
      </c>
      <c r="B13" s="72">
        <f t="shared" si="0"/>
        <v>12</v>
      </c>
      <c r="C13" s="73">
        <v>11</v>
      </c>
      <c r="D13" s="72">
        <v>2020</v>
      </c>
      <c r="E13" s="71">
        <f>Submetering!E13+Submetering!F13+Submetering!G13+Submetering!H13+Submetering!I13+Submetering!J13+Submetering!K13</f>
        <v>29196</v>
      </c>
      <c r="F13" s="74">
        <v>0.2</v>
      </c>
      <c r="G13" s="71">
        <f>Submetering!P13</f>
        <v>560.80000000004657</v>
      </c>
      <c r="H13" s="74">
        <v>6.47</v>
      </c>
      <c r="I13" s="71">
        <f>Submetering!T13-Submetering!T13*15%-Submetering!X13</f>
        <v>43593.771140000419</v>
      </c>
      <c r="J13" s="70">
        <v>0.21</v>
      </c>
      <c r="K13" s="71">
        <f>Submetering!N13-Submetering!O13</f>
        <v>56.483000000000004</v>
      </c>
      <c r="L13" s="74">
        <v>7.84</v>
      </c>
      <c r="M13" s="71">
        <f>Submetering!Y13</f>
        <v>58</v>
      </c>
      <c r="N13" s="105">
        <f>Submetering!Z13</f>
        <v>93</v>
      </c>
    </row>
    <row r="14" spans="1:15" x14ac:dyDescent="0.25">
      <c r="A14" s="115" t="s">
        <v>80</v>
      </c>
      <c r="B14" s="72">
        <f t="shared" si="0"/>
        <v>13</v>
      </c>
      <c r="C14" s="73">
        <v>11</v>
      </c>
      <c r="D14" s="72">
        <v>2020</v>
      </c>
      <c r="E14" s="71">
        <f>Submetering!E14+Submetering!F14+Submetering!G14+Submetering!H14+Submetering!I14+Submetering!J14+Submetering!K14</f>
        <v>28322</v>
      </c>
      <c r="F14" s="74">
        <v>0.2</v>
      </c>
      <c r="G14" s="71">
        <f>Submetering!P14</f>
        <v>604.59999999997672</v>
      </c>
      <c r="H14" s="74">
        <v>6.47</v>
      </c>
      <c r="I14" s="71">
        <f>Submetering!T14-Submetering!T14*15%-Submetering!X14</f>
        <v>39638.436140004094</v>
      </c>
      <c r="J14" s="70">
        <v>0.21</v>
      </c>
      <c r="K14" s="71">
        <f>Submetering!N14-Submetering!O14</f>
        <v>71.143000000000001</v>
      </c>
      <c r="L14" s="74">
        <v>7.84</v>
      </c>
      <c r="M14" s="71">
        <f>Submetering!Y14</f>
        <v>57</v>
      </c>
      <c r="N14" s="105">
        <f>Submetering!Z14</f>
        <v>95</v>
      </c>
    </row>
    <row r="15" spans="1:15" x14ac:dyDescent="0.25">
      <c r="A15" s="115" t="s">
        <v>80</v>
      </c>
      <c r="B15" s="72">
        <f t="shared" si="0"/>
        <v>14</v>
      </c>
      <c r="C15" s="73">
        <v>11</v>
      </c>
      <c r="D15" s="72">
        <v>2020</v>
      </c>
      <c r="E15" s="71">
        <f>Submetering!E15+Submetering!F15+Submetering!G15+Submetering!H15+Submetering!I15+Submetering!J15+Submetering!K15</f>
        <v>29095</v>
      </c>
      <c r="F15" s="74">
        <v>0.2</v>
      </c>
      <c r="G15" s="71">
        <f>Submetering!P15</f>
        <v>306</v>
      </c>
      <c r="H15" s="74">
        <v>6.47</v>
      </c>
      <c r="I15" s="71">
        <f>Submetering!T15-Submetering!T15*15%-Submetering!X15</f>
        <v>34898.475539999716</v>
      </c>
      <c r="J15" s="70">
        <v>0.21</v>
      </c>
      <c r="K15" s="81">
        <f>Submetering!N15-Submetering!O15</f>
        <v>13.534999999999997</v>
      </c>
      <c r="L15" s="74">
        <v>7.84</v>
      </c>
      <c r="M15" s="71">
        <f>Submetering!Y15</f>
        <v>45</v>
      </c>
      <c r="N15" s="105">
        <f>Submetering!Z15</f>
        <v>68</v>
      </c>
    </row>
    <row r="16" spans="1:15" x14ac:dyDescent="0.25">
      <c r="A16" s="115" t="s">
        <v>80</v>
      </c>
      <c r="B16" s="72">
        <f t="shared" si="0"/>
        <v>15</v>
      </c>
      <c r="C16" s="73">
        <v>11</v>
      </c>
      <c r="D16" s="72">
        <v>2020</v>
      </c>
      <c r="E16" s="71">
        <f>Submetering!E16+Submetering!F16+Submetering!G16+Submetering!H16+Submetering!I16+Submetering!J16+Submetering!K16</f>
        <v>29452</v>
      </c>
      <c r="F16" s="74">
        <v>0.2</v>
      </c>
      <c r="G16" s="71">
        <f>Submetering!P16</f>
        <v>313.90000000002328</v>
      </c>
      <c r="H16" s="74">
        <v>6.47</v>
      </c>
      <c r="I16" s="71">
        <f>Submetering!T16-Submetering!T16*15%-Submetering!X16</f>
        <v>31597.728259994459</v>
      </c>
      <c r="J16" s="70">
        <v>0.21</v>
      </c>
      <c r="K16" s="71">
        <f>Submetering!N16-Submetering!O16</f>
        <v>43.459000000001254</v>
      </c>
      <c r="L16" s="74">
        <v>7.84</v>
      </c>
      <c r="M16" s="71">
        <f>Submetering!Y16</f>
        <v>64</v>
      </c>
      <c r="N16" s="105">
        <f>Submetering!Z16</f>
        <v>95</v>
      </c>
    </row>
    <row r="17" spans="1:14" x14ac:dyDescent="0.25">
      <c r="A17" s="115" t="s">
        <v>80</v>
      </c>
      <c r="B17" s="72">
        <f t="shared" si="0"/>
        <v>16</v>
      </c>
      <c r="C17" s="73">
        <v>11</v>
      </c>
      <c r="D17" s="72">
        <v>2020</v>
      </c>
      <c r="E17" s="71">
        <f>Submetering!E17+Submetering!F17+Submetering!G17+Submetering!H17+Submetering!I17+Submetering!J17+Submetering!K17</f>
        <v>30384</v>
      </c>
      <c r="F17" s="74">
        <v>0.2</v>
      </c>
      <c r="G17" s="71">
        <f>Submetering!P17</f>
        <v>309.19999999995343</v>
      </c>
      <c r="H17" s="74">
        <v>6.47</v>
      </c>
      <c r="I17" s="71">
        <f>Submetering!T17-Submetering!T17*15%-Submetering!X17</f>
        <v>34733.651800001455</v>
      </c>
      <c r="J17" s="70">
        <v>0.21</v>
      </c>
      <c r="K17" s="71">
        <f>Submetering!N17-Submetering!O17</f>
        <v>53.503000000000412</v>
      </c>
      <c r="L17" s="74">
        <v>7.84</v>
      </c>
      <c r="M17" s="71">
        <f>Submetering!Y17</f>
        <v>81</v>
      </c>
      <c r="N17" s="105">
        <f>Submetering!Z17</f>
        <v>114</v>
      </c>
    </row>
    <row r="18" spans="1:14" x14ac:dyDescent="0.25">
      <c r="A18" s="115" t="s">
        <v>80</v>
      </c>
      <c r="B18" s="72">
        <f t="shared" si="0"/>
        <v>17</v>
      </c>
      <c r="C18" s="73">
        <v>11</v>
      </c>
      <c r="D18" s="72">
        <v>2020</v>
      </c>
      <c r="E18" s="71">
        <f>Submetering!E18+Submetering!F18+Submetering!G18+Submetering!H18+Submetering!I18+Submetering!J18+Submetering!K18</f>
        <v>31314</v>
      </c>
      <c r="F18" s="74">
        <v>0.2</v>
      </c>
      <c r="G18" s="71">
        <f>Submetering!P18</f>
        <v>329</v>
      </c>
      <c r="H18" s="74">
        <v>6.47</v>
      </c>
      <c r="I18" s="71">
        <f>Submetering!T18-Submetering!T18*15%-Submetering!X18</f>
        <v>36317.643579998687</v>
      </c>
      <c r="J18" s="70">
        <v>0.21</v>
      </c>
      <c r="K18" s="71">
        <f>Submetering!N18-Submetering!O18</f>
        <v>61.663999999995625</v>
      </c>
      <c r="L18" s="74">
        <v>7.84</v>
      </c>
      <c r="M18" s="71">
        <f>Submetering!Y18</f>
        <v>114</v>
      </c>
      <c r="N18" s="105">
        <f>Submetering!Z18</f>
        <v>152</v>
      </c>
    </row>
    <row r="19" spans="1:14" x14ac:dyDescent="0.25">
      <c r="A19" s="115" t="s">
        <v>80</v>
      </c>
      <c r="B19" s="72">
        <f t="shared" si="0"/>
        <v>18</v>
      </c>
      <c r="C19" s="73">
        <v>11</v>
      </c>
      <c r="D19" s="72">
        <v>2020</v>
      </c>
      <c r="E19" s="71">
        <f>Submetering!E19+Submetering!F19+Submetering!G19+Submetering!H19+Submetering!I19+Submetering!J19+Submetering!K19</f>
        <v>31298</v>
      </c>
      <c r="F19" s="74">
        <v>0.2</v>
      </c>
      <c r="G19" s="71">
        <f>Submetering!P19</f>
        <v>527.70000000006985</v>
      </c>
      <c r="H19" s="74">
        <v>6.47</v>
      </c>
      <c r="I19" s="71">
        <f>Submetering!T19-Submetering!T19*15%-Submetering!X19</f>
        <v>40752.342800001461</v>
      </c>
      <c r="J19" s="70">
        <v>0.21</v>
      </c>
      <c r="K19" s="71">
        <f>Submetering!N19-Submetering!O19</f>
        <v>71.46299999999826</v>
      </c>
      <c r="L19" s="74">
        <v>7.84</v>
      </c>
      <c r="M19" s="71">
        <f>Submetering!Y19</f>
        <v>109</v>
      </c>
      <c r="N19" s="105">
        <f>Submetering!Z19</f>
        <v>147</v>
      </c>
    </row>
    <row r="20" spans="1:14" x14ac:dyDescent="0.25">
      <c r="A20" s="115" t="s">
        <v>80</v>
      </c>
      <c r="B20" s="72">
        <f t="shared" si="0"/>
        <v>19</v>
      </c>
      <c r="C20" s="73">
        <v>11</v>
      </c>
      <c r="D20" s="72">
        <v>2020</v>
      </c>
      <c r="E20" s="71">
        <f>Submetering!E20+Submetering!F20+Submetering!G20+Submetering!H20+Submetering!I20+Submetering!J20+Submetering!K20</f>
        <v>28655</v>
      </c>
      <c r="F20" s="74">
        <v>0.2</v>
      </c>
      <c r="G20" s="71">
        <f>Submetering!P20</f>
        <v>598.09999999997672</v>
      </c>
      <c r="H20" s="74">
        <v>6.47</v>
      </c>
      <c r="I20" s="71">
        <f>Submetering!T20-Submetering!T20*15%-Submetering!X20</f>
        <v>35347.377699999997</v>
      </c>
      <c r="J20" s="70">
        <v>0.21</v>
      </c>
      <c r="K20" s="71">
        <f>Submetering!N20-Submetering!O20</f>
        <v>63.471000000001823</v>
      </c>
      <c r="L20" s="74">
        <v>7.84</v>
      </c>
      <c r="M20" s="71">
        <f>Submetering!Y20</f>
        <v>101</v>
      </c>
      <c r="N20" s="105">
        <f>Submetering!Z20</f>
        <v>150</v>
      </c>
    </row>
    <row r="21" spans="1:14" x14ac:dyDescent="0.25">
      <c r="A21" s="115" t="s">
        <v>80</v>
      </c>
      <c r="B21" s="72">
        <f t="shared" si="0"/>
        <v>20</v>
      </c>
      <c r="C21" s="73">
        <v>11</v>
      </c>
      <c r="D21" s="72">
        <v>2020</v>
      </c>
      <c r="E21" s="71">
        <f>Submetering!E21+Submetering!F21+Submetering!G21+Submetering!H21+Submetering!I21+Submetering!J21+Submetering!K21</f>
        <v>28927</v>
      </c>
      <c r="F21" s="74">
        <v>0.2</v>
      </c>
      <c r="G21" s="71">
        <f>Submetering!P21</f>
        <v>633.69999999995343</v>
      </c>
      <c r="H21" s="74">
        <v>6.47</v>
      </c>
      <c r="I21" s="71">
        <f>Submetering!T21-Submetering!T21*15%-Submetering!X21</f>
        <v>37241.135419998405</v>
      </c>
      <c r="J21" s="70">
        <v>0.21</v>
      </c>
      <c r="K21" s="71">
        <f>Submetering!N21-Submetering!O21</f>
        <v>63.639999999996235</v>
      </c>
      <c r="L21" s="74">
        <v>7.84</v>
      </c>
      <c r="M21" s="71">
        <f>Submetering!Y21</f>
        <v>98</v>
      </c>
      <c r="N21" s="105">
        <f>Submetering!Z21</f>
        <v>156</v>
      </c>
    </row>
    <row r="22" spans="1:14" x14ac:dyDescent="0.25">
      <c r="A22" s="115" t="s">
        <v>80</v>
      </c>
      <c r="B22" s="72">
        <f t="shared" si="0"/>
        <v>21</v>
      </c>
      <c r="C22" s="73">
        <v>11</v>
      </c>
      <c r="D22" s="72">
        <v>2020</v>
      </c>
      <c r="E22" s="71">
        <f>Submetering!E22+Submetering!F22+Submetering!G22+Submetering!H22+Submetering!I22+Submetering!J22+Submetering!K22</f>
        <v>28002</v>
      </c>
      <c r="F22" s="74">
        <v>0.2</v>
      </c>
      <c r="G22" s="71">
        <f>Submetering!P22</f>
        <v>570.80000000004657</v>
      </c>
      <c r="H22" s="74">
        <v>6.47</v>
      </c>
      <c r="I22" s="71">
        <f>Submetering!T22-Submetering!T22*15%-Submetering!X22</f>
        <v>32897.16432000132</v>
      </c>
      <c r="J22" s="70">
        <v>0.21</v>
      </c>
      <c r="K22" s="71">
        <f>Submetering!N22-Submetering!O22</f>
        <v>51.871000000012373</v>
      </c>
      <c r="L22" s="74">
        <v>7.84</v>
      </c>
      <c r="M22" s="71">
        <f>Submetering!Y22</f>
        <v>69</v>
      </c>
      <c r="N22" s="105">
        <f>Submetering!Z22</f>
        <v>104</v>
      </c>
    </row>
    <row r="23" spans="1:14" x14ac:dyDescent="0.25">
      <c r="A23" s="115" t="s">
        <v>80</v>
      </c>
      <c r="B23" s="72">
        <f t="shared" si="0"/>
        <v>22</v>
      </c>
      <c r="C23" s="73">
        <v>11</v>
      </c>
      <c r="D23" s="72">
        <v>2020</v>
      </c>
      <c r="E23" s="71">
        <f>Submetering!E23+Submetering!F23+Submetering!G23+Submetering!H23+Submetering!I23+Submetering!J23+Submetering!K23</f>
        <v>28943</v>
      </c>
      <c r="F23" s="74">
        <v>0.2</v>
      </c>
      <c r="G23" s="71">
        <f>Submetering!P23</f>
        <v>392.09999999997672</v>
      </c>
      <c r="H23" s="74">
        <v>6.47</v>
      </c>
      <c r="I23" s="71">
        <f>Submetering!T23-Submetering!T23*15%-Submetering!X23</f>
        <v>35662.862979998681</v>
      </c>
      <c r="J23" s="70">
        <v>0.21</v>
      </c>
      <c r="K23" s="71">
        <f>Submetering!N23-Submetering!O23</f>
        <v>104.55199999998604</v>
      </c>
      <c r="L23" s="74">
        <v>7.84</v>
      </c>
      <c r="M23" s="71">
        <f>Submetering!Y23</f>
        <v>70</v>
      </c>
      <c r="N23" s="105">
        <f>Submetering!Z23</f>
        <v>98</v>
      </c>
    </row>
    <row r="24" spans="1:14" x14ac:dyDescent="0.25">
      <c r="A24" s="115" t="s">
        <v>80</v>
      </c>
      <c r="B24" s="72">
        <f t="shared" si="0"/>
        <v>23</v>
      </c>
      <c r="C24" s="73">
        <v>11</v>
      </c>
      <c r="D24" s="72">
        <v>2020</v>
      </c>
      <c r="E24" s="71">
        <f>Submetering!E24+Submetering!F24+Submetering!G24+Submetering!H24+Submetering!I24+Submetering!J24+Submetering!K24</f>
        <v>31710</v>
      </c>
      <c r="F24" s="74">
        <v>0.2</v>
      </c>
      <c r="G24" s="71">
        <f>Submetering!P24</f>
        <v>368.09999999997672</v>
      </c>
      <c r="H24" s="74">
        <v>6.47</v>
      </c>
      <c r="I24" s="71">
        <f>Submetering!T24-Submetering!T24*15%-Submetering!X24</f>
        <v>30008.398000001456</v>
      </c>
      <c r="J24" s="70">
        <v>0.21</v>
      </c>
      <c r="K24" s="71">
        <f>Submetering!N24-Submetering!O24</f>
        <v>58.063000000003584</v>
      </c>
      <c r="L24" s="74">
        <v>7.84</v>
      </c>
      <c r="M24" s="71">
        <f>Submetering!Y24</f>
        <v>93</v>
      </c>
      <c r="N24" s="105">
        <f>Submetering!Z24</f>
        <v>118</v>
      </c>
    </row>
    <row r="25" spans="1:14" x14ac:dyDescent="0.25">
      <c r="A25" s="115" t="s">
        <v>80</v>
      </c>
      <c r="B25" s="72">
        <f t="shared" si="0"/>
        <v>24</v>
      </c>
      <c r="C25" s="73">
        <v>11</v>
      </c>
      <c r="D25" s="72">
        <v>2020</v>
      </c>
      <c r="E25" s="71">
        <f>Submetering!E25+Submetering!F25+Submetering!G25+Submetering!H25+Submetering!I25+Submetering!J25+Submetering!K25</f>
        <v>31799</v>
      </c>
      <c r="F25" s="74">
        <v>0.2</v>
      </c>
      <c r="G25" s="71">
        <f>Submetering!P25</f>
        <v>380.30000000004657</v>
      </c>
      <c r="H25" s="74">
        <v>6.47</v>
      </c>
      <c r="I25" s="71">
        <f>Submetering!T25-Submetering!T25*15%-Submetering!X25</f>
        <v>32040.833980000141</v>
      </c>
      <c r="J25" s="70">
        <v>0.21</v>
      </c>
      <c r="K25" s="71">
        <f>Submetering!N25-Submetering!O25</f>
        <v>47.632000000011431</v>
      </c>
      <c r="L25" s="74">
        <v>7.84</v>
      </c>
      <c r="M25" s="71">
        <f>Submetering!Y25</f>
        <v>87</v>
      </c>
      <c r="N25" s="105">
        <f>Submetering!Z25</f>
        <v>112</v>
      </c>
    </row>
    <row r="26" spans="1:14" x14ac:dyDescent="0.25">
      <c r="A26" s="115" t="s">
        <v>80</v>
      </c>
      <c r="B26" s="72">
        <f>B25+1</f>
        <v>25</v>
      </c>
      <c r="C26" s="73">
        <v>11</v>
      </c>
      <c r="D26" s="72">
        <v>2020</v>
      </c>
      <c r="E26" s="71">
        <f>Submetering!E26+Submetering!F26+Submetering!G26+Submetering!H26+Submetering!I26+Submetering!J26+Submetering!K26</f>
        <v>30610</v>
      </c>
      <c r="F26" s="74">
        <v>0.2</v>
      </c>
      <c r="G26" s="71">
        <f>Submetering!P26</f>
        <v>430</v>
      </c>
      <c r="H26" s="74">
        <v>6.47</v>
      </c>
      <c r="I26" s="71">
        <f>Submetering!T26-Submetering!T26*15%-Submetering!X26</f>
        <v>31889.270960002497</v>
      </c>
      <c r="J26" s="70">
        <v>0.21</v>
      </c>
      <c r="K26" s="71">
        <f>Submetering!N26-Submetering!O26</f>
        <v>111.47299999998359</v>
      </c>
      <c r="L26" s="74">
        <v>7.84</v>
      </c>
      <c r="M26" s="71">
        <f>Submetering!Y26</f>
        <v>93</v>
      </c>
      <c r="N26" s="105">
        <f>Submetering!Z26</f>
        <v>136</v>
      </c>
    </row>
    <row r="27" spans="1:14" x14ac:dyDescent="0.25">
      <c r="A27" s="115" t="s">
        <v>80</v>
      </c>
      <c r="B27" s="72">
        <f t="shared" si="0"/>
        <v>26</v>
      </c>
      <c r="C27" s="73">
        <v>11</v>
      </c>
      <c r="D27" s="72">
        <v>2020</v>
      </c>
      <c r="E27" s="71">
        <f>Submetering!E27+Submetering!F27+Submetering!G27+Submetering!H27+Submetering!I27+Submetering!J27+Submetering!K27</f>
        <v>29931</v>
      </c>
      <c r="F27" s="74">
        <v>0.2</v>
      </c>
      <c r="G27" s="71">
        <f>Submetering!P27</f>
        <v>455.90000000002328</v>
      </c>
      <c r="H27" s="74">
        <v>6.47</v>
      </c>
      <c r="I27" s="71">
        <f>Submetering!T27-Submetering!T27*15%-Submetering!X27</f>
        <v>30813.770259997364</v>
      </c>
      <c r="J27" s="70">
        <v>0.21</v>
      </c>
      <c r="K27" s="71">
        <f>Submetering!N27-Submetering!O27</f>
        <v>95.449000000018259</v>
      </c>
      <c r="L27" s="74">
        <v>7.84</v>
      </c>
      <c r="M27" s="71">
        <f>Submetering!Y27</f>
        <v>73</v>
      </c>
      <c r="N27" s="105">
        <f>Submetering!Z27</f>
        <v>117</v>
      </c>
    </row>
    <row r="28" spans="1:14" x14ac:dyDescent="0.25">
      <c r="A28" s="115" t="s">
        <v>80</v>
      </c>
      <c r="B28" s="72">
        <f t="shared" si="0"/>
        <v>27</v>
      </c>
      <c r="C28" s="73">
        <v>11</v>
      </c>
      <c r="D28" s="72">
        <v>2020</v>
      </c>
      <c r="E28" s="71">
        <f>Submetering!E28+Submetering!F28+Submetering!G28+Submetering!H28+Submetering!I28+Submetering!J28+Submetering!K28</f>
        <v>30453</v>
      </c>
      <c r="F28" s="74">
        <v>0.2</v>
      </c>
      <c r="G28" s="71">
        <f>Submetering!P28</f>
        <v>457.59999999997672</v>
      </c>
      <c r="H28" s="74">
        <v>6.47</v>
      </c>
      <c r="I28" s="71">
        <f>Submetering!T28-Submetering!T28*15%-Submetering!X28</f>
        <v>30930.764279998686</v>
      </c>
      <c r="J28" s="70">
        <v>0.21</v>
      </c>
      <c r="K28" s="71">
        <f>Submetering!N28-Submetering!O28</f>
        <v>9.9029999999934262</v>
      </c>
      <c r="L28" s="74">
        <v>7.84</v>
      </c>
      <c r="M28" s="71">
        <f>Submetering!Y28</f>
        <v>87</v>
      </c>
      <c r="N28" s="105">
        <f>Submetering!Z28</f>
        <v>143</v>
      </c>
    </row>
    <row r="29" spans="1:14" x14ac:dyDescent="0.25">
      <c r="A29" s="115" t="s">
        <v>80</v>
      </c>
      <c r="B29" s="72">
        <f t="shared" si="0"/>
        <v>28</v>
      </c>
      <c r="C29" s="73">
        <v>11</v>
      </c>
      <c r="D29" s="72">
        <v>2020</v>
      </c>
      <c r="E29" s="71">
        <f>Submetering!E29+Submetering!F29+Submetering!G29+Submetering!H29+Submetering!I29+Submetering!J29+Submetering!K29</f>
        <v>30232</v>
      </c>
      <c r="F29" s="74">
        <v>0.2</v>
      </c>
      <c r="G29" s="71">
        <f>Submetering!P29</f>
        <v>442.19999999995343</v>
      </c>
      <c r="H29" s="74">
        <v>6.47</v>
      </c>
      <c r="I29" s="71">
        <f>Submetering!T29-Submetering!T29*15%-Submetering!X29</f>
        <v>28130.14000000582</v>
      </c>
      <c r="J29" s="70">
        <v>0.21</v>
      </c>
      <c r="K29" s="71">
        <f>Submetering!N29-Submetering!O29</f>
        <v>66.835999999999785</v>
      </c>
      <c r="L29" s="74">
        <v>7.84</v>
      </c>
      <c r="M29" s="71">
        <f>Submetering!Y29</f>
        <v>66</v>
      </c>
      <c r="N29" s="105">
        <f>Submetering!Z29</f>
        <v>112</v>
      </c>
    </row>
    <row r="30" spans="1:14" x14ac:dyDescent="0.25">
      <c r="A30" s="115" t="s">
        <v>80</v>
      </c>
      <c r="B30" s="72">
        <f t="shared" si="0"/>
        <v>29</v>
      </c>
      <c r="C30" s="73">
        <v>11</v>
      </c>
      <c r="D30" s="72">
        <v>2020</v>
      </c>
      <c r="E30" s="71">
        <f>Submetering!E30+Submetering!F30+Submetering!G30+Submetering!H30+Submetering!I30+Submetering!J30+Submetering!K30</f>
        <v>28739</v>
      </c>
      <c r="F30" s="74">
        <v>0.2</v>
      </c>
      <c r="G30" s="71">
        <f>Submetering!P30</f>
        <v>426.90000000002328</v>
      </c>
      <c r="H30" s="74">
        <v>6.47</v>
      </c>
      <c r="I30" s="71">
        <f>Submetering!T30-Submetering!T30*15%-Submetering!X30</f>
        <v>29186.506439996811</v>
      </c>
      <c r="J30" s="70">
        <v>0.21</v>
      </c>
      <c r="K30" s="71">
        <f>Submetering!N30-Submetering!O30</f>
        <v>42.066000000005715</v>
      </c>
      <c r="L30" s="74">
        <v>7.84</v>
      </c>
      <c r="M30" s="71">
        <f>Submetering!Y30</f>
        <v>72</v>
      </c>
      <c r="N30" s="105">
        <f>Submetering!Z30</f>
        <v>123</v>
      </c>
    </row>
    <row r="31" spans="1:14" x14ac:dyDescent="0.25">
      <c r="A31" s="129" t="s">
        <v>80</v>
      </c>
      <c r="B31" s="130">
        <f t="shared" si="0"/>
        <v>30</v>
      </c>
      <c r="C31" s="73">
        <v>11</v>
      </c>
      <c r="D31" s="130">
        <v>2020</v>
      </c>
      <c r="E31" s="127">
        <f>Submetering!E31+Submetering!F31+Submetering!G31+Submetering!H31+Submetering!I31+Submetering!J31+Submetering!K31</f>
        <v>30119</v>
      </c>
      <c r="F31" s="131">
        <v>0.2</v>
      </c>
      <c r="G31" s="127">
        <f>Submetering!P31</f>
        <v>434.09999999997672</v>
      </c>
      <c r="H31" s="131">
        <v>6.47</v>
      </c>
      <c r="I31" s="127">
        <f>Submetering!T31-Submetering!T31*15%-Submetering!X31</f>
        <v>34110.675680003049</v>
      </c>
      <c r="J31" s="126">
        <v>0.21</v>
      </c>
      <c r="K31" s="127">
        <f>Submetering!N31-Submetering!O31</f>
        <v>54.383999999997741</v>
      </c>
      <c r="L31" s="131">
        <v>7.84</v>
      </c>
      <c r="M31" s="127">
        <f>Submetering!Y31</f>
        <v>45</v>
      </c>
      <c r="N31" s="128">
        <f>Submetering!Z31</f>
        <v>65</v>
      </c>
    </row>
    <row r="32" spans="1:14" x14ac:dyDescent="0.25">
      <c r="E32" s="4">
        <f>SUM(E2:E31)</f>
        <v>884010</v>
      </c>
      <c r="G32" s="4">
        <f>SUM(G2:G31)</f>
        <v>14650.199999999953</v>
      </c>
      <c r="I32" s="4">
        <f>SUM(I2:I31)</f>
        <v>1119729.7364800032</v>
      </c>
      <c r="K32" s="4">
        <f>SUM(K2:K31)</f>
        <v>1892.3650000000055</v>
      </c>
      <c r="M32" s="4">
        <f>SUM(M2:M31)</f>
        <v>2223</v>
      </c>
      <c r="N32" s="4">
        <f>SUM(N2:N31)</f>
        <v>3444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C2" activePane="bottomRight" state="frozen"/>
      <selection pane="topRight" activeCell="C1" sqref="C1"/>
      <selection pane="bottomLeft" activeCell="A2" sqref="A2"/>
      <selection pane="bottomRight" activeCell="N2" sqref="N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3" t="s">
        <v>0</v>
      </c>
      <c r="B1" s="94" t="s">
        <v>1</v>
      </c>
      <c r="C1" s="95" t="s">
        <v>2</v>
      </c>
      <c r="D1" s="94" t="s">
        <v>3</v>
      </c>
      <c r="E1" s="96" t="s">
        <v>64</v>
      </c>
      <c r="F1" s="96" t="s">
        <v>81</v>
      </c>
      <c r="G1" s="96" t="s">
        <v>84</v>
      </c>
      <c r="H1" s="96" t="s">
        <v>65</v>
      </c>
      <c r="I1" s="96" t="s">
        <v>66</v>
      </c>
      <c r="J1" s="96" t="s">
        <v>67</v>
      </c>
      <c r="K1" s="96" t="s">
        <v>68</v>
      </c>
      <c r="L1" s="97" t="s">
        <v>69</v>
      </c>
      <c r="M1" s="97" t="s">
        <v>70</v>
      </c>
      <c r="N1" s="97" t="s">
        <v>71</v>
      </c>
      <c r="O1" s="97" t="s">
        <v>72</v>
      </c>
      <c r="P1" s="97" t="s">
        <v>73</v>
      </c>
      <c r="Q1" s="97" t="s">
        <v>74</v>
      </c>
      <c r="R1" s="97" t="s">
        <v>75</v>
      </c>
      <c r="S1" s="97" t="s">
        <v>91</v>
      </c>
      <c r="T1" s="97" t="s">
        <v>86</v>
      </c>
      <c r="U1" s="97" t="s">
        <v>87</v>
      </c>
      <c r="V1" s="97" t="s">
        <v>88</v>
      </c>
      <c r="W1" s="97" t="s">
        <v>89</v>
      </c>
      <c r="X1" s="97" t="s">
        <v>90</v>
      </c>
      <c r="Y1" s="98" t="s">
        <v>8</v>
      </c>
      <c r="Z1" s="97" t="s">
        <v>9</v>
      </c>
    </row>
    <row r="2" spans="1:26" x14ac:dyDescent="0.25">
      <c r="A2" s="99" t="s">
        <v>80</v>
      </c>
      <c r="B2" s="100">
        <v>1</v>
      </c>
      <c r="C2" s="101">
        <v>11</v>
      </c>
      <c r="D2" s="100">
        <v>2020</v>
      </c>
      <c r="E2" s="102">
        <f>'FS-AD Daily '!B6</f>
        <v>5118</v>
      </c>
      <c r="F2" s="102">
        <f>'FS-AD Daily '!C6</f>
        <v>3600</v>
      </c>
      <c r="G2" s="102">
        <f>'FS-AD Daily '!D6</f>
        <v>814</v>
      </c>
      <c r="H2" s="102">
        <f>'FS-AD Daily '!E6</f>
        <v>4539</v>
      </c>
      <c r="I2" s="102">
        <f>'FS-AD Daily '!F6</f>
        <v>5494</v>
      </c>
      <c r="J2" s="102">
        <f>'FS-AD Daily '!G6</f>
        <v>3009</v>
      </c>
      <c r="K2" s="102">
        <f>'FS-AD Daily '!H6</f>
        <v>7310</v>
      </c>
      <c r="L2" s="102">
        <f>'FS-AD Daily '!I6</f>
        <v>2499</v>
      </c>
      <c r="M2" s="102">
        <f>'FS-AD Daily '!J6</f>
        <v>7170</v>
      </c>
      <c r="N2" s="102">
        <f>'FS-AD Daily '!T6</f>
        <v>64.867000000000004</v>
      </c>
      <c r="O2" s="102">
        <f>'FS-AD Daily '!R6</f>
        <v>61.325999999999993</v>
      </c>
      <c r="P2" s="102">
        <f>'FS-AD Daily '!Z6</f>
        <v>540.5</v>
      </c>
      <c r="Q2" s="102">
        <f>'FS-AD Daily '!V6</f>
        <v>265</v>
      </c>
      <c r="R2" s="102">
        <f>'FS-AD Daily '!W6</f>
        <v>0</v>
      </c>
      <c r="S2" s="102">
        <f>P2-Q2-R2</f>
        <v>275.5</v>
      </c>
      <c r="T2" s="102">
        <f>'FS-AD Daily '!AD6*3.516</f>
        <v>79833.592800000159</v>
      </c>
      <c r="U2" s="102">
        <f>('FS-AD Daily '!AF6)*1000</f>
        <v>35500</v>
      </c>
      <c r="V2" s="102">
        <f>('FS-AD Daily '!AG6)*1000</f>
        <v>34100</v>
      </c>
      <c r="W2" s="102">
        <f>'FS-AD Daily '!AH6*1000</f>
        <v>10800</v>
      </c>
      <c r="X2" s="102">
        <f>('FS-AD Daily '!AK6)*1000</f>
        <v>22000</v>
      </c>
      <c r="Y2" s="102">
        <v>62</v>
      </c>
      <c r="Z2" s="103">
        <v>102</v>
      </c>
    </row>
    <row r="3" spans="1:26" x14ac:dyDescent="0.25">
      <c r="A3" s="104" t="s">
        <v>80</v>
      </c>
      <c r="B3" s="69">
        <f>B2+1</f>
        <v>2</v>
      </c>
      <c r="C3" s="70">
        <v>11</v>
      </c>
      <c r="D3" s="69">
        <v>2020</v>
      </c>
      <c r="E3" s="71">
        <f>'FS-AD Daily '!B7</f>
        <v>4733</v>
      </c>
      <c r="F3" s="71">
        <f>'FS-AD Daily '!C7</f>
        <v>3442</v>
      </c>
      <c r="G3" s="71">
        <f>'FS-AD Daily '!D7</f>
        <v>808</v>
      </c>
      <c r="H3" s="71">
        <f>'FS-AD Daily '!E7</f>
        <v>4482</v>
      </c>
      <c r="I3" s="71">
        <f>'FS-AD Daily '!F7</f>
        <v>5292</v>
      </c>
      <c r="J3" s="71">
        <f>'FS-AD Daily '!G7</f>
        <v>2819</v>
      </c>
      <c r="K3" s="71">
        <f>'FS-AD Daily '!H7</f>
        <v>6612</v>
      </c>
      <c r="L3" s="71">
        <f>'FS-AD Daily '!I7</f>
        <v>2427</v>
      </c>
      <c r="M3" s="71">
        <f>'FS-AD Daily '!J7</f>
        <v>6811</v>
      </c>
      <c r="N3" s="71">
        <f>'FS-AD Daily '!T7</f>
        <v>110.84399999999999</v>
      </c>
      <c r="O3" s="71">
        <f>'FS-AD Daily '!R7</f>
        <v>55.276000000000003</v>
      </c>
      <c r="P3" s="71">
        <f>'FS-AD Daily '!Z7</f>
        <v>545.5</v>
      </c>
      <c r="Q3" s="71">
        <f>'FS-AD Daily '!V7</f>
        <v>271.89999999999998</v>
      </c>
      <c r="R3" s="71">
        <f>'FS-AD Daily '!W7</f>
        <v>0</v>
      </c>
      <c r="S3" s="71">
        <f t="shared" ref="S3:S31" si="0">P3-Q3-R3</f>
        <v>273.60000000000002</v>
      </c>
      <c r="T3" s="71">
        <f>'FS-AD Daily '!AD7*3.516</f>
        <v>77314.378800000166</v>
      </c>
      <c r="U3" s="71">
        <f>('FS-AD Daily '!AF7)*1000</f>
        <v>36500</v>
      </c>
      <c r="V3" s="71">
        <f>('FS-AD Daily '!AG7)*1000</f>
        <v>28800</v>
      </c>
      <c r="W3" s="71">
        <f>'FS-AD Daily '!AH7*1000</f>
        <v>10700</v>
      </c>
      <c r="X3" s="71">
        <f>('FS-AD Daily '!AK7)*1000</f>
        <v>21400.000000001455</v>
      </c>
      <c r="Y3" s="71">
        <v>76</v>
      </c>
      <c r="Z3" s="105">
        <v>127</v>
      </c>
    </row>
    <row r="4" spans="1:26" x14ac:dyDescent="0.25">
      <c r="A4" s="104" t="s">
        <v>80</v>
      </c>
      <c r="B4" s="69">
        <f t="shared" ref="B4:B31" si="1">B3+1</f>
        <v>3</v>
      </c>
      <c r="C4" s="70">
        <v>11</v>
      </c>
      <c r="D4" s="69">
        <v>2020</v>
      </c>
      <c r="E4" s="71">
        <f>'FS-AD Daily '!B8</f>
        <v>4481</v>
      </c>
      <c r="F4" s="71">
        <f>'FS-AD Daily '!C8</f>
        <v>3621</v>
      </c>
      <c r="G4" s="71">
        <f>'FS-AD Daily '!D8</f>
        <v>785</v>
      </c>
      <c r="H4" s="71">
        <f>'FS-AD Daily '!E8</f>
        <v>4587</v>
      </c>
      <c r="I4" s="71">
        <f>'FS-AD Daily '!F8</f>
        <v>5413</v>
      </c>
      <c r="J4" s="71">
        <f>'FS-AD Daily '!G8</f>
        <v>2748</v>
      </c>
      <c r="K4" s="71">
        <f>'FS-AD Daily '!H8</f>
        <v>5771</v>
      </c>
      <c r="L4" s="71">
        <f>'FS-AD Daily '!I8</f>
        <v>2441</v>
      </c>
      <c r="M4" s="71">
        <f>'FS-AD Daily '!J8</f>
        <v>6970</v>
      </c>
      <c r="N4" s="71">
        <f>'FS-AD Daily '!T8</f>
        <v>232.19900000000001</v>
      </c>
      <c r="O4" s="71">
        <f>'FS-AD Daily '!R8</f>
        <v>64.063999999999993</v>
      </c>
      <c r="P4" s="71">
        <f>'FS-AD Daily '!Z8</f>
        <v>533.5</v>
      </c>
      <c r="Q4" s="71">
        <f>'FS-AD Daily '!V8</f>
        <v>268.10000000000002</v>
      </c>
      <c r="R4" s="71">
        <f>'FS-AD Daily '!W8</f>
        <v>0</v>
      </c>
      <c r="S4" s="71">
        <f t="shared" si="0"/>
        <v>265.39999999999998</v>
      </c>
      <c r="T4" s="71">
        <f>'FS-AD Daily '!AD8*3.516</f>
        <v>73126.119599999511</v>
      </c>
      <c r="U4" s="71">
        <f>('FS-AD Daily '!AF8)*1000</f>
        <v>34100</v>
      </c>
      <c r="V4" s="71">
        <f>('FS-AD Daily '!AG8)*1000</f>
        <v>26400</v>
      </c>
      <c r="W4" s="71">
        <f>'FS-AD Daily '!AH8*1000</f>
        <v>10700</v>
      </c>
      <c r="X4" s="71">
        <f>('FS-AD Daily '!AK8)*1000</f>
        <v>20799.999999995634</v>
      </c>
      <c r="Y4" s="71">
        <v>66</v>
      </c>
      <c r="Z4" s="105">
        <v>116</v>
      </c>
    </row>
    <row r="5" spans="1:26" x14ac:dyDescent="0.25">
      <c r="A5" s="104" t="s">
        <v>80</v>
      </c>
      <c r="B5" s="69">
        <f t="shared" si="1"/>
        <v>4</v>
      </c>
      <c r="C5" s="70">
        <v>11</v>
      </c>
      <c r="D5" s="69">
        <v>2020</v>
      </c>
      <c r="E5" s="71">
        <f>'FS-AD Daily '!B9</f>
        <v>4786</v>
      </c>
      <c r="F5" s="71">
        <f>'FS-AD Daily '!C9</f>
        <v>3961</v>
      </c>
      <c r="G5" s="71">
        <f>'FS-AD Daily '!D9</f>
        <v>822</v>
      </c>
      <c r="H5" s="71">
        <f>'FS-AD Daily '!E9</f>
        <v>4486</v>
      </c>
      <c r="I5" s="71">
        <f>'FS-AD Daily '!F9</f>
        <v>5396</v>
      </c>
      <c r="J5" s="71">
        <f>'FS-AD Daily '!G9</f>
        <v>2826</v>
      </c>
      <c r="K5" s="71">
        <f>'FS-AD Daily '!H9</f>
        <v>6380</v>
      </c>
      <c r="L5" s="71">
        <f>'FS-AD Daily '!I9</f>
        <v>2465</v>
      </c>
      <c r="M5" s="71">
        <f>'FS-AD Daily '!J9</f>
        <v>7218</v>
      </c>
      <c r="N5" s="71">
        <f>'FS-AD Daily '!T9</f>
        <v>85.646000000000001</v>
      </c>
      <c r="O5" s="71">
        <f>'FS-AD Daily '!R9</f>
        <v>60.796999999999997</v>
      </c>
      <c r="P5" s="71">
        <f>'FS-AD Daily '!Z9</f>
        <v>549.09999999997672</v>
      </c>
      <c r="Q5" s="71">
        <f>'FS-AD Daily '!V9</f>
        <v>274.39999999999998</v>
      </c>
      <c r="R5" s="71">
        <f>'FS-AD Daily '!W9</f>
        <v>0</v>
      </c>
      <c r="S5" s="71">
        <f t="shared" si="0"/>
        <v>274.69999999997674</v>
      </c>
      <c r="T5" s="71">
        <f>'FS-AD Daily '!AD9*3.516</f>
        <v>74197.093200000658</v>
      </c>
      <c r="U5" s="71">
        <f>('FS-AD Daily '!AF9)*1000</f>
        <v>36500</v>
      </c>
      <c r="V5" s="71">
        <f>('FS-AD Daily '!AG9)*1000</f>
        <v>24100</v>
      </c>
      <c r="W5" s="71">
        <f>'FS-AD Daily '!AH9*1000</f>
        <v>10900</v>
      </c>
      <c r="X5" s="71">
        <f>('FS-AD Daily '!AK9)*1000</f>
        <v>21300.00000000291</v>
      </c>
      <c r="Y5" s="71">
        <v>82</v>
      </c>
      <c r="Z5" s="105">
        <v>139</v>
      </c>
    </row>
    <row r="6" spans="1:26" x14ac:dyDescent="0.25">
      <c r="A6" s="104" t="s">
        <v>80</v>
      </c>
      <c r="B6" s="69">
        <f t="shared" si="1"/>
        <v>5</v>
      </c>
      <c r="C6" s="70">
        <v>11</v>
      </c>
      <c r="D6" s="69">
        <v>2020</v>
      </c>
      <c r="E6" s="71">
        <f>'FS-AD Daily '!B10</f>
        <v>4709</v>
      </c>
      <c r="F6" s="71">
        <f>'FS-AD Daily '!C10</f>
        <v>3973</v>
      </c>
      <c r="G6" s="71">
        <f>'FS-AD Daily '!D10</f>
        <v>838</v>
      </c>
      <c r="H6" s="71">
        <f>'FS-AD Daily '!E10</f>
        <v>4542</v>
      </c>
      <c r="I6" s="71">
        <f>'FS-AD Daily '!F10</f>
        <v>5538</v>
      </c>
      <c r="J6" s="71">
        <f>'FS-AD Daily '!G10</f>
        <v>2983</v>
      </c>
      <c r="K6" s="71">
        <f>'FS-AD Daily '!H10</f>
        <v>6773</v>
      </c>
      <c r="L6" s="71">
        <f>'FS-AD Daily '!I10</f>
        <v>2434</v>
      </c>
      <c r="M6" s="71">
        <f>'FS-AD Daily '!J10</f>
        <v>7222</v>
      </c>
      <c r="N6" s="71">
        <f>'FS-AD Daily '!T10</f>
        <v>238.13400000000001</v>
      </c>
      <c r="O6" s="71">
        <f>'FS-AD Daily '!R10</f>
        <v>70.745000000000005</v>
      </c>
      <c r="P6" s="71">
        <f>'FS-AD Daily '!Z10</f>
        <v>586.09999999997672</v>
      </c>
      <c r="Q6" s="71">
        <f>'FS-AD Daily '!V10</f>
        <v>295.5</v>
      </c>
      <c r="R6" s="71">
        <f>'FS-AD Daily '!W10</f>
        <v>0</v>
      </c>
      <c r="S6" s="71">
        <f t="shared" si="0"/>
        <v>290.59999999997672</v>
      </c>
      <c r="T6" s="71">
        <f>'FS-AD Daily '!AD10*3.516</f>
        <v>76335.876000000004</v>
      </c>
      <c r="U6" s="71">
        <f>('FS-AD Daily '!AF10)*1000</f>
        <v>37000</v>
      </c>
      <c r="V6" s="71">
        <f>('FS-AD Daily '!AG10)*1000</f>
        <v>25400</v>
      </c>
      <c r="W6" s="71">
        <f>'FS-AD Daily '!AH10*1000</f>
        <v>11600</v>
      </c>
      <c r="X6" s="71">
        <f>('FS-AD Daily '!AK10)*1000</f>
        <v>22300.00000000291</v>
      </c>
      <c r="Y6" s="71">
        <v>92</v>
      </c>
      <c r="Z6" s="105">
        <v>163</v>
      </c>
    </row>
    <row r="7" spans="1:26" x14ac:dyDescent="0.25">
      <c r="A7" s="104" t="s">
        <v>80</v>
      </c>
      <c r="B7" s="69">
        <f t="shared" si="1"/>
        <v>6</v>
      </c>
      <c r="C7" s="70">
        <v>11</v>
      </c>
      <c r="D7" s="69">
        <v>2020</v>
      </c>
      <c r="E7" s="71">
        <f>'FS-AD Daily '!B11</f>
        <v>4601</v>
      </c>
      <c r="F7" s="71">
        <f>'FS-AD Daily '!C11</f>
        <v>3740</v>
      </c>
      <c r="G7" s="71">
        <f>'FS-AD Daily '!D11</f>
        <v>842</v>
      </c>
      <c r="H7" s="71">
        <f>'FS-AD Daily '!E11</f>
        <v>4497</v>
      </c>
      <c r="I7" s="71">
        <f>'FS-AD Daily '!F11</f>
        <v>5716</v>
      </c>
      <c r="J7" s="71">
        <f>'FS-AD Daily '!G11</f>
        <v>3005</v>
      </c>
      <c r="K7" s="71">
        <f>'FS-AD Daily '!H11</f>
        <v>5750</v>
      </c>
      <c r="L7" s="71">
        <f>'FS-AD Daily '!I11</f>
        <v>2487</v>
      </c>
      <c r="M7" s="71">
        <f>'FS-AD Daily '!J11</f>
        <v>7155</v>
      </c>
      <c r="N7" s="71">
        <f>'FS-AD Daily '!T11</f>
        <v>137.08999999999997</v>
      </c>
      <c r="O7" s="71">
        <f>'FS-AD Daily '!R11</f>
        <v>74.688000000000002</v>
      </c>
      <c r="P7" s="71">
        <f>'FS-AD Daily '!Z11</f>
        <v>605.20000000006985</v>
      </c>
      <c r="Q7" s="71">
        <f>'FS-AD Daily '!V11</f>
        <v>300.39999999999998</v>
      </c>
      <c r="R7" s="71">
        <f>'FS-AD Daily '!W11</f>
        <v>0</v>
      </c>
      <c r="S7" s="71">
        <f t="shared" si="0"/>
        <v>304.80000000006987</v>
      </c>
      <c r="T7" s="71">
        <f>'FS-AD Daily '!AD11*3.516</f>
        <v>68975.833199999834</v>
      </c>
      <c r="U7" s="71">
        <f>('FS-AD Daily '!AF11)*1000</f>
        <v>32700.000000000004</v>
      </c>
      <c r="V7" s="71">
        <f>('FS-AD Daily '!AG11)*1000</f>
        <v>21000</v>
      </c>
      <c r="W7" s="71">
        <f>'FS-AD Daily '!AH11*1000</f>
        <v>11500</v>
      </c>
      <c r="X7" s="71">
        <f>('FS-AD Daily '!AK11)*1000</f>
        <v>20099.999999998545</v>
      </c>
      <c r="Y7" s="71">
        <v>86</v>
      </c>
      <c r="Z7" s="105">
        <v>156</v>
      </c>
    </row>
    <row r="8" spans="1:26" x14ac:dyDescent="0.25">
      <c r="A8" s="104" t="s">
        <v>80</v>
      </c>
      <c r="B8" s="69">
        <f t="shared" si="1"/>
        <v>7</v>
      </c>
      <c r="C8" s="70">
        <v>11</v>
      </c>
      <c r="D8" s="69">
        <v>2020</v>
      </c>
      <c r="E8" s="71">
        <f>'FS-AD Daily '!B12</f>
        <v>4623</v>
      </c>
      <c r="F8" s="71">
        <f>'FS-AD Daily '!C12</f>
        <v>3729</v>
      </c>
      <c r="G8" s="71">
        <f>'FS-AD Daily '!D12</f>
        <v>845</v>
      </c>
      <c r="H8" s="71">
        <f>'FS-AD Daily '!E12</f>
        <v>4479</v>
      </c>
      <c r="I8" s="71">
        <f>'FS-AD Daily '!F12</f>
        <v>5533</v>
      </c>
      <c r="J8" s="71">
        <f>'FS-AD Daily '!G12</f>
        <v>2997</v>
      </c>
      <c r="K8" s="71">
        <f>'FS-AD Daily '!H12</f>
        <v>6033</v>
      </c>
      <c r="L8" s="71">
        <f>'FS-AD Daily '!I12</f>
        <v>2494</v>
      </c>
      <c r="M8" s="71">
        <f>'FS-AD Daily '!J12</f>
        <v>7181</v>
      </c>
      <c r="N8" s="71">
        <f>'FS-AD Daily '!T12</f>
        <v>136.73099999999999</v>
      </c>
      <c r="O8" s="71">
        <f>'FS-AD Daily '!R12</f>
        <v>67.801000000000002</v>
      </c>
      <c r="P8" s="71">
        <f>'FS-AD Daily '!Z12</f>
        <v>565.19999999995343</v>
      </c>
      <c r="Q8" s="71">
        <f>'FS-AD Daily '!V12</f>
        <v>282.10000000000002</v>
      </c>
      <c r="R8" s="71">
        <f>'FS-AD Daily '!W12</f>
        <v>0</v>
      </c>
      <c r="S8" s="71">
        <f t="shared" si="0"/>
        <v>283.09999999995341</v>
      </c>
      <c r="T8" s="71">
        <f>'FS-AD Daily '!AD12*3.516</f>
        <v>69952.226399999679</v>
      </c>
      <c r="U8" s="71">
        <f>('FS-AD Daily '!AF12)*1000</f>
        <v>33100</v>
      </c>
      <c r="V8" s="71">
        <f>('FS-AD Daily '!AG12)*1000</f>
        <v>22600</v>
      </c>
      <c r="W8" s="71">
        <f>'FS-AD Daily '!AH12*1000</f>
        <v>10700</v>
      </c>
      <c r="X8" s="71">
        <f>('FS-AD Daily '!AK12)*1000</f>
        <v>21199.99999999709</v>
      </c>
      <c r="Y8" s="71">
        <v>49</v>
      </c>
      <c r="Z8" s="105">
        <v>83</v>
      </c>
    </row>
    <row r="9" spans="1:26" x14ac:dyDescent="0.25">
      <c r="A9" s="104" t="s">
        <v>80</v>
      </c>
      <c r="B9" s="69">
        <f t="shared" si="1"/>
        <v>8</v>
      </c>
      <c r="C9" s="70">
        <v>11</v>
      </c>
      <c r="D9" s="69">
        <v>2020</v>
      </c>
      <c r="E9" s="71">
        <f>'FS-AD Daily '!B13</f>
        <v>4464</v>
      </c>
      <c r="F9" s="71">
        <f>'FS-AD Daily '!C13</f>
        <v>3764</v>
      </c>
      <c r="G9" s="71">
        <f>'FS-AD Daily '!D13</f>
        <v>746</v>
      </c>
      <c r="H9" s="71">
        <f>'FS-AD Daily '!E13</f>
        <v>4425</v>
      </c>
      <c r="I9" s="71">
        <f>'FS-AD Daily '!F13</f>
        <v>5437</v>
      </c>
      <c r="J9" s="71">
        <f>'FS-AD Daily '!G13</f>
        <v>2841</v>
      </c>
      <c r="K9" s="71">
        <f>'FS-AD Daily '!H13</f>
        <v>6914</v>
      </c>
      <c r="L9" s="71">
        <f>'FS-AD Daily '!I13</f>
        <v>2414</v>
      </c>
      <c r="M9" s="71">
        <f>'FS-AD Daily '!J13</f>
        <v>6860</v>
      </c>
      <c r="N9" s="71">
        <f>'FS-AD Daily '!T13</f>
        <v>124.68599999999999</v>
      </c>
      <c r="O9" s="71">
        <f>'FS-AD Daily '!R13</f>
        <v>53.875</v>
      </c>
      <c r="P9" s="71">
        <f>'FS-AD Daily '!Z13</f>
        <v>547.09999999997672</v>
      </c>
      <c r="Q9" s="71">
        <f>'FS-AD Daily '!V13</f>
        <v>269.60000000000002</v>
      </c>
      <c r="R9" s="71">
        <f>'FS-AD Daily '!W13</f>
        <v>0</v>
      </c>
      <c r="S9" s="71">
        <f t="shared" si="0"/>
        <v>277.49999999997669</v>
      </c>
      <c r="T9" s="71">
        <f>'FS-AD Daily '!AD13*3.516</f>
        <v>75896.02440000049</v>
      </c>
      <c r="U9" s="71">
        <f>('FS-AD Daily '!AF13)*1000</f>
        <v>35600</v>
      </c>
      <c r="V9" s="71">
        <f>('FS-AD Daily '!AG13)*1000</f>
        <v>25200</v>
      </c>
      <c r="W9" s="71">
        <f>'FS-AD Daily '!AH13*1000</f>
        <v>10700</v>
      </c>
      <c r="X9" s="71">
        <f>('FS-AD Daily '!AK13)*1000</f>
        <v>22000</v>
      </c>
      <c r="Y9" s="71">
        <v>55</v>
      </c>
      <c r="Z9" s="105">
        <v>94</v>
      </c>
    </row>
    <row r="10" spans="1:26" x14ac:dyDescent="0.25">
      <c r="A10" s="104" t="s">
        <v>80</v>
      </c>
      <c r="B10" s="69">
        <f t="shared" si="1"/>
        <v>9</v>
      </c>
      <c r="C10" s="70">
        <v>11</v>
      </c>
      <c r="D10" s="69">
        <v>2020</v>
      </c>
      <c r="E10" s="71">
        <f>'FS-AD Daily '!B14</f>
        <v>4641</v>
      </c>
      <c r="F10" s="71">
        <f>'FS-AD Daily '!C14</f>
        <v>3723</v>
      </c>
      <c r="G10" s="71">
        <f>'FS-AD Daily '!D14</f>
        <v>813</v>
      </c>
      <c r="H10" s="71">
        <f>'FS-AD Daily '!E14</f>
        <v>4470</v>
      </c>
      <c r="I10" s="71">
        <f>'FS-AD Daily '!F14</f>
        <v>5566</v>
      </c>
      <c r="J10" s="71">
        <f>'FS-AD Daily '!G14</f>
        <v>2932</v>
      </c>
      <c r="K10" s="71">
        <f>'FS-AD Daily '!H14</f>
        <v>7456</v>
      </c>
      <c r="L10" s="71">
        <f>'FS-AD Daily '!I14</f>
        <v>2424</v>
      </c>
      <c r="M10" s="71">
        <f>'FS-AD Daily '!J14</f>
        <v>7124</v>
      </c>
      <c r="N10" s="71">
        <f>'FS-AD Daily '!T14</f>
        <v>93.944000000000003</v>
      </c>
      <c r="O10" s="71">
        <f>'FS-AD Daily '!R14</f>
        <v>59.334999999999994</v>
      </c>
      <c r="P10" s="71">
        <f>'FS-AD Daily '!Z14</f>
        <v>551</v>
      </c>
      <c r="Q10" s="71">
        <f>'FS-AD Daily '!V14</f>
        <v>274.39999999999998</v>
      </c>
      <c r="R10" s="71">
        <f>'FS-AD Daily '!W14</f>
        <v>0</v>
      </c>
      <c r="S10" s="71">
        <f t="shared" si="0"/>
        <v>276.60000000000002</v>
      </c>
      <c r="T10" s="71">
        <f>'FS-AD Daily '!AD14*3.516</f>
        <v>80447.134799999345</v>
      </c>
      <c r="U10" s="71">
        <f>('FS-AD Daily '!AF14)*1000</f>
        <v>36900</v>
      </c>
      <c r="V10" s="71">
        <f>('FS-AD Daily '!AG14)*1000</f>
        <v>29600</v>
      </c>
      <c r="W10" s="71">
        <f>'FS-AD Daily '!AH14*1000</f>
        <v>11300</v>
      </c>
      <c r="X10" s="71">
        <f>('FS-AD Daily '!AK14)*1000</f>
        <v>23599.999999998545</v>
      </c>
      <c r="Y10" s="71">
        <v>50</v>
      </c>
      <c r="Z10" s="105">
        <v>81</v>
      </c>
    </row>
    <row r="11" spans="1:26" x14ac:dyDescent="0.25">
      <c r="A11" s="104" t="s">
        <v>80</v>
      </c>
      <c r="B11" s="69">
        <f t="shared" si="1"/>
        <v>10</v>
      </c>
      <c r="C11" s="70">
        <v>11</v>
      </c>
      <c r="D11" s="69">
        <v>2020</v>
      </c>
      <c r="E11" s="71">
        <f>'FS-AD Daily '!B15</f>
        <v>4545</v>
      </c>
      <c r="F11" s="71">
        <f>'FS-AD Daily '!C15</f>
        <v>3602</v>
      </c>
      <c r="G11" s="71">
        <f>'FS-AD Daily '!D15</f>
        <v>853</v>
      </c>
      <c r="H11" s="71">
        <f>'FS-AD Daily '!E15</f>
        <v>4386</v>
      </c>
      <c r="I11" s="71">
        <f>'FS-AD Daily '!F15</f>
        <v>5418</v>
      </c>
      <c r="J11" s="71">
        <f>'FS-AD Daily '!G15</f>
        <v>2873</v>
      </c>
      <c r="K11" s="71">
        <f>'FS-AD Daily '!H15</f>
        <v>7336</v>
      </c>
      <c r="L11" s="71">
        <f>'FS-AD Daily '!I15</f>
        <v>2374</v>
      </c>
      <c r="M11" s="71">
        <f>'FS-AD Daily '!J15</f>
        <v>7055</v>
      </c>
      <c r="N11" s="71">
        <f>'FS-AD Daily '!T15</f>
        <v>148.512</v>
      </c>
      <c r="O11" s="71">
        <f>'FS-AD Daily '!R15</f>
        <v>68.820999999999998</v>
      </c>
      <c r="P11" s="71">
        <f>'FS-AD Daily '!Z15</f>
        <v>541.10000000009313</v>
      </c>
      <c r="Q11" s="71">
        <f>'FS-AD Daily '!V15</f>
        <v>265</v>
      </c>
      <c r="R11" s="71">
        <f>'FS-AD Daily '!W15</f>
        <v>0</v>
      </c>
      <c r="S11" s="71">
        <f t="shared" si="0"/>
        <v>276.10000000009313</v>
      </c>
      <c r="T11" s="71">
        <f>'FS-AD Daily '!AD15*3.516</f>
        <v>79260.133200000651</v>
      </c>
      <c r="U11" s="71">
        <f>('FS-AD Daily '!AF15)*1000</f>
        <v>36100</v>
      </c>
      <c r="V11" s="71">
        <f>('FS-AD Daily '!AG15)*1000</f>
        <v>28200</v>
      </c>
      <c r="W11" s="71">
        <f>'FS-AD Daily '!AH15*1000</f>
        <v>11100</v>
      </c>
      <c r="X11" s="71">
        <f>('FS-AD Daily '!AK15)*1000</f>
        <v>22900.000000001455</v>
      </c>
      <c r="Y11" s="71">
        <v>63</v>
      </c>
      <c r="Z11" s="105">
        <v>89</v>
      </c>
    </row>
    <row r="12" spans="1:26" x14ac:dyDescent="0.25">
      <c r="A12" s="104" t="s">
        <v>80</v>
      </c>
      <c r="B12" s="69">
        <f t="shared" si="1"/>
        <v>11</v>
      </c>
      <c r="C12" s="70">
        <v>11</v>
      </c>
      <c r="D12" s="69">
        <v>2020</v>
      </c>
      <c r="E12" s="71">
        <f>'FS-AD Daily '!B16</f>
        <v>4790</v>
      </c>
      <c r="F12" s="71">
        <f>'FS-AD Daily '!C16</f>
        <v>3756</v>
      </c>
      <c r="G12" s="71">
        <f>'FS-AD Daily '!D16</f>
        <v>807</v>
      </c>
      <c r="H12" s="71">
        <f>'FS-AD Daily '!E16</f>
        <v>4458</v>
      </c>
      <c r="I12" s="71">
        <f>'FS-AD Daily '!F16</f>
        <v>5567</v>
      </c>
      <c r="J12" s="71">
        <f>'FS-AD Daily '!G16</f>
        <v>2843</v>
      </c>
      <c r="K12" s="71">
        <f>'FS-AD Daily '!H16</f>
        <v>7522</v>
      </c>
      <c r="L12" s="71">
        <f>'FS-AD Daily '!I16</f>
        <v>2436</v>
      </c>
      <c r="M12" s="71">
        <f>'FS-AD Daily '!J16</f>
        <v>7252</v>
      </c>
      <c r="N12" s="71">
        <f>'FS-AD Daily '!T16</f>
        <v>98.384</v>
      </c>
      <c r="O12" s="71">
        <f>'FS-AD Daily '!R16</f>
        <v>82.534000000000006</v>
      </c>
      <c r="P12" s="71">
        <f>'FS-AD Daily '!Z16</f>
        <v>544.89999999990687</v>
      </c>
      <c r="Q12" s="71">
        <f>'FS-AD Daily '!V16</f>
        <v>276.10000000000002</v>
      </c>
      <c r="R12" s="71">
        <f>'FS-AD Daily '!W16</f>
        <v>0</v>
      </c>
      <c r="S12" s="71">
        <f t="shared" si="0"/>
        <v>268.79999999990685</v>
      </c>
      <c r="T12" s="71">
        <f>'FS-AD Daily '!AD16*3.516</f>
        <v>82707.219599999502</v>
      </c>
      <c r="U12" s="71">
        <f>('FS-AD Daily '!AF16)*1000</f>
        <v>38700</v>
      </c>
      <c r="V12" s="71">
        <f>('FS-AD Daily '!AG16)*1000</f>
        <v>29000</v>
      </c>
      <c r="W12" s="71">
        <f>'FS-AD Daily '!AH16*1000</f>
        <v>10900</v>
      </c>
      <c r="X12" s="71">
        <f>('FS-AD Daily '!AK16)*1000</f>
        <v>24800.00000000291</v>
      </c>
      <c r="Y12" s="71">
        <v>60</v>
      </c>
      <c r="Z12" s="105">
        <v>96</v>
      </c>
    </row>
    <row r="13" spans="1:26" x14ac:dyDescent="0.25">
      <c r="A13" s="104" t="s">
        <v>80</v>
      </c>
      <c r="B13" s="69">
        <f t="shared" si="1"/>
        <v>12</v>
      </c>
      <c r="C13" s="70">
        <v>11</v>
      </c>
      <c r="D13" s="69">
        <v>2020</v>
      </c>
      <c r="E13" s="71">
        <f>'FS-AD Daily '!B17</f>
        <v>4856</v>
      </c>
      <c r="F13" s="71">
        <f>'FS-AD Daily '!C17</f>
        <v>3833</v>
      </c>
      <c r="G13" s="71">
        <f>'FS-AD Daily '!D17</f>
        <v>837</v>
      </c>
      <c r="H13" s="71">
        <f>'FS-AD Daily '!E17</f>
        <v>4490</v>
      </c>
      <c r="I13" s="71">
        <f>'FS-AD Daily '!F17</f>
        <v>5666</v>
      </c>
      <c r="J13" s="71">
        <f>'FS-AD Daily '!G17</f>
        <v>2828</v>
      </c>
      <c r="K13" s="71">
        <f>'FS-AD Daily '!H17</f>
        <v>6686</v>
      </c>
      <c r="L13" s="71">
        <f>'FS-AD Daily '!I17</f>
        <v>2472</v>
      </c>
      <c r="M13" s="71">
        <f>'FS-AD Daily '!J17</f>
        <v>7223</v>
      </c>
      <c r="N13" s="71">
        <f>'FS-AD Daily '!T17</f>
        <v>127.622</v>
      </c>
      <c r="O13" s="71">
        <f>'FS-AD Daily '!R17</f>
        <v>71.138999999999996</v>
      </c>
      <c r="P13" s="71">
        <f>'FS-AD Daily '!Z17</f>
        <v>560.80000000004657</v>
      </c>
      <c r="Q13" s="71">
        <f>'FS-AD Daily '!V17</f>
        <v>270.7</v>
      </c>
      <c r="R13" s="71">
        <f>'FS-AD Daily '!W17</f>
        <v>4.2100000000064028</v>
      </c>
      <c r="S13" s="71">
        <f t="shared" si="0"/>
        <v>285.89000000004017</v>
      </c>
      <c r="T13" s="71">
        <f>'FS-AD Daily '!AD17*3.516</f>
        <v>78933.848400000497</v>
      </c>
      <c r="U13" s="71">
        <f>('FS-AD Daily '!AF17)*1000</f>
        <v>37500</v>
      </c>
      <c r="V13" s="71">
        <f>('FS-AD Daily '!AG17)*1000</f>
        <v>26400</v>
      </c>
      <c r="W13" s="71">
        <f>'FS-AD Daily '!AH17*1000</f>
        <v>11200</v>
      </c>
      <c r="X13" s="71">
        <f>('FS-AD Daily '!AK17)*1000</f>
        <v>23500</v>
      </c>
      <c r="Y13" s="71">
        <v>58</v>
      </c>
      <c r="Z13" s="105">
        <v>93</v>
      </c>
    </row>
    <row r="14" spans="1:26" x14ac:dyDescent="0.25">
      <c r="A14" s="104" t="s">
        <v>80</v>
      </c>
      <c r="B14" s="69">
        <f t="shared" si="1"/>
        <v>13</v>
      </c>
      <c r="C14" s="70">
        <v>11</v>
      </c>
      <c r="D14" s="69">
        <v>2020</v>
      </c>
      <c r="E14" s="71">
        <f>'FS-AD Daily '!B18</f>
        <v>4931</v>
      </c>
      <c r="F14" s="71">
        <f>'FS-AD Daily '!C18</f>
        <v>3645</v>
      </c>
      <c r="G14" s="71">
        <f>'FS-AD Daily '!D18</f>
        <v>820</v>
      </c>
      <c r="H14" s="71">
        <f>'FS-AD Daily '!E18</f>
        <v>4545</v>
      </c>
      <c r="I14" s="71">
        <f>'FS-AD Daily '!F18</f>
        <v>5864</v>
      </c>
      <c r="J14" s="71">
        <f>'FS-AD Daily '!G18</f>
        <v>2758</v>
      </c>
      <c r="K14" s="71">
        <f>'FS-AD Daily '!H18</f>
        <v>5759</v>
      </c>
      <c r="L14" s="71">
        <f>'FS-AD Daily '!I18</f>
        <v>2448</v>
      </c>
      <c r="M14" s="71">
        <f>'FS-AD Daily '!J18</f>
        <v>7304</v>
      </c>
      <c r="N14" s="71">
        <f>'FS-AD Daily '!T18</f>
        <v>151.24299999999999</v>
      </c>
      <c r="O14" s="71">
        <f>'FS-AD Daily '!R18</f>
        <v>80.099999999999994</v>
      </c>
      <c r="P14" s="71">
        <f>'FS-AD Daily '!Z18</f>
        <v>604.59999999997672</v>
      </c>
      <c r="Q14" s="71">
        <f>'FS-AD Daily '!V18</f>
        <v>295.89999999999998</v>
      </c>
      <c r="R14" s="71">
        <f>'FS-AD Daily '!W18</f>
        <v>0</v>
      </c>
      <c r="S14" s="71">
        <f t="shared" si="0"/>
        <v>308.69999999997674</v>
      </c>
      <c r="T14" s="71">
        <f>'FS-AD Daily '!AD18*3.516</f>
        <v>72868.748399999677</v>
      </c>
      <c r="U14" s="71">
        <f>('FS-AD Daily '!AF18)*1000</f>
        <v>35200</v>
      </c>
      <c r="V14" s="71">
        <f>('FS-AD Daily '!AG18)*1000</f>
        <v>22300</v>
      </c>
      <c r="W14" s="71">
        <f>'FS-AD Daily '!AH18*1000</f>
        <v>11300</v>
      </c>
      <c r="X14" s="71">
        <f>('FS-AD Daily '!AK18)*1000</f>
        <v>22299.999999995634</v>
      </c>
      <c r="Y14" s="71">
        <v>57</v>
      </c>
      <c r="Z14" s="105">
        <v>95</v>
      </c>
    </row>
    <row r="15" spans="1:26" x14ac:dyDescent="0.25">
      <c r="A15" s="104" t="s">
        <v>80</v>
      </c>
      <c r="B15" s="69">
        <f t="shared" si="1"/>
        <v>14</v>
      </c>
      <c r="C15" s="70">
        <v>11</v>
      </c>
      <c r="D15" s="69">
        <v>2020</v>
      </c>
      <c r="E15" s="71">
        <f>'FS-AD Daily '!B19</f>
        <v>4633</v>
      </c>
      <c r="F15" s="71">
        <f>'FS-AD Daily '!C19</f>
        <v>3404</v>
      </c>
      <c r="G15" s="71">
        <f>'FS-AD Daily '!D19</f>
        <v>788</v>
      </c>
      <c r="H15" s="71">
        <f>'FS-AD Daily '!E19</f>
        <v>5920</v>
      </c>
      <c r="I15" s="71">
        <f>'FS-AD Daily '!F19</f>
        <v>5386</v>
      </c>
      <c r="J15" s="71">
        <f>'FS-AD Daily '!G19</f>
        <v>2781</v>
      </c>
      <c r="K15" s="71">
        <f>'FS-AD Daily '!H19</f>
        <v>6183</v>
      </c>
      <c r="L15" s="71">
        <f>'FS-AD Daily '!I19</f>
        <v>2446</v>
      </c>
      <c r="M15" s="71">
        <f>'FS-AD Daily '!J19</f>
        <v>6954</v>
      </c>
      <c r="N15" s="71">
        <f>'FS-AD Daily '!T19</f>
        <v>104.619</v>
      </c>
      <c r="O15" s="71">
        <f>'FS-AD Daily '!R19</f>
        <v>91.084000000000003</v>
      </c>
      <c r="P15" s="71">
        <f>'FS-AD Daily '!Z19</f>
        <v>306</v>
      </c>
      <c r="Q15" s="71">
        <f>'FS-AD Daily '!V19</f>
        <v>21</v>
      </c>
      <c r="R15" s="71">
        <f>'FS-AD Daily '!W19</f>
        <v>0</v>
      </c>
      <c r="S15" s="71">
        <f t="shared" si="0"/>
        <v>285</v>
      </c>
      <c r="T15" s="71">
        <f>'FS-AD Daily '!AD19*3.516</f>
        <v>65762.912399999666</v>
      </c>
      <c r="U15" s="71">
        <f>('FS-AD Daily '!AF19)*1000</f>
        <v>31000</v>
      </c>
      <c r="V15" s="71">
        <f>('FS-AD Daily '!AG19)*1000</f>
        <v>19500</v>
      </c>
      <c r="W15" s="71">
        <f>'FS-AD Daily '!AH19*1000</f>
        <v>10600</v>
      </c>
      <c r="X15" s="71">
        <f>('FS-AD Daily '!AK19)*1000</f>
        <v>21000</v>
      </c>
      <c r="Y15" s="71">
        <v>45</v>
      </c>
      <c r="Z15" s="105">
        <v>68</v>
      </c>
    </row>
    <row r="16" spans="1:26" x14ac:dyDescent="0.25">
      <c r="A16" s="104" t="s">
        <v>80</v>
      </c>
      <c r="B16" s="69">
        <f t="shared" si="1"/>
        <v>15</v>
      </c>
      <c r="C16" s="70">
        <v>11</v>
      </c>
      <c r="D16" s="69">
        <v>2020</v>
      </c>
      <c r="E16" s="71">
        <f>'FS-AD Daily '!B20</f>
        <v>5269</v>
      </c>
      <c r="F16" s="71">
        <f>'FS-AD Daily '!C20</f>
        <v>3446</v>
      </c>
      <c r="G16" s="71">
        <f>'FS-AD Daily '!D20</f>
        <v>787</v>
      </c>
      <c r="H16" s="71">
        <f>'FS-AD Daily '!E20</f>
        <v>6344</v>
      </c>
      <c r="I16" s="71">
        <f>'FS-AD Daily '!F20</f>
        <v>5487</v>
      </c>
      <c r="J16" s="71">
        <f>'FS-AD Daily '!G20</f>
        <v>2733</v>
      </c>
      <c r="K16" s="71">
        <f>'FS-AD Daily '!H20</f>
        <v>5386</v>
      </c>
      <c r="L16" s="71">
        <f>'FS-AD Daily '!I20</f>
        <v>2442</v>
      </c>
      <c r="M16" s="71">
        <f>'FS-AD Daily '!J20</f>
        <v>6938</v>
      </c>
      <c r="N16" s="71">
        <f>'FS-AD Daily '!T20</f>
        <v>117.78099999999904</v>
      </c>
      <c r="O16" s="71">
        <f>'FS-AD Daily '!R20</f>
        <v>74.321999999997786</v>
      </c>
      <c r="P16" s="71">
        <f>'FS-AD Daily '!Z20</f>
        <v>313.90000000002328</v>
      </c>
      <c r="Q16" s="71">
        <f>'FS-AD Daily '!V20</f>
        <v>18</v>
      </c>
      <c r="R16" s="71">
        <f>'FS-AD Daily '!W20</f>
        <v>2.9999999998835847E-2</v>
      </c>
      <c r="S16" s="71">
        <f t="shared" si="0"/>
        <v>295.87000000002445</v>
      </c>
      <c r="T16" s="71">
        <f>'FS-AD Daily '!AD20*3.516</f>
        <v>58467.915600000328</v>
      </c>
      <c r="U16" s="71">
        <f>('FS-AD Daily '!AF20)*1000</f>
        <v>28400</v>
      </c>
      <c r="V16" s="71">
        <f>('FS-AD Daily '!AG20)*1000</f>
        <v>15800</v>
      </c>
      <c r="W16" s="71">
        <f>'FS-AD Daily '!AH20*1000</f>
        <v>10600</v>
      </c>
      <c r="X16" s="71">
        <f>('FS-AD Daily '!AK20)*1000</f>
        <v>18100.000000005821</v>
      </c>
      <c r="Y16" s="71">
        <v>64</v>
      </c>
      <c r="Z16" s="105">
        <v>95</v>
      </c>
    </row>
    <row r="17" spans="1:26" x14ac:dyDescent="0.25">
      <c r="A17" s="104" t="s">
        <v>80</v>
      </c>
      <c r="B17" s="69">
        <f t="shared" si="1"/>
        <v>16</v>
      </c>
      <c r="C17" s="70">
        <v>11</v>
      </c>
      <c r="D17" s="69">
        <v>2020</v>
      </c>
      <c r="E17" s="71">
        <f>'FS-AD Daily '!B21</f>
        <v>5184</v>
      </c>
      <c r="F17" s="71">
        <f>'FS-AD Daily '!C21</f>
        <v>3444</v>
      </c>
      <c r="G17" s="71">
        <f>'FS-AD Daily '!D21</f>
        <v>784</v>
      </c>
      <c r="H17" s="71">
        <f>'FS-AD Daily '!E21</f>
        <v>6108</v>
      </c>
      <c r="I17" s="71">
        <f>'FS-AD Daily '!F21</f>
        <v>5438</v>
      </c>
      <c r="J17" s="71">
        <f>'FS-AD Daily '!G21</f>
        <v>2709</v>
      </c>
      <c r="K17" s="71">
        <f>'FS-AD Daily '!H21</f>
        <v>6717</v>
      </c>
      <c r="L17" s="71">
        <f>'FS-AD Daily '!I21</f>
        <v>2362</v>
      </c>
      <c r="M17" s="71">
        <f>'FS-AD Daily '!J21</f>
        <v>6844</v>
      </c>
      <c r="N17" s="71">
        <f>'FS-AD Daily '!T21</f>
        <v>111.18800000000041</v>
      </c>
      <c r="O17" s="71">
        <f>'FS-AD Daily '!R21</f>
        <v>57.685000000000002</v>
      </c>
      <c r="P17" s="71">
        <f>'FS-AD Daily '!Z21</f>
        <v>309.19999999995343</v>
      </c>
      <c r="Q17" s="71">
        <f>'FS-AD Daily '!V21</f>
        <v>15</v>
      </c>
      <c r="R17" s="71">
        <f>'FS-AD Daily '!W21</f>
        <v>7.3800000000046566</v>
      </c>
      <c r="S17" s="71">
        <f t="shared" si="0"/>
        <v>286.81999999994878</v>
      </c>
      <c r="T17" s="71">
        <f>'FS-AD Daily '!AD21*3.516</f>
        <v>63333.707999999999</v>
      </c>
      <c r="U17" s="71">
        <f>('FS-AD Daily '!AF21)*1000</f>
        <v>30000</v>
      </c>
      <c r="V17" s="71">
        <f>('FS-AD Daily '!AG21)*1000</f>
        <v>22000</v>
      </c>
      <c r="W17" s="71">
        <f>'FS-AD Daily '!AH21*1000</f>
        <v>9800</v>
      </c>
      <c r="X17" s="71">
        <f>('FS-AD Daily '!AK21)*1000</f>
        <v>19099.999999998545</v>
      </c>
      <c r="Y17" s="71">
        <v>81</v>
      </c>
      <c r="Z17" s="105">
        <v>114</v>
      </c>
    </row>
    <row r="18" spans="1:26" x14ac:dyDescent="0.25">
      <c r="A18" s="104" t="s">
        <v>80</v>
      </c>
      <c r="B18" s="69">
        <f t="shared" si="1"/>
        <v>17</v>
      </c>
      <c r="C18" s="70">
        <v>11</v>
      </c>
      <c r="D18" s="69">
        <v>2020</v>
      </c>
      <c r="E18" s="71">
        <f>'FS-AD Daily '!B22</f>
        <v>4796</v>
      </c>
      <c r="F18" s="71">
        <f>'FS-AD Daily '!C22</f>
        <v>3409</v>
      </c>
      <c r="G18" s="71">
        <f>'FS-AD Daily '!D22</f>
        <v>832</v>
      </c>
      <c r="H18" s="71">
        <f>'FS-AD Daily '!E22</f>
        <v>6560</v>
      </c>
      <c r="I18" s="71">
        <f>'FS-AD Daily '!F22</f>
        <v>5617</v>
      </c>
      <c r="J18" s="71">
        <f>'FS-AD Daily '!G22</f>
        <v>2909</v>
      </c>
      <c r="K18" s="71">
        <f>'FS-AD Daily '!H22</f>
        <v>7191</v>
      </c>
      <c r="L18" s="71">
        <f>'FS-AD Daily '!I22</f>
        <v>2430</v>
      </c>
      <c r="M18" s="71">
        <f>'FS-AD Daily '!J22</f>
        <v>7147</v>
      </c>
      <c r="N18" s="71">
        <f>'FS-AD Daily '!T22</f>
        <v>126.26899999999563</v>
      </c>
      <c r="O18" s="71">
        <f>'FS-AD Daily '!R22</f>
        <v>64.605000000000004</v>
      </c>
      <c r="P18" s="71">
        <f>'FS-AD Daily '!Z22</f>
        <v>329</v>
      </c>
      <c r="Q18" s="71">
        <f>'FS-AD Daily '!V22</f>
        <v>14.7</v>
      </c>
      <c r="R18" s="71">
        <f>'FS-AD Daily '!W22</f>
        <v>0</v>
      </c>
      <c r="S18" s="71">
        <f t="shared" si="0"/>
        <v>314.3</v>
      </c>
      <c r="T18" s="71">
        <f>'FS-AD Daily '!AD22*3.516</f>
        <v>67314.874800000165</v>
      </c>
      <c r="U18" s="71">
        <f>('FS-AD Daily '!AF22)*1000</f>
        <v>30900</v>
      </c>
      <c r="V18" s="71">
        <f>('FS-AD Daily '!AG22)*1000</f>
        <v>23700</v>
      </c>
      <c r="W18" s="71">
        <f>'FS-AD Daily '!AH22*1000</f>
        <v>10400</v>
      </c>
      <c r="X18" s="71">
        <f>('FS-AD Daily '!AK22)*1000</f>
        <v>20900.000000001455</v>
      </c>
      <c r="Y18" s="71">
        <v>114</v>
      </c>
      <c r="Z18" s="105">
        <v>152</v>
      </c>
    </row>
    <row r="19" spans="1:26" x14ac:dyDescent="0.25">
      <c r="A19" s="104" t="s">
        <v>80</v>
      </c>
      <c r="B19" s="69">
        <f t="shared" si="1"/>
        <v>18</v>
      </c>
      <c r="C19" s="70">
        <v>11</v>
      </c>
      <c r="D19" s="69">
        <v>2020</v>
      </c>
      <c r="E19" s="71">
        <f>'FS-AD Daily '!B23</f>
        <v>4714</v>
      </c>
      <c r="F19" s="71">
        <f>'FS-AD Daily '!C23</f>
        <v>3330</v>
      </c>
      <c r="G19" s="71">
        <f>'FS-AD Daily '!D23</f>
        <v>824</v>
      </c>
      <c r="H19" s="71">
        <f>'FS-AD Daily '!E23</f>
        <v>5625</v>
      </c>
      <c r="I19" s="71">
        <f>'FS-AD Daily '!F23</f>
        <v>5797</v>
      </c>
      <c r="J19" s="71">
        <f>'FS-AD Daily '!G23</f>
        <v>3041</v>
      </c>
      <c r="K19" s="71">
        <f>'FS-AD Daily '!H23</f>
        <v>7967</v>
      </c>
      <c r="L19" s="71">
        <f>'FS-AD Daily '!I23</f>
        <v>2524</v>
      </c>
      <c r="M19" s="71">
        <f>'FS-AD Daily '!J23</f>
        <v>7207</v>
      </c>
      <c r="N19" s="71">
        <f>'FS-AD Daily '!T23</f>
        <v>137.613</v>
      </c>
      <c r="O19" s="71">
        <f>'FS-AD Daily '!R23</f>
        <v>66.150000000001739</v>
      </c>
      <c r="P19" s="71">
        <f>'FS-AD Daily '!Z23</f>
        <v>527.70000000006985</v>
      </c>
      <c r="Q19" s="71">
        <f>'FS-AD Daily '!V23</f>
        <v>246.6</v>
      </c>
      <c r="R19" s="71">
        <f>'FS-AD Daily '!W23</f>
        <v>6.1699999999982538</v>
      </c>
      <c r="S19" s="71">
        <f t="shared" si="0"/>
        <v>274.93000000007157</v>
      </c>
      <c r="T19" s="71">
        <f>'FS-AD Daily '!AD23*3.516</f>
        <v>74532.168000000005</v>
      </c>
      <c r="U19" s="71">
        <f>('FS-AD Daily '!AF23)*1000</f>
        <v>34300</v>
      </c>
      <c r="V19" s="71">
        <f>('FS-AD Daily '!AG23)*1000</f>
        <v>28900</v>
      </c>
      <c r="W19" s="71">
        <f>'FS-AD Daily '!AH23*1000</f>
        <v>10000</v>
      </c>
      <c r="X19" s="71">
        <f>('FS-AD Daily '!AK23)*1000</f>
        <v>22599.999999998545</v>
      </c>
      <c r="Y19" s="71">
        <v>109</v>
      </c>
      <c r="Z19" s="105">
        <v>147</v>
      </c>
    </row>
    <row r="20" spans="1:26" x14ac:dyDescent="0.25">
      <c r="A20" s="104" t="s">
        <v>80</v>
      </c>
      <c r="B20" s="69">
        <f t="shared" si="1"/>
        <v>19</v>
      </c>
      <c r="C20" s="70">
        <v>11</v>
      </c>
      <c r="D20" s="69">
        <v>2020</v>
      </c>
      <c r="E20" s="71">
        <f>'FS-AD Daily '!B24</f>
        <v>5371</v>
      </c>
      <c r="F20" s="71">
        <f>'FS-AD Daily '!C24</f>
        <v>3440</v>
      </c>
      <c r="G20" s="71">
        <f>'FS-AD Daily '!D24</f>
        <v>846</v>
      </c>
      <c r="H20" s="71">
        <f>'FS-AD Daily '!E24</f>
        <v>4794</v>
      </c>
      <c r="I20" s="71">
        <f>'FS-AD Daily '!F24</f>
        <v>5592</v>
      </c>
      <c r="J20" s="71">
        <f>'FS-AD Daily '!G24</f>
        <v>2884</v>
      </c>
      <c r="K20" s="71">
        <f>'FS-AD Daily '!H24</f>
        <v>5728</v>
      </c>
      <c r="L20" s="71">
        <f>'FS-AD Daily '!I24</f>
        <v>2439</v>
      </c>
      <c r="M20" s="71">
        <f>'FS-AD Daily '!J24</f>
        <v>7193</v>
      </c>
      <c r="N20" s="71">
        <f>'FS-AD Daily '!T24</f>
        <v>133.58899999999994</v>
      </c>
      <c r="O20" s="71">
        <f>'FS-AD Daily '!R24</f>
        <v>70.117999999998119</v>
      </c>
      <c r="P20" s="71">
        <f>'FS-AD Daily '!Z24</f>
        <v>598.09999999997672</v>
      </c>
      <c r="Q20" s="71">
        <f>'FS-AD Daily '!V24</f>
        <v>297.39999999999998</v>
      </c>
      <c r="R20" s="71">
        <f>'FS-AD Daily '!W24</f>
        <v>0</v>
      </c>
      <c r="S20" s="71">
        <f t="shared" si="0"/>
        <v>300.69999999997674</v>
      </c>
      <c r="T20" s="71">
        <f>'FS-AD Daily '!AD24*3.516</f>
        <v>65114.561999999998</v>
      </c>
      <c r="U20" s="71">
        <f>('FS-AD Daily '!AF24)*1000</f>
        <v>30200</v>
      </c>
      <c r="V20" s="71">
        <f>('FS-AD Daily '!AG24)*1000</f>
        <v>23100</v>
      </c>
      <c r="W20" s="71">
        <f>'FS-AD Daily '!AH24*1000</f>
        <v>10000</v>
      </c>
      <c r="X20" s="71">
        <f>('FS-AD Daily '!AK24)*1000</f>
        <v>20000</v>
      </c>
      <c r="Y20" s="71">
        <v>101</v>
      </c>
      <c r="Z20" s="105">
        <v>150</v>
      </c>
    </row>
    <row r="21" spans="1:26" x14ac:dyDescent="0.25">
      <c r="A21" s="104" t="s">
        <v>80</v>
      </c>
      <c r="B21" s="69">
        <f t="shared" si="1"/>
        <v>20</v>
      </c>
      <c r="C21" s="70">
        <v>11</v>
      </c>
      <c r="D21" s="69">
        <v>2020</v>
      </c>
      <c r="E21" s="71">
        <f>'FS-AD Daily '!B25</f>
        <v>4792</v>
      </c>
      <c r="F21" s="71">
        <f>'FS-AD Daily '!C25</f>
        <v>3012</v>
      </c>
      <c r="G21" s="71">
        <f>'FS-AD Daily '!D25</f>
        <v>888</v>
      </c>
      <c r="H21" s="71">
        <f>'FS-AD Daily '!E25</f>
        <v>4893</v>
      </c>
      <c r="I21" s="71">
        <f>'FS-AD Daily '!F25</f>
        <v>5834</v>
      </c>
      <c r="J21" s="71">
        <f>'FS-AD Daily '!G25</f>
        <v>2915</v>
      </c>
      <c r="K21" s="71">
        <f>'FS-AD Daily '!H25</f>
        <v>6593</v>
      </c>
      <c r="L21" s="71">
        <f>'FS-AD Daily '!I25</f>
        <v>2369</v>
      </c>
      <c r="M21" s="71">
        <f>'FS-AD Daily '!J25</f>
        <v>7418</v>
      </c>
      <c r="N21" s="71">
        <f>'FS-AD Daily '!T25</f>
        <v>141.99699999999939</v>
      </c>
      <c r="O21" s="71">
        <f>'FS-AD Daily '!R25</f>
        <v>78.357000000003154</v>
      </c>
      <c r="P21" s="71">
        <f>'FS-AD Daily '!Z25</f>
        <v>633.69999999995343</v>
      </c>
      <c r="Q21" s="71">
        <f>'FS-AD Daily '!V25</f>
        <v>346.70000000001164</v>
      </c>
      <c r="R21" s="71">
        <f>'FS-AD Daily '!W25</f>
        <v>0</v>
      </c>
      <c r="S21" s="71">
        <f t="shared" si="0"/>
        <v>286.99999999994179</v>
      </c>
      <c r="T21" s="71">
        <f>'FS-AD Daily '!AD25*3.516</f>
        <v>67224.86519999984</v>
      </c>
      <c r="U21" s="71">
        <f>('FS-AD Daily '!AF25)*1000</f>
        <v>30700</v>
      </c>
      <c r="V21" s="71">
        <f>('FS-AD Daily '!AG25)*1000</f>
        <v>26700</v>
      </c>
      <c r="W21" s="71">
        <f>'FS-AD Daily '!AH25*1000</f>
        <v>9700</v>
      </c>
      <c r="X21" s="71">
        <f>('FS-AD Daily '!AK25)*1000</f>
        <v>19900.000000001455</v>
      </c>
      <c r="Y21" s="71">
        <v>98</v>
      </c>
      <c r="Z21" s="105">
        <v>156</v>
      </c>
    </row>
    <row r="22" spans="1:26" x14ac:dyDescent="0.25">
      <c r="A22" s="104" t="s">
        <v>80</v>
      </c>
      <c r="B22" s="69">
        <f t="shared" si="1"/>
        <v>21</v>
      </c>
      <c r="C22" s="70">
        <v>11</v>
      </c>
      <c r="D22" s="69">
        <v>2020</v>
      </c>
      <c r="E22" s="71">
        <f>'FS-AD Daily '!B26</f>
        <v>5217</v>
      </c>
      <c r="F22" s="71">
        <f>'FS-AD Daily '!C26</f>
        <v>2805</v>
      </c>
      <c r="G22" s="71">
        <f>'FS-AD Daily '!D26</f>
        <v>816</v>
      </c>
      <c r="H22" s="71">
        <f>'FS-AD Daily '!E26</f>
        <v>4868</v>
      </c>
      <c r="I22" s="71">
        <f>'FS-AD Daily '!F26</f>
        <v>5584</v>
      </c>
      <c r="J22" s="71">
        <f>'FS-AD Daily '!G26</f>
        <v>2739</v>
      </c>
      <c r="K22" s="71">
        <f>'FS-AD Daily '!H26</f>
        <v>5973</v>
      </c>
      <c r="L22" s="71">
        <f>'FS-AD Daily '!I26</f>
        <v>2479</v>
      </c>
      <c r="M22" s="71">
        <f>'FS-AD Daily '!J26</f>
        <v>7112</v>
      </c>
      <c r="N22" s="71">
        <f>'FS-AD Daily '!T26</f>
        <v>121.69700000000375</v>
      </c>
      <c r="O22" s="71">
        <f>'FS-AD Daily '!R26</f>
        <v>69.825999999991382</v>
      </c>
      <c r="P22" s="71">
        <f>'FS-AD Daily '!Z26</f>
        <v>570.80000000004657</v>
      </c>
      <c r="Q22" s="71">
        <f>'FS-AD Daily '!V26</f>
        <v>274.5</v>
      </c>
      <c r="R22" s="71">
        <f>'FS-AD Daily '!W26</f>
        <v>0</v>
      </c>
      <c r="S22" s="71">
        <f t="shared" si="0"/>
        <v>296.30000000004657</v>
      </c>
      <c r="T22" s="71">
        <f>'FS-AD Daily '!AD26*3.516</f>
        <v>60584.89919999984</v>
      </c>
      <c r="U22" s="71">
        <f>('FS-AD Daily '!AF26)*1000</f>
        <v>27100</v>
      </c>
      <c r="V22" s="71">
        <f>('FS-AD Daily '!AG26)*1000</f>
        <v>21199.99999999709</v>
      </c>
      <c r="W22" s="71">
        <f>'FS-AD Daily '!AH26*1000</f>
        <v>10000</v>
      </c>
      <c r="X22" s="71">
        <f>('FS-AD Daily '!AK26)*1000</f>
        <v>18599.999999998545</v>
      </c>
      <c r="Y22" s="71">
        <v>69</v>
      </c>
      <c r="Z22" s="105">
        <v>104</v>
      </c>
    </row>
    <row r="23" spans="1:26" x14ac:dyDescent="0.25">
      <c r="A23" s="104" t="s">
        <v>80</v>
      </c>
      <c r="B23" s="69">
        <f t="shared" si="1"/>
        <v>22</v>
      </c>
      <c r="C23" s="70">
        <v>11</v>
      </c>
      <c r="D23" s="69">
        <v>2020</v>
      </c>
      <c r="E23" s="71">
        <f>'FS-AD Daily '!B27</f>
        <v>4548</v>
      </c>
      <c r="F23" s="71">
        <f>'FS-AD Daily '!C27</f>
        <v>3828</v>
      </c>
      <c r="G23" s="71">
        <f>'FS-AD Daily '!D27</f>
        <v>813</v>
      </c>
      <c r="H23" s="71">
        <f>'FS-AD Daily '!E27</f>
        <v>6569</v>
      </c>
      <c r="I23" s="71">
        <f>'FS-AD Daily '!F27</f>
        <v>5384</v>
      </c>
      <c r="J23" s="71">
        <f>'FS-AD Daily '!G27</f>
        <v>2717</v>
      </c>
      <c r="K23" s="71">
        <f>'FS-AD Daily '!H27</f>
        <v>5084</v>
      </c>
      <c r="L23" s="71">
        <f>'FS-AD Daily '!I27</f>
        <v>2480</v>
      </c>
      <c r="M23" s="71">
        <f>'FS-AD Daily '!J27</f>
        <v>6902</v>
      </c>
      <c r="N23" s="71">
        <f>'FS-AD Daily '!T27</f>
        <v>164.48699999999371</v>
      </c>
      <c r="O23" s="71">
        <f>'FS-AD Daily '!R27</f>
        <v>59.935000000007676</v>
      </c>
      <c r="P23" s="71">
        <f>'FS-AD Daily '!Z27</f>
        <v>392.09999999997672</v>
      </c>
      <c r="Q23" s="71">
        <f>'FS-AD Daily '!V27</f>
        <v>102.3</v>
      </c>
      <c r="R23" s="71">
        <f>'FS-AD Daily '!W27</f>
        <v>0</v>
      </c>
      <c r="S23" s="71">
        <f t="shared" si="0"/>
        <v>289.79999999997671</v>
      </c>
      <c r="T23" s="71">
        <f>'FS-AD Daily '!AD27*3.516</f>
        <v>64779.838800000165</v>
      </c>
      <c r="U23" s="71">
        <f>('FS-AD Daily '!AF27)*1000</f>
        <v>29500</v>
      </c>
      <c r="V23" s="71">
        <f>('FS-AD Daily '!AG27)*1000</f>
        <v>22700</v>
      </c>
      <c r="W23" s="71">
        <f>'FS-AD Daily '!AH27*1000</f>
        <v>11200</v>
      </c>
      <c r="X23" s="71">
        <f>('FS-AD Daily '!AK27)*1000</f>
        <v>19400.000000001455</v>
      </c>
      <c r="Y23" s="71">
        <v>70</v>
      </c>
      <c r="Z23" s="105">
        <v>98</v>
      </c>
    </row>
    <row r="24" spans="1:26" x14ac:dyDescent="0.25">
      <c r="A24" s="104" t="s">
        <v>80</v>
      </c>
      <c r="B24" s="69">
        <f t="shared" si="1"/>
        <v>23</v>
      </c>
      <c r="C24" s="70">
        <v>11</v>
      </c>
      <c r="D24" s="69">
        <v>2020</v>
      </c>
      <c r="E24" s="71">
        <f>'FS-AD Daily '!B28</f>
        <v>5599</v>
      </c>
      <c r="F24" s="71">
        <f>'FS-AD Daily '!C28</f>
        <v>4186</v>
      </c>
      <c r="G24" s="71">
        <f>'FS-AD Daily '!D28</f>
        <v>783</v>
      </c>
      <c r="H24" s="71">
        <f>'FS-AD Daily '!E28</f>
        <v>6871</v>
      </c>
      <c r="I24" s="71">
        <f>'FS-AD Daily '!F28</f>
        <v>5496</v>
      </c>
      <c r="J24" s="71">
        <f>'FS-AD Daily '!G28</f>
        <v>2812</v>
      </c>
      <c r="K24" s="71">
        <f>'FS-AD Daily '!H28</f>
        <v>5963</v>
      </c>
      <c r="L24" s="71">
        <f>'FS-AD Daily '!I28</f>
        <v>2510</v>
      </c>
      <c r="M24" s="71">
        <f>'FS-AD Daily '!J28</f>
        <v>7063</v>
      </c>
      <c r="N24" s="71">
        <f>'FS-AD Daily '!T28</f>
        <v>127.04599999999846</v>
      </c>
      <c r="O24" s="71">
        <f>'FS-AD Daily '!R28</f>
        <v>68.982999999994874</v>
      </c>
      <c r="P24" s="71">
        <f>'FS-AD Daily '!Z28</f>
        <v>368.09999999997672</v>
      </c>
      <c r="Q24" s="71">
        <f>'FS-AD Daily '!V28</f>
        <v>140.19999999999999</v>
      </c>
      <c r="R24" s="71">
        <f>'FS-AD Daily '!W28</f>
        <v>0</v>
      </c>
      <c r="S24" s="71">
        <f t="shared" si="0"/>
        <v>227.89999999997673</v>
      </c>
      <c r="T24" s="71">
        <f>'FS-AD Daily '!AD28*3.516</f>
        <v>56009.88</v>
      </c>
      <c r="U24" s="71">
        <f>('FS-AD Daily '!AF28)*1000</f>
        <v>26000</v>
      </c>
      <c r="V24" s="71">
        <f>('FS-AD Daily '!AG28)*1000</f>
        <v>19800</v>
      </c>
      <c r="W24" s="71">
        <f>'FS-AD Daily '!AH28*1000</f>
        <v>8600</v>
      </c>
      <c r="X24" s="71">
        <f>('FS-AD Daily '!AK28)*1000</f>
        <v>17599.999999998545</v>
      </c>
      <c r="Y24" s="71">
        <v>93</v>
      </c>
      <c r="Z24" s="105">
        <v>118</v>
      </c>
    </row>
    <row r="25" spans="1:26" x14ac:dyDescent="0.25">
      <c r="A25" s="104" t="s">
        <v>80</v>
      </c>
      <c r="B25" s="69">
        <f t="shared" si="1"/>
        <v>24</v>
      </c>
      <c r="C25" s="70">
        <v>11</v>
      </c>
      <c r="D25" s="69">
        <v>2020</v>
      </c>
      <c r="E25" s="71">
        <f>'FS-AD Daily '!B29</f>
        <v>6539</v>
      </c>
      <c r="F25" s="71">
        <f>'FS-AD Daily '!C29</f>
        <v>4103</v>
      </c>
      <c r="G25" s="71">
        <f>'FS-AD Daily '!D29</f>
        <v>810</v>
      </c>
      <c r="H25" s="71">
        <f>'FS-AD Daily '!E29</f>
        <v>6459</v>
      </c>
      <c r="I25" s="71">
        <f>'FS-AD Daily '!F29</f>
        <v>5408</v>
      </c>
      <c r="J25" s="71">
        <f>'FS-AD Daily '!G29</f>
        <v>2748</v>
      </c>
      <c r="K25" s="71">
        <f>'FS-AD Daily '!H29</f>
        <v>5732</v>
      </c>
      <c r="L25" s="71">
        <f>'FS-AD Daily '!I29</f>
        <v>2410</v>
      </c>
      <c r="M25" s="71">
        <f>'FS-AD Daily '!J29</f>
        <v>6980</v>
      </c>
      <c r="N25" s="71">
        <f>'FS-AD Daily '!T29</f>
        <v>113.82200000000375</v>
      </c>
      <c r="O25" s="71">
        <f>'FS-AD Daily '!R29</f>
        <v>66.189999999992324</v>
      </c>
      <c r="P25" s="71">
        <f>'FS-AD Daily '!Z29</f>
        <v>380.30000000004657</v>
      </c>
      <c r="Q25" s="71">
        <f>'FS-AD Daily '!V29</f>
        <v>110.9</v>
      </c>
      <c r="R25" s="71">
        <f>'FS-AD Daily '!W29</f>
        <v>0</v>
      </c>
      <c r="S25" s="71">
        <f t="shared" si="0"/>
        <v>269.40000000004659</v>
      </c>
      <c r="T25" s="71">
        <f>'FS-AD Daily '!AD29*3.516</f>
        <v>57695.098800000167</v>
      </c>
      <c r="U25" s="71">
        <f>('FS-AD Daily '!AF29)*1000</f>
        <v>26900</v>
      </c>
      <c r="V25" s="71">
        <f>('FS-AD Daily '!AG29)*1000</f>
        <v>20900</v>
      </c>
      <c r="W25" s="71">
        <f>'FS-AD Daily '!AH29*1000</f>
        <v>8900</v>
      </c>
      <c r="X25" s="71">
        <f>('FS-AD Daily '!AK29)*1000</f>
        <v>17000</v>
      </c>
      <c r="Y25" s="71">
        <v>87</v>
      </c>
      <c r="Z25" s="105">
        <v>112</v>
      </c>
    </row>
    <row r="26" spans="1:26" x14ac:dyDescent="0.25">
      <c r="A26" s="104" t="s">
        <v>80</v>
      </c>
      <c r="B26" s="69">
        <f>B25+1</f>
        <v>25</v>
      </c>
      <c r="C26" s="70">
        <v>11</v>
      </c>
      <c r="D26" s="69">
        <v>2020</v>
      </c>
      <c r="E26" s="71">
        <f>'FS-AD Daily '!B30</f>
        <v>5402</v>
      </c>
      <c r="F26" s="71">
        <f>'FS-AD Daily '!C30</f>
        <v>4294</v>
      </c>
      <c r="G26" s="71">
        <f>'FS-AD Daily '!D30</f>
        <v>821</v>
      </c>
      <c r="H26" s="71">
        <f>'FS-AD Daily '!E30</f>
        <v>6398</v>
      </c>
      <c r="I26" s="71">
        <f>'FS-AD Daily '!F30</f>
        <v>5568</v>
      </c>
      <c r="J26" s="71">
        <f>'FS-AD Daily '!G30</f>
        <v>2685</v>
      </c>
      <c r="K26" s="71">
        <f>'FS-AD Daily '!H30</f>
        <v>5442</v>
      </c>
      <c r="L26" s="71">
        <f>'FS-AD Daily '!I30</f>
        <v>2442</v>
      </c>
      <c r="M26" s="71">
        <f>'FS-AD Daily '!J30</f>
        <v>7064</v>
      </c>
      <c r="N26" s="71">
        <f>'FS-AD Daily '!T30</f>
        <v>182.24899999999616</v>
      </c>
      <c r="O26" s="71">
        <f>'FS-AD Daily '!R30</f>
        <v>70.776000000012573</v>
      </c>
      <c r="P26" s="71">
        <f>'FS-AD Daily '!Z30</f>
        <v>430</v>
      </c>
      <c r="Q26" s="71">
        <f>'FS-AD Daily '!V30</f>
        <v>121</v>
      </c>
      <c r="R26" s="71">
        <f>'FS-AD Daily '!W30</f>
        <v>0</v>
      </c>
      <c r="S26" s="71">
        <f t="shared" si="0"/>
        <v>309</v>
      </c>
      <c r="T26" s="71">
        <f>'FS-AD Daily '!AD30*3.516</f>
        <v>55987.377599999512</v>
      </c>
      <c r="U26" s="71">
        <f>('FS-AD Daily '!AF30)*1000</f>
        <v>26500</v>
      </c>
      <c r="V26" s="71">
        <f>('FS-AD Daily '!AG30)*1000</f>
        <v>19600</v>
      </c>
      <c r="W26" s="71">
        <f>'FS-AD Daily '!AH30*1000</f>
        <v>9300</v>
      </c>
      <c r="X26" s="71">
        <f>('FS-AD Daily '!AK30)*1000</f>
        <v>15699.99999999709</v>
      </c>
      <c r="Y26" s="71">
        <v>93</v>
      </c>
      <c r="Z26" s="105">
        <v>136</v>
      </c>
    </row>
    <row r="27" spans="1:26" x14ac:dyDescent="0.25">
      <c r="A27" s="104" t="s">
        <v>80</v>
      </c>
      <c r="B27" s="69">
        <f t="shared" si="1"/>
        <v>26</v>
      </c>
      <c r="C27" s="70">
        <v>11</v>
      </c>
      <c r="D27" s="69">
        <v>2020</v>
      </c>
      <c r="E27" s="71">
        <f>'FS-AD Daily '!B31</f>
        <v>4761</v>
      </c>
      <c r="F27" s="71">
        <f>'FS-AD Daily '!C31</f>
        <v>4303</v>
      </c>
      <c r="G27" s="71">
        <f>'FS-AD Daily '!D31</f>
        <v>784</v>
      </c>
      <c r="H27" s="71">
        <f>'FS-AD Daily '!E31</f>
        <v>6557</v>
      </c>
      <c r="I27" s="71">
        <f>'FS-AD Daily '!F31</f>
        <v>5579</v>
      </c>
      <c r="J27" s="71">
        <f>'FS-AD Daily '!G31</f>
        <v>2757</v>
      </c>
      <c r="K27" s="71">
        <f>'FS-AD Daily '!H31</f>
        <v>5190</v>
      </c>
      <c r="L27" s="71">
        <f>'FS-AD Daily '!I31</f>
        <v>2437</v>
      </c>
      <c r="M27" s="71">
        <f>'FS-AD Daily '!J31</f>
        <v>7141</v>
      </c>
      <c r="N27" s="71">
        <f>'FS-AD Daily '!T31</f>
        <v>170.27100000000792</v>
      </c>
      <c r="O27" s="71">
        <f>'FS-AD Daily '!R31</f>
        <v>74.821999999989657</v>
      </c>
      <c r="P27" s="71">
        <f>'FS-AD Daily '!Z31</f>
        <v>455.90000000002328</v>
      </c>
      <c r="Q27" s="71">
        <f>'FS-AD Daily '!V31</f>
        <v>124.8</v>
      </c>
      <c r="R27" s="71">
        <f>'FS-AD Daily '!W31</f>
        <v>0</v>
      </c>
      <c r="S27" s="71">
        <f t="shared" si="0"/>
        <v>331.10000000002327</v>
      </c>
      <c r="T27" s="71">
        <f>'FS-AD Daily '!AD31*3.516</f>
        <v>56604.435600000324</v>
      </c>
      <c r="U27" s="71">
        <f>('FS-AD Daily '!AF31)*1000</f>
        <v>27800</v>
      </c>
      <c r="V27" s="71">
        <f>('FS-AD Daily '!AG31)*1000</f>
        <v>18900</v>
      </c>
      <c r="W27" s="71">
        <f>'FS-AD Daily '!AH31*1000</f>
        <v>8700</v>
      </c>
      <c r="X27" s="71">
        <f>('FS-AD Daily '!AK31)*1000</f>
        <v>17300.00000000291</v>
      </c>
      <c r="Y27" s="71">
        <v>73</v>
      </c>
      <c r="Z27" s="105">
        <v>117</v>
      </c>
    </row>
    <row r="28" spans="1:26" x14ac:dyDescent="0.25">
      <c r="A28" s="104" t="s">
        <v>80</v>
      </c>
      <c r="B28" s="69">
        <f t="shared" si="1"/>
        <v>27</v>
      </c>
      <c r="C28" s="70">
        <v>11</v>
      </c>
      <c r="D28" s="69">
        <v>2020</v>
      </c>
      <c r="E28" s="71">
        <f>'FS-AD Daily '!B32</f>
        <v>5368</v>
      </c>
      <c r="F28" s="71">
        <f>'FS-AD Daily '!C32</f>
        <v>4211</v>
      </c>
      <c r="G28" s="71">
        <f>'FS-AD Daily '!D32</f>
        <v>817</v>
      </c>
      <c r="H28" s="71">
        <f>'FS-AD Daily '!E32</f>
        <v>6698</v>
      </c>
      <c r="I28" s="71">
        <f>'FS-AD Daily '!F32</f>
        <v>5674</v>
      </c>
      <c r="J28" s="71">
        <f>'FS-AD Daily '!G32</f>
        <v>2737</v>
      </c>
      <c r="K28" s="71">
        <f>'FS-AD Daily '!H32</f>
        <v>4948</v>
      </c>
      <c r="L28" s="71">
        <f>'FS-AD Daily '!I32</f>
        <v>2380</v>
      </c>
      <c r="M28" s="71">
        <f>'FS-AD Daily '!J32</f>
        <v>7134</v>
      </c>
      <c r="N28" s="71">
        <f>'FS-AD Daily '!T32</f>
        <v>89.464999999996508</v>
      </c>
      <c r="O28" s="71">
        <f>'FS-AD Daily '!R32</f>
        <v>79.562000000003081</v>
      </c>
      <c r="P28" s="71">
        <f>'FS-AD Daily '!Z32</f>
        <v>457.59999999997672</v>
      </c>
      <c r="Q28" s="71">
        <f>'FS-AD Daily '!V32</f>
        <v>120.8</v>
      </c>
      <c r="R28" s="71">
        <f>'FS-AD Daily '!W32</f>
        <v>0</v>
      </c>
      <c r="S28" s="71">
        <f t="shared" si="0"/>
        <v>336.79999999997671</v>
      </c>
      <c r="T28" s="71">
        <f>'FS-AD Daily '!AD32*3.516</f>
        <v>55095.016800000165</v>
      </c>
      <c r="U28" s="71">
        <f>('FS-AD Daily '!AF32)*1000</f>
        <v>27000</v>
      </c>
      <c r="V28" s="71">
        <f>('FS-AD Daily '!AG32)*1000</f>
        <v>18100</v>
      </c>
      <c r="W28" s="71">
        <f>'FS-AD Daily '!AH32*1000</f>
        <v>9200</v>
      </c>
      <c r="X28" s="71">
        <f>('FS-AD Daily '!AK32)*1000</f>
        <v>15900.000000001455</v>
      </c>
      <c r="Y28" s="71">
        <v>87</v>
      </c>
      <c r="Z28" s="105">
        <v>143</v>
      </c>
    </row>
    <row r="29" spans="1:26" x14ac:dyDescent="0.25">
      <c r="A29" s="104" t="s">
        <v>80</v>
      </c>
      <c r="B29" s="69">
        <f t="shared" si="1"/>
        <v>28</v>
      </c>
      <c r="C29" s="70">
        <v>11</v>
      </c>
      <c r="D29" s="69">
        <v>2020</v>
      </c>
      <c r="E29" s="71">
        <f>'FS-AD Daily '!B33</f>
        <v>5387</v>
      </c>
      <c r="F29" s="71">
        <f>'FS-AD Daily '!C33</f>
        <v>4038</v>
      </c>
      <c r="G29" s="71">
        <f>'FS-AD Daily '!D33</f>
        <v>856</v>
      </c>
      <c r="H29" s="71">
        <f>'FS-AD Daily '!E33</f>
        <v>6634</v>
      </c>
      <c r="I29" s="71">
        <f>'FS-AD Daily '!F33</f>
        <v>5477</v>
      </c>
      <c r="J29" s="71">
        <f>'FS-AD Daily '!G33</f>
        <v>2848</v>
      </c>
      <c r="K29" s="71">
        <f>'FS-AD Daily '!H33</f>
        <v>4992</v>
      </c>
      <c r="L29" s="71">
        <f>'FS-AD Daily '!I33</f>
        <v>2414</v>
      </c>
      <c r="M29" s="71">
        <f>'FS-AD Daily '!J33</f>
        <v>7261</v>
      </c>
      <c r="N29" s="71">
        <f>'FS-AD Daily '!T33</f>
        <v>145.50700000000143</v>
      </c>
      <c r="O29" s="71">
        <f>'FS-AD Daily '!R33</f>
        <v>78.671000000001641</v>
      </c>
      <c r="P29" s="71">
        <f>'FS-AD Daily '!Z33</f>
        <v>442.19999999995343</v>
      </c>
      <c r="Q29" s="71">
        <f>'FS-AD Daily '!V33</f>
        <v>128</v>
      </c>
      <c r="R29" s="71">
        <f>'FS-AD Daily '!W33</f>
        <v>9.9999999947613105E-3</v>
      </c>
      <c r="S29" s="71">
        <f t="shared" si="0"/>
        <v>314.18999999995867</v>
      </c>
      <c r="T29" s="71">
        <f>'FS-AD Daily '!AD33*3.516</f>
        <v>52388.4</v>
      </c>
      <c r="U29" s="71">
        <f>('FS-AD Daily '!AF33)*1000</f>
        <v>24600</v>
      </c>
      <c r="V29" s="71">
        <f>('FS-AD Daily '!AG33)*1000</f>
        <v>18100</v>
      </c>
      <c r="W29" s="71">
        <f>'FS-AD Daily '!AH33*1000</f>
        <v>8900</v>
      </c>
      <c r="X29" s="71">
        <f>('FS-AD Daily '!AK33)*1000</f>
        <v>16399.999999994179</v>
      </c>
      <c r="Y29" s="71">
        <v>66</v>
      </c>
      <c r="Z29" s="105">
        <v>112</v>
      </c>
    </row>
    <row r="30" spans="1:26" x14ac:dyDescent="0.25">
      <c r="A30" s="104" t="s">
        <v>80</v>
      </c>
      <c r="B30" s="69">
        <f t="shared" si="1"/>
        <v>29</v>
      </c>
      <c r="C30" s="70">
        <v>11</v>
      </c>
      <c r="D30" s="69">
        <v>2020</v>
      </c>
      <c r="E30" s="71">
        <f>'FS-AD Daily '!B34</f>
        <v>4882</v>
      </c>
      <c r="F30" s="71">
        <f>'FS-AD Daily '!C34</f>
        <v>3424</v>
      </c>
      <c r="G30" s="71">
        <f>'FS-AD Daily '!D34</f>
        <v>771</v>
      </c>
      <c r="H30" s="71">
        <f>'FS-AD Daily '!E34</f>
        <v>6179</v>
      </c>
      <c r="I30" s="71">
        <f>'FS-AD Daily '!F34</f>
        <v>5343</v>
      </c>
      <c r="J30" s="71">
        <f>'FS-AD Daily '!G34</f>
        <v>2742</v>
      </c>
      <c r="K30" s="71">
        <f>'FS-AD Daily '!H34</f>
        <v>5398</v>
      </c>
      <c r="L30" s="71">
        <f>'FS-AD Daily '!I34</f>
        <v>2413</v>
      </c>
      <c r="M30" s="71">
        <f>'FS-AD Daily '!J34</f>
        <v>6965</v>
      </c>
      <c r="N30" s="71">
        <f>'FS-AD Daily '!T34</f>
        <v>116.22300000000541</v>
      </c>
      <c r="O30" s="71">
        <f>'FS-AD Daily '!R34</f>
        <v>74.156999999999698</v>
      </c>
      <c r="P30" s="71">
        <f>'FS-AD Daily '!Z34</f>
        <v>426.90000000002328</v>
      </c>
      <c r="Q30" s="71">
        <f>'FS-AD Daily '!V34</f>
        <v>125.3</v>
      </c>
      <c r="R30" s="71">
        <f>'FS-AD Daily '!W34</f>
        <v>0</v>
      </c>
      <c r="S30" s="71">
        <f t="shared" si="0"/>
        <v>301.60000000002327</v>
      </c>
      <c r="T30" s="71">
        <f>'FS-AD Daily '!AD34*3.516</f>
        <v>52337.066399999676</v>
      </c>
      <c r="U30" s="71">
        <f>('FS-AD Daily '!AF34)*1000</f>
        <v>24200</v>
      </c>
      <c r="V30" s="71">
        <f>('FS-AD Daily '!AG34)*1000</f>
        <v>19000</v>
      </c>
      <c r="W30" s="71">
        <f>'FS-AD Daily '!AH34*1000</f>
        <v>8400</v>
      </c>
      <c r="X30" s="71">
        <f>('FS-AD Daily '!AK34)*1000</f>
        <v>15300.00000000291</v>
      </c>
      <c r="Y30" s="71">
        <v>72</v>
      </c>
      <c r="Z30" s="105">
        <v>123</v>
      </c>
    </row>
    <row r="31" spans="1:26" ht="15.75" thickBot="1" x14ac:dyDescent="0.3">
      <c r="A31" s="106" t="s">
        <v>80</v>
      </c>
      <c r="B31" s="107">
        <f t="shared" si="1"/>
        <v>30</v>
      </c>
      <c r="C31" s="108">
        <v>11</v>
      </c>
      <c r="D31" s="107">
        <v>2020</v>
      </c>
      <c r="E31" s="109">
        <f>'FS-AD Daily '!B35</f>
        <v>4922</v>
      </c>
      <c r="F31" s="109">
        <f>'FS-AD Daily '!C35</f>
        <v>3689</v>
      </c>
      <c r="G31" s="109">
        <f>'FS-AD Daily '!D35</f>
        <v>805</v>
      </c>
      <c r="H31" s="109">
        <f>'FS-AD Daily '!E35</f>
        <v>6563</v>
      </c>
      <c r="I31" s="109">
        <f>'FS-AD Daily '!F35</f>
        <v>5472</v>
      </c>
      <c r="J31" s="109">
        <f>'FS-AD Daily '!G35</f>
        <v>2773</v>
      </c>
      <c r="K31" s="109">
        <f>'FS-AD Daily '!H35</f>
        <v>5895</v>
      </c>
      <c r="L31" s="109">
        <f>'FS-AD Daily '!I35</f>
        <v>2388</v>
      </c>
      <c r="M31" s="109">
        <f>'FS-AD Daily '!J35</f>
        <v>7129</v>
      </c>
      <c r="N31" s="109">
        <f>'FS-AD Daily '!T35</f>
        <v>121.54799999999523</v>
      </c>
      <c r="O31" s="109">
        <f>'FS-AD Daily '!R35</f>
        <v>67.163999999997486</v>
      </c>
      <c r="P31" s="109">
        <f>'FS-AD Daily '!Z35</f>
        <v>434.09999999997672</v>
      </c>
      <c r="Q31" s="109">
        <f>'FS-AD Daily '!V35</f>
        <v>124.3</v>
      </c>
      <c r="R31" s="109">
        <f>'FS-AD Daily '!W35</f>
        <v>0</v>
      </c>
      <c r="S31" s="109">
        <f t="shared" si="0"/>
        <v>309.79999999997671</v>
      </c>
      <c r="T31" s="109">
        <f>'FS-AD Daily '!AD35*3.516</f>
        <v>60365.500800000162</v>
      </c>
      <c r="U31" s="109">
        <f>('FS-AD Daily '!AF35)*1000</f>
        <v>28700</v>
      </c>
      <c r="V31" s="109">
        <f>('FS-AD Daily '!AG35)*1000</f>
        <v>21400</v>
      </c>
      <c r="W31" s="109">
        <f>'FS-AD Daily '!AH35*1000</f>
        <v>8500</v>
      </c>
      <c r="X31" s="109">
        <f>('FS-AD Daily '!AK35)*1000</f>
        <v>17199.99999999709</v>
      </c>
      <c r="Y31" s="109">
        <v>45</v>
      </c>
      <c r="Z31" s="110">
        <v>65</v>
      </c>
    </row>
    <row r="32" spans="1:26" x14ac:dyDescent="0.25">
      <c r="I32" s="4">
        <f t="shared" ref="I32:W32" si="2">SUM(I2:I31)</f>
        <v>166036</v>
      </c>
      <c r="J32" s="4">
        <f t="shared" si="2"/>
        <v>84992</v>
      </c>
      <c r="K32" s="4">
        <f t="shared" si="2"/>
        <v>186684</v>
      </c>
      <c r="L32" s="4">
        <f t="shared" si="2"/>
        <v>73180</v>
      </c>
      <c r="M32" s="4">
        <f t="shared" si="2"/>
        <v>212997</v>
      </c>
      <c r="N32" s="4">
        <f t="shared" si="2"/>
        <v>3975.2729999999965</v>
      </c>
      <c r="O32" s="4">
        <f t="shared" si="2"/>
        <v>2082.9079999999913</v>
      </c>
      <c r="P32" s="4">
        <f t="shared" si="2"/>
        <v>14650.199999999953</v>
      </c>
      <c r="Q32" s="4">
        <f t="shared" si="2"/>
        <v>5940.6000000000113</v>
      </c>
      <c r="R32" s="4">
        <f t="shared" si="2"/>
        <v>17.80000000000291</v>
      </c>
      <c r="S32" s="4">
        <f t="shared" si="2"/>
        <v>8691.7999999999392</v>
      </c>
      <c r="T32" s="4">
        <f t="shared" si="2"/>
        <v>2023446.7488000004</v>
      </c>
      <c r="U32" s="4">
        <f t="shared" si="2"/>
        <v>949200</v>
      </c>
      <c r="V32" s="4">
        <f t="shared" si="2"/>
        <v>702499.99999999709</v>
      </c>
      <c r="W32" s="4">
        <f t="shared" si="2"/>
        <v>306200</v>
      </c>
      <c r="X32" s="4">
        <f>'FS-AD Daily '!U37</f>
        <v>14836.141600000043</v>
      </c>
      <c r="Y32" s="4">
        <f>SUM(Y2:Y31)</f>
        <v>2223</v>
      </c>
      <c r="Z32" s="4">
        <f>SUM(Z2:Z31)</f>
        <v>3444</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4" topLeftCell="M27" activePane="bottomRight" state="frozen"/>
      <selection pane="topRight" activeCell="H1" sqref="H1"/>
      <selection pane="bottomLeft" activeCell="A5" sqref="A5"/>
      <selection pane="bottomRight" activeCell="T36" sqref="T36"/>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6" t="s">
        <v>14</v>
      </c>
      <c r="C1" s="136"/>
      <c r="D1" s="136"/>
      <c r="E1" s="136"/>
      <c r="F1" s="136"/>
      <c r="G1" s="136"/>
      <c r="H1" s="136"/>
      <c r="I1" s="136"/>
      <c r="J1" s="136"/>
      <c r="K1" s="25" t="s">
        <v>15</v>
      </c>
      <c r="L1" s="26" t="s">
        <v>16</v>
      </c>
      <c r="M1" s="27" t="s">
        <v>17</v>
      </c>
      <c r="N1" s="28" t="s">
        <v>18</v>
      </c>
      <c r="O1" s="28" t="s">
        <v>19</v>
      </c>
      <c r="P1" s="65" t="s">
        <v>20</v>
      </c>
      <c r="Q1" s="30" t="s">
        <v>21</v>
      </c>
      <c r="R1" s="31" t="s">
        <v>22</v>
      </c>
      <c r="S1" s="29" t="s">
        <v>23</v>
      </c>
      <c r="T1" s="32" t="s">
        <v>24</v>
      </c>
      <c r="U1" s="33" t="s">
        <v>25</v>
      </c>
      <c r="V1" s="32" t="s">
        <v>26</v>
      </c>
      <c r="W1" s="32" t="s">
        <v>27</v>
      </c>
      <c r="X1" s="137" t="s">
        <v>28</v>
      </c>
      <c r="Y1" s="137"/>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38" t="s">
        <v>41</v>
      </c>
      <c r="L2" s="140" t="s">
        <v>42</v>
      </c>
      <c r="M2" s="10"/>
      <c r="N2" s="10"/>
      <c r="O2" s="10"/>
      <c r="P2" s="10"/>
      <c r="Q2" s="10"/>
      <c r="R2" s="10"/>
      <c r="S2" s="142"/>
      <c r="T2" s="47"/>
      <c r="U2" s="143"/>
      <c r="V2" s="45"/>
      <c r="W2" s="45"/>
      <c r="X2" s="22">
        <v>1</v>
      </c>
      <c r="Y2" s="22">
        <v>2</v>
      </c>
      <c r="Z2" s="23"/>
      <c r="AA2" s="140" t="s">
        <v>101</v>
      </c>
      <c r="AB2" s="43"/>
      <c r="AC2" s="138" t="s">
        <v>43</v>
      </c>
      <c r="AD2" s="145"/>
      <c r="AE2" s="143" t="s">
        <v>100</v>
      </c>
      <c r="AF2" s="45"/>
      <c r="AG2" s="45"/>
      <c r="AH2" s="45"/>
      <c r="AI2" s="44"/>
      <c r="AJ2" s="44"/>
      <c r="AK2" s="44"/>
      <c r="AL2" s="44"/>
      <c r="AM2" s="143" t="s">
        <v>100</v>
      </c>
      <c r="AN2" s="146"/>
      <c r="AO2" s="144"/>
    </row>
    <row r="3" spans="1:44" ht="15" customHeight="1" x14ac:dyDescent="0.25">
      <c r="A3" s="9"/>
      <c r="B3" s="11" t="s">
        <v>44</v>
      </c>
      <c r="C3" s="11" t="s">
        <v>45</v>
      </c>
      <c r="D3" s="11" t="s">
        <v>46</v>
      </c>
      <c r="E3" s="11" t="s">
        <v>47</v>
      </c>
      <c r="F3" s="11" t="s">
        <v>48</v>
      </c>
      <c r="G3" s="11" t="s">
        <v>49</v>
      </c>
      <c r="H3" s="11" t="s">
        <v>50</v>
      </c>
      <c r="I3" s="11" t="s">
        <v>51</v>
      </c>
      <c r="J3" s="11" t="s">
        <v>52</v>
      </c>
      <c r="K3" s="139"/>
      <c r="L3" s="141"/>
      <c r="M3" s="10"/>
      <c r="N3" s="10"/>
      <c r="O3" s="10"/>
      <c r="P3" s="10"/>
      <c r="Q3" s="10"/>
      <c r="R3" s="10"/>
      <c r="S3" s="142"/>
      <c r="T3" s="47"/>
      <c r="U3" s="143"/>
      <c r="V3" s="45"/>
      <c r="W3" s="45"/>
      <c r="X3" s="11"/>
      <c r="Y3" s="11"/>
      <c r="Z3" s="12"/>
      <c r="AA3" s="140"/>
      <c r="AB3" s="43"/>
      <c r="AC3" s="138"/>
      <c r="AD3" s="145"/>
      <c r="AE3" s="143"/>
      <c r="AF3" s="45"/>
      <c r="AG3" s="45"/>
      <c r="AH3" s="45"/>
      <c r="AI3" s="13"/>
      <c r="AJ3" s="44"/>
      <c r="AK3" s="44"/>
      <c r="AL3" s="44"/>
      <c r="AM3" s="143"/>
      <c r="AN3" s="146"/>
      <c r="AO3" s="144"/>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42"/>
      <c r="T4" s="47"/>
      <c r="U4" s="143"/>
      <c r="V4" s="45"/>
      <c r="W4" s="45"/>
      <c r="X4" s="52"/>
      <c r="Y4" s="88">
        <v>722684.5</v>
      </c>
      <c r="Z4" s="12"/>
      <c r="AA4" s="140"/>
      <c r="AB4" s="87">
        <v>1429994.2</v>
      </c>
      <c r="AC4" s="138"/>
      <c r="AD4" s="145"/>
      <c r="AE4" s="143"/>
      <c r="AF4" s="45"/>
      <c r="AG4" s="45"/>
      <c r="AH4" s="45"/>
      <c r="AI4" s="43">
        <v>39068.5</v>
      </c>
      <c r="AJ4" s="43"/>
      <c r="AK4" s="43"/>
      <c r="AL4" s="43"/>
      <c r="AM4" s="143"/>
      <c r="AN4" s="146"/>
      <c r="AO4" s="144"/>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2" t="e">
        <f>SUM(#REF!)</f>
        <v>#REF!</v>
      </c>
    </row>
    <row r="6" spans="1:44" x14ac:dyDescent="0.25">
      <c r="A6" s="80">
        <v>44136</v>
      </c>
      <c r="B6" s="86">
        <v>5118</v>
      </c>
      <c r="C6" s="86">
        <v>3600</v>
      </c>
      <c r="D6" s="86">
        <v>814</v>
      </c>
      <c r="E6" s="86">
        <v>4539</v>
      </c>
      <c r="F6" s="86">
        <v>5494</v>
      </c>
      <c r="G6" s="86">
        <v>3009</v>
      </c>
      <c r="H6" s="86">
        <v>7310</v>
      </c>
      <c r="I6" s="86">
        <v>2499</v>
      </c>
      <c r="J6" s="86">
        <v>7170</v>
      </c>
      <c r="K6" s="63">
        <f>SUM(B6:H6)</f>
        <v>29884</v>
      </c>
      <c r="L6" s="40">
        <f>K6*0.2</f>
        <v>5976.8</v>
      </c>
      <c r="M6" s="85">
        <v>54</v>
      </c>
      <c r="N6" s="85">
        <v>1.014</v>
      </c>
      <c r="O6" s="85">
        <v>7.8380000000000001</v>
      </c>
      <c r="P6" s="83">
        <v>52.473999999999997</v>
      </c>
      <c r="Q6" s="85">
        <v>10.867000000000001</v>
      </c>
      <c r="R6" s="85">
        <f t="shared" ref="R6:R34" si="0">N6+O6+P6</f>
        <v>61.325999999999993</v>
      </c>
      <c r="S6" s="85">
        <f t="shared" ref="S6:S34" si="1">(N6+O6+P6)*7.84</f>
        <v>480.79583999999994</v>
      </c>
      <c r="T6" s="64">
        <f t="shared" ref="T6:T34" si="2">M6+Q6</f>
        <v>64.867000000000004</v>
      </c>
      <c r="U6" s="85">
        <f>T6*7.84</f>
        <v>508.55728000000005</v>
      </c>
      <c r="V6" s="85">
        <v>265</v>
      </c>
      <c r="W6" s="85">
        <v>0</v>
      </c>
      <c r="X6" s="86" t="s">
        <v>63</v>
      </c>
      <c r="Y6" s="75">
        <v>723225</v>
      </c>
      <c r="Z6" s="61">
        <f>IF((Y6-Y5&lt;0), "0",Y6-Y4)</f>
        <v>540.5</v>
      </c>
      <c r="AA6" s="91">
        <f>Z6*6.47</f>
        <v>3497.0349999999999</v>
      </c>
      <c r="AB6" s="75">
        <f>1429994.2+22705.8</f>
        <v>1452700</v>
      </c>
      <c r="AC6" s="75">
        <f>AB4</f>
        <v>1429994.2</v>
      </c>
      <c r="AD6" s="41">
        <f t="shared" ref="AD6:AD35" si="3">IF((AB6-AC6&lt;0), "0",AB6-AC6)</f>
        <v>22705.800000000047</v>
      </c>
      <c r="AE6" s="85">
        <f>AD6*0.333415</f>
        <v>7570.4543070000163</v>
      </c>
      <c r="AF6" s="85">
        <v>35.5</v>
      </c>
      <c r="AG6" s="85">
        <v>34.1</v>
      </c>
      <c r="AH6" s="85">
        <v>10.8</v>
      </c>
      <c r="AI6" s="75">
        <f>AI4</f>
        <v>39068.5</v>
      </c>
      <c r="AJ6" s="75">
        <v>39090.5</v>
      </c>
      <c r="AK6" s="59">
        <f>IF((AJ6-AI6)&lt;0, "0",AJ6-AI6)</f>
        <v>22</v>
      </c>
      <c r="AL6" s="125">
        <f t="shared" ref="AL6:AL34" si="4">AK6*(284.34513609)</f>
        <v>6255.5929939799998</v>
      </c>
      <c r="AM6" s="85">
        <f>AL6*0.333415</f>
        <v>2085.7085380878416</v>
      </c>
      <c r="AN6" s="102">
        <v>62</v>
      </c>
      <c r="AO6" s="77">
        <f t="shared" ref="AO6:AO34" si="5">L6+U6+AA6+AE6</f>
        <v>17552.846587000015</v>
      </c>
    </row>
    <row r="7" spans="1:44" x14ac:dyDescent="0.25">
      <c r="A7" s="79">
        <v>44137</v>
      </c>
      <c r="B7" s="87">
        <v>4733</v>
      </c>
      <c r="C7" s="87">
        <v>3442</v>
      </c>
      <c r="D7" s="87">
        <v>808</v>
      </c>
      <c r="E7" s="87">
        <v>4482</v>
      </c>
      <c r="F7" s="87">
        <v>5292</v>
      </c>
      <c r="G7" s="87">
        <v>2819</v>
      </c>
      <c r="H7" s="87">
        <f>7296171-7289559</f>
        <v>6612</v>
      </c>
      <c r="I7" s="87">
        <f>4599395-4596968</f>
        <v>2427</v>
      </c>
      <c r="J7" s="87">
        <f>9801703-9794892</f>
        <v>6811</v>
      </c>
      <c r="K7" s="87">
        <f>SUM(B7:H7)</f>
        <v>28188</v>
      </c>
      <c r="L7" s="14">
        <f>K7*0.2</f>
        <v>5637.6</v>
      </c>
      <c r="M7" s="84">
        <v>99.954999999999998</v>
      </c>
      <c r="N7" s="84">
        <v>1.034</v>
      </c>
      <c r="O7" s="84">
        <v>7.41</v>
      </c>
      <c r="P7" s="82">
        <v>46.832000000000001</v>
      </c>
      <c r="Q7" s="84">
        <v>10.888999999999999</v>
      </c>
      <c r="R7" s="84">
        <f t="shared" si="0"/>
        <v>55.276000000000003</v>
      </c>
      <c r="S7" s="84">
        <f>(N7+O7+P7)*7.84</f>
        <v>433.36384000000004</v>
      </c>
      <c r="T7" s="84">
        <f>M7+Q7</f>
        <v>110.84399999999999</v>
      </c>
      <c r="U7" s="84">
        <f>T7*7.84</f>
        <v>869.01695999999993</v>
      </c>
      <c r="V7" s="84">
        <v>271.89999999999998</v>
      </c>
      <c r="W7" s="84">
        <v>0</v>
      </c>
      <c r="X7" s="87" t="s">
        <v>63</v>
      </c>
      <c r="Y7" s="88">
        <v>723770.5</v>
      </c>
      <c r="Z7" s="5">
        <f>IF((Y7-Y6&lt;0), "0",Y7-Y6)</f>
        <v>545.5</v>
      </c>
      <c r="AA7" s="14">
        <f t="shared" ref="AA7:AA34" si="6">Z7*6.47</f>
        <v>3529.3849999999998</v>
      </c>
      <c r="AB7" s="88">
        <v>1474689.3</v>
      </c>
      <c r="AC7" s="88">
        <f>AB6</f>
        <v>1452700</v>
      </c>
      <c r="AD7" s="5">
        <f t="shared" si="3"/>
        <v>21989.300000000047</v>
      </c>
      <c r="AE7" s="84">
        <f>AD7*0.333415</f>
        <v>7331.5624595000163</v>
      </c>
      <c r="AF7" s="84">
        <v>36.5</v>
      </c>
      <c r="AG7" s="84">
        <v>28.8</v>
      </c>
      <c r="AH7" s="84">
        <v>10.7</v>
      </c>
      <c r="AI7" s="88">
        <f>AJ6</f>
        <v>39090.5</v>
      </c>
      <c r="AJ7" s="87">
        <v>39111.9</v>
      </c>
      <c r="AK7" s="48">
        <f t="shared" ref="AK7:AK34" si="7">IF((AJ7-AI7)&lt;0, "0",AJ7-AI7)</f>
        <v>21.400000000001455</v>
      </c>
      <c r="AL7" s="90">
        <f t="shared" si="4"/>
        <v>6084.9859123264132</v>
      </c>
      <c r="AM7" s="84">
        <f>AL7*0.333415</f>
        <v>2028.8255779583112</v>
      </c>
      <c r="AN7" s="71">
        <v>76</v>
      </c>
      <c r="AO7" s="78">
        <f t="shared" si="5"/>
        <v>17367.564419500017</v>
      </c>
    </row>
    <row r="8" spans="1:44" x14ac:dyDescent="0.25">
      <c r="A8" s="79">
        <v>44138</v>
      </c>
      <c r="B8" s="87">
        <v>4481</v>
      </c>
      <c r="C8" s="87">
        <v>3621</v>
      </c>
      <c r="D8" s="87">
        <v>785</v>
      </c>
      <c r="E8" s="87">
        <v>4587</v>
      </c>
      <c r="F8" s="87">
        <v>5413</v>
      </c>
      <c r="G8" s="87">
        <v>2748</v>
      </c>
      <c r="H8" s="87">
        <v>5771</v>
      </c>
      <c r="I8" s="87">
        <v>2441</v>
      </c>
      <c r="J8" s="87">
        <v>6970</v>
      </c>
      <c r="K8" s="87">
        <f>SUM(B8:H8)</f>
        <v>27406</v>
      </c>
      <c r="L8" s="14">
        <f t="shared" ref="L8:L34" si="8">K8*0.2</f>
        <v>5481.2000000000007</v>
      </c>
      <c r="M8" s="84">
        <v>221.393</v>
      </c>
      <c r="N8" s="84">
        <v>0.77</v>
      </c>
      <c r="O8" s="84">
        <v>7.8659999999999997</v>
      </c>
      <c r="P8" s="82">
        <v>55.427999999999997</v>
      </c>
      <c r="Q8" s="84">
        <v>10.805999999999999</v>
      </c>
      <c r="R8" s="84">
        <f t="shared" si="0"/>
        <v>64.063999999999993</v>
      </c>
      <c r="S8" s="84">
        <f>(N8+O8+P8)*7.84</f>
        <v>502.26175999999992</v>
      </c>
      <c r="T8" s="84">
        <f>M8+Q8</f>
        <v>232.19900000000001</v>
      </c>
      <c r="U8" s="84">
        <f>T8*7.84</f>
        <v>1820.4401600000001</v>
      </c>
      <c r="V8" s="84">
        <v>268.10000000000002</v>
      </c>
      <c r="W8" s="84">
        <v>0</v>
      </c>
      <c r="X8" s="87" t="s">
        <v>63</v>
      </c>
      <c r="Y8" s="88">
        <v>724304</v>
      </c>
      <c r="Z8" s="5">
        <f t="shared" ref="Z8:Z34" si="9">IF((Y8-Y7&lt;0), "0",Y8-Y7)</f>
        <v>533.5</v>
      </c>
      <c r="AA8" s="14">
        <f t="shared" si="6"/>
        <v>3451.7449999999999</v>
      </c>
      <c r="AB8" s="88">
        <v>1495487.4</v>
      </c>
      <c r="AC8" s="88">
        <f>AB7</f>
        <v>1474689.3</v>
      </c>
      <c r="AD8" s="5">
        <f t="shared" si="3"/>
        <v>20798.09999999986</v>
      </c>
      <c r="AE8" s="84">
        <f t="shared" ref="AE8:AE35" si="10">AD8*0.333415</f>
        <v>6934.3985114999541</v>
      </c>
      <c r="AF8" s="84">
        <v>34.1</v>
      </c>
      <c r="AG8" s="84">
        <v>26.4</v>
      </c>
      <c r="AH8" s="84">
        <v>10.7</v>
      </c>
      <c r="AI8" s="87">
        <f>AJ7</f>
        <v>39111.9</v>
      </c>
      <c r="AJ8" s="87">
        <v>39132.699999999997</v>
      </c>
      <c r="AK8" s="48">
        <f t="shared" si="7"/>
        <v>20.799999999995634</v>
      </c>
      <c r="AL8" s="90">
        <f t="shared" si="4"/>
        <v>5914.3788306707584</v>
      </c>
      <c r="AM8" s="84">
        <f t="shared" ref="AM8:AM34" si="11">AL8*0.333415</f>
        <v>1971.942617828091</v>
      </c>
      <c r="AN8" s="71">
        <v>66</v>
      </c>
      <c r="AO8" s="78">
        <f t="shared" si="5"/>
        <v>17687.783671499958</v>
      </c>
    </row>
    <row r="9" spans="1:44" x14ac:dyDescent="0.25">
      <c r="A9" s="79">
        <v>44139</v>
      </c>
      <c r="B9" s="87">
        <v>4786</v>
      </c>
      <c r="C9" s="87">
        <v>3961</v>
      </c>
      <c r="D9" s="87">
        <v>822</v>
      </c>
      <c r="E9" s="87">
        <v>4486</v>
      </c>
      <c r="F9" s="87">
        <v>5396</v>
      </c>
      <c r="G9" s="87">
        <v>2826</v>
      </c>
      <c r="H9" s="87">
        <v>6380</v>
      </c>
      <c r="I9" s="87">
        <v>2465</v>
      </c>
      <c r="J9" s="87">
        <v>7218</v>
      </c>
      <c r="K9" s="87">
        <f t="shared" ref="K9:K34" si="12">SUM(B9:H9)</f>
        <v>28657</v>
      </c>
      <c r="L9" s="14">
        <f t="shared" si="8"/>
        <v>5731.4000000000005</v>
      </c>
      <c r="M9" s="84">
        <v>74.587000000000003</v>
      </c>
      <c r="N9" s="84">
        <v>0.47099999999999997</v>
      </c>
      <c r="O9" s="84">
        <v>7.1790000000000003</v>
      </c>
      <c r="P9" s="82">
        <v>53.146999999999998</v>
      </c>
      <c r="Q9" s="84">
        <v>11.058999999999999</v>
      </c>
      <c r="R9" s="84">
        <f t="shared" si="0"/>
        <v>60.796999999999997</v>
      </c>
      <c r="S9" s="84">
        <f t="shared" si="1"/>
        <v>476.64847999999995</v>
      </c>
      <c r="T9" s="84">
        <f t="shared" si="2"/>
        <v>85.646000000000001</v>
      </c>
      <c r="U9" s="84">
        <f t="shared" ref="U9:U36" si="13">T9*7.84</f>
        <v>671.46464000000003</v>
      </c>
      <c r="V9" s="84">
        <v>274.39999999999998</v>
      </c>
      <c r="W9" s="84">
        <v>0</v>
      </c>
      <c r="X9" s="87" t="s">
        <v>63</v>
      </c>
      <c r="Y9" s="88">
        <v>724853.1</v>
      </c>
      <c r="Z9" s="5">
        <f t="shared" si="9"/>
        <v>549.09999999997672</v>
      </c>
      <c r="AA9" s="14">
        <f t="shared" si="6"/>
        <v>3552.6769999998492</v>
      </c>
      <c r="AB9" s="88">
        <v>1516590.1</v>
      </c>
      <c r="AC9" s="88">
        <f t="shared" ref="AC9:AC35" si="14">AB8</f>
        <v>1495487.4</v>
      </c>
      <c r="AD9" s="5">
        <f t="shared" si="3"/>
        <v>21102.700000000186</v>
      </c>
      <c r="AE9" s="84">
        <f t="shared" si="10"/>
        <v>7035.9567205000621</v>
      </c>
      <c r="AF9" s="84">
        <v>36.5</v>
      </c>
      <c r="AG9" s="84">
        <v>24.1</v>
      </c>
      <c r="AH9" s="84">
        <v>10.9</v>
      </c>
      <c r="AI9" s="88">
        <f t="shared" ref="AI9:AI35" si="15">AJ8</f>
        <v>39132.699999999997</v>
      </c>
      <c r="AJ9" s="88">
        <v>39154</v>
      </c>
      <c r="AK9" s="48">
        <f t="shared" si="7"/>
        <v>21.30000000000291</v>
      </c>
      <c r="AL9" s="90">
        <f t="shared" si="4"/>
        <v>6056.5513987178274</v>
      </c>
      <c r="AM9" s="84">
        <f t="shared" si="11"/>
        <v>2019.3450846035046</v>
      </c>
      <c r="AN9" s="71">
        <v>82</v>
      </c>
      <c r="AO9" s="78">
        <f t="shared" si="5"/>
        <v>16991.498360499914</v>
      </c>
    </row>
    <row r="10" spans="1:44" x14ac:dyDescent="0.25">
      <c r="A10" s="79">
        <v>44140</v>
      </c>
      <c r="B10" s="87">
        <v>4709</v>
      </c>
      <c r="C10" s="87">
        <v>3973</v>
      </c>
      <c r="D10" s="87">
        <v>838</v>
      </c>
      <c r="E10" s="87">
        <v>4542</v>
      </c>
      <c r="F10" s="87">
        <v>5538</v>
      </c>
      <c r="G10" s="87">
        <v>2983</v>
      </c>
      <c r="H10" s="87">
        <v>6773</v>
      </c>
      <c r="I10" s="87">
        <v>2434</v>
      </c>
      <c r="J10" s="87">
        <v>7222</v>
      </c>
      <c r="K10" s="87">
        <f t="shared" si="12"/>
        <v>29356</v>
      </c>
      <c r="L10" s="14">
        <f t="shared" si="8"/>
        <v>5871.2000000000007</v>
      </c>
      <c r="M10" s="84">
        <v>227.3</v>
      </c>
      <c r="N10" s="84">
        <v>1.296</v>
      </c>
      <c r="O10" s="84">
        <v>7.6230000000000002</v>
      </c>
      <c r="P10" s="82">
        <v>61.826000000000001</v>
      </c>
      <c r="Q10" s="84">
        <v>10.834</v>
      </c>
      <c r="R10" s="84">
        <f t="shared" si="0"/>
        <v>70.745000000000005</v>
      </c>
      <c r="S10" s="84">
        <f t="shared" si="1"/>
        <v>554.64080000000001</v>
      </c>
      <c r="T10" s="84">
        <f t="shared" si="2"/>
        <v>238.13400000000001</v>
      </c>
      <c r="U10" s="84">
        <f t="shared" si="13"/>
        <v>1866.97056</v>
      </c>
      <c r="V10" s="84">
        <v>295.5</v>
      </c>
      <c r="W10" s="84">
        <v>0</v>
      </c>
      <c r="X10" s="87" t="s">
        <v>63</v>
      </c>
      <c r="Y10" s="88">
        <v>725439.2</v>
      </c>
      <c r="Z10" s="5">
        <f t="shared" si="9"/>
        <v>586.09999999997672</v>
      </c>
      <c r="AA10" s="14">
        <f t="shared" si="6"/>
        <v>3792.066999999849</v>
      </c>
      <c r="AB10" s="88">
        <v>1538301.1</v>
      </c>
      <c r="AC10" s="88">
        <f t="shared" si="14"/>
        <v>1516590.1</v>
      </c>
      <c r="AD10" s="5">
        <f t="shared" si="3"/>
        <v>21711</v>
      </c>
      <c r="AE10" s="84">
        <f t="shared" si="10"/>
        <v>7238.7730650000003</v>
      </c>
      <c r="AF10" s="84">
        <v>37</v>
      </c>
      <c r="AG10" s="84">
        <v>25.4</v>
      </c>
      <c r="AH10" s="84">
        <v>11.6</v>
      </c>
      <c r="AI10" s="88">
        <f t="shared" si="15"/>
        <v>39154</v>
      </c>
      <c r="AJ10" s="88">
        <v>39176.300000000003</v>
      </c>
      <c r="AK10" s="48">
        <f t="shared" si="7"/>
        <v>22.30000000000291</v>
      </c>
      <c r="AL10" s="90">
        <f t="shared" si="4"/>
        <v>6340.8965348078273</v>
      </c>
      <c r="AM10" s="84">
        <f t="shared" si="11"/>
        <v>2114.1500181529518</v>
      </c>
      <c r="AN10" s="71">
        <v>92</v>
      </c>
      <c r="AO10" s="78">
        <f t="shared" si="5"/>
        <v>18769.01062499985</v>
      </c>
    </row>
    <row r="11" spans="1:44" x14ac:dyDescent="0.25">
      <c r="A11" s="79">
        <v>44141</v>
      </c>
      <c r="B11" s="87">
        <v>4601</v>
      </c>
      <c r="C11" s="87">
        <v>3740</v>
      </c>
      <c r="D11" s="87">
        <v>842</v>
      </c>
      <c r="E11" s="87">
        <v>4497</v>
      </c>
      <c r="F11" s="87">
        <v>5716</v>
      </c>
      <c r="G11" s="87">
        <v>3005</v>
      </c>
      <c r="H11" s="87">
        <v>5750</v>
      </c>
      <c r="I11" s="87">
        <v>2487</v>
      </c>
      <c r="J11" s="87">
        <v>7155</v>
      </c>
      <c r="K11" s="87">
        <f t="shared" si="12"/>
        <v>28151</v>
      </c>
      <c r="L11" s="14">
        <f t="shared" si="8"/>
        <v>5630.2000000000007</v>
      </c>
      <c r="M11" s="84">
        <v>128.15799999999999</v>
      </c>
      <c r="N11" s="84">
        <v>0.96599999999999997</v>
      </c>
      <c r="O11" s="84">
        <v>7.3579999999999997</v>
      </c>
      <c r="P11" s="82">
        <v>66.364000000000004</v>
      </c>
      <c r="Q11" s="84">
        <v>8.9320000000000004</v>
      </c>
      <c r="R11" s="84">
        <f t="shared" si="0"/>
        <v>74.688000000000002</v>
      </c>
      <c r="S11" s="84">
        <f t="shared" si="1"/>
        <v>585.55392000000006</v>
      </c>
      <c r="T11" s="84">
        <f t="shared" si="2"/>
        <v>137.08999999999997</v>
      </c>
      <c r="U11" s="84">
        <f t="shared" si="13"/>
        <v>1074.7855999999997</v>
      </c>
      <c r="V11" s="84">
        <v>300.39999999999998</v>
      </c>
      <c r="W11" s="84">
        <v>0</v>
      </c>
      <c r="X11" s="87" t="s">
        <v>63</v>
      </c>
      <c r="Y11" s="88">
        <v>726044.4</v>
      </c>
      <c r="Z11" s="5">
        <f t="shared" si="9"/>
        <v>605.20000000006985</v>
      </c>
      <c r="AA11" s="14">
        <f t="shared" si="6"/>
        <v>3915.6440000004518</v>
      </c>
      <c r="AB11" s="88">
        <v>1557918.8</v>
      </c>
      <c r="AC11" s="88">
        <f t="shared" si="14"/>
        <v>1538301.1</v>
      </c>
      <c r="AD11" s="5">
        <f t="shared" si="3"/>
        <v>19617.699999999953</v>
      </c>
      <c r="AE11" s="84">
        <f t="shared" si="10"/>
        <v>6540.8354454999844</v>
      </c>
      <c r="AF11" s="84">
        <v>32.700000000000003</v>
      </c>
      <c r="AG11" s="84">
        <v>21</v>
      </c>
      <c r="AH11" s="84">
        <v>11.5</v>
      </c>
      <c r="AI11" s="88">
        <f t="shared" si="15"/>
        <v>39176.300000000003</v>
      </c>
      <c r="AJ11" s="88">
        <v>39196.400000000001</v>
      </c>
      <c r="AK11" s="48">
        <f t="shared" si="7"/>
        <v>20.099999999998545</v>
      </c>
      <c r="AL11" s="90">
        <f t="shared" si="4"/>
        <v>5715.3372354085859</v>
      </c>
      <c r="AM11" s="84">
        <f t="shared" si="11"/>
        <v>1905.5791643437537</v>
      </c>
      <c r="AN11" s="71">
        <v>86</v>
      </c>
      <c r="AO11" s="78">
        <f t="shared" si="5"/>
        <v>17161.465045500438</v>
      </c>
    </row>
    <row r="12" spans="1:44" x14ac:dyDescent="0.25">
      <c r="A12" s="79">
        <v>44142</v>
      </c>
      <c r="B12" s="87">
        <v>4623</v>
      </c>
      <c r="C12" s="87">
        <v>3729</v>
      </c>
      <c r="D12" s="87">
        <v>845</v>
      </c>
      <c r="E12" s="87">
        <v>4479</v>
      </c>
      <c r="F12" s="87">
        <v>5533</v>
      </c>
      <c r="G12" s="87">
        <v>2997</v>
      </c>
      <c r="H12" s="87">
        <v>6033</v>
      </c>
      <c r="I12" s="87">
        <v>2494</v>
      </c>
      <c r="J12" s="87">
        <v>7181</v>
      </c>
      <c r="K12" s="87">
        <f t="shared" si="12"/>
        <v>28239</v>
      </c>
      <c r="L12" s="14">
        <f t="shared" si="8"/>
        <v>5647.8</v>
      </c>
      <c r="M12" s="84">
        <v>125.098</v>
      </c>
      <c r="N12" s="84">
        <v>0.94399999999999995</v>
      </c>
      <c r="O12" s="84">
        <v>7.6619999999999999</v>
      </c>
      <c r="P12" s="82">
        <v>59.195</v>
      </c>
      <c r="Q12" s="84">
        <v>11.632999999999999</v>
      </c>
      <c r="R12" s="84">
        <f t="shared" si="0"/>
        <v>67.801000000000002</v>
      </c>
      <c r="S12" s="84">
        <f t="shared" si="1"/>
        <v>531.55984000000001</v>
      </c>
      <c r="T12" s="84">
        <f t="shared" si="2"/>
        <v>136.73099999999999</v>
      </c>
      <c r="U12" s="84">
        <f t="shared" si="13"/>
        <v>1071.9710399999999</v>
      </c>
      <c r="V12" s="84">
        <v>282.10000000000002</v>
      </c>
      <c r="W12" s="84">
        <v>0</v>
      </c>
      <c r="X12" s="87" t="s">
        <v>63</v>
      </c>
      <c r="Y12" s="88">
        <v>726609.6</v>
      </c>
      <c r="Z12" s="5">
        <f t="shared" si="9"/>
        <v>565.19999999995343</v>
      </c>
      <c r="AA12" s="14">
        <f t="shared" si="6"/>
        <v>3656.8439999996986</v>
      </c>
      <c r="AB12" s="88">
        <v>1577814.2</v>
      </c>
      <c r="AC12" s="88">
        <f t="shared" si="14"/>
        <v>1557918.8</v>
      </c>
      <c r="AD12" s="5">
        <f t="shared" si="3"/>
        <v>19895.399999999907</v>
      </c>
      <c r="AE12" s="84">
        <f t="shared" si="10"/>
        <v>6633.4247909999694</v>
      </c>
      <c r="AF12" s="84">
        <v>33.1</v>
      </c>
      <c r="AG12" s="84">
        <v>22.6</v>
      </c>
      <c r="AH12" s="84">
        <v>10.7</v>
      </c>
      <c r="AI12" s="88">
        <f t="shared" si="15"/>
        <v>39196.400000000001</v>
      </c>
      <c r="AJ12" s="88">
        <v>39217.599999999999</v>
      </c>
      <c r="AK12" s="48">
        <f t="shared" si="7"/>
        <v>21.19999999999709</v>
      </c>
      <c r="AL12" s="90">
        <f t="shared" si="4"/>
        <v>6028.1168851071725</v>
      </c>
      <c r="AM12" s="84">
        <f t="shared" si="11"/>
        <v>2009.8645912480081</v>
      </c>
      <c r="AN12" s="71">
        <v>49</v>
      </c>
      <c r="AO12" s="78">
        <f t="shared" si="5"/>
        <v>17010.039830999667</v>
      </c>
    </row>
    <row r="13" spans="1:44" x14ac:dyDescent="0.25">
      <c r="A13" s="79">
        <v>44143</v>
      </c>
      <c r="B13" s="87">
        <v>4464</v>
      </c>
      <c r="C13" s="87">
        <v>3764</v>
      </c>
      <c r="D13" s="87">
        <v>746</v>
      </c>
      <c r="E13" s="87">
        <v>4425</v>
      </c>
      <c r="F13" s="87">
        <v>5437</v>
      </c>
      <c r="G13" s="87">
        <v>2841</v>
      </c>
      <c r="H13" s="87">
        <v>6914</v>
      </c>
      <c r="I13" s="87">
        <v>2414</v>
      </c>
      <c r="J13" s="87">
        <v>6860</v>
      </c>
      <c r="K13" s="87">
        <f t="shared" si="12"/>
        <v>28591</v>
      </c>
      <c r="L13" s="14">
        <f t="shared" si="8"/>
        <v>5718.2000000000007</v>
      </c>
      <c r="M13" s="84">
        <v>117.086</v>
      </c>
      <c r="N13" s="84">
        <v>1.0509999999999999</v>
      </c>
      <c r="O13" s="84">
        <v>7.4269999999999996</v>
      </c>
      <c r="P13" s="82">
        <v>45.396999999999998</v>
      </c>
      <c r="Q13" s="84">
        <v>7.6</v>
      </c>
      <c r="R13" s="84">
        <f t="shared" si="0"/>
        <v>53.875</v>
      </c>
      <c r="S13" s="84">
        <f t="shared" si="1"/>
        <v>422.38</v>
      </c>
      <c r="T13" s="84">
        <f t="shared" si="2"/>
        <v>124.68599999999999</v>
      </c>
      <c r="U13" s="84">
        <f t="shared" si="13"/>
        <v>977.53823999999997</v>
      </c>
      <c r="V13" s="84">
        <v>269.60000000000002</v>
      </c>
      <c r="W13" s="84">
        <v>0</v>
      </c>
      <c r="X13" s="87" t="s">
        <v>63</v>
      </c>
      <c r="Y13" s="88">
        <v>727156.7</v>
      </c>
      <c r="Z13" s="5">
        <f t="shared" si="9"/>
        <v>547.09999999997672</v>
      </c>
      <c r="AA13" s="14">
        <f t="shared" si="6"/>
        <v>3539.7369999998491</v>
      </c>
      <c r="AB13" s="88">
        <v>1599400.1</v>
      </c>
      <c r="AC13" s="88">
        <f t="shared" si="14"/>
        <v>1577814.2</v>
      </c>
      <c r="AD13" s="5">
        <f t="shared" si="3"/>
        <v>21585.90000000014</v>
      </c>
      <c r="AE13" s="84">
        <f t="shared" si="10"/>
        <v>7197.062848500047</v>
      </c>
      <c r="AF13" s="84">
        <v>35.6</v>
      </c>
      <c r="AG13" s="84">
        <v>25.2</v>
      </c>
      <c r="AH13" s="84">
        <v>10.7</v>
      </c>
      <c r="AI13" s="88">
        <f t="shared" si="15"/>
        <v>39217.599999999999</v>
      </c>
      <c r="AJ13" s="88">
        <v>39239.599999999999</v>
      </c>
      <c r="AK13" s="48">
        <f t="shared" si="7"/>
        <v>22</v>
      </c>
      <c r="AL13" s="90">
        <f t="shared" si="4"/>
        <v>6255.5929939799998</v>
      </c>
      <c r="AM13" s="84">
        <f t="shared" si="11"/>
        <v>2085.7085380878416</v>
      </c>
      <c r="AN13" s="71">
        <v>55</v>
      </c>
      <c r="AO13" s="78">
        <f t="shared" si="5"/>
        <v>17432.538088499896</v>
      </c>
    </row>
    <row r="14" spans="1:44" x14ac:dyDescent="0.25">
      <c r="A14" s="79">
        <v>44144</v>
      </c>
      <c r="B14" s="87">
        <v>4641</v>
      </c>
      <c r="C14" s="87">
        <v>3723</v>
      </c>
      <c r="D14" s="87">
        <v>813</v>
      </c>
      <c r="E14" s="87">
        <v>4470</v>
      </c>
      <c r="F14" s="87">
        <v>5566</v>
      </c>
      <c r="G14" s="87">
        <v>2932</v>
      </c>
      <c r="H14" s="87">
        <v>7456</v>
      </c>
      <c r="I14" s="87">
        <v>2424</v>
      </c>
      <c r="J14" s="87">
        <v>7124</v>
      </c>
      <c r="K14" s="87">
        <f t="shared" si="12"/>
        <v>29601</v>
      </c>
      <c r="L14" s="14">
        <f t="shared" si="8"/>
        <v>5920.2000000000007</v>
      </c>
      <c r="M14" s="84">
        <v>85.137</v>
      </c>
      <c r="N14" s="84">
        <v>0.67800000000000005</v>
      </c>
      <c r="O14" s="84">
        <v>7.601</v>
      </c>
      <c r="P14" s="82">
        <v>51.055999999999997</v>
      </c>
      <c r="Q14" s="84">
        <v>8.8070000000000004</v>
      </c>
      <c r="R14" s="84">
        <f>N14+O14+P14</f>
        <v>59.334999999999994</v>
      </c>
      <c r="S14" s="84">
        <f t="shared" si="1"/>
        <v>465.18639999999994</v>
      </c>
      <c r="T14" s="84">
        <f t="shared" si="2"/>
        <v>93.944000000000003</v>
      </c>
      <c r="U14" s="84">
        <f t="shared" si="13"/>
        <v>736.52096000000006</v>
      </c>
      <c r="V14" s="84">
        <v>274.39999999999998</v>
      </c>
      <c r="W14" s="84">
        <v>0</v>
      </c>
      <c r="X14" s="87" t="s">
        <v>63</v>
      </c>
      <c r="Y14" s="88">
        <v>727707.7</v>
      </c>
      <c r="Z14" s="5">
        <f>IF((Y14-Y13&lt;0), "0",Y14-Y13)</f>
        <v>551</v>
      </c>
      <c r="AA14" s="14">
        <f t="shared" si="6"/>
        <v>3564.97</v>
      </c>
      <c r="AB14" s="88">
        <v>1622280.4</v>
      </c>
      <c r="AC14" s="88">
        <f t="shared" si="14"/>
        <v>1599400.1</v>
      </c>
      <c r="AD14" s="5">
        <f t="shared" si="3"/>
        <v>22880.299999999814</v>
      </c>
      <c r="AE14" s="84">
        <f t="shared" si="10"/>
        <v>7628.635224499938</v>
      </c>
      <c r="AF14" s="84">
        <v>36.9</v>
      </c>
      <c r="AG14" s="84">
        <v>29.6</v>
      </c>
      <c r="AH14" s="84">
        <v>11.3</v>
      </c>
      <c r="AI14" s="88">
        <f t="shared" si="15"/>
        <v>39239.599999999999</v>
      </c>
      <c r="AJ14" s="88">
        <v>39263.199999999997</v>
      </c>
      <c r="AK14" s="48">
        <f t="shared" si="7"/>
        <v>23.599999999998545</v>
      </c>
      <c r="AL14" s="90">
        <f t="shared" si="4"/>
        <v>6710.5452117235855</v>
      </c>
      <c r="AM14" s="84">
        <f t="shared" si="11"/>
        <v>2237.3964317668192</v>
      </c>
      <c r="AN14" s="71">
        <v>50</v>
      </c>
      <c r="AO14" s="78">
        <f t="shared" si="5"/>
        <v>17850.326184499936</v>
      </c>
    </row>
    <row r="15" spans="1:44" x14ac:dyDescent="0.25">
      <c r="A15" s="79">
        <v>44145</v>
      </c>
      <c r="B15" s="87">
        <v>4545</v>
      </c>
      <c r="C15" s="87">
        <v>3602</v>
      </c>
      <c r="D15" s="87">
        <v>853</v>
      </c>
      <c r="E15" s="87">
        <v>4386</v>
      </c>
      <c r="F15" s="87">
        <v>5418</v>
      </c>
      <c r="G15" s="87">
        <v>2873</v>
      </c>
      <c r="H15" s="87">
        <v>7336</v>
      </c>
      <c r="I15" s="87">
        <v>2374</v>
      </c>
      <c r="J15" s="87">
        <v>7055</v>
      </c>
      <c r="K15" s="87">
        <f t="shared" si="12"/>
        <v>29013</v>
      </c>
      <c r="L15" s="14">
        <f t="shared" si="8"/>
        <v>5802.6</v>
      </c>
      <c r="M15" s="84">
        <v>137.72900000000001</v>
      </c>
      <c r="N15" s="84">
        <v>0.64700000000000002</v>
      </c>
      <c r="O15" s="84">
        <v>7.7220000000000004</v>
      </c>
      <c r="P15" s="82">
        <v>60.451999999999998</v>
      </c>
      <c r="Q15" s="84">
        <v>10.782999999999999</v>
      </c>
      <c r="R15" s="84">
        <f t="shared" si="0"/>
        <v>68.820999999999998</v>
      </c>
      <c r="S15" s="84">
        <f t="shared" si="1"/>
        <v>539.55664000000002</v>
      </c>
      <c r="T15" s="84">
        <f t="shared" si="2"/>
        <v>148.512</v>
      </c>
      <c r="U15" s="84">
        <f t="shared" si="13"/>
        <v>1164.3340800000001</v>
      </c>
      <c r="V15" s="84">
        <v>265</v>
      </c>
      <c r="W15" s="84">
        <v>0</v>
      </c>
      <c r="X15" s="87" t="s">
        <v>63</v>
      </c>
      <c r="Y15" s="88">
        <v>728248.8</v>
      </c>
      <c r="Z15" s="5">
        <f t="shared" si="9"/>
        <v>541.10000000009313</v>
      </c>
      <c r="AA15" s="14">
        <f t="shared" si="6"/>
        <v>3500.9170000006025</v>
      </c>
      <c r="AB15" s="88">
        <v>1644823.1</v>
      </c>
      <c r="AC15" s="88">
        <f t="shared" si="14"/>
        <v>1622280.4</v>
      </c>
      <c r="AD15" s="5">
        <f t="shared" si="3"/>
        <v>22542.700000000186</v>
      </c>
      <c r="AE15" s="84">
        <f t="shared" si="10"/>
        <v>7516.0743205000626</v>
      </c>
      <c r="AF15" s="84">
        <v>36.1</v>
      </c>
      <c r="AG15" s="84">
        <v>28.2</v>
      </c>
      <c r="AH15" s="84">
        <v>11.1</v>
      </c>
      <c r="AI15" s="88">
        <f t="shared" si="15"/>
        <v>39263.199999999997</v>
      </c>
      <c r="AJ15" s="88">
        <v>39286.1</v>
      </c>
      <c r="AK15" s="48">
        <f t="shared" si="7"/>
        <v>22.900000000001455</v>
      </c>
      <c r="AL15" s="90">
        <f t="shared" si="4"/>
        <v>6511.503616461413</v>
      </c>
      <c r="AM15" s="84">
        <f t="shared" si="11"/>
        <v>2171.032978282482</v>
      </c>
      <c r="AN15" s="71">
        <v>63</v>
      </c>
      <c r="AO15" s="89">
        <f t="shared" si="5"/>
        <v>17983.925400500666</v>
      </c>
    </row>
    <row r="16" spans="1:44" x14ac:dyDescent="0.25">
      <c r="A16" s="79">
        <v>44146</v>
      </c>
      <c r="B16" s="87">
        <v>4790</v>
      </c>
      <c r="C16" s="87">
        <v>3756</v>
      </c>
      <c r="D16" s="87">
        <v>807</v>
      </c>
      <c r="E16" s="87">
        <v>4458</v>
      </c>
      <c r="F16" s="87">
        <v>5567</v>
      </c>
      <c r="G16" s="87">
        <v>2843</v>
      </c>
      <c r="H16" s="87">
        <v>7522</v>
      </c>
      <c r="I16" s="87">
        <v>2436</v>
      </c>
      <c r="J16" s="87">
        <v>7252</v>
      </c>
      <c r="K16" s="87">
        <f t="shared" si="12"/>
        <v>29743</v>
      </c>
      <c r="L16" s="14">
        <f t="shared" si="8"/>
        <v>5948.6</v>
      </c>
      <c r="M16" s="84">
        <v>87.614999999999995</v>
      </c>
      <c r="N16" s="84">
        <v>0.95</v>
      </c>
      <c r="O16" s="84">
        <v>15.065</v>
      </c>
      <c r="P16" s="82">
        <v>66.519000000000005</v>
      </c>
      <c r="Q16" s="84">
        <v>10.769</v>
      </c>
      <c r="R16" s="84">
        <f t="shared" si="0"/>
        <v>82.534000000000006</v>
      </c>
      <c r="S16" s="84">
        <f t="shared" si="1"/>
        <v>647.06655999999998</v>
      </c>
      <c r="T16" s="84">
        <f t="shared" si="2"/>
        <v>98.384</v>
      </c>
      <c r="U16" s="84">
        <f t="shared" si="13"/>
        <v>771.33055999999999</v>
      </c>
      <c r="V16" s="84">
        <v>276.10000000000002</v>
      </c>
      <c r="W16" s="84">
        <v>0</v>
      </c>
      <c r="X16" s="87" t="s">
        <v>63</v>
      </c>
      <c r="Y16" s="88">
        <v>728793.7</v>
      </c>
      <c r="Z16" s="5">
        <f t="shared" si="9"/>
        <v>544.89999999990687</v>
      </c>
      <c r="AA16" s="14">
        <f t="shared" si="6"/>
        <v>3525.5029999993972</v>
      </c>
      <c r="AB16" s="88">
        <v>1668346.2</v>
      </c>
      <c r="AC16" s="88">
        <f t="shared" si="14"/>
        <v>1644823.1</v>
      </c>
      <c r="AD16" s="5">
        <f t="shared" si="3"/>
        <v>23523.09999999986</v>
      </c>
      <c r="AE16" s="84">
        <f t="shared" si="10"/>
        <v>7842.9543864999541</v>
      </c>
      <c r="AF16" s="84">
        <v>38.700000000000003</v>
      </c>
      <c r="AG16" s="84">
        <v>29</v>
      </c>
      <c r="AH16" s="84">
        <v>10.9</v>
      </c>
      <c r="AI16" s="88">
        <f t="shared" si="15"/>
        <v>39286.1</v>
      </c>
      <c r="AJ16" s="88">
        <v>39310.9</v>
      </c>
      <c r="AK16" s="48">
        <f t="shared" si="7"/>
        <v>24.80000000000291</v>
      </c>
      <c r="AL16" s="90">
        <f t="shared" si="4"/>
        <v>7051.7593750328269</v>
      </c>
      <c r="AM16" s="84">
        <f t="shared" si="11"/>
        <v>2351.1623520265703</v>
      </c>
      <c r="AN16" s="71">
        <v>60</v>
      </c>
      <c r="AO16" s="78">
        <f t="shared" si="5"/>
        <v>18088.387946499352</v>
      </c>
    </row>
    <row r="17" spans="1:41" x14ac:dyDescent="0.25">
      <c r="A17" s="79">
        <v>44147</v>
      </c>
      <c r="B17" s="87">
        <v>4856</v>
      </c>
      <c r="C17" s="87">
        <v>3833</v>
      </c>
      <c r="D17" s="87">
        <v>837</v>
      </c>
      <c r="E17" s="87">
        <v>4490</v>
      </c>
      <c r="F17" s="87">
        <v>5666</v>
      </c>
      <c r="G17" s="87">
        <v>2828</v>
      </c>
      <c r="H17" s="87">
        <v>6686</v>
      </c>
      <c r="I17" s="87">
        <v>2472</v>
      </c>
      <c r="J17" s="87">
        <v>7223</v>
      </c>
      <c r="K17" s="87">
        <f t="shared" si="12"/>
        <v>29196</v>
      </c>
      <c r="L17" s="14">
        <f t="shared" si="8"/>
        <v>5839.2000000000007</v>
      </c>
      <c r="M17" s="84">
        <v>115.2</v>
      </c>
      <c r="N17" s="84">
        <v>1.4910000000000001</v>
      </c>
      <c r="O17" s="84">
        <v>7.6269999999999998</v>
      </c>
      <c r="P17" s="82">
        <v>62.021000000000001</v>
      </c>
      <c r="Q17" s="84">
        <v>12.422000000000001</v>
      </c>
      <c r="R17" s="84">
        <f t="shared" si="0"/>
        <v>71.138999999999996</v>
      </c>
      <c r="S17" s="84">
        <f t="shared" si="1"/>
        <v>557.72975999999994</v>
      </c>
      <c r="T17" s="84">
        <f t="shared" si="2"/>
        <v>127.622</v>
      </c>
      <c r="U17" s="84">
        <f t="shared" si="13"/>
        <v>1000.55648</v>
      </c>
      <c r="V17" s="84">
        <v>270.7</v>
      </c>
      <c r="W17" s="84">
        <f>129273.86-129269.65</f>
        <v>4.2100000000064028</v>
      </c>
      <c r="X17" s="87" t="s">
        <v>63</v>
      </c>
      <c r="Y17" s="88">
        <v>729354.5</v>
      </c>
      <c r="Z17" s="5">
        <f t="shared" si="9"/>
        <v>560.80000000004657</v>
      </c>
      <c r="AA17" s="14">
        <f t="shared" si="6"/>
        <v>3628.3760000003012</v>
      </c>
      <c r="AB17" s="88">
        <v>1690796.1</v>
      </c>
      <c r="AC17" s="88">
        <f t="shared" si="14"/>
        <v>1668346.2</v>
      </c>
      <c r="AD17" s="5">
        <f t="shared" si="3"/>
        <v>22449.90000000014</v>
      </c>
      <c r="AE17" s="84">
        <f t="shared" si="10"/>
        <v>7485.1334085000472</v>
      </c>
      <c r="AF17" s="84">
        <v>37.5</v>
      </c>
      <c r="AG17" s="84">
        <v>26.4</v>
      </c>
      <c r="AH17" s="84">
        <v>11.2</v>
      </c>
      <c r="AI17" s="88">
        <f t="shared" si="15"/>
        <v>39310.9</v>
      </c>
      <c r="AJ17" s="88">
        <v>39334.400000000001</v>
      </c>
      <c r="AK17" s="48">
        <f t="shared" si="7"/>
        <v>23.5</v>
      </c>
      <c r="AL17" s="90">
        <f t="shared" si="4"/>
        <v>6682.1106981149996</v>
      </c>
      <c r="AM17" s="84">
        <f t="shared" si="11"/>
        <v>2227.9159384120126</v>
      </c>
      <c r="AN17" s="71">
        <v>58</v>
      </c>
      <c r="AO17" s="78">
        <f t="shared" si="5"/>
        <v>17953.265888500348</v>
      </c>
    </row>
    <row r="18" spans="1:41" x14ac:dyDescent="0.25">
      <c r="A18" s="79">
        <v>44148</v>
      </c>
      <c r="B18" s="87">
        <v>4931</v>
      </c>
      <c r="C18" s="87">
        <v>3645</v>
      </c>
      <c r="D18" s="87">
        <v>820</v>
      </c>
      <c r="E18" s="87">
        <v>4545</v>
      </c>
      <c r="F18" s="87">
        <v>5864</v>
      </c>
      <c r="G18" s="87">
        <v>2758</v>
      </c>
      <c r="H18" s="87">
        <v>5759</v>
      </c>
      <c r="I18" s="87">
        <v>2448</v>
      </c>
      <c r="J18" s="87">
        <v>7304</v>
      </c>
      <c r="K18" s="87">
        <f t="shared" si="12"/>
        <v>28322</v>
      </c>
      <c r="L18" s="14">
        <f t="shared" si="8"/>
        <v>5664.4000000000005</v>
      </c>
      <c r="M18" s="84">
        <v>142.852</v>
      </c>
      <c r="N18" s="84">
        <v>0.68</v>
      </c>
      <c r="O18" s="84">
        <v>6.0460000000000003</v>
      </c>
      <c r="P18" s="82">
        <v>73.373999999999995</v>
      </c>
      <c r="Q18" s="84">
        <v>8.391</v>
      </c>
      <c r="R18" s="84">
        <f t="shared" si="0"/>
        <v>80.099999999999994</v>
      </c>
      <c r="S18" s="84">
        <f t="shared" si="1"/>
        <v>627.98399999999992</v>
      </c>
      <c r="T18" s="84">
        <f t="shared" si="2"/>
        <v>151.24299999999999</v>
      </c>
      <c r="U18" s="84">
        <f t="shared" si="13"/>
        <v>1185.74512</v>
      </c>
      <c r="V18" s="84">
        <v>295.89999999999998</v>
      </c>
      <c r="W18" s="84">
        <f>129273.86-129273.86</f>
        <v>0</v>
      </c>
      <c r="X18" s="87" t="s">
        <v>63</v>
      </c>
      <c r="Y18" s="88">
        <v>729959.1</v>
      </c>
      <c r="Z18" s="5">
        <f t="shared" si="9"/>
        <v>604.59999999997672</v>
      </c>
      <c r="AA18" s="14">
        <f t="shared" si="6"/>
        <v>3911.7619999998492</v>
      </c>
      <c r="AB18" s="88">
        <v>1711521</v>
      </c>
      <c r="AC18" s="88">
        <f t="shared" si="14"/>
        <v>1690796.1</v>
      </c>
      <c r="AD18" s="5">
        <f t="shared" si="3"/>
        <v>20724.899999999907</v>
      </c>
      <c r="AE18" s="84">
        <f t="shared" si="10"/>
        <v>6909.9925334999689</v>
      </c>
      <c r="AF18" s="82">
        <v>35.200000000000003</v>
      </c>
      <c r="AG18" s="82">
        <v>22.3</v>
      </c>
      <c r="AH18" s="82">
        <v>11.3</v>
      </c>
      <c r="AI18" s="88">
        <f t="shared" si="15"/>
        <v>39334.400000000001</v>
      </c>
      <c r="AJ18" s="88">
        <v>39356.699999999997</v>
      </c>
      <c r="AK18" s="48">
        <f t="shared" si="7"/>
        <v>22.299999999995634</v>
      </c>
      <c r="AL18" s="90">
        <f t="shared" si="4"/>
        <v>6340.8965348057582</v>
      </c>
      <c r="AM18" s="84">
        <f t="shared" si="11"/>
        <v>2114.150018152262</v>
      </c>
      <c r="AN18" s="71">
        <v>57</v>
      </c>
      <c r="AO18" s="78">
        <f t="shared" si="5"/>
        <v>17671.899653499819</v>
      </c>
    </row>
    <row r="19" spans="1:41" x14ac:dyDescent="0.25">
      <c r="A19" s="79">
        <v>44149</v>
      </c>
      <c r="B19" s="87">
        <v>4633</v>
      </c>
      <c r="C19" s="87">
        <v>3404</v>
      </c>
      <c r="D19" s="87">
        <v>788</v>
      </c>
      <c r="E19" s="87">
        <v>5920</v>
      </c>
      <c r="F19" s="87">
        <v>5386</v>
      </c>
      <c r="G19" s="87">
        <v>2781</v>
      </c>
      <c r="H19" s="87">
        <v>6183</v>
      </c>
      <c r="I19" s="87">
        <v>2446</v>
      </c>
      <c r="J19" s="87">
        <v>6954</v>
      </c>
      <c r="K19" s="87">
        <f t="shared" si="12"/>
        <v>29095</v>
      </c>
      <c r="L19" s="14">
        <f t="shared" si="8"/>
        <v>5819</v>
      </c>
      <c r="M19" s="84">
        <v>98.221000000000004</v>
      </c>
      <c r="N19" s="84">
        <v>1.8879999999999999</v>
      </c>
      <c r="O19" s="84">
        <v>18.75</v>
      </c>
      <c r="P19" s="82">
        <v>70.445999999999998</v>
      </c>
      <c r="Q19" s="84">
        <v>6.3979999999999997</v>
      </c>
      <c r="R19" s="84">
        <f t="shared" si="0"/>
        <v>91.084000000000003</v>
      </c>
      <c r="S19" s="84">
        <f t="shared" si="1"/>
        <v>714.09856000000002</v>
      </c>
      <c r="T19" s="84">
        <f t="shared" si="2"/>
        <v>104.619</v>
      </c>
      <c r="U19" s="84">
        <f t="shared" si="13"/>
        <v>820.21295999999995</v>
      </c>
      <c r="V19" s="84">
        <f>309753.4-309732.4</f>
        <v>21</v>
      </c>
      <c r="W19" s="84">
        <f t="shared" ref="W19" si="16">129273.86-129273.86</f>
        <v>0</v>
      </c>
      <c r="X19" s="87" t="s">
        <v>63</v>
      </c>
      <c r="Y19" s="88">
        <v>730265.1</v>
      </c>
      <c r="Z19" s="5">
        <f t="shared" si="9"/>
        <v>306</v>
      </c>
      <c r="AA19" s="14">
        <f t="shared" si="6"/>
        <v>1979.82</v>
      </c>
      <c r="AB19" s="88">
        <v>1730224.9</v>
      </c>
      <c r="AC19" s="88">
        <f t="shared" si="14"/>
        <v>1711521</v>
      </c>
      <c r="AD19" s="5">
        <f t="shared" si="3"/>
        <v>18703.899999999907</v>
      </c>
      <c r="AE19" s="84">
        <f t="shared" si="10"/>
        <v>6236.1608184999695</v>
      </c>
      <c r="AF19" s="84">
        <v>31</v>
      </c>
      <c r="AG19" s="84">
        <v>19.5</v>
      </c>
      <c r="AH19" s="84">
        <v>10.6</v>
      </c>
      <c r="AI19" s="88">
        <f t="shared" si="15"/>
        <v>39356.699999999997</v>
      </c>
      <c r="AJ19" s="88">
        <v>39377.699999999997</v>
      </c>
      <c r="AK19" s="48">
        <f t="shared" si="7"/>
        <v>21</v>
      </c>
      <c r="AL19" s="90">
        <f t="shared" si="4"/>
        <v>5971.24785789</v>
      </c>
      <c r="AM19" s="84">
        <f t="shared" si="11"/>
        <v>1990.9036045383943</v>
      </c>
      <c r="AN19" s="71">
        <v>45</v>
      </c>
      <c r="AO19" s="78">
        <f t="shared" si="5"/>
        <v>14855.19377849997</v>
      </c>
    </row>
    <row r="20" spans="1:41" x14ac:dyDescent="0.25">
      <c r="A20" s="79">
        <v>44150</v>
      </c>
      <c r="B20" s="87">
        <v>5269</v>
      </c>
      <c r="C20" s="87">
        <v>3446</v>
      </c>
      <c r="D20" s="87">
        <v>787</v>
      </c>
      <c r="E20" s="87">
        <v>6344</v>
      </c>
      <c r="F20" s="87">
        <v>5487</v>
      </c>
      <c r="G20" s="87">
        <v>2733</v>
      </c>
      <c r="H20" s="87">
        <v>5386</v>
      </c>
      <c r="I20" s="87">
        <v>2442</v>
      </c>
      <c r="J20" s="87">
        <v>6938</v>
      </c>
      <c r="K20" s="87">
        <f t="shared" si="12"/>
        <v>29452</v>
      </c>
      <c r="L20" s="14">
        <f t="shared" si="8"/>
        <v>5890.4000000000005</v>
      </c>
      <c r="M20" s="84">
        <f>49436.741-49325.222</f>
        <v>111.51900000000023</v>
      </c>
      <c r="N20" s="84">
        <v>2.1389999999999998</v>
      </c>
      <c r="O20" s="84">
        <v>9.3010000000000002</v>
      </c>
      <c r="P20" s="82">
        <f>74635.39-74572.508</f>
        <v>62.881999999997788</v>
      </c>
      <c r="Q20" s="84">
        <f>21640.877-21634.615</f>
        <v>6.2619999999988067</v>
      </c>
      <c r="R20" s="84">
        <f t="shared" si="0"/>
        <v>74.321999999997786</v>
      </c>
      <c r="S20" s="84">
        <f t="shared" si="1"/>
        <v>582.68447999998261</v>
      </c>
      <c r="T20" s="84">
        <f t="shared" si="2"/>
        <v>117.78099999999904</v>
      </c>
      <c r="U20" s="84">
        <f t="shared" si="13"/>
        <v>923.40303999999242</v>
      </c>
      <c r="V20" s="84">
        <v>18</v>
      </c>
      <c r="W20" s="84">
        <f>129273.89-129273.86</f>
        <v>2.9999999998835847E-2</v>
      </c>
      <c r="X20" s="87" t="s">
        <v>63</v>
      </c>
      <c r="Y20" s="88">
        <v>730579</v>
      </c>
      <c r="Z20" s="5">
        <f t="shared" si="9"/>
        <v>313.90000000002328</v>
      </c>
      <c r="AA20" s="14">
        <f t="shared" si="6"/>
        <v>2030.9330000001505</v>
      </c>
      <c r="AB20" s="88">
        <v>1746854</v>
      </c>
      <c r="AC20" s="88">
        <f t="shared" si="14"/>
        <v>1730224.9</v>
      </c>
      <c r="AD20" s="5">
        <f t="shared" si="3"/>
        <v>16629.100000000093</v>
      </c>
      <c r="AE20" s="84">
        <f t="shared" si="10"/>
        <v>5544.3913765000316</v>
      </c>
      <c r="AF20" s="84">
        <v>28.4</v>
      </c>
      <c r="AG20" s="84">
        <v>15.8</v>
      </c>
      <c r="AH20" s="84">
        <v>10.6</v>
      </c>
      <c r="AI20" s="88">
        <f t="shared" si="15"/>
        <v>39377.699999999997</v>
      </c>
      <c r="AJ20" s="88">
        <v>39395.800000000003</v>
      </c>
      <c r="AK20" s="48">
        <f t="shared" si="7"/>
        <v>18.100000000005821</v>
      </c>
      <c r="AL20" s="90">
        <f t="shared" si="4"/>
        <v>5146.6469632306544</v>
      </c>
      <c r="AM20" s="84">
        <f t="shared" si="11"/>
        <v>1715.9692972455487</v>
      </c>
      <c r="AN20" s="71">
        <v>64</v>
      </c>
      <c r="AO20" s="78">
        <f t="shared" si="5"/>
        <v>14389.127416500174</v>
      </c>
    </row>
    <row r="21" spans="1:41" x14ac:dyDescent="0.25">
      <c r="A21" s="79">
        <v>44151</v>
      </c>
      <c r="B21" s="87">
        <v>5184</v>
      </c>
      <c r="C21" s="87">
        <v>3444</v>
      </c>
      <c r="D21" s="87">
        <v>784</v>
      </c>
      <c r="E21" s="87">
        <v>6108</v>
      </c>
      <c r="F21" s="87">
        <v>5438</v>
      </c>
      <c r="G21" s="87">
        <v>2709</v>
      </c>
      <c r="H21" s="87">
        <v>6717</v>
      </c>
      <c r="I21" s="87">
        <v>2362</v>
      </c>
      <c r="J21" s="87">
        <v>6844</v>
      </c>
      <c r="K21" s="87">
        <f t="shared" si="12"/>
        <v>30384</v>
      </c>
      <c r="L21" s="14">
        <f t="shared" si="8"/>
        <v>6076.8</v>
      </c>
      <c r="M21" s="84">
        <f>49541.993-49436.741</f>
        <v>105.25200000000041</v>
      </c>
      <c r="N21" s="84">
        <v>1.137</v>
      </c>
      <c r="O21" s="84">
        <v>0.53400000000000003</v>
      </c>
      <c r="P21" s="82">
        <v>56.014000000000003</v>
      </c>
      <c r="Q21" s="84">
        <v>5.9359999999999999</v>
      </c>
      <c r="R21" s="84">
        <f t="shared" si="0"/>
        <v>57.685000000000002</v>
      </c>
      <c r="S21" s="84">
        <f t="shared" si="1"/>
        <v>452.25040000000001</v>
      </c>
      <c r="T21" s="84">
        <f t="shared" si="2"/>
        <v>111.18800000000041</v>
      </c>
      <c r="U21" s="84">
        <f t="shared" si="13"/>
        <v>871.71392000000321</v>
      </c>
      <c r="V21" s="84">
        <v>15</v>
      </c>
      <c r="W21" s="84">
        <f>129281.27-129273.89</f>
        <v>7.3800000000046566</v>
      </c>
      <c r="X21" s="87" t="s">
        <v>63</v>
      </c>
      <c r="Y21" s="88">
        <v>730888.2</v>
      </c>
      <c r="Z21" s="5">
        <f t="shared" si="9"/>
        <v>309.19999999995343</v>
      </c>
      <c r="AA21" s="14">
        <f t="shared" si="6"/>
        <v>2000.5239999996986</v>
      </c>
      <c r="AB21" s="88">
        <v>1764867</v>
      </c>
      <c r="AC21" s="88">
        <f t="shared" si="14"/>
        <v>1746854</v>
      </c>
      <c r="AD21" s="5">
        <f t="shared" si="3"/>
        <v>18013</v>
      </c>
      <c r="AE21" s="84">
        <f t="shared" si="10"/>
        <v>6005.8043950000001</v>
      </c>
      <c r="AF21" s="84">
        <v>30</v>
      </c>
      <c r="AG21" s="84">
        <v>22</v>
      </c>
      <c r="AH21" s="84">
        <v>9.8000000000000007</v>
      </c>
      <c r="AI21" s="88">
        <f t="shared" si="15"/>
        <v>39395.800000000003</v>
      </c>
      <c r="AJ21" s="88">
        <v>39414.9</v>
      </c>
      <c r="AK21" s="48">
        <f t="shared" si="7"/>
        <v>19.099999999998545</v>
      </c>
      <c r="AL21" s="90">
        <f t="shared" si="4"/>
        <v>5430.992099318586</v>
      </c>
      <c r="AM21" s="84">
        <f t="shared" si="11"/>
        <v>1810.7742307943065</v>
      </c>
      <c r="AN21" s="71">
        <v>81</v>
      </c>
      <c r="AO21" s="78">
        <f t="shared" si="5"/>
        <v>14954.842314999703</v>
      </c>
    </row>
    <row r="22" spans="1:41" x14ac:dyDescent="0.25">
      <c r="A22" s="79">
        <v>44152</v>
      </c>
      <c r="B22" s="87">
        <v>4796</v>
      </c>
      <c r="C22" s="87">
        <v>3409</v>
      </c>
      <c r="D22" s="87">
        <v>832</v>
      </c>
      <c r="E22" s="87">
        <v>6560</v>
      </c>
      <c r="F22" s="87">
        <v>5617</v>
      </c>
      <c r="G22" s="87">
        <v>2909</v>
      </c>
      <c r="H22" s="87">
        <v>7191</v>
      </c>
      <c r="I22" s="87">
        <v>2430</v>
      </c>
      <c r="J22" s="87">
        <v>7147</v>
      </c>
      <c r="K22" s="87">
        <f t="shared" si="12"/>
        <v>31314</v>
      </c>
      <c r="L22" s="14">
        <f t="shared" si="8"/>
        <v>6262.8</v>
      </c>
      <c r="M22" s="84">
        <f>49662.168-49541.993</f>
        <v>120.17499999999563</v>
      </c>
      <c r="N22" s="84">
        <v>1.149</v>
      </c>
      <c r="O22" s="84">
        <v>0.70599999999999996</v>
      </c>
      <c r="P22" s="82">
        <v>62.75</v>
      </c>
      <c r="Q22" s="84">
        <v>6.0940000000000003</v>
      </c>
      <c r="R22" s="84">
        <f t="shared" si="0"/>
        <v>64.605000000000004</v>
      </c>
      <c r="S22" s="84">
        <f t="shared" si="1"/>
        <v>506.50320000000005</v>
      </c>
      <c r="T22" s="84">
        <f t="shared" si="2"/>
        <v>126.26899999999563</v>
      </c>
      <c r="U22" s="84">
        <f t="shared" si="13"/>
        <v>989.94895999996572</v>
      </c>
      <c r="V22" s="84">
        <v>14.7</v>
      </c>
      <c r="W22" s="84">
        <f>129281.27-129281.27</f>
        <v>0</v>
      </c>
      <c r="X22" s="87" t="s">
        <v>63</v>
      </c>
      <c r="Y22" s="88">
        <v>731217.2</v>
      </c>
      <c r="Z22" s="5">
        <f t="shared" si="9"/>
        <v>329</v>
      </c>
      <c r="AA22" s="14">
        <f t="shared" si="6"/>
        <v>2128.63</v>
      </c>
      <c r="AB22" s="88">
        <v>1784012.3</v>
      </c>
      <c r="AC22" s="88">
        <f t="shared" si="14"/>
        <v>1764867</v>
      </c>
      <c r="AD22" s="5">
        <f t="shared" si="3"/>
        <v>19145.300000000047</v>
      </c>
      <c r="AE22" s="84">
        <f t="shared" si="10"/>
        <v>6383.3301995000156</v>
      </c>
      <c r="AF22" s="84">
        <v>30.9</v>
      </c>
      <c r="AG22" s="84">
        <v>23.7</v>
      </c>
      <c r="AH22" s="84">
        <v>10.4</v>
      </c>
      <c r="AI22" s="88">
        <f t="shared" si="15"/>
        <v>39414.9</v>
      </c>
      <c r="AJ22" s="88">
        <v>39435.800000000003</v>
      </c>
      <c r="AK22" s="48">
        <f t="shared" si="7"/>
        <v>20.900000000001455</v>
      </c>
      <c r="AL22" s="90">
        <f t="shared" si="4"/>
        <v>5942.8133442814133</v>
      </c>
      <c r="AM22" s="84">
        <f t="shared" si="11"/>
        <v>1981.4231111835875</v>
      </c>
      <c r="AN22" s="71">
        <v>114</v>
      </c>
      <c r="AO22" s="78">
        <f t="shared" si="5"/>
        <v>15764.70915949998</v>
      </c>
    </row>
    <row r="23" spans="1:41" x14ac:dyDescent="0.25">
      <c r="A23" s="79">
        <v>44153</v>
      </c>
      <c r="B23" s="87">
        <v>4714</v>
      </c>
      <c r="C23" s="87">
        <v>3330</v>
      </c>
      <c r="D23" s="87">
        <v>824</v>
      </c>
      <c r="E23" s="87">
        <v>5625</v>
      </c>
      <c r="F23" s="87">
        <v>5797</v>
      </c>
      <c r="G23" s="87">
        <v>3041</v>
      </c>
      <c r="H23" s="87">
        <v>7967</v>
      </c>
      <c r="I23" s="87">
        <v>2524</v>
      </c>
      <c r="J23" s="87">
        <v>7207</v>
      </c>
      <c r="K23" s="87">
        <f t="shared" si="12"/>
        <v>31298</v>
      </c>
      <c r="L23" s="14">
        <f t="shared" si="8"/>
        <v>6259.6</v>
      </c>
      <c r="M23" s="84">
        <v>131.79300000000001</v>
      </c>
      <c r="N23" s="84">
        <v>2.4060000000000001</v>
      </c>
      <c r="O23" s="84">
        <f>9221.897-9220.576</f>
        <v>1.3210000000017317</v>
      </c>
      <c r="P23" s="82">
        <v>62.423000000000002</v>
      </c>
      <c r="Q23" s="84">
        <v>5.82</v>
      </c>
      <c r="R23" s="84">
        <f t="shared" si="0"/>
        <v>66.150000000001739</v>
      </c>
      <c r="S23" s="84">
        <f t="shared" si="1"/>
        <v>518.61600000001363</v>
      </c>
      <c r="T23" s="84">
        <f t="shared" si="2"/>
        <v>137.613</v>
      </c>
      <c r="U23" s="84">
        <f t="shared" si="13"/>
        <v>1078.8859199999999</v>
      </c>
      <c r="V23" s="84">
        <v>246.6</v>
      </c>
      <c r="W23" s="84">
        <f>129287.44-129281.27</f>
        <v>6.1699999999982538</v>
      </c>
      <c r="X23" s="87" t="s">
        <v>63</v>
      </c>
      <c r="Y23" s="88">
        <v>731744.9</v>
      </c>
      <c r="Z23" s="5">
        <f t="shared" si="9"/>
        <v>527.70000000006985</v>
      </c>
      <c r="AA23" s="14">
        <f t="shared" si="6"/>
        <v>3414.2190000004516</v>
      </c>
      <c r="AB23" s="88">
        <v>1805210.3</v>
      </c>
      <c r="AC23" s="88">
        <f t="shared" si="14"/>
        <v>1784012.3</v>
      </c>
      <c r="AD23" s="5">
        <f t="shared" si="3"/>
        <v>21198</v>
      </c>
      <c r="AE23" s="84">
        <f t="shared" si="10"/>
        <v>7067.73117</v>
      </c>
      <c r="AF23" s="84">
        <v>34.299999999999997</v>
      </c>
      <c r="AG23" s="84">
        <v>28.9</v>
      </c>
      <c r="AH23" s="84">
        <v>10</v>
      </c>
      <c r="AI23" s="88">
        <f t="shared" si="15"/>
        <v>39435.800000000003</v>
      </c>
      <c r="AJ23" s="88">
        <v>39458.400000000001</v>
      </c>
      <c r="AK23" s="48">
        <f t="shared" si="7"/>
        <v>22.599999999998545</v>
      </c>
      <c r="AL23" s="90">
        <f t="shared" si="4"/>
        <v>6426.2000756335856</v>
      </c>
      <c r="AM23" s="84">
        <f t="shared" si="11"/>
        <v>2142.5914982173722</v>
      </c>
      <c r="AN23" s="71">
        <v>109</v>
      </c>
      <c r="AO23" s="78">
        <f t="shared" si="5"/>
        <v>17820.43609000045</v>
      </c>
    </row>
    <row r="24" spans="1:41" x14ac:dyDescent="0.25">
      <c r="A24" s="79">
        <v>44154</v>
      </c>
      <c r="B24" s="87">
        <v>5371</v>
      </c>
      <c r="C24" s="87">
        <v>3440</v>
      </c>
      <c r="D24" s="87">
        <v>846</v>
      </c>
      <c r="E24" s="87">
        <v>4794</v>
      </c>
      <c r="F24" s="87">
        <v>5592</v>
      </c>
      <c r="G24" s="87">
        <v>2884</v>
      </c>
      <c r="H24" s="87">
        <v>5728</v>
      </c>
      <c r="I24" s="87">
        <v>2439</v>
      </c>
      <c r="J24" s="87">
        <v>7193</v>
      </c>
      <c r="K24" s="87">
        <f t="shared" si="12"/>
        <v>28655</v>
      </c>
      <c r="L24" s="14">
        <f t="shared" si="8"/>
        <v>5731</v>
      </c>
      <c r="M24" s="84">
        <f>49921.722-49793.961</f>
        <v>127.7609999999986</v>
      </c>
      <c r="N24" s="84">
        <f>3879.199-3877.607</f>
        <v>1.5920000000000982</v>
      </c>
      <c r="O24" s="84">
        <f>9222.48-9221.897</f>
        <v>0.58299999999871943</v>
      </c>
      <c r="P24" s="82">
        <f>74884.52-74816.577</f>
        <v>67.942999999999302</v>
      </c>
      <c r="Q24" s="84">
        <f>21664.555-21658.727</f>
        <v>5.8280000000013388</v>
      </c>
      <c r="R24" s="84">
        <f t="shared" si="0"/>
        <v>70.117999999998119</v>
      </c>
      <c r="S24" s="84">
        <f t="shared" si="1"/>
        <v>549.72511999998528</v>
      </c>
      <c r="T24" s="84">
        <f t="shared" si="2"/>
        <v>133.58899999999994</v>
      </c>
      <c r="U24" s="84">
        <f t="shared" si="13"/>
        <v>1047.3377599999994</v>
      </c>
      <c r="V24" s="84">
        <v>297.39999999999998</v>
      </c>
      <c r="W24" s="84">
        <f>129287.44-129287.44</f>
        <v>0</v>
      </c>
      <c r="X24" s="87" t="s">
        <v>63</v>
      </c>
      <c r="Y24" s="88">
        <v>732343</v>
      </c>
      <c r="Z24" s="5">
        <f t="shared" si="9"/>
        <v>598.09999999997672</v>
      </c>
      <c r="AA24" s="14">
        <f t="shared" si="6"/>
        <v>3869.7069999998494</v>
      </c>
      <c r="AB24" s="88">
        <v>1823729.8</v>
      </c>
      <c r="AC24" s="88">
        <f t="shared" si="14"/>
        <v>1805210.3</v>
      </c>
      <c r="AD24" s="5">
        <f t="shared" si="3"/>
        <v>18519.5</v>
      </c>
      <c r="AE24" s="84">
        <f t="shared" si="10"/>
        <v>6174.6790925000005</v>
      </c>
      <c r="AF24" s="84">
        <v>30.2</v>
      </c>
      <c r="AG24" s="84">
        <v>23.1</v>
      </c>
      <c r="AH24" s="84">
        <v>10</v>
      </c>
      <c r="AI24" s="88">
        <f t="shared" si="15"/>
        <v>39458.400000000001</v>
      </c>
      <c r="AJ24" s="88">
        <v>39478.400000000001</v>
      </c>
      <c r="AK24" s="48">
        <f t="shared" si="7"/>
        <v>20</v>
      </c>
      <c r="AL24" s="90">
        <f t="shared" si="4"/>
        <v>5686.9027217999992</v>
      </c>
      <c r="AM24" s="84">
        <f t="shared" si="11"/>
        <v>1896.0986709889469</v>
      </c>
      <c r="AN24" s="71">
        <v>101</v>
      </c>
      <c r="AO24" s="78">
        <f t="shared" si="5"/>
        <v>16822.723852499847</v>
      </c>
    </row>
    <row r="25" spans="1:41" x14ac:dyDescent="0.25">
      <c r="A25" s="79">
        <v>44155</v>
      </c>
      <c r="B25" s="87">
        <v>4792</v>
      </c>
      <c r="C25" s="87">
        <v>3012</v>
      </c>
      <c r="D25" s="87">
        <v>888</v>
      </c>
      <c r="E25" s="87">
        <v>4893</v>
      </c>
      <c r="F25" s="87">
        <v>5834</v>
      </c>
      <c r="G25" s="87">
        <v>2915</v>
      </c>
      <c r="H25" s="87">
        <v>6593</v>
      </c>
      <c r="I25" s="87">
        <v>2369</v>
      </c>
      <c r="J25" s="87">
        <v>7418</v>
      </c>
      <c r="K25" s="87">
        <f t="shared" si="12"/>
        <v>28927</v>
      </c>
      <c r="L25" s="14">
        <f t="shared" si="8"/>
        <v>5785.4000000000005</v>
      </c>
      <c r="M25" s="84">
        <f>50058.923-49921.722</f>
        <v>137.20100000000093</v>
      </c>
      <c r="N25" s="84">
        <f>3880.281-3879.199</f>
        <v>1.0819999999998799</v>
      </c>
      <c r="O25" s="84">
        <f>9222.906-9222.48</f>
        <v>0.42600000000129512</v>
      </c>
      <c r="P25" s="82">
        <f>74961.369-74884.52</f>
        <v>76.849000000001979</v>
      </c>
      <c r="Q25" s="84">
        <f>21669.351-21664.555</f>
        <v>4.7959999999984575</v>
      </c>
      <c r="R25" s="84">
        <f t="shared" si="0"/>
        <v>78.357000000003154</v>
      </c>
      <c r="S25" s="84">
        <f t="shared" si="1"/>
        <v>614.31888000002471</v>
      </c>
      <c r="T25" s="84">
        <f t="shared" si="2"/>
        <v>141.99699999999939</v>
      </c>
      <c r="U25" s="84">
        <f t="shared" si="13"/>
        <v>1113.2564799999952</v>
      </c>
      <c r="V25" s="84">
        <f>310691.8-310345.1</f>
        <v>346.70000000001164</v>
      </c>
      <c r="W25" s="84">
        <f>129287.44-129287.44</f>
        <v>0</v>
      </c>
      <c r="X25" s="87" t="s">
        <v>63</v>
      </c>
      <c r="Y25" s="88">
        <v>732976.7</v>
      </c>
      <c r="Z25" s="5">
        <f t="shared" si="9"/>
        <v>633.69999999995343</v>
      </c>
      <c r="AA25" s="14">
        <f t="shared" si="6"/>
        <v>4100.0389999996987</v>
      </c>
      <c r="AB25" s="88">
        <v>1842849.5</v>
      </c>
      <c r="AC25" s="88">
        <f t="shared" si="14"/>
        <v>1823729.8</v>
      </c>
      <c r="AD25" s="5">
        <f t="shared" si="3"/>
        <v>19119.699999999953</v>
      </c>
      <c r="AE25" s="84">
        <f t="shared" si="10"/>
        <v>6374.794775499985</v>
      </c>
      <c r="AF25" s="84">
        <v>30.7</v>
      </c>
      <c r="AG25" s="84">
        <v>26.7</v>
      </c>
      <c r="AH25" s="84">
        <v>9.6999999999999993</v>
      </c>
      <c r="AI25" s="88">
        <f t="shared" si="15"/>
        <v>39478.400000000001</v>
      </c>
      <c r="AJ25" s="88">
        <v>39498.300000000003</v>
      </c>
      <c r="AK25" s="48">
        <f t="shared" si="7"/>
        <v>19.900000000001455</v>
      </c>
      <c r="AL25" s="90">
        <f t="shared" si="4"/>
        <v>5658.4682081914134</v>
      </c>
      <c r="AM25" s="84">
        <f t="shared" si="11"/>
        <v>1886.6181776341402</v>
      </c>
      <c r="AN25" s="71">
        <v>98</v>
      </c>
      <c r="AO25" s="78">
        <f t="shared" si="5"/>
        <v>17373.490255499681</v>
      </c>
    </row>
    <row r="26" spans="1:41" x14ac:dyDescent="0.25">
      <c r="A26" s="79">
        <v>44156</v>
      </c>
      <c r="B26" s="87">
        <v>5217</v>
      </c>
      <c r="C26" s="87">
        <v>2805</v>
      </c>
      <c r="D26" s="87">
        <v>816</v>
      </c>
      <c r="E26" s="87">
        <v>4868</v>
      </c>
      <c r="F26" s="87">
        <v>5584</v>
      </c>
      <c r="G26" s="87">
        <v>2739</v>
      </c>
      <c r="H26" s="87">
        <v>5973</v>
      </c>
      <c r="I26" s="87">
        <v>2479</v>
      </c>
      <c r="J26" s="87">
        <v>7112</v>
      </c>
      <c r="K26" s="87">
        <f t="shared" si="12"/>
        <v>28002</v>
      </c>
      <c r="L26" s="14">
        <f t="shared" si="8"/>
        <v>5600.4000000000005</v>
      </c>
      <c r="M26" s="84">
        <f>50174.374-50058.923</f>
        <v>115.45100000000093</v>
      </c>
      <c r="N26" s="84">
        <f>3882.301-3880.281</f>
        <v>2.0199999999999818</v>
      </c>
      <c r="O26" s="84">
        <f>9223.54-9222.906</f>
        <v>0.63400000000001455</v>
      </c>
      <c r="P26" s="82">
        <f>75028.541-74961.369</f>
        <v>67.171999999991385</v>
      </c>
      <c r="Q26" s="84">
        <f>21675.597-21669.351</f>
        <v>6.2460000000028231</v>
      </c>
      <c r="R26" s="84">
        <f t="shared" si="0"/>
        <v>69.825999999991382</v>
      </c>
      <c r="S26" s="84">
        <f t="shared" si="1"/>
        <v>547.43583999993245</v>
      </c>
      <c r="T26" s="84">
        <f t="shared" si="2"/>
        <v>121.69700000000375</v>
      </c>
      <c r="U26" s="84">
        <f t="shared" si="13"/>
        <v>954.10448000002941</v>
      </c>
      <c r="V26" s="84">
        <v>274.5</v>
      </c>
      <c r="W26" s="84">
        <f t="shared" ref="W26:W32" si="17">129287.44-129287.44</f>
        <v>0</v>
      </c>
      <c r="X26" s="87" t="s">
        <v>63</v>
      </c>
      <c r="Y26" s="88">
        <v>733547.5</v>
      </c>
      <c r="Z26" s="5">
        <f t="shared" si="9"/>
        <v>570.80000000004657</v>
      </c>
      <c r="AA26" s="14">
        <f t="shared" si="6"/>
        <v>3693.0760000003011</v>
      </c>
      <c r="AB26" s="88">
        <v>1860080.7</v>
      </c>
      <c r="AC26" s="88">
        <f t="shared" si="14"/>
        <v>1842849.5</v>
      </c>
      <c r="AD26" s="5">
        <f t="shared" si="3"/>
        <v>17231.199999999953</v>
      </c>
      <c r="AE26" s="84">
        <f t="shared" si="10"/>
        <v>5745.1405479999848</v>
      </c>
      <c r="AF26" s="84">
        <v>27.1</v>
      </c>
      <c r="AG26" s="84">
        <f>42242.5-42221.3</f>
        <v>21.19999999999709</v>
      </c>
      <c r="AH26" s="84">
        <f>25335.9-25325.9</f>
        <v>10</v>
      </c>
      <c r="AI26" s="88">
        <f t="shared" si="15"/>
        <v>39498.300000000003</v>
      </c>
      <c r="AJ26" s="88">
        <v>39516.9</v>
      </c>
      <c r="AK26" s="48">
        <f t="shared" si="7"/>
        <v>18.599999999998545</v>
      </c>
      <c r="AL26" s="90">
        <f t="shared" si="4"/>
        <v>5288.8195312735861</v>
      </c>
      <c r="AM26" s="84">
        <f t="shared" si="11"/>
        <v>1763.3717640195828</v>
      </c>
      <c r="AN26" s="71">
        <v>69</v>
      </c>
      <c r="AO26" s="78">
        <f t="shared" si="5"/>
        <v>15992.721028000316</v>
      </c>
    </row>
    <row r="27" spans="1:41" x14ac:dyDescent="0.25">
      <c r="A27" s="79">
        <v>44157</v>
      </c>
      <c r="B27" s="87">
        <v>4548</v>
      </c>
      <c r="C27" s="87">
        <v>3828</v>
      </c>
      <c r="D27" s="87">
        <v>813</v>
      </c>
      <c r="E27" s="87">
        <v>6569</v>
      </c>
      <c r="F27" s="87">
        <v>5384</v>
      </c>
      <c r="G27" s="87">
        <v>2717</v>
      </c>
      <c r="H27" s="87">
        <v>5084</v>
      </c>
      <c r="I27" s="87">
        <v>2480</v>
      </c>
      <c r="J27" s="87">
        <v>6902</v>
      </c>
      <c r="K27" s="87">
        <f t="shared" si="12"/>
        <v>28943</v>
      </c>
      <c r="L27" s="14">
        <f t="shared" si="8"/>
        <v>5788.6</v>
      </c>
      <c r="M27" s="84">
        <f>50332.642-50174.374</f>
        <v>158.26799999999639</v>
      </c>
      <c r="N27" s="84">
        <f>3883.716-3882.301</f>
        <v>1.4149999999999636</v>
      </c>
      <c r="O27" s="84">
        <f>9224.183-9223.54</f>
        <v>0.6430000000000291</v>
      </c>
      <c r="P27" s="82">
        <f>75086.418-75028.541</f>
        <v>57.877000000007683</v>
      </c>
      <c r="Q27" s="84">
        <f>21681.816-21675.597</f>
        <v>6.2189999999973224</v>
      </c>
      <c r="R27" s="84">
        <f t="shared" si="0"/>
        <v>59.935000000007676</v>
      </c>
      <c r="S27" s="84">
        <f t="shared" si="1"/>
        <v>469.8904000000602</v>
      </c>
      <c r="T27" s="84">
        <f t="shared" si="2"/>
        <v>164.48699999999371</v>
      </c>
      <c r="U27" s="84">
        <f t="shared" si="13"/>
        <v>1289.5780799999507</v>
      </c>
      <c r="V27" s="84">
        <v>102.3</v>
      </c>
      <c r="W27" s="84">
        <f t="shared" si="17"/>
        <v>0</v>
      </c>
      <c r="X27" s="87" t="s">
        <v>63</v>
      </c>
      <c r="Y27" s="88">
        <v>733939.6</v>
      </c>
      <c r="Z27" s="5">
        <f t="shared" si="9"/>
        <v>392.09999999997672</v>
      </c>
      <c r="AA27" s="14">
        <f t="shared" si="6"/>
        <v>2536.8869999998492</v>
      </c>
      <c r="AB27" s="88">
        <v>1878505</v>
      </c>
      <c r="AC27" s="88">
        <f t="shared" si="14"/>
        <v>1860080.7</v>
      </c>
      <c r="AD27" s="5">
        <f t="shared" si="3"/>
        <v>18424.300000000047</v>
      </c>
      <c r="AE27" s="84">
        <f t="shared" si="10"/>
        <v>6142.9379845000158</v>
      </c>
      <c r="AF27" s="84">
        <v>29.5</v>
      </c>
      <c r="AG27" s="84">
        <v>22.7</v>
      </c>
      <c r="AH27" s="84">
        <v>11.2</v>
      </c>
      <c r="AI27" s="88">
        <f t="shared" si="15"/>
        <v>39516.9</v>
      </c>
      <c r="AJ27" s="88">
        <v>39536.300000000003</v>
      </c>
      <c r="AK27" s="48">
        <f t="shared" si="7"/>
        <v>19.400000000001455</v>
      </c>
      <c r="AL27" s="90">
        <f t="shared" si="4"/>
        <v>5516.2956401464135</v>
      </c>
      <c r="AM27" s="84">
        <f t="shared" si="11"/>
        <v>1839.2157108594165</v>
      </c>
      <c r="AN27" s="71">
        <v>70</v>
      </c>
      <c r="AO27" s="78">
        <f t="shared" si="5"/>
        <v>15758.003064499815</v>
      </c>
    </row>
    <row r="28" spans="1:41" x14ac:dyDescent="0.25">
      <c r="A28" s="79">
        <v>44158</v>
      </c>
      <c r="B28" s="87">
        <v>5599</v>
      </c>
      <c r="C28" s="87">
        <v>4186</v>
      </c>
      <c r="D28" s="87">
        <v>783</v>
      </c>
      <c r="E28" s="87">
        <v>6871</v>
      </c>
      <c r="F28" s="87">
        <v>5496</v>
      </c>
      <c r="G28" s="87">
        <v>2812</v>
      </c>
      <c r="H28" s="87">
        <v>5963</v>
      </c>
      <c r="I28" s="87">
        <v>2510</v>
      </c>
      <c r="J28" s="87">
        <v>7063</v>
      </c>
      <c r="K28" s="87">
        <f t="shared" si="12"/>
        <v>31710</v>
      </c>
      <c r="L28" s="14">
        <f t="shared" si="8"/>
        <v>6342</v>
      </c>
      <c r="M28" s="84">
        <f>50453.274-50332.642</f>
        <v>120.63199999999779</v>
      </c>
      <c r="N28" s="84">
        <v>0.98199999999999998</v>
      </c>
      <c r="O28" s="84">
        <v>0.41899999999999998</v>
      </c>
      <c r="P28" s="82">
        <f>75154-75086.418</f>
        <v>67.581999999994878</v>
      </c>
      <c r="Q28" s="84">
        <f>21688.23-21681.816</f>
        <v>6.4140000000006694</v>
      </c>
      <c r="R28" s="84">
        <f t="shared" si="0"/>
        <v>68.982999999994874</v>
      </c>
      <c r="S28" s="84">
        <f t="shared" si="1"/>
        <v>540.82671999995978</v>
      </c>
      <c r="T28" s="84">
        <f t="shared" si="2"/>
        <v>127.04599999999846</v>
      </c>
      <c r="U28" s="84">
        <f t="shared" si="13"/>
        <v>996.04063999998789</v>
      </c>
      <c r="V28" s="84">
        <v>140.19999999999999</v>
      </c>
      <c r="W28" s="84">
        <f t="shared" si="17"/>
        <v>0</v>
      </c>
      <c r="X28" s="87" t="s">
        <v>63</v>
      </c>
      <c r="Y28" s="88">
        <v>734307.7</v>
      </c>
      <c r="Z28" s="5">
        <f t="shared" si="9"/>
        <v>368.09999999997672</v>
      </c>
      <c r="AA28" s="14">
        <f t="shared" si="6"/>
        <v>2381.6069999998494</v>
      </c>
      <c r="AB28" s="88">
        <v>1894435</v>
      </c>
      <c r="AC28" s="88">
        <f t="shared" si="14"/>
        <v>1878505</v>
      </c>
      <c r="AD28" s="5">
        <f t="shared" si="3"/>
        <v>15930</v>
      </c>
      <c r="AE28" s="84">
        <f t="shared" si="10"/>
        <v>5311.3009499999998</v>
      </c>
      <c r="AF28" s="84">
        <v>26</v>
      </c>
      <c r="AG28" s="84">
        <v>19.8</v>
      </c>
      <c r="AH28" s="84">
        <v>8.6</v>
      </c>
      <c r="AI28" s="88">
        <f t="shared" si="15"/>
        <v>39536.300000000003</v>
      </c>
      <c r="AJ28" s="88">
        <v>39553.9</v>
      </c>
      <c r="AK28" s="48">
        <f t="shared" si="7"/>
        <v>17.599999999998545</v>
      </c>
      <c r="AL28" s="90">
        <f t="shared" si="4"/>
        <v>5004.4743951835862</v>
      </c>
      <c r="AM28" s="84">
        <f t="shared" si="11"/>
        <v>1668.5668304701355</v>
      </c>
      <c r="AN28" s="71">
        <v>93</v>
      </c>
      <c r="AO28" s="78">
        <f t="shared" si="5"/>
        <v>15030.948589999836</v>
      </c>
    </row>
    <row r="29" spans="1:41" x14ac:dyDescent="0.25">
      <c r="A29" s="79">
        <v>44159</v>
      </c>
      <c r="B29" s="87">
        <v>6539</v>
      </c>
      <c r="C29" s="87">
        <v>4103</v>
      </c>
      <c r="D29" s="87">
        <v>810</v>
      </c>
      <c r="E29" s="87">
        <v>6459</v>
      </c>
      <c r="F29" s="87">
        <v>5408</v>
      </c>
      <c r="G29" s="87">
        <v>2748</v>
      </c>
      <c r="H29" s="87">
        <v>5732</v>
      </c>
      <c r="I29" s="87">
        <v>2410</v>
      </c>
      <c r="J29" s="87">
        <v>6980</v>
      </c>
      <c r="K29" s="87">
        <f t="shared" si="12"/>
        <v>31799</v>
      </c>
      <c r="L29" s="14">
        <f t="shared" si="8"/>
        <v>6359.8</v>
      </c>
      <c r="M29" s="84">
        <f>50560.65-50453.274</f>
        <v>107.37600000000384</v>
      </c>
      <c r="N29" s="84">
        <f>3886.061-3884.698</f>
        <v>1.3630000000002838</v>
      </c>
      <c r="O29" s="84">
        <f>9225.018-9224.602</f>
        <v>0.41599999999925785</v>
      </c>
      <c r="P29" s="82">
        <f>75218.411-75154</f>
        <v>64.410999999992782</v>
      </c>
      <c r="Q29" s="84">
        <f>21694.676-21688.23</f>
        <v>6.4459999999999127</v>
      </c>
      <c r="R29" s="84">
        <f t="shared" si="0"/>
        <v>66.189999999992324</v>
      </c>
      <c r="S29" s="84">
        <f t="shared" si="1"/>
        <v>518.9295999999398</v>
      </c>
      <c r="T29" s="84">
        <f t="shared" si="2"/>
        <v>113.82200000000375</v>
      </c>
      <c r="U29" s="84">
        <f t="shared" si="13"/>
        <v>892.3644800000294</v>
      </c>
      <c r="V29" s="84">
        <v>110.9</v>
      </c>
      <c r="W29" s="84">
        <f t="shared" si="17"/>
        <v>0</v>
      </c>
      <c r="X29" s="87" t="s">
        <v>63</v>
      </c>
      <c r="Y29" s="88">
        <v>734688</v>
      </c>
      <c r="Z29" s="5">
        <f t="shared" si="9"/>
        <v>380.30000000004657</v>
      </c>
      <c r="AA29" s="14">
        <f t="shared" si="6"/>
        <v>2460.5410000003012</v>
      </c>
      <c r="AB29" s="88">
        <v>1910844.3</v>
      </c>
      <c r="AC29" s="88">
        <f t="shared" si="14"/>
        <v>1894435</v>
      </c>
      <c r="AD29" s="5">
        <f t="shared" si="3"/>
        <v>16409.300000000047</v>
      </c>
      <c r="AE29" s="84">
        <f t="shared" si="10"/>
        <v>5471.1067595000159</v>
      </c>
      <c r="AF29" s="84">
        <v>26.9</v>
      </c>
      <c r="AG29" s="84">
        <v>20.9</v>
      </c>
      <c r="AH29" s="84">
        <v>8.9</v>
      </c>
      <c r="AI29" s="88">
        <f t="shared" si="15"/>
        <v>39553.9</v>
      </c>
      <c r="AJ29" s="88">
        <v>39570.9</v>
      </c>
      <c r="AK29" s="48">
        <f t="shared" si="7"/>
        <v>17</v>
      </c>
      <c r="AL29" s="90">
        <f t="shared" si="4"/>
        <v>4833.8673135299996</v>
      </c>
      <c r="AM29" s="84">
        <f t="shared" si="11"/>
        <v>1611.6838703406049</v>
      </c>
      <c r="AN29" s="71">
        <v>87</v>
      </c>
      <c r="AO29" s="78">
        <f t="shared" si="5"/>
        <v>15183.812239500348</v>
      </c>
    </row>
    <row r="30" spans="1:41" x14ac:dyDescent="0.25">
      <c r="A30" s="79">
        <v>44160</v>
      </c>
      <c r="B30" s="87">
        <v>5402</v>
      </c>
      <c r="C30" s="87">
        <v>4294</v>
      </c>
      <c r="D30" s="87">
        <v>821</v>
      </c>
      <c r="E30" s="87">
        <v>6398</v>
      </c>
      <c r="F30" s="87">
        <v>5568</v>
      </c>
      <c r="G30" s="87">
        <v>2685</v>
      </c>
      <c r="H30" s="87">
        <v>5442</v>
      </c>
      <c r="I30" s="87">
        <v>2442</v>
      </c>
      <c r="J30" s="87">
        <v>7064</v>
      </c>
      <c r="K30" s="87">
        <f t="shared" si="12"/>
        <v>30610</v>
      </c>
      <c r="L30" s="14">
        <f t="shared" si="8"/>
        <v>6122</v>
      </c>
      <c r="M30" s="84">
        <f>50734.596-50560.65</f>
        <v>173.94599999999627</v>
      </c>
      <c r="N30" s="84">
        <f>3887.346-3886.061</f>
        <v>1.2849999999998545</v>
      </c>
      <c r="O30" s="84">
        <f>9225.665-9225.018</f>
        <v>0.64700000000084401</v>
      </c>
      <c r="P30" s="82">
        <f>75287.255-75218.411</f>
        <v>68.844000000011874</v>
      </c>
      <c r="Q30" s="84">
        <f>21702.979-21694.676</f>
        <v>8.3029999999998836</v>
      </c>
      <c r="R30" s="84">
        <f t="shared" si="0"/>
        <v>70.776000000012573</v>
      </c>
      <c r="S30" s="84">
        <f t="shared" si="1"/>
        <v>554.88384000009853</v>
      </c>
      <c r="T30" s="84">
        <f t="shared" si="2"/>
        <v>182.24899999999616</v>
      </c>
      <c r="U30" s="84">
        <f t="shared" si="13"/>
        <v>1428.8321599999699</v>
      </c>
      <c r="V30" s="84">
        <v>121</v>
      </c>
      <c r="W30" s="84">
        <f t="shared" si="17"/>
        <v>0</v>
      </c>
      <c r="X30" s="87" t="s">
        <v>63</v>
      </c>
      <c r="Y30" s="88">
        <v>735118</v>
      </c>
      <c r="Z30" s="5">
        <f t="shared" si="9"/>
        <v>430</v>
      </c>
      <c r="AA30" s="14">
        <f t="shared" si="6"/>
        <v>2782.1</v>
      </c>
      <c r="AB30" s="88">
        <v>1926767.9</v>
      </c>
      <c r="AC30" s="88">
        <f t="shared" si="14"/>
        <v>1910844.3</v>
      </c>
      <c r="AD30" s="5">
        <f t="shared" si="3"/>
        <v>15923.59999999986</v>
      </c>
      <c r="AE30" s="84">
        <f t="shared" si="10"/>
        <v>5309.167093999954</v>
      </c>
      <c r="AF30" s="84">
        <v>26.5</v>
      </c>
      <c r="AG30" s="84">
        <v>19.600000000000001</v>
      </c>
      <c r="AH30" s="84">
        <v>9.3000000000000007</v>
      </c>
      <c r="AI30" s="88">
        <f t="shared" si="15"/>
        <v>39570.9</v>
      </c>
      <c r="AJ30" s="88">
        <v>39586.6</v>
      </c>
      <c r="AK30" s="48">
        <f t="shared" si="7"/>
        <v>15.69999999999709</v>
      </c>
      <c r="AL30" s="90">
        <f t="shared" si="4"/>
        <v>4464.2186366121723</v>
      </c>
      <c r="AM30" s="84">
        <f t="shared" si="11"/>
        <v>1488.4374567260475</v>
      </c>
      <c r="AN30" s="71">
        <v>93</v>
      </c>
      <c r="AO30" s="78">
        <f t="shared" si="5"/>
        <v>15642.099253999924</v>
      </c>
    </row>
    <row r="31" spans="1:41" x14ac:dyDescent="0.25">
      <c r="A31" s="79">
        <v>44161</v>
      </c>
      <c r="B31" s="87">
        <v>4761</v>
      </c>
      <c r="C31" s="87">
        <v>4303</v>
      </c>
      <c r="D31" s="87">
        <v>784</v>
      </c>
      <c r="E31" s="87">
        <v>6557</v>
      </c>
      <c r="F31" s="87">
        <v>5579</v>
      </c>
      <c r="G31" s="87">
        <v>2757</v>
      </c>
      <c r="H31" s="87">
        <v>5190</v>
      </c>
      <c r="I31" s="87">
        <v>2437</v>
      </c>
      <c r="J31" s="87">
        <v>7141</v>
      </c>
      <c r="K31" s="87">
        <f t="shared" si="12"/>
        <v>29931</v>
      </c>
      <c r="L31" s="14">
        <f t="shared" si="8"/>
        <v>5986.2000000000007</v>
      </c>
      <c r="M31" s="84">
        <f>50898.302-50734.596</f>
        <v>163.70600000000559</v>
      </c>
      <c r="N31" s="84">
        <f>3888.442-3887.346</f>
        <v>1.0960000000000036</v>
      </c>
      <c r="O31" s="84">
        <f>9226.208-9225.665</f>
        <v>0.54299999999966531</v>
      </c>
      <c r="P31" s="82">
        <f>75360.438-75287.255</f>
        <v>73.182999999989988</v>
      </c>
      <c r="Q31" s="84">
        <f>21709.544-21702.979</f>
        <v>6.5650000000023283</v>
      </c>
      <c r="R31" s="84">
        <f t="shared" si="0"/>
        <v>74.821999999989657</v>
      </c>
      <c r="S31" s="84">
        <f t="shared" si="1"/>
        <v>586.60447999991891</v>
      </c>
      <c r="T31" s="84">
        <f t="shared" si="2"/>
        <v>170.27100000000792</v>
      </c>
      <c r="U31" s="84">
        <f t="shared" si="13"/>
        <v>1334.924640000062</v>
      </c>
      <c r="V31" s="84">
        <v>124.8</v>
      </c>
      <c r="W31" s="84">
        <f t="shared" si="17"/>
        <v>0</v>
      </c>
      <c r="X31" s="87" t="s">
        <v>63</v>
      </c>
      <c r="Y31" s="88">
        <v>735573.9</v>
      </c>
      <c r="Z31" s="5">
        <f t="shared" si="9"/>
        <v>455.90000000002328</v>
      </c>
      <c r="AA31" s="14">
        <f t="shared" si="6"/>
        <v>2949.6730000001508</v>
      </c>
      <c r="AB31" s="88">
        <v>1942867</v>
      </c>
      <c r="AC31" s="88">
        <f t="shared" si="14"/>
        <v>1926767.9</v>
      </c>
      <c r="AD31" s="5">
        <f t="shared" si="3"/>
        <v>16099.100000000093</v>
      </c>
      <c r="AE31" s="84">
        <f t="shared" si="10"/>
        <v>5367.6814265000312</v>
      </c>
      <c r="AF31" s="84">
        <v>27.8</v>
      </c>
      <c r="AG31" s="84">
        <v>18.899999999999999</v>
      </c>
      <c r="AH31" s="84">
        <v>8.6999999999999993</v>
      </c>
      <c r="AI31" s="88">
        <f t="shared" si="15"/>
        <v>39586.6</v>
      </c>
      <c r="AJ31" s="88">
        <v>39603.9</v>
      </c>
      <c r="AK31" s="48">
        <f t="shared" si="7"/>
        <v>17.30000000000291</v>
      </c>
      <c r="AL31" s="90">
        <f t="shared" si="4"/>
        <v>4919.170854357827</v>
      </c>
      <c r="AM31" s="84">
        <f t="shared" si="11"/>
        <v>1640.1253504057149</v>
      </c>
      <c r="AN31" s="71">
        <v>73</v>
      </c>
      <c r="AO31" s="78">
        <f t="shared" si="5"/>
        <v>15638.479066500244</v>
      </c>
    </row>
    <row r="32" spans="1:41" x14ac:dyDescent="0.25">
      <c r="A32" s="79">
        <v>44162</v>
      </c>
      <c r="B32" s="87">
        <v>5368</v>
      </c>
      <c r="C32" s="87">
        <v>4211</v>
      </c>
      <c r="D32" s="87">
        <v>817</v>
      </c>
      <c r="E32" s="87">
        <v>6698</v>
      </c>
      <c r="F32" s="87">
        <v>5674</v>
      </c>
      <c r="G32" s="87">
        <v>2737</v>
      </c>
      <c r="H32" s="87">
        <v>4948</v>
      </c>
      <c r="I32" s="87">
        <v>2380</v>
      </c>
      <c r="J32" s="87">
        <v>7134</v>
      </c>
      <c r="K32" s="87">
        <f t="shared" si="12"/>
        <v>30453</v>
      </c>
      <c r="L32" s="14">
        <f t="shared" si="8"/>
        <v>6090.6</v>
      </c>
      <c r="M32" s="84">
        <f>50982.353-50898.302</f>
        <v>84.050999999999476</v>
      </c>
      <c r="N32" s="84">
        <f>3889.265-3888.442</f>
        <v>0.82299999999986539</v>
      </c>
      <c r="O32" s="84">
        <f>9226.734-9226.208</f>
        <v>0.52599999999983993</v>
      </c>
      <c r="P32" s="82">
        <f>75438.651-75360.438</f>
        <v>78.213000000003376</v>
      </c>
      <c r="Q32" s="84">
        <f>21714.958-21709.544</f>
        <v>5.4139999999970314</v>
      </c>
      <c r="R32" s="84">
        <f t="shared" si="0"/>
        <v>79.562000000003081</v>
      </c>
      <c r="S32" s="84">
        <f t="shared" si="1"/>
        <v>623.7660800000242</v>
      </c>
      <c r="T32" s="84">
        <f t="shared" si="2"/>
        <v>89.464999999996508</v>
      </c>
      <c r="U32" s="84">
        <f t="shared" si="13"/>
        <v>701.40559999997265</v>
      </c>
      <c r="V32" s="84">
        <v>120.8</v>
      </c>
      <c r="W32" s="84">
        <f t="shared" si="17"/>
        <v>0</v>
      </c>
      <c r="X32" s="87" t="s">
        <v>63</v>
      </c>
      <c r="Y32" s="88">
        <v>736031.5</v>
      </c>
      <c r="Z32" s="5">
        <f t="shared" si="9"/>
        <v>457.59999999997672</v>
      </c>
      <c r="AA32" s="14">
        <f t="shared" si="6"/>
        <v>2960.671999999849</v>
      </c>
      <c r="AB32" s="88">
        <v>1958536.8</v>
      </c>
      <c r="AC32" s="88">
        <f t="shared" si="14"/>
        <v>1942867</v>
      </c>
      <c r="AD32" s="5">
        <f t="shared" si="3"/>
        <v>15669.800000000047</v>
      </c>
      <c r="AE32" s="84">
        <f t="shared" si="10"/>
        <v>5224.5463670000154</v>
      </c>
      <c r="AF32" s="84">
        <v>27</v>
      </c>
      <c r="AG32" s="84">
        <v>18.100000000000001</v>
      </c>
      <c r="AH32" s="84">
        <v>9.1999999999999993</v>
      </c>
      <c r="AI32" s="88">
        <f t="shared" si="15"/>
        <v>39603.9</v>
      </c>
      <c r="AJ32" s="88">
        <v>39619.800000000003</v>
      </c>
      <c r="AK32" s="48">
        <f t="shared" si="7"/>
        <v>15.900000000001455</v>
      </c>
      <c r="AL32" s="90">
        <f t="shared" si="4"/>
        <v>4521.0876638314139</v>
      </c>
      <c r="AM32" s="84">
        <f t="shared" si="11"/>
        <v>1507.398443436351</v>
      </c>
      <c r="AN32" s="71">
        <v>87</v>
      </c>
      <c r="AO32" s="78">
        <f t="shared" si="5"/>
        <v>14977.223966999838</v>
      </c>
    </row>
    <row r="33" spans="1:41" x14ac:dyDescent="0.25">
      <c r="A33" s="79">
        <v>44163</v>
      </c>
      <c r="B33" s="87">
        <v>5387</v>
      </c>
      <c r="C33" s="87">
        <v>4038</v>
      </c>
      <c r="D33" s="87">
        <v>856</v>
      </c>
      <c r="E33" s="87">
        <v>6634</v>
      </c>
      <c r="F33" s="87">
        <v>5477</v>
      </c>
      <c r="G33" s="87">
        <v>2848</v>
      </c>
      <c r="H33" s="87">
        <v>4992</v>
      </c>
      <c r="I33" s="87">
        <v>2414</v>
      </c>
      <c r="J33" s="87">
        <v>7261</v>
      </c>
      <c r="K33" s="87">
        <f t="shared" si="12"/>
        <v>30232</v>
      </c>
      <c r="L33" s="14">
        <f t="shared" si="8"/>
        <v>6046.4000000000005</v>
      </c>
      <c r="M33" s="84">
        <f>51120.717-50982.253</f>
        <v>138.46399999999994</v>
      </c>
      <c r="N33" s="84">
        <f>3890.751-3889.265</f>
        <v>1.4860000000003311</v>
      </c>
      <c r="O33" s="84">
        <f>9227.271-9226.734</f>
        <v>0.53700000000026193</v>
      </c>
      <c r="P33" s="82">
        <f>75515.299-75438.651</f>
        <v>76.648000000001048</v>
      </c>
      <c r="Q33" s="84">
        <f>21722.001-21714.958</f>
        <v>7.0430000000014843</v>
      </c>
      <c r="R33" s="84">
        <f t="shared" si="0"/>
        <v>78.671000000001641</v>
      </c>
      <c r="S33" s="84">
        <f t="shared" si="1"/>
        <v>616.78064000001291</v>
      </c>
      <c r="T33" s="84">
        <f t="shared" si="2"/>
        <v>145.50700000000143</v>
      </c>
      <c r="U33" s="84">
        <f t="shared" si="13"/>
        <v>1140.7748800000111</v>
      </c>
      <c r="V33" s="84">
        <v>128</v>
      </c>
      <c r="W33" s="84">
        <f>129287.45-129287.44</f>
        <v>9.9999999947613105E-3</v>
      </c>
      <c r="X33" s="87" t="s">
        <v>63</v>
      </c>
      <c r="Y33" s="88">
        <v>736473.7</v>
      </c>
      <c r="Z33" s="5">
        <f t="shared" si="9"/>
        <v>442.19999999995343</v>
      </c>
      <c r="AA33" s="14">
        <f t="shared" si="6"/>
        <v>2861.0339999996986</v>
      </c>
      <c r="AB33" s="88">
        <v>1973436.8</v>
      </c>
      <c r="AC33" s="88">
        <f t="shared" si="14"/>
        <v>1958536.8</v>
      </c>
      <c r="AD33" s="5">
        <f t="shared" si="3"/>
        <v>14900</v>
      </c>
      <c r="AE33" s="84">
        <f t="shared" si="10"/>
        <v>4967.8834999999999</v>
      </c>
      <c r="AF33" s="84">
        <v>24.6</v>
      </c>
      <c r="AG33" s="84">
        <v>18.100000000000001</v>
      </c>
      <c r="AH33" s="84">
        <v>8.9</v>
      </c>
      <c r="AI33" s="88">
        <f t="shared" si="15"/>
        <v>39619.800000000003</v>
      </c>
      <c r="AJ33" s="88">
        <v>39636.199999999997</v>
      </c>
      <c r="AK33" s="48">
        <f t="shared" si="7"/>
        <v>16.399999999994179</v>
      </c>
      <c r="AL33" s="90">
        <f t="shared" si="4"/>
        <v>4663.2602318743448</v>
      </c>
      <c r="AM33" s="84">
        <f t="shared" si="11"/>
        <v>1554.8009102103847</v>
      </c>
      <c r="AN33" s="71">
        <v>66</v>
      </c>
      <c r="AO33" s="78">
        <f t="shared" si="5"/>
        <v>15016.092379999711</v>
      </c>
    </row>
    <row r="34" spans="1:41" x14ac:dyDescent="0.25">
      <c r="A34" s="79">
        <v>44164</v>
      </c>
      <c r="B34" s="87">
        <v>4882</v>
      </c>
      <c r="C34" s="87">
        <v>3424</v>
      </c>
      <c r="D34" s="87">
        <v>771</v>
      </c>
      <c r="E34" s="87">
        <v>6179</v>
      </c>
      <c r="F34" s="87">
        <v>5343</v>
      </c>
      <c r="G34" s="87">
        <v>2742</v>
      </c>
      <c r="H34" s="87">
        <v>5398</v>
      </c>
      <c r="I34" s="87">
        <v>2413</v>
      </c>
      <c r="J34" s="87">
        <v>6965</v>
      </c>
      <c r="K34" s="87">
        <f t="shared" si="12"/>
        <v>28739</v>
      </c>
      <c r="L34" s="14">
        <f t="shared" si="8"/>
        <v>5747.8</v>
      </c>
      <c r="M34" s="84">
        <f>51230.129-51120.717</f>
        <v>109.4120000000039</v>
      </c>
      <c r="N34" s="84">
        <f>3892.096-3890.751</f>
        <v>1.3449999999997999</v>
      </c>
      <c r="O34" s="84">
        <f>9228.03-9227.271</f>
        <v>0.75900000000001455</v>
      </c>
      <c r="P34" s="82">
        <f>75587.352-75515.299</f>
        <v>72.052999999999884</v>
      </c>
      <c r="Q34" s="84">
        <f>21728.812-21722.001</f>
        <v>6.8110000000015134</v>
      </c>
      <c r="R34" s="84">
        <f t="shared" si="0"/>
        <v>74.156999999999698</v>
      </c>
      <c r="S34" s="84">
        <f t="shared" si="1"/>
        <v>581.39087999999765</v>
      </c>
      <c r="T34" s="84">
        <f t="shared" si="2"/>
        <v>116.22300000000541</v>
      </c>
      <c r="U34" s="84">
        <f t="shared" si="13"/>
        <v>911.18832000004238</v>
      </c>
      <c r="V34" s="84">
        <v>125.3</v>
      </c>
      <c r="W34" s="84">
        <f>129287.45-129287.45</f>
        <v>0</v>
      </c>
      <c r="X34" s="87" t="s">
        <v>63</v>
      </c>
      <c r="Y34" s="88">
        <v>736900.6</v>
      </c>
      <c r="Z34" s="5">
        <f t="shared" si="9"/>
        <v>426.90000000002328</v>
      </c>
      <c r="AA34" s="14">
        <f t="shared" si="6"/>
        <v>2762.0430000001506</v>
      </c>
      <c r="AB34" s="88">
        <v>1988322.2</v>
      </c>
      <c r="AC34" s="88">
        <f t="shared" si="14"/>
        <v>1973436.8</v>
      </c>
      <c r="AD34" s="5">
        <f t="shared" si="3"/>
        <v>14885.399999999907</v>
      </c>
      <c r="AE34" s="84">
        <f t="shared" si="10"/>
        <v>4963.015640999969</v>
      </c>
      <c r="AF34" s="84">
        <v>24.2</v>
      </c>
      <c r="AG34" s="84">
        <v>19</v>
      </c>
      <c r="AH34" s="84">
        <v>8.4</v>
      </c>
      <c r="AI34" s="88">
        <f t="shared" si="15"/>
        <v>39636.199999999997</v>
      </c>
      <c r="AJ34" s="88">
        <v>39651.5</v>
      </c>
      <c r="AK34" s="48">
        <f t="shared" si="7"/>
        <v>15.30000000000291</v>
      </c>
      <c r="AL34" s="90">
        <f t="shared" si="4"/>
        <v>4350.4805821778273</v>
      </c>
      <c r="AM34" s="84">
        <f t="shared" si="11"/>
        <v>1450.5154833068204</v>
      </c>
      <c r="AN34" s="71">
        <v>72</v>
      </c>
      <c r="AO34" s="78">
        <f t="shared" si="5"/>
        <v>14384.046961000162</v>
      </c>
    </row>
    <row r="35" spans="1:41" ht="21.75" thickBot="1" x14ac:dyDescent="0.3">
      <c r="A35" s="79">
        <v>44165</v>
      </c>
      <c r="B35" s="132">
        <v>4922</v>
      </c>
      <c r="C35" s="132">
        <v>3689</v>
      </c>
      <c r="D35" s="132">
        <v>805</v>
      </c>
      <c r="E35" s="132">
        <v>6563</v>
      </c>
      <c r="F35" s="132">
        <v>5472</v>
      </c>
      <c r="G35" s="132">
        <v>2773</v>
      </c>
      <c r="H35" s="132">
        <v>5895</v>
      </c>
      <c r="I35" s="132">
        <v>2388</v>
      </c>
      <c r="J35" s="132">
        <v>7129</v>
      </c>
      <c r="K35" s="87">
        <f t="shared" ref="K35" si="18">SUM(B35:H35)</f>
        <v>30119</v>
      </c>
      <c r="L35" s="135">
        <f t="shared" ref="L35" si="19">K35*0.2</f>
        <v>6023.8</v>
      </c>
      <c r="M35" s="133">
        <f>51340.685-51230.129</f>
        <v>110.55599999999686</v>
      </c>
      <c r="N35" s="133">
        <f>3894.005-3892.096</f>
        <v>1.9090000000001055</v>
      </c>
      <c r="O35" s="133">
        <f>9229.418-9228.03</f>
        <v>1.3879999999990105</v>
      </c>
      <c r="P35" s="134">
        <f>75651.219-75587.352</f>
        <v>63.86699999999837</v>
      </c>
      <c r="Q35" s="133">
        <f>21739.804-21728.812</f>
        <v>10.99199999999837</v>
      </c>
      <c r="R35" s="133">
        <f t="shared" ref="R35" si="20">N35+O35+P35</f>
        <v>67.163999999997486</v>
      </c>
      <c r="S35" s="133">
        <f t="shared" ref="S35" si="21">(N35+O35+P35)*7.84</f>
        <v>526.56575999998029</v>
      </c>
      <c r="T35" s="133">
        <f t="shared" ref="T35" si="22">M35+Q35</f>
        <v>121.54799999999523</v>
      </c>
      <c r="U35" s="133">
        <f t="shared" ref="U35" si="23">T35*7.84</f>
        <v>952.93631999996251</v>
      </c>
      <c r="V35" s="133">
        <v>124.3</v>
      </c>
      <c r="W35" s="133">
        <f>129287.45-129287.45</f>
        <v>0</v>
      </c>
      <c r="X35" s="87" t="s">
        <v>103</v>
      </c>
      <c r="Y35" s="88">
        <v>737334.7</v>
      </c>
      <c r="Z35" s="5">
        <f t="shared" ref="Z35" si="24">IF((Y35-Y34&lt;0), "0",Y35-Y34)</f>
        <v>434.09999999997672</v>
      </c>
      <c r="AA35" s="14">
        <f t="shared" ref="AA35" si="25">Z35*6.47</f>
        <v>2808.6269999998494</v>
      </c>
      <c r="AB35" s="88">
        <v>2005491</v>
      </c>
      <c r="AC35" s="88">
        <f t="shared" si="14"/>
        <v>1988322.2</v>
      </c>
      <c r="AD35" s="5">
        <f t="shared" si="3"/>
        <v>17168.800000000047</v>
      </c>
      <c r="AE35" s="84">
        <f t="shared" si="10"/>
        <v>5724.3354520000157</v>
      </c>
      <c r="AF35" s="84">
        <v>28.7</v>
      </c>
      <c r="AG35" s="84">
        <v>21.4</v>
      </c>
      <c r="AH35" s="84">
        <v>8.5</v>
      </c>
      <c r="AI35" s="88">
        <f t="shared" si="15"/>
        <v>39651.5</v>
      </c>
      <c r="AJ35" s="88">
        <v>39668.699999999997</v>
      </c>
      <c r="AK35" s="48">
        <f t="shared" ref="AK35" si="26">IF((AJ35-AI35)&lt;0, "0",AJ35-AI35)</f>
        <v>17.19999999999709</v>
      </c>
      <c r="AL35" s="90">
        <f t="shared" ref="AL35" si="27">AK35*(284.34513609)</f>
        <v>4890.7363407471721</v>
      </c>
      <c r="AM35" s="84">
        <f t="shared" ref="AM35" si="28">AL35*0.333415</f>
        <v>1630.6448570502184</v>
      </c>
      <c r="AN35" s="109">
        <v>45</v>
      </c>
      <c r="AO35" s="78">
        <f t="shared" ref="AO35" si="29">L35+U35+AA35+AE35</f>
        <v>15509.698771999827</v>
      </c>
    </row>
    <row r="36" spans="1:41" x14ac:dyDescent="0.25">
      <c r="A36" s="76"/>
      <c r="D36" s="6">
        <f>SUM(D6:D35)</f>
        <v>24455</v>
      </c>
      <c r="E36" s="6" t="s">
        <v>93</v>
      </c>
      <c r="G36" s="6">
        <f t="shared" ref="G36:L36" si="30">SUM(G6:G35)</f>
        <v>84992</v>
      </c>
      <c r="H36" s="6">
        <f t="shared" si="30"/>
        <v>186684</v>
      </c>
      <c r="I36" s="6">
        <f t="shared" si="30"/>
        <v>73180</v>
      </c>
      <c r="J36" s="6">
        <f t="shared" si="30"/>
        <v>212997</v>
      </c>
      <c r="K36" s="6">
        <f t="shared" si="30"/>
        <v>884010</v>
      </c>
      <c r="L36" s="15">
        <f t="shared" si="30"/>
        <v>176801.99999999997</v>
      </c>
      <c r="R36" s="16">
        <f>SUM(R6:R35)</f>
        <v>2082.9079999999913</v>
      </c>
      <c r="T36" s="16">
        <f>SUM(T6:T35)</f>
        <v>3975.2729999999965</v>
      </c>
      <c r="U36" s="16">
        <f t="shared" si="13"/>
        <v>31166.140319999973</v>
      </c>
      <c r="Z36" s="17">
        <f>SUM(Z6:Z35)</f>
        <v>14650.199999999953</v>
      </c>
      <c r="AA36" s="17">
        <f>SUM(AA6:AA35)</f>
        <v>94786.793999999689</v>
      </c>
      <c r="AD36" s="17">
        <f>SUM(AD6:AD35)</f>
        <v>575496.80000000005</v>
      </c>
      <c r="AE36" s="16">
        <f>AD36*0.334569</f>
        <v>192543.38887920001</v>
      </c>
      <c r="AF36" s="16">
        <f>SUM(AF6:AF35)</f>
        <v>949.2</v>
      </c>
      <c r="AG36" s="16">
        <f>SUM(AG6:AG35)</f>
        <v>702.49999999999704</v>
      </c>
      <c r="AH36" s="16">
        <f>SUM(AH6:AH35)</f>
        <v>306.19999999999993</v>
      </c>
      <c r="AK36" s="42">
        <f>SUM(AK6:AK35)</f>
        <v>600.19999999999709</v>
      </c>
      <c r="AL36" s="42">
        <f>SUM(AL6:AL35)</f>
        <v>170663.95068121716</v>
      </c>
      <c r="AM36" s="42">
        <f>SUM(AM6:AM35)</f>
        <v>56901.92111637802</v>
      </c>
      <c r="AN36" s="42">
        <f>SUM(AN6:AN35)</f>
        <v>2223</v>
      </c>
      <c r="AO36" s="42">
        <f>SUM(AO6:AO35)</f>
        <v>494634.19989199965</v>
      </c>
    </row>
    <row r="37" spans="1:41" x14ac:dyDescent="0.25">
      <c r="D37" s="6" t="e">
        <f>#REF!*24</f>
        <v>#REF!</v>
      </c>
      <c r="E37" s="6" t="s">
        <v>1</v>
      </c>
      <c r="R37" s="16">
        <v>7.84</v>
      </c>
      <c r="T37" s="16" t="s">
        <v>99</v>
      </c>
      <c r="U37" s="16">
        <f>U36-R38</f>
        <v>14836.141600000043</v>
      </c>
    </row>
    <row r="38" spans="1:41" x14ac:dyDescent="0.25">
      <c r="D38" s="6" t="e">
        <f>D37*31</f>
        <v>#REF!</v>
      </c>
      <c r="E38" s="6" t="s">
        <v>2</v>
      </c>
      <c r="F38" s="6" t="s">
        <v>94</v>
      </c>
      <c r="G38" s="6" t="e">
        <f>D38*0.2</f>
        <v>#REF!</v>
      </c>
      <c r="R38" s="16">
        <f>R36*R37</f>
        <v>16329.99871999993</v>
      </c>
      <c r="U38" s="16">
        <f>U37/R37</f>
        <v>1892.3650000000055</v>
      </c>
    </row>
    <row r="39" spans="1:41" x14ac:dyDescent="0.25">
      <c r="D39" s="15" t="e">
        <f>D38*0.2</f>
        <v>#REF!</v>
      </c>
    </row>
    <row r="40" spans="1:41" x14ac:dyDescent="0.25">
      <c r="E40" s="68" t="s">
        <v>98</v>
      </c>
    </row>
    <row r="41" spans="1:41" x14ac:dyDescent="0.25">
      <c r="AD41" s="6">
        <f>G41*0.2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2020-12-02T10:58:58Z</dcterms:modified>
</cp:coreProperties>
</file>