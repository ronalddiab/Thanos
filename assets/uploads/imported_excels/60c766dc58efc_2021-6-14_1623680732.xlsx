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 activeTab="2"/>
  </bookViews>
  <sheets>
    <sheet name="Submetering" sheetId="3" r:id="rId1"/>
    <sheet name="TOTAL" sheetId="1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2" l="1"/>
  <c r="N30" i="2"/>
  <c r="L10" i="2"/>
  <c r="L9" i="2"/>
  <c r="L8" i="2"/>
  <c r="L7" i="2"/>
  <c r="L6" i="2"/>
  <c r="L5" i="2"/>
  <c r="L20" i="2"/>
  <c r="L19" i="2"/>
  <c r="L18" i="2"/>
  <c r="L17" i="2"/>
  <c r="L16" i="2"/>
  <c r="L15" i="2"/>
  <c r="L14" i="2"/>
  <c r="L13" i="2"/>
  <c r="L12" i="2"/>
  <c r="L25" i="2"/>
  <c r="L24" i="2"/>
  <c r="L23" i="2"/>
  <c r="L34" i="2"/>
  <c r="L33" i="2"/>
  <c r="L32" i="2"/>
  <c r="L31" i="2"/>
  <c r="L30" i="2"/>
  <c r="L29" i="2"/>
  <c r="K29" i="1" l="1"/>
  <c r="L29" i="1"/>
  <c r="K30" i="1"/>
  <c r="L30" i="1"/>
  <c r="K31" i="1"/>
  <c r="L31" i="1"/>
  <c r="K32" i="1"/>
  <c r="L32" i="1"/>
  <c r="F7" i="3"/>
  <c r="F8" i="3"/>
  <c r="F9" i="3"/>
  <c r="E32" i="3"/>
  <c r="E32" i="1" s="1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B30" i="1"/>
  <c r="B31" i="1" s="1"/>
  <c r="B32" i="1" s="1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<sst xmlns="http://schemas.openxmlformats.org/spreadsheetml/2006/main" count="133" uniqueCount="59">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</sst>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3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5" borderId="2" xfId="0" applyNumberFormat="1" applyFont="1" applyFill="1" applyBorder="1" applyAlignment="1" applyProtection="1">
      <alignment horizontal="center"/>
      <protection locked="0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/>
    <xf numFmtId="0" fontId="9" fillId="0" borderId="2" xfId="0" applyFont="1" applyBorder="1"/>
    <xf numFmtId="0" fontId="9" fillId="7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3" sqref="F13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5</v>
      </c>
      <c r="D2" s="1">
        <v>2021</v>
      </c>
      <c r="E2" s="4">
        <f>IF(('Hampshire Daily'!D5-'Hampshire Daily'!D4&lt;0),"0",('Hampshire Daily'!D5-'Hampshire Daily'!D4))</f>
        <v>941</v>
      </c>
      <c r="F2" s="4">
        <f>IF(('Hampshire Daily'!F5-'Hampshire Daily'!F4&lt;0),"0",('Hampshire Daily'!F5-'Hampshire Daily'!F4))</f>
        <v>394</v>
      </c>
      <c r="G2" s="4">
        <f>IF(('Hampshire Daily'!H5-'Hampshire Daily'!H4&lt;0),"0",('Hampshire Daily'!H5-'Hampshire Daily'!H4))</f>
        <v>0</v>
      </c>
      <c r="H2" s="4" t="str">
        <f>IF(('Hampshire Daily'!I5-'Hampshire Daily'!I4&lt;0),"0",('Hampshire Daily'!I5-'Hampshire Daily'!I4))</f>
        <v>0</v>
      </c>
      <c r="I2" s="4" t="str">
        <f>IF(('Hampshire Daily'!J5-'Hampshire Daily'!J4&lt;0),"0",('Hampshire Daily'!J5-'Hampshire Daily'!J4))</f>
        <v>0</v>
      </c>
      <c r="J2" s="4" t="str">
        <f>IF(('Hampshire Daily'!K5-'Hampshire Daily'!K4&lt;0),"0",('Hampshire Daily'!K5-'Hampshire Daily'!K4))</f>
        <v>0</v>
      </c>
      <c r="K2" s="4">
        <f>IF(('Hampshire Daily'!L5-'Hampshire Daily'!L4&lt;0),"0",('Hampshire Daily'!L5-'Hampshire Daily'!L4))</f>
        <v>361</v>
      </c>
      <c r="L2" s="4">
        <f>IF(('Hampshire Daily'!M5-'Hampshire Daily'!M4&lt;0),"0",('Hampshire Daily'!M5-'Hampshire Daily'!M4))</f>
        <v>0</v>
      </c>
      <c r="M2" s="4">
        <f>IF(('Hampshire Daily'!N5-'Hampshire Daily'!N4&lt;0),"0",('Hampshire Daily'!N5-'Hampshire Daily'!N4))</f>
        <v>2233</v>
      </c>
      <c r="N2" s="4">
        <f>IF(('Hampshire Daily'!O5-'Hampshire Daily'!O4&lt;0),"0",('Hampshire Daily'!O5-'Hampshire Daily'!O4))</f>
        <v>40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4</v>
      </c>
      <c r="S2" s="4">
        <f>IF(('Hampshire Daily'!V5-'Hampshire Daily'!V4&lt;0),"0",('Hampshire Daily'!V5-'Hampshire Daily'!V4))</f>
        <v>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0.31200000000001182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1</v>
      </c>
      <c r="X2" s="4">
        <f>IF(('Hampshire Daily'!AA5-'Hampshire Daily'!AA4&lt;0),"0",('Hampshire Daily'!AA5-'Hampshire Daily'!AA4))</f>
        <v>6</v>
      </c>
      <c r="Y2" s="4">
        <f>'Hampshire Daily'!B5</f>
        <v>10</v>
      </c>
      <c r="Z2" s="4">
        <f>'Hampshire Daily'!C5</f>
        <v>10</v>
      </c>
    </row>
    <row r="3" spans="1:30" x14ac:dyDescent="0.25">
      <c r="A3" s="3" t="s">
        <v>40</v>
      </c>
      <c r="B3" s="1">
        <f>B2+1</f>
        <v>2</v>
      </c>
      <c r="C3" s="17">
        <v>5</v>
      </c>
      <c r="D3" s="1">
        <v>2021</v>
      </c>
      <c r="E3" s="4">
        <f>IF(('Hampshire Daily'!D6-'Hampshire Daily'!D5&lt;0),"0",('Hampshire Daily'!D6-'Hampshire Daily'!D5))</f>
        <v>982</v>
      </c>
      <c r="F3" s="4">
        <f>IF(('Hampshire Daily'!F6-'Hampshire Daily'!F5&lt;0),"0",('Hampshire Daily'!F6-'Hampshire Daily'!F5))</f>
        <v>388</v>
      </c>
      <c r="G3" s="4">
        <f>IF(('Hampshire Daily'!H6-'Hampshire Daily'!H5&lt;0),"0",('Hampshire Daily'!H6-'Hampshire Daily'!H5))</f>
        <v>0</v>
      </c>
      <c r="H3" s="4">
        <f>IF(('Hampshire Daily'!I6-'Hampshire Daily'!I5&lt;0),"0",('Hampshire Daily'!I6-'Hampshire Daily'!I5))</f>
        <v>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361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2258</v>
      </c>
      <c r="N3" s="4">
        <f>IF(('Hampshire Daily'!O6-'Hampshire Daily'!O5&lt;0),"0",('Hampshire Daily'!O6-'Hampshire Daily'!O5))</f>
        <v>33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0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3</v>
      </c>
      <c r="S3" s="4">
        <f>IF(('Hampshire Daily'!V6-'Hampshire Daily'!V5&lt;0),"0",('Hampshire Daily'!V6-'Hampshire Daily'!V5))</f>
        <v>1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0.34699999999997999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2</v>
      </c>
      <c r="X3" s="4">
        <f>IF(('Hampshire Daily'!AA6-'Hampshire Daily'!AA5&lt;0),"0",('Hampshire Daily'!AA6-'Hampshire Daily'!AA5))</f>
        <v>3</v>
      </c>
      <c r="Y3" s="4">
        <f>'Hampshire Daily'!B6</f>
        <v>10</v>
      </c>
      <c r="Z3" s="4">
        <f>'Hampshire Daily'!C6</f>
        <v>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5</v>
      </c>
      <c r="D4" s="1">
        <v>2021</v>
      </c>
      <c r="E4" s="4">
        <f>IF(('Hampshire Daily'!D7-'Hampshire Daily'!D6&lt;0),"0",('Hampshire Daily'!D7-'Hampshire Daily'!D6))</f>
        <v>992</v>
      </c>
      <c r="F4" s="4">
        <f>IF(('Hampshire Daily'!F7-'Hampshire Daily'!F6&lt;0),"0",('Hampshire Daily'!F7-'Hampshire Daily'!F6))</f>
        <v>387</v>
      </c>
      <c r="G4" s="4">
        <f>IF(('Hampshire Daily'!H7-'Hampshire Daily'!H6&lt;0),"0",('Hampshire Daily'!H7-'Hampshire Daily'!H6))</f>
        <v>0</v>
      </c>
      <c r="H4" s="4">
        <f>IF(('Hampshire Daily'!I7-'Hampshire Daily'!I6&lt;0),"0",('Hampshire Daily'!I7-'Hampshire Daily'!I6))</f>
        <v>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0</v>
      </c>
      <c r="K4" s="4">
        <f>IF(('Hampshire Daily'!L7-'Hampshire Daily'!L6&lt;0),"0",('Hampshire Daily'!L7-'Hampshire Daily'!L6))</f>
        <v>361</v>
      </c>
      <c r="L4" s="4">
        <f>IF(('Hampshire Daily'!M7-'Hampshire Daily'!M6&lt;0),"0",('Hampshire Daily'!M7-'Hampshire Daily'!M6))</f>
        <v>0</v>
      </c>
      <c r="M4" s="4">
        <f>IF(('Hampshire Daily'!N7-'Hampshire Daily'!N6&lt;0),"0",('Hampshire Daily'!N7-'Hampshire Daily'!N6))</f>
        <v>2177</v>
      </c>
      <c r="N4" s="4">
        <f>IF(('Hampshire Daily'!O7-'Hampshire Daily'!O6&lt;0),"0",('Hampshire Daily'!O7-'Hampshire Daily'!O6))</f>
        <v>36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0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4</v>
      </c>
      <c r="S4" s="4">
        <f>IF(('Hampshire Daily'!V7-'Hampshire Daily'!V6&lt;0),"0",('Hampshire Daily'!V7-'Hampshire Daily'!V6))</f>
        <v>10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0.31900000000007367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2</v>
      </c>
      <c r="X4" s="4">
        <f>IF(('Hampshire Daily'!AA7-'Hampshire Daily'!AA6&lt;0),"0",('Hampshire Daily'!AA7-'Hampshire Daily'!AA6))</f>
        <v>2</v>
      </c>
      <c r="Y4" s="4">
        <f>'Hampshire Daily'!B7</f>
        <v>10</v>
      </c>
      <c r="Z4" s="4">
        <f>'Hampshire Daily'!C7</f>
        <v>10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5</v>
      </c>
      <c r="D5" s="1">
        <v>2021</v>
      </c>
      <c r="E5" s="4">
        <f>IF(('Hampshire Daily'!D8-'Hampshire Daily'!D7&lt;0),"0",('Hampshire Daily'!D8-'Hampshire Daily'!D7))</f>
        <v>899</v>
      </c>
      <c r="F5" s="4">
        <f>IF(('Hampshire Daily'!F8-'Hampshire Daily'!F7&lt;0),"0",('Hampshire Daily'!F8-'Hampshire Daily'!F7))</f>
        <v>274</v>
      </c>
      <c r="G5" s="4">
        <f>IF(('Hampshire Daily'!H8-'Hampshire Daily'!H7&lt;0),"0",('Hampshire Daily'!H8-'Hampshire Daily'!H7))</f>
        <v>0</v>
      </c>
      <c r="H5" s="4">
        <f>IF(('Hampshire Daily'!I8-'Hampshire Daily'!I7&lt;0),"0",('Hampshire Daily'!I8-'Hampshire Daily'!I7))</f>
        <v>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361</v>
      </c>
      <c r="L5" s="4">
        <f>IF(('Hampshire Daily'!M8-'Hampshire Daily'!M7&lt;0),"0",('Hampshire Daily'!M8-'Hampshire Daily'!M7))</f>
        <v>0</v>
      </c>
      <c r="M5" s="4">
        <f>IF(('Hampshire Daily'!N8-'Hampshire Daily'!N7&lt;0),"0",('Hampshire Daily'!N8-'Hampshire Daily'!N7))</f>
        <v>2083</v>
      </c>
      <c r="N5" s="4">
        <f>IF(('Hampshire Daily'!O8-'Hampshire Daily'!O7&lt;0),"0",('Hampshire Daily'!O8-'Hampshire Daily'!O7))</f>
        <v>33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0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4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0.25900000000001455</v>
      </c>
      <c r="V5" s="4">
        <f>IF(('Hampshire Daily'!Y8-'Hampshire Daily'!Y7&lt;0),"0",('Hampshire Daily'!Y8-'Hampshire Daily'!Y7))</f>
        <v>0</v>
      </c>
      <c r="W5" s="4">
        <f>IF(('Hampshire Daily'!Z8-'Hampshire Daily'!Z7&lt;0),"0",('Hampshire Daily'!Z8-'Hampshire Daily'!Z7))</f>
        <v>2</v>
      </c>
      <c r="X5" s="4">
        <f>IF(('Hampshire Daily'!AA8-'Hampshire Daily'!AA7&lt;0),"0",('Hampshire Daily'!AA8-'Hampshire Daily'!AA7))</f>
        <v>10</v>
      </c>
      <c r="Y5" s="4">
        <f>'Hampshire Daily'!B8</f>
        <v>10</v>
      </c>
      <c r="Z5" s="4">
        <f>'Hampshire Daily'!C8</f>
        <v>10</v>
      </c>
    </row>
    <row r="6" spans="1:30" x14ac:dyDescent="0.25">
      <c r="A6" s="3" t="s">
        <v>40</v>
      </c>
      <c r="B6" s="1">
        <f t="shared" si="0"/>
        <v>5</v>
      </c>
      <c r="C6" s="17">
        <v>5</v>
      </c>
      <c r="D6" s="1">
        <v>2021</v>
      </c>
      <c r="E6" s="4">
        <f>IF(('Hampshire Daily'!D9-'Hampshire Daily'!D8&lt;0),"0",('Hampshire Daily'!D9-'Hampshire Daily'!D8))</f>
        <v>1104</v>
      </c>
      <c r="F6" s="4">
        <f>IF(('Hampshire Daily'!F9-'Hampshire Daily'!F8&lt;0),"0",('Hampshire Daily'!F9-'Hampshire Daily'!F8))</f>
        <v>566</v>
      </c>
      <c r="G6" s="4">
        <f>IF(('Hampshire Daily'!H9-'Hampshire Daily'!H8&lt;0),"0",('Hampshire Daily'!H9-'Hampshire Daily'!H8))</f>
        <v>17</v>
      </c>
      <c r="H6" s="4">
        <f>IF(('Hampshire Daily'!I9-'Hampshire Daily'!I8&lt;0),"0",('Hampshire Daily'!I9-'Hampshire Daily'!I8))</f>
        <v>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0</v>
      </c>
      <c r="K6" s="4">
        <f>IF(('Hampshire Daily'!L9-'Hampshire Daily'!L8&lt;0),"0",('Hampshire Daily'!L9-'Hampshire Daily'!L8))</f>
        <v>361</v>
      </c>
      <c r="L6" s="4">
        <f>IF(('Hampshire Daily'!M9-'Hampshire Daily'!M8&lt;0),"0",('Hampshire Daily'!M9-'Hampshire Daily'!M8))</f>
        <v>27</v>
      </c>
      <c r="M6" s="4">
        <f>IF(('Hampshire Daily'!N9-'Hampshire Daily'!N8&lt;0),"0",('Hampshire Daily'!N9-'Hampshire Daily'!N8))</f>
        <v>2313</v>
      </c>
      <c r="N6" s="4">
        <f>IF(('Hampshire Daily'!O9-'Hampshire Daily'!O8&lt;0),"0",('Hampshire Daily'!O9-'Hampshire Daily'!O8))</f>
        <v>42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4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7.2000000000002728E-2</v>
      </c>
      <c r="U6" s="4">
        <f>IF(('Hampshire Daily'!X9-'Hampshire Daily'!X8&lt;0),"0",('Hampshire Daily'!X9-'Hampshire Daily'!X8))</f>
        <v>0.27400000000000091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1</v>
      </c>
      <c r="X6" s="4">
        <f>IF(('Hampshire Daily'!AA9-'Hampshire Daily'!AA8&lt;0),"0",('Hampshire Daily'!AA9-'Hampshire Daily'!AA8))</f>
        <v>5</v>
      </c>
      <c r="Y6" s="4">
        <f>'Hampshire Daily'!B9</f>
        <v>10</v>
      </c>
      <c r="Z6" s="4">
        <f>'Hampshire Daily'!C9</f>
        <v>10</v>
      </c>
    </row>
    <row r="7" spans="1:30" x14ac:dyDescent="0.25">
      <c r="A7" s="3" t="s">
        <v>40</v>
      </c>
      <c r="B7" s="1">
        <f t="shared" si="0"/>
        <v>6</v>
      </c>
      <c r="C7" s="17">
        <v>5</v>
      </c>
      <c r="D7" s="1">
        <v>2021</v>
      </c>
      <c r="E7" s="4">
        <f>IF(('Hampshire Daily'!D10-'Hampshire Daily'!D9&lt;0),"0",('Hampshire Daily'!D10-'Hampshire Daily'!D9))</f>
        <v>1082</v>
      </c>
      <c r="F7" s="4">
        <f>IF(('Hampshire Daily'!F10-'Hampshire Daily'!F9&lt;0),"0",('Hampshire Daily'!F10-'Hampshire Daily'!F9))</f>
        <v>410</v>
      </c>
      <c r="G7" s="4">
        <f>IF(('Hampshire Daily'!H10-'Hampshire Daily'!H9&lt;0),"0",('Hampshire Daily'!H10-'Hampshire Daily'!H9))</f>
        <v>0</v>
      </c>
      <c r="H7" s="4">
        <f>IF(('Hampshire Daily'!I10-'Hampshire Daily'!I9&lt;0),"0",('Hampshire Daily'!I10-'Hampshire Daily'!I9))</f>
        <v>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361</v>
      </c>
      <c r="L7" s="4">
        <f>IF(('Hampshire Daily'!M10-'Hampshire Daily'!M9&lt;0),"0",('Hampshire Daily'!M10-'Hampshire Daily'!M9))</f>
        <v>0</v>
      </c>
      <c r="M7" s="4">
        <f>IF(('Hampshire Daily'!N10-'Hampshire Daily'!N9&lt;0),"0",('Hampshire Daily'!N10-'Hampshire Daily'!N9))</f>
        <v>2561</v>
      </c>
      <c r="N7" s="4">
        <f>IF(('Hampshire Daily'!O10-'Hampshire Daily'!O9&lt;0),"0",('Hampshire Daily'!O10-'Hampshire Daily'!O9))</f>
        <v>40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4.5</v>
      </c>
      <c r="S7" s="4">
        <f>IF(('Hampshire Daily'!V10-'Hampshire Daily'!V9&lt;0),"0",('Hampshire Daily'!V10-'Hampshire Daily'!V9))</f>
        <v>0.5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0.39999999999997726</v>
      </c>
      <c r="V7" s="4">
        <f>IF(('Hampshire Daily'!Y10-'Hampshire Daily'!Y9&lt;0),"0",('Hampshire Daily'!Y10-'Hampshire Daily'!Y9))</f>
        <v>0</v>
      </c>
      <c r="W7" s="4">
        <f>IF(('Hampshire Daily'!Z10-'Hampshire Daily'!Z9&lt;0),"0",('Hampshire Daily'!Z10-'Hampshire Daily'!Z9))</f>
        <v>2</v>
      </c>
      <c r="X7" s="4">
        <f>IF(('Hampshire Daily'!AA10-'Hampshire Daily'!AA9&lt;0),"0",('Hampshire Daily'!AA10-'Hampshire Daily'!AA9))</f>
        <v>3</v>
      </c>
      <c r="Y7" s="4">
        <f>'Hampshire Daily'!B10</f>
        <v>10</v>
      </c>
      <c r="Z7" s="4">
        <f>'Hampshire Daily'!C10</f>
        <v>10</v>
      </c>
    </row>
    <row r="8" spans="1:30" x14ac:dyDescent="0.25">
      <c r="A8" s="3" t="s">
        <v>40</v>
      </c>
      <c r="B8" s="1">
        <f t="shared" si="0"/>
        <v>7</v>
      </c>
      <c r="C8" s="17">
        <v>5</v>
      </c>
      <c r="D8" s="1">
        <v>2021</v>
      </c>
      <c r="E8" s="4">
        <f>IF(('Hampshire Daily'!D11-'Hampshire Daily'!D10&lt;0),"0",('Hampshire Daily'!D11-'Hampshire Daily'!D10))</f>
        <v>1082</v>
      </c>
      <c r="F8" s="4">
        <f>IF(('Hampshire Daily'!F11-'Hampshire Daily'!F10&lt;0),"0",('Hampshire Daily'!F11-'Hampshire Daily'!F10))</f>
        <v>411</v>
      </c>
      <c r="G8" s="4">
        <f>IF(('Hampshire Daily'!H11-'Hampshire Daily'!H10&lt;0),"0",('Hampshire Daily'!H11-'Hampshire Daily'!H10))</f>
        <v>0</v>
      </c>
      <c r="H8" s="4">
        <f>IF(('Hampshire Daily'!I11-'Hampshire Daily'!I10&lt;0),"0",('Hampshire Daily'!I11-'Hampshire Daily'!I10))</f>
        <v>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0</v>
      </c>
      <c r="K8" s="4">
        <f>IF(('Hampshire Daily'!L11-'Hampshire Daily'!L10&lt;0),"0",('Hampshire Daily'!L11-'Hampshire Daily'!L10))</f>
        <v>366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2561</v>
      </c>
      <c r="N8" s="4">
        <f>IF(('Hampshire Daily'!O11-'Hampshire Daily'!O10&lt;0),"0",('Hampshire Daily'!O11-'Hampshire Daily'!O10))</f>
        <v>40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4.5</v>
      </c>
      <c r="S8" s="4">
        <f>IF(('Hampshire Daily'!V11-'Hampshire Daily'!V10&lt;0),"0",('Hampshire Daily'!V11-'Hampshire Daily'!V10))</f>
        <v>0.5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0.44899999999995543</v>
      </c>
      <c r="V8" s="4">
        <f>IF(('Hampshire Daily'!Y11-'Hampshire Daily'!Y10&lt;0),"0",('Hampshire Daily'!Y11-'Hampshire Daily'!Y10))</f>
        <v>0</v>
      </c>
      <c r="W8" s="4">
        <f>IF(('Hampshire Daily'!Z11-'Hampshire Daily'!Z10&lt;0),"0",('Hampshire Daily'!Z11-'Hampshire Daily'!Z10))</f>
        <v>2</v>
      </c>
      <c r="X8" s="4">
        <f>IF(('Hampshire Daily'!AA11-'Hampshire Daily'!AA10&lt;0),"0",('Hampshire Daily'!AA11-'Hampshire Daily'!AA10))</f>
        <v>4</v>
      </c>
      <c r="Y8" s="4">
        <f>'Hampshire Daily'!B11</f>
        <v>10</v>
      </c>
      <c r="Z8" s="4">
        <f>'Hampshire Daily'!C11</f>
        <v>10</v>
      </c>
    </row>
    <row r="9" spans="1:30" x14ac:dyDescent="0.25">
      <c r="A9" s="3" t="s">
        <v>40</v>
      </c>
      <c r="B9" s="1">
        <f t="shared" si="0"/>
        <v>8</v>
      </c>
      <c r="C9" s="17">
        <v>5</v>
      </c>
      <c r="D9" s="1">
        <v>2021</v>
      </c>
      <c r="E9" s="4">
        <f>IF(('Hampshire Daily'!D12-'Hampshire Daily'!D11&lt;0),"0",('Hampshire Daily'!D12-'Hampshire Daily'!D11))</f>
        <v>1519</v>
      </c>
      <c r="F9" s="4">
        <f>IF(('Hampshire Daily'!F12-'Hampshire Daily'!F11&lt;0),"0",('Hampshire Daily'!F12-'Hampshire Daily'!F11))</f>
        <v>375</v>
      </c>
      <c r="G9" s="4">
        <f>IF(('Hampshire Daily'!H12-'Hampshire Daily'!H11&lt;0),"0",('Hampshire Daily'!H12-'Hampshire Daily'!H11))</f>
        <v>0</v>
      </c>
      <c r="H9" s="4">
        <f>IF(('Hampshire Daily'!I12-'Hampshire Daily'!I11&lt;0),"0",('Hampshire Daily'!I12-'Hampshire Daily'!I11))</f>
        <v>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352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2283</v>
      </c>
      <c r="N9" s="4">
        <f>IF(('Hampshire Daily'!O12-'Hampshire Daily'!O11&lt;0),"0",('Hampshire Daily'!O12-'Hampshire Daily'!O11))</f>
        <v>44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4</v>
      </c>
      <c r="S9" s="4">
        <f>IF(('Hampshire Daily'!V12-'Hampshire Daily'!V11&lt;0),"0",('Hampshire Daily'!V12-'Hampshire Daily'!V11))</f>
        <v>1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0.32900000000006457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1</v>
      </c>
      <c r="X9" s="4">
        <f>IF(('Hampshire Daily'!AA12-'Hampshire Daily'!AA11&lt;0),"0",('Hampshire Daily'!AA12-'Hampshire Daily'!AA11))</f>
        <v>4</v>
      </c>
      <c r="Y9" s="4">
        <f>'Hampshire Daily'!B12</f>
        <v>10</v>
      </c>
      <c r="Z9" s="4">
        <f>'Hampshire Daily'!C12</f>
        <v>10</v>
      </c>
    </row>
    <row r="10" spans="1:30" x14ac:dyDescent="0.25">
      <c r="A10" s="3" t="s">
        <v>40</v>
      </c>
      <c r="B10" s="1">
        <f t="shared" si="0"/>
        <v>9</v>
      </c>
      <c r="C10" s="17">
        <v>5</v>
      </c>
      <c r="D10" s="1">
        <v>2021</v>
      </c>
      <c r="E10" s="4">
        <f>IF(('Hampshire Daily'!D13-'Hampshire Daily'!D12&lt;0),"0",('Hampshire Daily'!D13-'Hampshire Daily'!D12))</f>
        <v>1349</v>
      </c>
      <c r="F10" s="4">
        <f>IF(('Hampshire Daily'!F13-'Hampshire Daily'!F12&lt;0),"0",('Hampshire Daily'!F13-'Hampshire Daily'!F12))</f>
        <v>383</v>
      </c>
      <c r="G10" s="4">
        <f>IF(('Hampshire Daily'!H13-'Hampshire Daily'!H12&lt;0),"0",('Hampshire Daily'!H13-'Hampshire Daily'!H12))</f>
        <v>0</v>
      </c>
      <c r="H10" s="4">
        <f>IF(('Hampshire Daily'!I13-'Hampshire Daily'!I12&lt;0),"0",('Hampshire Daily'!I13-'Hampshire Daily'!I12))</f>
        <v>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0</v>
      </c>
      <c r="K10" s="4">
        <f>IF(('Hampshire Daily'!L13-'Hampshire Daily'!L12&lt;0),"0",('Hampshire Daily'!L13-'Hampshire Daily'!L12))</f>
        <v>352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2162</v>
      </c>
      <c r="N10" s="4">
        <f>IF(('Hampshire Daily'!O13-'Hampshire Daily'!O12&lt;0),"0",('Hampshire Daily'!O13-'Hampshire Daily'!O12))</f>
        <v>34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4</v>
      </c>
      <c r="S10" s="4">
        <f>IF(('Hampshire Daily'!V13-'Hampshire Daily'!V12&lt;0),"0",('Hampshire Daily'!V13-'Hampshire Daily'!V12))</f>
        <v>1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0.36599999999998545</v>
      </c>
      <c r="V10" s="4">
        <f>IF(('Hampshire Daily'!Y13-'Hampshire Daily'!Y12&lt;0),"0",('Hampshire Daily'!Y13-'Hampshire Daily'!Y12))</f>
        <v>0</v>
      </c>
      <c r="W10" s="4">
        <f>IF(('Hampshire Daily'!Z13-'Hampshire Daily'!Z12&lt;0),"0",('Hampshire Daily'!Z13-'Hampshire Daily'!Z12))</f>
        <v>2</v>
      </c>
      <c r="X10" s="4">
        <f>IF(('Hampshire Daily'!AA13-'Hampshire Daily'!AA12&lt;0),"0",('Hampshire Daily'!AA13-'Hampshire Daily'!AA12))</f>
        <v>6</v>
      </c>
      <c r="Y10" s="4">
        <f>'Hampshire Daily'!B13</f>
        <v>10</v>
      </c>
      <c r="Z10" s="4">
        <f>'Hampshire Daily'!C13</f>
        <v>10</v>
      </c>
    </row>
    <row r="11" spans="1:30" x14ac:dyDescent="0.25">
      <c r="A11" s="3" t="s">
        <v>40</v>
      </c>
      <c r="B11" s="1">
        <f t="shared" si="0"/>
        <v>10</v>
      </c>
      <c r="C11" s="17">
        <v>5</v>
      </c>
      <c r="D11" s="1">
        <v>2021</v>
      </c>
      <c r="E11" s="4">
        <f>IF(('Hampshire Daily'!D14-'Hampshire Daily'!D13&lt;0),"0",('Hampshire Daily'!D14-'Hampshire Daily'!D13))</f>
        <v>1002</v>
      </c>
      <c r="F11" s="4">
        <f>IF(('Hampshire Daily'!F14-'Hampshire Daily'!F13&lt;0),"0",('Hampshire Daily'!F14-'Hampshire Daily'!F13))</f>
        <v>373</v>
      </c>
      <c r="G11" s="4">
        <f>IF(('Hampshire Daily'!H14-'Hampshire Daily'!H13&lt;0),"0",('Hampshire Daily'!H14-'Hampshire Daily'!H13))</f>
        <v>0</v>
      </c>
      <c r="H11" s="4">
        <f>IF(('Hampshire Daily'!I14-'Hampshire Daily'!I13&lt;0),"0",('Hampshire Daily'!I14-'Hampshire Daily'!I13))</f>
        <v>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352</v>
      </c>
      <c r="L11" s="4">
        <f>IF(('Hampshire Daily'!M14-'Hampshire Daily'!M13&lt;0),"0",('Hampshire Daily'!M14-'Hampshire Daily'!M13))</f>
        <v>0</v>
      </c>
      <c r="M11" s="4">
        <f>IF(('Hampshire Daily'!N14-'Hampshire Daily'!N13&lt;0),"0",('Hampshire Daily'!N14-'Hampshire Daily'!N13))</f>
        <v>2085</v>
      </c>
      <c r="N11" s="4">
        <f>IF(('Hampshire Daily'!O14-'Hampshire Daily'!O13&lt;0),"0",('Hampshire Daily'!O14-'Hampshire Daily'!O13))</f>
        <v>34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3</v>
      </c>
      <c r="S11" s="4">
        <f>IF(('Hampshire Daily'!V14-'Hampshire Daily'!V13&lt;0),"0",('Hampshire Daily'!V14-'Hampshire Daily'!V13))</f>
        <v>12</v>
      </c>
      <c r="T11" s="4" t="str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0.39699999999993452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2</v>
      </c>
      <c r="X11" s="4">
        <f>IF(('Hampshire Daily'!AA14-'Hampshire Daily'!AA13&lt;0),"0",('Hampshire Daily'!AA14-'Hampshire Daily'!AA13))</f>
        <v>6</v>
      </c>
      <c r="Y11" s="4">
        <f>'Hampshire Daily'!B14</f>
        <v>10</v>
      </c>
      <c r="Z11" s="4">
        <f>'Hampshire Daily'!C14</f>
        <v>10</v>
      </c>
    </row>
    <row r="12" spans="1:30" x14ac:dyDescent="0.25">
      <c r="A12" s="3" t="s">
        <v>40</v>
      </c>
      <c r="B12" s="1">
        <f t="shared" si="0"/>
        <v>11</v>
      </c>
      <c r="C12" s="17">
        <v>5</v>
      </c>
      <c r="D12" s="1">
        <v>2021</v>
      </c>
      <c r="E12" s="4">
        <f>IF(('Hampshire Daily'!D15-'Hampshire Daily'!D14&lt;0),"0",('Hampshire Daily'!D15-'Hampshire Daily'!D14))</f>
        <v>530</v>
      </c>
      <c r="F12" s="4">
        <f>IF(('Hampshire Daily'!F15-'Hampshire Daily'!F14&lt;0),"0",('Hampshire Daily'!F15-'Hampshire Daily'!F14))</f>
        <v>1359</v>
      </c>
      <c r="G12" s="4">
        <f>IF(('Hampshire Daily'!H15-'Hampshire Daily'!H14&lt;0),"0",('Hampshire Daily'!H15-'Hampshire Daily'!H14))</f>
        <v>0</v>
      </c>
      <c r="H12" s="4">
        <f>IF(('Hampshire Daily'!I15-'Hampshire Daily'!I14&lt;0),"0",('Hampshire Daily'!I15-'Hampshire Daily'!I14))</f>
        <v>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0</v>
      </c>
      <c r="K12" s="4">
        <f>IF(('Hampshire Daily'!L15-'Hampshire Daily'!L14&lt;0),"0",('Hampshire Daily'!L15-'Hampshire Daily'!L14))</f>
        <v>352</v>
      </c>
      <c r="L12" s="4">
        <f>IF(('Hampshire Daily'!M15-'Hampshire Daily'!M14&lt;0),"0",('Hampshire Daily'!M15-'Hampshire Daily'!M14))</f>
        <v>71</v>
      </c>
      <c r="M12" s="4">
        <f>IF(('Hampshire Daily'!N15-'Hampshire Daily'!N14&lt;0),"0",('Hampshire Daily'!N15-'Hampshire Daily'!N14))</f>
        <v>2189</v>
      </c>
      <c r="N12" s="4">
        <f>IF(('Hampshire Daily'!O15-'Hampshire Daily'!O14&lt;0),"0",('Hampshire Daily'!O15-'Hampshire Daily'!O14))</f>
        <v>63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6</v>
      </c>
      <c r="S12" s="4">
        <f>IF(('Hampshire Daily'!V15-'Hampshire Daily'!V14&lt;0),"0",('Hampshire Daily'!V15-'Hampshire Daily'!V14))</f>
        <v>0</v>
      </c>
      <c r="T12" s="4">
        <f>IF(('Hampshire Daily'!W15-'Hampshire Daily'!W14&lt;0),"0",('Hampshire Daily'!W15-'Hampshire Daily'!W14))</f>
        <v>0.59699999999997999</v>
      </c>
      <c r="U12" s="4">
        <f>IF(('Hampshire Daily'!X15-'Hampshire Daily'!X14&lt;0),"0",('Hampshire Daily'!X15-'Hampshire Daily'!X14))</f>
        <v>0.39800000000002456</v>
      </c>
      <c r="V12" s="4">
        <f>IF(('Hampshire Daily'!Y15-'Hampshire Daily'!Y14&lt;0),"0",('Hampshire Daily'!Y15-'Hampshire Daily'!Y14))</f>
        <v>0</v>
      </c>
      <c r="W12" s="4">
        <f>IF(('Hampshire Daily'!Z15-'Hampshire Daily'!Z14&lt;0),"0",('Hampshire Daily'!Z15-'Hampshire Daily'!Z14))</f>
        <v>1</v>
      </c>
      <c r="X12" s="4">
        <f>IF(('Hampshire Daily'!AA15-'Hampshire Daily'!AA14&lt;0),"0",('Hampshire Daily'!AA15-'Hampshire Daily'!AA14))</f>
        <v>3</v>
      </c>
      <c r="Y12" s="4">
        <f>'Hampshire Daily'!B15</f>
        <v>10</v>
      </c>
      <c r="Z12" s="4">
        <f>'Hampshire Daily'!C15</f>
        <v>10</v>
      </c>
    </row>
    <row r="13" spans="1:30" x14ac:dyDescent="0.25">
      <c r="A13" s="3" t="s">
        <v>40</v>
      </c>
      <c r="B13" s="1">
        <f t="shared" si="0"/>
        <v>12</v>
      </c>
      <c r="C13" s="17">
        <v>5</v>
      </c>
      <c r="D13" s="1">
        <v>2021</v>
      </c>
      <c r="E13" s="4">
        <f>IF(('Hampshire Daily'!D16-'Hampshire Daily'!D15&lt;0),"0",('Hampshire Daily'!D16-'Hampshire Daily'!D15))</f>
        <v>1877</v>
      </c>
      <c r="F13" s="4">
        <f>IF(('Hampshire Daily'!F16-'Hampshire Daily'!F15&lt;0),"0",('Hampshire Daily'!F16-'Hampshire Daily'!F15))</f>
        <v>1433</v>
      </c>
      <c r="G13" s="4">
        <f>IF(('Hampshire Daily'!H16-'Hampshire Daily'!H15&lt;0),"0",('Hampshire Daily'!H16-'Hampshire Daily'!H15))</f>
        <v>426</v>
      </c>
      <c r="H13" s="4">
        <f>IF(('Hampshire Daily'!I16-'Hampshire Daily'!I15&lt;0),"0",('Hampshire Daily'!I16-'Hampshire Daily'!I15))</f>
        <v>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352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1809</v>
      </c>
      <c r="N13" s="4">
        <f>IF(('Hampshire Daily'!O16-'Hampshire Daily'!O15&lt;0),"0",('Hampshire Daily'!O16-'Hampshire Daily'!O15))</f>
        <v>39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4</v>
      </c>
      <c r="S13" s="4">
        <f>IF(('Hampshire Daily'!V16-'Hampshire Daily'!V15&lt;0),"0",('Hampshire Daily'!V16-'Hampshire Daily'!V15))</f>
        <v>2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0.99300000000005184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2</v>
      </c>
      <c r="X13" s="4">
        <f>IF(('Hampshire Daily'!AA16-'Hampshire Daily'!AA15&lt;0),"0",('Hampshire Daily'!AA16-'Hampshire Daily'!AA15))</f>
        <v>4</v>
      </c>
      <c r="Y13" s="4">
        <f>'Hampshire Daily'!B16</f>
        <v>10</v>
      </c>
      <c r="Z13" s="4">
        <f>'Hampshire Daily'!C16</f>
        <v>10</v>
      </c>
    </row>
    <row r="14" spans="1:30" x14ac:dyDescent="0.25">
      <c r="A14" s="3" t="s">
        <v>40</v>
      </c>
      <c r="B14" s="1">
        <f t="shared" si="0"/>
        <v>13</v>
      </c>
      <c r="C14" s="17">
        <v>5</v>
      </c>
      <c r="D14" s="1">
        <v>2021</v>
      </c>
      <c r="E14" s="4">
        <f>IF(('Hampshire Daily'!D17-'Hampshire Daily'!D16&lt;0),"0",('Hampshire Daily'!D17-'Hampshire Daily'!D16))</f>
        <v>1890</v>
      </c>
      <c r="F14" s="4">
        <f>IF(('Hampshire Daily'!F17-'Hampshire Daily'!F16&lt;0),"0",('Hampshire Daily'!F17-'Hampshire Daily'!F16))</f>
        <v>616</v>
      </c>
      <c r="G14" s="4">
        <f>IF(('Hampshire Daily'!H17-'Hampshire Daily'!H16&lt;0),"0",('Hampshire Daily'!H17-'Hampshire Daily'!H16))</f>
        <v>18</v>
      </c>
      <c r="H14" s="4">
        <f>IF(('Hampshire Daily'!I17-'Hampshire Daily'!I16&lt;0),"0",('Hampshire Daily'!I17-'Hampshire Daily'!I16))</f>
        <v>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0</v>
      </c>
      <c r="K14" s="4">
        <f>IF(('Hampshire Daily'!L17-'Hampshire Daily'!L16&lt;0),"0",('Hampshire Daily'!L17-'Hampshire Daily'!L16))</f>
        <v>352</v>
      </c>
      <c r="L14" s="4">
        <f>IF(('Hampshire Daily'!M17-'Hampshire Daily'!M16&lt;0),"0",('Hampshire Daily'!M17-'Hampshire Daily'!M16))</f>
        <v>0</v>
      </c>
      <c r="M14" s="4">
        <f>IF(('Hampshire Daily'!N17-'Hampshire Daily'!N16&lt;0),"0",('Hampshire Daily'!N17-'Hampshire Daily'!N16))</f>
        <v>2380</v>
      </c>
      <c r="N14" s="4">
        <f>IF(('Hampshire Daily'!O17-'Hampshire Daily'!O16&lt;0),"0",('Hampshire Daily'!O17-'Hampshire Daily'!O16))</f>
        <v>61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154</v>
      </c>
      <c r="Q14" s="4">
        <f>IF(('Hampshire Daily'!R17-'Hampshire Daily'!R16&lt;0),"0",('Hampshire Daily'!R17-'Hampshire Daily'!R16))</f>
        <v>2</v>
      </c>
      <c r="R14" s="4">
        <f>IF(('Hampshire Daily'!U17-'Hampshire Daily'!U16&lt;0),"0",('Hampshire Daily'!U17-'Hampshire Daily'!U16))</f>
        <v>7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0.64699999999993452</v>
      </c>
      <c r="V14" s="4">
        <f>IF(('Hampshire Daily'!Y17-'Hampshire Daily'!Y16&lt;0),"0",('Hampshire Daily'!Y17-'Hampshire Daily'!Y16))</f>
        <v>0.57199999999966167</v>
      </c>
      <c r="W14" s="4">
        <f>IF(('Hampshire Daily'!Z17-'Hampshire Daily'!Z16&lt;0),"0",('Hampshire Daily'!Z17-'Hampshire Daily'!Z16))</f>
        <v>1</v>
      </c>
      <c r="X14" s="4">
        <f>IF(('Hampshire Daily'!AA17-'Hampshire Daily'!AA16&lt;0),"0",('Hampshire Daily'!AA17-'Hampshire Daily'!AA16))</f>
        <v>5</v>
      </c>
      <c r="Y14" s="4">
        <f>'Hampshire Daily'!B17</f>
        <v>10</v>
      </c>
      <c r="Z14" s="4">
        <f>'Hampshire Daily'!C17</f>
        <v>10</v>
      </c>
    </row>
    <row r="15" spans="1:30" x14ac:dyDescent="0.25">
      <c r="A15" s="3" t="s">
        <v>40</v>
      </c>
      <c r="B15" s="1">
        <f t="shared" si="0"/>
        <v>14</v>
      </c>
      <c r="C15" s="17">
        <v>5</v>
      </c>
      <c r="D15" s="1">
        <v>2021</v>
      </c>
      <c r="E15" s="4">
        <f>IF(('Hampshire Daily'!D18-'Hampshire Daily'!D17&lt;0),"0",('Hampshire Daily'!D18-'Hampshire Daily'!D17))</f>
        <v>2389</v>
      </c>
      <c r="F15" s="4">
        <f>IF(('Hampshire Daily'!F18-'Hampshire Daily'!F17&lt;0),"0",('Hampshire Daily'!F18-'Hampshire Daily'!F17))</f>
        <v>609</v>
      </c>
      <c r="G15" s="4">
        <f>IF(('Hampshire Daily'!H18-'Hampshire Daily'!H17&lt;0),"0",('Hampshire Daily'!H18-'Hampshire Daily'!H17))</f>
        <v>0</v>
      </c>
      <c r="H15" s="4">
        <f>IF(('Hampshire Daily'!I18-'Hampshire Daily'!I17&lt;0),"0",('Hampshire Daily'!I18-'Hampshire Daily'!I17))</f>
        <v>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352</v>
      </c>
      <c r="L15" s="4">
        <f>IF(('Hampshire Daily'!M18-'Hampshire Daily'!M17&lt;0),"0",('Hampshire Daily'!M18-'Hampshire Daily'!M17))</f>
        <v>0</v>
      </c>
      <c r="M15" s="4">
        <f>IF(('Hampshire Daily'!N18-'Hampshire Daily'!N17&lt;0),"0",('Hampshire Daily'!N18-'Hampshire Daily'!N17))</f>
        <v>2540</v>
      </c>
      <c r="N15" s="4">
        <f>IF(('Hampshire Daily'!O18-'Hampshire Daily'!O17&lt;0),"0",('Hampshire Daily'!O18-'Hampshire Daily'!O17))</f>
        <v>71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105</v>
      </c>
      <c r="Q15" s="4">
        <f>IF(('Hampshire Daily'!R18-'Hampshire Daily'!R17&lt;0),"0",('Hampshire Daily'!R18-'Hampshire Daily'!R17))</f>
        <v>3</v>
      </c>
      <c r="R15" s="4">
        <f>IF(('Hampshire Daily'!U18-'Hampshire Daily'!U17&lt;0),"0",('Hampshire Daily'!U18-'Hampshire Daily'!U17))</f>
        <v>6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0.56100000000003547</v>
      </c>
      <c r="V15" s="4">
        <f>IF(('Hampshire Daily'!Y18-'Hampshire Daily'!Y17&lt;0),"0",('Hampshire Daily'!Y18-'Hampshire Daily'!Y17))</f>
        <v>0</v>
      </c>
      <c r="W15" s="4">
        <f>IF(('Hampshire Daily'!Z18-'Hampshire Daily'!Z17&lt;0),"0",('Hampshire Daily'!Z18-'Hampshire Daily'!Z17))</f>
        <v>2</v>
      </c>
      <c r="X15" s="4">
        <f>IF(('Hampshire Daily'!AA18-'Hampshire Daily'!AA17&lt;0),"0",('Hampshire Daily'!AA18-'Hampshire Daily'!AA17))</f>
        <v>4</v>
      </c>
      <c r="Y15" s="4">
        <f>'Hampshire Daily'!B18</f>
        <v>10</v>
      </c>
      <c r="Z15" s="4">
        <f>'Hampshire Daily'!C18</f>
        <v>10</v>
      </c>
    </row>
    <row r="16" spans="1:30" x14ac:dyDescent="0.25">
      <c r="A16" s="3" t="s">
        <v>40</v>
      </c>
      <c r="B16" s="1">
        <f t="shared" si="0"/>
        <v>15</v>
      </c>
      <c r="C16" s="17">
        <v>5</v>
      </c>
      <c r="D16" s="1">
        <v>2021</v>
      </c>
      <c r="E16" s="4">
        <f>IF(('Hampshire Daily'!D19-'Hampshire Daily'!D18&lt;0),"0",('Hampshire Daily'!D19-'Hampshire Daily'!D18))</f>
        <v>2463</v>
      </c>
      <c r="F16" s="4">
        <f>IF(('Hampshire Daily'!F19-'Hampshire Daily'!F18&lt;0),"0",('Hampshire Daily'!F19-'Hampshire Daily'!F18))</f>
        <v>808</v>
      </c>
      <c r="G16" s="4">
        <f>IF(('Hampshire Daily'!H19-'Hampshire Daily'!H18&lt;0),"0",('Hampshire Daily'!H19-'Hampshire Daily'!H18))</f>
        <v>0</v>
      </c>
      <c r="H16" s="4">
        <f>IF(('Hampshire Daily'!I19-'Hampshire Daily'!I18&lt;0),"0",('Hampshire Daily'!I19-'Hampshire Daily'!I18))</f>
        <v>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0</v>
      </c>
      <c r="K16" s="4">
        <f>IF(('Hampshire Daily'!L19-'Hampshire Daily'!L18&lt;0),"0",('Hampshire Daily'!L19-'Hampshire Daily'!L18))</f>
        <v>352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2492</v>
      </c>
      <c r="N16" s="4">
        <f>IF(('Hampshire Daily'!O19-'Hampshire Daily'!O18&lt;0),"0",('Hampshire Daily'!O19-'Hampshire Daily'!O18))</f>
        <v>33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126</v>
      </c>
      <c r="Q16" s="4">
        <f>IF(('Hampshire Daily'!R19-'Hampshire Daily'!R18&lt;0),"0",('Hampshire Daily'!R19-'Hampshire Daily'!R18))</f>
        <v>4</v>
      </c>
      <c r="R16" s="4">
        <f>IF(('Hampshire Daily'!U19-'Hampshire Daily'!U18&lt;0),"0",('Hampshire Daily'!U19-'Hampshire Daily'!U18))</f>
        <v>5</v>
      </c>
      <c r="S16" s="4">
        <f>IF(('Hampshire Daily'!V19-'Hampshire Daily'!V18&lt;0),"0",('Hampshire Daily'!V19-'Hampshire Daily'!V18))</f>
        <v>2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0.50599999999997181</v>
      </c>
      <c r="V16" s="4">
        <f>IF(('Hampshire Daily'!Y19-'Hampshire Daily'!Y18&lt;0),"0",('Hampshire Daily'!Y19-'Hampshire Daily'!Y18))</f>
        <v>7.2000000000116415E-2</v>
      </c>
      <c r="W16" s="4">
        <f>IF(('Hampshire Daily'!Z19-'Hampshire Daily'!Z18&lt;0),"0",('Hampshire Daily'!Z19-'Hampshire Daily'!Z18))</f>
        <v>1</v>
      </c>
      <c r="X16" s="4">
        <f>IF(('Hampshire Daily'!AA19-'Hampshire Daily'!AA18&lt;0),"0",('Hampshire Daily'!AA19-'Hampshire Daily'!AA18))</f>
        <v>5</v>
      </c>
      <c r="Y16" s="4">
        <f>'Hampshire Daily'!B19</f>
        <v>10</v>
      </c>
      <c r="Z16" s="4">
        <f>'Hampshire Daily'!C19</f>
        <v>10</v>
      </c>
    </row>
    <row r="17" spans="1:26" x14ac:dyDescent="0.25">
      <c r="A17" s="3" t="s">
        <v>40</v>
      </c>
      <c r="B17" s="1">
        <f t="shared" si="0"/>
        <v>16</v>
      </c>
      <c r="C17" s="17">
        <v>5</v>
      </c>
      <c r="D17" s="1">
        <v>2021</v>
      </c>
      <c r="E17" s="4">
        <f>IF(('Hampshire Daily'!D20-'Hampshire Daily'!D19&lt;0),"0",('Hampshire Daily'!D20-'Hampshire Daily'!D19))</f>
        <v>2256</v>
      </c>
      <c r="F17" s="4">
        <f>IF(('Hampshire Daily'!F20-'Hampshire Daily'!F19&lt;0),"0",('Hampshire Daily'!F20-'Hampshire Daily'!F19))</f>
        <v>865</v>
      </c>
      <c r="G17" s="4">
        <f>IF(('Hampshire Daily'!H20-'Hampshire Daily'!H19&lt;0),"0",('Hampshire Daily'!H20-'Hampshire Daily'!H19))</f>
        <v>0</v>
      </c>
      <c r="H17" s="4">
        <f>IF(('Hampshire Daily'!I20-'Hampshire Daily'!I19&lt;0),"0",('Hampshire Daily'!I20-'Hampshire Daily'!I19))</f>
        <v>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352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2433</v>
      </c>
      <c r="N17" s="4">
        <f>IF(('Hampshire Daily'!O20-'Hampshire Daily'!O19&lt;0),"0",('Hampshire Daily'!O20-'Hampshire Daily'!O19))</f>
        <v>37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87</v>
      </c>
      <c r="Q17" s="4">
        <f>IF(('Hampshire Daily'!R20-'Hampshire Daily'!R19&lt;0),"0",('Hampshire Daily'!R20-'Hampshire Daily'!R19))</f>
        <v>3</v>
      </c>
      <c r="R17" s="4">
        <f>IF(('Hampshire Daily'!U20-'Hampshire Daily'!U19&lt;0),"0",('Hampshire Daily'!U20-'Hampshire Daily'!U19))</f>
        <v>8</v>
      </c>
      <c r="S17" s="4">
        <f>IF(('Hampshire Daily'!V20-'Hampshire Daily'!V19&lt;0),"0",('Hampshire Daily'!V20-'Hampshire Daily'!V19))</f>
        <v>1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0.50599999999997181</v>
      </c>
      <c r="V17" s="4">
        <f>IF(('Hampshire Daily'!Y20-'Hampshire Daily'!Y19&lt;0),"0",('Hampshire Daily'!Y20-'Hampshire Daily'!Y19))</f>
        <v>0</v>
      </c>
      <c r="W17" s="4">
        <f>IF(('Hampshire Daily'!Z20-'Hampshire Daily'!Z19&lt;0),"0",('Hampshire Daily'!Z20-'Hampshire Daily'!Z19))</f>
        <v>1</v>
      </c>
      <c r="X17" s="4">
        <f>IF(('Hampshire Daily'!AA20-'Hampshire Daily'!AA19&lt;0),"0",('Hampshire Daily'!AA20-'Hampshire Daily'!AA19))</f>
        <v>3</v>
      </c>
      <c r="Y17" s="4">
        <f>'Hampshire Daily'!B20</f>
        <v>10</v>
      </c>
      <c r="Z17" s="4">
        <f>'Hampshire Daily'!C20</f>
        <v>10</v>
      </c>
    </row>
    <row r="18" spans="1:26" x14ac:dyDescent="0.25">
      <c r="A18" s="3" t="s">
        <v>40</v>
      </c>
      <c r="B18" s="1">
        <f t="shared" si="0"/>
        <v>17</v>
      </c>
      <c r="C18" s="17">
        <v>5</v>
      </c>
      <c r="D18" s="1">
        <v>2021</v>
      </c>
      <c r="E18" s="4">
        <f>IF(('Hampshire Daily'!D21-'Hampshire Daily'!D20&lt;0),"0",('Hampshire Daily'!D21-'Hampshire Daily'!D20))</f>
        <v>2109</v>
      </c>
      <c r="F18" s="4">
        <f>IF(('Hampshire Daily'!F21-'Hampshire Daily'!F20&lt;0),"0",('Hampshire Daily'!F21-'Hampshire Daily'!F20))</f>
        <v>855</v>
      </c>
      <c r="G18" s="4">
        <f>IF(('Hampshire Daily'!H21-'Hampshire Daily'!H20&lt;0),"0",('Hampshire Daily'!H21-'Hampshire Daily'!H20))</f>
        <v>0</v>
      </c>
      <c r="H18" s="4">
        <f>IF(('Hampshire Daily'!I21-'Hampshire Daily'!I20&lt;0),"0",('Hampshire Daily'!I21-'Hampshire Daily'!I20))</f>
        <v>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0</v>
      </c>
      <c r="K18" s="4">
        <f>IF(('Hampshire Daily'!L21-'Hampshire Daily'!L20&lt;0),"0",('Hampshire Daily'!L21-'Hampshire Daily'!L20))</f>
        <v>357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2431</v>
      </c>
      <c r="N18" s="4">
        <f>IF(('Hampshire Daily'!O21-'Hampshire Daily'!O20&lt;0),"0",('Hampshire Daily'!O21-'Hampshire Daily'!O20))</f>
        <v>34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49</v>
      </c>
      <c r="Q18" s="4">
        <f>IF(('Hampshire Daily'!R21-'Hampshire Daily'!R20&lt;0),"0",('Hampshire Daily'!R21-'Hampshire Daily'!R20))</f>
        <v>4</v>
      </c>
      <c r="R18" s="4">
        <f>IF(('Hampshire Daily'!U21-'Hampshire Daily'!U20&lt;0),"0",('Hampshire Daily'!U21-'Hampshire Daily'!U20))</f>
        <v>5</v>
      </c>
      <c r="S18" s="4">
        <f>IF(('Hampshire Daily'!V21-'Hampshire Daily'!V20&lt;0),"0",('Hampshire Daily'!V21-'Hampshire Daily'!V20))</f>
        <v>3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0.42300000000000182</v>
      </c>
      <c r="V18" s="4">
        <f>IF(('Hampshire Daily'!Y21-'Hampshire Daily'!Y20&lt;0),"0",('Hampshire Daily'!Y21-'Hampshire Daily'!Y20))</f>
        <v>7.2000000000116415E-2</v>
      </c>
      <c r="W18" s="4">
        <f>IF(('Hampshire Daily'!Z21-'Hampshire Daily'!Z20&lt;0),"0",('Hampshire Daily'!Z21-'Hampshire Daily'!Z20))</f>
        <v>1</v>
      </c>
      <c r="X18" s="4">
        <f>IF(('Hampshire Daily'!AA21-'Hampshire Daily'!AA20&lt;0),"0",('Hampshire Daily'!AA21-'Hampshire Daily'!AA20))</f>
        <v>6</v>
      </c>
      <c r="Y18" s="4">
        <f>'Hampshire Daily'!B21</f>
        <v>43</v>
      </c>
      <c r="Z18" s="4">
        <f>'Hampshire Daily'!C21</f>
        <v>107</v>
      </c>
    </row>
    <row r="19" spans="1:26" x14ac:dyDescent="0.25">
      <c r="A19" s="3" t="s">
        <v>40</v>
      </c>
      <c r="B19" s="1">
        <f t="shared" si="0"/>
        <v>18</v>
      </c>
      <c r="C19" s="17">
        <v>5</v>
      </c>
      <c r="D19" s="1">
        <v>2021</v>
      </c>
      <c r="E19" s="4">
        <f>IF(('Hampshire Daily'!D22-'Hampshire Daily'!D21&lt;0),"0",('Hampshire Daily'!D22-'Hampshire Daily'!D21))</f>
        <v>2663</v>
      </c>
      <c r="F19" s="4">
        <f>IF(('Hampshire Daily'!F22-'Hampshire Daily'!F21&lt;0),"0",('Hampshire Daily'!F22-'Hampshire Daily'!F21))</f>
        <v>1243</v>
      </c>
      <c r="G19" s="4">
        <f>IF(('Hampshire Daily'!H22-'Hampshire Daily'!H21&lt;0),"0",('Hampshire Daily'!H22-'Hampshire Daily'!H21))</f>
        <v>1</v>
      </c>
      <c r="H19" s="4">
        <f>IF(('Hampshire Daily'!I22-'Hampshire Daily'!I21&lt;0),"0",('Hampshire Daily'!I22-'Hampshire Daily'!I21))</f>
        <v>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912</v>
      </c>
      <c r="L19" s="4">
        <f>IF(('Hampshire Daily'!M22-'Hampshire Daily'!M21&lt;0),"0",('Hampshire Daily'!M22-'Hampshire Daily'!M21))</f>
        <v>72</v>
      </c>
      <c r="M19" s="4">
        <f>IF(('Hampshire Daily'!N22-'Hampshire Daily'!N21&lt;0),"0",('Hampshire Daily'!N22-'Hampshire Daily'!N21))</f>
        <v>2446</v>
      </c>
      <c r="N19" s="4">
        <f>IF(('Hampshire Daily'!O22-'Hampshire Daily'!O21&lt;0),"0",('Hampshire Daily'!O22-'Hampshire Daily'!O21))</f>
        <v>74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18</v>
      </c>
      <c r="Q19" s="4">
        <f>IF(('Hampshire Daily'!R22-'Hampshire Daily'!R21&lt;0),"0",('Hampshire Daily'!R22-'Hampshire Daily'!R21))</f>
        <v>3</v>
      </c>
      <c r="R19" s="4">
        <f>IF(('Hampshire Daily'!U22-'Hampshire Daily'!U21&lt;0),"0",('Hampshire Daily'!U22-'Hampshire Daily'!U21))</f>
        <v>7</v>
      </c>
      <c r="S19" s="4">
        <f>IF(('Hampshire Daily'!V22-'Hampshire Daily'!V21&lt;0),"0",('Hampshire Daily'!V22-'Hampshire Daily'!V21))</f>
        <v>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0.62000000000000455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80</v>
      </c>
      <c r="X19" s="4">
        <f>IF(('Hampshire Daily'!AA22-'Hampshire Daily'!AA21&lt;0),"0",('Hampshire Daily'!AA22-'Hampshire Daily'!AA21))</f>
        <v>4</v>
      </c>
      <c r="Y19" s="4">
        <f>'Hampshire Daily'!B22</f>
        <v>63</v>
      </c>
      <c r="Z19" s="4">
        <f>'Hampshire Daily'!C22</f>
        <v>135</v>
      </c>
    </row>
    <row r="20" spans="1:26" x14ac:dyDescent="0.25">
      <c r="A20" s="3" t="s">
        <v>40</v>
      </c>
      <c r="B20" s="1">
        <f t="shared" si="0"/>
        <v>19</v>
      </c>
      <c r="C20" s="17">
        <v>5</v>
      </c>
      <c r="D20" s="1">
        <v>2021</v>
      </c>
      <c r="E20" s="4">
        <f>IF(('Hampshire Daily'!D23-'Hampshire Daily'!D22&lt;0),"0",('Hampshire Daily'!D23-'Hampshire Daily'!D22))</f>
        <v>2424</v>
      </c>
      <c r="F20" s="4">
        <f>IF(('Hampshire Daily'!F23-'Hampshire Daily'!F22&lt;0),"0",('Hampshire Daily'!F23-'Hampshire Daily'!F22))</f>
        <v>1737</v>
      </c>
      <c r="G20" s="4">
        <f>IF(('Hampshire Daily'!H23-'Hampshire Daily'!H22&lt;0),"0",('Hampshire Daily'!H23-'Hampshire Daily'!H22))</f>
        <v>49</v>
      </c>
      <c r="H20" s="4">
        <f>IF(('Hampshire Daily'!I23-'Hampshire Daily'!I22&lt;0),"0",('Hampshire Daily'!I23-'Hampshire Daily'!I22))</f>
        <v>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0</v>
      </c>
      <c r="K20" s="4">
        <f>IF(('Hampshire Daily'!L23-'Hampshire Daily'!L22&lt;0),"0",('Hampshire Daily'!L23-'Hampshire Daily'!L22))</f>
        <v>1296</v>
      </c>
      <c r="L20" s="4">
        <f>IF(('Hampshire Daily'!M23-'Hampshire Daily'!M22&lt;0),"0",('Hampshire Daily'!M23-'Hampshire Daily'!M22))</f>
        <v>10</v>
      </c>
      <c r="M20" s="4">
        <f>IF(('Hampshire Daily'!N23-'Hampshire Daily'!N22&lt;0),"0",('Hampshire Daily'!N23-'Hampshire Daily'!N22))</f>
        <v>2468</v>
      </c>
      <c r="N20" s="4">
        <f>IF(('Hampshire Daily'!O23-'Hampshire Daily'!O22&lt;0),"0",('Hampshire Daily'!O23-'Hampshire Daily'!O22))</f>
        <v>108</v>
      </c>
      <c r="O20" s="4">
        <f>IF(('Hampshire Daily'!P23-'Hampshire Daily'!P22&lt;0),"0",('Hampshire Daily'!P23-'Hampshire Daily'!P22))</f>
        <v>6</v>
      </c>
      <c r="P20" s="4">
        <f>IF(('Hampshire Daily'!Q23-'Hampshire Daily'!Q22&lt;0),"0",('Hampshire Daily'!Q23-'Hampshire Daily'!Q22))</f>
        <v>59</v>
      </c>
      <c r="Q20" s="4">
        <f>IF(('Hampshire Daily'!R23-'Hampshire Daily'!R22&lt;0),"0",('Hampshire Daily'!R23-'Hampshire Daily'!R22))</f>
        <v>4</v>
      </c>
      <c r="R20" s="4">
        <f>IF(('Hampshire Daily'!U23-'Hampshire Daily'!U22&lt;0),"0",('Hampshire Daily'!U23-'Hampshire Daily'!U22))</f>
        <v>8</v>
      </c>
      <c r="S20" s="4">
        <f>IF(('Hampshire Daily'!V23-'Hampshire Daily'!V22&lt;0),"0",('Hampshire Daily'!V23-'Hampshire Daily'!V22))</f>
        <v>2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0.74700000000007094</v>
      </c>
      <c r="V20" s="4">
        <f>IF(('Hampshire Daily'!Y23-'Hampshire Daily'!Y22&lt;0),"0",('Hampshire Daily'!Y23-'Hampshire Daily'!Y22))</f>
        <v>6.7999999999756255E-2</v>
      </c>
      <c r="W20" s="4" t="str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5</v>
      </c>
      <c r="Y20" s="4">
        <f>'Hampshire Daily'!B23</f>
        <v>62</v>
      </c>
      <c r="Z20" s="4">
        <f>'Hampshire Daily'!C23</f>
        <v>155</v>
      </c>
    </row>
    <row r="21" spans="1:26" x14ac:dyDescent="0.25">
      <c r="A21" s="3" t="s">
        <v>40</v>
      </c>
      <c r="B21" s="1">
        <f t="shared" si="0"/>
        <v>20</v>
      </c>
      <c r="C21" s="17">
        <v>5</v>
      </c>
      <c r="D21" s="1">
        <v>2021</v>
      </c>
      <c r="E21" s="4">
        <f>IF(('Hampshire Daily'!D24-'Hampshire Daily'!D23&lt;0),"0",('Hampshire Daily'!D24-'Hampshire Daily'!D23))</f>
        <v>2689</v>
      </c>
      <c r="F21" s="4">
        <f>IF(('Hampshire Daily'!F24-'Hampshire Daily'!F23&lt;0),"0",('Hampshire Daily'!F24-'Hampshire Daily'!F23))</f>
        <v>1675</v>
      </c>
      <c r="G21" s="4">
        <f>IF(('Hampshire Daily'!H24-'Hampshire Daily'!H23&lt;0),"0",('Hampshire Daily'!H24-'Hampshire Daily'!H23))</f>
        <v>0</v>
      </c>
      <c r="H21" s="4">
        <f>IF(('Hampshire Daily'!I24-'Hampshire Daily'!I23&lt;0),"0",('Hampshire Daily'!I24-'Hampshire Daily'!I23))</f>
        <v>0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1296</v>
      </c>
      <c r="L21" s="4">
        <f>IF(('Hampshire Daily'!M24-'Hampshire Daily'!M23&lt;0),"0",('Hampshire Daily'!M24-'Hampshire Daily'!M23))</f>
        <v>0</v>
      </c>
      <c r="M21" s="4">
        <f>IF(('Hampshire Daily'!N24-'Hampshire Daily'!N23&lt;0),"0",('Hampshire Daily'!N24-'Hampshire Daily'!N23))</f>
        <v>2558</v>
      </c>
      <c r="N21" s="4">
        <f>IF(('Hampshire Daily'!O24-'Hampshire Daily'!O23&lt;0),"0",('Hampshire Daily'!O24-'Hampshire Daily'!O23))</f>
        <v>103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123</v>
      </c>
      <c r="Q21" s="4">
        <f>IF(('Hampshire Daily'!R24-'Hampshire Daily'!R23&lt;0),"0",('Hampshire Daily'!R24-'Hampshire Daily'!R23))</f>
        <v>3</v>
      </c>
      <c r="R21" s="4">
        <f>IF(('Hampshire Daily'!U24-'Hampshire Daily'!U23&lt;0),"0",('Hampshire Daily'!U24-'Hampshire Daily'!U23))</f>
        <v>9</v>
      </c>
      <c r="S21" s="4">
        <f>IF(('Hampshire Daily'!V24-'Hampshire Daily'!V23&lt;0),"0",('Hampshire Daily'!V24-'Hampshire Daily'!V23))</f>
        <v>2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0.79099999999993997</v>
      </c>
      <c r="V21" s="4">
        <f>IF(('Hampshire Daily'!Y24-'Hampshire Daily'!Y23&lt;0),"0",('Hampshire Daily'!Y24-'Hampshire Daily'!Y23))</f>
        <v>0.1430000000000291</v>
      </c>
      <c r="W21" s="4">
        <f>IF(('Hampshire Daily'!Z24-'Hampshire Daily'!Z23&lt;0),"0",('Hampshire Daily'!Z24-'Hampshire Daily'!Z23))</f>
        <v>24</v>
      </c>
      <c r="X21" s="4">
        <f>IF(('Hampshire Daily'!AA24-'Hampshire Daily'!AA23&lt;0),"0",('Hampshire Daily'!AA24-'Hampshire Daily'!AA23))</f>
        <v>8</v>
      </c>
      <c r="Y21" s="4">
        <f>'Hampshire Daily'!B24</f>
        <v>63</v>
      </c>
      <c r="Z21" s="4">
        <f>'Hampshire Daily'!C24</f>
        <v>162</v>
      </c>
    </row>
    <row r="22" spans="1:26" x14ac:dyDescent="0.25">
      <c r="A22" s="3" t="s">
        <v>40</v>
      </c>
      <c r="B22" s="1">
        <f t="shared" si="0"/>
        <v>21</v>
      </c>
      <c r="C22" s="17">
        <v>5</v>
      </c>
      <c r="D22" s="1">
        <v>2021</v>
      </c>
      <c r="E22" s="4">
        <f>IF(('Hampshire Daily'!D25-'Hampshire Daily'!D24&lt;0),"0",('Hampshire Daily'!D25-'Hampshire Daily'!D24))</f>
        <v>2453</v>
      </c>
      <c r="F22" s="4">
        <f>IF(('Hampshire Daily'!F25-'Hampshire Daily'!F24&lt;0),"0",('Hampshire Daily'!F25-'Hampshire Daily'!F24))</f>
        <v>1694</v>
      </c>
      <c r="G22" s="4">
        <f>IF(('Hampshire Daily'!H25-'Hampshire Daily'!H24&lt;0),"0",('Hampshire Daily'!H25-'Hampshire Daily'!H24))</f>
        <v>0</v>
      </c>
      <c r="H22" s="4">
        <f>IF(('Hampshire Daily'!I25-'Hampshire Daily'!I24&lt;0),"0",('Hampshire Daily'!I25-'Hampshire Daily'!I24))</f>
        <v>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0</v>
      </c>
      <c r="K22" s="4">
        <f>IF(('Hampshire Daily'!L25-'Hampshire Daily'!L24&lt;0),"0",('Hampshire Daily'!L25-'Hampshire Daily'!L24))</f>
        <v>1296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2559</v>
      </c>
      <c r="N22" s="4">
        <f>IF(('Hampshire Daily'!O25-'Hampshire Daily'!O24&lt;0),"0",('Hampshire Daily'!O25-'Hampshire Daily'!O24))</f>
        <v>91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95</v>
      </c>
      <c r="Q22" s="4">
        <f>IF(('Hampshire Daily'!R25-'Hampshire Daily'!R24&lt;0),"0",('Hampshire Daily'!R25-'Hampshire Daily'!R24))</f>
        <v>3</v>
      </c>
      <c r="R22" s="4">
        <f>IF(('Hampshire Daily'!U25-'Hampshire Daily'!U24&lt;0),"0",('Hampshire Daily'!U25-'Hampshire Daily'!U24))</f>
        <v>9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0.67100000000004911</v>
      </c>
      <c r="V22" s="4">
        <f>IF(('Hampshire Daily'!Y25-'Hampshire Daily'!Y24&lt;0),"0",('Hampshire Daily'!Y25-'Hampshire Daily'!Y24))</f>
        <v>0</v>
      </c>
      <c r="W22" s="4">
        <f>IF(('Hampshire Daily'!Z25-'Hampshire Daily'!Z24&lt;0),"0",('Hampshire Daily'!Z25-'Hampshire Daily'!Z24))</f>
        <v>21</v>
      </c>
      <c r="X22" s="4">
        <f>IF(('Hampshire Daily'!AA25-'Hampshire Daily'!AA24&lt;0),"0",('Hampshire Daily'!AA25-'Hampshire Daily'!AA24))</f>
        <v>4</v>
      </c>
      <c r="Y22" s="4">
        <f>'Hampshire Daily'!B25</f>
        <v>102</v>
      </c>
      <c r="Z22" s="4">
        <f>'Hampshire Daily'!C25</f>
        <v>273</v>
      </c>
    </row>
    <row r="23" spans="1:26" x14ac:dyDescent="0.25">
      <c r="A23" s="3" t="s">
        <v>40</v>
      </c>
      <c r="B23" s="1">
        <f t="shared" si="0"/>
        <v>22</v>
      </c>
      <c r="C23" s="17">
        <v>5</v>
      </c>
      <c r="D23" s="1">
        <v>2021</v>
      </c>
      <c r="E23" s="4">
        <f>IF(('Hampshire Daily'!D26-'Hampshire Daily'!D25&lt;0),"0",('Hampshire Daily'!D26-'Hampshire Daily'!D25))</f>
        <v>2757</v>
      </c>
      <c r="F23" s="4">
        <f>IF(('Hampshire Daily'!F26-'Hampshire Daily'!F25&lt;0),"0",('Hampshire Daily'!F26-'Hampshire Daily'!F25))</f>
        <v>1944</v>
      </c>
      <c r="G23" s="4">
        <f>IF(('Hampshire Daily'!H26-'Hampshire Daily'!H25&lt;0),"0",('Hampshire Daily'!H26-'Hampshire Daily'!H25))</f>
        <v>0</v>
      </c>
      <c r="H23" s="4">
        <f>IF(('Hampshire Daily'!I26-'Hampshire Daily'!I25&lt;0),"0",('Hampshire Daily'!I26-'Hampshire Daily'!I25))</f>
        <v>0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0</v>
      </c>
      <c r="K23" s="4">
        <f>IF(('Hampshire Daily'!L26-'Hampshire Daily'!L25&lt;0),"0",('Hampshire Daily'!L26-'Hampshire Daily'!L25))</f>
        <v>919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2824</v>
      </c>
      <c r="N23" s="4">
        <f>IF(('Hampshire Daily'!O26-'Hampshire Daily'!O25&lt;0),"0",('Hampshire Daily'!O26-'Hampshire Daily'!O25))</f>
        <v>154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8</v>
      </c>
      <c r="Q23" s="4">
        <f>IF(('Hampshire Daily'!R26-'Hampshire Daily'!R25&lt;0),"0",('Hampshire Daily'!R26-'Hampshire Daily'!R25))</f>
        <v>4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0.69999999999993179</v>
      </c>
      <c r="V23" s="4">
        <f>IF(('Hampshire Daily'!Y26-'Hampshire Daily'!Y25&lt;0),"0",('Hampshire Daily'!Y26-'Hampshire Daily'!Y25))</f>
        <v>0.12300000000004729</v>
      </c>
      <c r="W23" s="4">
        <f>IF(('Hampshire Daily'!Z26-'Hampshire Daily'!Z25&lt;0),"0",('Hampshire Daily'!Z26-'Hampshire Daily'!Z25))</f>
        <v>22</v>
      </c>
      <c r="X23" s="4">
        <f>IF(('Hampshire Daily'!AA26-'Hampshire Daily'!AA25&lt;0),"0",('Hampshire Daily'!AA26-'Hampshire Daily'!AA25))</f>
        <v>6</v>
      </c>
      <c r="Y23" s="4">
        <f>'Hampshire Daily'!B26</f>
        <v>121</v>
      </c>
      <c r="Z23" s="4">
        <f>'Hampshire Daily'!C26</f>
        <v>314</v>
      </c>
    </row>
    <row r="24" spans="1:26" x14ac:dyDescent="0.25">
      <c r="A24" s="3" t="s">
        <v>40</v>
      </c>
      <c r="B24" s="1">
        <f t="shared" si="0"/>
        <v>23</v>
      </c>
      <c r="C24" s="17">
        <v>5</v>
      </c>
      <c r="D24" s="1">
        <v>2021</v>
      </c>
      <c r="E24" s="4">
        <f>IF(('Hampshire Daily'!D27-'Hampshire Daily'!D26&lt;0),"0",('Hampshire Daily'!D27-'Hampshire Daily'!D26))</f>
        <v>2695</v>
      </c>
      <c r="F24" s="4">
        <f>IF(('Hampshire Daily'!F27-'Hampshire Daily'!F26&lt;0),"0",('Hampshire Daily'!F27-'Hampshire Daily'!F26))</f>
        <v>2078</v>
      </c>
      <c r="G24" s="4">
        <f>IF(('Hampshire Daily'!H27-'Hampshire Daily'!H26&lt;0),"0",('Hampshire Daily'!H27-'Hampshire Daily'!H26))</f>
        <v>0</v>
      </c>
      <c r="H24" s="4">
        <f>IF(('Hampshire Daily'!I27-'Hampshire Daily'!I26&lt;0),"0",('Hampshire Daily'!I27-'Hampshire Daily'!I26))</f>
        <v>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0</v>
      </c>
      <c r="K24" s="4">
        <f>IF(('Hampshire Daily'!L27-'Hampshire Daily'!L26&lt;0),"0",('Hampshire Daily'!L27-'Hampshire Daily'!L26))</f>
        <v>1518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2747</v>
      </c>
      <c r="N24" s="4">
        <f>IF(('Hampshire Daily'!O27-'Hampshire Daily'!O26&lt;0),"0",('Hampshire Daily'!O27-'Hampshire Daily'!O26))</f>
        <v>83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67</v>
      </c>
      <c r="Q24" s="4">
        <f>IF(('Hampshire Daily'!R27-'Hampshire Daily'!R26&lt;0),"0",('Hampshire Daily'!R27-'Hampshire Daily'!R26))</f>
        <v>3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2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0.6590000000001055</v>
      </c>
      <c r="V24" s="4">
        <f>IF(('Hampshire Daily'!Y27-'Hampshire Daily'!Y26&lt;0),"0",('Hampshire Daily'!Y27-'Hampshire Daily'!Y26))</f>
        <v>0</v>
      </c>
      <c r="W24" s="4">
        <f>IF(('Hampshire Daily'!Z27-'Hampshire Daily'!Z26&lt;0),"0",('Hampshire Daily'!Z27-'Hampshire Daily'!Z26))</f>
        <v>20</v>
      </c>
      <c r="X24" s="4">
        <f>IF(('Hampshire Daily'!AA27-'Hampshire Daily'!AA26&lt;0),"0",('Hampshire Daily'!AA27-'Hampshire Daily'!AA26))</f>
        <v>4</v>
      </c>
      <c r="Y24" s="4">
        <f>'Hampshire Daily'!B27</f>
        <v>48</v>
      </c>
      <c r="Z24" s="4">
        <f>'Hampshire Daily'!C27</f>
        <v>141</v>
      </c>
    </row>
    <row r="25" spans="1:26" x14ac:dyDescent="0.25">
      <c r="A25" s="3" t="s">
        <v>40</v>
      </c>
      <c r="B25" s="1">
        <f t="shared" si="0"/>
        <v>24</v>
      </c>
      <c r="C25" s="17">
        <v>5</v>
      </c>
      <c r="D25" s="1">
        <v>2021</v>
      </c>
      <c r="E25" s="4">
        <f>IF(('Hampshire Daily'!D28-'Hampshire Daily'!D27&lt;0),"0",('Hampshire Daily'!D28-'Hampshire Daily'!D27))</f>
        <v>2161</v>
      </c>
      <c r="F25" s="4">
        <f>IF(('Hampshire Daily'!F28-'Hampshire Daily'!F27&lt;0),"0",('Hampshire Daily'!F28-'Hampshire Daily'!F27))</f>
        <v>1798</v>
      </c>
      <c r="G25" s="4">
        <f>IF(('Hampshire Daily'!H28-'Hampshire Daily'!H27&lt;0),"0",('Hampshire Daily'!H28-'Hampshire Daily'!H27))</f>
        <v>0</v>
      </c>
      <c r="H25" s="4">
        <f>IF(('Hampshire Daily'!I28-'Hampshire Daily'!I27&lt;0),"0",('Hampshire Daily'!I28-'Hampshire Daily'!I27))</f>
        <v>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1280</v>
      </c>
      <c r="L25" s="4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2703</v>
      </c>
      <c r="N25" s="4">
        <f>IF(('Hampshire Daily'!O28-'Hampshire Daily'!O27&lt;0),"0",('Hampshire Daily'!O28-'Hampshire Daily'!O27))</f>
        <v>85</v>
      </c>
      <c r="O25" s="4">
        <f>IF(('Hampshire Daily'!P28-'Hampshire Daily'!P27&lt;0),"0",('Hampshire Daily'!P28-'Hampshire Daily'!P27))</f>
        <v>8</v>
      </c>
      <c r="P25" s="4">
        <f>IF(('Hampshire Daily'!Q28-'Hampshire Daily'!Q27&lt;0),"0",('Hampshire Daily'!Q28-'Hampshire Daily'!Q27))</f>
        <v>137</v>
      </c>
      <c r="Q25" s="4">
        <f>IF(('Hampshire Daily'!R28-'Hampshire Daily'!R27&lt;0),"0",('Hampshire Daily'!R28-'Hampshire Daily'!R27))</f>
        <v>2</v>
      </c>
      <c r="R25" s="4">
        <f>IF(('Hampshire Daily'!U28-'Hampshire Daily'!U27&lt;0),"0",('Hampshire Daily'!U28-'Hampshire Daily'!U27))</f>
        <v>9</v>
      </c>
      <c r="S25" s="4">
        <f>IF(('Hampshire Daily'!V28-'Hampshire Daily'!V27&lt;0),"0",('Hampshire Daily'!V28-'Hampshire Daily'!V27))</f>
        <v>1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0.65199999999992997</v>
      </c>
      <c r="V25" s="4">
        <f>IF(('Hampshire Daily'!Y28-'Hampshire Daily'!Y27&lt;0),"0",('Hampshire Daily'!Y28-'Hampshire Daily'!Y27))</f>
        <v>5.2999999999883585E-2</v>
      </c>
      <c r="W25" s="4">
        <f>IF(('Hampshire Daily'!Z28-'Hampshire Daily'!Z27&lt;0),"0",('Hampshire Daily'!Z28-'Hampshire Daily'!Z27))</f>
        <v>20</v>
      </c>
      <c r="X25" s="4">
        <f>IF(('Hampshire Daily'!AA28-'Hampshire Daily'!AA27&lt;0),"0",('Hampshire Daily'!AA28-'Hampshire Daily'!AA27))</f>
        <v>5</v>
      </c>
      <c r="Y25" s="4">
        <f>'Hampshire Daily'!B28</f>
        <v>51</v>
      </c>
      <c r="Z25" s="4">
        <f>'Hampshire Daily'!C28</f>
        <v>142</v>
      </c>
    </row>
    <row r="26" spans="1:26" x14ac:dyDescent="0.25">
      <c r="A26" s="3" t="s">
        <v>40</v>
      </c>
      <c r="B26" s="15">
        <f>B25+1</f>
        <v>25</v>
      </c>
      <c r="C26" s="17">
        <v>5</v>
      </c>
      <c r="D26" s="1">
        <v>2021</v>
      </c>
      <c r="E26" s="4">
        <f>IF(('Hampshire Daily'!D29-'Hampshire Daily'!D28&lt;0),"0",('Hampshire Daily'!D29-'Hampshire Daily'!D28))</f>
        <v>2602</v>
      </c>
      <c r="F26" s="4">
        <f>IF(('Hampshire Daily'!F29-'Hampshire Daily'!F28&lt;0),"0",('Hampshire Daily'!F29-'Hampshire Daily'!F28))</f>
        <v>3282</v>
      </c>
      <c r="G26" s="4">
        <f>IF(('Hampshire Daily'!H29-'Hampshire Daily'!H28&lt;0),"0",('Hampshire Daily'!H29-'Hampshire Daily'!H28))</f>
        <v>308</v>
      </c>
      <c r="H26" s="4">
        <f>IF(('Hampshire Daily'!I29-'Hampshire Daily'!I28&lt;0),"0",('Hampshire Daily'!I29-'Hampshire Daily'!I28))</f>
        <v>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0</v>
      </c>
      <c r="K26" s="4">
        <f>IF(('Hampshire Daily'!L29-'Hampshire Daily'!L28&lt;0),"0",('Hampshire Daily'!L29-'Hampshire Daily'!L28))</f>
        <v>1296</v>
      </c>
      <c r="L26" s="4">
        <f>IF(('Hampshire Daily'!M29-'Hampshire Daily'!M28&lt;0),"0",('Hampshire Daily'!M29-'Hampshire Daily'!M28))</f>
        <v>84</v>
      </c>
      <c r="M26" s="4">
        <f>IF(('Hampshire Daily'!N29-'Hampshire Daily'!N28&lt;0),"0",('Hampshire Daily'!N29-'Hampshire Daily'!N28))</f>
        <v>2269</v>
      </c>
      <c r="N26" s="4">
        <f>IF(('Hampshire Daily'!O29-'Hampshire Daily'!O28&lt;0),"0",('Hampshire Daily'!O29-'Hampshire Daily'!O28))</f>
        <v>103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221</v>
      </c>
      <c r="Q26" s="4">
        <f>IF(('Hampshire Daily'!R29-'Hampshire Daily'!R28&lt;0),"0",('Hampshire Daily'!R29-'Hampshire Daily'!R28))</f>
        <v>2</v>
      </c>
      <c r="R26" s="4">
        <f>IF(('Hampshire Daily'!U29-'Hampshire Daily'!U28&lt;0),"0",('Hampshire Daily'!U29-'Hampshire Daily'!U28))</f>
        <v>9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0.32600000000002183</v>
      </c>
      <c r="V26" s="4">
        <f>IF(('Hampshire Daily'!Y29-'Hampshire Daily'!Y28&lt;0),"0",('Hampshire Daily'!Y29-'Hampshire Daily'!Y28))</f>
        <v>0.36400000000003274</v>
      </c>
      <c r="W26" s="4">
        <f>IF(('Hampshire Daily'!Z29-'Hampshire Daily'!Z28&lt;0),"0",('Hampshire Daily'!Z29-'Hampshire Daily'!Z28))</f>
        <v>20</v>
      </c>
      <c r="X26" s="4">
        <f>IF(('Hampshire Daily'!AA29-'Hampshire Daily'!AA28&lt;0),"0",('Hampshire Daily'!AA29-'Hampshire Daily'!AA28))</f>
        <v>9</v>
      </c>
      <c r="Y26" s="4">
        <f>'Hampshire Daily'!B29</f>
        <v>67</v>
      </c>
      <c r="Z26" s="4">
        <f>'Hampshire Daily'!C29</f>
        <v>169</v>
      </c>
    </row>
    <row r="27" spans="1:26" x14ac:dyDescent="0.25">
      <c r="A27" s="3" t="s">
        <v>40</v>
      </c>
      <c r="B27" s="1">
        <f t="shared" si="0"/>
        <v>26</v>
      </c>
      <c r="C27" s="17">
        <v>5</v>
      </c>
      <c r="D27" s="1">
        <v>2021</v>
      </c>
      <c r="E27" s="4">
        <f>IF(('Hampshire Daily'!D30-'Hampshire Daily'!D29&lt;0),"0",('Hampshire Daily'!D30-'Hampshire Daily'!D29))</f>
        <v>2266</v>
      </c>
      <c r="F27" s="4">
        <f>IF(('Hampshire Daily'!F30-'Hampshire Daily'!F29&lt;0),"0",('Hampshire Daily'!F30-'Hampshire Daily'!F29))</f>
        <v>2231</v>
      </c>
      <c r="G27" s="4">
        <f>IF(('Hampshire Daily'!H30-'Hampshire Daily'!H29&lt;0),"0",('Hampshire Daily'!H30-'Hampshire Daily'!H29))</f>
        <v>6</v>
      </c>
      <c r="H27" s="4">
        <f>IF(('Hampshire Daily'!I30-'Hampshire Daily'!I29&lt;0),"0",('Hampshire Daily'!I30-'Hampshire Daily'!I29))</f>
        <v>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1296</v>
      </c>
      <c r="L27" s="4">
        <f>IF(('Hampshire Daily'!M30-'Hampshire Daily'!M29&lt;0),"0",('Hampshire Daily'!M30-'Hampshire Daily'!M29))</f>
        <v>0</v>
      </c>
      <c r="M27" s="4">
        <f>IF(('Hampshire Daily'!N30-'Hampshire Daily'!N29&lt;0),"0",('Hampshire Daily'!N30-'Hampshire Daily'!N29))</f>
        <v>1267</v>
      </c>
      <c r="N27" s="4">
        <f>IF(('Hampshire Daily'!O30-'Hampshire Daily'!O29&lt;0),"0",('Hampshire Daily'!O30-'Hampshire Daily'!O29))</f>
        <v>64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313</v>
      </c>
      <c r="Q27" s="4">
        <f>IF(('Hampshire Daily'!R30-'Hampshire Daily'!R29&lt;0),"0",('Hampshire Daily'!R30-'Hampshire Daily'!R29))</f>
        <v>2.5</v>
      </c>
      <c r="R27" s="4">
        <f>IF(('Hampshire Daily'!U30-'Hampshire Daily'!U29&lt;0),"0",('Hampshire Daily'!U30-'Hampshire Daily'!U29))</f>
        <v>10</v>
      </c>
      <c r="S27" s="4">
        <f>IF(('Hampshire Daily'!V30-'Hampshire Daily'!V29&lt;0),"0",('Hampshire Daily'!V30-'Hampshire Daily'!V29))</f>
        <v>1.5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0.60000000000002274</v>
      </c>
      <c r="V27" s="4">
        <f>IF(('Hampshire Daily'!Y30-'Hampshire Daily'!Y29&lt;0),"0",('Hampshire Daily'!Y30-'Hampshire Daily'!Y29))</f>
        <v>8.0000000000381988E-2</v>
      </c>
      <c r="W27" s="4">
        <f>IF(('Hampshire Daily'!Z30-'Hampshire Daily'!Z29&lt;0),"0",('Hampshire Daily'!Z30-'Hampshire Daily'!Z29))</f>
        <v>23</v>
      </c>
      <c r="X27" s="4">
        <f>IF(('Hampshire Daily'!AA30-'Hampshire Daily'!AA29&lt;0),"0",('Hampshire Daily'!AA30-'Hampshire Daily'!AA29))</f>
        <v>4.5</v>
      </c>
      <c r="Y27" s="4">
        <f>'Hampshire Daily'!B30</f>
        <v>67</v>
      </c>
      <c r="Z27" s="4">
        <f>'Hampshire Daily'!C30</f>
        <v>173</v>
      </c>
    </row>
    <row r="28" spans="1:26" x14ac:dyDescent="0.25">
      <c r="A28" s="3" t="s">
        <v>40</v>
      </c>
      <c r="B28" s="1">
        <f t="shared" si="0"/>
        <v>27</v>
      </c>
      <c r="C28" s="17">
        <v>5</v>
      </c>
      <c r="D28" s="1">
        <v>2021</v>
      </c>
      <c r="E28" s="4">
        <f>IF(('Hampshire Daily'!D31-'Hampshire Daily'!D30&lt;0),"0",('Hampshire Daily'!D31-'Hampshire Daily'!D30))</f>
        <v>3367</v>
      </c>
      <c r="F28" s="4">
        <f>IF(('Hampshire Daily'!F31-'Hampshire Daily'!F30&lt;0),"0",('Hampshire Daily'!F31-'Hampshire Daily'!F30))</f>
        <v>2231</v>
      </c>
      <c r="G28" s="4">
        <f>IF(('Hampshire Daily'!H31-'Hampshire Daily'!H30&lt;0),"0",('Hampshire Daily'!H31-'Hampshire Daily'!H30))</f>
        <v>36</v>
      </c>
      <c r="H28" s="4">
        <f>IF(('Hampshire Daily'!I31-'Hampshire Daily'!I30&lt;0),"0",('Hampshire Daily'!I31-'Hampshire Daily'!I30))</f>
        <v>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0</v>
      </c>
      <c r="K28" s="4">
        <f>IF(('Hampshire Daily'!L31-'Hampshire Daily'!L30&lt;0),"0",('Hampshire Daily'!L31-'Hampshire Daily'!L30))</f>
        <v>1296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1267</v>
      </c>
      <c r="N28" s="4">
        <f>IF(('Hampshire Daily'!O31-'Hampshire Daily'!O30&lt;0),"0",('Hampshire Daily'!O31-'Hampshire Daily'!O30))</f>
        <v>64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314</v>
      </c>
      <c r="Q28" s="4">
        <f>IF(('Hampshire Daily'!R31-'Hampshire Daily'!R30&lt;0),"0",('Hampshire Daily'!R31-'Hampshire Daily'!R30))</f>
        <v>2.5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1.5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0.79800000000000182</v>
      </c>
      <c r="V28" s="4">
        <f>IF(('Hampshire Daily'!Y31-'Hampshire Daily'!Y30&lt;0),"0",('Hampshire Daily'!Y31-'Hampshire Daily'!Y30))</f>
        <v>8.8999999999941792E-2</v>
      </c>
      <c r="W28" s="4">
        <f>IF(('Hampshire Daily'!Z31-'Hampshire Daily'!Z30&lt;0),"0",('Hampshire Daily'!Z31-'Hampshire Daily'!Z30))</f>
        <v>23</v>
      </c>
      <c r="X28" s="4">
        <f>IF(('Hampshire Daily'!AA31-'Hampshire Daily'!AA30&lt;0),"0",('Hampshire Daily'!AA31-'Hampshire Daily'!AA30))</f>
        <v>4.5</v>
      </c>
      <c r="Y28" s="4">
        <f>'Hampshire Daily'!B31</f>
        <v>75</v>
      </c>
      <c r="Z28" s="4">
        <f>'Hampshire Daily'!C31</f>
        <v>200</v>
      </c>
    </row>
    <row r="29" spans="1:26" x14ac:dyDescent="0.25">
      <c r="A29" s="3" t="s">
        <v>40</v>
      </c>
      <c r="B29" s="1">
        <f t="shared" si="0"/>
        <v>28</v>
      </c>
      <c r="C29" s="17">
        <v>5</v>
      </c>
      <c r="D29" s="1">
        <v>2021</v>
      </c>
      <c r="E29" s="4">
        <f>IF(('Hampshire Daily'!D32-'Hampshire Daily'!D31&lt;0),"0",('Hampshire Daily'!D32-'Hampshire Daily'!D31))</f>
        <v>1804</v>
      </c>
      <c r="F29" s="4">
        <f>IF(('Hampshire Daily'!F32-'Hampshire Daily'!F31&lt;0),"0",('Hampshire Daily'!F32-'Hampshire Daily'!F31))</f>
        <v>1358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1296</v>
      </c>
      <c r="L29" s="4">
        <f>IF(('Hampshire Daily'!M32-'Hampshire Daily'!M31&lt;0),"0",('Hampshire Daily'!M32-'Hampshire Daily'!M31))</f>
        <v>9</v>
      </c>
      <c r="M29" s="4">
        <f>IF(('Hampshire Daily'!N32-'Hampshire Daily'!N31&lt;0),"0",('Hampshire Daily'!N32-'Hampshire Daily'!N31))</f>
        <v>5068</v>
      </c>
      <c r="N29" s="4">
        <f>IF(('Hampshire Daily'!O32-'Hampshire Daily'!O31&lt;0),"0",('Hampshire Daily'!O32-'Hampshire Daily'!O31))</f>
        <v>200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145</v>
      </c>
      <c r="Q29" s="4">
        <f>IF(('Hampshire Daily'!R32-'Hampshire Daily'!R31&lt;0),"0",('Hampshire Daily'!R32-'Hampshire Daily'!R31))</f>
        <v>2</v>
      </c>
      <c r="R29" s="4">
        <f>IF(('Hampshire Daily'!U32-'Hampshire Daily'!U31&lt;0),"0",('Hampshire Daily'!U32-'Hampshire Daily'!U31))</f>
        <v>6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0.45199999999999818</v>
      </c>
      <c r="V29" s="4">
        <f>IF(('Hampshire Daily'!Y32-'Hampshire Daily'!Y31&lt;0),"0",('Hampshire Daily'!Y32-'Hampshire Daily'!Y31))</f>
        <v>4.7999999999774445E-2</v>
      </c>
      <c r="W29" s="4">
        <f>IF(('Hampshire Daily'!Z32-'Hampshire Daily'!Z31&lt;0),"0",('Hampshire Daily'!Z32-'Hampshire Daily'!Z31))</f>
        <v>15</v>
      </c>
      <c r="X29" s="4">
        <f>IF(('Hampshire Daily'!AA32-'Hampshire Daily'!AA31&lt;0),"0",('Hampshire Daily'!AA32-'Hampshire Daily'!AA31))</f>
        <v>6</v>
      </c>
      <c r="Y29" s="4">
        <f>'Hampshire Daily'!B32</f>
        <v>107</v>
      </c>
      <c r="Z29" s="4">
        <f>'Hampshire Daily'!C32</f>
        <v>271</v>
      </c>
    </row>
    <row r="30" spans="1:26" x14ac:dyDescent="0.25">
      <c r="A30" s="3" t="s">
        <v>40</v>
      </c>
      <c r="B30" s="1">
        <f t="shared" si="0"/>
        <v>29</v>
      </c>
      <c r="C30" s="17">
        <v>5</v>
      </c>
      <c r="D30" s="1">
        <v>2021</v>
      </c>
      <c r="E30" s="4">
        <f>IF(('Hampshire Daily'!D33-'Hampshire Daily'!D32&lt;0),"0",('Hampshire Daily'!D33-'Hampshire Daily'!D32))</f>
        <v>3278</v>
      </c>
      <c r="F30" s="4">
        <f>IF(('Hampshire Daily'!F33-'Hampshire Daily'!F32&lt;0),"0",('Hampshire Daily'!F33-'Hampshire Daily'!F32))</f>
        <v>2338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0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0</v>
      </c>
      <c r="K30" s="4">
        <f>IF(('Hampshire Daily'!L33-'Hampshire Daily'!L32&lt;0),"0",('Hampshire Daily'!L33-'Hampshire Daily'!L32))</f>
        <v>1296</v>
      </c>
      <c r="L30" s="4">
        <f>IF(('Hampshire Daily'!M33-'Hampshire Daily'!M32&lt;0),"0",('Hampshire Daily'!M33-'Hampshire Daily'!M32))</f>
        <v>0</v>
      </c>
      <c r="M30" s="4">
        <f>IF(('Hampshire Daily'!N33-'Hampshire Daily'!N32&lt;0),"0",('Hampshire Daily'!N33-'Hampshire Daily'!N32))</f>
        <v>2507</v>
      </c>
      <c r="N30" s="4">
        <f>IF(('Hampshire Daily'!O33-'Hampshire Daily'!O32&lt;0),"0",('Hampshire Daily'!O33-'Hampshire Daily'!O32))</f>
        <v>190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426</v>
      </c>
      <c r="Q30" s="4">
        <f>IF(('Hampshire Daily'!R33-'Hampshire Daily'!R32&lt;0),"0",('Hampshire Daily'!R33-'Hampshire Daily'!R32))</f>
        <v>4</v>
      </c>
      <c r="R30" s="4">
        <f>IF(('Hampshire Daily'!U33-'Hampshire Daily'!U32&lt;0),"0",('Hampshire Daily'!U33-'Hampshire Daily'!U32))</f>
        <v>11</v>
      </c>
      <c r="S30" s="4">
        <f>IF(('Hampshire Daily'!V33-'Hampshire Daily'!V32&lt;0),"0",('Hampshire Daily'!V33-'Hampshire Daily'!V32))</f>
        <v>2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0.51799999999991542</v>
      </c>
      <c r="V30" s="4">
        <f>IF(('Hampshire Daily'!Y33-'Hampshire Daily'!Y32&lt;0),"0",('Hampshire Daily'!Y33-'Hampshire Daily'!Y32))</f>
        <v>0</v>
      </c>
      <c r="W30" s="4">
        <f>IF(('Hampshire Daily'!Z33-'Hampshire Daily'!Z32&lt;0),"0",('Hampshire Daily'!Z33-'Hampshire Daily'!Z32))</f>
        <v>23</v>
      </c>
      <c r="X30" s="4">
        <f>IF(('Hampshire Daily'!AA33-'Hampshire Daily'!AA32&lt;0),"0",('Hampshire Daily'!AA33-'Hampshire Daily'!AA32))</f>
        <v>4.5</v>
      </c>
      <c r="Y30" s="4">
        <f>'Hampshire Daily'!B33</f>
        <v>108</v>
      </c>
      <c r="Z30" s="4">
        <f>'Hampshire Daily'!C33</f>
        <v>310</v>
      </c>
    </row>
    <row r="31" spans="1:26" x14ac:dyDescent="0.25">
      <c r="A31" s="3" t="s">
        <v>40</v>
      </c>
      <c r="B31" s="1">
        <f t="shared" si="0"/>
        <v>30</v>
      </c>
      <c r="C31" s="17">
        <v>5</v>
      </c>
      <c r="D31" s="1">
        <v>2021</v>
      </c>
      <c r="E31" s="4">
        <f>IF(('Hampshire Daily'!D34-'Hampshire Daily'!D33&lt;0),"0",('Hampshire Daily'!D34-'Hampshire Daily'!D33))</f>
        <v>3175</v>
      </c>
      <c r="F31" s="4">
        <f>IF(('Hampshire Daily'!F34-'Hampshire Daily'!F33&lt;0),"0",('Hampshire Daily'!F34-'Hampshire Daily'!F33))</f>
        <v>2268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0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0</v>
      </c>
      <c r="K31" s="4">
        <f>IF(('Hampshire Daily'!L34-'Hampshire Daily'!L33&lt;0),"0",('Hampshire Daily'!L34-'Hampshire Daily'!L33))</f>
        <v>1296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2534</v>
      </c>
      <c r="N31" s="4">
        <f>IF(('Hampshire Daily'!O34-'Hampshire Daily'!O33&lt;0),"0",('Hampshire Daily'!O34-'Hampshire Daily'!O33))</f>
        <v>107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461</v>
      </c>
      <c r="Q31" s="4">
        <f>IF(('Hampshire Daily'!R34-'Hampshire Daily'!R33&lt;0),"0",('Hampshire Daily'!R34-'Hampshire Daily'!R33))</f>
        <v>4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0.57200000000000273</v>
      </c>
      <c r="V31" s="4">
        <f>IF(('Hampshire Daily'!Y34-'Hampshire Daily'!Y33&lt;0),"0",('Hampshire Daily'!Y34-'Hampshire Daily'!Y33))</f>
        <v>0.15799999999990177</v>
      </c>
      <c r="W31" s="4">
        <f>IF(('Hampshire Daily'!Z34-'Hampshire Daily'!Z33&lt;0),"0",('Hampshire Daily'!Z34-'Hampshire Daily'!Z33))</f>
        <v>17</v>
      </c>
      <c r="X31" s="4">
        <f>IF(('Hampshire Daily'!AA34-'Hampshire Daily'!AA33&lt;0),"0",('Hampshire Daily'!AA34-'Hampshire Daily'!AA33))</f>
        <v>9.5</v>
      </c>
      <c r="Y31" s="4">
        <f>'Hampshire Daily'!B34</f>
        <v>111</v>
      </c>
      <c r="Z31" s="4">
        <f>'Hampshire Daily'!C34</f>
        <v>322</v>
      </c>
    </row>
    <row r="32" spans="1:26" x14ac:dyDescent="0.25">
      <c r="A32" s="3" t="s">
        <v>40</v>
      </c>
      <c r="B32" s="1">
        <f t="shared" si="0"/>
        <v>31</v>
      </c>
      <c r="C32" s="17">
        <v>5</v>
      </c>
      <c r="D32" s="1">
        <v>2021</v>
      </c>
      <c r="E32" s="4">
        <f>IF(('Hampshire Daily'!D35-'Hampshire Daily'!D34&lt;0),"0",('Hampshire Daily'!D35-'Hampshire Daily'!D34))</f>
        <v>2860</v>
      </c>
      <c r="F32" s="4">
        <f>IF(('Hampshire Daily'!F35-'Hampshire Daily'!F34&lt;0),"0",('Hampshire Daily'!F35-'Hampshire Daily'!F34))</f>
        <v>2176</v>
      </c>
      <c r="G32" s="4">
        <f>IF(('Hampshire Daily'!H35-'Hampshire Daily'!H34&lt;0),"0",('Hampshire Daily'!H35-'Hampshire Daily'!H34))</f>
        <v>0</v>
      </c>
      <c r="H32" s="4">
        <f>IF(('Hampshire Daily'!I35-'Hampshire Daily'!I34&lt;0),"0",('Hampshire Daily'!I35-'Hampshire Daily'!I34))</f>
        <v>0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0</v>
      </c>
      <c r="K32" s="4">
        <f>IF(('Hampshire Daily'!L35-'Hampshire Daily'!L34&lt;0),"0",('Hampshire Daily'!L35-'Hampshire Daily'!L34))</f>
        <v>1302</v>
      </c>
      <c r="L32" s="4">
        <f>IF(('Hampshire Daily'!M35-'Hampshire Daily'!M34&lt;0),"0",('Hampshire Daily'!M35-'Hampshire Daily'!M34))</f>
        <v>0</v>
      </c>
      <c r="M32" s="4">
        <f>IF(('Hampshire Daily'!N35-'Hampshire Daily'!N34&lt;0),"0",('Hampshire Daily'!N35-'Hampshire Daily'!N34))</f>
        <v>2402</v>
      </c>
      <c r="N32" s="4">
        <f>IF(('Hampshire Daily'!O35-'Hampshire Daily'!O34&lt;0),"0",('Hampshire Daily'!O35-'Hampshire Daily'!O34))</f>
        <v>108</v>
      </c>
      <c r="O32" s="4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341</v>
      </c>
      <c r="Q32" s="4">
        <f>IF(('Hampshire Daily'!R35-'Hampshire Daily'!R34&lt;0),"0",('Hampshire Daily'!R35-'Hampshire Daily'!R34))</f>
        <v>3</v>
      </c>
      <c r="R32" s="4">
        <f>IF(('Hampshire Daily'!U35-'Hampshire Daily'!U34&lt;0),"0",('Hampshire Daily'!U35-'Hampshire Daily'!U34))</f>
        <v>9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0</v>
      </c>
      <c r="U32" s="4">
        <f>IF(('Hampshire Daily'!X35-'Hampshire Daily'!X34&lt;0),"0",('Hampshire Daily'!X35-'Hampshire Daily'!X34))</f>
        <v>0.57900000000006457</v>
      </c>
      <c r="V32" s="4">
        <f>IF(('Hampshire Daily'!Y35-'Hampshire Daily'!Y34&lt;0),"0",('Hampshire Daily'!Y35-'Hampshire Daily'!Y34))</f>
        <v>1.9000000000232831E-2</v>
      </c>
      <c r="W32" s="4">
        <f>IF(('Hampshire Daily'!Z35-'Hampshire Daily'!Z34&lt;0),"0",('Hampshire Daily'!Z35-'Hampshire Daily'!Z34))</f>
        <v>18</v>
      </c>
      <c r="X32" s="4">
        <f>IF(('Hampshire Daily'!AA35-'Hampshire Daily'!AA34&lt;0),"0",('Hampshire Daily'!AA35-'Hampshire Daily'!AA34))</f>
        <v>5</v>
      </c>
      <c r="Y32" s="4">
        <f>'Hampshire Daily'!B35</f>
        <v>105</v>
      </c>
      <c r="Z32" s="4">
        <f>'Hampshire Daily'!C35</f>
        <v>298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13" sqref="E13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5</v>
      </c>
      <c r="D2" s="2">
        <v>2021</v>
      </c>
      <c r="E2" s="4">
        <f>(Submetering!E2+Submetering!F2)</f>
        <v>1335</v>
      </c>
      <c r="F2" s="12">
        <v>0.14000000000000001</v>
      </c>
      <c r="G2" s="4">
        <f>Submetering!M2</f>
        <v>2233</v>
      </c>
      <c r="H2" s="12">
        <v>0.16</v>
      </c>
      <c r="I2" s="4">
        <f>Submetering!N2</f>
        <v>40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x14ac:dyDescent="0.25">
      <c r="A3" s="3" t="s">
        <v>40</v>
      </c>
      <c r="B3" s="2">
        <f>B2+1</f>
        <v>2</v>
      </c>
      <c r="C3" s="2">
        <v>5</v>
      </c>
      <c r="D3" s="2">
        <v>2021</v>
      </c>
      <c r="E3" s="4">
        <f>Submetering!E3+Submetering!F3</f>
        <v>1370</v>
      </c>
      <c r="F3" s="12">
        <v>0.14000000000000001</v>
      </c>
      <c r="G3" s="4">
        <f>Submetering!M3</f>
        <v>2258</v>
      </c>
      <c r="H3" s="12">
        <v>0.16</v>
      </c>
      <c r="I3" s="4">
        <f>Submetering!N3</f>
        <v>33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x14ac:dyDescent="0.25">
      <c r="A4" s="3" t="s">
        <v>40</v>
      </c>
      <c r="B4" s="2">
        <f t="shared" ref="B4:B32" si="0">B3+1</f>
        <v>3</v>
      </c>
      <c r="C4" s="2">
        <v>5</v>
      </c>
      <c r="D4" s="2">
        <v>2021</v>
      </c>
      <c r="E4" s="4">
        <f>Submetering!E4+Submetering!F4</f>
        <v>1379</v>
      </c>
      <c r="F4" s="12">
        <v>0.14000000000000001</v>
      </c>
      <c r="G4" s="4">
        <f>Submetering!M4</f>
        <v>2177</v>
      </c>
      <c r="H4" s="12">
        <v>0.16</v>
      </c>
      <c r="I4" s="4">
        <f>Submetering!N4</f>
        <v>36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x14ac:dyDescent="0.25">
      <c r="A5" s="3" t="s">
        <v>40</v>
      </c>
      <c r="B5" s="2">
        <f t="shared" si="0"/>
        <v>4</v>
      </c>
      <c r="C5" s="2">
        <v>5</v>
      </c>
      <c r="D5" s="2">
        <v>2021</v>
      </c>
      <c r="E5" s="4">
        <f>Submetering!E5+Submetering!F5</f>
        <v>1173</v>
      </c>
      <c r="F5" s="12">
        <v>0.14000000000000001</v>
      </c>
      <c r="G5" s="4">
        <f>Submetering!M5</f>
        <v>2083</v>
      </c>
      <c r="H5" s="12">
        <v>0.16</v>
      </c>
      <c r="I5" s="4">
        <f>Submetering!N5</f>
        <v>33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x14ac:dyDescent="0.25">
      <c r="A6" s="3" t="s">
        <v>40</v>
      </c>
      <c r="B6" s="2">
        <f t="shared" si="0"/>
        <v>5</v>
      </c>
      <c r="C6" s="2">
        <v>5</v>
      </c>
      <c r="D6" s="2">
        <v>2021</v>
      </c>
      <c r="E6" s="4">
        <f>Submetering!E6+Submetering!F6</f>
        <v>1670</v>
      </c>
      <c r="F6" s="12">
        <v>0.14000000000000001</v>
      </c>
      <c r="G6" s="4">
        <f>Submetering!M6</f>
        <v>2313</v>
      </c>
      <c r="H6" s="12">
        <v>0.16</v>
      </c>
      <c r="I6" s="4">
        <f>Submetering!N6</f>
        <v>42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x14ac:dyDescent="0.25">
      <c r="A7" s="3" t="s">
        <v>40</v>
      </c>
      <c r="B7" s="2">
        <f t="shared" si="0"/>
        <v>6</v>
      </c>
      <c r="C7" s="2">
        <v>5</v>
      </c>
      <c r="D7" s="2">
        <v>2021</v>
      </c>
      <c r="E7" s="4">
        <f>Submetering!E7+Submetering!F7</f>
        <v>1492</v>
      </c>
      <c r="F7" s="12">
        <v>0.14000000000000001</v>
      </c>
      <c r="G7" s="4">
        <f>Submetering!M7</f>
        <v>2561</v>
      </c>
      <c r="H7" s="12">
        <v>0.16</v>
      </c>
      <c r="I7" s="4">
        <f>Submetering!N7</f>
        <v>40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x14ac:dyDescent="0.25">
      <c r="A8" s="3" t="s">
        <v>40</v>
      </c>
      <c r="B8" s="2">
        <f t="shared" si="0"/>
        <v>7</v>
      </c>
      <c r="C8" s="2">
        <v>5</v>
      </c>
      <c r="D8" s="2">
        <v>2021</v>
      </c>
      <c r="E8" s="4">
        <f>Submetering!E8+Submetering!F8</f>
        <v>1493</v>
      </c>
      <c r="F8" s="12">
        <v>0.14000000000000001</v>
      </c>
      <c r="G8" s="4">
        <f>Submetering!M8</f>
        <v>2561</v>
      </c>
      <c r="H8" s="12">
        <v>0.16</v>
      </c>
      <c r="I8" s="4">
        <f>Submetering!N8</f>
        <v>40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x14ac:dyDescent="0.25">
      <c r="A9" s="3" t="s">
        <v>40</v>
      </c>
      <c r="B9" s="2">
        <f t="shared" si="0"/>
        <v>8</v>
      </c>
      <c r="C9" s="2">
        <v>5</v>
      </c>
      <c r="D9" s="2">
        <v>2021</v>
      </c>
      <c r="E9" s="4">
        <f>Submetering!E9+Submetering!F9</f>
        <v>1894</v>
      </c>
      <c r="F9" s="12">
        <v>0.14000000000000001</v>
      </c>
      <c r="G9" s="4">
        <f>Submetering!M9</f>
        <v>2283</v>
      </c>
      <c r="H9" s="12">
        <v>0.16</v>
      </c>
      <c r="I9" s="4">
        <f>Submetering!N9</f>
        <v>44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x14ac:dyDescent="0.25">
      <c r="A10" s="3" t="s">
        <v>40</v>
      </c>
      <c r="B10" s="2">
        <f t="shared" si="0"/>
        <v>9</v>
      </c>
      <c r="C10" s="2">
        <v>5</v>
      </c>
      <c r="D10" s="2">
        <v>2021</v>
      </c>
      <c r="E10" s="4">
        <f>Submetering!E10+Submetering!F10</f>
        <v>1732</v>
      </c>
      <c r="F10" s="12">
        <v>0.14000000000000001</v>
      </c>
      <c r="G10" s="4">
        <f>Submetering!M10</f>
        <v>2162</v>
      </c>
      <c r="H10" s="12">
        <v>0.16</v>
      </c>
      <c r="I10" s="4">
        <f>Submetering!N10</f>
        <v>34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x14ac:dyDescent="0.25">
      <c r="A11" s="3" t="s">
        <v>40</v>
      </c>
      <c r="B11" s="2">
        <f t="shared" si="0"/>
        <v>10</v>
      </c>
      <c r="C11" s="2">
        <v>5</v>
      </c>
      <c r="D11" s="2">
        <v>2021</v>
      </c>
      <c r="E11" s="4">
        <f>Submetering!E11+Submetering!F11</f>
        <v>1375</v>
      </c>
      <c r="F11" s="12">
        <v>0.14000000000000001</v>
      </c>
      <c r="G11" s="4">
        <f>Submetering!M11</f>
        <v>2085</v>
      </c>
      <c r="H11" s="12">
        <v>0.16</v>
      </c>
      <c r="I11" s="4">
        <f>Submetering!N11</f>
        <v>34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x14ac:dyDescent="0.25">
      <c r="A12" s="3" t="s">
        <v>40</v>
      </c>
      <c r="B12" s="2">
        <f t="shared" si="0"/>
        <v>11</v>
      </c>
      <c r="C12" s="2">
        <v>5</v>
      </c>
      <c r="D12" s="2">
        <v>2021</v>
      </c>
      <c r="E12" s="4">
        <f>Submetering!E12+Submetering!F12</f>
        <v>1889</v>
      </c>
      <c r="F12" s="12">
        <v>0.14000000000000001</v>
      </c>
      <c r="G12" s="4">
        <f>Submetering!M12</f>
        <v>2189</v>
      </c>
      <c r="H12" s="12">
        <v>0.16</v>
      </c>
      <c r="I12" s="4">
        <f>Submetering!N12</f>
        <v>63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x14ac:dyDescent="0.25">
      <c r="A13" s="3" t="s">
        <v>40</v>
      </c>
      <c r="B13" s="2">
        <f t="shared" si="0"/>
        <v>12</v>
      </c>
      <c r="C13" s="2">
        <v>5</v>
      </c>
      <c r="D13" s="2">
        <v>2021</v>
      </c>
      <c r="E13" s="4">
        <f>Submetering!E13+Submetering!F13</f>
        <v>3310</v>
      </c>
      <c r="F13" s="12">
        <v>0.14000000000000001</v>
      </c>
      <c r="G13" s="4">
        <f>Submetering!M13</f>
        <v>1809</v>
      </c>
      <c r="H13" s="12">
        <v>0.16</v>
      </c>
      <c r="I13" s="4">
        <f>Submetering!N13</f>
        <v>39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x14ac:dyDescent="0.25">
      <c r="A14" s="3" t="s">
        <v>40</v>
      </c>
      <c r="B14" s="2">
        <f t="shared" si="0"/>
        <v>13</v>
      </c>
      <c r="C14" s="2">
        <v>5</v>
      </c>
      <c r="D14" s="2">
        <v>2021</v>
      </c>
      <c r="E14" s="4">
        <f>Submetering!E14+Submetering!F14</f>
        <v>2506</v>
      </c>
      <c r="F14" s="12">
        <v>0.14000000000000001</v>
      </c>
      <c r="G14" s="4">
        <f>Submetering!M14</f>
        <v>2380</v>
      </c>
      <c r="H14" s="12">
        <v>0.16</v>
      </c>
      <c r="I14" s="4">
        <f>Submetering!N14</f>
        <v>61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x14ac:dyDescent="0.25">
      <c r="A15" s="3" t="s">
        <v>40</v>
      </c>
      <c r="B15" s="2">
        <f t="shared" si="0"/>
        <v>14</v>
      </c>
      <c r="C15" s="2">
        <v>5</v>
      </c>
      <c r="D15" s="2">
        <v>2021</v>
      </c>
      <c r="E15" s="4">
        <f>Submetering!E15+Submetering!F15</f>
        <v>2998</v>
      </c>
      <c r="F15" s="12">
        <v>0.14000000000000001</v>
      </c>
      <c r="G15" s="4">
        <f>Submetering!M15</f>
        <v>2540</v>
      </c>
      <c r="H15" s="12">
        <v>0.16</v>
      </c>
      <c r="I15" s="4">
        <f>Submetering!N15</f>
        <v>71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x14ac:dyDescent="0.25">
      <c r="A16" s="3" t="s">
        <v>40</v>
      </c>
      <c r="B16" s="2">
        <f t="shared" si="0"/>
        <v>15</v>
      </c>
      <c r="C16" s="2">
        <v>5</v>
      </c>
      <c r="D16" s="2">
        <v>2021</v>
      </c>
      <c r="E16" s="4">
        <f>Submetering!E16+Submetering!F16</f>
        <v>3271</v>
      </c>
      <c r="F16" s="12">
        <v>0.14000000000000001</v>
      </c>
      <c r="G16" s="4">
        <f>Submetering!M16</f>
        <v>2492</v>
      </c>
      <c r="H16" s="12">
        <v>0.16</v>
      </c>
      <c r="I16" s="4">
        <f>Submetering!N16</f>
        <v>33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40</v>
      </c>
      <c r="B17" s="2">
        <f t="shared" si="0"/>
        <v>16</v>
      </c>
      <c r="C17" s="2">
        <v>5</v>
      </c>
      <c r="D17" s="2">
        <v>2021</v>
      </c>
      <c r="E17" s="4">
        <f>Submetering!E17+Submetering!F17</f>
        <v>3121</v>
      </c>
      <c r="F17" s="12">
        <v>0.14000000000000001</v>
      </c>
      <c r="G17" s="4">
        <f>Submetering!M17</f>
        <v>2433</v>
      </c>
      <c r="H17" s="12">
        <v>0.16</v>
      </c>
      <c r="I17" s="4">
        <f>Submetering!N17</f>
        <v>37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40</v>
      </c>
      <c r="B18" s="2">
        <f t="shared" si="0"/>
        <v>17</v>
      </c>
      <c r="C18" s="2">
        <v>5</v>
      </c>
      <c r="D18" s="2">
        <v>2021</v>
      </c>
      <c r="E18" s="4">
        <f>Submetering!E18+Submetering!F18</f>
        <v>2964</v>
      </c>
      <c r="F18" s="12">
        <v>0.14000000000000001</v>
      </c>
      <c r="G18" s="4">
        <f>Submetering!M18</f>
        <v>2431</v>
      </c>
      <c r="H18" s="12">
        <v>0.16</v>
      </c>
      <c r="I18" s="4">
        <f>Submetering!N18</f>
        <v>34</v>
      </c>
      <c r="J18" s="13">
        <v>2.06</v>
      </c>
      <c r="K18" s="4">
        <f>'Hampshire Daily'!B21</f>
        <v>43</v>
      </c>
      <c r="L18" s="4">
        <f>'Hampshire Daily'!C21</f>
        <v>107</v>
      </c>
    </row>
    <row r="19" spans="1:12" x14ac:dyDescent="0.25">
      <c r="A19" s="3" t="s">
        <v>40</v>
      </c>
      <c r="B19" s="2">
        <f t="shared" si="0"/>
        <v>18</v>
      </c>
      <c r="C19" s="2">
        <v>5</v>
      </c>
      <c r="D19" s="2">
        <v>2021</v>
      </c>
      <c r="E19" s="4">
        <f>Submetering!E19+Submetering!F19</f>
        <v>3906</v>
      </c>
      <c r="F19" s="12">
        <v>0.14000000000000001</v>
      </c>
      <c r="G19" s="4">
        <f>Submetering!M19</f>
        <v>2446</v>
      </c>
      <c r="H19" s="12">
        <v>0.16</v>
      </c>
      <c r="I19" s="4">
        <f>Submetering!N19</f>
        <v>74</v>
      </c>
      <c r="J19" s="13">
        <v>2.06</v>
      </c>
      <c r="K19" s="4">
        <f>'Hampshire Daily'!B22</f>
        <v>63</v>
      </c>
      <c r="L19" s="4">
        <f>'Hampshire Daily'!C22</f>
        <v>135</v>
      </c>
    </row>
    <row r="20" spans="1:12" x14ac:dyDescent="0.25">
      <c r="A20" s="3" t="s">
        <v>40</v>
      </c>
      <c r="B20" s="2">
        <f t="shared" si="0"/>
        <v>19</v>
      </c>
      <c r="C20" s="2">
        <v>5</v>
      </c>
      <c r="D20" s="2">
        <v>2021</v>
      </c>
      <c r="E20" s="4">
        <f>Submetering!E20+Submetering!F20</f>
        <v>4161</v>
      </c>
      <c r="F20" s="12">
        <v>0.14000000000000001</v>
      </c>
      <c r="G20" s="4">
        <f>Submetering!M20</f>
        <v>2468</v>
      </c>
      <c r="H20" s="12">
        <v>0.16</v>
      </c>
      <c r="I20" s="4">
        <f>Submetering!N20</f>
        <v>108</v>
      </c>
      <c r="J20" s="13">
        <v>2.06</v>
      </c>
      <c r="K20" s="4">
        <f>'Hampshire Daily'!B23</f>
        <v>62</v>
      </c>
      <c r="L20" s="4">
        <f>'Hampshire Daily'!C23</f>
        <v>155</v>
      </c>
    </row>
    <row r="21" spans="1:12" x14ac:dyDescent="0.25">
      <c r="A21" s="3" t="s">
        <v>40</v>
      </c>
      <c r="B21" s="2">
        <f t="shared" si="0"/>
        <v>20</v>
      </c>
      <c r="C21" s="2">
        <v>5</v>
      </c>
      <c r="D21" s="2">
        <v>2021</v>
      </c>
      <c r="E21" s="4">
        <f>Submetering!E21+Submetering!F21</f>
        <v>4364</v>
      </c>
      <c r="F21" s="12">
        <v>0.14000000000000001</v>
      </c>
      <c r="G21" s="4">
        <f>Submetering!M21</f>
        <v>2558</v>
      </c>
      <c r="H21" s="12">
        <v>0.16</v>
      </c>
      <c r="I21" s="4">
        <f>Submetering!N21</f>
        <v>103</v>
      </c>
      <c r="J21" s="13">
        <v>2.06</v>
      </c>
      <c r="K21" s="4">
        <f>'Hampshire Daily'!B24</f>
        <v>63</v>
      </c>
      <c r="L21" s="4">
        <f>'Hampshire Daily'!C24</f>
        <v>162</v>
      </c>
    </row>
    <row r="22" spans="1:12" x14ac:dyDescent="0.25">
      <c r="A22" s="3" t="s">
        <v>40</v>
      </c>
      <c r="B22" s="2">
        <f t="shared" si="0"/>
        <v>21</v>
      </c>
      <c r="C22" s="2">
        <v>5</v>
      </c>
      <c r="D22" s="2">
        <v>2021</v>
      </c>
      <c r="E22" s="4">
        <f>Submetering!E22+Submetering!F22</f>
        <v>4147</v>
      </c>
      <c r="F22" s="12">
        <v>0.14000000000000001</v>
      </c>
      <c r="G22" s="4">
        <f>Submetering!M22</f>
        <v>2559</v>
      </c>
      <c r="H22" s="12">
        <v>0.16</v>
      </c>
      <c r="I22" s="4">
        <f>Submetering!N22</f>
        <v>91</v>
      </c>
      <c r="J22" s="13">
        <v>2.06</v>
      </c>
      <c r="K22" s="4">
        <f>'Hampshire Daily'!B25</f>
        <v>102</v>
      </c>
      <c r="L22" s="4">
        <f>'Hampshire Daily'!C25</f>
        <v>273</v>
      </c>
    </row>
    <row r="23" spans="1:12" x14ac:dyDescent="0.25">
      <c r="A23" s="3" t="s">
        <v>40</v>
      </c>
      <c r="B23" s="2">
        <f t="shared" si="0"/>
        <v>22</v>
      </c>
      <c r="C23" s="2">
        <v>5</v>
      </c>
      <c r="D23" s="2">
        <v>2021</v>
      </c>
      <c r="E23" s="4">
        <f>Submetering!E23+Submetering!F23</f>
        <v>4701</v>
      </c>
      <c r="F23" s="12">
        <v>0.14000000000000001</v>
      </c>
      <c r="G23" s="4">
        <f>Submetering!M23</f>
        <v>2824</v>
      </c>
      <c r="H23" s="12">
        <v>0.16</v>
      </c>
      <c r="I23" s="4">
        <f>Submetering!N23</f>
        <v>154</v>
      </c>
      <c r="J23" s="13">
        <v>2.06</v>
      </c>
      <c r="K23" s="4">
        <f>'Hampshire Daily'!B26</f>
        <v>121</v>
      </c>
      <c r="L23" s="4">
        <f>'Hampshire Daily'!C26</f>
        <v>314</v>
      </c>
    </row>
    <row r="24" spans="1:12" x14ac:dyDescent="0.25">
      <c r="A24" s="3" t="s">
        <v>40</v>
      </c>
      <c r="B24" s="2">
        <f t="shared" si="0"/>
        <v>23</v>
      </c>
      <c r="C24" s="2">
        <v>5</v>
      </c>
      <c r="D24" s="2">
        <v>2021</v>
      </c>
      <c r="E24" s="4">
        <f>Submetering!E24+Submetering!F24</f>
        <v>4773</v>
      </c>
      <c r="F24" s="12">
        <v>0.14000000000000001</v>
      </c>
      <c r="G24" s="4">
        <f>Submetering!M24</f>
        <v>2747</v>
      </c>
      <c r="H24" s="12">
        <v>0.16</v>
      </c>
      <c r="I24" s="4">
        <f>Submetering!N24</f>
        <v>83</v>
      </c>
      <c r="J24" s="13">
        <v>2.06</v>
      </c>
      <c r="K24" s="4">
        <f>'Hampshire Daily'!B27</f>
        <v>48</v>
      </c>
      <c r="L24" s="4">
        <f>'Hampshire Daily'!C27</f>
        <v>141</v>
      </c>
    </row>
    <row r="25" spans="1:12" x14ac:dyDescent="0.25">
      <c r="A25" s="3" t="s">
        <v>40</v>
      </c>
      <c r="B25" s="2">
        <f t="shared" si="0"/>
        <v>24</v>
      </c>
      <c r="C25" s="2">
        <v>5</v>
      </c>
      <c r="D25" s="2">
        <v>2021</v>
      </c>
      <c r="E25" s="4">
        <f>Submetering!E25+Submetering!F25</f>
        <v>3959</v>
      </c>
      <c r="F25" s="12">
        <v>0.14000000000000001</v>
      </c>
      <c r="G25" s="4">
        <f>Submetering!M25</f>
        <v>2703</v>
      </c>
      <c r="H25" s="12">
        <v>0.16</v>
      </c>
      <c r="I25" s="4">
        <f>Submetering!N25</f>
        <v>85</v>
      </c>
      <c r="J25" s="13">
        <v>2.06</v>
      </c>
      <c r="K25" s="4">
        <f>'Hampshire Daily'!B28</f>
        <v>51</v>
      </c>
      <c r="L25" s="4">
        <f>'Hampshire Daily'!C28</f>
        <v>142</v>
      </c>
    </row>
    <row r="26" spans="1:12" x14ac:dyDescent="0.25">
      <c r="A26" s="3" t="s">
        <v>40</v>
      </c>
      <c r="B26" s="2">
        <f>B25+1</f>
        <v>25</v>
      </c>
      <c r="C26" s="2">
        <v>5</v>
      </c>
      <c r="D26" s="2">
        <v>2021</v>
      </c>
      <c r="E26" s="4">
        <f>Submetering!E26+Submetering!F26</f>
        <v>5884</v>
      </c>
      <c r="F26" s="12">
        <v>0.14000000000000001</v>
      </c>
      <c r="G26" s="4">
        <f>Submetering!M26</f>
        <v>2269</v>
      </c>
      <c r="H26" s="12">
        <v>0.16</v>
      </c>
      <c r="I26" s="4">
        <f>Submetering!N26</f>
        <v>103</v>
      </c>
      <c r="J26" s="13">
        <v>2.06</v>
      </c>
      <c r="K26" s="4">
        <f>'Hampshire Daily'!B29</f>
        <v>67</v>
      </c>
      <c r="L26" s="4">
        <f>'Hampshire Daily'!C29</f>
        <v>169</v>
      </c>
    </row>
    <row r="27" spans="1:12" x14ac:dyDescent="0.25">
      <c r="A27" s="3" t="s">
        <v>40</v>
      </c>
      <c r="B27" s="2">
        <f t="shared" si="0"/>
        <v>26</v>
      </c>
      <c r="C27" s="2">
        <v>5</v>
      </c>
      <c r="D27" s="2">
        <v>2021</v>
      </c>
      <c r="E27" s="4">
        <f>Submetering!E27+Submetering!F27</f>
        <v>4497</v>
      </c>
      <c r="F27" s="12">
        <v>0.14000000000000001</v>
      </c>
      <c r="G27" s="4">
        <f>Submetering!M27</f>
        <v>1267</v>
      </c>
      <c r="H27" s="12">
        <v>0.16</v>
      </c>
      <c r="I27" s="4">
        <f>Submetering!N27</f>
        <v>64</v>
      </c>
      <c r="J27" s="13">
        <v>2.06</v>
      </c>
      <c r="K27" s="4">
        <f>'Hampshire Daily'!B30</f>
        <v>67</v>
      </c>
      <c r="L27" s="4">
        <f>'Hampshire Daily'!C30</f>
        <v>173</v>
      </c>
    </row>
    <row r="28" spans="1:12" x14ac:dyDescent="0.25">
      <c r="A28" s="3" t="s">
        <v>40</v>
      </c>
      <c r="B28" s="2">
        <f t="shared" si="0"/>
        <v>27</v>
      </c>
      <c r="C28" s="2">
        <v>5</v>
      </c>
      <c r="D28" s="2">
        <v>2021</v>
      </c>
      <c r="E28" s="4">
        <f>Submetering!E28+Submetering!F28</f>
        <v>5598</v>
      </c>
      <c r="F28" s="12">
        <v>0.14000000000000001</v>
      </c>
      <c r="G28" s="4">
        <f>Submetering!M28</f>
        <v>1267</v>
      </c>
      <c r="H28" s="12">
        <v>0.16</v>
      </c>
      <c r="I28" s="4">
        <f>Submetering!N28</f>
        <v>64</v>
      </c>
      <c r="J28" s="13">
        <v>2.06</v>
      </c>
      <c r="K28" s="4">
        <f>'Hampshire Daily'!B31</f>
        <v>75</v>
      </c>
      <c r="L28" s="4">
        <f>'Hampshire Daily'!C31</f>
        <v>200</v>
      </c>
    </row>
    <row r="29" spans="1:12" x14ac:dyDescent="0.25">
      <c r="A29" s="3" t="s">
        <v>40</v>
      </c>
      <c r="B29" s="2">
        <f t="shared" si="0"/>
        <v>28</v>
      </c>
      <c r="C29" s="2">
        <v>5</v>
      </c>
      <c r="D29" s="2">
        <v>2021</v>
      </c>
      <c r="E29" s="4">
        <f>Submetering!E29+Submetering!F29</f>
        <v>3162</v>
      </c>
      <c r="F29" s="12">
        <v>0.14000000000000001</v>
      </c>
      <c r="G29" s="4">
        <f>Submetering!M29</f>
        <v>5068</v>
      </c>
      <c r="H29" s="12">
        <v>0.16</v>
      </c>
      <c r="I29" s="4">
        <f>Submetering!N29</f>
        <v>200</v>
      </c>
      <c r="J29" s="13">
        <v>2.06</v>
      </c>
      <c r="K29" s="4">
        <f>'Hampshire Daily'!B32</f>
        <v>107</v>
      </c>
      <c r="L29" s="4">
        <f>'Hampshire Daily'!C32</f>
        <v>271</v>
      </c>
    </row>
    <row r="30" spans="1:12" x14ac:dyDescent="0.25">
      <c r="A30" s="3" t="s">
        <v>40</v>
      </c>
      <c r="B30" s="2">
        <f t="shared" si="0"/>
        <v>29</v>
      </c>
      <c r="C30" s="2">
        <v>5</v>
      </c>
      <c r="D30" s="2">
        <v>2021</v>
      </c>
      <c r="E30" s="4">
        <f>Submetering!E30+Submetering!F30</f>
        <v>5616</v>
      </c>
      <c r="F30" s="12">
        <v>0.14000000000000001</v>
      </c>
      <c r="G30" s="4">
        <f>Submetering!M30</f>
        <v>2507</v>
      </c>
      <c r="H30" s="12">
        <v>0.16</v>
      </c>
      <c r="I30" s="4">
        <f>Submetering!N30</f>
        <v>190</v>
      </c>
      <c r="J30" s="13">
        <v>2.06</v>
      </c>
      <c r="K30" s="4">
        <f>'Hampshire Daily'!B33</f>
        <v>108</v>
      </c>
      <c r="L30" s="4">
        <f>'Hampshire Daily'!C33</f>
        <v>310</v>
      </c>
    </row>
    <row r="31" spans="1:12" x14ac:dyDescent="0.25">
      <c r="A31" s="3" t="s">
        <v>40</v>
      </c>
      <c r="B31" s="2">
        <f t="shared" si="0"/>
        <v>30</v>
      </c>
      <c r="C31" s="2">
        <v>5</v>
      </c>
      <c r="D31" s="2">
        <v>2021</v>
      </c>
      <c r="E31" s="4">
        <f>Submetering!E31+Submetering!F31</f>
        <v>5443</v>
      </c>
      <c r="F31" s="12">
        <v>0.14000000000000001</v>
      </c>
      <c r="G31" s="4">
        <f>Submetering!M31</f>
        <v>2534</v>
      </c>
      <c r="H31" s="12">
        <v>0.16</v>
      </c>
      <c r="I31" s="4">
        <f>Submetering!N31</f>
        <v>107</v>
      </c>
      <c r="J31" s="13">
        <v>2.06</v>
      </c>
      <c r="K31" s="4">
        <f>'Hampshire Daily'!B34</f>
        <v>111</v>
      </c>
      <c r="L31" s="4">
        <f>'Hampshire Daily'!C34</f>
        <v>322</v>
      </c>
    </row>
    <row r="32" spans="1:12" x14ac:dyDescent="0.25">
      <c r="A32" s="3" t="s">
        <v>40</v>
      </c>
      <c r="B32" s="2">
        <f t="shared" si="0"/>
        <v>31</v>
      </c>
      <c r="C32" s="2">
        <v>5</v>
      </c>
      <c r="D32" s="2">
        <v>2021</v>
      </c>
      <c r="E32" s="4">
        <f>Submetering!E32+Submetering!F32</f>
        <v>5036</v>
      </c>
      <c r="F32" s="12">
        <v>0.14000000000000001</v>
      </c>
      <c r="G32" s="4">
        <f>Submetering!M32</f>
        <v>2402</v>
      </c>
      <c r="H32" s="12">
        <v>0.16</v>
      </c>
      <c r="I32" s="4">
        <f>Submetering!N32</f>
        <v>108</v>
      </c>
      <c r="J32" s="13">
        <v>2.06</v>
      </c>
      <c r="K32" s="4">
        <f>'Hampshire Daily'!B35</f>
        <v>105</v>
      </c>
      <c r="L32" s="4">
        <f>'Hampshire Daily'!C35</f>
        <v>298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tabSelected="1" zoomScaleNormal="100" workbookViewId="0">
      <pane xSplit="1" topLeftCell="B1" activePane="topRight" state="frozen"/>
      <selection pane="topRight" activeCell="G37" sqref="G37"/>
    </sheetView>
  </sheetViews>
  <sheetFormatPr defaultRowHeight="15" x14ac:dyDescent="0.25"/>
  <cols>
    <col min="1" max="1" width="8.7109375" style="16" customWidth="1"/>
    <col min="2" max="3" width="8.7109375" style="23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9"/>
      <c r="B1" s="22"/>
      <c r="C1" s="22"/>
      <c r="D1" s="42" t="s">
        <v>12</v>
      </c>
      <c r="E1" s="42"/>
      <c r="F1" s="42"/>
      <c r="G1" s="42"/>
      <c r="H1" s="42"/>
      <c r="I1" s="42"/>
      <c r="J1" s="42"/>
      <c r="K1" s="42"/>
      <c r="L1" s="42"/>
      <c r="M1" s="42"/>
      <c r="N1" s="48" t="s">
        <v>13</v>
      </c>
      <c r="O1" s="50" t="s">
        <v>14</v>
      </c>
      <c r="P1" s="25"/>
      <c r="Q1" s="25"/>
      <c r="R1" s="25"/>
      <c r="S1" s="50" t="s">
        <v>15</v>
      </c>
      <c r="T1" s="52"/>
      <c r="U1" s="50" t="s">
        <v>16</v>
      </c>
      <c r="V1" s="53" t="s">
        <v>17</v>
      </c>
      <c r="W1" s="50" t="s">
        <v>18</v>
      </c>
      <c r="X1" s="50" t="s">
        <v>19</v>
      </c>
      <c r="Y1" s="59" t="s">
        <v>20</v>
      </c>
      <c r="Z1" s="50" t="s">
        <v>54</v>
      </c>
      <c r="AA1" s="55" t="s">
        <v>55</v>
      </c>
      <c r="AB1" s="1">
        <v>42</v>
      </c>
      <c r="AC1" s="1">
        <v>41</v>
      </c>
    </row>
    <row r="2" spans="1:29" ht="15" customHeight="1" x14ac:dyDescent="0.25">
      <c r="A2" s="40"/>
      <c r="B2" s="45" t="s">
        <v>52</v>
      </c>
      <c r="C2" s="45" t="s">
        <v>53</v>
      </c>
      <c r="D2" s="43" t="s">
        <v>21</v>
      </c>
      <c r="E2" s="43" t="s">
        <v>22</v>
      </c>
      <c r="F2" s="43" t="s">
        <v>23</v>
      </c>
      <c r="G2" s="43" t="s">
        <v>24</v>
      </c>
      <c r="H2" s="43" t="s">
        <v>25</v>
      </c>
      <c r="I2" s="43" t="s">
        <v>26</v>
      </c>
      <c r="J2" s="43" t="s">
        <v>27</v>
      </c>
      <c r="K2" s="43" t="s">
        <v>28</v>
      </c>
      <c r="L2" s="43" t="s">
        <v>29</v>
      </c>
      <c r="M2" s="43" t="s">
        <v>30</v>
      </c>
      <c r="N2" s="49"/>
      <c r="O2" s="50"/>
      <c r="P2" s="25" t="s">
        <v>31</v>
      </c>
      <c r="Q2" s="25" t="s">
        <v>31</v>
      </c>
      <c r="R2" s="25" t="s">
        <v>31</v>
      </c>
      <c r="S2" s="50"/>
      <c r="T2" s="52"/>
      <c r="U2" s="50"/>
      <c r="V2" s="53"/>
      <c r="W2" s="50"/>
      <c r="X2" s="50"/>
      <c r="Y2" s="59"/>
      <c r="Z2" s="50"/>
      <c r="AA2" s="56"/>
      <c r="AB2" s="58" t="s">
        <v>57</v>
      </c>
      <c r="AC2" s="58" t="s">
        <v>58</v>
      </c>
    </row>
    <row r="3" spans="1:29" ht="27" customHeight="1" thickBot="1" x14ac:dyDescent="0.3">
      <c r="A3" s="41"/>
      <c r="B3" s="46"/>
      <c r="C3" s="46"/>
      <c r="D3" s="47"/>
      <c r="E3" s="47"/>
      <c r="F3" s="47"/>
      <c r="G3" s="47"/>
      <c r="H3" s="43"/>
      <c r="I3" s="43"/>
      <c r="J3" s="43"/>
      <c r="K3" s="43"/>
      <c r="L3" s="43"/>
      <c r="M3" s="44"/>
      <c r="N3" s="49"/>
      <c r="O3" s="51"/>
      <c r="P3" s="26">
        <v>2</v>
      </c>
      <c r="Q3" s="26">
        <v>3</v>
      </c>
      <c r="R3" s="26">
        <v>4</v>
      </c>
      <c r="S3" s="52"/>
      <c r="T3" s="52"/>
      <c r="U3" s="51"/>
      <c r="V3" s="54"/>
      <c r="W3" s="50"/>
      <c r="X3" s="50"/>
      <c r="Y3" s="59"/>
      <c r="Z3" s="50"/>
      <c r="AA3" s="57"/>
      <c r="AB3" s="58"/>
      <c r="AC3" s="58"/>
    </row>
    <row r="4" spans="1:29" s="18" customFormat="1" ht="19.899999999999999" customHeight="1" x14ac:dyDescent="0.25">
      <c r="A4" s="20">
        <v>44316</v>
      </c>
      <c r="B4" s="24">
        <v>10</v>
      </c>
      <c r="C4" s="24">
        <v>10</v>
      </c>
      <c r="D4" s="27">
        <v>312319</v>
      </c>
      <c r="E4" s="27">
        <v>312813</v>
      </c>
      <c r="F4" s="27">
        <v>338903</v>
      </c>
      <c r="G4" s="27">
        <v>338542</v>
      </c>
      <c r="H4" s="27">
        <v>226799</v>
      </c>
      <c r="I4" s="27">
        <v>7040691</v>
      </c>
      <c r="J4" s="27">
        <v>31845</v>
      </c>
      <c r="K4" s="27">
        <v>4963410</v>
      </c>
      <c r="L4" s="27">
        <v>639971</v>
      </c>
      <c r="M4" s="27">
        <v>2628829</v>
      </c>
      <c r="N4" s="27">
        <v>934976</v>
      </c>
      <c r="O4" s="27">
        <v>354376</v>
      </c>
      <c r="P4" s="27">
        <v>1471374</v>
      </c>
      <c r="Q4" s="27">
        <v>604806</v>
      </c>
      <c r="R4" s="27">
        <v>677</v>
      </c>
      <c r="S4" s="27">
        <v>329820</v>
      </c>
      <c r="T4" s="27">
        <v>31354</v>
      </c>
      <c r="U4" s="27">
        <v>50468</v>
      </c>
      <c r="V4" s="27">
        <v>30535</v>
      </c>
      <c r="W4" s="27">
        <v>489.642</v>
      </c>
      <c r="X4" s="27">
        <v>896.43899999999996</v>
      </c>
      <c r="Y4" s="27">
        <v>3885.1170000000002</v>
      </c>
      <c r="Z4" s="27">
        <v>2158</v>
      </c>
      <c r="AA4" s="27">
        <v>1366</v>
      </c>
      <c r="AB4" s="30">
        <v>2645</v>
      </c>
      <c r="AC4" s="30">
        <v>2417</v>
      </c>
    </row>
    <row r="5" spans="1:29" x14ac:dyDescent="0.25">
      <c r="A5" s="21">
        <v>44317</v>
      </c>
      <c r="B5" s="24">
        <v>10</v>
      </c>
      <c r="C5" s="24">
        <v>10</v>
      </c>
      <c r="D5" s="27">
        <v>313260</v>
      </c>
      <c r="E5" s="27">
        <v>313756</v>
      </c>
      <c r="F5" s="27">
        <v>339297</v>
      </c>
      <c r="G5" s="27">
        <v>338936</v>
      </c>
      <c r="H5" s="27">
        <v>226799</v>
      </c>
      <c r="I5" s="27"/>
      <c r="J5" s="27"/>
      <c r="K5" s="27"/>
      <c r="L5" s="27">
        <f t="shared" ref="L5:L10" si="0">L4+361</f>
        <v>640332</v>
      </c>
      <c r="M5" s="27">
        <v>2628829</v>
      </c>
      <c r="N5" s="27">
        <v>937209</v>
      </c>
      <c r="O5" s="27">
        <v>354416</v>
      </c>
      <c r="P5" s="27">
        <v>1471374</v>
      </c>
      <c r="Q5" s="27">
        <v>604806</v>
      </c>
      <c r="R5" s="27">
        <v>677</v>
      </c>
      <c r="S5" s="27">
        <v>329827</v>
      </c>
      <c r="T5" s="27">
        <v>31372</v>
      </c>
      <c r="U5" s="27">
        <v>50472</v>
      </c>
      <c r="V5" s="27">
        <v>30535</v>
      </c>
      <c r="W5" s="27">
        <v>489.642</v>
      </c>
      <c r="X5" s="27">
        <v>896.75099999999998</v>
      </c>
      <c r="Y5" s="27">
        <v>3885.1170000000002</v>
      </c>
      <c r="Z5" s="27">
        <v>2159</v>
      </c>
      <c r="AA5" s="27">
        <v>1372</v>
      </c>
      <c r="AB5" s="30">
        <v>2489</v>
      </c>
      <c r="AC5" s="30">
        <v>2305</v>
      </c>
    </row>
    <row r="6" spans="1:29" x14ac:dyDescent="0.25">
      <c r="A6" s="21">
        <v>44318</v>
      </c>
      <c r="B6" s="24">
        <v>10</v>
      </c>
      <c r="C6" s="24">
        <v>10</v>
      </c>
      <c r="D6" s="27">
        <v>314242</v>
      </c>
      <c r="E6" s="27">
        <v>314740</v>
      </c>
      <c r="F6" s="27">
        <v>339685</v>
      </c>
      <c r="G6" s="27">
        <v>339324</v>
      </c>
      <c r="H6" s="27">
        <v>226799</v>
      </c>
      <c r="I6" s="27"/>
      <c r="J6" s="27"/>
      <c r="K6" s="27"/>
      <c r="L6" s="27">
        <f t="shared" si="0"/>
        <v>640693</v>
      </c>
      <c r="M6" s="27">
        <v>2628829</v>
      </c>
      <c r="N6" s="27">
        <v>939467</v>
      </c>
      <c r="O6" s="27">
        <v>354449</v>
      </c>
      <c r="P6" s="27">
        <v>1471374</v>
      </c>
      <c r="Q6" s="27">
        <v>604806</v>
      </c>
      <c r="R6" s="27">
        <v>677</v>
      </c>
      <c r="S6" s="27">
        <v>329829</v>
      </c>
      <c r="T6" s="27">
        <v>31385</v>
      </c>
      <c r="U6" s="27">
        <v>50475</v>
      </c>
      <c r="V6" s="27">
        <v>30536</v>
      </c>
      <c r="W6" s="27">
        <v>489.642</v>
      </c>
      <c r="X6" s="27">
        <v>897.09799999999996</v>
      </c>
      <c r="Y6" s="27">
        <v>3885.1170000000002</v>
      </c>
      <c r="Z6" s="27">
        <v>2161</v>
      </c>
      <c r="AA6" s="27">
        <v>1375</v>
      </c>
      <c r="AB6" s="30">
        <v>2398</v>
      </c>
      <c r="AC6" s="30">
        <v>2134</v>
      </c>
    </row>
    <row r="7" spans="1:29" x14ac:dyDescent="0.25">
      <c r="A7" s="21">
        <v>44319</v>
      </c>
      <c r="B7" s="24">
        <v>10</v>
      </c>
      <c r="C7" s="24">
        <v>10</v>
      </c>
      <c r="D7" s="27">
        <v>315234</v>
      </c>
      <c r="E7" s="27">
        <v>315734</v>
      </c>
      <c r="F7" s="27">
        <v>340072</v>
      </c>
      <c r="G7" s="27">
        <v>339710</v>
      </c>
      <c r="H7" s="27">
        <v>226799</v>
      </c>
      <c r="I7" s="27"/>
      <c r="J7" s="27"/>
      <c r="K7" s="27"/>
      <c r="L7" s="27">
        <f t="shared" si="0"/>
        <v>641054</v>
      </c>
      <c r="M7" s="27">
        <v>2628829</v>
      </c>
      <c r="N7" s="27">
        <v>941644</v>
      </c>
      <c r="O7" s="27">
        <v>354485</v>
      </c>
      <c r="P7" s="27">
        <v>1471374</v>
      </c>
      <c r="Q7" s="27">
        <v>604806</v>
      </c>
      <c r="R7" s="27">
        <v>677</v>
      </c>
      <c r="S7" s="27">
        <v>329829</v>
      </c>
      <c r="T7" s="27">
        <v>31396</v>
      </c>
      <c r="U7" s="27">
        <v>50479</v>
      </c>
      <c r="V7" s="27">
        <v>30546</v>
      </c>
      <c r="W7" s="27">
        <v>489.642</v>
      </c>
      <c r="X7" s="27">
        <v>897.41700000000003</v>
      </c>
      <c r="Y7" s="27">
        <v>3885.1170000000002</v>
      </c>
      <c r="Z7" s="27">
        <v>2163</v>
      </c>
      <c r="AA7" s="27">
        <v>1377</v>
      </c>
      <c r="AB7" s="30">
        <v>2397</v>
      </c>
      <c r="AC7" s="30">
        <v>2207</v>
      </c>
    </row>
    <row r="8" spans="1:29" x14ac:dyDescent="0.25">
      <c r="A8" s="21">
        <v>44320</v>
      </c>
      <c r="B8" s="24">
        <v>10</v>
      </c>
      <c r="C8" s="24">
        <v>10</v>
      </c>
      <c r="D8" s="27">
        <v>316133</v>
      </c>
      <c r="E8" s="27">
        <v>316634</v>
      </c>
      <c r="F8" s="27">
        <v>340346</v>
      </c>
      <c r="G8" s="27">
        <v>340074</v>
      </c>
      <c r="H8" s="27">
        <v>226799</v>
      </c>
      <c r="I8" s="27"/>
      <c r="J8" s="27"/>
      <c r="K8" s="27"/>
      <c r="L8" s="27">
        <f t="shared" si="0"/>
        <v>641415</v>
      </c>
      <c r="M8" s="27">
        <v>2628829</v>
      </c>
      <c r="N8" s="27">
        <v>943727</v>
      </c>
      <c r="O8" s="27">
        <v>354518</v>
      </c>
      <c r="P8" s="27">
        <v>1471374</v>
      </c>
      <c r="Q8" s="27">
        <v>604806</v>
      </c>
      <c r="R8" s="27">
        <v>677</v>
      </c>
      <c r="S8" s="27">
        <v>329838</v>
      </c>
      <c r="T8" s="27">
        <v>31417</v>
      </c>
      <c r="U8" s="27">
        <v>50483</v>
      </c>
      <c r="V8" s="27">
        <v>30547</v>
      </c>
      <c r="W8" s="27">
        <v>489.642</v>
      </c>
      <c r="X8" s="27">
        <v>897.67600000000004</v>
      </c>
      <c r="Y8" s="27">
        <v>3885.1170000000002</v>
      </c>
      <c r="Z8" s="27">
        <v>2165</v>
      </c>
      <c r="AA8" s="27">
        <v>1387</v>
      </c>
      <c r="AB8" s="30">
        <v>2396</v>
      </c>
      <c r="AC8" s="30">
        <v>2369</v>
      </c>
    </row>
    <row r="9" spans="1:29" x14ac:dyDescent="0.25">
      <c r="A9" s="21">
        <v>44321</v>
      </c>
      <c r="B9" s="24">
        <v>10</v>
      </c>
      <c r="C9" s="24">
        <v>10</v>
      </c>
      <c r="D9" s="27">
        <v>317237</v>
      </c>
      <c r="E9" s="27">
        <v>317741</v>
      </c>
      <c r="F9" s="27">
        <v>340912</v>
      </c>
      <c r="G9" s="27">
        <v>340550</v>
      </c>
      <c r="H9" s="27">
        <v>226816</v>
      </c>
      <c r="I9" s="27"/>
      <c r="J9" s="27"/>
      <c r="K9" s="27"/>
      <c r="L9" s="27">
        <f t="shared" si="0"/>
        <v>641776</v>
      </c>
      <c r="M9" s="27">
        <v>2628856</v>
      </c>
      <c r="N9" s="27">
        <v>946040</v>
      </c>
      <c r="O9" s="27">
        <v>354560</v>
      </c>
      <c r="P9" s="27">
        <v>1471374</v>
      </c>
      <c r="Q9" s="27">
        <v>604806</v>
      </c>
      <c r="R9" s="27">
        <v>677</v>
      </c>
      <c r="S9" s="27">
        <v>329842</v>
      </c>
      <c r="T9" s="27">
        <v>31433</v>
      </c>
      <c r="U9" s="27">
        <v>50487</v>
      </c>
      <c r="V9" s="27">
        <v>30548</v>
      </c>
      <c r="W9" s="27">
        <v>489.714</v>
      </c>
      <c r="X9" s="27">
        <v>897.95</v>
      </c>
      <c r="Y9" s="27">
        <v>3885.1170000000002</v>
      </c>
      <c r="Z9" s="27">
        <v>2166</v>
      </c>
      <c r="AA9" s="27">
        <v>1392</v>
      </c>
      <c r="AB9" s="30">
        <v>2722</v>
      </c>
      <c r="AC9" s="30">
        <v>2636</v>
      </c>
    </row>
    <row r="10" spans="1:29" x14ac:dyDescent="0.25">
      <c r="A10" s="21">
        <v>44322</v>
      </c>
      <c r="B10" s="24">
        <v>10</v>
      </c>
      <c r="C10" s="24">
        <v>10</v>
      </c>
      <c r="D10" s="27">
        <v>318319</v>
      </c>
      <c r="E10" s="27">
        <v>318824</v>
      </c>
      <c r="F10" s="27">
        <v>341322</v>
      </c>
      <c r="G10" s="27">
        <v>340960</v>
      </c>
      <c r="H10" s="27">
        <v>226816</v>
      </c>
      <c r="I10" s="27"/>
      <c r="J10" s="27"/>
      <c r="K10" s="27"/>
      <c r="L10" s="27">
        <f t="shared" si="0"/>
        <v>642137</v>
      </c>
      <c r="M10" s="27">
        <v>2628856</v>
      </c>
      <c r="N10" s="27">
        <v>948601</v>
      </c>
      <c r="O10" s="27">
        <v>354600</v>
      </c>
      <c r="P10" s="27">
        <v>1471374</v>
      </c>
      <c r="Q10" s="27">
        <v>604806</v>
      </c>
      <c r="R10" s="27">
        <v>677</v>
      </c>
      <c r="S10" s="27">
        <v>329857</v>
      </c>
      <c r="T10" s="27">
        <v>31458</v>
      </c>
      <c r="U10" s="27">
        <v>50491.5</v>
      </c>
      <c r="V10" s="27">
        <v>30548.5</v>
      </c>
      <c r="W10" s="27">
        <v>489.714</v>
      </c>
      <c r="X10" s="27">
        <v>898.35</v>
      </c>
      <c r="Y10" s="27">
        <v>3885.1170000000002</v>
      </c>
      <c r="Z10" s="27">
        <v>2168</v>
      </c>
      <c r="AA10" s="27">
        <v>1395</v>
      </c>
      <c r="AB10" s="30">
        <v>2855</v>
      </c>
      <c r="AC10" s="30">
        <v>2631</v>
      </c>
    </row>
    <row r="11" spans="1:29" x14ac:dyDescent="0.25">
      <c r="A11" s="21">
        <v>44323</v>
      </c>
      <c r="B11" s="24">
        <v>10</v>
      </c>
      <c r="C11" s="24">
        <v>10</v>
      </c>
      <c r="D11" s="27">
        <v>319401</v>
      </c>
      <c r="E11" s="27">
        <v>319908</v>
      </c>
      <c r="F11" s="27">
        <v>341733</v>
      </c>
      <c r="G11" s="27">
        <v>341370</v>
      </c>
      <c r="H11" s="27">
        <v>226816</v>
      </c>
      <c r="I11" s="27"/>
      <c r="J11" s="27"/>
      <c r="K11" s="27"/>
      <c r="L11" s="27">
        <v>642503</v>
      </c>
      <c r="M11" s="27">
        <v>2628856</v>
      </c>
      <c r="N11" s="27">
        <v>951162</v>
      </c>
      <c r="O11" s="27">
        <v>354640</v>
      </c>
      <c r="P11" s="27">
        <v>1471374</v>
      </c>
      <c r="Q11" s="27">
        <v>604806</v>
      </c>
      <c r="R11" s="27">
        <v>677</v>
      </c>
      <c r="S11" s="27">
        <v>329872</v>
      </c>
      <c r="T11" s="27">
        <v>31483</v>
      </c>
      <c r="U11" s="27">
        <v>50496</v>
      </c>
      <c r="V11" s="27">
        <v>30549</v>
      </c>
      <c r="W11" s="27">
        <v>489.714</v>
      </c>
      <c r="X11" s="27">
        <v>898.79899999999998</v>
      </c>
      <c r="Y11" s="27">
        <v>3885.1170000000002</v>
      </c>
      <c r="Z11" s="27">
        <v>2170</v>
      </c>
      <c r="AA11" s="27">
        <v>1399</v>
      </c>
      <c r="AB11" s="30">
        <v>2906</v>
      </c>
      <c r="AC11" s="30">
        <v>2532</v>
      </c>
    </row>
    <row r="12" spans="1:29" x14ac:dyDescent="0.25">
      <c r="A12" s="21">
        <v>44324</v>
      </c>
      <c r="B12" s="24">
        <v>10</v>
      </c>
      <c r="C12" s="24">
        <v>10</v>
      </c>
      <c r="D12" s="27">
        <v>320920</v>
      </c>
      <c r="E12" s="27">
        <v>321430</v>
      </c>
      <c r="F12" s="27">
        <v>342108</v>
      </c>
      <c r="G12" s="27">
        <v>341745</v>
      </c>
      <c r="H12" s="27">
        <v>226816</v>
      </c>
      <c r="I12" s="27"/>
      <c r="J12" s="27"/>
      <c r="K12" s="27"/>
      <c r="L12" s="27">
        <f t="shared" ref="L12:L20" si="1">L11+352</f>
        <v>642855</v>
      </c>
      <c r="M12" s="27">
        <v>2628856</v>
      </c>
      <c r="N12" s="27">
        <v>953445</v>
      </c>
      <c r="O12" s="27">
        <v>354684</v>
      </c>
      <c r="P12" s="27">
        <v>1471374</v>
      </c>
      <c r="Q12" s="27">
        <v>604806</v>
      </c>
      <c r="R12" s="27">
        <v>677</v>
      </c>
      <c r="S12" s="27">
        <v>329874</v>
      </c>
      <c r="T12" s="27">
        <v>31498</v>
      </c>
      <c r="U12" s="27">
        <v>50500</v>
      </c>
      <c r="V12" s="27">
        <v>30550</v>
      </c>
      <c r="W12" s="27">
        <v>489.714</v>
      </c>
      <c r="X12" s="27">
        <v>899.12800000000004</v>
      </c>
      <c r="Y12" s="27">
        <v>3885.1170000000002</v>
      </c>
      <c r="Z12" s="27">
        <v>2171</v>
      </c>
      <c r="AA12" s="27">
        <v>1403</v>
      </c>
      <c r="AB12" s="30">
        <v>2896</v>
      </c>
      <c r="AC12" s="30">
        <v>2483</v>
      </c>
    </row>
    <row r="13" spans="1:29" x14ac:dyDescent="0.25">
      <c r="A13" s="21">
        <v>44325</v>
      </c>
      <c r="B13" s="24">
        <v>10</v>
      </c>
      <c r="C13" s="24">
        <v>10</v>
      </c>
      <c r="D13" s="27">
        <v>322269</v>
      </c>
      <c r="E13" s="27">
        <v>322781</v>
      </c>
      <c r="F13" s="27">
        <v>342491</v>
      </c>
      <c r="G13" s="27">
        <v>342128</v>
      </c>
      <c r="H13" s="27">
        <v>226816</v>
      </c>
      <c r="I13" s="27"/>
      <c r="J13" s="27"/>
      <c r="K13" s="27"/>
      <c r="L13" s="27">
        <f t="shared" si="1"/>
        <v>643207</v>
      </c>
      <c r="M13" s="27">
        <v>2628856</v>
      </c>
      <c r="N13" s="27">
        <v>955607</v>
      </c>
      <c r="O13" s="27">
        <v>354718</v>
      </c>
      <c r="P13" s="27">
        <v>1471374</v>
      </c>
      <c r="Q13" s="27">
        <v>604806</v>
      </c>
      <c r="R13" s="27">
        <v>677</v>
      </c>
      <c r="S13" s="27">
        <v>329874</v>
      </c>
      <c r="T13" s="27">
        <v>31511</v>
      </c>
      <c r="U13" s="27">
        <v>50504</v>
      </c>
      <c r="V13" s="27">
        <v>30551</v>
      </c>
      <c r="W13" s="27">
        <v>489.714</v>
      </c>
      <c r="X13" s="27">
        <v>899.49400000000003</v>
      </c>
      <c r="Y13" s="27">
        <v>3885.1170000000002</v>
      </c>
      <c r="Z13" s="27">
        <v>2173</v>
      </c>
      <c r="AA13" s="27">
        <v>1409</v>
      </c>
      <c r="AB13" s="30">
        <v>2737</v>
      </c>
      <c r="AC13" s="30">
        <v>2311</v>
      </c>
    </row>
    <row r="14" spans="1:29" x14ac:dyDescent="0.25">
      <c r="A14" s="21">
        <v>44326</v>
      </c>
      <c r="B14" s="24">
        <v>10</v>
      </c>
      <c r="C14" s="24">
        <v>10</v>
      </c>
      <c r="D14" s="27">
        <v>323271</v>
      </c>
      <c r="E14" s="27">
        <v>323785</v>
      </c>
      <c r="F14" s="27">
        <v>342864</v>
      </c>
      <c r="G14" s="27">
        <v>342500</v>
      </c>
      <c r="H14" s="27">
        <v>226816</v>
      </c>
      <c r="I14" s="27"/>
      <c r="J14" s="27"/>
      <c r="K14" s="27"/>
      <c r="L14" s="27">
        <f t="shared" si="1"/>
        <v>643559</v>
      </c>
      <c r="M14" s="27">
        <v>2628856</v>
      </c>
      <c r="N14" s="27">
        <v>957692</v>
      </c>
      <c r="O14" s="27">
        <v>354752</v>
      </c>
      <c r="P14" s="27">
        <v>1471374</v>
      </c>
      <c r="Q14" s="27">
        <v>604806</v>
      </c>
      <c r="R14" s="27">
        <v>677</v>
      </c>
      <c r="S14" s="27">
        <v>329875</v>
      </c>
      <c r="T14" s="27">
        <v>31522</v>
      </c>
      <c r="U14" s="27">
        <v>50507</v>
      </c>
      <c r="V14" s="27">
        <v>30563</v>
      </c>
      <c r="W14" s="27">
        <v>489.11700000000002</v>
      </c>
      <c r="X14" s="27">
        <v>899.89099999999996</v>
      </c>
      <c r="Y14" s="27">
        <v>3885.1170000000002</v>
      </c>
      <c r="Z14" s="27">
        <v>2175</v>
      </c>
      <c r="AA14" s="27">
        <v>1415</v>
      </c>
      <c r="AB14" s="30">
        <v>2690</v>
      </c>
      <c r="AC14" s="30">
        <v>2480</v>
      </c>
    </row>
    <row r="15" spans="1:29" x14ac:dyDescent="0.25">
      <c r="A15" s="21">
        <v>44327</v>
      </c>
      <c r="B15" s="24">
        <v>10</v>
      </c>
      <c r="C15" s="24">
        <v>10</v>
      </c>
      <c r="D15" s="27">
        <v>323801</v>
      </c>
      <c r="E15" s="27">
        <v>324877</v>
      </c>
      <c r="F15" s="27">
        <v>344223</v>
      </c>
      <c r="G15" s="27">
        <f>G14+1395</f>
        <v>343895</v>
      </c>
      <c r="H15" s="27">
        <v>226816</v>
      </c>
      <c r="I15" s="27"/>
      <c r="J15" s="27"/>
      <c r="K15" s="27"/>
      <c r="L15" s="27">
        <f t="shared" si="1"/>
        <v>643911</v>
      </c>
      <c r="M15" s="27">
        <v>2628927</v>
      </c>
      <c r="N15" s="27">
        <v>959881</v>
      </c>
      <c r="O15" s="27">
        <v>354815</v>
      </c>
      <c r="P15" s="27">
        <v>1471374</v>
      </c>
      <c r="Q15" s="27">
        <v>604806</v>
      </c>
      <c r="R15" s="27">
        <v>677</v>
      </c>
      <c r="S15" s="27">
        <v>329884</v>
      </c>
      <c r="T15" s="27">
        <v>31551</v>
      </c>
      <c r="U15" s="27">
        <v>50513</v>
      </c>
      <c r="V15" s="27">
        <v>30563</v>
      </c>
      <c r="W15" s="27">
        <v>489.714</v>
      </c>
      <c r="X15" s="27">
        <v>900.28899999999999</v>
      </c>
      <c r="Y15" s="27">
        <v>3885.1170000000002</v>
      </c>
      <c r="Z15" s="27">
        <v>2176</v>
      </c>
      <c r="AA15" s="27">
        <v>1418</v>
      </c>
      <c r="AB15" s="30">
        <v>2392</v>
      </c>
      <c r="AC15" s="30">
        <v>1281</v>
      </c>
    </row>
    <row r="16" spans="1:29" x14ac:dyDescent="0.25">
      <c r="A16" s="21">
        <v>44328</v>
      </c>
      <c r="B16" s="24">
        <v>10</v>
      </c>
      <c r="C16" s="24">
        <v>10</v>
      </c>
      <c r="D16" s="27">
        <v>325678</v>
      </c>
      <c r="E16" s="27">
        <v>326196</v>
      </c>
      <c r="F16" s="27">
        <v>345656</v>
      </c>
      <c r="G16" s="27">
        <v>345290</v>
      </c>
      <c r="H16" s="27">
        <v>227242</v>
      </c>
      <c r="I16" s="27"/>
      <c r="J16" s="27"/>
      <c r="K16" s="27"/>
      <c r="L16" s="27">
        <f t="shared" si="1"/>
        <v>644263</v>
      </c>
      <c r="M16" s="27">
        <v>2628927</v>
      </c>
      <c r="N16" s="27">
        <v>961690</v>
      </c>
      <c r="O16" s="27">
        <v>354854</v>
      </c>
      <c r="P16" s="27">
        <v>1471374</v>
      </c>
      <c r="Q16" s="27">
        <v>604806</v>
      </c>
      <c r="R16" s="27">
        <v>677</v>
      </c>
      <c r="S16" s="27">
        <v>329900</v>
      </c>
      <c r="T16" s="27">
        <v>31572</v>
      </c>
      <c r="U16" s="27">
        <v>50517</v>
      </c>
      <c r="V16" s="27">
        <v>30565</v>
      </c>
      <c r="W16" s="27">
        <v>489.714</v>
      </c>
      <c r="X16" s="27">
        <v>901.28200000000004</v>
      </c>
      <c r="Y16" s="27">
        <v>3885.1170000000002</v>
      </c>
      <c r="Z16" s="27">
        <v>2178</v>
      </c>
      <c r="AA16" s="27">
        <v>1422</v>
      </c>
      <c r="AB16" s="30">
        <v>2813</v>
      </c>
      <c r="AC16" s="30">
        <v>2061</v>
      </c>
    </row>
    <row r="17" spans="1:29" x14ac:dyDescent="0.25">
      <c r="A17" s="21">
        <v>44329</v>
      </c>
      <c r="B17" s="24">
        <v>10</v>
      </c>
      <c r="C17" s="24">
        <v>10</v>
      </c>
      <c r="D17" s="27">
        <v>327568</v>
      </c>
      <c r="E17" s="27">
        <v>328089</v>
      </c>
      <c r="F17" s="27">
        <v>346272</v>
      </c>
      <c r="G17" s="27">
        <v>345905</v>
      </c>
      <c r="H17" s="27">
        <v>227260</v>
      </c>
      <c r="I17" s="27"/>
      <c r="J17" s="27"/>
      <c r="K17" s="27"/>
      <c r="L17" s="27">
        <f t="shared" si="1"/>
        <v>644615</v>
      </c>
      <c r="M17" s="27">
        <v>2628927</v>
      </c>
      <c r="N17" s="27">
        <v>964070</v>
      </c>
      <c r="O17" s="27">
        <v>354915</v>
      </c>
      <c r="P17" s="27">
        <v>1471374</v>
      </c>
      <c r="Q17" s="27">
        <v>604960</v>
      </c>
      <c r="R17" s="27">
        <v>679</v>
      </c>
      <c r="S17" s="27">
        <v>329925</v>
      </c>
      <c r="T17" s="27">
        <v>31610</v>
      </c>
      <c r="U17" s="27">
        <v>50524</v>
      </c>
      <c r="V17" s="27">
        <v>30566</v>
      </c>
      <c r="W17" s="27">
        <v>489.714</v>
      </c>
      <c r="X17" s="27">
        <v>901.92899999999997</v>
      </c>
      <c r="Y17" s="27">
        <v>3885.6889999999999</v>
      </c>
      <c r="Z17" s="27">
        <v>2179</v>
      </c>
      <c r="AA17" s="27">
        <v>1427</v>
      </c>
      <c r="AB17" s="30">
        <v>2907</v>
      </c>
      <c r="AC17" s="30">
        <v>3450</v>
      </c>
    </row>
    <row r="18" spans="1:29" x14ac:dyDescent="0.25">
      <c r="A18" s="21">
        <v>44330</v>
      </c>
      <c r="B18" s="24">
        <v>10</v>
      </c>
      <c r="C18" s="24">
        <v>10</v>
      </c>
      <c r="D18" s="27">
        <v>329957</v>
      </c>
      <c r="E18" s="27">
        <v>330482</v>
      </c>
      <c r="F18" s="27">
        <v>346881</v>
      </c>
      <c r="G18" s="27">
        <v>346886</v>
      </c>
      <c r="H18" s="27">
        <v>227260</v>
      </c>
      <c r="I18" s="27"/>
      <c r="J18" s="27"/>
      <c r="K18" s="27"/>
      <c r="L18" s="27">
        <f t="shared" si="1"/>
        <v>644967</v>
      </c>
      <c r="M18" s="27">
        <v>2628927</v>
      </c>
      <c r="N18" s="27">
        <v>966610</v>
      </c>
      <c r="O18" s="27">
        <v>354986</v>
      </c>
      <c r="P18" s="27">
        <v>1471374</v>
      </c>
      <c r="Q18" s="27">
        <v>605065</v>
      </c>
      <c r="R18" s="27">
        <v>682</v>
      </c>
      <c r="S18" s="27">
        <v>329949</v>
      </c>
      <c r="T18" s="27">
        <v>31640</v>
      </c>
      <c r="U18" s="27">
        <v>50530</v>
      </c>
      <c r="V18" s="27">
        <v>30567</v>
      </c>
      <c r="W18" s="27">
        <v>489.714</v>
      </c>
      <c r="X18" s="27">
        <v>902.49</v>
      </c>
      <c r="Y18" s="27">
        <v>3885.6889999999999</v>
      </c>
      <c r="Z18" s="27">
        <v>2181</v>
      </c>
      <c r="AA18" s="27">
        <v>1431</v>
      </c>
      <c r="AB18" s="30">
        <v>2905</v>
      </c>
      <c r="AC18" s="30">
        <v>3426</v>
      </c>
    </row>
    <row r="19" spans="1:29" x14ac:dyDescent="0.25">
      <c r="A19" s="21">
        <v>44331</v>
      </c>
      <c r="B19" s="24">
        <v>10</v>
      </c>
      <c r="C19" s="24">
        <v>10</v>
      </c>
      <c r="D19" s="27">
        <v>332420</v>
      </c>
      <c r="E19" s="27">
        <v>332949</v>
      </c>
      <c r="F19" s="27">
        <v>347689</v>
      </c>
      <c r="G19" s="27">
        <v>347321</v>
      </c>
      <c r="H19" s="27">
        <v>227260</v>
      </c>
      <c r="I19" s="27"/>
      <c r="J19" s="27"/>
      <c r="K19" s="27"/>
      <c r="L19" s="27">
        <f t="shared" si="1"/>
        <v>645319</v>
      </c>
      <c r="M19" s="27">
        <v>2628927</v>
      </c>
      <c r="N19" s="27">
        <v>969102</v>
      </c>
      <c r="O19" s="27">
        <v>355019</v>
      </c>
      <c r="P19" s="27">
        <v>1471374</v>
      </c>
      <c r="Q19" s="27">
        <v>605191</v>
      </c>
      <c r="R19" s="27">
        <v>686</v>
      </c>
      <c r="S19" s="27">
        <v>329963</v>
      </c>
      <c r="T19" s="27">
        <v>31664</v>
      </c>
      <c r="U19" s="27">
        <v>50535</v>
      </c>
      <c r="V19" s="27">
        <v>30569</v>
      </c>
      <c r="W19" s="27">
        <v>489.714</v>
      </c>
      <c r="X19" s="27">
        <v>902.99599999999998</v>
      </c>
      <c r="Y19" s="27">
        <v>3885.761</v>
      </c>
      <c r="Z19" s="27">
        <v>2182</v>
      </c>
      <c r="AA19" s="27">
        <v>1436</v>
      </c>
      <c r="AB19" s="30">
        <v>2915</v>
      </c>
      <c r="AC19" s="30">
        <v>3438</v>
      </c>
    </row>
    <row r="20" spans="1:29" x14ac:dyDescent="0.25">
      <c r="A20" s="21">
        <v>44332</v>
      </c>
      <c r="B20" s="24">
        <v>10</v>
      </c>
      <c r="C20" s="24">
        <v>10</v>
      </c>
      <c r="D20" s="27">
        <v>334676</v>
      </c>
      <c r="E20" s="27">
        <v>335209</v>
      </c>
      <c r="F20" s="27">
        <v>348554</v>
      </c>
      <c r="G20" s="27">
        <v>348185</v>
      </c>
      <c r="H20" s="27">
        <v>227260</v>
      </c>
      <c r="I20" s="27"/>
      <c r="J20" s="27"/>
      <c r="K20" s="27"/>
      <c r="L20" s="27">
        <f t="shared" si="1"/>
        <v>645671</v>
      </c>
      <c r="M20" s="27">
        <v>2628927</v>
      </c>
      <c r="N20" s="27">
        <v>971535</v>
      </c>
      <c r="O20" s="27">
        <v>355056</v>
      </c>
      <c r="P20" s="27">
        <v>1471374</v>
      </c>
      <c r="Q20" s="27">
        <v>605278</v>
      </c>
      <c r="R20" s="27">
        <v>689</v>
      </c>
      <c r="S20" s="27">
        <v>329972</v>
      </c>
      <c r="T20" s="27">
        <v>31681</v>
      </c>
      <c r="U20" s="27">
        <v>50543</v>
      </c>
      <c r="V20" s="27">
        <v>30570</v>
      </c>
      <c r="W20" s="27">
        <v>489.714</v>
      </c>
      <c r="X20" s="27">
        <v>903.50199999999995</v>
      </c>
      <c r="Y20" s="27">
        <v>3885.761</v>
      </c>
      <c r="Z20" s="27">
        <v>2183</v>
      </c>
      <c r="AA20" s="27">
        <v>1439</v>
      </c>
      <c r="AB20" s="30">
        <v>2902</v>
      </c>
      <c r="AC20" s="30">
        <v>3445</v>
      </c>
    </row>
    <row r="21" spans="1:29" x14ac:dyDescent="0.25">
      <c r="A21" s="21">
        <v>44333</v>
      </c>
      <c r="B21" s="37">
        <v>43</v>
      </c>
      <c r="C21" s="38">
        <v>107</v>
      </c>
      <c r="D21" s="29">
        <v>336785</v>
      </c>
      <c r="E21" s="27">
        <v>337332</v>
      </c>
      <c r="F21" s="27">
        <v>349409</v>
      </c>
      <c r="G21" s="27">
        <v>349040</v>
      </c>
      <c r="H21" s="27">
        <v>227260</v>
      </c>
      <c r="I21" s="27"/>
      <c r="J21" s="27"/>
      <c r="K21" s="27"/>
      <c r="L21" s="27">
        <v>646028</v>
      </c>
      <c r="M21" s="27">
        <v>2628927</v>
      </c>
      <c r="N21" s="27">
        <v>973966</v>
      </c>
      <c r="O21" s="27">
        <v>355090</v>
      </c>
      <c r="P21" s="27">
        <v>1471374</v>
      </c>
      <c r="Q21" s="27">
        <v>605327</v>
      </c>
      <c r="R21" s="27">
        <v>693</v>
      </c>
      <c r="S21" s="27">
        <v>329976</v>
      </c>
      <c r="T21" s="27">
        <v>31699</v>
      </c>
      <c r="U21" s="27">
        <v>50548</v>
      </c>
      <c r="V21" s="27">
        <v>30573</v>
      </c>
      <c r="W21" s="27">
        <v>489.714</v>
      </c>
      <c r="X21" s="27">
        <v>903.92499999999995</v>
      </c>
      <c r="Y21" s="27">
        <v>3885.8330000000001</v>
      </c>
      <c r="Z21" s="27">
        <v>2184</v>
      </c>
      <c r="AA21" s="27">
        <v>1445</v>
      </c>
      <c r="AB21" s="30">
        <v>2564</v>
      </c>
      <c r="AC21" s="30">
        <v>3421</v>
      </c>
    </row>
    <row r="22" spans="1:29" x14ac:dyDescent="0.25">
      <c r="A22" s="21">
        <v>44334</v>
      </c>
      <c r="B22" s="37">
        <v>63</v>
      </c>
      <c r="C22" s="38">
        <v>135</v>
      </c>
      <c r="D22" s="29">
        <v>339448</v>
      </c>
      <c r="E22" s="27">
        <v>339989</v>
      </c>
      <c r="F22" s="27">
        <v>350652</v>
      </c>
      <c r="G22" s="27">
        <v>350282</v>
      </c>
      <c r="H22" s="27">
        <v>227261</v>
      </c>
      <c r="I22" s="27"/>
      <c r="J22" s="27"/>
      <c r="K22" s="27"/>
      <c r="L22" s="27">
        <v>646940</v>
      </c>
      <c r="M22" s="27">
        <v>2628999</v>
      </c>
      <c r="N22" s="27">
        <v>976412</v>
      </c>
      <c r="O22" s="27">
        <v>355164</v>
      </c>
      <c r="P22" s="27">
        <v>1471374</v>
      </c>
      <c r="Q22" s="27">
        <v>605345</v>
      </c>
      <c r="R22" s="27">
        <v>696</v>
      </c>
      <c r="S22" s="27">
        <v>330001</v>
      </c>
      <c r="T22" s="27">
        <v>31736</v>
      </c>
      <c r="U22" s="27">
        <v>50555</v>
      </c>
      <c r="V22" s="27">
        <v>30574</v>
      </c>
      <c r="W22" s="27">
        <v>489.714</v>
      </c>
      <c r="X22" s="27">
        <v>904.54499999999996</v>
      </c>
      <c r="Y22" s="27">
        <v>3885.8330000000001</v>
      </c>
      <c r="Z22" s="27">
        <v>2264</v>
      </c>
      <c r="AA22" s="27">
        <v>1449</v>
      </c>
      <c r="AB22" s="30">
        <v>2858</v>
      </c>
      <c r="AC22" s="30">
        <v>3252</v>
      </c>
    </row>
    <row r="23" spans="1:29" x14ac:dyDescent="0.25">
      <c r="A23" s="21">
        <v>44335</v>
      </c>
      <c r="B23" s="37">
        <v>62</v>
      </c>
      <c r="C23" s="38">
        <v>155</v>
      </c>
      <c r="D23" s="29">
        <v>341872</v>
      </c>
      <c r="E23" s="27">
        <v>342417</v>
      </c>
      <c r="F23" s="27">
        <v>352389</v>
      </c>
      <c r="G23" s="27">
        <v>352017</v>
      </c>
      <c r="H23" s="27">
        <v>227310</v>
      </c>
      <c r="I23" s="27"/>
      <c r="J23" s="27"/>
      <c r="K23" s="27"/>
      <c r="L23" s="27">
        <f>L22+1296</f>
        <v>648236</v>
      </c>
      <c r="M23" s="27">
        <v>2629009</v>
      </c>
      <c r="N23" s="27">
        <v>978880</v>
      </c>
      <c r="O23" s="27">
        <v>355272</v>
      </c>
      <c r="P23" s="27">
        <v>1471380</v>
      </c>
      <c r="Q23" s="27">
        <v>605404</v>
      </c>
      <c r="R23" s="27">
        <v>700</v>
      </c>
      <c r="S23" s="27">
        <v>330042</v>
      </c>
      <c r="T23" s="27">
        <v>31784</v>
      </c>
      <c r="U23" s="27">
        <v>50563</v>
      </c>
      <c r="V23" s="27">
        <v>30576</v>
      </c>
      <c r="W23" s="27">
        <v>489.714</v>
      </c>
      <c r="X23" s="27">
        <v>905.29200000000003</v>
      </c>
      <c r="Y23" s="27">
        <v>3885.9009999999998</v>
      </c>
      <c r="Z23" s="27">
        <v>2228</v>
      </c>
      <c r="AA23" s="27">
        <v>1454</v>
      </c>
      <c r="AB23" s="30">
        <v>2897</v>
      </c>
      <c r="AC23" s="30">
        <v>3525</v>
      </c>
    </row>
    <row r="24" spans="1:29" x14ac:dyDescent="0.25">
      <c r="A24" s="21">
        <v>44336</v>
      </c>
      <c r="B24" s="37">
        <v>63</v>
      </c>
      <c r="C24" s="38">
        <v>162</v>
      </c>
      <c r="D24" s="29">
        <v>344561</v>
      </c>
      <c r="E24" s="27">
        <v>345111</v>
      </c>
      <c r="F24" s="27">
        <v>354064</v>
      </c>
      <c r="G24" s="27">
        <v>353691</v>
      </c>
      <c r="H24" s="27">
        <v>227310</v>
      </c>
      <c r="I24" s="27"/>
      <c r="J24" s="27"/>
      <c r="K24" s="27"/>
      <c r="L24" s="27">
        <f>L23+1296</f>
        <v>649532</v>
      </c>
      <c r="M24" s="27">
        <v>2629009</v>
      </c>
      <c r="N24" s="27">
        <v>981438</v>
      </c>
      <c r="O24" s="27">
        <v>355375</v>
      </c>
      <c r="P24" s="27">
        <v>1471380</v>
      </c>
      <c r="Q24" s="27">
        <v>605527</v>
      </c>
      <c r="R24" s="27">
        <v>703</v>
      </c>
      <c r="S24" s="27">
        <v>330089</v>
      </c>
      <c r="T24" s="27">
        <v>31837</v>
      </c>
      <c r="U24" s="27">
        <v>50572</v>
      </c>
      <c r="V24" s="27">
        <v>30578</v>
      </c>
      <c r="W24" s="27">
        <v>489.714</v>
      </c>
      <c r="X24" s="27">
        <v>906.08299999999997</v>
      </c>
      <c r="Y24" s="27">
        <v>3886.0439999999999</v>
      </c>
      <c r="Z24" s="27">
        <v>2252</v>
      </c>
      <c r="AA24" s="27">
        <v>1462</v>
      </c>
      <c r="AB24" s="30">
        <v>2893</v>
      </c>
      <c r="AC24" s="30">
        <v>3582</v>
      </c>
    </row>
    <row r="25" spans="1:29" x14ac:dyDescent="0.25">
      <c r="A25" s="21">
        <v>44337</v>
      </c>
      <c r="B25" s="37">
        <v>102</v>
      </c>
      <c r="C25" s="38">
        <v>273</v>
      </c>
      <c r="D25" s="29">
        <v>347014</v>
      </c>
      <c r="E25" s="27">
        <v>347567</v>
      </c>
      <c r="F25" s="27">
        <v>355758</v>
      </c>
      <c r="G25" s="27">
        <v>355383</v>
      </c>
      <c r="H25" s="27">
        <v>227310</v>
      </c>
      <c r="I25" s="27"/>
      <c r="J25" s="27"/>
      <c r="K25" s="27"/>
      <c r="L25" s="27">
        <f>L24+1296</f>
        <v>650828</v>
      </c>
      <c r="M25" s="27">
        <v>2629009</v>
      </c>
      <c r="N25" s="27">
        <v>983997</v>
      </c>
      <c r="O25" s="27">
        <v>355466</v>
      </c>
      <c r="P25" s="27">
        <v>1471380</v>
      </c>
      <c r="Q25" s="27">
        <v>605622</v>
      </c>
      <c r="R25" s="27">
        <v>706</v>
      </c>
      <c r="S25" s="27">
        <v>330135</v>
      </c>
      <c r="T25" s="27">
        <v>31886</v>
      </c>
      <c r="U25" s="27">
        <v>50581</v>
      </c>
      <c r="V25" s="27">
        <v>30579</v>
      </c>
      <c r="W25" s="27">
        <v>489.714</v>
      </c>
      <c r="X25" s="27">
        <v>906.75400000000002</v>
      </c>
      <c r="Y25" s="27">
        <v>3886.0439999999999</v>
      </c>
      <c r="Z25" s="27">
        <v>2273</v>
      </c>
      <c r="AA25" s="27">
        <v>1466</v>
      </c>
      <c r="AB25" s="30">
        <v>2867</v>
      </c>
      <c r="AC25" s="30">
        <v>3590</v>
      </c>
    </row>
    <row r="26" spans="1:29" x14ac:dyDescent="0.25">
      <c r="A26" s="21">
        <v>44338</v>
      </c>
      <c r="B26" s="37">
        <v>121</v>
      </c>
      <c r="C26" s="38">
        <v>314</v>
      </c>
      <c r="D26" s="29">
        <v>349771</v>
      </c>
      <c r="E26" s="27">
        <v>350329</v>
      </c>
      <c r="F26" s="27">
        <v>357702</v>
      </c>
      <c r="G26" s="27">
        <v>357325</v>
      </c>
      <c r="H26" s="27">
        <v>227310</v>
      </c>
      <c r="I26" s="27"/>
      <c r="J26" s="27"/>
      <c r="K26" s="27"/>
      <c r="L26" s="27">
        <v>651747</v>
      </c>
      <c r="M26" s="27">
        <v>2629009</v>
      </c>
      <c r="N26" s="27">
        <v>986821</v>
      </c>
      <c r="O26" s="27">
        <v>355620</v>
      </c>
      <c r="P26" s="27">
        <v>1471380</v>
      </c>
      <c r="Q26" s="27">
        <v>605630</v>
      </c>
      <c r="R26" s="27">
        <v>710</v>
      </c>
      <c r="S26" s="27">
        <v>330201</v>
      </c>
      <c r="T26" s="27">
        <v>31959</v>
      </c>
      <c r="U26" s="27">
        <v>50591</v>
      </c>
      <c r="V26" s="27">
        <v>30580</v>
      </c>
      <c r="W26" s="27">
        <v>489.714</v>
      </c>
      <c r="X26" s="27">
        <v>907.45399999999995</v>
      </c>
      <c r="Y26" s="27">
        <v>3886.1669999999999</v>
      </c>
      <c r="Z26" s="27">
        <v>2295</v>
      </c>
      <c r="AA26" s="27">
        <v>1472</v>
      </c>
      <c r="AB26" s="30">
        <v>2913</v>
      </c>
      <c r="AC26" s="30">
        <v>3594</v>
      </c>
    </row>
    <row r="27" spans="1:29" x14ac:dyDescent="0.25">
      <c r="A27" s="21">
        <v>44339</v>
      </c>
      <c r="B27" s="37">
        <v>48</v>
      </c>
      <c r="C27" s="38">
        <v>141</v>
      </c>
      <c r="D27" s="29">
        <v>352466</v>
      </c>
      <c r="E27" s="27">
        <v>353029</v>
      </c>
      <c r="F27" s="27">
        <v>359780</v>
      </c>
      <c r="G27" s="27">
        <v>359402</v>
      </c>
      <c r="H27" s="27">
        <v>227310</v>
      </c>
      <c r="I27" s="27"/>
      <c r="J27" s="27"/>
      <c r="K27" s="27"/>
      <c r="L27" s="27">
        <v>653265</v>
      </c>
      <c r="M27" s="27">
        <v>2629009</v>
      </c>
      <c r="N27" s="27">
        <v>989568</v>
      </c>
      <c r="O27" s="27">
        <v>355703</v>
      </c>
      <c r="P27" s="27">
        <v>1471380</v>
      </c>
      <c r="Q27" s="27">
        <v>605697</v>
      </c>
      <c r="R27" s="27">
        <v>713</v>
      </c>
      <c r="S27" s="27">
        <v>330274</v>
      </c>
      <c r="T27" s="27">
        <v>32036</v>
      </c>
      <c r="U27" s="27">
        <v>50601</v>
      </c>
      <c r="V27" s="27">
        <v>30582</v>
      </c>
      <c r="W27" s="27">
        <v>489.714</v>
      </c>
      <c r="X27" s="27">
        <v>908.11300000000006</v>
      </c>
      <c r="Y27" s="27">
        <v>3886.1669999999999</v>
      </c>
      <c r="Z27" s="27">
        <v>2315</v>
      </c>
      <c r="AA27" s="27">
        <v>1476</v>
      </c>
      <c r="AB27" s="30">
        <v>2896</v>
      </c>
      <c r="AC27" s="30">
        <v>3592</v>
      </c>
    </row>
    <row r="28" spans="1:29" x14ac:dyDescent="0.25">
      <c r="A28" s="21">
        <v>44340</v>
      </c>
      <c r="B28" s="37">
        <v>51</v>
      </c>
      <c r="C28" s="38">
        <v>142</v>
      </c>
      <c r="D28" s="29">
        <v>354627</v>
      </c>
      <c r="E28" s="27">
        <v>355194</v>
      </c>
      <c r="F28" s="27">
        <v>361578</v>
      </c>
      <c r="G28" s="27">
        <v>361198</v>
      </c>
      <c r="H28" s="27">
        <v>227310</v>
      </c>
      <c r="I28" s="27"/>
      <c r="J28" s="27"/>
      <c r="K28" s="27"/>
      <c r="L28" s="27">
        <v>654545</v>
      </c>
      <c r="M28" s="27">
        <v>2629009</v>
      </c>
      <c r="N28" s="27">
        <v>992271</v>
      </c>
      <c r="O28" s="27">
        <v>355788</v>
      </c>
      <c r="P28" s="27">
        <v>1471388</v>
      </c>
      <c r="Q28" s="27">
        <v>605834</v>
      </c>
      <c r="R28" s="27">
        <v>715</v>
      </c>
      <c r="S28" s="27">
        <v>330338</v>
      </c>
      <c r="T28" s="27">
        <v>32107</v>
      </c>
      <c r="U28" s="27">
        <v>50610</v>
      </c>
      <c r="V28" s="27">
        <v>30583</v>
      </c>
      <c r="W28" s="27">
        <v>489.714</v>
      </c>
      <c r="X28" s="27">
        <v>908.76499999999999</v>
      </c>
      <c r="Y28" s="27">
        <v>3886.22</v>
      </c>
      <c r="Z28" s="27">
        <v>2335</v>
      </c>
      <c r="AA28" s="27">
        <v>1481</v>
      </c>
      <c r="AB28" s="30">
        <v>2511</v>
      </c>
      <c r="AC28" s="30">
        <v>3149</v>
      </c>
    </row>
    <row r="29" spans="1:29" x14ac:dyDescent="0.25">
      <c r="A29" s="21">
        <v>44341</v>
      </c>
      <c r="B29" s="37">
        <v>67</v>
      </c>
      <c r="C29" s="38">
        <v>169</v>
      </c>
      <c r="D29" s="29">
        <v>357229</v>
      </c>
      <c r="E29" s="27">
        <v>357800</v>
      </c>
      <c r="F29" s="27">
        <v>364860</v>
      </c>
      <c r="G29" s="27">
        <v>364476</v>
      </c>
      <c r="H29" s="27">
        <v>227618</v>
      </c>
      <c r="I29" s="27"/>
      <c r="J29" s="27"/>
      <c r="K29" s="27"/>
      <c r="L29" s="27">
        <f t="shared" ref="L29:L34" si="2">L28+1296</f>
        <v>655841</v>
      </c>
      <c r="M29" s="27">
        <v>2629093</v>
      </c>
      <c r="N29" s="27">
        <v>994540</v>
      </c>
      <c r="O29" s="34">
        <v>355891</v>
      </c>
      <c r="P29" s="34">
        <v>1471388</v>
      </c>
      <c r="Q29" s="34">
        <v>606055</v>
      </c>
      <c r="R29" s="34">
        <v>717</v>
      </c>
      <c r="S29" s="34">
        <v>330386</v>
      </c>
      <c r="T29" s="34">
        <v>32160</v>
      </c>
      <c r="U29" s="34">
        <v>50619</v>
      </c>
      <c r="V29" s="34">
        <v>30584</v>
      </c>
      <c r="W29" s="27">
        <v>489.714</v>
      </c>
      <c r="X29" s="27">
        <v>909.09100000000001</v>
      </c>
      <c r="Y29" s="27">
        <v>3886.5839999999998</v>
      </c>
      <c r="Z29" s="27">
        <v>2355</v>
      </c>
      <c r="AA29" s="27">
        <v>1490</v>
      </c>
      <c r="AB29" s="30">
        <v>2854</v>
      </c>
      <c r="AC29" s="30">
        <v>2069</v>
      </c>
    </row>
    <row r="30" spans="1:29" x14ac:dyDescent="0.25">
      <c r="A30" s="21">
        <v>44342</v>
      </c>
      <c r="B30" s="37">
        <v>67</v>
      </c>
      <c r="C30" s="38">
        <v>173</v>
      </c>
      <c r="D30" s="29">
        <v>359495</v>
      </c>
      <c r="E30" s="27">
        <v>360070</v>
      </c>
      <c r="F30" s="27">
        <v>367091</v>
      </c>
      <c r="G30" s="27">
        <v>364476</v>
      </c>
      <c r="H30" s="27">
        <v>227624</v>
      </c>
      <c r="I30" s="27"/>
      <c r="J30" s="27"/>
      <c r="K30" s="27"/>
      <c r="L30" s="27">
        <f t="shared" si="2"/>
        <v>657137</v>
      </c>
      <c r="M30" s="27">
        <v>2629093</v>
      </c>
      <c r="N30" s="28">
        <f>N29+1267</f>
        <v>995807</v>
      </c>
      <c r="O30" s="36">
        <v>355955</v>
      </c>
      <c r="P30" s="36">
        <v>1471388</v>
      </c>
      <c r="Q30" s="36">
        <v>606368</v>
      </c>
      <c r="R30" s="36">
        <v>719.5</v>
      </c>
      <c r="S30" s="36">
        <v>330450</v>
      </c>
      <c r="T30" s="36">
        <v>32227</v>
      </c>
      <c r="U30" s="36">
        <v>50629</v>
      </c>
      <c r="V30" s="36">
        <v>30585.5</v>
      </c>
      <c r="W30" s="29">
        <v>489.714</v>
      </c>
      <c r="X30" s="27">
        <v>909.69100000000003</v>
      </c>
      <c r="Y30" s="27">
        <v>3886.6640000000002</v>
      </c>
      <c r="Z30" s="27">
        <v>2378</v>
      </c>
      <c r="AA30" s="27">
        <v>1494.5</v>
      </c>
      <c r="AB30" s="30">
        <v>2879</v>
      </c>
      <c r="AC30" s="30">
        <v>3544</v>
      </c>
    </row>
    <row r="31" spans="1:29" x14ac:dyDescent="0.25">
      <c r="A31" s="21">
        <v>44343</v>
      </c>
      <c r="B31" s="37">
        <v>75</v>
      </c>
      <c r="C31" s="38">
        <v>200</v>
      </c>
      <c r="D31" s="29">
        <v>362862</v>
      </c>
      <c r="E31" s="27">
        <v>363442</v>
      </c>
      <c r="F31" s="27">
        <v>369322</v>
      </c>
      <c r="G31" s="27">
        <v>368934</v>
      </c>
      <c r="H31" s="27">
        <v>227660</v>
      </c>
      <c r="I31" s="27"/>
      <c r="J31" s="27"/>
      <c r="K31" s="27"/>
      <c r="L31" s="27">
        <f t="shared" si="2"/>
        <v>658433</v>
      </c>
      <c r="M31" s="27">
        <v>2629097</v>
      </c>
      <c r="N31" s="27">
        <v>997074</v>
      </c>
      <c r="O31" s="35">
        <v>356019</v>
      </c>
      <c r="P31" s="35">
        <v>1471388</v>
      </c>
      <c r="Q31" s="35">
        <v>606682</v>
      </c>
      <c r="R31" s="35">
        <v>722</v>
      </c>
      <c r="S31" s="35">
        <v>330515</v>
      </c>
      <c r="T31" s="35">
        <v>32295</v>
      </c>
      <c r="U31" s="35">
        <v>50640</v>
      </c>
      <c r="V31" s="35">
        <v>30587</v>
      </c>
      <c r="W31" s="27">
        <v>489.714</v>
      </c>
      <c r="X31" s="27">
        <v>910.48900000000003</v>
      </c>
      <c r="Y31" s="27">
        <v>3886.7530000000002</v>
      </c>
      <c r="Z31" s="27">
        <v>2401</v>
      </c>
      <c r="AA31" s="27">
        <v>1499</v>
      </c>
      <c r="AB31" s="30">
        <v>2871</v>
      </c>
      <c r="AC31" s="30">
        <v>3593</v>
      </c>
    </row>
    <row r="32" spans="1:29" x14ac:dyDescent="0.25">
      <c r="A32" s="21">
        <v>44344</v>
      </c>
      <c r="B32" s="37">
        <v>107</v>
      </c>
      <c r="C32" s="38">
        <v>271</v>
      </c>
      <c r="D32" s="29">
        <v>364666</v>
      </c>
      <c r="E32" s="27">
        <v>365249</v>
      </c>
      <c r="F32" s="27">
        <v>370680</v>
      </c>
      <c r="G32" s="27">
        <v>370291</v>
      </c>
      <c r="H32" s="27">
        <v>227660</v>
      </c>
      <c r="I32" s="27"/>
      <c r="J32" s="27"/>
      <c r="K32" s="27"/>
      <c r="L32" s="27">
        <f t="shared" si="2"/>
        <v>659729</v>
      </c>
      <c r="M32" s="27">
        <v>2629106</v>
      </c>
      <c r="N32" s="27">
        <v>1002142</v>
      </c>
      <c r="O32" s="27">
        <v>356219</v>
      </c>
      <c r="P32" s="27">
        <v>1471388</v>
      </c>
      <c r="Q32" s="27">
        <v>606827</v>
      </c>
      <c r="R32" s="27">
        <v>724</v>
      </c>
      <c r="S32" s="27">
        <v>330550</v>
      </c>
      <c r="T32" s="27">
        <v>32334</v>
      </c>
      <c r="U32" s="27">
        <v>50646</v>
      </c>
      <c r="V32" s="27">
        <v>30588</v>
      </c>
      <c r="W32" s="27">
        <v>489.714</v>
      </c>
      <c r="X32" s="27">
        <v>910.94100000000003</v>
      </c>
      <c r="Y32" s="27">
        <v>3886.8009999999999</v>
      </c>
      <c r="Z32" s="27">
        <v>2416</v>
      </c>
      <c r="AA32" s="27">
        <v>1505</v>
      </c>
      <c r="AB32" s="30">
        <v>2876</v>
      </c>
      <c r="AC32" s="30">
        <v>3598</v>
      </c>
    </row>
    <row r="33" spans="1:29" x14ac:dyDescent="0.25">
      <c r="A33" s="21">
        <v>44345</v>
      </c>
      <c r="B33" s="37">
        <v>108</v>
      </c>
      <c r="C33" s="38">
        <v>310</v>
      </c>
      <c r="D33" s="29">
        <v>367944</v>
      </c>
      <c r="E33" s="27">
        <v>368532</v>
      </c>
      <c r="F33" s="27">
        <v>373018</v>
      </c>
      <c r="G33" s="27">
        <v>372627</v>
      </c>
      <c r="H33" s="27">
        <v>227660</v>
      </c>
      <c r="I33" s="27"/>
      <c r="J33" s="27"/>
      <c r="K33" s="27"/>
      <c r="L33" s="27">
        <f t="shared" si="2"/>
        <v>661025</v>
      </c>
      <c r="M33" s="27">
        <v>2629106</v>
      </c>
      <c r="N33" s="27">
        <v>1004649</v>
      </c>
      <c r="O33" s="27">
        <v>356409</v>
      </c>
      <c r="P33" s="27">
        <v>1471388</v>
      </c>
      <c r="Q33" s="27">
        <v>607253</v>
      </c>
      <c r="R33" s="27">
        <v>728</v>
      </c>
      <c r="S33" s="27">
        <v>330616</v>
      </c>
      <c r="T33" s="27">
        <v>32407</v>
      </c>
      <c r="U33" s="27">
        <v>50657</v>
      </c>
      <c r="V33" s="27">
        <v>30590</v>
      </c>
      <c r="W33" s="27">
        <v>489.714</v>
      </c>
      <c r="X33" s="27">
        <v>911.45899999999995</v>
      </c>
      <c r="Y33" s="27">
        <v>3886.8009999999999</v>
      </c>
      <c r="Z33" s="27">
        <v>2439</v>
      </c>
      <c r="AA33" s="27">
        <v>1509.5</v>
      </c>
      <c r="AB33" s="31">
        <v>2929</v>
      </c>
      <c r="AC33" s="31">
        <v>3600</v>
      </c>
    </row>
    <row r="34" spans="1:29" x14ac:dyDescent="0.25">
      <c r="A34" s="21">
        <v>44346</v>
      </c>
      <c r="B34" s="37">
        <v>111</v>
      </c>
      <c r="C34" s="38">
        <v>322</v>
      </c>
      <c r="D34" s="29">
        <v>371119</v>
      </c>
      <c r="E34" s="27">
        <v>371711</v>
      </c>
      <c r="F34" s="27">
        <v>375286</v>
      </c>
      <c r="G34" s="27">
        <v>374893</v>
      </c>
      <c r="H34" s="27">
        <v>227660</v>
      </c>
      <c r="I34" s="27"/>
      <c r="J34" s="27"/>
      <c r="K34" s="27"/>
      <c r="L34" s="27">
        <f t="shared" si="2"/>
        <v>662321</v>
      </c>
      <c r="M34" s="27">
        <v>2629106</v>
      </c>
      <c r="N34" s="27">
        <v>1007183</v>
      </c>
      <c r="O34" s="27">
        <v>356516</v>
      </c>
      <c r="P34" s="27">
        <v>1471388</v>
      </c>
      <c r="Q34" s="27">
        <v>607714</v>
      </c>
      <c r="R34" s="27">
        <v>732</v>
      </c>
      <c r="S34" s="27">
        <v>330690</v>
      </c>
      <c r="T34" s="27">
        <v>32492</v>
      </c>
      <c r="U34" s="27">
        <v>50668</v>
      </c>
      <c r="V34" s="27">
        <v>30591</v>
      </c>
      <c r="W34" s="27">
        <v>489.714</v>
      </c>
      <c r="X34" s="27">
        <v>912.03099999999995</v>
      </c>
      <c r="Y34" s="27">
        <v>3886.9589999999998</v>
      </c>
      <c r="Z34" s="27">
        <v>2456</v>
      </c>
      <c r="AA34" s="28">
        <v>1519</v>
      </c>
      <c r="AB34" s="32">
        <v>2914</v>
      </c>
      <c r="AC34" s="32">
        <v>3598</v>
      </c>
    </row>
    <row r="35" spans="1:29" x14ac:dyDescent="0.25">
      <c r="A35" s="21">
        <v>44347</v>
      </c>
      <c r="B35" s="37">
        <v>105</v>
      </c>
      <c r="C35" s="38">
        <v>298</v>
      </c>
      <c r="D35" s="29">
        <v>373979</v>
      </c>
      <c r="E35" s="27">
        <v>374576</v>
      </c>
      <c r="F35" s="27">
        <v>377462</v>
      </c>
      <c r="G35" s="27">
        <v>377067</v>
      </c>
      <c r="H35" s="27">
        <v>227660</v>
      </c>
      <c r="I35" s="27"/>
      <c r="J35" s="27"/>
      <c r="K35" s="27"/>
      <c r="L35" s="27">
        <v>663623</v>
      </c>
      <c r="M35" s="27">
        <v>2629106</v>
      </c>
      <c r="N35" s="27">
        <v>1009585</v>
      </c>
      <c r="O35" s="27">
        <v>356624</v>
      </c>
      <c r="P35" s="27">
        <v>1471388</v>
      </c>
      <c r="Q35" s="27">
        <v>608055</v>
      </c>
      <c r="R35" s="27">
        <v>735</v>
      </c>
      <c r="S35" s="27">
        <v>330773</v>
      </c>
      <c r="T35" s="27">
        <v>32575</v>
      </c>
      <c r="U35" s="27">
        <v>50677</v>
      </c>
      <c r="V35" s="27">
        <v>30592</v>
      </c>
      <c r="W35" s="27">
        <v>489.714</v>
      </c>
      <c r="X35" s="27">
        <v>912.61</v>
      </c>
      <c r="Y35" s="27">
        <v>3886.9780000000001</v>
      </c>
      <c r="Z35" s="27">
        <v>2474</v>
      </c>
      <c r="AA35" s="28">
        <v>1524</v>
      </c>
      <c r="AB35" s="33">
        <v>2868</v>
      </c>
      <c r="AC35" s="33">
        <v>3544</v>
      </c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2021-06-14T13:53:22Z</dcterms:modified>
</cp:coreProperties>
</file>