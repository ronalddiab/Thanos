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esktop\"/>
    </mc:Choice>
  </mc:AlternateContent>
  <bookViews>
    <workbookView xWindow="-120" yWindow="-120" windowWidth="29040" windowHeight="1584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I3" i="9" l="1"/>
  <c r="I4" i="9"/>
  <c r="I5" i="9"/>
  <c r="I6" i="9"/>
  <c r="I7" i="9"/>
  <c r="I8" i="9"/>
  <c r="I9" i="9"/>
  <c r="I10" i="9"/>
  <c r="I11" i="9"/>
  <c r="I2" i="9"/>
  <c r="C12" i="5"/>
  <c r="F9" i="1" l="1"/>
  <c r="C14" i="4" l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C8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Q14" i="1" l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T10" i="2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K32" i="8"/>
  <c r="G32" i="8"/>
  <c r="F32" i="8"/>
  <c r="AD32" i="8"/>
  <c r="Z32" i="8"/>
  <c r="R16" i="2"/>
  <c r="R17" i="2" s="1"/>
  <c r="R19" i="2" s="1"/>
  <c r="R20" i="2" s="1"/>
  <c r="R21" i="2" s="1"/>
  <c r="R22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/>
  <c r="AE31" i="8"/>
  <c r="I31" i="9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/>
  <c r="AE23" i="8"/>
  <c r="I23" i="9"/>
  <c r="AE26" i="8"/>
  <c r="I26" i="9"/>
  <c r="AE21" i="8"/>
  <c r="I21" i="9"/>
  <c r="AE16" i="8"/>
  <c r="I16" i="9"/>
  <c r="AE24" i="8"/>
  <c r="I24" i="9"/>
  <c r="AE22" i="8"/>
  <c r="I22" i="9"/>
  <c r="AE14" i="8"/>
  <c r="I14" i="9"/>
  <c r="AE25" i="8"/>
  <c r="I25" i="9"/>
  <c r="AE27" i="8"/>
  <c r="I27" i="9"/>
  <c r="AE12" i="8"/>
  <c r="I12" i="9"/>
  <c r="AE29" i="8"/>
  <c r="I29" i="9"/>
  <c r="AE15" i="8"/>
  <c r="I15" i="9"/>
  <c r="AE19" i="8"/>
  <c r="I19" i="9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/>
  <c r="AE18" i="8"/>
  <c r="I18" i="9"/>
  <c r="M34" i="1"/>
  <c r="G34" i="2"/>
  <c r="Z34" i="4"/>
  <c r="C30" i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<sst xmlns="http://schemas.openxmlformats.org/spreadsheetml/2006/main" count="444" uniqueCount="143">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</sst>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I12" sqref="I1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6">
        <v>1.27</v>
      </c>
      <c r="G13" s="47">
        <f>Gas!C14*0.9147</f>
        <v>0</v>
      </c>
      <c r="H13" s="167">
        <v>3.65</v>
      </c>
      <c r="I13" s="169">
        <f>Submetering!H13+Submetering!AD13+Submetering!AE13</f>
        <v>-194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6">
        <v>1.27</v>
      </c>
      <c r="G14" s="47">
        <f>Gas!C15*0.9147</f>
        <v>0</v>
      </c>
      <c r="H14" s="167">
        <v>3.65</v>
      </c>
      <c r="I14" s="169">
        <f>Submetering!H14+Submetering!AD14+Submetering!AE14</f>
        <v>-194</v>
      </c>
      <c r="J14" s="169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6">
        <v>1.27</v>
      </c>
      <c r="G15" s="47">
        <f>Gas!C16*0.9147</f>
        <v>0</v>
      </c>
      <c r="H15" s="167">
        <v>3.65</v>
      </c>
      <c r="I15" s="169">
        <f>Submetering!H15+Submetering!AD15+Submetering!AE15</f>
        <v>-194</v>
      </c>
      <c r="J15" s="169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6">
        <v>1.27</v>
      </c>
      <c r="G16" s="47">
        <f>Gas!C17*0.9147</f>
        <v>0</v>
      </c>
      <c r="H16" s="167">
        <v>3.65</v>
      </c>
      <c r="I16" s="169">
        <f>Submetering!H16+Submetering!AD16+Submetering!AE16</f>
        <v>-194</v>
      </c>
      <c r="J16" s="169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6">
        <v>1.27</v>
      </c>
      <c r="G17" s="47">
        <f>Gas!C18*0.9147</f>
        <v>0</v>
      </c>
      <c r="H17" s="167">
        <v>3.65</v>
      </c>
      <c r="I17" s="169">
        <f>Submetering!H17+Submetering!AD17+Submetering!AE17</f>
        <v>-194</v>
      </c>
      <c r="J17" s="169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6">
        <v>1.27</v>
      </c>
      <c r="G18" s="47">
        <f>Gas!C19*0.9147</f>
        <v>0</v>
      </c>
      <c r="H18" s="167">
        <v>3.65</v>
      </c>
      <c r="I18" s="169">
        <f>Submetering!H18+Submetering!AD18+Submetering!AE18</f>
        <v>-194</v>
      </c>
      <c r="J18" s="169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6">
        <v>1.27</v>
      </c>
      <c r="G19" s="47">
        <f>Gas!C20*0.9147</f>
        <v>0</v>
      </c>
      <c r="H19" s="167">
        <v>3.65</v>
      </c>
      <c r="I19" s="169">
        <f>Submetering!H19+Submetering!AD19+Submetering!AE19</f>
        <v>-194</v>
      </c>
      <c r="J19" s="169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6">
        <v>1.27</v>
      </c>
      <c r="G20" s="47">
        <f>Gas!C21*0.9147</f>
        <v>0</v>
      </c>
      <c r="H20" s="167">
        <v>3.65</v>
      </c>
      <c r="I20" s="169">
        <f>Submetering!H20+Submetering!AD20+Submetering!AE20</f>
        <v>-194</v>
      </c>
      <c r="J20" s="169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6">
        <v>1.27</v>
      </c>
      <c r="G21" s="47">
        <f>Gas!C22*0.9147</f>
        <v>0</v>
      </c>
      <c r="H21" s="167">
        <v>3.65</v>
      </c>
      <c r="I21" s="169">
        <f>Submetering!H21+Submetering!AD21+Submetering!AE21</f>
        <v>-194</v>
      </c>
      <c r="J21" s="169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6">
        <v>1.27</v>
      </c>
      <c r="G22" s="47">
        <f>Gas!C23*0.9147</f>
        <v>0</v>
      </c>
      <c r="H22" s="167">
        <v>3.65</v>
      </c>
      <c r="I22" s="169">
        <f>Submetering!H22+Submetering!AD22+Submetering!AE22</f>
        <v>-194</v>
      </c>
      <c r="J22" s="169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6">
        <v>1.27</v>
      </c>
      <c r="G23" s="47">
        <f>Gas!C24*0.9147</f>
        <v>0</v>
      </c>
      <c r="H23" s="167">
        <v>3.65</v>
      </c>
      <c r="I23" s="169">
        <f>Submetering!H23+Submetering!AD23+Submetering!AE23</f>
        <v>-194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6">
        <v>1.27</v>
      </c>
      <c r="G24" s="47">
        <f>Gas!C25*0.9147</f>
        <v>0</v>
      </c>
      <c r="H24" s="167">
        <v>3.65</v>
      </c>
      <c r="I24" s="169">
        <f>Submetering!H24+Submetering!AD24+Submetering!AE24</f>
        <v>-194</v>
      </c>
      <c r="J24" s="169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6">
        <v>1.27</v>
      </c>
      <c r="G25" s="47">
        <f>Gas!C26*0.9147</f>
        <v>0</v>
      </c>
      <c r="H25" s="167">
        <v>3.65</v>
      </c>
      <c r="I25" s="169">
        <f>Submetering!H25+Submetering!AD25+Submetering!AE25</f>
        <v>-194</v>
      </c>
      <c r="J25" s="169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6">
        <v>1.27</v>
      </c>
      <c r="G26" s="47">
        <f>Gas!C27*0.9147</f>
        <v>0</v>
      </c>
      <c r="H26" s="167">
        <v>3.65</v>
      </c>
      <c r="I26" s="169">
        <f>Submetering!H26+Submetering!AD26+Submetering!AE26</f>
        <v>-194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6">
        <v>1.27</v>
      </c>
      <c r="G27" s="47">
        <f>Gas!C28*0.9147</f>
        <v>0</v>
      </c>
      <c r="H27" s="167">
        <v>3.65</v>
      </c>
      <c r="I27" s="169">
        <f>Submetering!H27+Submetering!AD27+Submetering!AE27</f>
        <v>-194</v>
      </c>
      <c r="J27" s="169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G1"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 t="str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13" sqref="A1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3626</v>
      </c>
      <c r="U8" s="16">
        <f t="shared" si="21"/>
        <v>320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f t="shared" ref="T10:T33" si="24">T9</f>
        <v>3626</v>
      </c>
      <c r="U10" s="16">
        <f t="shared" si="21"/>
        <v>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320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5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3631</v>
      </c>
      <c r="U13" s="16">
        <f t="shared" si="21"/>
        <v>320</v>
      </c>
    </row>
    <row r="14" spans="1:24" ht="13.5" thickBot="1" x14ac:dyDescent="0.25">
      <c r="A14" s="10">
        <v>44328</v>
      </c>
      <c r="B14" s="42">
        <f t="shared" ref="B14:B33" si="26">B13</f>
        <v>45233</v>
      </c>
      <c r="C14" s="16">
        <f t="shared" si="11"/>
        <v>0</v>
      </c>
      <c r="D14" s="42">
        <f t="shared" ref="D14:D33" si="27">D13</f>
        <v>39499</v>
      </c>
      <c r="E14" s="16">
        <f t="shared" si="12"/>
        <v>0</v>
      </c>
      <c r="F14" s="42">
        <f t="shared" ref="F14:F33" si="28">F13</f>
        <v>20349</v>
      </c>
      <c r="G14" s="16">
        <f t="shared" si="13"/>
        <v>0</v>
      </c>
      <c r="H14" s="42">
        <f t="shared" ref="H14:H33" si="29">H13</f>
        <v>241293</v>
      </c>
      <c r="I14" s="16">
        <f t="shared" si="14"/>
        <v>0</v>
      </c>
      <c r="J14" s="42">
        <v>303517</v>
      </c>
      <c r="K14" s="16">
        <f t="shared" si="15"/>
        <v>0</v>
      </c>
      <c r="L14" s="42">
        <f t="shared" si="23"/>
        <v>24917</v>
      </c>
      <c r="M14" s="16">
        <f t="shared" si="16"/>
        <v>0</v>
      </c>
      <c r="N14" s="42">
        <f t="shared" ref="N14:N33" si="30">N13</f>
        <v>215480</v>
      </c>
      <c r="O14" s="16">
        <f t="shared" si="17"/>
        <v>0</v>
      </c>
      <c r="P14" s="42">
        <f t="shared" si="25"/>
        <v>103167</v>
      </c>
      <c r="Q14" s="16">
        <f t="shared" si="18"/>
        <v>0</v>
      </c>
      <c r="R14" s="1">
        <v>55047</v>
      </c>
      <c r="S14" s="16">
        <f t="shared" si="20"/>
        <v>0</v>
      </c>
      <c r="T14" s="42">
        <f t="shared" si="24"/>
        <v>3631</v>
      </c>
      <c r="U14" s="16">
        <f>(T14-T13)*800/5</f>
        <v>0</v>
      </c>
    </row>
    <row r="15" spans="1:24" ht="13.5" thickBot="1" x14ac:dyDescent="0.25">
      <c r="A15" s="10">
        <v>44329</v>
      </c>
      <c r="B15" s="42">
        <f t="shared" si="26"/>
        <v>45233</v>
      </c>
      <c r="C15" s="16">
        <f t="shared" si="11"/>
        <v>0</v>
      </c>
      <c r="D15" s="42">
        <f t="shared" si="27"/>
        <v>39499</v>
      </c>
      <c r="E15" s="16">
        <f t="shared" si="12"/>
        <v>0</v>
      </c>
      <c r="F15" s="42">
        <f t="shared" si="28"/>
        <v>20349</v>
      </c>
      <c r="G15" s="16">
        <f t="shared" si="13"/>
        <v>0</v>
      </c>
      <c r="H15" s="42">
        <f t="shared" si="29"/>
        <v>241293</v>
      </c>
      <c r="I15" s="16">
        <f t="shared" si="14"/>
        <v>0</v>
      </c>
      <c r="J15" s="42">
        <v>303517</v>
      </c>
      <c r="K15" s="16">
        <f t="shared" si="15"/>
        <v>0</v>
      </c>
      <c r="L15" s="42">
        <f t="shared" si="23"/>
        <v>24917</v>
      </c>
      <c r="M15" s="16">
        <f t="shared" si="16"/>
        <v>0</v>
      </c>
      <c r="N15" s="42">
        <f t="shared" si="30"/>
        <v>215480</v>
      </c>
      <c r="O15" s="16">
        <f t="shared" si="17"/>
        <v>0</v>
      </c>
      <c r="P15" s="42">
        <f t="shared" si="25"/>
        <v>103167</v>
      </c>
      <c r="Q15" s="16">
        <f t="shared" si="18"/>
        <v>0</v>
      </c>
      <c r="R15" s="1">
        <v>55047</v>
      </c>
      <c r="S15" s="16">
        <f t="shared" si="20"/>
        <v>0</v>
      </c>
      <c r="T15" s="42">
        <f t="shared" si="24"/>
        <v>3631</v>
      </c>
      <c r="U15" s="16">
        <f t="shared" ref="U15" si="31">(T15-T14)*800/5</f>
        <v>0</v>
      </c>
      <c r="X15" t="s">
        <v>12</v>
      </c>
    </row>
    <row r="16" spans="1:24" ht="13.5" thickBot="1" x14ac:dyDescent="0.25">
      <c r="A16" s="10">
        <v>44330</v>
      </c>
      <c r="B16" s="42">
        <f t="shared" si="26"/>
        <v>45233</v>
      </c>
      <c r="C16" s="16">
        <f t="shared" si="11"/>
        <v>0</v>
      </c>
      <c r="D16" s="42">
        <f t="shared" si="27"/>
        <v>39499</v>
      </c>
      <c r="E16" s="16">
        <f t="shared" si="12"/>
        <v>0</v>
      </c>
      <c r="F16" s="42">
        <f t="shared" si="28"/>
        <v>20349</v>
      </c>
      <c r="G16" s="16">
        <f t="shared" si="13"/>
        <v>0</v>
      </c>
      <c r="H16" s="42">
        <f t="shared" si="29"/>
        <v>241293</v>
      </c>
      <c r="I16" s="16">
        <f t="shared" si="14"/>
        <v>0</v>
      </c>
      <c r="J16" s="42">
        <v>303517</v>
      </c>
      <c r="K16" s="16">
        <f t="shared" si="15"/>
        <v>0</v>
      </c>
      <c r="L16" s="42">
        <f t="shared" si="23"/>
        <v>24917</v>
      </c>
      <c r="M16" s="16">
        <f t="shared" si="16"/>
        <v>0</v>
      </c>
      <c r="N16" s="42">
        <f t="shared" si="30"/>
        <v>215480</v>
      </c>
      <c r="O16" s="16">
        <f t="shared" si="17"/>
        <v>0</v>
      </c>
      <c r="P16" s="42">
        <f t="shared" si="25"/>
        <v>103167</v>
      </c>
      <c r="Q16" s="16">
        <f t="shared" si="18"/>
        <v>0</v>
      </c>
      <c r="R16" s="1">
        <f t="shared" si="19"/>
        <v>55047</v>
      </c>
      <c r="S16" s="16">
        <f t="shared" si="20"/>
        <v>0</v>
      </c>
      <c r="T16" s="42">
        <f t="shared" si="24"/>
        <v>3631</v>
      </c>
      <c r="U16" s="16">
        <f t="shared" si="21"/>
        <v>0</v>
      </c>
      <c r="W16" t="s">
        <v>12</v>
      </c>
    </row>
    <row r="17" spans="1:23" ht="13.5" thickBot="1" x14ac:dyDescent="0.25">
      <c r="A17" s="10">
        <v>44331</v>
      </c>
      <c r="B17" s="42">
        <f t="shared" si="26"/>
        <v>45233</v>
      </c>
      <c r="C17" s="16">
        <f t="shared" si="11"/>
        <v>0</v>
      </c>
      <c r="D17" s="42">
        <f t="shared" si="27"/>
        <v>39499</v>
      </c>
      <c r="E17" s="16">
        <f t="shared" si="12"/>
        <v>0</v>
      </c>
      <c r="F17" s="42">
        <f t="shared" si="28"/>
        <v>20349</v>
      </c>
      <c r="G17" s="16">
        <f t="shared" si="13"/>
        <v>0</v>
      </c>
      <c r="H17" s="42">
        <f t="shared" si="29"/>
        <v>241293</v>
      </c>
      <c r="I17" s="16">
        <f t="shared" si="14"/>
        <v>0</v>
      </c>
      <c r="J17" s="42">
        <f t="shared" ref="J17:J32" si="32">J16</f>
        <v>303517</v>
      </c>
      <c r="K17" s="16">
        <f t="shared" si="15"/>
        <v>0</v>
      </c>
      <c r="L17" s="42">
        <f t="shared" si="23"/>
        <v>24917</v>
      </c>
      <c r="M17" s="16">
        <f t="shared" si="16"/>
        <v>0</v>
      </c>
      <c r="N17" s="42">
        <f t="shared" si="30"/>
        <v>215480</v>
      </c>
      <c r="O17" s="16">
        <f t="shared" si="17"/>
        <v>0</v>
      </c>
      <c r="P17" s="42">
        <f t="shared" si="25"/>
        <v>103167</v>
      </c>
      <c r="Q17" s="16">
        <f t="shared" si="18"/>
        <v>0</v>
      </c>
      <c r="R17" s="1">
        <f t="shared" si="19"/>
        <v>55047</v>
      </c>
      <c r="S17" s="16">
        <f>S16</f>
        <v>0</v>
      </c>
      <c r="T17" s="42">
        <f t="shared" si="24"/>
        <v>3631</v>
      </c>
      <c r="U17" s="16">
        <f t="shared" si="21"/>
        <v>0</v>
      </c>
    </row>
    <row r="18" spans="1:23" ht="13.5" thickBot="1" x14ac:dyDescent="0.25">
      <c r="A18" s="10">
        <v>44332</v>
      </c>
      <c r="B18" s="42">
        <f t="shared" si="26"/>
        <v>45233</v>
      </c>
      <c r="C18" s="16">
        <f t="shared" si="11"/>
        <v>0</v>
      </c>
      <c r="D18" s="42">
        <f t="shared" si="27"/>
        <v>39499</v>
      </c>
      <c r="E18" s="16">
        <f t="shared" si="12"/>
        <v>0</v>
      </c>
      <c r="F18" s="42">
        <f t="shared" si="28"/>
        <v>20349</v>
      </c>
      <c r="G18" s="16">
        <f t="shared" si="13"/>
        <v>0</v>
      </c>
      <c r="H18" s="42">
        <f t="shared" si="29"/>
        <v>241293</v>
      </c>
      <c r="I18" s="16">
        <f t="shared" si="14"/>
        <v>0</v>
      </c>
      <c r="J18" s="42">
        <f t="shared" si="32"/>
        <v>303517</v>
      </c>
      <c r="K18" s="16">
        <f t="shared" si="15"/>
        <v>0</v>
      </c>
      <c r="L18" s="42">
        <f t="shared" si="23"/>
        <v>24917</v>
      </c>
      <c r="M18" s="16">
        <f t="shared" si="16"/>
        <v>0</v>
      </c>
      <c r="N18" s="42">
        <f t="shared" si="30"/>
        <v>215480</v>
      </c>
      <c r="O18" s="16">
        <f t="shared" si="17"/>
        <v>0</v>
      </c>
      <c r="P18" s="42">
        <f t="shared" si="25"/>
        <v>103167</v>
      </c>
      <c r="Q18" s="16">
        <f t="shared" si="18"/>
        <v>0</v>
      </c>
      <c r="R18" s="1">
        <v>55047</v>
      </c>
      <c r="S18" s="16">
        <f t="shared" si="20"/>
        <v>0</v>
      </c>
      <c r="T18" s="42">
        <f t="shared" si="24"/>
        <v>3631</v>
      </c>
      <c r="U18" s="16">
        <f t="shared" si="21"/>
        <v>0</v>
      </c>
    </row>
    <row r="19" spans="1:23" ht="13.5" thickBot="1" x14ac:dyDescent="0.25">
      <c r="A19" s="10">
        <v>44333</v>
      </c>
      <c r="B19" s="42">
        <f t="shared" si="26"/>
        <v>45233</v>
      </c>
      <c r="C19" s="16">
        <f t="shared" si="11"/>
        <v>0</v>
      </c>
      <c r="D19" s="42">
        <f t="shared" si="27"/>
        <v>39499</v>
      </c>
      <c r="E19" s="16">
        <f t="shared" si="12"/>
        <v>0</v>
      </c>
      <c r="F19" s="42">
        <f t="shared" si="28"/>
        <v>20349</v>
      </c>
      <c r="G19" s="16">
        <f t="shared" si="13"/>
        <v>0</v>
      </c>
      <c r="H19" s="42">
        <f t="shared" si="29"/>
        <v>241293</v>
      </c>
      <c r="I19" s="16">
        <f t="shared" si="14"/>
        <v>0</v>
      </c>
      <c r="J19" s="42">
        <f t="shared" si="32"/>
        <v>303517</v>
      </c>
      <c r="K19" s="16">
        <f t="shared" si="15"/>
        <v>0</v>
      </c>
      <c r="L19" s="42">
        <f t="shared" si="23"/>
        <v>24917</v>
      </c>
      <c r="M19" s="16">
        <f t="shared" si="16"/>
        <v>0</v>
      </c>
      <c r="N19" s="42">
        <f t="shared" si="30"/>
        <v>215480</v>
      </c>
      <c r="O19" s="16">
        <f t="shared" si="17"/>
        <v>0</v>
      </c>
      <c r="P19" s="42">
        <f t="shared" si="25"/>
        <v>103167</v>
      </c>
      <c r="Q19" s="16">
        <f t="shared" si="18"/>
        <v>0</v>
      </c>
      <c r="R19" s="1">
        <f t="shared" si="19"/>
        <v>55047</v>
      </c>
      <c r="S19" s="16">
        <f t="shared" si="20"/>
        <v>0</v>
      </c>
      <c r="T19" s="42">
        <f t="shared" si="24"/>
        <v>3631</v>
      </c>
      <c r="U19" s="16">
        <f t="shared" si="21"/>
        <v>0</v>
      </c>
      <c r="W19" t="s">
        <v>12</v>
      </c>
    </row>
    <row r="20" spans="1:23" ht="13.5" thickBot="1" x14ac:dyDescent="0.25">
      <c r="A20" s="10">
        <v>44334</v>
      </c>
      <c r="B20" s="42">
        <f t="shared" si="26"/>
        <v>45233</v>
      </c>
      <c r="C20" s="16">
        <f t="shared" si="11"/>
        <v>0</v>
      </c>
      <c r="D20" s="42">
        <f t="shared" si="27"/>
        <v>39499</v>
      </c>
      <c r="E20" s="16">
        <f t="shared" si="12"/>
        <v>0</v>
      </c>
      <c r="F20" s="42">
        <f t="shared" si="28"/>
        <v>20349</v>
      </c>
      <c r="G20" s="16">
        <f t="shared" si="13"/>
        <v>0</v>
      </c>
      <c r="H20" s="42">
        <f t="shared" si="29"/>
        <v>241293</v>
      </c>
      <c r="I20" s="16">
        <f t="shared" si="14"/>
        <v>0</v>
      </c>
      <c r="J20" s="42">
        <f t="shared" si="32"/>
        <v>303517</v>
      </c>
      <c r="K20" s="16">
        <v>0</v>
      </c>
      <c r="L20" s="42">
        <f t="shared" si="23"/>
        <v>24917</v>
      </c>
      <c r="M20" s="16">
        <f t="shared" si="16"/>
        <v>0</v>
      </c>
      <c r="N20" s="42">
        <f t="shared" si="30"/>
        <v>215480</v>
      </c>
      <c r="O20" s="16">
        <f t="shared" si="17"/>
        <v>0</v>
      </c>
      <c r="P20" s="42">
        <f t="shared" si="25"/>
        <v>103167</v>
      </c>
      <c r="Q20" s="16">
        <f t="shared" si="18"/>
        <v>0</v>
      </c>
      <c r="R20" s="1">
        <f t="shared" si="19"/>
        <v>55047</v>
      </c>
      <c r="S20" s="16">
        <f t="shared" si="20"/>
        <v>0</v>
      </c>
      <c r="T20" s="42">
        <f t="shared" si="24"/>
        <v>3631</v>
      </c>
      <c r="U20" s="16">
        <f t="shared" si="21"/>
        <v>0</v>
      </c>
    </row>
    <row r="21" spans="1:23" ht="13.5" thickBot="1" x14ac:dyDescent="0.25">
      <c r="A21" s="10">
        <v>44335</v>
      </c>
      <c r="B21" s="42">
        <f t="shared" si="26"/>
        <v>45233</v>
      </c>
      <c r="C21" s="16">
        <f t="shared" si="11"/>
        <v>0</v>
      </c>
      <c r="D21" s="42">
        <f t="shared" si="27"/>
        <v>39499</v>
      </c>
      <c r="E21" s="16">
        <f t="shared" si="12"/>
        <v>0</v>
      </c>
      <c r="F21" s="42">
        <f t="shared" si="28"/>
        <v>20349</v>
      </c>
      <c r="G21" s="16">
        <f t="shared" si="13"/>
        <v>0</v>
      </c>
      <c r="H21" s="42">
        <f t="shared" si="29"/>
        <v>241293</v>
      </c>
      <c r="I21" s="16">
        <f t="shared" si="14"/>
        <v>0</v>
      </c>
      <c r="J21" s="42">
        <f t="shared" si="32"/>
        <v>303517</v>
      </c>
      <c r="K21" s="16">
        <f t="shared" si="15"/>
        <v>0</v>
      </c>
      <c r="L21" s="42">
        <f t="shared" si="23"/>
        <v>24917</v>
      </c>
      <c r="M21" s="16">
        <f t="shared" si="16"/>
        <v>0</v>
      </c>
      <c r="N21" s="42">
        <f t="shared" si="30"/>
        <v>215480</v>
      </c>
      <c r="O21" s="16">
        <f t="shared" si="17"/>
        <v>0</v>
      </c>
      <c r="P21" s="42">
        <f t="shared" si="25"/>
        <v>103167</v>
      </c>
      <c r="Q21" s="16">
        <f t="shared" si="18"/>
        <v>0</v>
      </c>
      <c r="R21" s="1">
        <f t="shared" si="19"/>
        <v>55047</v>
      </c>
      <c r="S21" s="16">
        <f t="shared" si="20"/>
        <v>0</v>
      </c>
      <c r="T21" s="42">
        <f t="shared" si="24"/>
        <v>3631</v>
      </c>
      <c r="U21" s="16">
        <f t="shared" si="21"/>
        <v>0</v>
      </c>
    </row>
    <row r="22" spans="1:23" ht="13.5" thickBot="1" x14ac:dyDescent="0.25">
      <c r="A22" s="10">
        <v>44336</v>
      </c>
      <c r="B22" s="42">
        <f t="shared" si="26"/>
        <v>45233</v>
      </c>
      <c r="C22" s="16">
        <f t="shared" si="11"/>
        <v>0</v>
      </c>
      <c r="D22" s="42">
        <f t="shared" si="27"/>
        <v>39499</v>
      </c>
      <c r="E22" s="16">
        <f t="shared" si="12"/>
        <v>0</v>
      </c>
      <c r="F22" s="42">
        <f t="shared" si="28"/>
        <v>20349</v>
      </c>
      <c r="G22" s="16">
        <f t="shared" si="13"/>
        <v>0</v>
      </c>
      <c r="H22" s="42">
        <f t="shared" si="29"/>
        <v>241293</v>
      </c>
      <c r="I22" s="16">
        <f t="shared" si="14"/>
        <v>0</v>
      </c>
      <c r="J22" s="42">
        <f t="shared" si="32"/>
        <v>303517</v>
      </c>
      <c r="K22" s="16">
        <f t="shared" si="15"/>
        <v>0</v>
      </c>
      <c r="L22" s="42">
        <f t="shared" si="23"/>
        <v>24917</v>
      </c>
      <c r="M22" s="16">
        <f t="shared" si="16"/>
        <v>0</v>
      </c>
      <c r="N22" s="42">
        <f t="shared" si="30"/>
        <v>215480</v>
      </c>
      <c r="O22" s="16">
        <f t="shared" si="17"/>
        <v>0</v>
      </c>
      <c r="P22" s="42">
        <f t="shared" si="25"/>
        <v>103167</v>
      </c>
      <c r="Q22" s="16">
        <f t="shared" si="18"/>
        <v>0</v>
      </c>
      <c r="R22" s="1">
        <f t="shared" si="19"/>
        <v>55047</v>
      </c>
      <c r="S22" s="16">
        <f t="shared" si="20"/>
        <v>0</v>
      </c>
      <c r="T22" s="42">
        <f t="shared" si="24"/>
        <v>3631</v>
      </c>
      <c r="U22" s="16">
        <f t="shared" si="21"/>
        <v>0</v>
      </c>
    </row>
    <row r="23" spans="1:23" ht="13.5" thickBot="1" x14ac:dyDescent="0.25">
      <c r="A23" s="10">
        <v>44337</v>
      </c>
      <c r="B23" s="42">
        <f t="shared" si="26"/>
        <v>45233</v>
      </c>
      <c r="C23" s="16">
        <f t="shared" si="11"/>
        <v>0</v>
      </c>
      <c r="D23" s="42">
        <f t="shared" si="27"/>
        <v>39499</v>
      </c>
      <c r="E23" s="16">
        <f t="shared" si="12"/>
        <v>0</v>
      </c>
      <c r="F23" s="42">
        <f t="shared" si="28"/>
        <v>20349</v>
      </c>
      <c r="G23" s="16">
        <f t="shared" si="13"/>
        <v>0</v>
      </c>
      <c r="H23" s="42">
        <f t="shared" si="29"/>
        <v>241293</v>
      </c>
      <c r="I23" s="16">
        <f t="shared" si="14"/>
        <v>0</v>
      </c>
      <c r="J23" s="42">
        <v>303517</v>
      </c>
      <c r="K23" s="16">
        <f t="shared" si="15"/>
        <v>0</v>
      </c>
      <c r="L23" s="42">
        <f t="shared" si="23"/>
        <v>24917</v>
      </c>
      <c r="M23" s="16">
        <f t="shared" si="16"/>
        <v>0</v>
      </c>
      <c r="N23" s="42">
        <f t="shared" si="30"/>
        <v>215480</v>
      </c>
      <c r="O23" s="16">
        <f t="shared" si="17"/>
        <v>0</v>
      </c>
      <c r="P23" s="42">
        <f t="shared" si="25"/>
        <v>103167</v>
      </c>
      <c r="Q23" s="16">
        <f t="shared" si="18"/>
        <v>0</v>
      </c>
      <c r="R23" s="1">
        <v>55047</v>
      </c>
      <c r="S23" s="16">
        <f t="shared" si="20"/>
        <v>0</v>
      </c>
      <c r="T23" s="42">
        <f t="shared" si="24"/>
        <v>3631</v>
      </c>
      <c r="U23" s="16">
        <f t="shared" si="21"/>
        <v>0</v>
      </c>
    </row>
    <row r="24" spans="1:23" s="156" customFormat="1" ht="13.5" thickBot="1" x14ac:dyDescent="0.25">
      <c r="A24" s="10">
        <v>44338</v>
      </c>
      <c r="B24" s="42">
        <f t="shared" si="26"/>
        <v>45233</v>
      </c>
      <c r="C24" s="16">
        <f t="shared" si="11"/>
        <v>0</v>
      </c>
      <c r="D24" s="42">
        <f t="shared" si="27"/>
        <v>39499</v>
      </c>
      <c r="E24" s="16">
        <f t="shared" si="12"/>
        <v>0</v>
      </c>
      <c r="F24" s="42">
        <f t="shared" si="28"/>
        <v>20349</v>
      </c>
      <c r="G24" s="16">
        <f t="shared" si="13"/>
        <v>0</v>
      </c>
      <c r="H24" s="42">
        <f t="shared" si="29"/>
        <v>241293</v>
      </c>
      <c r="I24" s="16">
        <f t="shared" si="14"/>
        <v>0</v>
      </c>
      <c r="J24" s="42">
        <v>303517</v>
      </c>
      <c r="K24" s="16">
        <f t="shared" si="15"/>
        <v>0</v>
      </c>
      <c r="L24" s="42">
        <f t="shared" si="23"/>
        <v>24917</v>
      </c>
      <c r="M24" s="16">
        <f t="shared" si="16"/>
        <v>0</v>
      </c>
      <c r="N24" s="42">
        <f t="shared" si="30"/>
        <v>215480</v>
      </c>
      <c r="O24" s="16">
        <f t="shared" si="17"/>
        <v>0</v>
      </c>
      <c r="P24" s="42">
        <f t="shared" si="25"/>
        <v>103167</v>
      </c>
      <c r="Q24" s="16">
        <f t="shared" si="18"/>
        <v>0</v>
      </c>
      <c r="R24" s="1">
        <v>55047</v>
      </c>
      <c r="S24" s="16">
        <f t="shared" si="20"/>
        <v>0</v>
      </c>
      <c r="T24" s="42">
        <f t="shared" si="24"/>
        <v>3631</v>
      </c>
      <c r="U24" s="16">
        <f t="shared" si="21"/>
        <v>0</v>
      </c>
    </row>
    <row r="25" spans="1:23" ht="13.5" thickBot="1" x14ac:dyDescent="0.25">
      <c r="A25" s="10">
        <v>44339</v>
      </c>
      <c r="B25" s="42">
        <f t="shared" si="26"/>
        <v>45233</v>
      </c>
      <c r="C25" s="16">
        <f t="shared" si="11"/>
        <v>0</v>
      </c>
      <c r="D25" s="42">
        <f t="shared" si="27"/>
        <v>39499</v>
      </c>
      <c r="E25" s="16">
        <f t="shared" si="12"/>
        <v>0</v>
      </c>
      <c r="F25" s="42">
        <f t="shared" si="28"/>
        <v>20349</v>
      </c>
      <c r="G25" s="16">
        <f t="shared" si="13"/>
        <v>0</v>
      </c>
      <c r="H25" s="42">
        <f t="shared" si="29"/>
        <v>241293</v>
      </c>
      <c r="I25" s="16">
        <f t="shared" si="14"/>
        <v>0</v>
      </c>
      <c r="J25" s="42">
        <v>303517</v>
      </c>
      <c r="K25" s="16">
        <f t="shared" si="15"/>
        <v>0</v>
      </c>
      <c r="L25" s="42">
        <f t="shared" si="23"/>
        <v>24917</v>
      </c>
      <c r="M25" s="16">
        <f t="shared" si="16"/>
        <v>0</v>
      </c>
      <c r="N25" s="42">
        <f t="shared" si="30"/>
        <v>215480</v>
      </c>
      <c r="O25" s="16">
        <f t="shared" si="17"/>
        <v>0</v>
      </c>
      <c r="P25" s="42">
        <f t="shared" si="25"/>
        <v>103167</v>
      </c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>
        <f t="shared" si="24"/>
        <v>3631</v>
      </c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>
        <f t="shared" si="26"/>
        <v>45233</v>
      </c>
      <c r="C26" s="16">
        <f t="shared" si="11"/>
        <v>0</v>
      </c>
      <c r="D26" s="42">
        <f t="shared" si="27"/>
        <v>39499</v>
      </c>
      <c r="E26" s="16">
        <f t="shared" si="12"/>
        <v>0</v>
      </c>
      <c r="F26" s="42">
        <f t="shared" si="28"/>
        <v>20349</v>
      </c>
      <c r="G26" s="16">
        <f t="shared" si="13"/>
        <v>0</v>
      </c>
      <c r="H26" s="42">
        <f t="shared" si="29"/>
        <v>241293</v>
      </c>
      <c r="I26" s="16">
        <f t="shared" si="14"/>
        <v>0</v>
      </c>
      <c r="J26" s="42">
        <v>303517</v>
      </c>
      <c r="K26" s="16">
        <f t="shared" si="15"/>
        <v>0</v>
      </c>
      <c r="L26" s="42">
        <f t="shared" si="23"/>
        <v>24917</v>
      </c>
      <c r="M26" s="16">
        <f t="shared" si="16"/>
        <v>0</v>
      </c>
      <c r="N26" s="42">
        <f t="shared" si="30"/>
        <v>215480</v>
      </c>
      <c r="O26" s="16">
        <f t="shared" si="17"/>
        <v>0</v>
      </c>
      <c r="P26" s="42">
        <f t="shared" si="25"/>
        <v>103167</v>
      </c>
      <c r="Q26" s="16">
        <f t="shared" si="18"/>
        <v>0</v>
      </c>
      <c r="R26" s="1">
        <v>55047</v>
      </c>
      <c r="S26" s="16">
        <f t="shared" si="20"/>
        <v>0</v>
      </c>
      <c r="T26" s="42">
        <f t="shared" si="24"/>
        <v>3631</v>
      </c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>
        <f t="shared" si="26"/>
        <v>45233</v>
      </c>
      <c r="C27" s="16">
        <f t="shared" si="11"/>
        <v>0</v>
      </c>
      <c r="D27" s="42">
        <f t="shared" si="27"/>
        <v>39499</v>
      </c>
      <c r="E27" s="16">
        <f t="shared" si="12"/>
        <v>0</v>
      </c>
      <c r="F27" s="42">
        <f t="shared" si="28"/>
        <v>20349</v>
      </c>
      <c r="G27" s="16">
        <f t="shared" si="13"/>
        <v>0</v>
      </c>
      <c r="H27" s="42">
        <f t="shared" si="29"/>
        <v>241293</v>
      </c>
      <c r="I27" s="16">
        <f t="shared" si="14"/>
        <v>0</v>
      </c>
      <c r="J27" s="42">
        <v>303517</v>
      </c>
      <c r="K27" s="16">
        <f t="shared" si="15"/>
        <v>0</v>
      </c>
      <c r="L27" s="42">
        <f t="shared" si="23"/>
        <v>24917</v>
      </c>
      <c r="M27" s="16">
        <f t="shared" si="16"/>
        <v>0</v>
      </c>
      <c r="N27" s="42">
        <f t="shared" si="30"/>
        <v>215480</v>
      </c>
      <c r="O27" s="16">
        <f t="shared" si="17"/>
        <v>0</v>
      </c>
      <c r="P27" s="42">
        <f t="shared" si="25"/>
        <v>103167</v>
      </c>
      <c r="Q27" s="16">
        <f t="shared" si="18"/>
        <v>0</v>
      </c>
      <c r="R27" s="1">
        <v>55047</v>
      </c>
      <c r="S27" s="16">
        <f t="shared" si="20"/>
        <v>0</v>
      </c>
      <c r="T27" s="42">
        <f t="shared" si="24"/>
        <v>3631</v>
      </c>
      <c r="U27" s="16">
        <f t="shared" si="21"/>
        <v>0</v>
      </c>
    </row>
    <row r="28" spans="1:23" ht="13.5" thickBot="1" x14ac:dyDescent="0.25">
      <c r="A28" s="10">
        <v>44342</v>
      </c>
      <c r="B28" s="42">
        <f t="shared" si="26"/>
        <v>45233</v>
      </c>
      <c r="C28" s="16">
        <f t="shared" si="11"/>
        <v>0</v>
      </c>
      <c r="D28" s="42">
        <f t="shared" si="27"/>
        <v>39499</v>
      </c>
      <c r="E28" s="16">
        <f t="shared" si="12"/>
        <v>0</v>
      </c>
      <c r="F28" s="42">
        <f t="shared" si="28"/>
        <v>20349</v>
      </c>
      <c r="G28" s="16">
        <f t="shared" si="13"/>
        <v>0</v>
      </c>
      <c r="H28" s="42">
        <f t="shared" si="29"/>
        <v>241293</v>
      </c>
      <c r="I28" s="16">
        <f t="shared" si="14"/>
        <v>0</v>
      </c>
      <c r="J28" s="42">
        <v>303517</v>
      </c>
      <c r="K28" s="16">
        <f t="shared" si="15"/>
        <v>0</v>
      </c>
      <c r="L28" s="42">
        <f t="shared" si="23"/>
        <v>24917</v>
      </c>
      <c r="M28" s="16">
        <f t="shared" si="16"/>
        <v>0</v>
      </c>
      <c r="N28" s="42">
        <f t="shared" si="30"/>
        <v>215480</v>
      </c>
      <c r="O28" s="16">
        <f t="shared" si="17"/>
        <v>0</v>
      </c>
      <c r="P28" s="42">
        <f t="shared" si="25"/>
        <v>103167</v>
      </c>
      <c r="Q28" s="17">
        <f t="shared" si="18"/>
        <v>0</v>
      </c>
      <c r="R28" s="1">
        <v>55047</v>
      </c>
      <c r="S28" s="17">
        <f t="shared" si="20"/>
        <v>0</v>
      </c>
      <c r="T28" s="42">
        <f t="shared" si="24"/>
        <v>3631</v>
      </c>
      <c r="U28" s="16">
        <f t="shared" si="21"/>
        <v>0</v>
      </c>
    </row>
    <row r="29" spans="1:23" ht="13.5" thickBot="1" x14ac:dyDescent="0.25">
      <c r="A29" s="10">
        <v>44343</v>
      </c>
      <c r="B29" s="42">
        <f t="shared" si="26"/>
        <v>45233</v>
      </c>
      <c r="C29" s="16">
        <f t="shared" si="11"/>
        <v>0</v>
      </c>
      <c r="D29" s="42">
        <f t="shared" si="27"/>
        <v>39499</v>
      </c>
      <c r="E29" s="16">
        <f t="shared" si="12"/>
        <v>0</v>
      </c>
      <c r="F29" s="42">
        <f t="shared" si="28"/>
        <v>20349</v>
      </c>
      <c r="G29" s="16">
        <f t="shared" si="13"/>
        <v>0</v>
      </c>
      <c r="H29" s="42">
        <f t="shared" si="29"/>
        <v>241293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24917</v>
      </c>
      <c r="M29" s="16">
        <f t="shared" si="16"/>
        <v>0</v>
      </c>
      <c r="N29" s="42">
        <f t="shared" si="30"/>
        <v>215480</v>
      </c>
      <c r="O29" s="16">
        <f t="shared" si="17"/>
        <v>0</v>
      </c>
      <c r="P29" s="42">
        <f t="shared" si="25"/>
        <v>103167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si="24"/>
        <v>3631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6"/>
        <v>45233</v>
      </c>
      <c r="C30" s="16">
        <f t="shared" si="11"/>
        <v>0</v>
      </c>
      <c r="D30" s="42">
        <f t="shared" si="27"/>
        <v>39499</v>
      </c>
      <c r="E30" s="16">
        <f t="shared" si="12"/>
        <v>0</v>
      </c>
      <c r="F30" s="42">
        <f t="shared" si="28"/>
        <v>20349</v>
      </c>
      <c r="G30" s="16">
        <f t="shared" si="13"/>
        <v>0</v>
      </c>
      <c r="H30" s="42">
        <f t="shared" si="29"/>
        <v>241293</v>
      </c>
      <c r="I30" s="16">
        <f t="shared" si="14"/>
        <v>0</v>
      </c>
      <c r="J30" s="42">
        <f t="shared" si="32"/>
        <v>303517</v>
      </c>
      <c r="K30" s="16">
        <f t="shared" si="15"/>
        <v>0</v>
      </c>
      <c r="L30" s="42">
        <f t="shared" si="23"/>
        <v>24917</v>
      </c>
      <c r="M30" s="16">
        <f t="shared" si="16"/>
        <v>0</v>
      </c>
      <c r="N30" s="42">
        <f t="shared" si="30"/>
        <v>215480</v>
      </c>
      <c r="O30" s="16">
        <f t="shared" si="17"/>
        <v>0</v>
      </c>
      <c r="P30" s="42">
        <f t="shared" si="25"/>
        <v>103167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24"/>
        <v>3631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6"/>
        <v>45233</v>
      </c>
      <c r="C31" s="16">
        <f t="shared" si="11"/>
        <v>0</v>
      </c>
      <c r="D31" s="42">
        <f t="shared" si="27"/>
        <v>39499</v>
      </c>
      <c r="E31" s="16">
        <f t="shared" si="12"/>
        <v>0</v>
      </c>
      <c r="F31" s="42">
        <f t="shared" si="28"/>
        <v>20349</v>
      </c>
      <c r="G31" s="16">
        <f t="shared" si="13"/>
        <v>0</v>
      </c>
      <c r="H31" s="42">
        <f t="shared" si="29"/>
        <v>241293</v>
      </c>
      <c r="I31" s="16">
        <f t="shared" si="14"/>
        <v>0</v>
      </c>
      <c r="J31" s="42">
        <f t="shared" si="32"/>
        <v>303517</v>
      </c>
      <c r="K31" s="16">
        <f t="shared" si="15"/>
        <v>0</v>
      </c>
      <c r="L31" s="42">
        <f t="shared" si="23"/>
        <v>24917</v>
      </c>
      <c r="M31" s="16">
        <f t="shared" si="16"/>
        <v>0</v>
      </c>
      <c r="N31" s="42">
        <f t="shared" si="30"/>
        <v>215480</v>
      </c>
      <c r="O31" s="16">
        <f t="shared" si="17"/>
        <v>0</v>
      </c>
      <c r="P31" s="42">
        <f t="shared" si="25"/>
        <v>103167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24"/>
        <v>3631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6"/>
        <v>45233</v>
      </c>
      <c r="C32" s="16">
        <f t="shared" si="11"/>
        <v>0</v>
      </c>
      <c r="D32" s="42">
        <f t="shared" si="27"/>
        <v>39499</v>
      </c>
      <c r="E32" s="16">
        <f t="shared" si="12"/>
        <v>0</v>
      </c>
      <c r="F32" s="42">
        <f t="shared" si="28"/>
        <v>20349</v>
      </c>
      <c r="G32" s="16">
        <f t="shared" si="13"/>
        <v>0</v>
      </c>
      <c r="H32" s="42">
        <f t="shared" si="29"/>
        <v>241293</v>
      </c>
      <c r="I32" s="16">
        <f t="shared" si="14"/>
        <v>0</v>
      </c>
      <c r="J32" s="42">
        <f t="shared" si="32"/>
        <v>303517</v>
      </c>
      <c r="K32" s="16">
        <f t="shared" si="15"/>
        <v>0</v>
      </c>
      <c r="L32" s="42">
        <f t="shared" si="23"/>
        <v>24917</v>
      </c>
      <c r="M32" s="16">
        <f t="shared" si="16"/>
        <v>0</v>
      </c>
      <c r="N32" s="42">
        <f t="shared" si="30"/>
        <v>215480</v>
      </c>
      <c r="O32" s="16">
        <f t="shared" si="17"/>
        <v>0</v>
      </c>
      <c r="P32" s="42">
        <f t="shared" si="25"/>
        <v>103167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24"/>
        <v>3631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6"/>
        <v>45233</v>
      </c>
      <c r="C33" s="16">
        <f t="shared" si="11"/>
        <v>0</v>
      </c>
      <c r="D33" s="42">
        <f t="shared" si="27"/>
        <v>39499</v>
      </c>
      <c r="E33" s="16">
        <f t="shared" si="12"/>
        <v>0</v>
      </c>
      <c r="F33" s="42">
        <f t="shared" si="28"/>
        <v>20349</v>
      </c>
      <c r="G33" s="16">
        <f t="shared" si="13"/>
        <v>0</v>
      </c>
      <c r="H33" s="42">
        <f t="shared" si="29"/>
        <v>241293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24917</v>
      </c>
      <c r="M33" s="16">
        <f t="shared" si="16"/>
        <v>0</v>
      </c>
      <c r="N33" s="42">
        <f t="shared" si="30"/>
        <v>215480</v>
      </c>
      <c r="O33" s="16">
        <f t="shared" si="17"/>
        <v>0</v>
      </c>
      <c r="P33" s="42">
        <f t="shared" si="25"/>
        <v>103167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24"/>
        <v>3631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7680</v>
      </c>
      <c r="D34" s="13"/>
      <c r="E34" s="11">
        <f>SUM(E3:E33)</f>
        <v>4320</v>
      </c>
      <c r="F34" s="13"/>
      <c r="G34" s="11">
        <f>SUM(G3:G33)</f>
        <v>660</v>
      </c>
      <c r="H34" s="13"/>
      <c r="I34" s="11">
        <f>SUM(I3:I33)</f>
        <v>508</v>
      </c>
      <c r="J34" s="13"/>
      <c r="K34" s="11">
        <f>SUM(K3:K33)</f>
        <v>0</v>
      </c>
      <c r="L34" s="13"/>
      <c r="M34" s="11">
        <f>SUM(M3:M33)</f>
        <v>5600</v>
      </c>
      <c r="N34" s="43"/>
      <c r="O34" s="11">
        <f>SUM(O3:O33)</f>
        <v>34</v>
      </c>
      <c r="P34" s="13"/>
      <c r="Q34" s="11">
        <f>SUM(Q3:Q33)</f>
        <v>1416</v>
      </c>
      <c r="R34" s="1"/>
      <c r="S34" s="11">
        <f>SUM(S3:S33)</f>
        <v>0</v>
      </c>
      <c r="T34" s="1"/>
      <c r="U34" s="11">
        <f>SUM(U3:U33)</f>
        <v>1760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3" sqref="A13:XFD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f t="shared" ref="B14:B33" si="10">B13</f>
        <v>410593</v>
      </c>
      <c r="C14" s="49">
        <f t="shared" si="9"/>
        <v>0</v>
      </c>
      <c r="D14" s="3">
        <f t="shared" ref="D14:D33" si="11">D13</f>
        <v>4291500</v>
      </c>
      <c r="E14" s="49">
        <f t="shared" si="4"/>
        <v>0</v>
      </c>
      <c r="F14" s="3">
        <f t="shared" ref="F14:F33" si="12">F13</f>
        <v>2971100</v>
      </c>
      <c r="G14" s="49">
        <f t="shared" si="7"/>
        <v>0</v>
      </c>
      <c r="H14" s="3">
        <f t="shared" ref="H14:H33" si="13">H13</f>
        <v>732004</v>
      </c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44329</v>
      </c>
      <c r="B15" s="3">
        <f t="shared" si="10"/>
        <v>410593</v>
      </c>
      <c r="C15" s="49">
        <f t="shared" si="9"/>
        <v>0</v>
      </c>
      <c r="D15" s="3">
        <f t="shared" si="11"/>
        <v>4291500</v>
      </c>
      <c r="E15" s="49">
        <f t="shared" si="4"/>
        <v>0</v>
      </c>
      <c r="F15" s="3">
        <f t="shared" si="12"/>
        <v>2971100</v>
      </c>
      <c r="G15" s="49">
        <f t="shared" si="7"/>
        <v>0</v>
      </c>
      <c r="H15" s="3">
        <f t="shared" si="13"/>
        <v>732004</v>
      </c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44330</v>
      </c>
      <c r="B16" s="3">
        <f t="shared" si="10"/>
        <v>410593</v>
      </c>
      <c r="C16" s="49">
        <f t="shared" si="9"/>
        <v>0</v>
      </c>
      <c r="D16" s="3">
        <f t="shared" si="11"/>
        <v>4291500</v>
      </c>
      <c r="E16" s="49">
        <f t="shared" si="4"/>
        <v>0</v>
      </c>
      <c r="F16" s="3">
        <f t="shared" si="12"/>
        <v>2971100</v>
      </c>
      <c r="G16" s="49">
        <f t="shared" si="7"/>
        <v>0</v>
      </c>
      <c r="H16" s="3">
        <f t="shared" si="13"/>
        <v>732004</v>
      </c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44331</v>
      </c>
      <c r="B17" s="3">
        <f t="shared" si="10"/>
        <v>410593</v>
      </c>
      <c r="C17" s="49">
        <f t="shared" si="9"/>
        <v>0</v>
      </c>
      <c r="D17" s="3">
        <f t="shared" si="11"/>
        <v>4291500</v>
      </c>
      <c r="E17" s="49">
        <f t="shared" si="4"/>
        <v>0</v>
      </c>
      <c r="F17" s="3">
        <f t="shared" si="12"/>
        <v>2971100</v>
      </c>
      <c r="G17" s="49">
        <f t="shared" si="7"/>
        <v>0</v>
      </c>
      <c r="H17" s="3">
        <f t="shared" si="13"/>
        <v>732004</v>
      </c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f t="shared" si="10"/>
        <v>410593</v>
      </c>
      <c r="C18" s="49">
        <f t="shared" si="9"/>
        <v>0</v>
      </c>
      <c r="D18" s="3">
        <f t="shared" si="11"/>
        <v>4291500</v>
      </c>
      <c r="E18" s="49">
        <f t="shared" si="4"/>
        <v>0</v>
      </c>
      <c r="F18" s="3">
        <f t="shared" si="12"/>
        <v>2971100</v>
      </c>
      <c r="G18" s="49">
        <f t="shared" si="7"/>
        <v>0</v>
      </c>
      <c r="H18" s="3">
        <f t="shared" si="13"/>
        <v>732004</v>
      </c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44333</v>
      </c>
      <c r="B19" s="3">
        <f t="shared" si="10"/>
        <v>410593</v>
      </c>
      <c r="C19" s="49">
        <f t="shared" si="9"/>
        <v>0</v>
      </c>
      <c r="D19" s="3">
        <f t="shared" si="11"/>
        <v>4291500</v>
      </c>
      <c r="E19" s="49">
        <f t="shared" si="4"/>
        <v>0</v>
      </c>
      <c r="F19" s="3">
        <f t="shared" si="12"/>
        <v>2971100</v>
      </c>
      <c r="G19" s="49">
        <f t="shared" si="7"/>
        <v>0</v>
      </c>
      <c r="H19" s="3">
        <f t="shared" si="13"/>
        <v>732004</v>
      </c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44334</v>
      </c>
      <c r="B20" s="3">
        <f t="shared" si="10"/>
        <v>410593</v>
      </c>
      <c r="C20" s="49">
        <f t="shared" si="9"/>
        <v>0</v>
      </c>
      <c r="D20" s="3">
        <f t="shared" si="11"/>
        <v>4291500</v>
      </c>
      <c r="E20" s="49">
        <f t="shared" si="4"/>
        <v>0</v>
      </c>
      <c r="F20" s="3">
        <f t="shared" si="12"/>
        <v>2971100</v>
      </c>
      <c r="G20" s="49">
        <f t="shared" si="7"/>
        <v>0</v>
      </c>
      <c r="H20" s="3">
        <f t="shared" si="13"/>
        <v>732004</v>
      </c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44335</v>
      </c>
      <c r="B21" s="3">
        <f t="shared" si="10"/>
        <v>410593</v>
      </c>
      <c r="C21" s="49">
        <f t="shared" si="9"/>
        <v>0</v>
      </c>
      <c r="D21" s="3">
        <f t="shared" si="11"/>
        <v>4291500</v>
      </c>
      <c r="E21" s="49">
        <f t="shared" si="4"/>
        <v>0</v>
      </c>
      <c r="F21" s="3">
        <f t="shared" si="12"/>
        <v>2971100</v>
      </c>
      <c r="G21" s="49">
        <f t="shared" si="7"/>
        <v>0</v>
      </c>
      <c r="H21" s="3">
        <f t="shared" si="13"/>
        <v>732004</v>
      </c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44336</v>
      </c>
      <c r="B22" s="3">
        <f t="shared" si="10"/>
        <v>410593</v>
      </c>
      <c r="C22" s="49">
        <f t="shared" si="9"/>
        <v>0</v>
      </c>
      <c r="D22" s="3">
        <f t="shared" si="11"/>
        <v>4291500</v>
      </c>
      <c r="E22" s="49">
        <f t="shared" si="4"/>
        <v>0</v>
      </c>
      <c r="F22" s="3">
        <f t="shared" si="12"/>
        <v>2971100</v>
      </c>
      <c r="G22" s="49">
        <f t="shared" si="7"/>
        <v>0</v>
      </c>
      <c r="H22" s="3">
        <f t="shared" si="13"/>
        <v>732004</v>
      </c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f t="shared" si="10"/>
        <v>410593</v>
      </c>
      <c r="C23" s="49">
        <f t="shared" si="9"/>
        <v>0</v>
      </c>
      <c r="D23" s="3">
        <f t="shared" si="11"/>
        <v>4291500</v>
      </c>
      <c r="E23" s="49">
        <f t="shared" si="4"/>
        <v>0</v>
      </c>
      <c r="F23" s="3">
        <f t="shared" si="12"/>
        <v>2971100</v>
      </c>
      <c r="G23" s="49">
        <f t="shared" si="7"/>
        <v>0</v>
      </c>
      <c r="H23" s="3">
        <f t="shared" si="13"/>
        <v>732004</v>
      </c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>
        <f t="shared" si="10"/>
        <v>410593</v>
      </c>
      <c r="C24" s="49">
        <f t="shared" si="9"/>
        <v>0</v>
      </c>
      <c r="D24" s="3">
        <f t="shared" si="11"/>
        <v>4291500</v>
      </c>
      <c r="E24" s="49">
        <f t="shared" si="4"/>
        <v>0</v>
      </c>
      <c r="F24" s="3">
        <f t="shared" si="12"/>
        <v>2971100</v>
      </c>
      <c r="G24" s="49">
        <f t="shared" si="7"/>
        <v>0</v>
      </c>
      <c r="H24" s="3">
        <f t="shared" si="13"/>
        <v>732004</v>
      </c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>
        <f t="shared" si="10"/>
        <v>410593</v>
      </c>
      <c r="C25" s="49">
        <f t="shared" si="9"/>
        <v>0</v>
      </c>
      <c r="D25" s="3">
        <f t="shared" si="11"/>
        <v>4291500</v>
      </c>
      <c r="E25" s="49">
        <f t="shared" si="4"/>
        <v>0</v>
      </c>
      <c r="F25" s="3">
        <f t="shared" si="12"/>
        <v>2971100</v>
      </c>
      <c r="G25" s="49">
        <f>F25-F24</f>
        <v>0</v>
      </c>
      <c r="H25" s="3">
        <f t="shared" si="13"/>
        <v>732004</v>
      </c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>
        <f t="shared" si="10"/>
        <v>410593</v>
      </c>
      <c r="C26" s="49">
        <f t="shared" si="9"/>
        <v>0</v>
      </c>
      <c r="D26" s="3">
        <f t="shared" si="11"/>
        <v>4291500</v>
      </c>
      <c r="E26" s="49">
        <f t="shared" si="4"/>
        <v>0</v>
      </c>
      <c r="F26" s="3">
        <f t="shared" si="12"/>
        <v>2971100</v>
      </c>
      <c r="G26" s="49">
        <f t="shared" si="7"/>
        <v>0</v>
      </c>
      <c r="H26" s="3">
        <f t="shared" si="13"/>
        <v>732004</v>
      </c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>
        <f t="shared" si="10"/>
        <v>410593</v>
      </c>
      <c r="C27" s="49">
        <f t="shared" si="9"/>
        <v>0</v>
      </c>
      <c r="D27" s="3">
        <f t="shared" si="11"/>
        <v>4291500</v>
      </c>
      <c r="E27" s="49">
        <f t="shared" si="4"/>
        <v>0</v>
      </c>
      <c r="F27" s="3">
        <f t="shared" si="12"/>
        <v>2971100</v>
      </c>
      <c r="G27" s="49">
        <f t="shared" si="7"/>
        <v>0</v>
      </c>
      <c r="H27" s="3">
        <f t="shared" si="13"/>
        <v>732004</v>
      </c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>
        <f t="shared" si="10"/>
        <v>410593</v>
      </c>
      <c r="C28" s="49">
        <f t="shared" si="9"/>
        <v>0</v>
      </c>
      <c r="D28" s="3">
        <f t="shared" si="11"/>
        <v>4291500</v>
      </c>
      <c r="E28" s="49">
        <f t="shared" si="4"/>
        <v>0</v>
      </c>
      <c r="F28" s="3">
        <f t="shared" si="12"/>
        <v>2971100</v>
      </c>
      <c r="G28" s="49">
        <f t="shared" si="7"/>
        <v>0</v>
      </c>
      <c r="H28" s="3">
        <f t="shared" si="13"/>
        <v>732004</v>
      </c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>
        <f t="shared" si="10"/>
        <v>410593</v>
      </c>
      <c r="C29" s="49">
        <f t="shared" si="9"/>
        <v>0</v>
      </c>
      <c r="D29" s="3">
        <f t="shared" si="11"/>
        <v>4291500</v>
      </c>
      <c r="E29" s="49">
        <f t="shared" si="4"/>
        <v>0</v>
      </c>
      <c r="F29" s="3">
        <f t="shared" si="12"/>
        <v>2971100</v>
      </c>
      <c r="G29" s="49">
        <f t="shared" si="7"/>
        <v>0</v>
      </c>
      <c r="H29" s="3">
        <f t="shared" si="13"/>
        <v>732004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0"/>
        <v>410593</v>
      </c>
      <c r="C30" s="49">
        <f t="shared" si="9"/>
        <v>0</v>
      </c>
      <c r="D30" s="3">
        <f t="shared" si="11"/>
        <v>4291500</v>
      </c>
      <c r="E30" s="49">
        <f t="shared" si="4"/>
        <v>0</v>
      </c>
      <c r="F30" s="3">
        <f t="shared" si="12"/>
        <v>2971100</v>
      </c>
      <c r="G30" s="49">
        <f t="shared" si="7"/>
        <v>0</v>
      </c>
      <c r="H30" s="3">
        <f t="shared" si="13"/>
        <v>732004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0"/>
        <v>410593</v>
      </c>
      <c r="C31" s="49">
        <f t="shared" si="9"/>
        <v>0</v>
      </c>
      <c r="D31" s="3">
        <f t="shared" si="11"/>
        <v>4291500</v>
      </c>
      <c r="E31" s="49">
        <f t="shared" si="4"/>
        <v>0</v>
      </c>
      <c r="F31" s="3">
        <f t="shared" si="12"/>
        <v>2971100</v>
      </c>
      <c r="G31" s="49">
        <f t="shared" si="7"/>
        <v>0</v>
      </c>
      <c r="H31" s="3">
        <f t="shared" si="13"/>
        <v>732004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0"/>
        <v>410593</v>
      </c>
      <c r="C32" s="49">
        <f t="shared" si="9"/>
        <v>0</v>
      </c>
      <c r="D32" s="3">
        <f t="shared" si="11"/>
        <v>4291500</v>
      </c>
      <c r="E32" s="49">
        <f t="shared" si="4"/>
        <v>0</v>
      </c>
      <c r="F32" s="3">
        <f t="shared" si="12"/>
        <v>2971100</v>
      </c>
      <c r="G32" s="49">
        <f t="shared" si="7"/>
        <v>0</v>
      </c>
      <c r="H32" s="3">
        <f t="shared" si="13"/>
        <v>732004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0"/>
        <v>410593</v>
      </c>
      <c r="C33" s="49">
        <f t="shared" si="9"/>
        <v>0</v>
      </c>
      <c r="D33" s="3">
        <f t="shared" si="11"/>
        <v>4291500</v>
      </c>
      <c r="E33" s="49">
        <f t="shared" si="4"/>
        <v>0</v>
      </c>
      <c r="F33" s="3">
        <f t="shared" si="12"/>
        <v>2971100</v>
      </c>
      <c r="G33" s="49">
        <f t="shared" si="7"/>
        <v>0</v>
      </c>
      <c r="H33" s="3">
        <f t="shared" si="13"/>
        <v>732004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7350</v>
      </c>
      <c r="D34" s="3"/>
      <c r="E34" s="66">
        <f>SUM(E3:E33)</f>
        <v>3361.5</v>
      </c>
      <c r="F34" s="3"/>
      <c r="G34" s="66">
        <f>SUM(G3:G33)</f>
        <v>3896.1</v>
      </c>
      <c r="H34" s="3"/>
      <c r="I34" s="66">
        <f>SUM(I3:I33)</f>
        <v>39.042000000000002</v>
      </c>
      <c r="J34" s="66">
        <f>SUM(J3:J33)</f>
        <v>14859.082000000002</v>
      </c>
      <c r="K34" s="66">
        <f>SUM(K3:K33)</f>
        <v>87074.220520000003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N1" zoomScale="120" zoomScaleNormal="120" zoomScaleSheetLayoutView="110" workbookViewId="0">
      <selection activeCell="AA13" sqref="AA1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f t="shared" ref="C14:C33" si="15">C13</f>
        <v>18186</v>
      </c>
      <c r="D14" s="49">
        <f t="shared" si="1"/>
        <v>0</v>
      </c>
      <c r="E14" s="140">
        <f t="shared" ref="E14:E33" si="16">E13</f>
        <v>25838382</v>
      </c>
      <c r="F14" s="49">
        <f>IF((E14-E13)&lt;0,"0",(E14-E13))</f>
        <v>0</v>
      </c>
      <c r="G14" s="144">
        <f t="shared" ref="G14:G33" si="17">G13</f>
        <v>81759125</v>
      </c>
      <c r="H14" s="49">
        <f t="shared" si="3"/>
        <v>0</v>
      </c>
      <c r="I14" s="141">
        <f t="shared" si="12"/>
        <v>0</v>
      </c>
      <c r="J14" s="140">
        <f t="shared" ref="J14:J33" si="18">J13</f>
        <v>7977214</v>
      </c>
      <c r="K14" s="49">
        <f t="shared" si="4"/>
        <v>0</v>
      </c>
      <c r="L14" s="142">
        <f t="shared" ref="L14:L33" si="19">L13</f>
        <v>7977089</v>
      </c>
      <c r="M14" s="49">
        <f t="shared" si="5"/>
        <v>0</v>
      </c>
      <c r="N14" s="140">
        <f t="shared" ref="N14:N33" si="20">N13</f>
        <v>5106839</v>
      </c>
      <c r="O14" s="49">
        <f t="shared" si="13"/>
        <v>0</v>
      </c>
      <c r="P14" s="142">
        <f t="shared" ref="P14:P33" si="21">P13</f>
        <v>3309968</v>
      </c>
      <c r="Q14" s="49">
        <f t="shared" si="6"/>
        <v>0</v>
      </c>
      <c r="R14" s="140">
        <f t="shared" ref="R14:R33" si="22">R13</f>
        <v>17359543</v>
      </c>
      <c r="S14" s="49">
        <f>IF((R14-R13)&lt;0,"0",(R14-R13))</f>
        <v>0</v>
      </c>
      <c r="T14" s="140">
        <v>0</v>
      </c>
      <c r="U14" s="143"/>
      <c r="V14" s="140">
        <f t="shared" ref="V14:V33" si="23">V13</f>
        <v>5009307</v>
      </c>
      <c r="W14" s="49">
        <f t="shared" si="8"/>
        <v>0</v>
      </c>
      <c r="X14" s="28">
        <f t="shared" si="9"/>
        <v>0</v>
      </c>
      <c r="Y14" s="35">
        <f t="shared" si="10"/>
        <v>0</v>
      </c>
      <c r="Z14" s="27">
        <f t="shared" si="11"/>
        <v>0</v>
      </c>
      <c r="AA14" s="27">
        <f t="shared" si="14"/>
        <v>22602.269497599998</v>
      </c>
    </row>
    <row r="15" spans="1:27" ht="16.5" thickBot="1" x14ac:dyDescent="0.25">
      <c r="A15" s="10">
        <v>44329</v>
      </c>
      <c r="B15" s="49"/>
      <c r="C15" s="165">
        <f t="shared" si="15"/>
        <v>18186</v>
      </c>
      <c r="D15" s="49">
        <f t="shared" si="1"/>
        <v>0</v>
      </c>
      <c r="E15" s="140">
        <f t="shared" si="16"/>
        <v>25838382</v>
      </c>
      <c r="F15" s="49">
        <f>IF((E15-E14)&lt;0,"0",(E15-E14))</f>
        <v>0</v>
      </c>
      <c r="G15" s="144">
        <f t="shared" si="17"/>
        <v>81759125</v>
      </c>
      <c r="H15" s="49">
        <f t="shared" si="3"/>
        <v>0</v>
      </c>
      <c r="I15" s="141">
        <f t="shared" si="12"/>
        <v>0</v>
      </c>
      <c r="J15" s="140">
        <f t="shared" si="18"/>
        <v>7977214</v>
      </c>
      <c r="K15" s="49">
        <f t="shared" si="4"/>
        <v>0</v>
      </c>
      <c r="L15" s="142">
        <f t="shared" si="19"/>
        <v>7977089</v>
      </c>
      <c r="M15" s="49">
        <f t="shared" si="5"/>
        <v>0</v>
      </c>
      <c r="N15" s="140">
        <f t="shared" si="20"/>
        <v>5106839</v>
      </c>
      <c r="O15" s="49">
        <f t="shared" si="13"/>
        <v>0</v>
      </c>
      <c r="P15" s="142">
        <f t="shared" si="21"/>
        <v>3309968</v>
      </c>
      <c r="Q15" s="49">
        <f t="shared" si="6"/>
        <v>0</v>
      </c>
      <c r="R15" s="140">
        <f t="shared" si="22"/>
        <v>17359543</v>
      </c>
      <c r="S15" s="49">
        <f>IF((R15-R14)&lt;0,"0",(R15-R14))</f>
        <v>0</v>
      </c>
      <c r="T15" s="140">
        <v>0</v>
      </c>
      <c r="U15" s="143"/>
      <c r="V15" s="140">
        <f t="shared" si="23"/>
        <v>5009307</v>
      </c>
      <c r="W15" s="49">
        <f t="shared" si="8"/>
        <v>0</v>
      </c>
      <c r="X15" s="28">
        <f t="shared" si="9"/>
        <v>0</v>
      </c>
      <c r="Y15" s="35">
        <f t="shared" si="10"/>
        <v>0</v>
      </c>
      <c r="Z15" s="27">
        <f t="shared" si="11"/>
        <v>0</v>
      </c>
      <c r="AA15" s="27">
        <f t="shared" si="14"/>
        <v>14427.586471999999</v>
      </c>
    </row>
    <row r="16" spans="1:27" ht="16.5" thickBot="1" x14ac:dyDescent="0.25">
      <c r="A16" s="10">
        <v>44330</v>
      </c>
      <c r="B16" s="49"/>
      <c r="C16" s="165">
        <f t="shared" si="15"/>
        <v>18186</v>
      </c>
      <c r="D16" s="49">
        <f t="shared" si="1"/>
        <v>0</v>
      </c>
      <c r="E16" s="140">
        <f t="shared" si="16"/>
        <v>25838382</v>
      </c>
      <c r="F16" s="49">
        <f>IF((E16-E15)&lt;0,"0",(E16-E15))</f>
        <v>0</v>
      </c>
      <c r="G16" s="144">
        <f t="shared" si="17"/>
        <v>81759125</v>
      </c>
      <c r="H16" s="49">
        <f t="shared" si="3"/>
        <v>0</v>
      </c>
      <c r="I16" s="141">
        <f t="shared" si="12"/>
        <v>0</v>
      </c>
      <c r="J16" s="140">
        <f t="shared" si="18"/>
        <v>7977214</v>
      </c>
      <c r="K16" s="49">
        <f t="shared" si="4"/>
        <v>0</v>
      </c>
      <c r="L16" s="142">
        <f t="shared" si="19"/>
        <v>7977089</v>
      </c>
      <c r="M16" s="49">
        <f t="shared" si="5"/>
        <v>0</v>
      </c>
      <c r="N16" s="140">
        <f t="shared" si="20"/>
        <v>5106839</v>
      </c>
      <c r="O16" s="49">
        <f t="shared" si="13"/>
        <v>0</v>
      </c>
      <c r="P16" s="142">
        <f t="shared" si="21"/>
        <v>3309968</v>
      </c>
      <c r="Q16" s="49">
        <f t="shared" si="6"/>
        <v>0</v>
      </c>
      <c r="R16" s="140">
        <f t="shared" si="22"/>
        <v>17359543</v>
      </c>
      <c r="S16" s="49">
        <f t="shared" si="7"/>
        <v>0</v>
      </c>
      <c r="T16" s="140">
        <v>0</v>
      </c>
      <c r="U16" s="143"/>
      <c r="V16" s="140">
        <f t="shared" si="23"/>
        <v>5009307</v>
      </c>
      <c r="W16" s="49">
        <f t="shared" si="8"/>
        <v>0</v>
      </c>
      <c r="X16" s="28">
        <f t="shared" si="9"/>
        <v>0</v>
      </c>
      <c r="Y16" s="35">
        <f t="shared" si="10"/>
        <v>0</v>
      </c>
      <c r="Z16" s="27">
        <f t="shared" si="11"/>
        <v>0</v>
      </c>
      <c r="AA16" s="27">
        <f t="shared" si="14"/>
        <v>7397.3496687999996</v>
      </c>
    </row>
    <row r="17" spans="1:27" s="154" customFormat="1" ht="16.5" thickBot="1" x14ac:dyDescent="0.25">
      <c r="A17" s="10">
        <v>44331</v>
      </c>
      <c r="B17" s="149"/>
      <c r="C17" s="165">
        <f t="shared" si="15"/>
        <v>18186</v>
      </c>
      <c r="D17" s="49">
        <f t="shared" si="1"/>
        <v>0</v>
      </c>
      <c r="E17" s="140">
        <f t="shared" si="16"/>
        <v>25838382</v>
      </c>
      <c r="F17" s="149">
        <f t="shared" si="2"/>
        <v>0</v>
      </c>
      <c r="G17" s="144">
        <f t="shared" si="17"/>
        <v>81759125</v>
      </c>
      <c r="H17" s="49">
        <f t="shared" si="3"/>
        <v>0</v>
      </c>
      <c r="I17" s="151">
        <f t="shared" si="12"/>
        <v>0</v>
      </c>
      <c r="J17" s="140">
        <f t="shared" si="18"/>
        <v>7977214</v>
      </c>
      <c r="K17" s="149">
        <f t="shared" si="4"/>
        <v>0</v>
      </c>
      <c r="L17" s="142">
        <f t="shared" si="19"/>
        <v>7977089</v>
      </c>
      <c r="M17" s="149">
        <f t="shared" si="5"/>
        <v>0</v>
      </c>
      <c r="N17" s="140">
        <f t="shared" si="20"/>
        <v>5106839</v>
      </c>
      <c r="O17" s="149">
        <f t="shared" si="13"/>
        <v>0</v>
      </c>
      <c r="P17" s="142">
        <f t="shared" si="21"/>
        <v>3309968</v>
      </c>
      <c r="Q17" s="149">
        <f t="shared" si="6"/>
        <v>0</v>
      </c>
      <c r="R17" s="140">
        <f t="shared" si="22"/>
        <v>17359543</v>
      </c>
      <c r="S17" s="149">
        <f t="shared" si="7"/>
        <v>0</v>
      </c>
      <c r="T17" s="150">
        <v>0</v>
      </c>
      <c r="U17" s="143"/>
      <c r="V17" s="140">
        <f t="shared" si="23"/>
        <v>5009307</v>
      </c>
      <c r="W17" s="149">
        <f t="shared" si="8"/>
        <v>0</v>
      </c>
      <c r="X17" s="28">
        <f t="shared" si="9"/>
        <v>0</v>
      </c>
      <c r="Y17" s="152">
        <f t="shared" si="10"/>
        <v>0</v>
      </c>
      <c r="Z17" s="153">
        <f t="shared" si="11"/>
        <v>0</v>
      </c>
      <c r="AA17" s="153">
        <f t="shared" si="14"/>
        <v>0</v>
      </c>
    </row>
    <row r="18" spans="1:27" s="154" customFormat="1" ht="16.5" thickBot="1" x14ac:dyDescent="0.25">
      <c r="A18" s="10">
        <v>44332</v>
      </c>
      <c r="B18" s="149"/>
      <c r="C18" s="165">
        <f t="shared" si="15"/>
        <v>18186</v>
      </c>
      <c r="D18" s="49">
        <f t="shared" si="1"/>
        <v>0</v>
      </c>
      <c r="E18" s="140">
        <f t="shared" si="16"/>
        <v>25838382</v>
      </c>
      <c r="F18" s="149">
        <f t="shared" si="2"/>
        <v>0</v>
      </c>
      <c r="G18" s="144">
        <f t="shared" si="17"/>
        <v>81759125</v>
      </c>
      <c r="H18" s="49">
        <f t="shared" si="3"/>
        <v>0</v>
      </c>
      <c r="I18" s="151">
        <f t="shared" si="12"/>
        <v>0</v>
      </c>
      <c r="J18" s="140">
        <f t="shared" si="18"/>
        <v>7977214</v>
      </c>
      <c r="K18" s="149">
        <f t="shared" si="4"/>
        <v>0</v>
      </c>
      <c r="L18" s="142">
        <f t="shared" si="19"/>
        <v>7977089</v>
      </c>
      <c r="M18" s="149">
        <f t="shared" si="5"/>
        <v>0</v>
      </c>
      <c r="N18" s="140">
        <f t="shared" si="20"/>
        <v>5106839</v>
      </c>
      <c r="O18" s="149">
        <f t="shared" si="13"/>
        <v>0</v>
      </c>
      <c r="P18" s="142">
        <f t="shared" si="21"/>
        <v>3309968</v>
      </c>
      <c r="Q18" s="149">
        <f t="shared" si="6"/>
        <v>0</v>
      </c>
      <c r="R18" s="140">
        <f t="shared" si="22"/>
        <v>17359543</v>
      </c>
      <c r="S18" s="149">
        <f t="shared" si="7"/>
        <v>0</v>
      </c>
      <c r="T18" s="150">
        <v>0</v>
      </c>
      <c r="U18" s="143"/>
      <c r="V18" s="140">
        <f t="shared" si="23"/>
        <v>5009307</v>
      </c>
      <c r="W18" s="149">
        <f t="shared" si="8"/>
        <v>0</v>
      </c>
      <c r="X18" s="28">
        <f t="shared" si="9"/>
        <v>0</v>
      </c>
      <c r="Y18" s="152">
        <f t="shared" si="10"/>
        <v>0</v>
      </c>
      <c r="Z18" s="153">
        <f t="shared" si="11"/>
        <v>0</v>
      </c>
      <c r="AA18" s="153">
        <f t="shared" si="14"/>
        <v>0</v>
      </c>
    </row>
    <row r="19" spans="1:27" s="154" customFormat="1" ht="16.5" thickBot="1" x14ac:dyDescent="0.25">
      <c r="A19" s="10">
        <v>44333</v>
      </c>
      <c r="B19" s="149"/>
      <c r="C19" s="165">
        <f t="shared" si="15"/>
        <v>18186</v>
      </c>
      <c r="D19" s="49">
        <f>IF((C19-C18)&lt;0,"0",(C19-C18))*160</f>
        <v>0</v>
      </c>
      <c r="E19" s="140">
        <f t="shared" si="16"/>
        <v>25838382</v>
      </c>
      <c r="F19" s="149">
        <f t="shared" si="2"/>
        <v>0</v>
      </c>
      <c r="G19" s="144">
        <f t="shared" si="17"/>
        <v>81759125</v>
      </c>
      <c r="H19" s="49">
        <f t="shared" si="3"/>
        <v>0</v>
      </c>
      <c r="I19" s="151">
        <f t="shared" si="12"/>
        <v>0</v>
      </c>
      <c r="J19" s="140">
        <f t="shared" si="18"/>
        <v>7977214</v>
      </c>
      <c r="K19" s="149">
        <f t="shared" si="4"/>
        <v>0</v>
      </c>
      <c r="L19" s="142">
        <f t="shared" si="19"/>
        <v>7977089</v>
      </c>
      <c r="M19" s="149">
        <f t="shared" si="5"/>
        <v>0</v>
      </c>
      <c r="N19" s="140">
        <f t="shared" si="20"/>
        <v>5106839</v>
      </c>
      <c r="O19" s="149">
        <f t="shared" si="13"/>
        <v>0</v>
      </c>
      <c r="P19" s="142">
        <f t="shared" si="21"/>
        <v>3309968</v>
      </c>
      <c r="Q19" s="149">
        <f t="shared" si="6"/>
        <v>0</v>
      </c>
      <c r="R19" s="140">
        <f t="shared" si="22"/>
        <v>17359543</v>
      </c>
      <c r="S19" s="149">
        <f t="shared" si="7"/>
        <v>0</v>
      </c>
      <c r="T19" s="150">
        <v>0</v>
      </c>
      <c r="U19" s="143"/>
      <c r="V19" s="140">
        <f t="shared" si="23"/>
        <v>5009307</v>
      </c>
      <c r="W19" s="149">
        <f t="shared" si="8"/>
        <v>0</v>
      </c>
      <c r="X19" s="28">
        <f t="shared" si="9"/>
        <v>0</v>
      </c>
      <c r="Y19" s="152">
        <f t="shared" si="10"/>
        <v>0</v>
      </c>
      <c r="Z19" s="153">
        <f t="shared" si="11"/>
        <v>0</v>
      </c>
      <c r="AA19" s="153">
        <f t="shared" si="14"/>
        <v>0</v>
      </c>
    </row>
    <row r="20" spans="1:27" s="154" customFormat="1" ht="16.5" thickBot="1" x14ac:dyDescent="0.25">
      <c r="A20" s="10">
        <v>44334</v>
      </c>
      <c r="B20" s="149"/>
      <c r="C20" s="165">
        <f t="shared" si="15"/>
        <v>18186</v>
      </c>
      <c r="D20" s="49">
        <f>IF((C20-C19)&lt;0,"0",(C20-C19))*160</f>
        <v>0</v>
      </c>
      <c r="E20" s="140">
        <f t="shared" si="16"/>
        <v>25838382</v>
      </c>
      <c r="F20" s="149">
        <f t="shared" si="2"/>
        <v>0</v>
      </c>
      <c r="G20" s="144">
        <f t="shared" si="17"/>
        <v>81759125</v>
      </c>
      <c r="H20" s="49">
        <f t="shared" si="3"/>
        <v>0</v>
      </c>
      <c r="I20" s="151">
        <f t="shared" si="12"/>
        <v>0</v>
      </c>
      <c r="J20" s="140">
        <f t="shared" si="18"/>
        <v>7977214</v>
      </c>
      <c r="K20" s="149">
        <f t="shared" si="4"/>
        <v>0</v>
      </c>
      <c r="L20" s="142">
        <f t="shared" si="19"/>
        <v>7977089</v>
      </c>
      <c r="M20" s="149">
        <f t="shared" si="5"/>
        <v>0</v>
      </c>
      <c r="N20" s="140">
        <f t="shared" si="20"/>
        <v>5106839</v>
      </c>
      <c r="O20" s="149">
        <f t="shared" si="13"/>
        <v>0</v>
      </c>
      <c r="P20" s="142">
        <f t="shared" si="21"/>
        <v>3309968</v>
      </c>
      <c r="Q20" s="149">
        <f t="shared" si="6"/>
        <v>0</v>
      </c>
      <c r="R20" s="140">
        <f t="shared" si="22"/>
        <v>17359543</v>
      </c>
      <c r="S20" s="149">
        <f t="shared" si="7"/>
        <v>0</v>
      </c>
      <c r="T20" s="150">
        <v>0</v>
      </c>
      <c r="U20" s="143"/>
      <c r="V20" s="140">
        <f t="shared" si="23"/>
        <v>5009307</v>
      </c>
      <c r="W20" s="149">
        <f t="shared" si="8"/>
        <v>0</v>
      </c>
      <c r="X20" s="28">
        <f t="shared" si="9"/>
        <v>0</v>
      </c>
      <c r="Y20" s="152">
        <f t="shared" si="10"/>
        <v>0</v>
      </c>
      <c r="Z20" s="153">
        <f t="shared" si="11"/>
        <v>0</v>
      </c>
      <c r="AA20" s="153">
        <f t="shared" si="14"/>
        <v>0</v>
      </c>
    </row>
    <row r="21" spans="1:27" s="154" customFormat="1" ht="16.5" thickBot="1" x14ac:dyDescent="0.25">
      <c r="A21" s="10">
        <v>44335</v>
      </c>
      <c r="B21" s="149"/>
      <c r="C21" s="165">
        <f t="shared" si="15"/>
        <v>18186</v>
      </c>
      <c r="D21" s="49">
        <f>IF((C21-C20)&lt;0,"0",(C21-C20))*160</f>
        <v>0</v>
      </c>
      <c r="E21" s="140">
        <f t="shared" si="16"/>
        <v>25838382</v>
      </c>
      <c r="F21" s="149">
        <f t="shared" si="2"/>
        <v>0</v>
      </c>
      <c r="G21" s="144">
        <f t="shared" si="17"/>
        <v>81759125</v>
      </c>
      <c r="H21" s="49">
        <f t="shared" si="3"/>
        <v>0</v>
      </c>
      <c r="I21" s="151">
        <f t="shared" si="12"/>
        <v>0</v>
      </c>
      <c r="J21" s="140">
        <f t="shared" si="18"/>
        <v>7977214</v>
      </c>
      <c r="K21" s="149">
        <f t="shared" si="4"/>
        <v>0</v>
      </c>
      <c r="L21" s="142">
        <f t="shared" si="19"/>
        <v>7977089</v>
      </c>
      <c r="M21" s="149">
        <f t="shared" si="5"/>
        <v>0</v>
      </c>
      <c r="N21" s="140">
        <f t="shared" si="20"/>
        <v>5106839</v>
      </c>
      <c r="O21" s="149">
        <f t="shared" si="13"/>
        <v>0</v>
      </c>
      <c r="P21" s="142">
        <f t="shared" si="21"/>
        <v>3309968</v>
      </c>
      <c r="Q21" s="149">
        <f t="shared" si="6"/>
        <v>0</v>
      </c>
      <c r="R21" s="140">
        <f t="shared" si="22"/>
        <v>17359543</v>
      </c>
      <c r="S21" s="149">
        <f t="shared" si="7"/>
        <v>0</v>
      </c>
      <c r="T21" s="150">
        <v>0</v>
      </c>
      <c r="U21" s="143"/>
      <c r="V21" s="140">
        <f t="shared" si="23"/>
        <v>5009307</v>
      </c>
      <c r="W21" s="149">
        <f t="shared" si="8"/>
        <v>0</v>
      </c>
      <c r="X21" s="28">
        <f t="shared" si="9"/>
        <v>0</v>
      </c>
      <c r="Y21" s="152">
        <f t="shared" si="10"/>
        <v>0</v>
      </c>
      <c r="Z21" s="153">
        <f t="shared" si="11"/>
        <v>0</v>
      </c>
      <c r="AA21" s="153">
        <f t="shared" si="14"/>
        <v>0</v>
      </c>
    </row>
    <row r="22" spans="1:27" ht="16.5" thickBot="1" x14ac:dyDescent="0.25">
      <c r="A22" s="10">
        <v>44336</v>
      </c>
      <c r="B22" s="49"/>
      <c r="C22" s="165">
        <f t="shared" si="15"/>
        <v>18186</v>
      </c>
      <c r="D22" s="49">
        <f t="shared" si="1"/>
        <v>0</v>
      </c>
      <c r="E22" s="140">
        <f t="shared" si="16"/>
        <v>25838382</v>
      </c>
      <c r="F22" s="49">
        <f t="shared" si="2"/>
        <v>0</v>
      </c>
      <c r="G22" s="144">
        <f t="shared" si="17"/>
        <v>81759125</v>
      </c>
      <c r="H22" s="49">
        <f t="shared" si="3"/>
        <v>0</v>
      </c>
      <c r="I22" s="141">
        <f t="shared" si="12"/>
        <v>0</v>
      </c>
      <c r="J22" s="140">
        <f t="shared" si="18"/>
        <v>7977214</v>
      </c>
      <c r="K22" s="49">
        <f t="shared" si="4"/>
        <v>0</v>
      </c>
      <c r="L22" s="142">
        <f t="shared" si="19"/>
        <v>7977089</v>
      </c>
      <c r="M22" s="49">
        <f t="shared" si="5"/>
        <v>0</v>
      </c>
      <c r="N22" s="140">
        <f t="shared" si="20"/>
        <v>5106839</v>
      </c>
      <c r="O22" s="49">
        <f t="shared" si="13"/>
        <v>0</v>
      </c>
      <c r="P22" s="142">
        <f t="shared" si="21"/>
        <v>3309968</v>
      </c>
      <c r="Q22" s="49">
        <f t="shared" si="6"/>
        <v>0</v>
      </c>
      <c r="R22" s="140">
        <f t="shared" si="22"/>
        <v>17359543</v>
      </c>
      <c r="S22" s="49">
        <f t="shared" si="7"/>
        <v>0</v>
      </c>
      <c r="T22" s="140">
        <v>0</v>
      </c>
      <c r="U22" s="143"/>
      <c r="V22" s="140">
        <f t="shared" si="23"/>
        <v>5009307</v>
      </c>
      <c r="W22" s="49">
        <f t="shared" si="8"/>
        <v>0</v>
      </c>
      <c r="X22" s="28">
        <f t="shared" si="9"/>
        <v>0</v>
      </c>
      <c r="Y22" s="35">
        <f t="shared" si="10"/>
        <v>0</v>
      </c>
      <c r="Z22" s="27">
        <f t="shared" si="11"/>
        <v>0</v>
      </c>
      <c r="AA22" s="27">
        <f t="shared" si="14"/>
        <v>0</v>
      </c>
    </row>
    <row r="23" spans="1:27" ht="16.5" thickBot="1" x14ac:dyDescent="0.25">
      <c r="A23" s="10">
        <v>44337</v>
      </c>
      <c r="B23" s="49"/>
      <c r="C23" s="165">
        <f t="shared" si="15"/>
        <v>18186</v>
      </c>
      <c r="D23" s="49">
        <f t="shared" si="1"/>
        <v>0</v>
      </c>
      <c r="E23" s="140">
        <f t="shared" si="16"/>
        <v>25838382</v>
      </c>
      <c r="F23" s="49">
        <f t="shared" si="2"/>
        <v>0</v>
      </c>
      <c r="G23" s="144">
        <f t="shared" si="17"/>
        <v>81759125</v>
      </c>
      <c r="H23" s="49">
        <f t="shared" si="3"/>
        <v>0</v>
      </c>
      <c r="I23" s="141">
        <f t="shared" si="12"/>
        <v>0</v>
      </c>
      <c r="J23" s="140">
        <f t="shared" si="18"/>
        <v>7977214</v>
      </c>
      <c r="K23" s="49">
        <f t="shared" si="4"/>
        <v>0</v>
      </c>
      <c r="L23" s="142">
        <f t="shared" si="19"/>
        <v>7977089</v>
      </c>
      <c r="M23" s="49">
        <f t="shared" si="5"/>
        <v>0</v>
      </c>
      <c r="N23" s="140">
        <f t="shared" si="20"/>
        <v>5106839</v>
      </c>
      <c r="O23" s="49">
        <f t="shared" si="13"/>
        <v>0</v>
      </c>
      <c r="P23" s="142">
        <f t="shared" si="21"/>
        <v>3309968</v>
      </c>
      <c r="Q23" s="49">
        <f t="shared" si="6"/>
        <v>0</v>
      </c>
      <c r="R23" s="140">
        <f t="shared" si="22"/>
        <v>17359543</v>
      </c>
      <c r="S23" s="49">
        <f t="shared" si="7"/>
        <v>0</v>
      </c>
      <c r="T23" s="140">
        <v>0</v>
      </c>
      <c r="U23" s="143"/>
      <c r="V23" s="140">
        <f t="shared" si="23"/>
        <v>5009307</v>
      </c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0</v>
      </c>
    </row>
    <row r="24" spans="1:27" ht="16.5" thickBot="1" x14ac:dyDescent="0.25">
      <c r="A24" s="10">
        <v>44338</v>
      </c>
      <c r="B24" s="49"/>
      <c r="C24" s="165">
        <f t="shared" si="15"/>
        <v>18186</v>
      </c>
      <c r="D24" s="49">
        <f t="shared" si="1"/>
        <v>0</v>
      </c>
      <c r="E24" s="140">
        <f t="shared" si="16"/>
        <v>25838382</v>
      </c>
      <c r="F24" s="49">
        <f t="shared" si="2"/>
        <v>0</v>
      </c>
      <c r="G24" s="144">
        <f t="shared" si="17"/>
        <v>81759125</v>
      </c>
      <c r="H24" s="49">
        <f t="shared" si="3"/>
        <v>0</v>
      </c>
      <c r="I24" s="141">
        <f t="shared" si="12"/>
        <v>0</v>
      </c>
      <c r="J24" s="140">
        <f t="shared" si="18"/>
        <v>7977214</v>
      </c>
      <c r="K24" s="49">
        <f t="shared" si="4"/>
        <v>0</v>
      </c>
      <c r="L24" s="142">
        <f t="shared" si="19"/>
        <v>7977089</v>
      </c>
      <c r="M24" s="49">
        <f t="shared" si="5"/>
        <v>0</v>
      </c>
      <c r="N24" s="140">
        <f t="shared" si="20"/>
        <v>5106839</v>
      </c>
      <c r="O24" s="49">
        <f t="shared" si="13"/>
        <v>0</v>
      </c>
      <c r="P24" s="142">
        <f t="shared" si="21"/>
        <v>3309968</v>
      </c>
      <c r="Q24" s="49">
        <f t="shared" si="6"/>
        <v>0</v>
      </c>
      <c r="R24" s="140">
        <f t="shared" si="22"/>
        <v>17359543</v>
      </c>
      <c r="S24" s="49">
        <f t="shared" si="7"/>
        <v>0</v>
      </c>
      <c r="T24" s="140">
        <v>0</v>
      </c>
      <c r="U24" s="143"/>
      <c r="V24" s="140">
        <f t="shared" si="23"/>
        <v>5009307</v>
      </c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0</v>
      </c>
    </row>
    <row r="25" spans="1:27" ht="16.5" thickBot="1" x14ac:dyDescent="0.25">
      <c r="A25" s="10">
        <v>44339</v>
      </c>
      <c r="B25" s="49"/>
      <c r="C25" s="165">
        <f t="shared" si="15"/>
        <v>18186</v>
      </c>
      <c r="D25" s="49">
        <f t="shared" si="1"/>
        <v>0</v>
      </c>
      <c r="E25" s="140">
        <f t="shared" si="16"/>
        <v>25838382</v>
      </c>
      <c r="F25" s="49">
        <f t="shared" si="2"/>
        <v>0</v>
      </c>
      <c r="G25" s="144">
        <f t="shared" si="17"/>
        <v>81759125</v>
      </c>
      <c r="H25" s="49">
        <f t="shared" si="3"/>
        <v>0</v>
      </c>
      <c r="I25" s="141">
        <f t="shared" si="12"/>
        <v>0</v>
      </c>
      <c r="J25" s="140">
        <f t="shared" si="18"/>
        <v>7977214</v>
      </c>
      <c r="K25" s="49">
        <f t="shared" si="4"/>
        <v>0</v>
      </c>
      <c r="L25" s="142">
        <f t="shared" si="19"/>
        <v>7977089</v>
      </c>
      <c r="M25" s="49">
        <f t="shared" si="5"/>
        <v>0</v>
      </c>
      <c r="N25" s="140">
        <f t="shared" si="20"/>
        <v>5106839</v>
      </c>
      <c r="O25" s="49">
        <f t="shared" si="13"/>
        <v>0</v>
      </c>
      <c r="P25" s="142">
        <f t="shared" si="21"/>
        <v>3309968</v>
      </c>
      <c r="Q25" s="49">
        <f t="shared" si="6"/>
        <v>0</v>
      </c>
      <c r="R25" s="140">
        <f t="shared" si="22"/>
        <v>17359543</v>
      </c>
      <c r="S25" s="49">
        <f t="shared" si="7"/>
        <v>0</v>
      </c>
      <c r="T25" s="140">
        <v>0</v>
      </c>
      <c r="U25" s="143"/>
      <c r="V25" s="140">
        <f t="shared" si="23"/>
        <v>5009307</v>
      </c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0</v>
      </c>
    </row>
    <row r="26" spans="1:27" ht="16.5" thickBot="1" x14ac:dyDescent="0.25">
      <c r="A26" s="10">
        <v>44340</v>
      </c>
      <c r="B26" s="49"/>
      <c r="C26" s="165">
        <f t="shared" si="15"/>
        <v>18186</v>
      </c>
      <c r="D26" s="49">
        <f t="shared" si="1"/>
        <v>0</v>
      </c>
      <c r="E26" s="140">
        <f t="shared" si="16"/>
        <v>25838382</v>
      </c>
      <c r="F26" s="49">
        <f t="shared" si="2"/>
        <v>0</v>
      </c>
      <c r="G26" s="144">
        <f t="shared" si="17"/>
        <v>81759125</v>
      </c>
      <c r="H26" s="49">
        <f t="shared" si="3"/>
        <v>0</v>
      </c>
      <c r="I26" s="141">
        <f t="shared" si="12"/>
        <v>0</v>
      </c>
      <c r="J26" s="140">
        <f t="shared" si="18"/>
        <v>7977214</v>
      </c>
      <c r="K26" s="49">
        <f t="shared" si="4"/>
        <v>0</v>
      </c>
      <c r="L26" s="142">
        <f t="shared" si="19"/>
        <v>7977089</v>
      </c>
      <c r="M26" s="49">
        <f t="shared" si="5"/>
        <v>0</v>
      </c>
      <c r="N26" s="140">
        <f t="shared" si="20"/>
        <v>5106839</v>
      </c>
      <c r="O26" s="49">
        <f t="shared" si="13"/>
        <v>0</v>
      </c>
      <c r="P26" s="142">
        <f t="shared" si="21"/>
        <v>3309968</v>
      </c>
      <c r="Q26" s="49">
        <f t="shared" si="6"/>
        <v>0</v>
      </c>
      <c r="R26" s="140">
        <f t="shared" si="22"/>
        <v>17359543</v>
      </c>
      <c r="S26" s="49">
        <f t="shared" si="7"/>
        <v>0</v>
      </c>
      <c r="T26" s="140">
        <v>0</v>
      </c>
      <c r="U26" s="143"/>
      <c r="V26" s="140">
        <f t="shared" si="23"/>
        <v>5009307</v>
      </c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>
        <f t="shared" si="15"/>
        <v>18186</v>
      </c>
      <c r="D27" s="49">
        <f t="shared" si="1"/>
        <v>0</v>
      </c>
      <c r="E27" s="140">
        <f t="shared" si="16"/>
        <v>25838382</v>
      </c>
      <c r="F27" s="49">
        <f t="shared" si="2"/>
        <v>0</v>
      </c>
      <c r="G27" s="144">
        <f t="shared" si="17"/>
        <v>81759125</v>
      </c>
      <c r="H27" s="49">
        <f t="shared" si="3"/>
        <v>0</v>
      </c>
      <c r="I27" s="141">
        <f t="shared" si="12"/>
        <v>0</v>
      </c>
      <c r="J27" s="140">
        <f t="shared" si="18"/>
        <v>7977214</v>
      </c>
      <c r="K27" s="49">
        <f t="shared" si="4"/>
        <v>0</v>
      </c>
      <c r="L27" s="142">
        <f t="shared" si="19"/>
        <v>7977089</v>
      </c>
      <c r="M27" s="49">
        <f t="shared" si="5"/>
        <v>0</v>
      </c>
      <c r="N27" s="140">
        <f t="shared" si="20"/>
        <v>5106839</v>
      </c>
      <c r="O27" s="49">
        <f t="shared" si="13"/>
        <v>0</v>
      </c>
      <c r="P27" s="142">
        <f t="shared" si="21"/>
        <v>3309968</v>
      </c>
      <c r="Q27" s="49">
        <f t="shared" si="6"/>
        <v>0</v>
      </c>
      <c r="R27" s="140">
        <f t="shared" si="22"/>
        <v>17359543</v>
      </c>
      <c r="S27" s="49">
        <f t="shared" si="7"/>
        <v>0</v>
      </c>
      <c r="T27" s="140">
        <v>0</v>
      </c>
      <c r="U27" s="143"/>
      <c r="V27" s="140">
        <f t="shared" si="23"/>
        <v>5009307</v>
      </c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>
        <f t="shared" si="15"/>
        <v>18186</v>
      </c>
      <c r="D28" s="49">
        <f t="shared" si="1"/>
        <v>0</v>
      </c>
      <c r="E28" s="140">
        <f t="shared" si="16"/>
        <v>25838382</v>
      </c>
      <c r="F28" s="49">
        <f t="shared" si="2"/>
        <v>0</v>
      </c>
      <c r="G28" s="144">
        <f t="shared" si="17"/>
        <v>81759125</v>
      </c>
      <c r="H28" s="49">
        <f t="shared" si="3"/>
        <v>0</v>
      </c>
      <c r="I28" s="141">
        <f t="shared" si="12"/>
        <v>0</v>
      </c>
      <c r="J28" s="140">
        <f t="shared" si="18"/>
        <v>7977214</v>
      </c>
      <c r="K28" s="49">
        <f t="shared" si="4"/>
        <v>0</v>
      </c>
      <c r="L28" s="142">
        <f t="shared" si="19"/>
        <v>7977089</v>
      </c>
      <c r="M28" s="49">
        <f t="shared" si="5"/>
        <v>0</v>
      </c>
      <c r="N28" s="140">
        <f t="shared" si="20"/>
        <v>5106839</v>
      </c>
      <c r="O28" s="49">
        <f t="shared" si="13"/>
        <v>0</v>
      </c>
      <c r="P28" s="142">
        <f t="shared" si="21"/>
        <v>3309968</v>
      </c>
      <c r="Q28" s="49">
        <f t="shared" si="6"/>
        <v>0</v>
      </c>
      <c r="R28" s="140">
        <f t="shared" si="22"/>
        <v>17359543</v>
      </c>
      <c r="S28" s="49">
        <f t="shared" si="7"/>
        <v>0</v>
      </c>
      <c r="T28" s="140">
        <v>0</v>
      </c>
      <c r="U28" s="143"/>
      <c r="V28" s="140">
        <f t="shared" si="23"/>
        <v>5009307</v>
      </c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>
        <f t="shared" si="15"/>
        <v>18186</v>
      </c>
      <c r="D29" s="49">
        <f t="shared" si="1"/>
        <v>0</v>
      </c>
      <c r="E29" s="140">
        <f t="shared" si="16"/>
        <v>25838382</v>
      </c>
      <c r="F29" s="49">
        <f t="shared" si="2"/>
        <v>0</v>
      </c>
      <c r="G29" s="144">
        <f t="shared" si="17"/>
        <v>81759125</v>
      </c>
      <c r="H29" s="49">
        <f t="shared" si="3"/>
        <v>0</v>
      </c>
      <c r="I29" s="141">
        <f t="shared" si="12"/>
        <v>0</v>
      </c>
      <c r="J29" s="140">
        <f t="shared" si="18"/>
        <v>7977214</v>
      </c>
      <c r="K29" s="49">
        <f t="shared" si="4"/>
        <v>0</v>
      </c>
      <c r="L29" s="142">
        <f t="shared" si="19"/>
        <v>7977089</v>
      </c>
      <c r="M29" s="49">
        <f t="shared" si="5"/>
        <v>0</v>
      </c>
      <c r="N29" s="140">
        <f t="shared" si="20"/>
        <v>5106839</v>
      </c>
      <c r="O29" s="49">
        <f t="shared" si="13"/>
        <v>0</v>
      </c>
      <c r="P29" s="142">
        <f t="shared" si="21"/>
        <v>3309968</v>
      </c>
      <c r="Q29" s="49">
        <f t="shared" si="6"/>
        <v>0</v>
      </c>
      <c r="R29" s="140">
        <f t="shared" si="22"/>
        <v>17359543</v>
      </c>
      <c r="S29" s="49">
        <f t="shared" si="7"/>
        <v>0</v>
      </c>
      <c r="T29" s="140">
        <v>0</v>
      </c>
      <c r="U29" s="143"/>
      <c r="V29" s="140">
        <f t="shared" si="23"/>
        <v>5009307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>
        <f t="shared" si="15"/>
        <v>18186</v>
      </c>
      <c r="D30" s="49">
        <f t="shared" si="1"/>
        <v>0</v>
      </c>
      <c r="E30" s="140">
        <f t="shared" si="16"/>
        <v>25838382</v>
      </c>
      <c r="F30" s="49">
        <f t="shared" si="2"/>
        <v>0</v>
      </c>
      <c r="G30" s="144">
        <f t="shared" si="17"/>
        <v>81759125</v>
      </c>
      <c r="H30" s="49">
        <f t="shared" si="3"/>
        <v>0</v>
      </c>
      <c r="I30" s="141">
        <f t="shared" si="12"/>
        <v>0</v>
      </c>
      <c r="J30" s="140">
        <f t="shared" si="18"/>
        <v>7977214</v>
      </c>
      <c r="K30" s="49">
        <f t="shared" si="4"/>
        <v>0</v>
      </c>
      <c r="L30" s="142">
        <f t="shared" si="19"/>
        <v>7977089</v>
      </c>
      <c r="M30" s="49">
        <f t="shared" si="5"/>
        <v>0</v>
      </c>
      <c r="N30" s="140">
        <f t="shared" si="20"/>
        <v>5106839</v>
      </c>
      <c r="O30" s="49">
        <f t="shared" si="13"/>
        <v>0</v>
      </c>
      <c r="P30" s="142">
        <f t="shared" si="21"/>
        <v>3309968</v>
      </c>
      <c r="Q30" s="49">
        <f t="shared" si="6"/>
        <v>0</v>
      </c>
      <c r="R30" s="140">
        <f t="shared" si="22"/>
        <v>17359543</v>
      </c>
      <c r="S30" s="49">
        <f t="shared" si="7"/>
        <v>0</v>
      </c>
      <c r="T30" s="140">
        <v>0</v>
      </c>
      <c r="U30" s="143"/>
      <c r="V30" s="140">
        <f t="shared" si="23"/>
        <v>5009307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>
        <f t="shared" si="15"/>
        <v>18186</v>
      </c>
      <c r="D31" s="49">
        <f t="shared" si="1"/>
        <v>0</v>
      </c>
      <c r="E31" s="140">
        <f t="shared" si="16"/>
        <v>25838382</v>
      </c>
      <c r="F31" s="49">
        <f t="shared" si="2"/>
        <v>0</v>
      </c>
      <c r="G31" s="144">
        <f t="shared" si="17"/>
        <v>81759125</v>
      </c>
      <c r="H31" s="49">
        <f t="shared" si="3"/>
        <v>0</v>
      </c>
      <c r="I31" s="28">
        <f>F31+H31</f>
        <v>0</v>
      </c>
      <c r="J31" s="140">
        <f t="shared" si="18"/>
        <v>7977214</v>
      </c>
      <c r="K31" s="49">
        <f t="shared" si="4"/>
        <v>0</v>
      </c>
      <c r="L31" s="142">
        <f t="shared" si="19"/>
        <v>7977089</v>
      </c>
      <c r="M31" s="49">
        <f t="shared" si="5"/>
        <v>0</v>
      </c>
      <c r="N31" s="140">
        <f t="shared" si="20"/>
        <v>5106839</v>
      </c>
      <c r="O31" s="49">
        <f t="shared" si="13"/>
        <v>0</v>
      </c>
      <c r="P31" s="142">
        <f t="shared" si="21"/>
        <v>3309968</v>
      </c>
      <c r="Q31" s="49">
        <f t="shared" si="6"/>
        <v>0</v>
      </c>
      <c r="R31" s="140">
        <f t="shared" si="22"/>
        <v>17359543</v>
      </c>
      <c r="S31" s="49">
        <f t="shared" si="7"/>
        <v>0</v>
      </c>
      <c r="T31" s="140">
        <v>0</v>
      </c>
      <c r="U31" s="29"/>
      <c r="V31" s="140">
        <f t="shared" si="23"/>
        <v>5009307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>
        <f t="shared" si="15"/>
        <v>18186</v>
      </c>
      <c r="D32" s="49">
        <f t="shared" si="1"/>
        <v>0</v>
      </c>
      <c r="E32" s="140">
        <f t="shared" si="16"/>
        <v>25838382</v>
      </c>
      <c r="F32" s="49">
        <f t="shared" si="2"/>
        <v>0</v>
      </c>
      <c r="G32" s="144">
        <f t="shared" si="17"/>
        <v>81759125</v>
      </c>
      <c r="H32" s="49">
        <f t="shared" si="3"/>
        <v>0</v>
      </c>
      <c r="I32" s="28">
        <f t="shared" ref="I32:I33" si="24">F32+H32</f>
        <v>0</v>
      </c>
      <c r="J32" s="140">
        <f t="shared" si="18"/>
        <v>7977214</v>
      </c>
      <c r="K32" s="49">
        <f t="shared" si="4"/>
        <v>0</v>
      </c>
      <c r="L32" s="142">
        <f t="shared" si="19"/>
        <v>7977089</v>
      </c>
      <c r="M32" s="49">
        <f t="shared" si="5"/>
        <v>0</v>
      </c>
      <c r="N32" s="140">
        <f t="shared" si="20"/>
        <v>5106839</v>
      </c>
      <c r="O32" s="49">
        <f t="shared" si="13"/>
        <v>0</v>
      </c>
      <c r="P32" s="142">
        <f t="shared" si="21"/>
        <v>3309968</v>
      </c>
      <c r="Q32" s="49">
        <f t="shared" si="6"/>
        <v>0</v>
      </c>
      <c r="R32" s="140">
        <f t="shared" si="22"/>
        <v>17359543</v>
      </c>
      <c r="S32" s="49">
        <f t="shared" si="7"/>
        <v>0</v>
      </c>
      <c r="T32" s="140">
        <v>0</v>
      </c>
      <c r="U32" s="29"/>
      <c r="V32" s="140">
        <f t="shared" si="23"/>
        <v>5009307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18186</v>
      </c>
      <c r="D33" s="49">
        <f t="shared" si="1"/>
        <v>0</v>
      </c>
      <c r="E33" s="140">
        <f t="shared" si="16"/>
        <v>25838382</v>
      </c>
      <c r="F33" s="49">
        <f t="shared" si="2"/>
        <v>0</v>
      </c>
      <c r="G33" s="144">
        <f t="shared" si="17"/>
        <v>81759125</v>
      </c>
      <c r="H33" s="49">
        <f t="shared" si="3"/>
        <v>0</v>
      </c>
      <c r="I33" s="28">
        <f t="shared" si="24"/>
        <v>0</v>
      </c>
      <c r="J33" s="140">
        <f t="shared" si="18"/>
        <v>7977214</v>
      </c>
      <c r="K33" s="49">
        <f t="shared" si="4"/>
        <v>0</v>
      </c>
      <c r="L33" s="142">
        <f t="shared" si="19"/>
        <v>7977089</v>
      </c>
      <c r="M33" s="49">
        <f t="shared" si="5"/>
        <v>0</v>
      </c>
      <c r="N33" s="140">
        <f t="shared" si="20"/>
        <v>5106839</v>
      </c>
      <c r="O33" s="49">
        <f t="shared" si="13"/>
        <v>0</v>
      </c>
      <c r="P33" s="142">
        <f t="shared" si="21"/>
        <v>3309968</v>
      </c>
      <c r="Q33" s="49">
        <f t="shared" si="6"/>
        <v>0</v>
      </c>
      <c r="R33" s="140">
        <f t="shared" si="22"/>
        <v>17359543</v>
      </c>
      <c r="S33" s="49">
        <f t="shared" si="7"/>
        <v>0</v>
      </c>
      <c r="T33" s="140">
        <v>0</v>
      </c>
      <c r="U33" s="29"/>
      <c r="V33" s="140">
        <f t="shared" si="23"/>
        <v>5009307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864</v>
      </c>
      <c r="C34" s="162"/>
      <c r="D34" s="162">
        <f>SUM(D2:D33)</f>
        <v>5600</v>
      </c>
      <c r="E34" s="162">
        <v>0</v>
      </c>
      <c r="F34" s="162">
        <f>SUM(F2:F33)</f>
        <v>124120</v>
      </c>
      <c r="G34" s="162">
        <v>0</v>
      </c>
      <c r="H34" s="162">
        <f>SUM(H2:H33)</f>
        <v>518399</v>
      </c>
      <c r="I34" s="162">
        <f t="shared" ref="I34:X34" si="25">SUM(I5:I33)</f>
        <v>546230</v>
      </c>
      <c r="J34" s="162">
        <v>0</v>
      </c>
      <c r="K34" s="162">
        <f>SUM(K2:K33)</f>
        <v>105780</v>
      </c>
      <c r="L34" s="162">
        <v>0</v>
      </c>
      <c r="M34" s="162">
        <f>SUM(M2:M33)</f>
        <v>92669</v>
      </c>
      <c r="N34" s="162">
        <v>0</v>
      </c>
      <c r="O34" s="162">
        <f>SUM(O2:O33)</f>
        <v>76442</v>
      </c>
      <c r="P34" s="162">
        <v>0</v>
      </c>
      <c r="Q34" s="162">
        <f>SUM(Q2:Q33)</f>
        <v>122096</v>
      </c>
      <c r="R34" s="162">
        <v>0</v>
      </c>
      <c r="S34" s="162">
        <f>SUM(S2:S33)</f>
        <v>99835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111785</v>
      </c>
      <c r="X34" s="162">
        <f t="shared" si="25"/>
        <v>533017</v>
      </c>
      <c r="Y34" s="162">
        <f>SUM(Y2:Y33)</f>
        <v>33912</v>
      </c>
      <c r="Z34" s="162">
        <f>SUM(Z2:Z33)</f>
        <v>80105.33980799999</v>
      </c>
      <c r="AA34" s="162">
        <f>SUM(AA2:AA33)</f>
        <v>314386.863648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B14" sqref="B1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f t="shared" ref="B14:B33" si="2">B13</f>
        <v>17335700</v>
      </c>
      <c r="C14" s="55">
        <f t="shared" si="1"/>
        <v>0</v>
      </c>
    </row>
    <row r="15" spans="1:9" ht="24" thickBot="1" x14ac:dyDescent="0.4">
      <c r="A15" s="10">
        <v>44329</v>
      </c>
      <c r="B15" s="157">
        <f t="shared" si="2"/>
        <v>17335700</v>
      </c>
      <c r="C15" s="55">
        <f t="shared" si="1"/>
        <v>0</v>
      </c>
      <c r="I15" t="s">
        <v>12</v>
      </c>
    </row>
    <row r="16" spans="1:9" ht="26.25" customHeight="1" thickBot="1" x14ac:dyDescent="0.4">
      <c r="A16" s="10">
        <v>44330</v>
      </c>
      <c r="B16" s="157">
        <f t="shared" si="2"/>
        <v>17335700</v>
      </c>
      <c r="C16" s="55">
        <f t="shared" si="1"/>
        <v>0</v>
      </c>
    </row>
    <row r="17" spans="1:9" ht="25.5" customHeight="1" thickBot="1" x14ac:dyDescent="0.4">
      <c r="A17" s="10">
        <v>44331</v>
      </c>
      <c r="B17" s="157">
        <f t="shared" si="2"/>
        <v>17335700</v>
      </c>
      <c r="C17" s="55">
        <f t="shared" si="1"/>
        <v>0</v>
      </c>
      <c r="F17" s="155"/>
    </row>
    <row r="18" spans="1:9" ht="24" thickBot="1" x14ac:dyDescent="0.4">
      <c r="A18" s="10">
        <v>44332</v>
      </c>
      <c r="B18" s="157">
        <f t="shared" si="2"/>
        <v>17335700</v>
      </c>
      <c r="C18" s="55">
        <f t="shared" si="1"/>
        <v>0</v>
      </c>
    </row>
    <row r="19" spans="1:9" ht="24" thickBot="1" x14ac:dyDescent="0.4">
      <c r="A19" s="10">
        <v>44333</v>
      </c>
      <c r="B19" s="157">
        <f t="shared" si="2"/>
        <v>17335700</v>
      </c>
      <c r="C19" s="55">
        <f t="shared" si="1"/>
        <v>0</v>
      </c>
    </row>
    <row r="20" spans="1:9" ht="24" thickBot="1" x14ac:dyDescent="0.4">
      <c r="A20" s="10">
        <v>44334</v>
      </c>
      <c r="B20" s="157">
        <f t="shared" si="2"/>
        <v>17335700</v>
      </c>
      <c r="C20" s="55">
        <f t="shared" si="1"/>
        <v>0</v>
      </c>
    </row>
    <row r="21" spans="1:9" ht="24" thickBot="1" x14ac:dyDescent="0.4">
      <c r="A21" s="10">
        <v>44335</v>
      </c>
      <c r="B21" s="157">
        <f t="shared" si="2"/>
        <v>17335700</v>
      </c>
      <c r="C21" s="55">
        <f t="shared" si="1"/>
        <v>0</v>
      </c>
    </row>
    <row r="22" spans="1:9" ht="24" thickBot="1" x14ac:dyDescent="0.4">
      <c r="A22" s="10">
        <v>44336</v>
      </c>
      <c r="B22" s="157">
        <f t="shared" si="2"/>
        <v>17335700</v>
      </c>
      <c r="C22" s="55">
        <f t="shared" si="1"/>
        <v>0</v>
      </c>
    </row>
    <row r="23" spans="1:9" ht="24" thickBot="1" x14ac:dyDescent="0.4">
      <c r="A23" s="10">
        <v>44337</v>
      </c>
      <c r="B23" s="157">
        <f t="shared" si="2"/>
        <v>17335700</v>
      </c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>
        <f t="shared" si="2"/>
        <v>17335700</v>
      </c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>
        <f t="shared" si="2"/>
        <v>17335700</v>
      </c>
      <c r="C25" s="55">
        <f t="shared" si="1"/>
        <v>0</v>
      </c>
    </row>
    <row r="26" spans="1:9" ht="24" thickBot="1" x14ac:dyDescent="0.4">
      <c r="A26" s="10">
        <v>44340</v>
      </c>
      <c r="B26" s="157">
        <f t="shared" si="2"/>
        <v>17335700</v>
      </c>
      <c r="C26" s="55">
        <f t="shared" si="1"/>
        <v>0</v>
      </c>
    </row>
    <row r="27" spans="1:9" ht="24" thickBot="1" x14ac:dyDescent="0.4">
      <c r="A27" s="10">
        <v>44341</v>
      </c>
      <c r="B27" s="157">
        <f t="shared" si="2"/>
        <v>17335700</v>
      </c>
      <c r="C27" s="55">
        <f t="shared" si="1"/>
        <v>0</v>
      </c>
    </row>
    <row r="28" spans="1:9" ht="24" thickBot="1" x14ac:dyDescent="0.4">
      <c r="A28" s="10">
        <v>44342</v>
      </c>
      <c r="B28" s="157">
        <f t="shared" si="2"/>
        <v>17335700</v>
      </c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>
        <f t="shared" si="2"/>
        <v>17335700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17335700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17335700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17335700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17335700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20139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8" zoomScaleNormal="98" workbookViewId="0">
      <pane xSplit="1" topLeftCell="I1" activePane="topRight" state="frozen"/>
      <selection pane="topRight" activeCell="U13" sqref="U1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20489.561000000002</v>
      </c>
      <c r="C14" s="54" t="str">
        <f t="shared" si="14"/>
        <v>0</v>
      </c>
      <c r="D14" s="38">
        <f t="shared" si="15"/>
        <v>0</v>
      </c>
      <c r="E14" s="1">
        <f t="shared" ref="E14:E33" si="28">E13</f>
        <v>3571.078</v>
      </c>
      <c r="F14" s="54">
        <f t="shared" si="16"/>
        <v>0</v>
      </c>
      <c r="G14" s="38">
        <f t="shared" si="17"/>
        <v>0</v>
      </c>
      <c r="H14" s="1">
        <f t="shared" ref="H14:H33" si="29">H13</f>
        <v>3016</v>
      </c>
      <c r="I14" s="54">
        <f t="shared" si="18"/>
        <v>0</v>
      </c>
      <c r="J14" s="38">
        <f t="shared" si="19"/>
        <v>0</v>
      </c>
      <c r="K14" s="7">
        <f t="shared" ref="K14:K33" si="30">K13</f>
        <v>13372</v>
      </c>
      <c r="L14" s="54">
        <f t="shared" si="20"/>
        <v>0</v>
      </c>
      <c r="M14" s="38">
        <f t="shared" si="21"/>
        <v>0</v>
      </c>
      <c r="N14" s="7">
        <f t="shared" ref="N14:N33" si="31">N13</f>
        <v>3026</v>
      </c>
      <c r="O14" s="54">
        <f t="shared" si="22"/>
        <v>0</v>
      </c>
      <c r="P14" s="38">
        <f t="shared" si="26"/>
        <v>0</v>
      </c>
      <c r="Q14" s="7">
        <f t="shared" ref="Q14:Q33" si="32">Q13</f>
        <v>4771.33</v>
      </c>
      <c r="R14" s="54">
        <f t="shared" si="23"/>
        <v>0</v>
      </c>
      <c r="S14" s="38">
        <f t="shared" si="24"/>
        <v>0</v>
      </c>
      <c r="T14" s="8">
        <f t="shared" si="27"/>
        <v>0</v>
      </c>
      <c r="U14" s="40">
        <f t="shared" si="25"/>
        <v>0</v>
      </c>
    </row>
    <row r="15" spans="1:25" ht="16.5" thickBot="1" x14ac:dyDescent="0.25">
      <c r="A15" s="10">
        <v>44329</v>
      </c>
      <c r="B15" s="1">
        <v>20489.561000000002</v>
      </c>
      <c r="C15" s="54">
        <f t="shared" si="14"/>
        <v>0</v>
      </c>
      <c r="D15" s="38">
        <f t="shared" si="15"/>
        <v>0</v>
      </c>
      <c r="E15" s="1">
        <f t="shared" si="28"/>
        <v>3571.078</v>
      </c>
      <c r="F15" s="54">
        <f t="shared" si="16"/>
        <v>0</v>
      </c>
      <c r="G15" s="38">
        <f t="shared" si="17"/>
        <v>0</v>
      </c>
      <c r="H15" s="1">
        <f t="shared" si="29"/>
        <v>3016</v>
      </c>
      <c r="I15" s="54">
        <f t="shared" si="18"/>
        <v>0</v>
      </c>
      <c r="J15" s="38">
        <f t="shared" si="19"/>
        <v>0</v>
      </c>
      <c r="K15" s="7">
        <f t="shared" si="30"/>
        <v>13372</v>
      </c>
      <c r="L15" s="54">
        <f t="shared" si="20"/>
        <v>0</v>
      </c>
      <c r="M15" s="38">
        <f t="shared" si="21"/>
        <v>0</v>
      </c>
      <c r="N15" s="7">
        <f t="shared" si="31"/>
        <v>3026</v>
      </c>
      <c r="O15" s="54">
        <f t="shared" si="22"/>
        <v>0</v>
      </c>
      <c r="P15" s="38">
        <f t="shared" si="26"/>
        <v>0</v>
      </c>
      <c r="Q15" s="7">
        <f t="shared" si="32"/>
        <v>4771.33</v>
      </c>
      <c r="R15" s="54">
        <f t="shared" si="23"/>
        <v>0</v>
      </c>
      <c r="S15" s="38">
        <f t="shared" si="24"/>
        <v>0</v>
      </c>
      <c r="T15" s="8">
        <f t="shared" si="27"/>
        <v>0</v>
      </c>
      <c r="U15" s="40">
        <f t="shared" si="25"/>
        <v>0</v>
      </c>
      <c r="W15" t="s">
        <v>12</v>
      </c>
    </row>
    <row r="16" spans="1:25" ht="16.5" thickBot="1" x14ac:dyDescent="0.25">
      <c r="A16" s="10">
        <v>44330</v>
      </c>
      <c r="B16" s="1">
        <v>20489.561000000002</v>
      </c>
      <c r="C16" s="54">
        <f t="shared" si="14"/>
        <v>0</v>
      </c>
      <c r="D16" s="38">
        <f t="shared" si="15"/>
        <v>0</v>
      </c>
      <c r="E16" s="1">
        <f t="shared" si="28"/>
        <v>3571.078</v>
      </c>
      <c r="F16" s="54">
        <f t="shared" si="16"/>
        <v>0</v>
      </c>
      <c r="G16" s="38">
        <f t="shared" si="17"/>
        <v>0</v>
      </c>
      <c r="H16" s="1">
        <f t="shared" si="29"/>
        <v>3016</v>
      </c>
      <c r="I16" s="54">
        <f t="shared" si="18"/>
        <v>0</v>
      </c>
      <c r="J16" s="38">
        <f t="shared" si="19"/>
        <v>0</v>
      </c>
      <c r="K16" s="7">
        <f t="shared" si="30"/>
        <v>13372</v>
      </c>
      <c r="L16" s="54">
        <f t="shared" si="20"/>
        <v>0</v>
      </c>
      <c r="M16" s="38">
        <f t="shared" si="21"/>
        <v>0</v>
      </c>
      <c r="N16" s="7">
        <f t="shared" si="31"/>
        <v>3026</v>
      </c>
      <c r="O16" s="54">
        <f t="shared" si="22"/>
        <v>0</v>
      </c>
      <c r="P16" s="38">
        <f t="shared" si="26"/>
        <v>0</v>
      </c>
      <c r="Q16" s="7">
        <f t="shared" si="32"/>
        <v>4771.33</v>
      </c>
      <c r="R16" s="54">
        <f t="shared" si="23"/>
        <v>0</v>
      </c>
      <c r="S16" s="38">
        <f t="shared" si="24"/>
        <v>0</v>
      </c>
      <c r="T16" s="8">
        <f t="shared" si="27"/>
        <v>0</v>
      </c>
      <c r="U16" s="40">
        <f t="shared" si="25"/>
        <v>0</v>
      </c>
      <c r="Y16" t="s">
        <v>12</v>
      </c>
    </row>
    <row r="17" spans="1:24" ht="16.5" thickBot="1" x14ac:dyDescent="0.25">
      <c r="A17" s="10">
        <v>44331</v>
      </c>
      <c r="B17" s="1">
        <v>20489.561000000002</v>
      </c>
      <c r="C17" s="54">
        <f>IF((B17-B16)&lt;0,"0",(B17-B16))</f>
        <v>0</v>
      </c>
      <c r="D17" s="38">
        <f t="shared" si="15"/>
        <v>0</v>
      </c>
      <c r="E17" s="1">
        <f t="shared" si="28"/>
        <v>3571.078</v>
      </c>
      <c r="F17" s="54">
        <f t="shared" si="16"/>
        <v>0</v>
      </c>
      <c r="G17" s="38">
        <f t="shared" si="17"/>
        <v>0</v>
      </c>
      <c r="H17" s="1">
        <f t="shared" si="29"/>
        <v>3016</v>
      </c>
      <c r="I17" s="54">
        <f t="shared" si="18"/>
        <v>0</v>
      </c>
      <c r="J17" s="38">
        <f t="shared" si="19"/>
        <v>0</v>
      </c>
      <c r="K17" s="7">
        <f t="shared" si="30"/>
        <v>13372</v>
      </c>
      <c r="L17" s="54">
        <f t="shared" si="20"/>
        <v>0</v>
      </c>
      <c r="M17" s="38">
        <f t="shared" si="21"/>
        <v>0</v>
      </c>
      <c r="N17" s="7">
        <f t="shared" si="31"/>
        <v>3026</v>
      </c>
      <c r="O17" s="54">
        <f t="shared" si="22"/>
        <v>0</v>
      </c>
      <c r="P17" s="38">
        <f t="shared" si="26"/>
        <v>0</v>
      </c>
      <c r="Q17" s="7">
        <f t="shared" si="32"/>
        <v>4771.33</v>
      </c>
      <c r="R17" s="54">
        <f t="shared" si="23"/>
        <v>0</v>
      </c>
      <c r="S17" s="38">
        <f t="shared" si="24"/>
        <v>0</v>
      </c>
      <c r="T17" s="8">
        <f t="shared" si="27"/>
        <v>0</v>
      </c>
      <c r="U17" s="40">
        <f t="shared" si="25"/>
        <v>0</v>
      </c>
    </row>
    <row r="18" spans="1:24" ht="16.5" thickBot="1" x14ac:dyDescent="0.25">
      <c r="A18" s="10">
        <v>44332</v>
      </c>
      <c r="B18" s="1">
        <v>20489.561000000002</v>
      </c>
      <c r="C18" s="54">
        <f>IF((B18-B17)&lt;0,"0",(B18-B17))</f>
        <v>0</v>
      </c>
      <c r="D18" s="38">
        <f t="shared" si="15"/>
        <v>0</v>
      </c>
      <c r="E18" s="1">
        <f t="shared" si="28"/>
        <v>3571.078</v>
      </c>
      <c r="F18" s="54">
        <f t="shared" si="16"/>
        <v>0</v>
      </c>
      <c r="G18" s="38">
        <f t="shared" si="17"/>
        <v>0</v>
      </c>
      <c r="H18" s="1">
        <f t="shared" si="29"/>
        <v>3016</v>
      </c>
      <c r="I18" s="54">
        <f t="shared" si="18"/>
        <v>0</v>
      </c>
      <c r="J18" s="38">
        <f t="shared" si="19"/>
        <v>0</v>
      </c>
      <c r="K18" s="7">
        <f t="shared" si="30"/>
        <v>13372</v>
      </c>
      <c r="L18" s="54">
        <f t="shared" si="20"/>
        <v>0</v>
      </c>
      <c r="M18" s="38">
        <f t="shared" si="21"/>
        <v>0</v>
      </c>
      <c r="N18" s="7">
        <f t="shared" si="31"/>
        <v>3026</v>
      </c>
      <c r="O18" s="54">
        <f t="shared" si="22"/>
        <v>0</v>
      </c>
      <c r="P18" s="38">
        <f t="shared" si="26"/>
        <v>0</v>
      </c>
      <c r="Q18" s="7">
        <f t="shared" si="32"/>
        <v>4771.33</v>
      </c>
      <c r="R18" s="54">
        <f t="shared" si="23"/>
        <v>0</v>
      </c>
      <c r="S18" s="38">
        <f t="shared" si="24"/>
        <v>0</v>
      </c>
      <c r="T18" s="8">
        <f t="shared" si="27"/>
        <v>0</v>
      </c>
      <c r="U18" s="40">
        <f t="shared" si="25"/>
        <v>0</v>
      </c>
    </row>
    <row r="19" spans="1:24" ht="16.5" thickBot="1" x14ac:dyDescent="0.25">
      <c r="A19" s="10">
        <v>44333</v>
      </c>
      <c r="B19" s="1">
        <v>20489.561000000002</v>
      </c>
      <c r="C19" s="54">
        <f>IF((B19-B18)&lt;0,"0",(B19-B18))</f>
        <v>0</v>
      </c>
      <c r="D19" s="38">
        <f t="shared" si="15"/>
        <v>0</v>
      </c>
      <c r="E19" s="1">
        <f t="shared" si="28"/>
        <v>3571.078</v>
      </c>
      <c r="F19" s="54">
        <f t="shared" si="16"/>
        <v>0</v>
      </c>
      <c r="G19" s="38">
        <f t="shared" si="17"/>
        <v>0</v>
      </c>
      <c r="H19" s="1">
        <f t="shared" si="29"/>
        <v>3016</v>
      </c>
      <c r="I19" s="54">
        <f t="shared" si="18"/>
        <v>0</v>
      </c>
      <c r="J19" s="38">
        <f t="shared" si="19"/>
        <v>0</v>
      </c>
      <c r="K19" s="7">
        <f t="shared" si="30"/>
        <v>13372</v>
      </c>
      <c r="L19" s="54">
        <f t="shared" si="20"/>
        <v>0</v>
      </c>
      <c r="M19" s="38">
        <f t="shared" si="21"/>
        <v>0</v>
      </c>
      <c r="N19" s="7">
        <f t="shared" si="31"/>
        <v>3026</v>
      </c>
      <c r="O19" s="54">
        <f t="shared" si="22"/>
        <v>0</v>
      </c>
      <c r="P19" s="38">
        <f t="shared" si="26"/>
        <v>0</v>
      </c>
      <c r="Q19" s="7">
        <f t="shared" si="32"/>
        <v>4771.33</v>
      </c>
      <c r="R19" s="54">
        <f t="shared" si="23"/>
        <v>0</v>
      </c>
      <c r="S19" s="38">
        <f t="shared" si="24"/>
        <v>0</v>
      </c>
      <c r="T19" s="8">
        <f t="shared" si="27"/>
        <v>0</v>
      </c>
      <c r="U19" s="40">
        <f t="shared" si="25"/>
        <v>0</v>
      </c>
    </row>
    <row r="20" spans="1:24" ht="16.5" thickBot="1" x14ac:dyDescent="0.25">
      <c r="A20" s="10">
        <v>44334</v>
      </c>
      <c r="B20" s="1">
        <v>20489.561000000002</v>
      </c>
      <c r="C20" s="54">
        <f t="shared" si="14"/>
        <v>0</v>
      </c>
      <c r="D20" s="38">
        <f t="shared" si="15"/>
        <v>0</v>
      </c>
      <c r="E20" s="1">
        <f t="shared" si="28"/>
        <v>3571.078</v>
      </c>
      <c r="F20" s="54">
        <f t="shared" si="16"/>
        <v>0</v>
      </c>
      <c r="G20" s="38">
        <f t="shared" si="17"/>
        <v>0</v>
      </c>
      <c r="H20" s="1">
        <f t="shared" si="29"/>
        <v>3016</v>
      </c>
      <c r="I20" s="54">
        <f t="shared" si="18"/>
        <v>0</v>
      </c>
      <c r="J20" s="38">
        <f t="shared" si="19"/>
        <v>0</v>
      </c>
      <c r="K20" s="7">
        <f t="shared" si="30"/>
        <v>13372</v>
      </c>
      <c r="L20" s="54">
        <f t="shared" si="20"/>
        <v>0</v>
      </c>
      <c r="M20" s="38">
        <f t="shared" si="21"/>
        <v>0</v>
      </c>
      <c r="N20" s="7">
        <f t="shared" si="31"/>
        <v>3026</v>
      </c>
      <c r="O20" s="54">
        <f t="shared" si="22"/>
        <v>0</v>
      </c>
      <c r="P20" s="38">
        <f t="shared" si="26"/>
        <v>0</v>
      </c>
      <c r="Q20" s="7">
        <f t="shared" si="32"/>
        <v>4771.33</v>
      </c>
      <c r="R20" s="54">
        <v>0</v>
      </c>
      <c r="S20" s="38">
        <f t="shared" si="24"/>
        <v>0</v>
      </c>
      <c r="T20" s="8">
        <f t="shared" si="27"/>
        <v>0</v>
      </c>
      <c r="U20" s="40">
        <f t="shared" si="25"/>
        <v>0</v>
      </c>
      <c r="X20" t="s">
        <v>12</v>
      </c>
    </row>
    <row r="21" spans="1:24" ht="16.5" thickBot="1" x14ac:dyDescent="0.25">
      <c r="A21" s="10">
        <v>44335</v>
      </c>
      <c r="B21" s="1">
        <v>20489.561000000002</v>
      </c>
      <c r="C21" s="54">
        <f t="shared" si="14"/>
        <v>0</v>
      </c>
      <c r="D21" s="38">
        <f t="shared" si="15"/>
        <v>0</v>
      </c>
      <c r="E21" s="1">
        <f t="shared" si="28"/>
        <v>3571.078</v>
      </c>
      <c r="F21" s="54">
        <f t="shared" si="16"/>
        <v>0</v>
      </c>
      <c r="G21" s="38">
        <f t="shared" si="17"/>
        <v>0</v>
      </c>
      <c r="H21" s="1">
        <f t="shared" si="29"/>
        <v>3016</v>
      </c>
      <c r="I21" s="54">
        <f t="shared" si="18"/>
        <v>0</v>
      </c>
      <c r="J21" s="38">
        <f t="shared" si="19"/>
        <v>0</v>
      </c>
      <c r="K21" s="7">
        <f t="shared" si="30"/>
        <v>13372</v>
      </c>
      <c r="L21" s="54">
        <f t="shared" si="20"/>
        <v>0</v>
      </c>
      <c r="M21" s="38">
        <f t="shared" si="21"/>
        <v>0</v>
      </c>
      <c r="N21" s="7">
        <f t="shared" si="31"/>
        <v>3026</v>
      </c>
      <c r="O21" s="54">
        <f t="shared" si="22"/>
        <v>0</v>
      </c>
      <c r="P21" s="38">
        <f t="shared" si="26"/>
        <v>0</v>
      </c>
      <c r="Q21" s="7">
        <f t="shared" si="32"/>
        <v>4771.33</v>
      </c>
      <c r="R21" s="54">
        <f t="shared" si="23"/>
        <v>0</v>
      </c>
      <c r="S21" s="38">
        <f t="shared" si="24"/>
        <v>0</v>
      </c>
      <c r="T21" s="8">
        <f t="shared" si="27"/>
        <v>0</v>
      </c>
      <c r="U21" s="40">
        <f t="shared" si="25"/>
        <v>0</v>
      </c>
    </row>
    <row r="22" spans="1:24" ht="16.5" thickBot="1" x14ac:dyDescent="0.25">
      <c r="A22" s="10">
        <v>44336</v>
      </c>
      <c r="B22" s="1">
        <v>20489.561000000002</v>
      </c>
      <c r="C22" s="54">
        <f t="shared" si="14"/>
        <v>0</v>
      </c>
      <c r="D22" s="38">
        <f t="shared" si="15"/>
        <v>0</v>
      </c>
      <c r="E22" s="1">
        <f t="shared" si="28"/>
        <v>3571.078</v>
      </c>
      <c r="F22" s="54">
        <f t="shared" si="16"/>
        <v>0</v>
      </c>
      <c r="G22" s="38">
        <f t="shared" si="17"/>
        <v>0</v>
      </c>
      <c r="H22" s="1">
        <f t="shared" si="29"/>
        <v>3016</v>
      </c>
      <c r="I22" s="54">
        <f t="shared" si="18"/>
        <v>0</v>
      </c>
      <c r="J22" s="38">
        <f t="shared" si="19"/>
        <v>0</v>
      </c>
      <c r="K22" s="7">
        <f t="shared" si="30"/>
        <v>13372</v>
      </c>
      <c r="L22" s="54">
        <f t="shared" si="20"/>
        <v>0</v>
      </c>
      <c r="M22" s="38">
        <f t="shared" si="21"/>
        <v>0</v>
      </c>
      <c r="N22" s="7">
        <f t="shared" si="31"/>
        <v>3026</v>
      </c>
      <c r="O22" s="54">
        <f t="shared" si="22"/>
        <v>0</v>
      </c>
      <c r="P22" s="38">
        <f t="shared" si="26"/>
        <v>0</v>
      </c>
      <c r="Q22" s="7">
        <f t="shared" si="32"/>
        <v>4771.33</v>
      </c>
      <c r="R22" s="54">
        <f t="shared" si="23"/>
        <v>0</v>
      </c>
      <c r="S22" s="38">
        <f t="shared" si="24"/>
        <v>0</v>
      </c>
      <c r="T22" s="8">
        <f t="shared" si="27"/>
        <v>0</v>
      </c>
      <c r="U22" s="40">
        <f t="shared" si="25"/>
        <v>0</v>
      </c>
    </row>
    <row r="23" spans="1:24" ht="16.5" thickBot="1" x14ac:dyDescent="0.25">
      <c r="A23" s="10">
        <v>44337</v>
      </c>
      <c r="B23" s="1">
        <v>20489.561000000002</v>
      </c>
      <c r="C23" s="54">
        <f t="shared" si="14"/>
        <v>0</v>
      </c>
      <c r="D23" s="38">
        <f t="shared" si="15"/>
        <v>0</v>
      </c>
      <c r="E23" s="1">
        <f t="shared" si="28"/>
        <v>3571.078</v>
      </c>
      <c r="F23" s="54">
        <f t="shared" si="16"/>
        <v>0</v>
      </c>
      <c r="G23" s="38">
        <f t="shared" si="17"/>
        <v>0</v>
      </c>
      <c r="H23" s="1">
        <f t="shared" si="29"/>
        <v>3016</v>
      </c>
      <c r="I23" s="54">
        <f t="shared" si="18"/>
        <v>0</v>
      </c>
      <c r="J23" s="38">
        <f t="shared" si="19"/>
        <v>0</v>
      </c>
      <c r="K23" s="7">
        <f t="shared" si="30"/>
        <v>13372</v>
      </c>
      <c r="L23" s="54">
        <f t="shared" si="20"/>
        <v>0</v>
      </c>
      <c r="M23" s="38">
        <f t="shared" si="21"/>
        <v>0</v>
      </c>
      <c r="N23" s="7">
        <f t="shared" si="31"/>
        <v>3026</v>
      </c>
      <c r="O23" s="54">
        <f t="shared" si="22"/>
        <v>0</v>
      </c>
      <c r="P23" s="38">
        <f t="shared" si="26"/>
        <v>0</v>
      </c>
      <c r="Q23" s="7">
        <f t="shared" si="32"/>
        <v>4771.33</v>
      </c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>
        <v>20489.561000000002</v>
      </c>
      <c r="C24" s="54">
        <f t="shared" si="14"/>
        <v>0</v>
      </c>
      <c r="D24" s="38">
        <f t="shared" si="15"/>
        <v>0</v>
      </c>
      <c r="E24" s="1">
        <f t="shared" si="28"/>
        <v>3571.078</v>
      </c>
      <c r="F24" s="54">
        <f t="shared" si="16"/>
        <v>0</v>
      </c>
      <c r="G24" s="38">
        <f t="shared" si="17"/>
        <v>0</v>
      </c>
      <c r="H24" s="1">
        <f t="shared" si="29"/>
        <v>3016</v>
      </c>
      <c r="I24" s="54">
        <f t="shared" si="18"/>
        <v>0</v>
      </c>
      <c r="J24" s="38">
        <f t="shared" si="19"/>
        <v>0</v>
      </c>
      <c r="K24" s="7">
        <f t="shared" si="30"/>
        <v>13372</v>
      </c>
      <c r="L24" s="54">
        <f t="shared" si="20"/>
        <v>0</v>
      </c>
      <c r="M24" s="38">
        <f t="shared" si="21"/>
        <v>0</v>
      </c>
      <c r="N24" s="7">
        <f t="shared" si="31"/>
        <v>3026</v>
      </c>
      <c r="O24" s="54">
        <f t="shared" si="22"/>
        <v>0</v>
      </c>
      <c r="P24" s="38">
        <f t="shared" si="26"/>
        <v>0</v>
      </c>
      <c r="Q24" s="7">
        <f t="shared" si="32"/>
        <v>4771.33</v>
      </c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>
        <v>20489.561000000002</v>
      </c>
      <c r="C25" s="54">
        <f t="shared" si="14"/>
        <v>0</v>
      </c>
      <c r="D25" s="38">
        <f t="shared" si="15"/>
        <v>0</v>
      </c>
      <c r="E25" s="1">
        <f t="shared" si="28"/>
        <v>3571.078</v>
      </c>
      <c r="F25" s="54">
        <f t="shared" si="16"/>
        <v>0</v>
      </c>
      <c r="G25" s="38">
        <f t="shared" si="17"/>
        <v>0</v>
      </c>
      <c r="H25" s="1">
        <f t="shared" si="29"/>
        <v>3016</v>
      </c>
      <c r="I25" s="54">
        <f t="shared" si="18"/>
        <v>0</v>
      </c>
      <c r="J25" s="38">
        <f t="shared" si="19"/>
        <v>0</v>
      </c>
      <c r="K25" s="7">
        <f t="shared" si="30"/>
        <v>13372</v>
      </c>
      <c r="L25" s="54">
        <f t="shared" si="20"/>
        <v>0</v>
      </c>
      <c r="M25" s="38">
        <f t="shared" si="21"/>
        <v>0</v>
      </c>
      <c r="N25" s="7">
        <f t="shared" si="31"/>
        <v>3026</v>
      </c>
      <c r="O25" s="54">
        <f t="shared" si="22"/>
        <v>0</v>
      </c>
      <c r="P25" s="38">
        <f t="shared" si="26"/>
        <v>0</v>
      </c>
      <c r="Q25" s="7">
        <f t="shared" si="32"/>
        <v>4771.33</v>
      </c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>
        <v>20489.561000000002</v>
      </c>
      <c r="C26" s="54">
        <f t="shared" si="14"/>
        <v>0</v>
      </c>
      <c r="D26" s="38">
        <f t="shared" si="15"/>
        <v>0</v>
      </c>
      <c r="E26" s="1">
        <f t="shared" si="28"/>
        <v>3571.078</v>
      </c>
      <c r="F26" s="54">
        <f t="shared" si="16"/>
        <v>0</v>
      </c>
      <c r="G26" s="38">
        <f t="shared" si="17"/>
        <v>0</v>
      </c>
      <c r="H26" s="1">
        <f t="shared" si="29"/>
        <v>3016</v>
      </c>
      <c r="I26" s="54">
        <f t="shared" si="18"/>
        <v>0</v>
      </c>
      <c r="J26" s="38">
        <f t="shared" si="19"/>
        <v>0</v>
      </c>
      <c r="K26" s="7">
        <f t="shared" si="30"/>
        <v>13372</v>
      </c>
      <c r="L26" s="54">
        <f t="shared" si="20"/>
        <v>0</v>
      </c>
      <c r="M26" s="38">
        <f t="shared" si="21"/>
        <v>0</v>
      </c>
      <c r="N26" s="7">
        <f t="shared" si="31"/>
        <v>3026</v>
      </c>
      <c r="O26" s="54">
        <f t="shared" si="22"/>
        <v>0</v>
      </c>
      <c r="P26" s="38">
        <f t="shared" si="26"/>
        <v>0</v>
      </c>
      <c r="Q26" s="7">
        <f t="shared" si="32"/>
        <v>4771.33</v>
      </c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>
        <v>20489.561000000002</v>
      </c>
      <c r="C27" s="54">
        <f t="shared" si="14"/>
        <v>0</v>
      </c>
      <c r="D27" s="38">
        <f t="shared" si="15"/>
        <v>0</v>
      </c>
      <c r="E27" s="1">
        <f t="shared" si="28"/>
        <v>3571.078</v>
      </c>
      <c r="F27" s="54">
        <f t="shared" si="16"/>
        <v>0</v>
      </c>
      <c r="G27" s="38">
        <f t="shared" si="17"/>
        <v>0</v>
      </c>
      <c r="H27" s="1">
        <f t="shared" si="29"/>
        <v>3016</v>
      </c>
      <c r="I27" s="54">
        <f t="shared" si="18"/>
        <v>0</v>
      </c>
      <c r="J27" s="38">
        <f t="shared" si="19"/>
        <v>0</v>
      </c>
      <c r="K27" s="7">
        <f t="shared" si="30"/>
        <v>13372</v>
      </c>
      <c r="L27" s="54">
        <f t="shared" si="20"/>
        <v>0</v>
      </c>
      <c r="M27" s="38">
        <f t="shared" si="21"/>
        <v>0</v>
      </c>
      <c r="N27" s="7">
        <f t="shared" si="31"/>
        <v>3026</v>
      </c>
      <c r="O27" s="54">
        <f t="shared" si="22"/>
        <v>0</v>
      </c>
      <c r="P27" s="38">
        <f t="shared" si="26"/>
        <v>0</v>
      </c>
      <c r="Q27" s="7">
        <f t="shared" si="32"/>
        <v>4771.33</v>
      </c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>
        <v>20489.561000000002</v>
      </c>
      <c r="C28" s="54">
        <f t="shared" si="14"/>
        <v>0</v>
      </c>
      <c r="D28" s="38">
        <f t="shared" si="15"/>
        <v>0</v>
      </c>
      <c r="E28" s="1">
        <f t="shared" si="28"/>
        <v>3571.078</v>
      </c>
      <c r="F28" s="54">
        <f t="shared" si="16"/>
        <v>0</v>
      </c>
      <c r="G28" s="38">
        <f t="shared" si="17"/>
        <v>0</v>
      </c>
      <c r="H28" s="1">
        <f t="shared" si="29"/>
        <v>3016</v>
      </c>
      <c r="I28" s="54">
        <f t="shared" si="18"/>
        <v>0</v>
      </c>
      <c r="J28" s="38">
        <f t="shared" si="19"/>
        <v>0</v>
      </c>
      <c r="K28" s="7">
        <f t="shared" si="30"/>
        <v>13372</v>
      </c>
      <c r="L28" s="54">
        <f t="shared" si="20"/>
        <v>0</v>
      </c>
      <c r="M28" s="38">
        <f t="shared" si="21"/>
        <v>0</v>
      </c>
      <c r="N28" s="7">
        <f t="shared" si="31"/>
        <v>3026</v>
      </c>
      <c r="O28" s="54">
        <f t="shared" si="22"/>
        <v>0</v>
      </c>
      <c r="P28" s="38">
        <f t="shared" si="26"/>
        <v>0</v>
      </c>
      <c r="Q28" s="7">
        <f t="shared" si="32"/>
        <v>4771.33</v>
      </c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>
        <v>20489.561000000002</v>
      </c>
      <c r="C29" s="54">
        <f t="shared" si="14"/>
        <v>0</v>
      </c>
      <c r="D29" s="38">
        <f t="shared" si="15"/>
        <v>0</v>
      </c>
      <c r="E29" s="1">
        <f t="shared" si="28"/>
        <v>3571.078</v>
      </c>
      <c r="F29" s="54">
        <f t="shared" si="16"/>
        <v>0</v>
      </c>
      <c r="G29" s="38">
        <f t="shared" si="17"/>
        <v>0</v>
      </c>
      <c r="H29" s="1">
        <f t="shared" si="29"/>
        <v>3016</v>
      </c>
      <c r="I29" s="54">
        <f t="shared" si="18"/>
        <v>0</v>
      </c>
      <c r="J29" s="38">
        <f t="shared" si="19"/>
        <v>0</v>
      </c>
      <c r="K29" s="7">
        <f t="shared" si="30"/>
        <v>13372</v>
      </c>
      <c r="L29" s="54">
        <f t="shared" si="20"/>
        <v>0</v>
      </c>
      <c r="M29" s="38">
        <f t="shared" si="21"/>
        <v>0</v>
      </c>
      <c r="N29" s="7">
        <f t="shared" si="31"/>
        <v>3026</v>
      </c>
      <c r="O29" s="54">
        <f t="shared" si="22"/>
        <v>0</v>
      </c>
      <c r="P29" s="38">
        <f t="shared" si="26"/>
        <v>0</v>
      </c>
      <c r="Q29" s="7">
        <f t="shared" si="32"/>
        <v>4771.33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8"/>
        <v>3571.078</v>
      </c>
      <c r="F30" s="54">
        <f t="shared" si="16"/>
        <v>0</v>
      </c>
      <c r="G30" s="38">
        <f t="shared" si="17"/>
        <v>0</v>
      </c>
      <c r="H30" s="1">
        <f t="shared" si="29"/>
        <v>3016</v>
      </c>
      <c r="I30" s="54">
        <f t="shared" si="18"/>
        <v>0</v>
      </c>
      <c r="J30" s="38">
        <f t="shared" si="19"/>
        <v>0</v>
      </c>
      <c r="K30" s="7">
        <f t="shared" si="30"/>
        <v>13372</v>
      </c>
      <c r="L30" s="54">
        <f t="shared" si="20"/>
        <v>0</v>
      </c>
      <c r="M30" s="38">
        <f t="shared" si="21"/>
        <v>0</v>
      </c>
      <c r="N30" s="7">
        <f t="shared" si="31"/>
        <v>3026</v>
      </c>
      <c r="O30" s="54">
        <f t="shared" si="22"/>
        <v>0</v>
      </c>
      <c r="P30" s="38">
        <f t="shared" si="26"/>
        <v>0</v>
      </c>
      <c r="Q30" s="7">
        <f t="shared" si="32"/>
        <v>4771.33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8"/>
        <v>3571.078</v>
      </c>
      <c r="F31" s="54">
        <f t="shared" si="16"/>
        <v>0</v>
      </c>
      <c r="G31" s="38">
        <f t="shared" si="17"/>
        <v>0</v>
      </c>
      <c r="H31" s="1">
        <f t="shared" si="29"/>
        <v>3016</v>
      </c>
      <c r="I31" s="54">
        <f t="shared" si="18"/>
        <v>0</v>
      </c>
      <c r="J31" s="38">
        <f t="shared" si="19"/>
        <v>0</v>
      </c>
      <c r="K31" s="7">
        <f t="shared" si="30"/>
        <v>13372</v>
      </c>
      <c r="L31" s="54">
        <f t="shared" si="20"/>
        <v>0</v>
      </c>
      <c r="M31" s="38">
        <f t="shared" si="21"/>
        <v>0</v>
      </c>
      <c r="N31" s="7">
        <f t="shared" si="31"/>
        <v>3026</v>
      </c>
      <c r="O31" s="54">
        <f t="shared" si="22"/>
        <v>0</v>
      </c>
      <c r="P31" s="38">
        <f t="shared" si="26"/>
        <v>0</v>
      </c>
      <c r="Q31" s="7">
        <f t="shared" si="32"/>
        <v>4771.33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8"/>
        <v>3571.078</v>
      </c>
      <c r="F32" s="54">
        <f t="shared" si="16"/>
        <v>0</v>
      </c>
      <c r="G32" s="38">
        <f t="shared" si="17"/>
        <v>0</v>
      </c>
      <c r="H32" s="1">
        <f t="shared" si="29"/>
        <v>3016</v>
      </c>
      <c r="I32" s="54">
        <f t="shared" si="18"/>
        <v>0</v>
      </c>
      <c r="J32" s="38">
        <f t="shared" si="19"/>
        <v>0</v>
      </c>
      <c r="K32" s="7">
        <f t="shared" si="30"/>
        <v>13372</v>
      </c>
      <c r="L32" s="54">
        <f t="shared" si="20"/>
        <v>0</v>
      </c>
      <c r="M32" s="38">
        <f t="shared" si="21"/>
        <v>0</v>
      </c>
      <c r="N32" s="7">
        <f t="shared" si="31"/>
        <v>3026</v>
      </c>
      <c r="O32" s="54">
        <f t="shared" si="22"/>
        <v>0</v>
      </c>
      <c r="P32" s="38">
        <f t="shared" si="26"/>
        <v>0</v>
      </c>
      <c r="Q32" s="7">
        <f t="shared" si="32"/>
        <v>4771.33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8"/>
        <v>3571.078</v>
      </c>
      <c r="F33" s="54">
        <f t="shared" si="16"/>
        <v>0</v>
      </c>
      <c r="G33" s="38">
        <f t="shared" si="17"/>
        <v>0</v>
      </c>
      <c r="H33" s="1">
        <f t="shared" si="29"/>
        <v>3016</v>
      </c>
      <c r="I33" s="54">
        <f t="shared" si="18"/>
        <v>0</v>
      </c>
      <c r="J33" s="38">
        <f t="shared" si="19"/>
        <v>0</v>
      </c>
      <c r="K33" s="7">
        <f t="shared" si="30"/>
        <v>13372</v>
      </c>
      <c r="L33" s="54">
        <f t="shared" si="20"/>
        <v>0</v>
      </c>
      <c r="M33" s="38">
        <f t="shared" si="21"/>
        <v>0</v>
      </c>
      <c r="N33" s="7">
        <f t="shared" si="31"/>
        <v>3026</v>
      </c>
      <c r="O33" s="54">
        <f t="shared" si="22"/>
        <v>0</v>
      </c>
      <c r="P33" s="38">
        <f t="shared" si="26"/>
        <v>0</v>
      </c>
      <c r="Q33" s="7">
        <f t="shared" si="32"/>
        <v>4771.33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214004.60000000347</v>
      </c>
      <c r="E34" s="162">
        <v>0</v>
      </c>
      <c r="F34" s="162">
        <f>SUM(F2:F33)</f>
        <v>21.077999999999975</v>
      </c>
      <c r="G34" s="162">
        <f>SUM(G2:G33)</f>
        <v>40830.999999999578</v>
      </c>
      <c r="H34" s="162"/>
      <c r="I34" s="162">
        <f>SUM(I2:I33)</f>
        <v>99</v>
      </c>
      <c r="J34" s="162">
        <f>SUM(J2:J33)</f>
        <v>182400</v>
      </c>
      <c r="K34" s="162"/>
      <c r="L34" s="162">
        <f>SUM(L2:L33)</f>
        <v>22.489999999999782</v>
      </c>
      <c r="M34" s="162">
        <f>SUM(M2:M33)</f>
        <v>39329.999999997926</v>
      </c>
      <c r="N34" s="162"/>
      <c r="O34" s="162">
        <f>SUM(O2:O33)</f>
        <v>13.639000000000124</v>
      </c>
      <c r="P34" s="162">
        <f>SUM(P2:P33)</f>
        <v>25914.100000000235</v>
      </c>
      <c r="Q34" s="162"/>
      <c r="R34" s="162">
        <f>SUM(R2:R33)</f>
        <v>19.569999999999709</v>
      </c>
      <c r="S34" s="162">
        <f>SUM(S2:S33)</f>
        <v>36451.499999999032</v>
      </c>
      <c r="T34" s="162">
        <f>SUM(T2:T33)</f>
        <v>291.5300000000002</v>
      </c>
      <c r="U34" s="162">
        <f>SUM(U2:U33)</f>
        <v>553907.00000000035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212941</v>
      </c>
      <c r="D2" s="110">
        <f>C2*1.27</f>
        <v>270435.07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25838382</v>
      </c>
      <c r="K3" s="105">
        <f>J3-I3</f>
        <v>124120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81759125</v>
      </c>
      <c r="K4" s="105">
        <f>J4-I4</f>
        <v>518399</v>
      </c>
    </row>
    <row r="5" spans="1:11" ht="13.5" thickBot="1" x14ac:dyDescent="0.25">
      <c r="A5" s="108"/>
      <c r="B5" s="114" t="s">
        <v>27</v>
      </c>
      <c r="C5" s="118">
        <f>(K10+K12)*0.842284+K26</f>
        <v>277998.85702</v>
      </c>
      <c r="D5" s="118">
        <f t="shared" ref="D5:D11" si="0">C5*1.27</f>
        <v>353058.54841539997</v>
      </c>
      <c r="E5" s="119"/>
      <c r="F5" s="108"/>
      <c r="G5" s="108"/>
      <c r="H5" s="114" t="s">
        <v>23</v>
      </c>
      <c r="I5" s="120"/>
      <c r="J5" s="120"/>
      <c r="K5" s="145">
        <f>K3+K4</f>
        <v>642519</v>
      </c>
    </row>
    <row r="6" spans="1:11" ht="13.5" thickBot="1" x14ac:dyDescent="0.25">
      <c r="A6" s="108"/>
      <c r="B6" s="114" t="s">
        <v>99</v>
      </c>
      <c r="C6" s="118">
        <f>(K10+K12+K26)*0.1488</f>
        <v>48955.943999999996</v>
      </c>
      <c r="D6" s="118">
        <f t="shared" si="0"/>
        <v>62174.048879999995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7977214</v>
      </c>
      <c r="K6" s="105">
        <f>J6-I6</f>
        <v>60242</v>
      </c>
    </row>
    <row r="7" spans="1:11" ht="13.5" thickBot="1" x14ac:dyDescent="0.25">
      <c r="A7" s="108"/>
      <c r="B7" s="114" t="s">
        <v>101</v>
      </c>
      <c r="C7" s="118">
        <f>(K6+K7)-(C8+C9+C10+C11+K26)</f>
        <v>80515</v>
      </c>
      <c r="D7" s="118">
        <f t="shared" si="0"/>
        <v>102254.05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7977089</v>
      </c>
      <c r="K7" s="105">
        <f>J7-I7</f>
        <v>45931</v>
      </c>
    </row>
    <row r="8" spans="1:11" ht="13.5" thickBot="1" x14ac:dyDescent="0.25">
      <c r="A8" s="108"/>
      <c r="B8" s="114" t="s">
        <v>103</v>
      </c>
      <c r="C8" s="118">
        <f>K21+K22+K23+K24</f>
        <v>11248</v>
      </c>
      <c r="D8" s="118">
        <f t="shared" si="0"/>
        <v>14284.960000000001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5106839</v>
      </c>
      <c r="K8" s="105">
        <f>(J8-I8)*2</f>
        <v>76442</v>
      </c>
    </row>
    <row r="9" spans="1:11" ht="13.5" thickBot="1" x14ac:dyDescent="0.25">
      <c r="A9" s="108"/>
      <c r="B9" s="114" t="s">
        <v>137</v>
      </c>
      <c r="C9" s="118">
        <f>K25+K16+K17</f>
        <v>1794</v>
      </c>
      <c r="D9" s="118">
        <f t="shared" si="0"/>
        <v>2278.38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3309968</v>
      </c>
      <c r="K9" s="105">
        <f>J9-I9</f>
        <v>122096</v>
      </c>
    </row>
    <row r="10" spans="1:11" ht="13.5" thickBot="1" x14ac:dyDescent="0.25">
      <c r="A10" s="108"/>
      <c r="B10" s="114" t="s">
        <v>106</v>
      </c>
      <c r="C10" s="118">
        <f>K18</f>
        <v>5600</v>
      </c>
      <c r="D10" s="118">
        <f t="shared" si="0"/>
        <v>7112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17359543</v>
      </c>
      <c r="K10" s="105">
        <f>J10-I10</f>
        <v>99835</v>
      </c>
    </row>
    <row r="11" spans="1:11" ht="13.5" thickBot="1" x14ac:dyDescent="0.25">
      <c r="A11" s="108"/>
      <c r="B11" s="114" t="s">
        <v>108</v>
      </c>
      <c r="C11" s="118">
        <f>K19+K20</f>
        <v>1416</v>
      </c>
      <c r="D11" s="118">
        <f t="shared" si="0"/>
        <v>1798.32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5009307</v>
      </c>
      <c r="K12" s="105">
        <f>(J12-I12)*2</f>
        <v>223570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628116</v>
      </c>
    </row>
    <row r="14" spans="1:11" ht="13.5" thickBot="1" x14ac:dyDescent="0.25">
      <c r="A14" s="108"/>
      <c r="B14" s="114" t="s">
        <v>42</v>
      </c>
      <c r="C14" s="118">
        <f>K29</f>
        <v>7350</v>
      </c>
      <c r="D14" s="126">
        <f t="shared" ref="D14:D22" si="1">C14*10.03</f>
        <v>73720.5</v>
      </c>
      <c r="E14" s="127"/>
      <c r="F14" s="108"/>
      <c r="G14" s="108"/>
      <c r="H14" s="114" t="s">
        <v>114</v>
      </c>
      <c r="I14" s="123"/>
      <c r="J14" s="124"/>
      <c r="K14" s="106">
        <f>K5-K13</f>
        <v>14403</v>
      </c>
    </row>
    <row r="15" spans="1:11" ht="13.5" thickBot="1" x14ac:dyDescent="0.25">
      <c r="A15" s="108"/>
      <c r="B15" s="114" t="s">
        <v>115</v>
      </c>
      <c r="C15" s="128">
        <f>K30</f>
        <v>39.042000000000002</v>
      </c>
      <c r="D15" s="126">
        <f t="shared" si="1"/>
        <v>391.59125999999998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196.50826439999994</v>
      </c>
      <c r="D16" s="126">
        <f t="shared" si="1"/>
        <v>1970.9778919319992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3631</v>
      </c>
      <c r="K16" s="107">
        <f>(J16-I16)*160</f>
        <v>1760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24917</v>
      </c>
      <c r="K18" s="107">
        <f>(J18-I18)*160</f>
        <v>5600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103167</v>
      </c>
      <c r="K19" s="107">
        <f>J19-I19</f>
        <v>1416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45233</v>
      </c>
      <c r="K21" s="107">
        <f>(J21-I21)*120</f>
        <v>5760</v>
      </c>
    </row>
    <row r="22" spans="1:11" ht="13.5" thickBot="1" x14ac:dyDescent="0.25">
      <c r="A22" s="108"/>
      <c r="B22" s="114" t="s">
        <v>119</v>
      </c>
      <c r="C22" s="126">
        <f>C14-(C15+C16+C17+C18+C19+C20+C21)</f>
        <v>1294.4497356000002</v>
      </c>
      <c r="D22" s="126">
        <f t="shared" si="1"/>
        <v>12983.330848068001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39499</v>
      </c>
      <c r="K22" s="107">
        <f>(J22-I22)*160</f>
        <v>4320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20349</v>
      </c>
      <c r="K23" s="107">
        <f>(J23-I23)*20</f>
        <v>660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241293</v>
      </c>
      <c r="K24" s="107">
        <f>J24-I24</f>
        <v>508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215480</v>
      </c>
      <c r="K25" s="107">
        <f>J25-I25</f>
        <v>34</v>
      </c>
    </row>
    <row r="26" spans="1:11" ht="13.5" thickBot="1" x14ac:dyDescent="0.25">
      <c r="A26" s="108"/>
      <c r="B26" s="114" t="s">
        <v>42</v>
      </c>
      <c r="C26" s="132">
        <f>K35</f>
        <v>20139</v>
      </c>
      <c r="D26" s="118">
        <f>C26*3.65</f>
        <v>73507.349999999991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18186</v>
      </c>
      <c r="K26" s="107">
        <f>(J26-I26)*160</f>
        <v>5600</v>
      </c>
    </row>
    <row r="27" spans="1:11" ht="13.5" thickBot="1" x14ac:dyDescent="0.25">
      <c r="A27" s="108"/>
      <c r="B27" s="109" t="s">
        <v>124</v>
      </c>
      <c r="C27" s="132">
        <f>C26</f>
        <v>20139</v>
      </c>
      <c r="D27" s="118">
        <f>C27*3.65</f>
        <v>73507.349999999991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410593</v>
      </c>
      <c r="K29" s="107">
        <f>(J29-I29)*10</f>
        <v>7350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732004</v>
      </c>
      <c r="K30" s="107">
        <f>(J30-I30)*0.027</f>
        <v>39.042000000000002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4291500</v>
      </c>
      <c r="K31" s="107">
        <f>(J31-I31)*0.027</f>
        <v>3361.5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2971100</v>
      </c>
      <c r="K32" s="107">
        <f>(J32-I32)*0.027</f>
        <v>3896.1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17335700</v>
      </c>
      <c r="K35" s="138">
        <f>J35-I35</f>
        <v>20139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83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83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8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8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84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84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83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83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8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88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84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84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83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83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8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88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84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84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83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83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8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88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84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84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83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83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8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8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84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84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83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83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8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8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84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84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83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83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8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88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84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84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83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83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8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8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84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84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83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83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8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88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84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84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83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83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88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8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84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8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83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83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8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8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4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84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83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83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8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8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84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84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83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83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8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8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84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84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83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83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8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88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84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84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83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83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88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88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3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83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8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88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83">
        <v>23</v>
      </c>
      <c r="D49" s="71" t="s">
        <v>83</v>
      </c>
      <c r="E49" s="88"/>
      <c r="F49" s="88"/>
      <c r="G49" s="73">
        <f t="shared" si="0"/>
        <v>0</v>
      </c>
      <c r="H49" s="74"/>
      <c r="J49" s="183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8"/>
      <c r="D50" s="71" t="s">
        <v>82</v>
      </c>
      <c r="E50" s="88"/>
      <c r="F50" s="88"/>
      <c r="G50" s="73">
        <f t="shared" si="0"/>
        <v>0</v>
      </c>
      <c r="H50" s="74"/>
      <c r="J50" s="188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9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89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90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90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91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91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83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83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84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84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83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83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84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84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83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83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84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84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83">
        <v>28</v>
      </c>
      <c r="D62" s="178" t="s">
        <v>86</v>
      </c>
      <c r="E62" s="72"/>
      <c r="F62" s="72"/>
      <c r="G62" s="73"/>
      <c r="H62" s="180" t="s">
        <v>87</v>
      </c>
      <c r="I62" s="78"/>
      <c r="J62" s="183">
        <v>28</v>
      </c>
      <c r="K62" s="178" t="s">
        <v>86</v>
      </c>
      <c r="L62" s="72"/>
      <c r="M62" s="72"/>
      <c r="N62" s="73"/>
      <c r="O62" s="180" t="s">
        <v>87</v>
      </c>
    </row>
    <row r="63" spans="1:15" ht="15" x14ac:dyDescent="0.2">
      <c r="A63" s="78"/>
      <c r="B63" s="67"/>
      <c r="C63" s="184"/>
      <c r="D63" s="179"/>
      <c r="E63" s="72"/>
      <c r="F63" s="72"/>
      <c r="G63" s="73"/>
      <c r="H63" s="181"/>
      <c r="I63" s="78"/>
      <c r="J63" s="184"/>
      <c r="K63" s="179"/>
      <c r="L63" s="72"/>
      <c r="M63" s="72"/>
      <c r="N63" s="73"/>
      <c r="O63" s="181"/>
    </row>
    <row r="64" spans="1:15" x14ac:dyDescent="0.2">
      <c r="A64" s="78"/>
      <c r="B64" s="67"/>
      <c r="C64" s="182" t="s">
        <v>88</v>
      </c>
      <c r="D64" s="182"/>
      <c r="E64" s="182"/>
      <c r="F64" s="182"/>
      <c r="G64" s="93">
        <f>SUM(G2:G63)</f>
        <v>36510</v>
      </c>
      <c r="H64" s="94"/>
      <c r="I64" s="78"/>
      <c r="J64" s="182" t="s">
        <v>88</v>
      </c>
      <c r="K64" s="182"/>
      <c r="L64" s="182"/>
      <c r="M64" s="182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5">
        <v>44256</v>
      </c>
      <c r="C69" s="186"/>
      <c r="D69" s="186"/>
      <c r="E69" s="187"/>
      <c r="F69" s="97"/>
      <c r="G69" s="185">
        <v>44287</v>
      </c>
      <c r="H69" s="186"/>
      <c r="I69" s="186"/>
      <c r="J69" s="187"/>
      <c r="K69" s="97"/>
      <c r="L69" s="175" t="s">
        <v>25</v>
      </c>
      <c r="M69" s="176"/>
      <c r="N69" s="176"/>
      <c r="O69" s="177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2021-05-12T04:28:08Z</dcterms:modified>
</cp:coreProperties>
</file>