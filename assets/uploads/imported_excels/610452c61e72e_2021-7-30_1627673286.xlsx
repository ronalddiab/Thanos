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32" i="7" l="1"/>
  <c r="AT32" i="7"/>
  <c r="T26" i="7" l="1"/>
  <c r="T27" i="7"/>
  <c r="T28" i="7"/>
  <c r="T29" i="7"/>
  <c r="T30" i="7"/>
  <c r="T31" i="7"/>
  <c r="T32" i="7"/>
  <c r="T33" i="7"/>
  <c r="T34" i="7"/>
  <c r="T22" i="7" l="1"/>
  <c r="T23" i="7"/>
  <c r="T24" i="7"/>
  <c r="T25" i="7"/>
  <c r="T21" i="7"/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<sst xmlns="http://schemas.openxmlformats.org/spreadsheetml/2006/main" count="313" uniqueCount="148">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</sst>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29.303999999999998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23.8095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8550.0000000001201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67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8809.9999999997872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67</v>
      </c>
      <c r="J21" s="11">
        <f t="shared" si="3"/>
        <v>10.487297712684205</v>
      </c>
      <c r="K21" s="13">
        <f>'FS Desroches Daily'!CN23</f>
        <v>14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8939.9999999996744</v>
      </c>
      <c r="F22" s="11">
        <f t="shared" si="1"/>
        <v>0.58765030286592534</v>
      </c>
      <c r="G22" s="12">
        <f>(Submetering!AX22+Submetering!AY22+Submetering!AZ22+Submetering!BA22+Submetering!BB22)</f>
        <v>216.11699999999999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14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12510.000000000313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121</v>
      </c>
      <c r="J23" s="11">
        <f t="shared" si="3"/>
        <v>10.487297712684205</v>
      </c>
      <c r="K23" s="13">
        <f>'FS Desroches Daily'!CN25</f>
        <v>14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5769.9999999994416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43</v>
      </c>
      <c r="J24" s="11">
        <f t="shared" si="3"/>
        <v>10.487297712684205</v>
      </c>
      <c r="K24" s="13">
        <f>'FS Desroches Daily'!CN26</f>
        <v>14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8980.0000000010186</v>
      </c>
      <c r="F25" s="11">
        <f t="shared" si="1"/>
        <v>0.58765030286592534</v>
      </c>
      <c r="G25" s="12">
        <f>(Submetering!AX25+Submetering!AY25+Submetering!AZ25+Submetering!BA25+Submetering!BB25)</f>
        <v>20.1465</v>
      </c>
      <c r="H25" s="11">
        <f t="shared" si="2"/>
        <v>0.99</v>
      </c>
      <c r="I25" s="12">
        <f>'FS Desroches Daily'!CM27</f>
        <v>90</v>
      </c>
      <c r="J25" s="11">
        <f t="shared" si="3"/>
        <v>10.487297712684205</v>
      </c>
      <c r="K25" s="13">
        <f>'FS Desroches Daily'!CN27</f>
        <v>14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8079.9999999996708</v>
      </c>
      <c r="F26" s="11">
        <f t="shared" si="1"/>
        <v>0.58765030286592534</v>
      </c>
      <c r="G26" s="12">
        <f>(Submetering!AX26+Submetering!AY26+Submetering!AZ26+Submetering!BA26+Submetering!BB26)</f>
        <v>32.966999999999992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9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8260.000000000111</v>
      </c>
      <c r="F27" s="11">
        <f t="shared" si="1"/>
        <v>0.58765030286592534</v>
      </c>
      <c r="G27" s="12">
        <f>(Submetering!AX27+Submetering!AY27+Submetering!AZ27+Submetering!BA27+Submetering!BB27)</f>
        <v>38.461499999999994</v>
      </c>
      <c r="H27" s="11">
        <f t="shared" si="2"/>
        <v>0.99</v>
      </c>
      <c r="I27" s="12">
        <f>'FS Desroches Daily'!CM29</f>
        <v>75</v>
      </c>
      <c r="J27" s="11">
        <f t="shared" si="3"/>
        <v>10.487297712684205</v>
      </c>
      <c r="K27" s="13">
        <f>'FS Desroches Daily'!CN29</f>
        <v>9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7270.0000000000227</v>
      </c>
      <c r="F28" s="11">
        <f t="shared" si="1"/>
        <v>0.58765030286592534</v>
      </c>
      <c r="G28" s="12">
        <f>(Submetering!AX28+Submetering!AY28+Submetering!AZ28+Submetering!BA28+Submetering!BB28)</f>
        <v>40.292999999999999</v>
      </c>
      <c r="H28" s="11">
        <f t="shared" si="2"/>
        <v>0.99</v>
      </c>
      <c r="I28" s="12">
        <f>'FS Desroches Daily'!CM30</f>
        <v>56</v>
      </c>
      <c r="J28" s="11">
        <f t="shared" si="3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6560.0000000001091</v>
      </c>
      <c r="F29" s="11">
        <f t="shared" si="1"/>
        <v>0.58765030286592534</v>
      </c>
      <c r="G29" s="12">
        <f>(Submetering!AX29+Submetering!AY29+Submetering!AZ29+Submetering!BA29+Submetering!BB29)</f>
        <v>7.3259999999999996</v>
      </c>
      <c r="H29" s="11">
        <f t="shared" si="2"/>
        <v>0.99</v>
      </c>
      <c r="I29" s="12">
        <f>'FS Desroches Daily'!CM31</f>
        <v>61</v>
      </c>
      <c r="J29" s="11">
        <f t="shared" si="3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8429.9999999998927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66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 t="e">
        <f>Submetering!E31+Submetering!F31+Submetering!G31+Submetering!H31+Submetering!J31-Submetering!AV31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'FS Desroches Daily'!CM33</f>
        <v>#VALUE!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>
        <f>'FS Desroches Daily'!AV19</f>
        <v>69.999999999993179</v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50.000000000011369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IF(LPG!F25-LPG!F24&lt;0,"0",(LPG!F25-LPG!F24)*1.8315)</f>
        <v>9.1574999999999989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>0</v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>
        <f>IF(LPG!F26-LPG!F25&lt;0,"0",(LPG!F26-LPG!F25)*1.8315)</f>
        <v>10.988999999999999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2099.9999999999909</v>
      </c>
      <c r="F20" s="32">
        <f>'FS Desroches Daily'!F22</f>
        <v>2600.0000000001578</v>
      </c>
      <c r="G20" s="31">
        <f>'FS Desroches Daily'!H22</f>
        <v>2499.9999999999468</v>
      </c>
      <c r="H20" s="32">
        <f>'FS Desroches Daily'!J22</f>
        <v>1200.0000000000898</v>
      </c>
      <c r="I20" s="31">
        <f>'FS Desroches Daily'!L22</f>
        <v>2099.9999999999909</v>
      </c>
      <c r="J20" s="32">
        <f>'FS Desroches Daily'!N22</f>
        <v>799.99999999991189</v>
      </c>
      <c r="K20" s="13">
        <f>'FS Desroches Daily'!P22</f>
        <v>6</v>
      </c>
      <c r="L20" s="31">
        <f>'FS Desroches Daily'!R22</f>
        <v>2</v>
      </c>
      <c r="M20" s="31">
        <f>'FS Desroches Daily'!T22</f>
        <v>899.99999999997726</v>
      </c>
      <c r="N20" s="31">
        <f>'FS Desroches Daily'!V22</f>
        <v>302.79999999998836</v>
      </c>
      <c r="O20" s="31">
        <f>'FS Desroches Daily'!X22</f>
        <v>240.00000000000909</v>
      </c>
      <c r="P20" s="31">
        <f>'FS Desroches Daily'!Z22</f>
        <v>2400.0000000001796</v>
      </c>
      <c r="Q20" s="31">
        <f>'FS Desroches Daily'!AB22</f>
        <v>199.99999999998863</v>
      </c>
      <c r="R20" s="31">
        <f>'FS Desroches Daily'!AD22</f>
        <v>199.99999999998863</v>
      </c>
      <c r="S20" s="31">
        <f>'FS Desroches Daily'!AF22</f>
        <v>290.00000000007731</v>
      </c>
      <c r="T20" s="31">
        <f>'FS Desroches Daily'!AH22</f>
        <v>36</v>
      </c>
      <c r="U20" s="35">
        <f>'FS Desroches Daily'!AJ22</f>
        <v>809.99999999994543</v>
      </c>
      <c r="V20" s="35">
        <f>'FS Desroches Daily'!AL22</f>
        <v>150.00000000000568</v>
      </c>
      <c r="W20" s="35">
        <f>'FS Desroches Daily'!AN22</f>
        <v>150.00000000000568</v>
      </c>
      <c r="X20" s="35">
        <f>'FS Desroches Daily'!AP22</f>
        <v>109.99999999998522</v>
      </c>
      <c r="Y20" s="35">
        <f>'FS Desroches Daily'!AR22</f>
        <v>90.000000000003411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90.000000000031832</v>
      </c>
      <c r="AC20" s="35">
        <f>'FS Desroches Daily'!AZ22</f>
        <v>40.000000000020464</v>
      </c>
      <c r="AD20" s="35">
        <f>'FS Desroches Daily'!BB22</f>
        <v>20.000000000038654</v>
      </c>
      <c r="AE20" s="35">
        <f>'FS Desroches Daily'!BD22</f>
        <v>150.00000000000568</v>
      </c>
      <c r="AF20" s="31">
        <f>'FS Desroches Daily'!BF22</f>
        <v>31</v>
      </c>
      <c r="AG20" s="32">
        <f>'FS Desroches Daily'!BH22</f>
        <v>20.000000000010232</v>
      </c>
      <c r="AH20" s="32">
        <f>'FS Desroches Daily'!BJ22</f>
        <v>19.99999999998181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29</v>
      </c>
      <c r="AM20" s="32">
        <f>'FS Desroches Daily'!BT22</f>
        <v>30.000000000001137</v>
      </c>
      <c r="AN20" s="32">
        <f>'FS Desroches Daily'!BV22</f>
        <v>45</v>
      </c>
      <c r="AO20" s="32">
        <f>'FS Desroches Daily'!BX22</f>
        <v>30.000000000001137</v>
      </c>
      <c r="AP20" s="32">
        <f>'FS Desroches Daily'!BZ22</f>
        <v>45</v>
      </c>
      <c r="AQ20" s="31">
        <f>'FS Desroches Daily'!CB22</f>
        <v>26.299999999999272</v>
      </c>
      <c r="AR20" s="31">
        <f>'FS Desroches Daily'!CD22</f>
        <v>9.0999999999985448</v>
      </c>
      <c r="AS20" s="31">
        <f>'FS Desroches Daily'!CF22</f>
        <v>0.7999999999992724</v>
      </c>
      <c r="AT20" s="31">
        <f>'FS Desroches Daily'!CH22</f>
        <v>17.799999999995634</v>
      </c>
      <c r="AU20" s="31">
        <f>'FS Desroches Daily'!CJ22</f>
        <v>292</v>
      </c>
      <c r="AV20" s="31">
        <f>'FS Desroches Daily'!CL22</f>
        <v>649.99999999997726</v>
      </c>
      <c r="AW20" s="31">
        <f>'FS Desroches Daily'!CM22</f>
        <v>67</v>
      </c>
      <c r="AX20" s="31">
        <f>IF(LPG!F27-LPG!F26&lt;0,"0",(LPG!F27-LPG!F26)*1.8315)</f>
        <v>9.1574999999999989</v>
      </c>
      <c r="AY20" s="31">
        <f>IF(LPG!H27-LPG!H26&lt;0,"0",(LPG!H27-LPG!H26)*1.8315)</f>
        <v>7.3259999999999996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2099.9999999999909</v>
      </c>
      <c r="F21" s="32">
        <f>'FS Desroches Daily'!F23</f>
        <v>2699.9999999999245</v>
      </c>
      <c r="G21" s="31">
        <f>'FS Desroches Daily'!H23</f>
        <v>2699.9999999999245</v>
      </c>
      <c r="H21" s="32">
        <f>'FS Desroches Daily'!J23</f>
        <v>1199.9999999998679</v>
      </c>
      <c r="I21" s="31">
        <f>'FS Desroches Daily'!L23</f>
        <v>2199.9999999997576</v>
      </c>
      <c r="J21" s="32">
        <f>'FS Desroches Daily'!N23</f>
        <v>800.00000000013392</v>
      </c>
      <c r="K21" s="13">
        <f>'FS Desroches Daily'!P23</f>
        <v>6</v>
      </c>
      <c r="L21" s="31">
        <f>'FS Desroches Daily'!R23</f>
        <v>2</v>
      </c>
      <c r="M21" s="31">
        <f>'FS Desroches Daily'!T23</f>
        <v>799.99999999995453</v>
      </c>
      <c r="N21" s="31">
        <f>'FS Desroches Daily'!V23</f>
        <v>329.30000000004657</v>
      </c>
      <c r="O21" s="31">
        <f>'FS Desroches Daily'!X23</f>
        <v>229.99999999996135</v>
      </c>
      <c r="P21" s="31">
        <f>'FS Desroches Daily'!Z23</f>
        <v>2399.9999999997358</v>
      </c>
      <c r="Q21" s="31">
        <f>'FS Desroches Daily'!AB23</f>
        <v>259.99999999999091</v>
      </c>
      <c r="R21" s="31">
        <f>'FS Desroches Daily'!AD23</f>
        <v>250</v>
      </c>
      <c r="S21" s="31">
        <f>'FS Desroches Daily'!AF23</f>
        <v>250</v>
      </c>
      <c r="T21" s="31">
        <f>'FS Desroches Daily'!AH23</f>
        <v>36</v>
      </c>
      <c r="U21" s="35">
        <f>'FS Desroches Daily'!AJ23</f>
        <v>790.00000000007731</v>
      </c>
      <c r="V21" s="35">
        <f>'FS Desroches Daily'!AL23</f>
        <v>129.99999999999545</v>
      </c>
      <c r="W21" s="35">
        <f>'FS Desroches Daily'!AN23</f>
        <v>150.00000000000568</v>
      </c>
      <c r="X21" s="35">
        <f>'FS Desroches Daily'!AP23</f>
        <v>120.00000000000455</v>
      </c>
      <c r="Y21" s="35">
        <f>'FS Desroches Daily'!AR23</f>
        <v>109.99999999998522</v>
      </c>
      <c r="Z21" s="35">
        <f>'FS Desroches Daily'!AT23</f>
        <v>109.9999999999568</v>
      </c>
      <c r="AA21" s="35">
        <f>'FS Desroches Daily'!AT23</f>
        <v>109.9999999999568</v>
      </c>
      <c r="AB21" s="35">
        <f>'FS Desroches Daily'!AV23</f>
        <v>99.999999999965894</v>
      </c>
      <c r="AC21" s="35">
        <f>'FS Desroches Daily'!AZ23</f>
        <v>50.000000000011369</v>
      </c>
      <c r="AD21" s="35">
        <f>'FS Desroches Daily'!BB23</f>
        <v>39.99999999996362</v>
      </c>
      <c r="AE21" s="35">
        <f>'FS Desroches Daily'!BD23</f>
        <v>169.99999999998749</v>
      </c>
      <c r="AF21" s="31">
        <f>'FS Desroches Daily'!BF23</f>
        <v>20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30.000000000001137</v>
      </c>
      <c r="AJ21" s="32">
        <f>'FS Desroches Daily'!BN23</f>
        <v>40.000000000020464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30.000000000001137</v>
      </c>
      <c r="AN21" s="32">
        <f>'FS Desroches Daily'!BV23</f>
        <v>42</v>
      </c>
      <c r="AO21" s="32">
        <f>'FS Desroches Daily'!BX23</f>
        <v>19.99999999998181</v>
      </c>
      <c r="AP21" s="32">
        <f>'FS Desroches Daily'!BZ23</f>
        <v>52</v>
      </c>
      <c r="AQ21" s="31">
        <f>'FS Desroches Daily'!CB23</f>
        <v>35.600000000002183</v>
      </c>
      <c r="AR21" s="31">
        <f>'FS Desroches Daily'!CD23</f>
        <v>8.6000000000003638</v>
      </c>
      <c r="AS21" s="31">
        <f>'FS Desroches Daily'!CF23</f>
        <v>8.9000000000005457</v>
      </c>
      <c r="AT21" s="31">
        <f>'FS Desroches Daily'!CH23</f>
        <v>33.099999999998545</v>
      </c>
      <c r="AU21" s="31">
        <f>'FS Desroches Daily'!CJ23</f>
        <v>272</v>
      </c>
      <c r="AV21" s="31">
        <f>'FS Desroches Daily'!CL23</f>
        <v>690.00000000005457</v>
      </c>
      <c r="AW21" s="31">
        <f>'FS Desroches Daily'!CM23</f>
        <v>67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14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2099.9999999999909</v>
      </c>
      <c r="F22" s="32">
        <f>'FS Desroches Daily'!F24</f>
        <v>2599.9999999997135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2100.0000000004347</v>
      </c>
      <c r="J22" s="32">
        <f>'FS Desroches Daily'!N24</f>
        <v>799.99999999991189</v>
      </c>
      <c r="K22" s="13">
        <f>'FS Desroches Daily'!P24</f>
        <v>0</v>
      </c>
      <c r="L22" s="31">
        <f>'FS Desroches Daily'!R24</f>
        <v>2</v>
      </c>
      <c r="M22" s="31">
        <f>'FS Desroches Daily'!T24</f>
        <v>1100.0000000000227</v>
      </c>
      <c r="N22" s="31">
        <f>'FS Desroches Daily'!V24</f>
        <v>402.09999999997672</v>
      </c>
      <c r="O22" s="31">
        <f>'FS Desroches Daily'!X24</f>
        <v>240.00000000000909</v>
      </c>
      <c r="P22" s="31">
        <f>'FS Desroches Daily'!Z24</f>
        <v>2400.0000000001796</v>
      </c>
      <c r="Q22" s="31">
        <f>'FS Desroches Daily'!AB24</f>
        <v>259.99999999999091</v>
      </c>
      <c r="R22" s="31">
        <f>'FS Desroches Daily'!AD24</f>
        <v>240.00000000000909</v>
      </c>
      <c r="S22" s="31">
        <f>'FS Desroches Daily'!AF24</f>
        <v>209.99999999992269</v>
      </c>
      <c r="T22" s="31">
        <f>'FS Desroches Daily'!AH24</f>
        <v>25</v>
      </c>
      <c r="U22" s="35">
        <f>'FS Desroches Daily'!AJ24</f>
        <v>799.99999999995453</v>
      </c>
      <c r="V22" s="35">
        <f>'FS Desroches Daily'!AL24</f>
        <v>110.00000000001364</v>
      </c>
      <c r="W22" s="35">
        <f>'FS Desroches Daily'!AN24</f>
        <v>159.99999999999659</v>
      </c>
      <c r="X22" s="35">
        <f>'FS Desroches Daily'!AP24</f>
        <v>90.000000000003411</v>
      </c>
      <c r="Y22" s="35">
        <f>'FS Desroches Daily'!AR24</f>
        <v>80.000000000012506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90.000000000031832</v>
      </c>
      <c r="AC22" s="35">
        <f>'FS Desroches Daily'!AZ24</f>
        <v>39.99999999996362</v>
      </c>
      <c r="AD22" s="35">
        <f>'FS Desroches Daily'!BB24</f>
        <v>30.000000000029559</v>
      </c>
      <c r="AE22" s="35">
        <f>'FS Desroches Daily'!BD24</f>
        <v>130.00000000002387</v>
      </c>
      <c r="AF22" s="31">
        <f>'FS Desroches Daily'!BF24</f>
        <v>21</v>
      </c>
      <c r="AG22" s="32">
        <f>'FS Desroches Daily'!BH24</f>
        <v>19.99999999998181</v>
      </c>
      <c r="AH22" s="32">
        <f>'FS Desroches Daily'!BJ24</f>
        <v>30.000000000029559</v>
      </c>
      <c r="AI22" s="32">
        <f>'FS Desroches Daily'!BL24</f>
        <v>20.000000000010232</v>
      </c>
      <c r="AJ22" s="32">
        <f>'FS Desroches Daily'!BN24</f>
        <v>39.999999999992042</v>
      </c>
      <c r="AK22" s="32">
        <f>'FS Desroches Daily'!BP24</f>
        <v>40.000000000020464</v>
      </c>
      <c r="AL22" s="32">
        <f>'FS Desroches Daily'!BR24</f>
        <v>32</v>
      </c>
      <c r="AM22" s="32">
        <f>'FS Desroches Daily'!BT24</f>
        <v>30.000000000001137</v>
      </c>
      <c r="AN22" s="32">
        <f>'FS Desroches Daily'!BV24</f>
        <v>37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26.299999999999272</v>
      </c>
      <c r="AR22" s="31">
        <f>'FS Desroches Daily'!CD24</f>
        <v>8.6000000000003638</v>
      </c>
      <c r="AS22" s="31">
        <f>'FS Desroches Daily'!CF24</f>
        <v>11.899999999999636</v>
      </c>
      <c r="AT22" s="31">
        <f>'FS Desroches Daily'!CH24</f>
        <v>33.200000000004366</v>
      </c>
      <c r="AU22" s="31">
        <f>'FS Desroches Daily'!CJ24</f>
        <v>268</v>
      </c>
      <c r="AV22" s="31">
        <f>'FS Desroches Daily'!CL24</f>
        <v>559.99999999994543</v>
      </c>
      <c r="AW22" s="31">
        <f>'FS Desroches Daily'!CM24</f>
        <v>71</v>
      </c>
      <c r="AX22" s="31">
        <f>IF(LPG!F29-LPG!F28&lt;0,"0",(LPG!F29-LPG!F28)*1.8315)</f>
        <v>194.13899999999998</v>
      </c>
      <c r="AY22" s="31">
        <f>IF(LPG!H29-LPG!H28&lt;0,"0",(LPG!H29-LPG!H28)*1.8315)</f>
        <v>9.1574999999999989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10.988999999999999</v>
      </c>
      <c r="BC22" s="13">
        <f>'FS Desroches Daily'!CN24</f>
        <v>14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3299.9999999998586</v>
      </c>
      <c r="F23" s="32">
        <f>'FS Desroches Daily'!F25</f>
        <v>3400.0000000000696</v>
      </c>
      <c r="G23" s="31">
        <f>'FS Desroches Daily'!H25</f>
        <v>3900.0000000002365</v>
      </c>
      <c r="H23" s="32">
        <f>'FS Desroches Daily'!J25</f>
        <v>1500.0000000000568</v>
      </c>
      <c r="I23" s="31">
        <f>'FS Desroches Daily'!L25</f>
        <v>2699.9999999999245</v>
      </c>
      <c r="J23" s="32">
        <f>'FS Desroches Daily'!N25</f>
        <v>1300.0000000000789</v>
      </c>
      <c r="K23" s="13">
        <f>'FS Desroches Daily'!P25</f>
        <v>8</v>
      </c>
      <c r="L23" s="31">
        <f>'FS Desroches Daily'!R25</f>
        <v>2</v>
      </c>
      <c r="M23" s="31">
        <f>'FS Desroches Daily'!T25</f>
        <v>1399.9999999999773</v>
      </c>
      <c r="N23" s="31">
        <f>'FS Desroches Daily'!V25</f>
        <v>484.59999999997672</v>
      </c>
      <c r="O23" s="31">
        <f>'FS Desroches Daily'!X25</f>
        <v>329.99999999998408</v>
      </c>
      <c r="P23" s="31">
        <f>'FS Desroches Daily'!Z25</f>
        <v>3099.9999999998809</v>
      </c>
      <c r="Q23" s="31">
        <f>'FS Desroches Daily'!AB25</f>
        <v>410.00000000002501</v>
      </c>
      <c r="R23" s="31">
        <f>'FS Desroches Daily'!AD25</f>
        <v>430.00000000000682</v>
      </c>
      <c r="S23" s="31">
        <f>'FS Desroches Daily'!AF25</f>
        <v>279.99999999997272</v>
      </c>
      <c r="T23" s="31">
        <f>'FS Desroches Daily'!AH25</f>
        <v>56</v>
      </c>
      <c r="U23" s="35">
        <f>'FS Desroches Daily'!AJ25</f>
        <v>850.00000000002274</v>
      </c>
      <c r="V23" s="35">
        <f>'FS Desroches Daily'!AL25</f>
        <v>120.00000000000455</v>
      </c>
      <c r="W23" s="35">
        <f>'FS Desroches Daily'!AN25</f>
        <v>250</v>
      </c>
      <c r="X23" s="35">
        <f>'FS Desroches Daily'!AP25</f>
        <v>120.00000000000455</v>
      </c>
      <c r="Y23" s="35">
        <f>'FS Desroches Daily'!AR25</f>
        <v>439.99999999999773</v>
      </c>
      <c r="Z23" s="35">
        <f>'FS Desroches Daily'!AT25</f>
        <v>430.00000000000682</v>
      </c>
      <c r="AA23" s="35">
        <f>'FS Desroches Daily'!AT25</f>
        <v>430.00000000000682</v>
      </c>
      <c r="AB23" s="35">
        <f>'FS Desroches Daily'!AV25</f>
        <v>349.99999999996589</v>
      </c>
      <c r="AC23" s="35">
        <f>'FS Desroches Daily'!AZ25</f>
        <v>80.000000000040927</v>
      </c>
      <c r="AD23" s="35">
        <f>'FS Desroches Daily'!BB25</f>
        <v>39.99999999996362</v>
      </c>
      <c r="AE23" s="35">
        <f>'FS Desroches Daily'!BD25</f>
        <v>189.99999999999773</v>
      </c>
      <c r="AF23" s="31">
        <f>'FS Desroches Daily'!BF25</f>
        <v>50</v>
      </c>
      <c r="AG23" s="32">
        <f>'FS Desroches Daily'!BH25</f>
        <v>20.000000000010232</v>
      </c>
      <c r="AH23" s="32">
        <f>'FS Desroches Daily'!BJ25</f>
        <v>29.999999999972715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34</v>
      </c>
      <c r="AM23" s="32">
        <f>'FS Desroches Daily'!BT25</f>
        <v>30.000000000001137</v>
      </c>
      <c r="AN23" s="32">
        <f>'FS Desroches Daily'!BV25</f>
        <v>49</v>
      </c>
      <c r="AO23" s="32">
        <f>'FS Desroches Daily'!BX25</f>
        <v>30.000000000001137</v>
      </c>
      <c r="AP23" s="32">
        <f>'FS Desroches Daily'!BZ25</f>
        <v>48</v>
      </c>
      <c r="AQ23" s="31">
        <f>'FS Desroches Daily'!CB25</f>
        <v>60.600000000002183</v>
      </c>
      <c r="AR23" s="31">
        <f>'FS Desroches Daily'!CD25</f>
        <v>13.5</v>
      </c>
      <c r="AS23" s="31">
        <f>'FS Desroches Daily'!CF25</f>
        <v>1.4000000000005457</v>
      </c>
      <c r="AT23" s="31">
        <f>'FS Desroches Daily'!CH25</f>
        <v>61.19999999999709</v>
      </c>
      <c r="AU23" s="31">
        <f>'FS Desroches Daily'!CJ25</f>
        <v>346</v>
      </c>
      <c r="AV23" s="31">
        <f>'FS Desroches Daily'!CL25</f>
        <v>889.99999999998636</v>
      </c>
      <c r="AW23" s="31">
        <f>'FS Desroches Daily'!CM25</f>
        <v>121</v>
      </c>
      <c r="AX23" s="31" t="str">
        <f>IF(LPG!F30-LPG!F29&lt;0,"0",(LPG!F30-LPG!F29)*1.8315)</f>
        <v>0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1.8314999999999999</v>
      </c>
      <c r="BC23" s="13">
        <f>'FS Desroches Daily'!CN25</f>
        <v>14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1500.0000000000568</v>
      </c>
      <c r="F24" s="32">
        <f>'FS Desroches Daily'!F26</f>
        <v>1700.0000000000348</v>
      </c>
      <c r="G24" s="31">
        <f>'FS Desroches Daily'!H26</f>
        <v>1499.9999999996128</v>
      </c>
      <c r="H24" s="32">
        <f>'FS Desroches Daily'!J26</f>
        <v>899.99999999990087</v>
      </c>
      <c r="I24" s="31">
        <f>'FS Desroches Daily'!L26</f>
        <v>1500.0000000000568</v>
      </c>
      <c r="J24" s="32">
        <f>'FS Desroches Daily'!N26</f>
        <v>699.99999999992292</v>
      </c>
      <c r="K24" s="13">
        <f>'FS Desroches Daily'!P26</f>
        <v>1</v>
      </c>
      <c r="L24" s="31">
        <f>'FS Desroches Daily'!R26</f>
        <v>1</v>
      </c>
      <c r="M24" s="31">
        <f>'FS Desroches Daily'!T26</f>
        <v>300.00000000006821</v>
      </c>
      <c r="N24" s="31">
        <f>'FS Desroches Daily'!V26</f>
        <v>138.60000000003492</v>
      </c>
      <c r="O24" s="31">
        <f>'FS Desroches Daily'!X26</f>
        <v>180.00000000000682</v>
      </c>
      <c r="P24" s="31">
        <f>'FS Desroches Daily'!Z26</f>
        <v>1400.0000000002899</v>
      </c>
      <c r="Q24" s="31">
        <f>'FS Desroches Daily'!AB26</f>
        <v>259.99999999999091</v>
      </c>
      <c r="R24" s="31">
        <f>'FS Desroches Daily'!AD26</f>
        <v>189.99999999999773</v>
      </c>
      <c r="S24" s="31">
        <f>'FS Desroches Daily'!AF26</f>
        <v>150.00000000009095</v>
      </c>
      <c r="T24" s="31">
        <f>'FS Desroches Daily'!AH26</f>
        <v>24</v>
      </c>
      <c r="U24" s="35">
        <f>'FS Desroches Daily'!AJ26</f>
        <v>259.99999999999091</v>
      </c>
      <c r="V24" s="35">
        <f>'FS Desroches Daily'!AL26</f>
        <v>60.000000000002274</v>
      </c>
      <c r="W24" s="35">
        <f>'FS Desroches Daily'!AN26</f>
        <v>90.000000000003411</v>
      </c>
      <c r="X24" s="35">
        <f>'FS Desroches Daily'!AP26</f>
        <v>50.000000000011369</v>
      </c>
      <c r="Y24" s="35">
        <f>'FS Desroches Daily'!AR26</f>
        <v>189.99999999999773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189.99999999999773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120.00000000000455</v>
      </c>
      <c r="AF24" s="31">
        <f>'FS Desroches Daily'!BF26</f>
        <v>42</v>
      </c>
      <c r="AG24" s="32">
        <f>'FS Desroches Daily'!BH26</f>
        <v>20.000000000010232</v>
      </c>
      <c r="AH24" s="32">
        <f>'FS Desroches Daily'!BJ26</f>
        <v>20.000000000038654</v>
      </c>
      <c r="AI24" s="32">
        <f>'FS Desroches Daily'!BL26</f>
        <v>20.000000000010232</v>
      </c>
      <c r="AJ24" s="32">
        <f>'FS Desroches Daily'!BN26</f>
        <v>20.000000000010232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30.000000000001137</v>
      </c>
      <c r="AN24" s="32">
        <f>'FS Desroches Daily'!BV26</f>
        <v>27</v>
      </c>
      <c r="AO24" s="32">
        <f>'FS Desroches Daily'!BX26</f>
        <v>10.000000000019327</v>
      </c>
      <c r="AP24" s="32">
        <f>'FS Desroches Daily'!BZ26</f>
        <v>29</v>
      </c>
      <c r="AQ24" s="31">
        <f>'FS Desroches Daily'!CB26</f>
        <v>25</v>
      </c>
      <c r="AR24" s="31">
        <f>'FS Desroches Daily'!CD26</f>
        <v>2.2000000000007276</v>
      </c>
      <c r="AS24" s="31">
        <f>'FS Desroches Daily'!CF26</f>
        <v>4.0999999999994543</v>
      </c>
      <c r="AT24" s="31">
        <f>'FS Desroches Daily'!CH26</f>
        <v>19.200000000004366</v>
      </c>
      <c r="AU24" s="31">
        <f>'FS Desroches Daily'!CJ26</f>
        <v>184</v>
      </c>
      <c r="AV24" s="31">
        <f>'FS Desroches Daily'!CL26</f>
        <v>530.0000000000864</v>
      </c>
      <c r="AW24" s="31">
        <f>'FS Desroches Daily'!CM26</f>
        <v>43</v>
      </c>
      <c r="AX24" s="31">
        <f>IF(LPG!F31-LPG!F30&lt;0,"0",(LPG!F31-LPG!F30)*1.8315)</f>
        <v>10.988999999999999</v>
      </c>
      <c r="AY24" s="31">
        <f>IF(LPG!H31-LPG!H30&lt;0,"0",(LPG!H31-LPG!H30)*1.8315)</f>
        <v>5.4944999999999995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14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2200.0000000002019</v>
      </c>
      <c r="F25" s="32">
        <f>'FS Desroches Daily'!F27</f>
        <v>2600.0000000001578</v>
      </c>
      <c r="G25" s="31">
        <f>'FS Desroches Daily'!H27</f>
        <v>2900.0000000003465</v>
      </c>
      <c r="H25" s="32">
        <f>'FS Desroches Daily'!J27</f>
        <v>1200.0000000000898</v>
      </c>
      <c r="I25" s="31">
        <f>'FS Desroches Daily'!L27</f>
        <v>2299.9999999999686</v>
      </c>
      <c r="J25" s="32">
        <f>'FS Desroches Daily'!N27</f>
        <v>800.00000000013392</v>
      </c>
      <c r="K25" s="13">
        <f>'FS Desroches Daily'!P27</f>
        <v>6</v>
      </c>
      <c r="L25" s="31">
        <f>'FS Desroches Daily'!R27</f>
        <v>2</v>
      </c>
      <c r="M25" s="31">
        <f>'FS Desroches Daily'!T27</f>
        <v>1000</v>
      </c>
      <c r="N25" s="31">
        <f>'FS Desroches Daily'!V27</f>
        <v>323.20000000001164</v>
      </c>
      <c r="O25" s="31">
        <f>'FS Desroches Daily'!X27</f>
        <v>270.00000000003865</v>
      </c>
      <c r="P25" s="31">
        <f>'FS Desroches Daily'!Z27</f>
        <v>2399.9999999997358</v>
      </c>
      <c r="Q25" s="31">
        <f>'FS Desroches Daily'!AB27</f>
        <v>300.00000000001137</v>
      </c>
      <c r="R25" s="31">
        <f>'FS Desroches Daily'!AD27</f>
        <v>209.99999999997954</v>
      </c>
      <c r="S25" s="31">
        <f>'FS Desroches Daily'!AF27</f>
        <v>199.99999999993179</v>
      </c>
      <c r="T25" s="31">
        <f>'FS Desroches Daily'!AH27</f>
        <v>35</v>
      </c>
      <c r="U25" s="35">
        <f>'FS Desroches Daily'!AJ27</f>
        <v>350.00000000002274</v>
      </c>
      <c r="V25" s="35">
        <f>'FS Desroches Daily'!AL27</f>
        <v>159.99999999999659</v>
      </c>
      <c r="W25" s="35">
        <f>'FS Desroches Daily'!AN27</f>
        <v>129.99999999999545</v>
      </c>
      <c r="X25" s="35">
        <f>'FS Desroches Daily'!AP27</f>
        <v>79.999999999984084</v>
      </c>
      <c r="Y25" s="35">
        <f>'FS Desroches Daily'!AR27</f>
        <v>310.00000000000227</v>
      </c>
      <c r="Z25" s="35">
        <f>'FS Desroches Daily'!AT27</f>
        <v>300.00000000001137</v>
      </c>
      <c r="AA25" s="35">
        <f>'FS Desroches Daily'!AT27</f>
        <v>300.00000000001137</v>
      </c>
      <c r="AB25" s="35">
        <f>'FS Desroches Daily'!AV27</f>
        <v>300.00000000001137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79.999999999984084</v>
      </c>
      <c r="AF25" s="31">
        <f>'FS Desroches Daily'!BF27</f>
        <v>28</v>
      </c>
      <c r="AG25" s="32">
        <f>'FS Desroches Daily'!BH27</f>
        <v>39.999999999992042</v>
      </c>
      <c r="AH25" s="32">
        <f>'FS Desroches Daily'!BJ27</f>
        <v>19.99999999998181</v>
      </c>
      <c r="AI25" s="32">
        <f>'FS Desroches Daily'!BL27</f>
        <v>19.99999999998181</v>
      </c>
      <c r="AJ25" s="32">
        <f>'FS Desroches Daily'!BN27</f>
        <v>30.000000000001137</v>
      </c>
      <c r="AK25" s="32">
        <f>'FS Desroches Daily'!BP27</f>
        <v>29.999999999972715</v>
      </c>
      <c r="AL25" s="32">
        <f>'FS Desroches Daily'!BR27</f>
        <v>30</v>
      </c>
      <c r="AM25" s="32">
        <f>'FS Desroches Daily'!BT27</f>
        <v>20.000000000010232</v>
      </c>
      <c r="AN25" s="32">
        <f>'FS Desroches Daily'!BV27</f>
        <v>34</v>
      </c>
      <c r="AO25" s="32">
        <f>'FS Desroches Daily'!BX27</f>
        <v>19.99999999998181</v>
      </c>
      <c r="AP25" s="32">
        <f>'FS Desroches Daily'!BZ27</f>
        <v>41</v>
      </c>
      <c r="AQ25" s="31">
        <f>'FS Desroches Daily'!CB27</f>
        <v>49.899999999994179</v>
      </c>
      <c r="AR25" s="31">
        <f>'FS Desroches Daily'!CD27</f>
        <v>7.3999999999996362</v>
      </c>
      <c r="AS25" s="31">
        <f>'FS Desroches Daily'!CF27</f>
        <v>3.9000000000005457</v>
      </c>
      <c r="AT25" s="31">
        <f>'FS Desroches Daily'!CH27</f>
        <v>33.399999999994179</v>
      </c>
      <c r="AU25" s="31">
        <f>'FS Desroches Daily'!CJ27</f>
        <v>259</v>
      </c>
      <c r="AV25" s="31">
        <f>'FS Desroches Daily'!CL27</f>
        <v>719.9999999999136</v>
      </c>
      <c r="AW25" s="31">
        <f>'FS Desroches Daily'!CM27</f>
        <v>90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14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1700.0000000000348</v>
      </c>
      <c r="F26" s="32">
        <f>'FS Desroches Daily'!F28</f>
        <v>2299.9999999999686</v>
      </c>
      <c r="G26" s="31">
        <f>'FS Desroches Daily'!H28</f>
        <v>2899.9999999999027</v>
      </c>
      <c r="H26" s="32">
        <f>'FS Desroches Daily'!J28</f>
        <v>1099.9999999998788</v>
      </c>
      <c r="I26" s="31">
        <f>'FS Desroches Daily'!L28</f>
        <v>2099.9999999999909</v>
      </c>
      <c r="J26" s="32">
        <f>'FS Desroches Daily'!N28</f>
        <v>799.99999999991189</v>
      </c>
      <c r="K26" s="13">
        <f>'FS Desroches Daily'!P28</f>
        <v>7</v>
      </c>
      <c r="L26" s="31">
        <f>'FS Desroches Daily'!R28</f>
        <v>1</v>
      </c>
      <c r="M26" s="31">
        <f>'FS Desroches Daily'!T28</f>
        <v>1100.0000000000227</v>
      </c>
      <c r="N26" s="31">
        <f>'FS Desroches Daily'!V28</f>
        <v>328.59999999997672</v>
      </c>
      <c r="O26" s="31">
        <f>'FS Desroches Daily'!X28</f>
        <v>219.99999999997044</v>
      </c>
      <c r="P26" s="31">
        <f>'FS Desroches Daily'!Z28</f>
        <v>2000.0000000002237</v>
      </c>
      <c r="Q26" s="31">
        <f>'FS Desroches Daily'!AB28</f>
        <v>379.99999999999545</v>
      </c>
      <c r="R26" s="31">
        <f>'FS Desroches Daily'!AD28</f>
        <v>220.00000000002728</v>
      </c>
      <c r="S26" s="31">
        <f>'FS Desroches Daily'!AF28</f>
        <v>180.00000000006366</v>
      </c>
      <c r="T26" s="31">
        <f>'FS Desroches Daily'!AH28</f>
        <v>32</v>
      </c>
      <c r="U26" s="35">
        <f>'FS Desroches Daily'!AJ28</f>
        <v>439.99999999994088</v>
      </c>
      <c r="V26" s="35">
        <f>'FS Desroches Daily'!AL28</f>
        <v>180.00000000000682</v>
      </c>
      <c r="W26" s="35">
        <f>'FS Desroches Daily'!AN28</f>
        <v>150.00000000000568</v>
      </c>
      <c r="X26" s="35">
        <f>'FS Desroches Daily'!AP28</f>
        <v>129.99999999999545</v>
      </c>
      <c r="Y26" s="35">
        <f>'FS Desroches Daily'!AR28</f>
        <v>159.99999999999659</v>
      </c>
      <c r="Z26" s="35">
        <f>'FS Desroches Daily'!AT28</f>
        <v>180.00000000000682</v>
      </c>
      <c r="AA26" s="35">
        <f>'FS Desroches Daily'!AT28</f>
        <v>180.00000000000682</v>
      </c>
      <c r="AB26" s="35">
        <f>'FS Desroches Daily'!AV28</f>
        <v>180.00000000000682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39.999999999992042</v>
      </c>
      <c r="AF26" s="31">
        <f>'FS Desroches Daily'!BF28</f>
        <v>30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30.000000000029559</v>
      </c>
      <c r="AL26" s="32">
        <f>'FS Desroches Daily'!BR28</f>
        <v>31</v>
      </c>
      <c r="AM26" s="32">
        <f>'FS Desroches Daily'!BT28</f>
        <v>30.000000000001137</v>
      </c>
      <c r="AN26" s="32">
        <f>'FS Desroches Daily'!BV28</f>
        <v>29</v>
      </c>
      <c r="AO26" s="32">
        <f>'FS Desroches Daily'!BX28</f>
        <v>10.000000000019327</v>
      </c>
      <c r="AP26" s="32">
        <f>'FS Desroches Daily'!BZ28</f>
        <v>27</v>
      </c>
      <c r="AQ26" s="31">
        <f>'FS Desroches Daily'!CB28</f>
        <v>40</v>
      </c>
      <c r="AR26" s="31">
        <f>'FS Desroches Daily'!CD28</f>
        <v>8.3999999999996362</v>
      </c>
      <c r="AS26" s="31">
        <f>'FS Desroches Daily'!CF28</f>
        <v>3.8999999999996362</v>
      </c>
      <c r="AT26" s="31">
        <f>'FS Desroches Daily'!CH28</f>
        <v>39.400000000001455</v>
      </c>
      <c r="AU26" s="31">
        <f>'FS Desroches Daily'!CJ28</f>
        <v>262</v>
      </c>
      <c r="AV26" s="31">
        <f>'FS Desroches Daily'!CL28</f>
        <v>720.00000000002728</v>
      </c>
      <c r="AW26" s="31">
        <f>'FS Desroches Daily'!CM28</f>
        <v>70</v>
      </c>
      <c r="AX26" s="31">
        <f>IF(LPG!F33-LPG!F32&lt;0,"0",(LPG!F33-LPG!F32)*1.8315)</f>
        <v>10.988999999999999</v>
      </c>
      <c r="AY26" s="31">
        <f>IF(LPG!H33-LPG!H32&lt;0,"0",(LPG!H33-LPG!H32)*1.8315)</f>
        <v>9.1574999999999989</v>
      </c>
      <c r="AZ26" s="31">
        <f>IF(LPG!J33-LPG!J32&lt;0,"0",(LPG!J33-LPG!J32)*1.8315)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10.988999999999999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1700.0000000000348</v>
      </c>
      <c r="F27" s="32">
        <f>'FS Desroches Daily'!F29</f>
        <v>2499.9999999999468</v>
      </c>
      <c r="G27" s="31">
        <f>'FS Desroches Daily'!H29</f>
        <v>2800.0000000001355</v>
      </c>
      <c r="H27" s="32">
        <f>'FS Desroches Daily'!J29</f>
        <v>1200.0000000000898</v>
      </c>
      <c r="I27" s="31">
        <f>'FS Desroches Daily'!L29</f>
        <v>2399.9999999997358</v>
      </c>
      <c r="J27" s="32">
        <f>'FS Desroches Daily'!N29</f>
        <v>799.99999999991189</v>
      </c>
      <c r="K27" s="13">
        <f>'FS Desroches Daily'!P29</f>
        <v>6</v>
      </c>
      <c r="L27" s="31">
        <f>'FS Desroches Daily'!R29</f>
        <v>1</v>
      </c>
      <c r="M27" s="31">
        <f>'FS Desroches Daily'!T29</f>
        <v>899.99999999997726</v>
      </c>
      <c r="N27" s="31">
        <f>'FS Desroches Daily'!V29</f>
        <v>321.70000000001164</v>
      </c>
      <c r="O27" s="31">
        <f>'FS Desroches Daily'!X29</f>
        <v>250</v>
      </c>
      <c r="P27" s="31">
        <f>'FS Desroches Daily'!Z29</f>
        <v>2399.9999999997358</v>
      </c>
      <c r="Q27" s="31">
        <f>'FS Desroches Daily'!AB29</f>
        <v>219.99999999997044</v>
      </c>
      <c r="R27" s="31">
        <f>'FS Desroches Daily'!AD29</f>
        <v>229.99999999996135</v>
      </c>
      <c r="S27" s="31">
        <f>'FS Desroches Daily'!AF29</f>
        <v>209.99999999992269</v>
      </c>
      <c r="T27" s="31">
        <f>'FS Desroches Daily'!AH29</f>
        <v>38</v>
      </c>
      <c r="U27" s="35">
        <f>'FS Desroches Daily'!AJ29</f>
        <v>210.00000000003638</v>
      </c>
      <c r="V27" s="35">
        <f>'FS Desroches Daily'!AL29</f>
        <v>179.9999999999784</v>
      </c>
      <c r="W27" s="35">
        <f>'FS Desroches Daily'!AN29</f>
        <v>150.00000000000568</v>
      </c>
      <c r="X27" s="35">
        <f>'FS Desroches Daily'!AP29</f>
        <v>140.00000000001478</v>
      </c>
      <c r="Y27" s="35">
        <f>'FS Desroches Daily'!AR29</f>
        <v>110.00000000001364</v>
      </c>
      <c r="Z27" s="35">
        <f>'FS Desroches Daily'!AT29</f>
        <v>149.99999999997726</v>
      </c>
      <c r="AA27" s="35">
        <f>'FS Desroches Daily'!AT29</f>
        <v>149.99999999997726</v>
      </c>
      <c r="AB27" s="35">
        <f>'FS Desroches Daily'!AV29</f>
        <v>100.00000000002274</v>
      </c>
      <c r="AC27" s="35">
        <f>'FS Desroches Daily'!AZ29</f>
        <v>60.000000000002274</v>
      </c>
      <c r="AD27" s="35">
        <f>'FS Desroches Daily'!BB29</f>
        <v>50.000000000011369</v>
      </c>
      <c r="AE27" s="35">
        <f>'FS Desroches Daily'!BD29</f>
        <v>60.000000000002274</v>
      </c>
      <c r="AF27" s="31">
        <f>'FS Desroches Daily'!BF29</f>
        <v>15</v>
      </c>
      <c r="AG27" s="32">
        <f>'FS Desroches Daily'!BH29</f>
        <v>30.000000000001137</v>
      </c>
      <c r="AH27" s="32">
        <f>'FS Desroches Daily'!BJ29</f>
        <v>29.999999999972715</v>
      </c>
      <c r="AI27" s="32">
        <f>'FS Desroches Daily'!BL29</f>
        <v>20.000000000010232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28</v>
      </c>
      <c r="AM27" s="32">
        <f>'FS Desroches Daily'!BT29</f>
        <v>19.99999999998181</v>
      </c>
      <c r="AN27" s="32">
        <f>'FS Desroches Daily'!BV29</f>
        <v>33</v>
      </c>
      <c r="AO27" s="32">
        <f>'FS Desroches Daily'!BX29</f>
        <v>9.9999999999909051</v>
      </c>
      <c r="AP27" s="32">
        <f>'FS Desroches Daily'!BZ29</f>
        <v>46</v>
      </c>
      <c r="AQ27" s="31">
        <f>'FS Desroches Daily'!CB29</f>
        <v>42.600000000005821</v>
      </c>
      <c r="AR27" s="31">
        <f>'FS Desroches Daily'!CD29</f>
        <v>18.200000000000728</v>
      </c>
      <c r="AS27" s="31">
        <f>'FS Desroches Daily'!CF29</f>
        <v>0.3999999999996362</v>
      </c>
      <c r="AT27" s="31">
        <f>'FS Desroches Daily'!CH29</f>
        <v>54.900000000001455</v>
      </c>
      <c r="AU27" s="31">
        <f>'FS Desroches Daily'!CJ29</f>
        <v>313</v>
      </c>
      <c r="AV27" s="31">
        <f>'FS Desroches Daily'!CL29</f>
        <v>740.00000000000909</v>
      </c>
      <c r="AW27" s="31">
        <f>'FS Desroches Daily'!CM29</f>
        <v>75</v>
      </c>
      <c r="AX27" s="31">
        <f>IF(LPG!F35-LPG!F33&lt;0,"0",(LPG!F35-LPG!F33)*1.8315)</f>
        <v>14.651999999999999</v>
      </c>
      <c r="AY27" s="31">
        <f>IF(LPG!H35-LPG!H33&lt;0,"0",(LPG!H35-LPG!H33)*1.8315)</f>
        <v>7.3259999999999996</v>
      </c>
      <c r="AZ27" s="31">
        <f>IF(LPG!J35-LPG!J33&lt;0,"0",(LPG!J35-LPG!J33)*1.8315)</f>
        <v>5.4944999999999995</v>
      </c>
      <c r="BA27" s="31">
        <f>IF(LPG!M35-LPG!M33&lt;0,"0",(LPG!M35-LPG!M33)*1.8315)</f>
        <v>3.6629999999999998</v>
      </c>
      <c r="BB27" s="31">
        <f>IF(LPG!Q34-LPG!Q33&lt;0,"0",(LPG!Q34-LPG!Q33)*1.8315)</f>
        <v>7.3259999999999996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1399.9999999998458</v>
      </c>
      <c r="F28" s="32">
        <f>'FS Desroches Daily'!F30</f>
        <v>2299.9999999999686</v>
      </c>
      <c r="G28" s="31">
        <f>'FS Desroches Daily'!H30</f>
        <v>2299.9999999999686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700.00000000014495</v>
      </c>
      <c r="K28" s="13">
        <f>'FS Desroches Daily'!P30</f>
        <v>2</v>
      </c>
      <c r="L28" s="31">
        <f>'FS Desroches Daily'!R30</f>
        <v>2</v>
      </c>
      <c r="M28" s="31">
        <f>'FS Desroches Daily'!T30</f>
        <v>600.00000000002274</v>
      </c>
      <c r="N28" s="31">
        <f>'FS Desroches Daily'!V30</f>
        <v>241.59999999997672</v>
      </c>
      <c r="O28" s="31">
        <f>'FS Desroches Daily'!X30</f>
        <v>209.99999999997954</v>
      </c>
      <c r="P28" s="31">
        <f>'FS Desroches Daily'!Z30</f>
        <v>1900.0000000000127</v>
      </c>
      <c r="Q28" s="31">
        <f>'FS Desroches Daily'!AB30</f>
        <v>180.00000000000682</v>
      </c>
      <c r="R28" s="31">
        <f>'FS Desroches Daily'!AD30</f>
        <v>180.00000000000682</v>
      </c>
      <c r="S28" s="31">
        <f>'FS Desroches Daily'!AF30</f>
        <v>170.00000000007276</v>
      </c>
      <c r="T28" s="31">
        <f>'FS Desroches Daily'!AH30</f>
        <v>33</v>
      </c>
      <c r="U28" s="35">
        <f>'FS Desroches Daily'!AJ30</f>
        <v>240.00000000000909</v>
      </c>
      <c r="V28" s="35">
        <f>'FS Desroches Daily'!AL30</f>
        <v>159.99999999999659</v>
      </c>
      <c r="W28" s="35">
        <f>'FS Desroches Daily'!AN30</f>
        <v>129.99999999999545</v>
      </c>
      <c r="X28" s="35">
        <f>'FS Desroches Daily'!AP30</f>
        <v>129.99999999999545</v>
      </c>
      <c r="Y28" s="35">
        <f>'FS Desroches Daily'!AR30</f>
        <v>90.000000000003411</v>
      </c>
      <c r="Z28" s="35">
        <f>'FS Desroches Daily'!AT30</f>
        <v>90.000000000031832</v>
      </c>
      <c r="AA28" s="35">
        <f>'FS Desroches Daily'!AT30</f>
        <v>90.000000000031832</v>
      </c>
      <c r="AB28" s="35">
        <f>'FS Desroches Daily'!AV30</f>
        <v>79.999999999984084</v>
      </c>
      <c r="AC28" s="35">
        <f>'FS Desroches Daily'!AZ30</f>
        <v>29.999999999972715</v>
      </c>
      <c r="AD28" s="35">
        <f>'FS Desroches Daily'!BB30</f>
        <v>20.000000000038654</v>
      </c>
      <c r="AE28" s="35">
        <f>'FS Desroches Daily'!BD30</f>
        <v>60.000000000002274</v>
      </c>
      <c r="AF28" s="31">
        <f>'FS Desroches Daily'!BF30</f>
        <v>14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20.000000000010232</v>
      </c>
      <c r="AJ28" s="32">
        <f>'FS Desroches Daily'!BN30</f>
        <v>39.999999999992042</v>
      </c>
      <c r="AK28" s="32">
        <f>'FS Desroches Daily'!BP30</f>
        <v>30.000000000029559</v>
      </c>
      <c r="AL28" s="32">
        <f>'FS Desroches Daily'!BR30</f>
        <v>30</v>
      </c>
      <c r="AM28" s="32">
        <f>'FS Desroches Daily'!BT30</f>
        <v>30.000000000001137</v>
      </c>
      <c r="AN28" s="32">
        <f>'FS Desroches Daily'!BV30</f>
        <v>31</v>
      </c>
      <c r="AO28" s="32">
        <f>'FS Desroches Daily'!BX30</f>
        <v>20.000000000010232</v>
      </c>
      <c r="AP28" s="32">
        <f>'FS Desroches Daily'!BZ30</f>
        <v>37</v>
      </c>
      <c r="AQ28" s="31">
        <f>'FS Desroches Daily'!CB30</f>
        <v>25.19999999999709</v>
      </c>
      <c r="AR28" s="31">
        <f>'FS Desroches Daily'!CD30</f>
        <v>3.7999999999992724</v>
      </c>
      <c r="AS28" s="31">
        <f>'FS Desroches Daily'!CF30</f>
        <v>9.3000000000001819</v>
      </c>
      <c r="AT28" s="31">
        <f>'FS Desroches Daily'!CH30</f>
        <v>26.900000000001455</v>
      </c>
      <c r="AU28" s="31">
        <f>'FS Desroches Daily'!CJ30</f>
        <v>288</v>
      </c>
      <c r="AV28" s="31">
        <f>'FS Desroches Daily'!CL30</f>
        <v>629.99999999999545</v>
      </c>
      <c r="AW28" s="31">
        <f>'FS Desroches Daily'!CM30</f>
        <v>56</v>
      </c>
      <c r="AX28" s="31">
        <f>IF(LPG!F36-LPG!F34&lt;0,"0",(LPG!F36-LPG!F34)*1.8315)</f>
        <v>16.483499999999999</v>
      </c>
      <c r="AY28" s="31">
        <f>IF(LPG!H36-LPG!H34&lt;0,"0",(LPG!H36-LPG!H34)*1.8315)</f>
        <v>9.1574999999999989</v>
      </c>
      <c r="AZ28" s="31">
        <f>IF(LPG!J36-LPG!J34&lt;0,"0",(LPG!J36-LPG!J34)*1.8315)</f>
        <v>5.4944999999999995</v>
      </c>
      <c r="BA28" s="31">
        <f>IF(LPG!M36-LPG!M34&lt;0,"0",(LPG!M36-LPG!M34)*1.8315)</f>
        <v>3.6629999999999998</v>
      </c>
      <c r="BB28" s="31">
        <f>IF(LPG!Q35-LPG!Q34&lt;0,"0",(LPG!Q35-LPG!Q34)*1.8315)</f>
        <v>5.4944999999999995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1300.0000000000789</v>
      </c>
      <c r="F29" s="32">
        <f>'FS Desroches Daily'!F31</f>
        <v>2000.0000000002237</v>
      </c>
      <c r="G29" s="31">
        <f>'FS Desroches Daily'!H31</f>
        <v>2099.9999999999909</v>
      </c>
      <c r="H29" s="32">
        <f>'FS Desroches Daily'!J31</f>
        <v>999.99999999988984</v>
      </c>
      <c r="I29" s="31">
        <f>'FS Desroches Daily'!L31</f>
        <v>1799.9999999998017</v>
      </c>
      <c r="J29" s="32">
        <f>'FS Desroches Daily'!N31</f>
        <v>799.99999999991189</v>
      </c>
      <c r="K29" s="13">
        <f>'FS Desroches Daily'!P31</f>
        <v>4</v>
      </c>
      <c r="L29" s="31">
        <f>'FS Desroches Daily'!R31</f>
        <v>2</v>
      </c>
      <c r="M29" s="31">
        <f>'FS Desroches Daily'!T31</f>
        <v>399.99999999997726</v>
      </c>
      <c r="N29" s="31">
        <f>'FS Desroches Daily'!V31</f>
        <v>221.90000000002328</v>
      </c>
      <c r="O29" s="31">
        <f>'FS Desroches Daily'!X31</f>
        <v>189.99999999999773</v>
      </c>
      <c r="P29" s="31">
        <f>'FS Desroches Daily'!Z31</f>
        <v>1800.0000000002458</v>
      </c>
      <c r="Q29" s="31">
        <f>'FS Desroches Daily'!AB31</f>
        <v>300.00000000001137</v>
      </c>
      <c r="R29" s="31">
        <f>'FS Desroches Daily'!AD31</f>
        <v>170.00000000001592</v>
      </c>
      <c r="S29" s="31">
        <f>'FS Desroches Daily'!AF31</f>
        <v>189.99999999994088</v>
      </c>
      <c r="T29" s="31">
        <f>'FS Desroches Daily'!AH31</f>
        <v>28</v>
      </c>
      <c r="U29" s="35">
        <f>'FS Desroches Daily'!AJ31</f>
        <v>220.00000000002728</v>
      </c>
      <c r="V29" s="35">
        <f>'FS Desroches Daily'!AL31</f>
        <v>130.00000000002387</v>
      </c>
      <c r="W29" s="35">
        <f>'FS Desroches Daily'!AN31</f>
        <v>109.99999999998522</v>
      </c>
      <c r="X29" s="35">
        <f>'FS Desroches Daily'!AP31</f>
        <v>99.999999999994316</v>
      </c>
      <c r="Y29" s="35">
        <f>'FS Desroches Daily'!AR31</f>
        <v>39.999999999992042</v>
      </c>
      <c r="Z29" s="35">
        <f>'FS Desroches Daily'!AT31</f>
        <v>69.999999999993179</v>
      </c>
      <c r="AA29" s="35">
        <f>'FS Desroches Daily'!AT31</f>
        <v>69.999999999993179</v>
      </c>
      <c r="AB29" s="35">
        <f>'FS Desroches Daily'!AV31</f>
        <v>89.999999999974989</v>
      </c>
      <c r="AC29" s="35">
        <f>'FS Desroches Daily'!AZ31</f>
        <v>20.000000000038654</v>
      </c>
      <c r="AD29" s="35">
        <f>'FS Desroches Daily'!BB31</f>
        <v>9.9999999999909051</v>
      </c>
      <c r="AE29" s="35">
        <f>'FS Desroches Daily'!BD31</f>
        <v>60.000000000002274</v>
      </c>
      <c r="AF29" s="31">
        <f>'FS Desroches Daily'!BF31</f>
        <v>47</v>
      </c>
      <c r="AG29" s="32">
        <f>'FS Desroches Daily'!BH31</f>
        <v>20.000000000010232</v>
      </c>
      <c r="AH29" s="32">
        <f>'FS Desroches Daily'!BJ31</f>
        <v>30.000000000029559</v>
      </c>
      <c r="AI29" s="32">
        <f>'FS Desroches Daily'!BL31</f>
        <v>19.99999999998181</v>
      </c>
      <c r="AJ29" s="32">
        <f>'FS Desroches Daily'!BN31</f>
        <v>20.000000000010232</v>
      </c>
      <c r="AK29" s="32">
        <f>'FS Desroches Daily'!BP31</f>
        <v>29.999999999972715</v>
      </c>
      <c r="AL29" s="32">
        <f>'FS Desroches Daily'!BR31</f>
        <v>21</v>
      </c>
      <c r="AM29" s="32">
        <f>'FS Desroches Daily'!BT31</f>
        <v>39.999999999992042</v>
      </c>
      <c r="AN29" s="32">
        <f>'FS Desroches Daily'!BV31</f>
        <v>37</v>
      </c>
      <c r="AO29" s="32">
        <f>'FS Desroches Daily'!BX31</f>
        <v>19.99999999998181</v>
      </c>
      <c r="AP29" s="32">
        <f>'FS Desroches Daily'!BZ31</f>
        <v>35</v>
      </c>
      <c r="AQ29" s="31">
        <f>'FS Desroches Daily'!CB31</f>
        <v>24.80000000000291</v>
      </c>
      <c r="AR29" s="31">
        <f>'FS Desroches Daily'!CD31</f>
        <v>2.7000000000007276</v>
      </c>
      <c r="AS29" s="31">
        <f>'FS Desroches Daily'!CF31</f>
        <v>9.4000000000005457</v>
      </c>
      <c r="AT29" s="31">
        <f>'FS Desroches Daily'!CH31</f>
        <v>35.299999999995634</v>
      </c>
      <c r="AU29" s="31">
        <f>'FS Desroches Daily'!CJ31</f>
        <v>221</v>
      </c>
      <c r="AV29" s="31">
        <f>'FS Desroches Daily'!CL31</f>
        <v>639.99999999998636</v>
      </c>
      <c r="AW29" s="31">
        <f>'FS Desroches Daily'!CM31</f>
        <v>61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7.3259999999999996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1799.9999999998017</v>
      </c>
      <c r="F30" s="32">
        <f>'FS Desroches Daily'!F32</f>
        <v>2699.9999999999245</v>
      </c>
      <c r="G30" s="31">
        <f>'FS Desroches Daily'!H32</f>
        <v>2699.9999999999245</v>
      </c>
      <c r="H30" s="32">
        <f>'FS Desroches Daily'!J32</f>
        <v>1300.0000000000789</v>
      </c>
      <c r="I30" s="31">
        <f>'FS Desroches Daily'!L32</f>
        <v>2200.0000000002019</v>
      </c>
      <c r="J30" s="32">
        <f>'FS Desroches Daily'!N32</f>
        <v>700.00000000014495</v>
      </c>
      <c r="K30" s="13">
        <f>'FS Desroches Daily'!P32</f>
        <v>1</v>
      </c>
      <c r="L30" s="31">
        <f>'FS Desroches Daily'!R32</f>
        <v>2</v>
      </c>
      <c r="M30" s="31">
        <f>'FS Desroches Daily'!T32</f>
        <v>799.99999999995453</v>
      </c>
      <c r="N30" s="31">
        <f>'FS Desroches Daily'!V32</f>
        <v>322.89999999996508</v>
      </c>
      <c r="O30" s="31">
        <f>'FS Desroches Daily'!X32</f>
        <v>220.00000000002728</v>
      </c>
      <c r="P30" s="31">
        <f>'FS Desroches Daily'!Z32</f>
        <v>2499.9999999999468</v>
      </c>
      <c r="Q30" s="31">
        <f>'FS Desroches Daily'!AB32</f>
        <v>220.00000000002728</v>
      </c>
      <c r="R30" s="31">
        <f>'FS Desroches Daily'!AD32</f>
        <v>230.00000000001819</v>
      </c>
      <c r="S30" s="31">
        <f>'FS Desroches Daily'!AF32</f>
        <v>220.00000000002728</v>
      </c>
      <c r="T30" s="31">
        <f>'FS Desroches Daily'!AH32</f>
        <v>35</v>
      </c>
      <c r="U30" s="35">
        <f>'FS Desroches Daily'!AJ32</f>
        <v>279.99999999997272</v>
      </c>
      <c r="V30" s="35">
        <f>'FS Desroches Daily'!AL32</f>
        <v>199.99999999998863</v>
      </c>
      <c r="W30" s="35">
        <f>'FS Desroches Daily'!AN32</f>
        <v>180.00000000000682</v>
      </c>
      <c r="X30" s="35">
        <f>'FS Desroches Daily'!AP32</f>
        <v>140.00000000001478</v>
      </c>
      <c r="Y30" s="35">
        <f>'FS Desroches Daily'!AR32</f>
        <v>210.00000000000796</v>
      </c>
      <c r="Z30" s="35">
        <f>'FS Desroches Daily'!AT32</f>
        <v>149.99999999997726</v>
      </c>
      <c r="AA30" s="35">
        <f>'FS Desroches Daily'!AT32</f>
        <v>149.99999999997726</v>
      </c>
      <c r="AB30" s="35">
        <f>'FS Desroches Daily'!AV32</f>
        <v>180.00000000000682</v>
      </c>
      <c r="AC30" s="35">
        <f>'FS Desroches Daily'!AZ32</f>
        <v>50.000000000011369</v>
      </c>
      <c r="AD30" s="35">
        <f>'FS Desroches Daily'!BB32</f>
        <v>29.999999999972715</v>
      </c>
      <c r="AE30" s="35">
        <f>'FS Desroches Daily'!BD32</f>
        <v>69.999999999993179</v>
      </c>
      <c r="AF30" s="31">
        <f>'FS Desroches Daily'!BF32</f>
        <v>23</v>
      </c>
      <c r="AG30" s="32">
        <f>'FS Desroches Daily'!BH32</f>
        <v>39.999999999992042</v>
      </c>
      <c r="AH30" s="32">
        <f>'FS Desroches Daily'!BJ32</f>
        <v>19.99999999998181</v>
      </c>
      <c r="AI30" s="32">
        <f>'FS Desroches Daily'!BL32</f>
        <v>30.000000000001137</v>
      </c>
      <c r="AJ30" s="32">
        <f>'FS Desroches Daily'!BN32</f>
        <v>50.000000000011369</v>
      </c>
      <c r="AK30" s="32">
        <f>'FS Desroches Daily'!BP32</f>
        <v>30.000000000029559</v>
      </c>
      <c r="AL30" s="32">
        <f>'FS Desroches Daily'!BR32</f>
        <v>25</v>
      </c>
      <c r="AM30" s="32">
        <f>'FS Desroches Daily'!BT32</f>
        <v>30.000000000001137</v>
      </c>
      <c r="AN30" s="32">
        <f>'FS Desroches Daily'!BV32</f>
        <v>41</v>
      </c>
      <c r="AO30" s="32">
        <f>'FS Desroches Daily'!BX32</f>
        <v>30.000000000001137</v>
      </c>
      <c r="AP30" s="32">
        <f>'FS Desroches Daily'!BZ32</f>
        <v>43</v>
      </c>
      <c r="AQ30" s="31">
        <f>'FS Desroches Daily'!CB32</f>
        <v>38.799999999995634</v>
      </c>
      <c r="AR30" s="31">
        <f>'FS Desroches Daily'!CD32</f>
        <v>8.5</v>
      </c>
      <c r="AS30" s="31">
        <f>'FS Desroches Daily'!CF32</f>
        <v>0.6999999999998181</v>
      </c>
      <c r="AT30" s="31">
        <f>'FS Desroches Daily'!CH32</f>
        <v>47.80000000000291</v>
      </c>
      <c r="AU30" s="31">
        <f>'FS Desroches Daily'!CJ32</f>
        <v>268</v>
      </c>
      <c r="AV30" s="31">
        <f>'FS Desroches Daily'!CL32</f>
        <v>769.99999999998181</v>
      </c>
      <c r="AW30" s="31">
        <f>'FS Desroches Daily'!CM32</f>
        <v>66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>0</v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56499.999999999789</v>
      </c>
      <c r="F33" s="17">
        <f t="shared" ref="F33:BC33" si="1">SUM(F2:F32)</f>
        <v>73199.999999999956</v>
      </c>
      <c r="G33" s="17">
        <f t="shared" si="1"/>
        <v>72700.000000000218</v>
      </c>
      <c r="H33" s="17">
        <f t="shared" si="1"/>
        <v>35100.000000000146</v>
      </c>
      <c r="I33" s="17">
        <f t="shared" si="1"/>
        <v>56900.000000000204</v>
      </c>
      <c r="J33" s="17">
        <f t="shared" si="1"/>
        <v>25800.000000000051</v>
      </c>
      <c r="K33" s="17">
        <f t="shared" si="1"/>
        <v>126</v>
      </c>
      <c r="L33" s="17">
        <f t="shared" si="1"/>
        <v>55</v>
      </c>
      <c r="M33" s="17">
        <f t="shared" si="1"/>
        <v>22264.599999999933</v>
      </c>
      <c r="N33" s="17">
        <f t="shared" si="1"/>
        <v>8634.5</v>
      </c>
      <c r="O33" s="17">
        <f t="shared" si="1"/>
        <v>7030.0000000000309</v>
      </c>
      <c r="P33" s="17">
        <f t="shared" si="1"/>
        <v>65500.000000000146</v>
      </c>
      <c r="Q33" s="17">
        <f t="shared" si="1"/>
        <v>7780.0000000000291</v>
      </c>
      <c r="R33" s="17">
        <f t="shared" si="1"/>
        <v>6940</v>
      </c>
      <c r="S33" s="17">
        <f t="shared" si="1"/>
        <v>7909.9999999999682</v>
      </c>
      <c r="T33" s="17">
        <f t="shared" si="1"/>
        <v>976</v>
      </c>
      <c r="U33" s="35">
        <f t="shared" si="1"/>
        <v>17639.999999999985</v>
      </c>
      <c r="V33" s="35">
        <f t="shared" si="1"/>
        <v>4490.0000000000091</v>
      </c>
      <c r="W33" s="35">
        <f t="shared" si="1"/>
        <v>4169.9999999999873</v>
      </c>
      <c r="X33" s="35">
        <f t="shared" si="1"/>
        <v>3100.0000000000227</v>
      </c>
      <c r="Y33" s="35">
        <f t="shared" si="1"/>
        <v>4570.0000000000227</v>
      </c>
      <c r="Z33" s="35">
        <f t="shared" si="1"/>
        <v>5196.8800000000256</v>
      </c>
      <c r="AA33" s="35">
        <f t="shared" si="1"/>
        <v>5196.8800000000256</v>
      </c>
      <c r="AB33" s="35">
        <f t="shared" si="1"/>
        <v>2990.0000000000091</v>
      </c>
      <c r="AC33" s="35">
        <f t="shared" si="1"/>
        <v>1250</v>
      </c>
      <c r="AD33" s="35">
        <f t="shared" si="1"/>
        <v>730.00000000001819</v>
      </c>
      <c r="AE33" s="35">
        <f t="shared" si="1"/>
        <v>2799.9999999999827</v>
      </c>
      <c r="AF33" s="17">
        <f t="shared" si="1"/>
        <v>837</v>
      </c>
      <c r="AG33" s="32">
        <f t="shared" si="1"/>
        <v>1000</v>
      </c>
      <c r="AH33" s="32">
        <f t="shared" si="1"/>
        <v>759.99999999999091</v>
      </c>
      <c r="AI33" s="32">
        <f t="shared" si="1"/>
        <v>780.00000000000114</v>
      </c>
      <c r="AJ33" s="32">
        <f t="shared" si="1"/>
        <v>1050.0000000000114</v>
      </c>
      <c r="AK33" s="32">
        <f t="shared" si="1"/>
        <v>970.00000000002728</v>
      </c>
      <c r="AL33" s="32">
        <f t="shared" si="1"/>
        <v>814</v>
      </c>
      <c r="AM33" s="32">
        <f t="shared" si="1"/>
        <v>829.99999999998408</v>
      </c>
      <c r="AN33" s="32">
        <f t="shared" si="1"/>
        <v>1106</v>
      </c>
      <c r="AO33" s="32">
        <f t="shared" si="1"/>
        <v>650.00000000000568</v>
      </c>
      <c r="AP33" s="32">
        <f t="shared" si="1"/>
        <v>1228</v>
      </c>
      <c r="AQ33" s="17">
        <f t="shared" si="1"/>
        <v>1021.1999999999971</v>
      </c>
      <c r="AR33" s="17">
        <f t="shared" si="1"/>
        <v>252.5</v>
      </c>
      <c r="AS33" s="17">
        <f t="shared" si="1"/>
        <v>151.30000000000018</v>
      </c>
      <c r="AT33" s="17">
        <f t="shared" si="1"/>
        <v>990.09999999999854</v>
      </c>
      <c r="AU33" s="17">
        <f t="shared" si="1"/>
        <v>7828</v>
      </c>
      <c r="AV33" s="17">
        <f t="shared" si="1"/>
        <v>18349.999999999909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203.29649999999995</v>
      </c>
      <c r="BC33" s="17">
        <f t="shared" si="1"/>
        <v>283</v>
      </c>
    </row>
    <row r="35" spans="5:55" x14ac:dyDescent="0.25">
      <c r="E35" s="38">
        <f>E33/E37</f>
        <v>0.22205802592379975</v>
      </c>
      <c r="G35" s="29">
        <f>G33-M36</f>
        <v>41800.900000000285</v>
      </c>
      <c r="AE35" s="35">
        <f>SUM(U33:AE33)</f>
        <v>52133.760000000082</v>
      </c>
      <c r="AG35" s="32">
        <f>SUM(AG33:AP33)</f>
        <v>9188.00000000002</v>
      </c>
    </row>
    <row r="36" spans="5:55" x14ac:dyDescent="0.25">
      <c r="G36" s="29">
        <f>G35-633*14</f>
        <v>32938.900000000285</v>
      </c>
      <c r="M36" s="29">
        <f>M33+N33</f>
        <v>30899.099999999933</v>
      </c>
    </row>
    <row r="37" spans="5:55" x14ac:dyDescent="0.25">
      <c r="E37" s="17">
        <f>E33+F33+G33+H33+J33-633*14</f>
        <v>254438.00000000012</v>
      </c>
      <c r="G37" s="37">
        <f>M36/E37</f>
        <v>0.12144058670481579</v>
      </c>
      <c r="M37" s="35">
        <f>AE35</f>
        <v>52133.760000000082</v>
      </c>
    </row>
    <row r="38" spans="5:55" x14ac:dyDescent="0.25">
      <c r="L38" s="27">
        <f>M38/E37</f>
        <v>3.611095826881211E-2</v>
      </c>
      <c r="M38" s="29">
        <f>AG35</f>
        <v>9188.00000000002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0" activePane="bottomLeft" state="frozen"/>
      <selection pane="bottomLeft" activeCell="BG41" sqref="BG4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20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286.83</v>
      </c>
      <c r="AV19" s="65">
        <f>IF((AU19-AU18&lt;0), "",(AU19-AU18)*1000)</f>
        <v>69.999999999993179</v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50.000000000011369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4" t="str">
        <f>IF((S21-S20&lt;0), "0",(S21-S20)*1000)</f>
        <v>0</v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573.03</v>
      </c>
      <c r="AF21" s="65">
        <f t="shared" si="13"/>
        <v>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>
        <v>2.3346</v>
      </c>
      <c r="D22" s="64">
        <f t="shared" si="0"/>
        <v>2099.9999999999909</v>
      </c>
      <c r="E22" s="58">
        <v>3.3191000000000002</v>
      </c>
      <c r="F22" s="64">
        <f t="shared" si="1"/>
        <v>2600.0000000001578</v>
      </c>
      <c r="G22" s="58">
        <v>3.3740000000000001</v>
      </c>
      <c r="H22" s="64">
        <f t="shared" si="2"/>
        <v>2499.9999999999468</v>
      </c>
      <c r="I22" s="58">
        <v>1.6649</v>
      </c>
      <c r="J22" s="64">
        <f t="shared" si="3"/>
        <v>1200.0000000000898</v>
      </c>
      <c r="K22" s="58">
        <v>2.6873</v>
      </c>
      <c r="L22" s="64">
        <f t="shared" si="4"/>
        <v>2099.9999999999909</v>
      </c>
      <c r="M22" s="58">
        <v>1.4786999999999999</v>
      </c>
      <c r="N22" s="64">
        <f t="shared" si="5"/>
        <v>799.99999999991189</v>
      </c>
      <c r="O22" s="58">
        <v>14500</v>
      </c>
      <c r="P22" s="67">
        <f t="shared" si="44"/>
        <v>6</v>
      </c>
      <c r="Q22" s="58">
        <v>1072</v>
      </c>
      <c r="R22" s="67">
        <f t="shared" si="6"/>
        <v>2</v>
      </c>
      <c r="S22" s="58">
        <v>1010</v>
      </c>
      <c r="T22" s="64">
        <f t="shared" ref="T22:T34" si="45">IF((S22-S21&lt;0), "0",(S22-S21)*1000)</f>
        <v>899.99999999997726</v>
      </c>
      <c r="U22" s="58">
        <v>423954.1</v>
      </c>
      <c r="V22" s="67">
        <f t="shared" si="8"/>
        <v>302.79999999998836</v>
      </c>
      <c r="W22" s="58">
        <v>403.66</v>
      </c>
      <c r="X22" s="65">
        <f t="shared" si="9"/>
        <v>240.00000000000909</v>
      </c>
      <c r="Y22" s="58">
        <v>2.9020000000000001</v>
      </c>
      <c r="Z22" s="65">
        <f t="shared" si="10"/>
        <v>2400.0000000001796</v>
      </c>
      <c r="AA22" s="58">
        <v>402</v>
      </c>
      <c r="AB22" s="65">
        <f t="shared" si="11"/>
        <v>199.99999999998863</v>
      </c>
      <c r="AC22" s="58">
        <v>375.94</v>
      </c>
      <c r="AD22" s="65">
        <f t="shared" si="12"/>
        <v>199.99999999998863</v>
      </c>
      <c r="AE22" s="58">
        <v>573.32000000000005</v>
      </c>
      <c r="AF22" s="65">
        <f t="shared" si="13"/>
        <v>290.00000000007731</v>
      </c>
      <c r="AG22" s="58">
        <v>5215</v>
      </c>
      <c r="AH22" s="67">
        <f t="shared" si="14"/>
        <v>36</v>
      </c>
      <c r="AI22" s="58">
        <v>629.05999999999995</v>
      </c>
      <c r="AJ22" s="65">
        <f t="shared" si="15"/>
        <v>809.99999999994543</v>
      </c>
      <c r="AK22" s="58">
        <v>208.29</v>
      </c>
      <c r="AL22" s="65">
        <f t="shared" si="15"/>
        <v>150.00000000000568</v>
      </c>
      <c r="AM22" s="58">
        <v>198.19</v>
      </c>
      <c r="AN22" s="65">
        <f t="shared" si="15"/>
        <v>150.00000000000568</v>
      </c>
      <c r="AO22" s="58">
        <v>191.73</v>
      </c>
      <c r="AP22" s="65">
        <f t="shared" si="15"/>
        <v>109.99999999998522</v>
      </c>
      <c r="AQ22" s="58">
        <v>250.34</v>
      </c>
      <c r="AR22" s="65">
        <f t="shared" si="16"/>
        <v>90.000000000003411</v>
      </c>
      <c r="AS22" s="58">
        <v>376.47</v>
      </c>
      <c r="AT22" s="65">
        <f t="shared" si="17"/>
        <v>120.00000000000455</v>
      </c>
      <c r="AU22" s="58">
        <v>287.04000000000002</v>
      </c>
      <c r="AV22" s="65">
        <f t="shared" si="18"/>
        <v>90.000000000031832</v>
      </c>
      <c r="AW22" s="58">
        <v>321.76</v>
      </c>
      <c r="AX22" s="65">
        <f t="shared" si="19"/>
        <v>149.99999999997726</v>
      </c>
      <c r="AY22" s="58">
        <v>362.49</v>
      </c>
      <c r="AZ22" s="65">
        <f t="shared" si="20"/>
        <v>40.000000000020464</v>
      </c>
      <c r="BA22" s="58">
        <v>381.72</v>
      </c>
      <c r="BB22" s="65">
        <f t="shared" si="21"/>
        <v>20.000000000038654</v>
      </c>
      <c r="BC22" s="58">
        <v>243.75</v>
      </c>
      <c r="BD22" s="65">
        <f t="shared" si="22"/>
        <v>150.00000000000568</v>
      </c>
      <c r="BE22" s="59">
        <v>41007</v>
      </c>
      <c r="BF22" s="67">
        <f t="shared" si="39"/>
        <v>31</v>
      </c>
      <c r="BG22" s="60">
        <v>234.99</v>
      </c>
      <c r="BH22" s="65">
        <f t="shared" si="23"/>
        <v>20.000000000010232</v>
      </c>
      <c r="BI22" s="60">
        <v>293.75</v>
      </c>
      <c r="BJ22" s="65">
        <f t="shared" si="40"/>
        <v>19.99999999998181</v>
      </c>
      <c r="BK22" s="60">
        <v>237.57</v>
      </c>
      <c r="BL22" s="65">
        <f t="shared" si="24"/>
        <v>30.000000000001137</v>
      </c>
      <c r="BM22" s="60">
        <v>224.64</v>
      </c>
      <c r="BN22" s="65">
        <f t="shared" si="25"/>
        <v>39.999999999992042</v>
      </c>
      <c r="BO22" s="60">
        <v>288.39999999999998</v>
      </c>
      <c r="BP22" s="65">
        <f t="shared" si="26"/>
        <v>29.999999999972715</v>
      </c>
      <c r="BQ22" s="60">
        <v>45869</v>
      </c>
      <c r="BR22" s="65">
        <f t="shared" si="27"/>
        <v>29</v>
      </c>
      <c r="BS22" s="60">
        <v>201.38</v>
      </c>
      <c r="BT22" s="65">
        <f t="shared" si="42"/>
        <v>30.000000000001137</v>
      </c>
      <c r="BU22" s="60">
        <v>41544</v>
      </c>
      <c r="BV22" s="65">
        <f t="shared" si="29"/>
        <v>45</v>
      </c>
      <c r="BW22" s="60">
        <v>232.46</v>
      </c>
      <c r="BX22" s="65">
        <f t="shared" si="30"/>
        <v>30.000000000001137</v>
      </c>
      <c r="BY22" s="60">
        <v>61300</v>
      </c>
      <c r="BZ22" s="67">
        <f t="shared" si="31"/>
        <v>45</v>
      </c>
      <c r="CA22" s="60">
        <v>32692.799999999999</v>
      </c>
      <c r="CB22" s="67">
        <f t="shared" si="32"/>
        <v>26.299999999999272</v>
      </c>
      <c r="CC22" s="60">
        <v>12360.8</v>
      </c>
      <c r="CD22" s="67">
        <f t="shared" si="33"/>
        <v>9.0999999999985448</v>
      </c>
      <c r="CE22" s="60">
        <v>6521.4</v>
      </c>
      <c r="CF22" s="67">
        <f t="shared" si="34"/>
        <v>0.7999999999992724</v>
      </c>
      <c r="CG22" s="60">
        <v>60258.1</v>
      </c>
      <c r="CH22" s="67">
        <f t="shared" si="35"/>
        <v>17.799999999995634</v>
      </c>
      <c r="CI22" s="60">
        <v>954731</v>
      </c>
      <c r="CJ22" s="67">
        <f t="shared" si="36"/>
        <v>292</v>
      </c>
      <c r="CK22" s="60">
        <v>777.42</v>
      </c>
      <c r="CL22" s="64">
        <f t="shared" si="37"/>
        <v>649.99999999997726</v>
      </c>
      <c r="CM22" s="65">
        <f t="shared" si="41"/>
        <v>67</v>
      </c>
      <c r="CN22" s="62">
        <v>0</v>
      </c>
      <c r="CO22" s="62">
        <v>0</v>
      </c>
      <c r="CP22" s="68">
        <v>10634</v>
      </c>
      <c r="CQ22" s="67">
        <f t="shared" si="38"/>
        <v>42</v>
      </c>
      <c r="CR22" s="68">
        <v>14657</v>
      </c>
      <c r="CS22" s="67">
        <f t="shared" si="38"/>
        <v>25</v>
      </c>
      <c r="CT22" s="75">
        <v>6715</v>
      </c>
      <c r="CU22" s="67">
        <f t="shared" si="38"/>
        <v>11</v>
      </c>
      <c r="CV22" s="68">
        <v>15913</v>
      </c>
      <c r="CW22" s="67">
        <f t="shared" si="38"/>
        <v>39</v>
      </c>
    </row>
    <row r="23" spans="1:101" ht="25.5" customHeight="1" thickBot="1" x14ac:dyDescent="0.45">
      <c r="A23" s="63">
        <v>44397</v>
      </c>
      <c r="B23" s="44"/>
      <c r="C23" s="58">
        <v>2.3367</v>
      </c>
      <c r="D23" s="64">
        <f t="shared" si="0"/>
        <v>2099.9999999999909</v>
      </c>
      <c r="E23" s="58">
        <v>3.3218000000000001</v>
      </c>
      <c r="F23" s="64">
        <f t="shared" si="1"/>
        <v>2699.9999999999245</v>
      </c>
      <c r="G23" s="58">
        <v>3.3767</v>
      </c>
      <c r="H23" s="64">
        <f t="shared" si="2"/>
        <v>2699.9999999999245</v>
      </c>
      <c r="I23" s="58">
        <v>1.6660999999999999</v>
      </c>
      <c r="J23" s="64">
        <f t="shared" si="3"/>
        <v>1199.9999999998679</v>
      </c>
      <c r="K23" s="58">
        <v>2.6894999999999998</v>
      </c>
      <c r="L23" s="64">
        <f t="shared" si="4"/>
        <v>2199.9999999997576</v>
      </c>
      <c r="M23" s="58">
        <v>1.4795</v>
      </c>
      <c r="N23" s="64">
        <f t="shared" si="5"/>
        <v>800.00000000013392</v>
      </c>
      <c r="O23" s="58">
        <v>14506</v>
      </c>
      <c r="P23" s="67">
        <f t="shared" si="44"/>
        <v>6</v>
      </c>
      <c r="Q23" s="58">
        <v>1074</v>
      </c>
      <c r="R23" s="67">
        <f t="shared" si="6"/>
        <v>2</v>
      </c>
      <c r="S23" s="58">
        <v>1010.8</v>
      </c>
      <c r="T23" s="64">
        <f t="shared" si="45"/>
        <v>799.99999999995453</v>
      </c>
      <c r="U23" s="58">
        <v>424283.4</v>
      </c>
      <c r="V23" s="67">
        <f t="shared" si="8"/>
        <v>329.30000000004657</v>
      </c>
      <c r="W23" s="58">
        <v>403.89</v>
      </c>
      <c r="X23" s="65">
        <f t="shared" si="9"/>
        <v>229.99999999996135</v>
      </c>
      <c r="Y23" s="58">
        <v>2.9043999999999999</v>
      </c>
      <c r="Z23" s="65">
        <f t="shared" si="10"/>
        <v>2399.9999999997358</v>
      </c>
      <c r="AA23" s="58">
        <v>402.26</v>
      </c>
      <c r="AB23" s="65">
        <f t="shared" si="11"/>
        <v>259.99999999999091</v>
      </c>
      <c r="AC23" s="58">
        <v>376.19</v>
      </c>
      <c r="AD23" s="65">
        <f t="shared" si="12"/>
        <v>250</v>
      </c>
      <c r="AE23" s="58">
        <v>573.57000000000005</v>
      </c>
      <c r="AF23" s="65">
        <f t="shared" si="13"/>
        <v>250</v>
      </c>
      <c r="AG23" s="58">
        <v>5251</v>
      </c>
      <c r="AH23" s="67">
        <f t="shared" si="14"/>
        <v>36</v>
      </c>
      <c r="AI23" s="58">
        <v>629.85</v>
      </c>
      <c r="AJ23" s="65">
        <f t="shared" si="15"/>
        <v>790.00000000007731</v>
      </c>
      <c r="AK23" s="58">
        <v>208.42</v>
      </c>
      <c r="AL23" s="65">
        <f t="shared" si="15"/>
        <v>129.99999999999545</v>
      </c>
      <c r="AM23" s="58">
        <v>198.34</v>
      </c>
      <c r="AN23" s="65">
        <f t="shared" si="15"/>
        <v>150.00000000000568</v>
      </c>
      <c r="AO23" s="58">
        <v>191.85</v>
      </c>
      <c r="AP23" s="65">
        <f t="shared" si="15"/>
        <v>120.00000000000455</v>
      </c>
      <c r="AQ23" s="58">
        <v>250.45</v>
      </c>
      <c r="AR23" s="65">
        <f t="shared" si="16"/>
        <v>109.99999999998522</v>
      </c>
      <c r="AS23" s="58">
        <v>376.58</v>
      </c>
      <c r="AT23" s="65">
        <f t="shared" si="17"/>
        <v>109.9999999999568</v>
      </c>
      <c r="AU23" s="58">
        <v>287.14</v>
      </c>
      <c r="AV23" s="65">
        <f t="shared" si="18"/>
        <v>99.999999999965894</v>
      </c>
      <c r="AW23" s="58">
        <v>321.88</v>
      </c>
      <c r="AX23" s="65">
        <f t="shared" si="19"/>
        <v>120.00000000000455</v>
      </c>
      <c r="AY23" s="58">
        <v>362.54</v>
      </c>
      <c r="AZ23" s="65">
        <f t="shared" si="20"/>
        <v>50.000000000011369</v>
      </c>
      <c r="BA23" s="58">
        <v>381.76</v>
      </c>
      <c r="BB23" s="65">
        <f t="shared" si="21"/>
        <v>39.99999999996362</v>
      </c>
      <c r="BC23" s="58">
        <v>243.92</v>
      </c>
      <c r="BD23" s="65">
        <f t="shared" si="22"/>
        <v>169.99999999998749</v>
      </c>
      <c r="BE23" s="59">
        <v>41027</v>
      </c>
      <c r="BF23" s="67">
        <f t="shared" si="39"/>
        <v>20</v>
      </c>
      <c r="BG23" s="60">
        <v>235.02</v>
      </c>
      <c r="BH23" s="65">
        <f t="shared" si="23"/>
        <v>30.000000000001137</v>
      </c>
      <c r="BI23" s="60">
        <v>293.77999999999997</v>
      </c>
      <c r="BJ23" s="65">
        <f t="shared" si="40"/>
        <v>29.999999999972715</v>
      </c>
      <c r="BK23" s="60">
        <v>237.6</v>
      </c>
      <c r="BL23" s="65">
        <f t="shared" si="24"/>
        <v>30.000000000001137</v>
      </c>
      <c r="BM23" s="60">
        <v>224.68</v>
      </c>
      <c r="BN23" s="65">
        <f t="shared" si="25"/>
        <v>40.000000000020464</v>
      </c>
      <c r="BO23" s="60">
        <v>288.44</v>
      </c>
      <c r="BP23" s="65">
        <f t="shared" si="26"/>
        <v>40.000000000020464</v>
      </c>
      <c r="BQ23" s="60">
        <v>45904</v>
      </c>
      <c r="BR23" s="65">
        <f t="shared" si="27"/>
        <v>35</v>
      </c>
      <c r="BS23" s="60">
        <v>201.41</v>
      </c>
      <c r="BT23" s="65">
        <f t="shared" si="42"/>
        <v>30.000000000001137</v>
      </c>
      <c r="BU23" s="60">
        <v>41586</v>
      </c>
      <c r="BV23" s="65">
        <f t="shared" si="29"/>
        <v>42</v>
      </c>
      <c r="BW23" s="60">
        <v>232.48</v>
      </c>
      <c r="BX23" s="65">
        <f t="shared" si="30"/>
        <v>19.99999999998181</v>
      </c>
      <c r="BY23" s="60">
        <v>61352</v>
      </c>
      <c r="BZ23" s="67">
        <f t="shared" si="31"/>
        <v>52</v>
      </c>
      <c r="CA23" s="60">
        <v>32728.400000000001</v>
      </c>
      <c r="CB23" s="67">
        <f t="shared" si="32"/>
        <v>35.600000000002183</v>
      </c>
      <c r="CC23" s="60">
        <v>12369.4</v>
      </c>
      <c r="CD23" s="67">
        <f t="shared" si="33"/>
        <v>8.6000000000003638</v>
      </c>
      <c r="CE23" s="60">
        <v>6530.3</v>
      </c>
      <c r="CF23" s="67">
        <f t="shared" si="34"/>
        <v>8.9000000000005457</v>
      </c>
      <c r="CG23" s="60">
        <v>60291.199999999997</v>
      </c>
      <c r="CH23" s="67">
        <f t="shared" si="35"/>
        <v>33.099999999998545</v>
      </c>
      <c r="CI23" s="60">
        <v>955003</v>
      </c>
      <c r="CJ23" s="67">
        <f t="shared" si="36"/>
        <v>272</v>
      </c>
      <c r="CK23" s="60">
        <v>778.11</v>
      </c>
      <c r="CL23" s="64">
        <f t="shared" si="37"/>
        <v>690.00000000005457</v>
      </c>
      <c r="CM23" s="65">
        <f t="shared" si="41"/>
        <v>67</v>
      </c>
      <c r="CN23" s="62">
        <v>14</v>
      </c>
      <c r="CO23" s="62">
        <v>49</v>
      </c>
      <c r="CP23" s="68">
        <v>10677</v>
      </c>
      <c r="CQ23" s="67">
        <f t="shared" si="38"/>
        <v>43</v>
      </c>
      <c r="CR23" s="68">
        <v>14681</v>
      </c>
      <c r="CS23" s="67">
        <f t="shared" si="38"/>
        <v>24</v>
      </c>
      <c r="CT23" s="75">
        <v>6727</v>
      </c>
      <c r="CU23" s="67">
        <f t="shared" si="38"/>
        <v>12</v>
      </c>
      <c r="CV23" s="68">
        <v>15959</v>
      </c>
      <c r="CW23" s="67">
        <f t="shared" si="38"/>
        <v>46</v>
      </c>
    </row>
    <row r="24" spans="1:101" ht="25.5" customHeight="1" thickBot="1" x14ac:dyDescent="0.45">
      <c r="A24" s="63">
        <v>44398</v>
      </c>
      <c r="B24" s="44"/>
      <c r="C24" s="58">
        <v>2.3388</v>
      </c>
      <c r="D24" s="64">
        <f t="shared" si="0"/>
        <v>2099.9999999999909</v>
      </c>
      <c r="E24" s="58">
        <v>3.3243999999999998</v>
      </c>
      <c r="F24" s="64">
        <f t="shared" si="1"/>
        <v>2599.9999999997135</v>
      </c>
      <c r="G24" s="58">
        <v>3.3794</v>
      </c>
      <c r="H24" s="64">
        <f t="shared" si="2"/>
        <v>2699.9999999999245</v>
      </c>
      <c r="I24" s="58">
        <v>1.6674</v>
      </c>
      <c r="J24" s="64">
        <f t="shared" si="3"/>
        <v>1300.0000000000789</v>
      </c>
      <c r="K24" s="58">
        <v>2.6916000000000002</v>
      </c>
      <c r="L24" s="64">
        <f t="shared" si="4"/>
        <v>2100.0000000004347</v>
      </c>
      <c r="M24" s="58">
        <v>1.4802999999999999</v>
      </c>
      <c r="N24" s="64">
        <f t="shared" si="5"/>
        <v>799.99999999991189</v>
      </c>
      <c r="O24" s="58">
        <v>14506</v>
      </c>
      <c r="P24" s="67">
        <f t="shared" si="44"/>
        <v>0</v>
      </c>
      <c r="Q24" s="58">
        <v>1076</v>
      </c>
      <c r="R24" s="67">
        <f t="shared" si="6"/>
        <v>2</v>
      </c>
      <c r="S24" s="58">
        <v>1011.9</v>
      </c>
      <c r="T24" s="64">
        <f t="shared" si="45"/>
        <v>1100.0000000000227</v>
      </c>
      <c r="U24" s="58">
        <v>424685.5</v>
      </c>
      <c r="V24" s="67">
        <f t="shared" si="8"/>
        <v>402.09999999997672</v>
      </c>
      <c r="W24" s="58">
        <v>404.13</v>
      </c>
      <c r="X24" s="65">
        <f t="shared" si="9"/>
        <v>240.00000000000909</v>
      </c>
      <c r="Y24" s="58">
        <v>2.9068000000000001</v>
      </c>
      <c r="Z24" s="65">
        <f t="shared" si="10"/>
        <v>2400.0000000001796</v>
      </c>
      <c r="AA24" s="58">
        <v>402.52</v>
      </c>
      <c r="AB24" s="65">
        <f t="shared" si="11"/>
        <v>259.99999999999091</v>
      </c>
      <c r="AC24" s="58">
        <v>376.43</v>
      </c>
      <c r="AD24" s="65">
        <f t="shared" si="12"/>
        <v>240.00000000000909</v>
      </c>
      <c r="AE24" s="58">
        <v>573.78</v>
      </c>
      <c r="AF24" s="65">
        <f t="shared" si="13"/>
        <v>209.99999999992269</v>
      </c>
      <c r="AG24" s="58">
        <v>5276</v>
      </c>
      <c r="AH24" s="67">
        <f t="shared" si="14"/>
        <v>25</v>
      </c>
      <c r="AI24" s="58">
        <v>630.65</v>
      </c>
      <c r="AJ24" s="65">
        <f t="shared" si="15"/>
        <v>799.99999999995453</v>
      </c>
      <c r="AK24" s="58">
        <v>208.53</v>
      </c>
      <c r="AL24" s="65">
        <f t="shared" si="15"/>
        <v>110.00000000001364</v>
      </c>
      <c r="AM24" s="58">
        <v>198.5</v>
      </c>
      <c r="AN24" s="65">
        <f t="shared" si="15"/>
        <v>159.99999999999659</v>
      </c>
      <c r="AO24" s="58">
        <v>191.94</v>
      </c>
      <c r="AP24" s="65">
        <f t="shared" si="15"/>
        <v>90.000000000003411</v>
      </c>
      <c r="AQ24" s="58">
        <v>250.53</v>
      </c>
      <c r="AR24" s="65">
        <f t="shared" si="16"/>
        <v>80.000000000012506</v>
      </c>
      <c r="AS24" s="58">
        <v>376.7</v>
      </c>
      <c r="AT24" s="65">
        <f t="shared" si="17"/>
        <v>120.00000000000455</v>
      </c>
      <c r="AU24" s="58">
        <v>287.23</v>
      </c>
      <c r="AV24" s="65">
        <f t="shared" si="18"/>
        <v>90.000000000031832</v>
      </c>
      <c r="AW24" s="58">
        <v>322.01</v>
      </c>
      <c r="AX24" s="65">
        <f t="shared" si="19"/>
        <v>129.99999999999545</v>
      </c>
      <c r="AY24" s="58">
        <v>362.58</v>
      </c>
      <c r="AZ24" s="65">
        <f t="shared" si="20"/>
        <v>39.99999999996362</v>
      </c>
      <c r="BA24" s="58">
        <v>381.79</v>
      </c>
      <c r="BB24" s="65">
        <f t="shared" si="21"/>
        <v>30.000000000029559</v>
      </c>
      <c r="BC24" s="58">
        <v>244.05</v>
      </c>
      <c r="BD24" s="65">
        <f t="shared" si="22"/>
        <v>130.00000000002387</v>
      </c>
      <c r="BE24" s="59">
        <v>41048</v>
      </c>
      <c r="BF24" s="67">
        <f t="shared" si="39"/>
        <v>21</v>
      </c>
      <c r="BG24" s="60">
        <v>235.04</v>
      </c>
      <c r="BH24" s="65">
        <f t="shared" si="23"/>
        <v>19.99999999998181</v>
      </c>
      <c r="BI24" s="60">
        <v>293.81</v>
      </c>
      <c r="BJ24" s="65">
        <f t="shared" si="40"/>
        <v>30.000000000029559</v>
      </c>
      <c r="BK24" s="60">
        <v>237.62</v>
      </c>
      <c r="BL24" s="65">
        <f t="shared" si="24"/>
        <v>20.000000000010232</v>
      </c>
      <c r="BM24" s="60">
        <v>224.72</v>
      </c>
      <c r="BN24" s="65">
        <f t="shared" si="25"/>
        <v>39.999999999992042</v>
      </c>
      <c r="BO24" s="60">
        <v>288.48</v>
      </c>
      <c r="BP24" s="65">
        <f t="shared" si="26"/>
        <v>40.000000000020464</v>
      </c>
      <c r="BQ24" s="60">
        <v>45936</v>
      </c>
      <c r="BR24" s="65">
        <f t="shared" si="27"/>
        <v>32</v>
      </c>
      <c r="BS24" s="60">
        <v>201.44</v>
      </c>
      <c r="BT24" s="65">
        <f t="shared" si="42"/>
        <v>30.000000000001137</v>
      </c>
      <c r="BU24" s="60">
        <v>41623</v>
      </c>
      <c r="BV24" s="65">
        <f t="shared" si="29"/>
        <v>37</v>
      </c>
      <c r="BW24" s="60">
        <v>232.51</v>
      </c>
      <c r="BX24" s="65">
        <f t="shared" si="30"/>
        <v>30.000000000001137</v>
      </c>
      <c r="BY24" s="60">
        <v>61399</v>
      </c>
      <c r="BZ24" s="67">
        <f t="shared" si="31"/>
        <v>47</v>
      </c>
      <c r="CA24" s="60">
        <v>32754.7</v>
      </c>
      <c r="CB24" s="67">
        <f t="shared" si="32"/>
        <v>26.299999999999272</v>
      </c>
      <c r="CC24" s="60">
        <v>12378</v>
      </c>
      <c r="CD24" s="67">
        <f t="shared" si="33"/>
        <v>8.6000000000003638</v>
      </c>
      <c r="CE24" s="60">
        <v>6542.2</v>
      </c>
      <c r="CF24" s="67">
        <f t="shared" si="34"/>
        <v>11.899999999999636</v>
      </c>
      <c r="CG24" s="60">
        <v>60324.4</v>
      </c>
      <c r="CH24" s="67">
        <f t="shared" si="35"/>
        <v>33.200000000004366</v>
      </c>
      <c r="CI24" s="60">
        <v>955271</v>
      </c>
      <c r="CJ24" s="67">
        <f t="shared" si="36"/>
        <v>268</v>
      </c>
      <c r="CK24" s="60">
        <v>778.67</v>
      </c>
      <c r="CL24" s="64">
        <f t="shared" si="37"/>
        <v>559.99999999994543</v>
      </c>
      <c r="CM24" s="65">
        <f t="shared" si="41"/>
        <v>71</v>
      </c>
      <c r="CN24" s="62">
        <v>14</v>
      </c>
      <c r="CO24" s="62">
        <v>49</v>
      </c>
      <c r="CP24" s="68">
        <v>10727</v>
      </c>
      <c r="CQ24" s="67">
        <f t="shared" si="38"/>
        <v>50</v>
      </c>
      <c r="CR24" s="68">
        <v>14702</v>
      </c>
      <c r="CS24" s="67">
        <f t="shared" si="38"/>
        <v>21</v>
      </c>
      <c r="CT24" s="75">
        <v>6739</v>
      </c>
      <c r="CU24" s="67">
        <f t="shared" si="38"/>
        <v>12</v>
      </c>
      <c r="CV24" s="68">
        <v>16011</v>
      </c>
      <c r="CW24" s="67">
        <f t="shared" si="38"/>
        <v>52</v>
      </c>
    </row>
    <row r="25" spans="1:101" ht="25.5" customHeight="1" thickBot="1" x14ac:dyDescent="0.45">
      <c r="A25" s="63">
        <v>44399</v>
      </c>
      <c r="B25" s="44"/>
      <c r="C25" s="58">
        <v>2.3420999999999998</v>
      </c>
      <c r="D25" s="64">
        <f t="shared" si="0"/>
        <v>3299.9999999998586</v>
      </c>
      <c r="E25" s="58">
        <v>3.3277999999999999</v>
      </c>
      <c r="F25" s="64">
        <f t="shared" si="1"/>
        <v>3400.0000000000696</v>
      </c>
      <c r="G25" s="58">
        <v>3.3833000000000002</v>
      </c>
      <c r="H25" s="64">
        <f t="shared" si="2"/>
        <v>3900.0000000002365</v>
      </c>
      <c r="I25" s="58">
        <v>1.6689000000000001</v>
      </c>
      <c r="J25" s="64">
        <f t="shared" si="3"/>
        <v>1500.0000000000568</v>
      </c>
      <c r="K25" s="58">
        <v>2.6943000000000001</v>
      </c>
      <c r="L25" s="64">
        <f t="shared" si="4"/>
        <v>2699.9999999999245</v>
      </c>
      <c r="M25" s="58">
        <v>1.4816</v>
      </c>
      <c r="N25" s="64">
        <f t="shared" si="5"/>
        <v>1300.0000000000789</v>
      </c>
      <c r="O25" s="58">
        <v>14514</v>
      </c>
      <c r="P25" s="67">
        <f t="shared" si="44"/>
        <v>8</v>
      </c>
      <c r="Q25" s="58">
        <v>1078</v>
      </c>
      <c r="R25" s="67">
        <f t="shared" si="6"/>
        <v>2</v>
      </c>
      <c r="S25" s="58">
        <v>1013.3</v>
      </c>
      <c r="T25" s="64">
        <f t="shared" si="45"/>
        <v>1399.9999999999773</v>
      </c>
      <c r="U25" s="58">
        <v>425170.1</v>
      </c>
      <c r="V25" s="67">
        <f t="shared" si="8"/>
        <v>484.59999999997672</v>
      </c>
      <c r="W25" s="58">
        <v>404.46</v>
      </c>
      <c r="X25" s="65">
        <f t="shared" si="9"/>
        <v>329.99999999998408</v>
      </c>
      <c r="Y25" s="58">
        <v>2.9098999999999999</v>
      </c>
      <c r="Z25" s="65">
        <f t="shared" si="10"/>
        <v>3099.9999999998809</v>
      </c>
      <c r="AA25" s="58">
        <v>402.93</v>
      </c>
      <c r="AB25" s="65">
        <f t="shared" si="11"/>
        <v>410.00000000002501</v>
      </c>
      <c r="AC25" s="58">
        <v>376.86</v>
      </c>
      <c r="AD25" s="65">
        <f t="shared" si="12"/>
        <v>430.00000000000682</v>
      </c>
      <c r="AE25" s="58">
        <v>574.05999999999995</v>
      </c>
      <c r="AF25" s="65">
        <f t="shared" si="13"/>
        <v>279.99999999997272</v>
      </c>
      <c r="AG25" s="58">
        <v>5332</v>
      </c>
      <c r="AH25" s="67">
        <f t="shared" si="14"/>
        <v>56</v>
      </c>
      <c r="AI25" s="58">
        <v>631.5</v>
      </c>
      <c r="AJ25" s="65">
        <f t="shared" si="15"/>
        <v>850.00000000002274</v>
      </c>
      <c r="AK25" s="58">
        <v>208.65</v>
      </c>
      <c r="AL25" s="65">
        <f t="shared" si="15"/>
        <v>120.00000000000455</v>
      </c>
      <c r="AM25" s="58">
        <v>198.75</v>
      </c>
      <c r="AN25" s="65">
        <f t="shared" si="15"/>
        <v>250</v>
      </c>
      <c r="AO25" s="58">
        <v>192.06</v>
      </c>
      <c r="AP25" s="65">
        <f t="shared" si="15"/>
        <v>120.00000000000455</v>
      </c>
      <c r="AQ25" s="58">
        <v>250.97</v>
      </c>
      <c r="AR25" s="65">
        <f t="shared" si="16"/>
        <v>439.99999999999773</v>
      </c>
      <c r="AS25" s="58">
        <v>377.13</v>
      </c>
      <c r="AT25" s="65">
        <f t="shared" si="17"/>
        <v>430.00000000000682</v>
      </c>
      <c r="AU25" s="58">
        <v>287.58</v>
      </c>
      <c r="AV25" s="65">
        <f t="shared" si="18"/>
        <v>349.99999999996589</v>
      </c>
      <c r="AW25" s="58">
        <v>322.20999999999998</v>
      </c>
      <c r="AX25" s="65">
        <f t="shared" si="19"/>
        <v>199.99999999998863</v>
      </c>
      <c r="AY25" s="58">
        <v>362.66</v>
      </c>
      <c r="AZ25" s="65">
        <f t="shared" si="20"/>
        <v>80.000000000040927</v>
      </c>
      <c r="BA25" s="58">
        <v>381.83</v>
      </c>
      <c r="BB25" s="65">
        <f t="shared" si="21"/>
        <v>39.99999999996362</v>
      </c>
      <c r="BC25" s="58">
        <v>244.24</v>
      </c>
      <c r="BD25" s="65">
        <f t="shared" si="22"/>
        <v>189.99999999999773</v>
      </c>
      <c r="BE25" s="59">
        <v>41098</v>
      </c>
      <c r="BF25" s="67">
        <f t="shared" si="39"/>
        <v>50</v>
      </c>
      <c r="BG25" s="60">
        <v>235.06</v>
      </c>
      <c r="BH25" s="65">
        <f t="shared" si="23"/>
        <v>20.000000000010232</v>
      </c>
      <c r="BI25" s="60">
        <v>293.83999999999997</v>
      </c>
      <c r="BJ25" s="65">
        <f t="shared" si="40"/>
        <v>29.999999999972715</v>
      </c>
      <c r="BK25" s="60">
        <v>237.66</v>
      </c>
      <c r="BL25" s="65">
        <f t="shared" si="24"/>
        <v>39.999999999992042</v>
      </c>
      <c r="BM25" s="60">
        <v>224.76</v>
      </c>
      <c r="BN25" s="65">
        <f t="shared" si="25"/>
        <v>39.999999999992042</v>
      </c>
      <c r="BO25" s="60">
        <v>288.51</v>
      </c>
      <c r="BP25" s="65">
        <f t="shared" si="26"/>
        <v>29.999999999972715</v>
      </c>
      <c r="BQ25" s="60">
        <v>45970</v>
      </c>
      <c r="BR25" s="65">
        <f t="shared" si="27"/>
        <v>34</v>
      </c>
      <c r="BS25" s="60">
        <v>201.47</v>
      </c>
      <c r="BT25" s="65">
        <f t="shared" si="42"/>
        <v>30.000000000001137</v>
      </c>
      <c r="BU25" s="60">
        <v>41672</v>
      </c>
      <c r="BV25" s="65">
        <f t="shared" si="29"/>
        <v>49</v>
      </c>
      <c r="BW25" s="60">
        <v>232.54</v>
      </c>
      <c r="BX25" s="65">
        <f t="shared" si="30"/>
        <v>30.000000000001137</v>
      </c>
      <c r="BY25" s="60">
        <v>61447</v>
      </c>
      <c r="BZ25" s="67">
        <f t="shared" si="31"/>
        <v>48</v>
      </c>
      <c r="CA25" s="60">
        <v>32815.300000000003</v>
      </c>
      <c r="CB25" s="67">
        <f t="shared" si="32"/>
        <v>60.600000000002183</v>
      </c>
      <c r="CC25" s="60">
        <v>12391.5</v>
      </c>
      <c r="CD25" s="67">
        <f t="shared" si="33"/>
        <v>13.5</v>
      </c>
      <c r="CE25" s="60">
        <v>6543.6</v>
      </c>
      <c r="CF25" s="67">
        <f t="shared" si="34"/>
        <v>1.4000000000005457</v>
      </c>
      <c r="CG25" s="60">
        <v>60385.599999999999</v>
      </c>
      <c r="CH25" s="67">
        <f t="shared" si="35"/>
        <v>61.19999999999709</v>
      </c>
      <c r="CI25" s="60">
        <v>955617</v>
      </c>
      <c r="CJ25" s="67">
        <f t="shared" si="36"/>
        <v>346</v>
      </c>
      <c r="CK25" s="60">
        <v>779.56</v>
      </c>
      <c r="CL25" s="64">
        <f t="shared" si="37"/>
        <v>889.99999999998636</v>
      </c>
      <c r="CM25" s="65">
        <f t="shared" si="41"/>
        <v>121</v>
      </c>
      <c r="CN25" s="62">
        <v>14</v>
      </c>
      <c r="CO25" s="62">
        <v>49</v>
      </c>
      <c r="CP25" s="68">
        <v>10815</v>
      </c>
      <c r="CQ25" s="67">
        <f t="shared" si="38"/>
        <v>88</v>
      </c>
      <c r="CR25" s="68">
        <v>14735</v>
      </c>
      <c r="CS25" s="67">
        <f t="shared" si="38"/>
        <v>33</v>
      </c>
      <c r="CT25" s="75">
        <v>6753</v>
      </c>
      <c r="CU25" s="67">
        <f t="shared" si="38"/>
        <v>14</v>
      </c>
      <c r="CV25" s="68">
        <v>16049</v>
      </c>
      <c r="CW25" s="67">
        <f t="shared" si="38"/>
        <v>38</v>
      </c>
    </row>
    <row r="26" spans="1:101" ht="25.5" customHeight="1" thickBot="1" x14ac:dyDescent="0.45">
      <c r="A26" s="63">
        <v>44400</v>
      </c>
      <c r="B26" s="44"/>
      <c r="C26" s="58">
        <v>2.3435999999999999</v>
      </c>
      <c r="D26" s="64">
        <f t="shared" si="0"/>
        <v>1500.0000000000568</v>
      </c>
      <c r="E26" s="58">
        <v>3.3294999999999999</v>
      </c>
      <c r="F26" s="64">
        <f t="shared" si="1"/>
        <v>1700.0000000000348</v>
      </c>
      <c r="G26" s="58">
        <v>3.3847999999999998</v>
      </c>
      <c r="H26" s="64">
        <f t="shared" si="2"/>
        <v>1499.9999999996128</v>
      </c>
      <c r="I26" s="58">
        <v>1.6698</v>
      </c>
      <c r="J26" s="64">
        <f t="shared" si="3"/>
        <v>899.99999999990087</v>
      </c>
      <c r="K26" s="58">
        <v>2.6958000000000002</v>
      </c>
      <c r="L26" s="64">
        <f t="shared" si="4"/>
        <v>1500.0000000000568</v>
      </c>
      <c r="M26" s="58">
        <v>1.4823</v>
      </c>
      <c r="N26" s="64">
        <f t="shared" si="5"/>
        <v>699.99999999992292</v>
      </c>
      <c r="O26" s="58">
        <v>14515</v>
      </c>
      <c r="P26" s="67">
        <f t="shared" si="44"/>
        <v>1</v>
      </c>
      <c r="Q26" s="58">
        <v>1079</v>
      </c>
      <c r="R26" s="67">
        <f t="shared" si="6"/>
        <v>1</v>
      </c>
      <c r="S26" s="58">
        <v>1013.6</v>
      </c>
      <c r="T26" s="64">
        <f t="shared" si="45"/>
        <v>300.00000000006821</v>
      </c>
      <c r="U26" s="58">
        <v>425308.7</v>
      </c>
      <c r="V26" s="67">
        <f t="shared" si="8"/>
        <v>138.60000000003492</v>
      </c>
      <c r="W26" s="58">
        <v>404.64</v>
      </c>
      <c r="X26" s="65">
        <f t="shared" si="9"/>
        <v>180.00000000000682</v>
      </c>
      <c r="Y26" s="58">
        <v>2.9113000000000002</v>
      </c>
      <c r="Z26" s="65">
        <f t="shared" si="10"/>
        <v>1400.0000000002899</v>
      </c>
      <c r="AA26" s="58">
        <v>403.19</v>
      </c>
      <c r="AB26" s="65">
        <f t="shared" si="11"/>
        <v>259.99999999999091</v>
      </c>
      <c r="AC26" s="58">
        <v>377.05</v>
      </c>
      <c r="AD26" s="65">
        <f t="shared" si="12"/>
        <v>189.99999999999773</v>
      </c>
      <c r="AE26" s="58">
        <v>574.21</v>
      </c>
      <c r="AF26" s="65">
        <f t="shared" si="13"/>
        <v>150.00000000009095</v>
      </c>
      <c r="AG26" s="58">
        <v>5356</v>
      </c>
      <c r="AH26" s="67">
        <f t="shared" si="14"/>
        <v>24</v>
      </c>
      <c r="AI26" s="58">
        <v>631.76</v>
      </c>
      <c r="AJ26" s="65">
        <f t="shared" si="15"/>
        <v>259.99999999999091</v>
      </c>
      <c r="AK26" s="58">
        <v>208.71</v>
      </c>
      <c r="AL26" s="65">
        <f t="shared" si="15"/>
        <v>60.000000000002274</v>
      </c>
      <c r="AM26" s="58">
        <v>198.84</v>
      </c>
      <c r="AN26" s="65">
        <f t="shared" si="15"/>
        <v>90.000000000003411</v>
      </c>
      <c r="AO26" s="58">
        <v>192.11</v>
      </c>
      <c r="AP26" s="65">
        <f t="shared" si="15"/>
        <v>50.000000000011369</v>
      </c>
      <c r="AQ26" s="58">
        <v>251.16</v>
      </c>
      <c r="AR26" s="65">
        <f t="shared" si="16"/>
        <v>189.99999999999773</v>
      </c>
      <c r="AS26" s="58">
        <v>377.33</v>
      </c>
      <c r="AT26" s="65">
        <f t="shared" si="17"/>
        <v>199.99999999998863</v>
      </c>
      <c r="AU26" s="58">
        <v>287.77</v>
      </c>
      <c r="AV26" s="65">
        <f t="shared" si="18"/>
        <v>189.99999999999773</v>
      </c>
      <c r="AW26" s="58">
        <v>322.29000000000002</v>
      </c>
      <c r="AX26" s="65">
        <f t="shared" si="19"/>
        <v>80.000000000040927</v>
      </c>
      <c r="AY26" s="58">
        <v>362.68</v>
      </c>
      <c r="AZ26" s="65">
        <f t="shared" si="20"/>
        <v>19.99999999998181</v>
      </c>
      <c r="BA26" s="58">
        <v>381.85</v>
      </c>
      <c r="BB26" s="65">
        <f t="shared" si="21"/>
        <v>20.000000000038654</v>
      </c>
      <c r="BC26" s="58">
        <v>244.36</v>
      </c>
      <c r="BD26" s="65">
        <f t="shared" si="22"/>
        <v>120.00000000000455</v>
      </c>
      <c r="BE26" s="59">
        <v>41140</v>
      </c>
      <c r="BF26" s="67">
        <f t="shared" si="39"/>
        <v>42</v>
      </c>
      <c r="BG26" s="60">
        <v>235.08</v>
      </c>
      <c r="BH26" s="65">
        <f t="shared" si="23"/>
        <v>20.000000000010232</v>
      </c>
      <c r="BI26" s="60">
        <v>293.86</v>
      </c>
      <c r="BJ26" s="65">
        <f t="shared" si="40"/>
        <v>20.000000000038654</v>
      </c>
      <c r="BK26" s="60">
        <v>237.68</v>
      </c>
      <c r="BL26" s="65">
        <f t="shared" si="24"/>
        <v>20.000000000010232</v>
      </c>
      <c r="BM26" s="60">
        <v>224.78</v>
      </c>
      <c r="BN26" s="65">
        <f t="shared" si="25"/>
        <v>20.000000000010232</v>
      </c>
      <c r="BO26" s="60">
        <v>288.54000000000002</v>
      </c>
      <c r="BP26" s="65">
        <f t="shared" si="26"/>
        <v>30.000000000029559</v>
      </c>
      <c r="BQ26" s="60">
        <v>45993</v>
      </c>
      <c r="BR26" s="65">
        <f t="shared" si="27"/>
        <v>23</v>
      </c>
      <c r="BS26" s="60">
        <v>201.5</v>
      </c>
      <c r="BT26" s="65">
        <f t="shared" si="42"/>
        <v>30.000000000001137</v>
      </c>
      <c r="BU26" s="60">
        <v>41699</v>
      </c>
      <c r="BV26" s="65">
        <f t="shared" si="29"/>
        <v>27</v>
      </c>
      <c r="BW26" s="60">
        <v>232.55</v>
      </c>
      <c r="BX26" s="65">
        <f t="shared" si="30"/>
        <v>10.000000000019327</v>
      </c>
      <c r="BY26" s="60">
        <v>61476</v>
      </c>
      <c r="BZ26" s="67">
        <f t="shared" si="31"/>
        <v>29</v>
      </c>
      <c r="CA26" s="60">
        <v>32840.300000000003</v>
      </c>
      <c r="CB26" s="67">
        <f t="shared" si="32"/>
        <v>25</v>
      </c>
      <c r="CC26" s="60">
        <v>12393.7</v>
      </c>
      <c r="CD26" s="67">
        <f t="shared" si="33"/>
        <v>2.2000000000007276</v>
      </c>
      <c r="CE26" s="60">
        <v>6547.7</v>
      </c>
      <c r="CF26" s="67">
        <f t="shared" si="34"/>
        <v>4.0999999999994543</v>
      </c>
      <c r="CG26" s="60">
        <v>60404.800000000003</v>
      </c>
      <c r="CH26" s="67">
        <f t="shared" si="35"/>
        <v>19.200000000004366</v>
      </c>
      <c r="CI26" s="60">
        <v>955801</v>
      </c>
      <c r="CJ26" s="67">
        <f t="shared" si="36"/>
        <v>184</v>
      </c>
      <c r="CK26" s="60">
        <v>780.09</v>
      </c>
      <c r="CL26" s="64">
        <f t="shared" si="37"/>
        <v>530.0000000000864</v>
      </c>
      <c r="CM26" s="65">
        <f t="shared" si="41"/>
        <v>43</v>
      </c>
      <c r="CN26" s="62">
        <v>14</v>
      </c>
      <c r="CO26" s="62">
        <v>49</v>
      </c>
      <c r="CP26" s="68">
        <v>10839</v>
      </c>
      <c r="CQ26" s="67">
        <f t="shared" si="38"/>
        <v>24</v>
      </c>
      <c r="CR26" s="68">
        <v>14754</v>
      </c>
      <c r="CS26" s="67">
        <f t="shared" si="38"/>
        <v>19</v>
      </c>
      <c r="CT26" s="75">
        <v>6762</v>
      </c>
      <c r="CU26" s="67">
        <f t="shared" si="38"/>
        <v>9</v>
      </c>
      <c r="CV26" s="68">
        <v>16071</v>
      </c>
      <c r="CW26" s="67">
        <f t="shared" si="38"/>
        <v>22</v>
      </c>
    </row>
    <row r="27" spans="1:101" ht="25.5" customHeight="1" thickBot="1" x14ac:dyDescent="0.45">
      <c r="A27" s="63">
        <v>44401</v>
      </c>
      <c r="B27" s="44"/>
      <c r="C27" s="58">
        <v>2.3458000000000001</v>
      </c>
      <c r="D27" s="64">
        <f t="shared" si="0"/>
        <v>2200.0000000002019</v>
      </c>
      <c r="E27" s="58">
        <v>3.3321000000000001</v>
      </c>
      <c r="F27" s="64">
        <f t="shared" si="1"/>
        <v>2600.0000000001578</v>
      </c>
      <c r="G27" s="58">
        <v>3.3877000000000002</v>
      </c>
      <c r="H27" s="64">
        <f t="shared" si="2"/>
        <v>2900.0000000003465</v>
      </c>
      <c r="I27" s="58">
        <v>1.671</v>
      </c>
      <c r="J27" s="64">
        <f t="shared" si="3"/>
        <v>1200.0000000000898</v>
      </c>
      <c r="K27" s="58">
        <v>2.6981000000000002</v>
      </c>
      <c r="L27" s="64">
        <f t="shared" si="4"/>
        <v>2299.9999999999686</v>
      </c>
      <c r="M27" s="58">
        <v>1.4831000000000001</v>
      </c>
      <c r="N27" s="64">
        <f t="shared" si="5"/>
        <v>800.00000000013392</v>
      </c>
      <c r="O27" s="58">
        <v>14521</v>
      </c>
      <c r="P27" s="67">
        <f t="shared" si="44"/>
        <v>6</v>
      </c>
      <c r="Q27" s="58">
        <v>1081</v>
      </c>
      <c r="R27" s="67">
        <f t="shared" si="6"/>
        <v>2</v>
      </c>
      <c r="S27" s="58">
        <v>1014.6</v>
      </c>
      <c r="T27" s="64">
        <f t="shared" si="45"/>
        <v>1000</v>
      </c>
      <c r="U27" s="58">
        <v>425631.9</v>
      </c>
      <c r="V27" s="67">
        <f t="shared" si="8"/>
        <v>323.20000000001164</v>
      </c>
      <c r="W27" s="58">
        <v>404.91</v>
      </c>
      <c r="X27" s="65">
        <f t="shared" si="9"/>
        <v>270.00000000003865</v>
      </c>
      <c r="Y27" s="58">
        <v>2.9137</v>
      </c>
      <c r="Z27" s="65">
        <f t="shared" si="10"/>
        <v>2399.9999999997358</v>
      </c>
      <c r="AA27" s="58">
        <v>403.49</v>
      </c>
      <c r="AB27" s="65">
        <f t="shared" si="11"/>
        <v>300.00000000001137</v>
      </c>
      <c r="AC27" s="58">
        <v>377.26</v>
      </c>
      <c r="AD27" s="65">
        <f t="shared" si="12"/>
        <v>209.99999999997954</v>
      </c>
      <c r="AE27" s="58">
        <v>574.41</v>
      </c>
      <c r="AF27" s="65">
        <f t="shared" si="13"/>
        <v>199.99999999993179</v>
      </c>
      <c r="AG27" s="58">
        <v>5391</v>
      </c>
      <c r="AH27" s="67">
        <f t="shared" si="14"/>
        <v>35</v>
      </c>
      <c r="AI27" s="58">
        <v>632.11</v>
      </c>
      <c r="AJ27" s="65">
        <f t="shared" si="15"/>
        <v>350.00000000002274</v>
      </c>
      <c r="AK27" s="58">
        <v>208.87</v>
      </c>
      <c r="AL27" s="65">
        <f t="shared" si="15"/>
        <v>159.99999999999659</v>
      </c>
      <c r="AM27" s="58">
        <v>198.97</v>
      </c>
      <c r="AN27" s="65">
        <f t="shared" si="15"/>
        <v>129.99999999999545</v>
      </c>
      <c r="AO27" s="58">
        <v>192.19</v>
      </c>
      <c r="AP27" s="65">
        <f t="shared" si="15"/>
        <v>79.999999999984084</v>
      </c>
      <c r="AQ27" s="58">
        <v>251.47</v>
      </c>
      <c r="AR27" s="65">
        <f t="shared" si="16"/>
        <v>310.00000000000227</v>
      </c>
      <c r="AS27" s="58">
        <v>377.63</v>
      </c>
      <c r="AT27" s="65">
        <f t="shared" si="17"/>
        <v>300.00000000001137</v>
      </c>
      <c r="AU27" s="58">
        <v>288.07</v>
      </c>
      <c r="AV27" s="65">
        <f t="shared" si="18"/>
        <v>300.00000000001137</v>
      </c>
      <c r="AW27" s="58">
        <v>322.41000000000003</v>
      </c>
      <c r="AX27" s="65">
        <f t="shared" si="19"/>
        <v>120.00000000000455</v>
      </c>
      <c r="AY27" s="58">
        <v>362.72</v>
      </c>
      <c r="AZ27" s="65">
        <f t="shared" si="20"/>
        <v>40.000000000020464</v>
      </c>
      <c r="BA27" s="58">
        <v>381.88</v>
      </c>
      <c r="BB27" s="65">
        <f t="shared" si="21"/>
        <v>29.999999999972715</v>
      </c>
      <c r="BC27" s="58">
        <v>244.44</v>
      </c>
      <c r="BD27" s="65">
        <f t="shared" si="22"/>
        <v>79.999999999984084</v>
      </c>
      <c r="BE27" s="59">
        <v>41168</v>
      </c>
      <c r="BF27" s="67">
        <f t="shared" si="39"/>
        <v>28</v>
      </c>
      <c r="BG27" s="60">
        <v>235.12</v>
      </c>
      <c r="BH27" s="65">
        <f t="shared" si="23"/>
        <v>39.999999999992042</v>
      </c>
      <c r="BI27" s="60">
        <v>293.88</v>
      </c>
      <c r="BJ27" s="65">
        <f t="shared" si="40"/>
        <v>19.99999999998181</v>
      </c>
      <c r="BK27" s="60">
        <v>237.7</v>
      </c>
      <c r="BL27" s="65">
        <f t="shared" si="24"/>
        <v>19.99999999998181</v>
      </c>
      <c r="BM27" s="60">
        <v>224.81</v>
      </c>
      <c r="BN27" s="65">
        <f t="shared" si="25"/>
        <v>30.000000000001137</v>
      </c>
      <c r="BO27" s="60">
        <v>288.57</v>
      </c>
      <c r="BP27" s="65">
        <f t="shared" si="26"/>
        <v>29.999999999972715</v>
      </c>
      <c r="BQ27" s="60">
        <v>46023</v>
      </c>
      <c r="BR27" s="65">
        <f t="shared" si="27"/>
        <v>30</v>
      </c>
      <c r="BS27" s="60">
        <v>201.52</v>
      </c>
      <c r="BT27" s="65">
        <f t="shared" si="42"/>
        <v>20.000000000010232</v>
      </c>
      <c r="BU27" s="60">
        <v>41733</v>
      </c>
      <c r="BV27" s="65">
        <f t="shared" si="29"/>
        <v>34</v>
      </c>
      <c r="BW27" s="60">
        <v>232.57</v>
      </c>
      <c r="BX27" s="65">
        <f t="shared" si="30"/>
        <v>19.99999999998181</v>
      </c>
      <c r="BY27" s="60">
        <v>61517</v>
      </c>
      <c r="BZ27" s="67">
        <f t="shared" si="31"/>
        <v>41</v>
      </c>
      <c r="CA27" s="60">
        <v>32890.199999999997</v>
      </c>
      <c r="CB27" s="67">
        <f t="shared" si="32"/>
        <v>49.899999999994179</v>
      </c>
      <c r="CC27" s="60">
        <v>12401.1</v>
      </c>
      <c r="CD27" s="67">
        <f t="shared" si="33"/>
        <v>7.3999999999996362</v>
      </c>
      <c r="CE27" s="60">
        <v>6551.6</v>
      </c>
      <c r="CF27" s="67">
        <f t="shared" si="34"/>
        <v>3.9000000000005457</v>
      </c>
      <c r="CG27" s="60">
        <v>60438.2</v>
      </c>
      <c r="CH27" s="67">
        <f t="shared" si="35"/>
        <v>33.399999999994179</v>
      </c>
      <c r="CI27" s="60">
        <v>956060</v>
      </c>
      <c r="CJ27" s="67">
        <f t="shared" si="36"/>
        <v>259</v>
      </c>
      <c r="CK27" s="60">
        <v>780.81</v>
      </c>
      <c r="CL27" s="64">
        <f t="shared" si="37"/>
        <v>719.9999999999136</v>
      </c>
      <c r="CM27" s="65">
        <f t="shared" si="41"/>
        <v>90</v>
      </c>
      <c r="CN27" s="62">
        <v>14</v>
      </c>
      <c r="CO27" s="62">
        <v>49</v>
      </c>
      <c r="CP27" s="68">
        <v>10888</v>
      </c>
      <c r="CQ27" s="67">
        <f t="shared" si="38"/>
        <v>49</v>
      </c>
      <c r="CR27" s="68">
        <v>14795</v>
      </c>
      <c r="CS27" s="67">
        <f t="shared" si="38"/>
        <v>41</v>
      </c>
      <c r="CT27" s="75">
        <v>6775</v>
      </c>
      <c r="CU27" s="67">
        <f t="shared" si="38"/>
        <v>13</v>
      </c>
      <c r="CV27" s="68">
        <v>16105</v>
      </c>
      <c r="CW27" s="67">
        <f t="shared" si="38"/>
        <v>34</v>
      </c>
    </row>
    <row r="28" spans="1:101" ht="25.5" customHeight="1" thickBot="1" x14ac:dyDescent="0.45">
      <c r="A28" s="63">
        <v>44402</v>
      </c>
      <c r="B28" s="44"/>
      <c r="C28" s="58">
        <v>2.3475000000000001</v>
      </c>
      <c r="D28" s="64">
        <f t="shared" si="0"/>
        <v>1700.0000000000348</v>
      </c>
      <c r="E28" s="58">
        <v>3.3344</v>
      </c>
      <c r="F28" s="64">
        <f t="shared" si="1"/>
        <v>2299.9999999999686</v>
      </c>
      <c r="G28" s="58">
        <v>3.3906000000000001</v>
      </c>
      <c r="H28" s="64">
        <f t="shared" si="2"/>
        <v>2899.9999999999027</v>
      </c>
      <c r="I28" s="58">
        <v>1.6720999999999999</v>
      </c>
      <c r="J28" s="64">
        <f t="shared" si="3"/>
        <v>1099.9999999998788</v>
      </c>
      <c r="K28" s="58">
        <v>2.7002000000000002</v>
      </c>
      <c r="L28" s="64">
        <f t="shared" si="4"/>
        <v>2099.9999999999909</v>
      </c>
      <c r="M28" s="58">
        <v>1.4839</v>
      </c>
      <c r="N28" s="64">
        <f t="shared" si="5"/>
        <v>799.99999999991189</v>
      </c>
      <c r="O28" s="58">
        <v>14528</v>
      </c>
      <c r="P28" s="67">
        <f t="shared" si="44"/>
        <v>7</v>
      </c>
      <c r="Q28" s="58">
        <v>1082</v>
      </c>
      <c r="R28" s="67">
        <f t="shared" si="6"/>
        <v>1</v>
      </c>
      <c r="S28" s="58">
        <v>1015.7</v>
      </c>
      <c r="T28" s="64">
        <f t="shared" si="45"/>
        <v>1100.0000000000227</v>
      </c>
      <c r="U28" s="58">
        <v>425960.5</v>
      </c>
      <c r="V28" s="67">
        <f t="shared" si="8"/>
        <v>328.59999999997672</v>
      </c>
      <c r="W28" s="58">
        <v>405.13</v>
      </c>
      <c r="X28" s="65">
        <f t="shared" si="9"/>
        <v>219.99999999997044</v>
      </c>
      <c r="Y28" s="58">
        <v>2.9157000000000002</v>
      </c>
      <c r="Z28" s="65">
        <f t="shared" si="10"/>
        <v>2000.0000000002237</v>
      </c>
      <c r="AA28" s="58">
        <v>403.87</v>
      </c>
      <c r="AB28" s="65">
        <f t="shared" si="11"/>
        <v>379.99999999999545</v>
      </c>
      <c r="AC28" s="58">
        <v>377.48</v>
      </c>
      <c r="AD28" s="65">
        <f t="shared" si="12"/>
        <v>220.00000000002728</v>
      </c>
      <c r="AE28" s="58">
        <v>574.59</v>
      </c>
      <c r="AF28" s="65">
        <f t="shared" si="13"/>
        <v>180.00000000006366</v>
      </c>
      <c r="AG28" s="58">
        <v>5423</v>
      </c>
      <c r="AH28" s="67">
        <f t="shared" si="14"/>
        <v>32</v>
      </c>
      <c r="AI28" s="58">
        <v>632.54999999999995</v>
      </c>
      <c r="AJ28" s="65">
        <f t="shared" si="15"/>
        <v>439.99999999994088</v>
      </c>
      <c r="AK28" s="58">
        <v>209.05</v>
      </c>
      <c r="AL28" s="65">
        <f t="shared" si="15"/>
        <v>180.00000000000682</v>
      </c>
      <c r="AM28" s="58">
        <v>199.12</v>
      </c>
      <c r="AN28" s="65">
        <f t="shared" si="15"/>
        <v>150.00000000000568</v>
      </c>
      <c r="AO28" s="58">
        <v>192.32</v>
      </c>
      <c r="AP28" s="65">
        <f t="shared" si="15"/>
        <v>129.99999999999545</v>
      </c>
      <c r="AQ28" s="58">
        <v>251.63</v>
      </c>
      <c r="AR28" s="65">
        <f t="shared" si="16"/>
        <v>159.99999999999659</v>
      </c>
      <c r="AS28" s="58">
        <v>377.81</v>
      </c>
      <c r="AT28" s="65">
        <f t="shared" si="17"/>
        <v>180.00000000000682</v>
      </c>
      <c r="AU28" s="58">
        <v>288.25</v>
      </c>
      <c r="AV28" s="65">
        <f t="shared" si="18"/>
        <v>180.00000000000682</v>
      </c>
      <c r="AW28" s="58">
        <v>322.51</v>
      </c>
      <c r="AX28" s="65">
        <f t="shared" si="19"/>
        <v>99.999999999965894</v>
      </c>
      <c r="AY28" s="58">
        <v>362.75</v>
      </c>
      <c r="AZ28" s="65">
        <f t="shared" si="20"/>
        <v>29.999999999972715</v>
      </c>
      <c r="BA28" s="58">
        <v>381.9</v>
      </c>
      <c r="BB28" s="65">
        <f t="shared" si="21"/>
        <v>19.99999999998181</v>
      </c>
      <c r="BC28" s="58">
        <v>244.48</v>
      </c>
      <c r="BD28" s="65">
        <f t="shared" si="22"/>
        <v>39.999999999992042</v>
      </c>
      <c r="BE28" s="59">
        <v>41198</v>
      </c>
      <c r="BF28" s="67">
        <f t="shared" si="39"/>
        <v>30</v>
      </c>
      <c r="BG28" s="60">
        <v>235.16</v>
      </c>
      <c r="BH28" s="65">
        <f t="shared" si="23"/>
        <v>39.999999999992042</v>
      </c>
      <c r="BI28" s="60">
        <v>293.91000000000003</v>
      </c>
      <c r="BJ28" s="65">
        <f t="shared" si="40"/>
        <v>30.000000000029559</v>
      </c>
      <c r="BK28" s="60">
        <v>237.73</v>
      </c>
      <c r="BL28" s="65">
        <f t="shared" si="24"/>
        <v>30.000000000001137</v>
      </c>
      <c r="BM28" s="60">
        <v>224.85</v>
      </c>
      <c r="BN28" s="65">
        <f t="shared" si="25"/>
        <v>39.999999999992042</v>
      </c>
      <c r="BO28" s="60">
        <v>288.60000000000002</v>
      </c>
      <c r="BP28" s="65">
        <f t="shared" si="26"/>
        <v>30.000000000029559</v>
      </c>
      <c r="BQ28" s="60">
        <v>46054</v>
      </c>
      <c r="BR28" s="65">
        <f t="shared" si="27"/>
        <v>31</v>
      </c>
      <c r="BS28" s="60">
        <v>201.55</v>
      </c>
      <c r="BT28" s="65">
        <f t="shared" si="42"/>
        <v>30.000000000001137</v>
      </c>
      <c r="BU28" s="60">
        <v>41762</v>
      </c>
      <c r="BV28" s="65">
        <f t="shared" si="29"/>
        <v>29</v>
      </c>
      <c r="BW28" s="60">
        <v>232.58</v>
      </c>
      <c r="BX28" s="65">
        <f t="shared" si="30"/>
        <v>10.000000000019327</v>
      </c>
      <c r="BY28" s="60">
        <v>61544</v>
      </c>
      <c r="BZ28" s="67">
        <f t="shared" si="31"/>
        <v>27</v>
      </c>
      <c r="CA28" s="60">
        <v>32930.199999999997</v>
      </c>
      <c r="CB28" s="67">
        <f t="shared" si="32"/>
        <v>40</v>
      </c>
      <c r="CC28" s="60">
        <v>12409.5</v>
      </c>
      <c r="CD28" s="67">
        <f t="shared" si="33"/>
        <v>8.3999999999996362</v>
      </c>
      <c r="CE28" s="60">
        <v>6555.5</v>
      </c>
      <c r="CF28" s="67">
        <f t="shared" si="34"/>
        <v>3.8999999999996362</v>
      </c>
      <c r="CG28" s="60">
        <v>60477.599999999999</v>
      </c>
      <c r="CH28" s="67">
        <f t="shared" si="35"/>
        <v>39.400000000001455</v>
      </c>
      <c r="CI28" s="60">
        <v>956322</v>
      </c>
      <c r="CJ28" s="67">
        <f t="shared" si="36"/>
        <v>262</v>
      </c>
      <c r="CK28" s="60">
        <v>781.53</v>
      </c>
      <c r="CL28" s="64">
        <f t="shared" si="37"/>
        <v>720.00000000002728</v>
      </c>
      <c r="CM28" s="65">
        <f t="shared" si="41"/>
        <v>70</v>
      </c>
      <c r="CN28" s="62">
        <v>9</v>
      </c>
      <c r="CO28" s="62">
        <v>27</v>
      </c>
      <c r="CP28" s="68">
        <v>10934</v>
      </c>
      <c r="CQ28" s="67">
        <f t="shared" si="38"/>
        <v>46</v>
      </c>
      <c r="CR28" s="68">
        <v>14819</v>
      </c>
      <c r="CS28" s="67">
        <f t="shared" si="38"/>
        <v>24</v>
      </c>
      <c r="CT28" s="75">
        <v>6781</v>
      </c>
      <c r="CU28" s="67">
        <f t="shared" si="38"/>
        <v>6</v>
      </c>
      <c r="CV28" s="68">
        <v>16145</v>
      </c>
      <c r="CW28" s="67">
        <f t="shared" si="38"/>
        <v>40</v>
      </c>
    </row>
    <row r="29" spans="1:101" ht="25.5" customHeight="1" thickBot="1" x14ac:dyDescent="0.45">
      <c r="A29" s="63">
        <v>44403</v>
      </c>
      <c r="B29" s="44"/>
      <c r="C29" s="58">
        <v>2.3492000000000002</v>
      </c>
      <c r="D29" s="64">
        <f t="shared" si="0"/>
        <v>1700.0000000000348</v>
      </c>
      <c r="E29" s="58">
        <v>3.3369</v>
      </c>
      <c r="F29" s="64">
        <f t="shared" si="1"/>
        <v>2499.9999999999468</v>
      </c>
      <c r="G29" s="58">
        <v>3.3934000000000002</v>
      </c>
      <c r="H29" s="64">
        <f t="shared" si="2"/>
        <v>2800.0000000001355</v>
      </c>
      <c r="I29" s="58">
        <v>1.6733</v>
      </c>
      <c r="J29" s="64">
        <f t="shared" si="3"/>
        <v>1200.0000000000898</v>
      </c>
      <c r="K29" s="58">
        <v>2.7025999999999999</v>
      </c>
      <c r="L29" s="64">
        <f t="shared" si="4"/>
        <v>2399.9999999997358</v>
      </c>
      <c r="M29" s="58">
        <v>1.4846999999999999</v>
      </c>
      <c r="N29" s="64">
        <f t="shared" si="5"/>
        <v>799.99999999991189</v>
      </c>
      <c r="O29" s="58">
        <v>14534</v>
      </c>
      <c r="P29" s="67">
        <f t="shared" si="44"/>
        <v>6</v>
      </c>
      <c r="Q29" s="58">
        <v>1083</v>
      </c>
      <c r="R29" s="67">
        <f t="shared" si="6"/>
        <v>1</v>
      </c>
      <c r="S29" s="58">
        <v>1016.6</v>
      </c>
      <c r="T29" s="64">
        <f t="shared" si="45"/>
        <v>899.99999999997726</v>
      </c>
      <c r="U29" s="58">
        <v>426282.2</v>
      </c>
      <c r="V29" s="67">
        <f t="shared" si="8"/>
        <v>321.70000000001164</v>
      </c>
      <c r="W29" s="58">
        <v>405.38</v>
      </c>
      <c r="X29" s="65">
        <f t="shared" si="9"/>
        <v>250</v>
      </c>
      <c r="Y29" s="58">
        <v>2.9180999999999999</v>
      </c>
      <c r="Z29" s="65">
        <f t="shared" si="10"/>
        <v>2399.9999999997358</v>
      </c>
      <c r="AA29" s="58">
        <v>404.09</v>
      </c>
      <c r="AB29" s="65">
        <f t="shared" si="11"/>
        <v>219.99999999997044</v>
      </c>
      <c r="AC29" s="58">
        <v>377.71</v>
      </c>
      <c r="AD29" s="65">
        <f t="shared" si="12"/>
        <v>229.99999999996135</v>
      </c>
      <c r="AE29" s="58">
        <v>574.79999999999995</v>
      </c>
      <c r="AF29" s="65">
        <f t="shared" si="13"/>
        <v>209.99999999992269</v>
      </c>
      <c r="AG29" s="58">
        <v>5461</v>
      </c>
      <c r="AH29" s="67">
        <f t="shared" si="14"/>
        <v>38</v>
      </c>
      <c r="AI29" s="58">
        <v>632.76</v>
      </c>
      <c r="AJ29" s="65">
        <f t="shared" si="15"/>
        <v>210.00000000003638</v>
      </c>
      <c r="AK29" s="58">
        <v>209.23</v>
      </c>
      <c r="AL29" s="65">
        <f t="shared" si="15"/>
        <v>179.9999999999784</v>
      </c>
      <c r="AM29" s="58">
        <v>199.27</v>
      </c>
      <c r="AN29" s="65">
        <f t="shared" si="15"/>
        <v>150.00000000000568</v>
      </c>
      <c r="AO29" s="58">
        <v>192.46</v>
      </c>
      <c r="AP29" s="65">
        <f t="shared" si="15"/>
        <v>140.00000000001478</v>
      </c>
      <c r="AQ29" s="58">
        <v>251.74</v>
      </c>
      <c r="AR29" s="65">
        <f t="shared" si="16"/>
        <v>110.00000000001364</v>
      </c>
      <c r="AS29" s="58">
        <v>377.96</v>
      </c>
      <c r="AT29" s="65">
        <f t="shared" si="17"/>
        <v>149.99999999997726</v>
      </c>
      <c r="AU29" s="58">
        <v>288.35000000000002</v>
      </c>
      <c r="AV29" s="65">
        <f t="shared" si="18"/>
        <v>100.00000000002274</v>
      </c>
      <c r="AW29" s="58">
        <v>322.66000000000003</v>
      </c>
      <c r="AX29" s="65">
        <f t="shared" si="19"/>
        <v>150.00000000003411</v>
      </c>
      <c r="AY29" s="58">
        <v>362.81</v>
      </c>
      <c r="AZ29" s="65">
        <f t="shared" si="20"/>
        <v>60.000000000002274</v>
      </c>
      <c r="BA29" s="58">
        <v>381.95</v>
      </c>
      <c r="BB29" s="65">
        <f t="shared" si="21"/>
        <v>50.000000000011369</v>
      </c>
      <c r="BC29" s="58">
        <v>244.54</v>
      </c>
      <c r="BD29" s="65">
        <f t="shared" si="22"/>
        <v>60.000000000002274</v>
      </c>
      <c r="BE29" s="59">
        <v>41213</v>
      </c>
      <c r="BF29" s="67">
        <f t="shared" si="39"/>
        <v>15</v>
      </c>
      <c r="BG29" s="60">
        <v>235.19</v>
      </c>
      <c r="BH29" s="65">
        <f t="shared" si="23"/>
        <v>30.000000000001137</v>
      </c>
      <c r="BI29" s="60">
        <v>293.94</v>
      </c>
      <c r="BJ29" s="65">
        <f t="shared" si="40"/>
        <v>29.999999999972715</v>
      </c>
      <c r="BK29" s="60">
        <v>237.75</v>
      </c>
      <c r="BL29" s="65">
        <f t="shared" si="24"/>
        <v>20.000000000010232</v>
      </c>
      <c r="BM29" s="60">
        <v>224.88</v>
      </c>
      <c r="BN29" s="65">
        <f t="shared" si="25"/>
        <v>30.000000000001137</v>
      </c>
      <c r="BO29" s="60">
        <v>288.63</v>
      </c>
      <c r="BP29" s="65">
        <f t="shared" si="26"/>
        <v>29.999999999972715</v>
      </c>
      <c r="BQ29" s="60">
        <v>46082</v>
      </c>
      <c r="BR29" s="65">
        <f t="shared" si="27"/>
        <v>28</v>
      </c>
      <c r="BS29" s="60">
        <v>201.57</v>
      </c>
      <c r="BT29" s="65">
        <f t="shared" si="42"/>
        <v>19.99999999998181</v>
      </c>
      <c r="BU29" s="60">
        <v>41795</v>
      </c>
      <c r="BV29" s="65">
        <f t="shared" si="29"/>
        <v>33</v>
      </c>
      <c r="BW29" s="60">
        <v>232.59</v>
      </c>
      <c r="BX29" s="65">
        <f t="shared" si="30"/>
        <v>9.9999999999909051</v>
      </c>
      <c r="BY29" s="60">
        <v>61590</v>
      </c>
      <c r="BZ29" s="67">
        <f t="shared" si="31"/>
        <v>46</v>
      </c>
      <c r="CA29" s="60">
        <v>32972.800000000003</v>
      </c>
      <c r="CB29" s="67">
        <f t="shared" si="32"/>
        <v>42.600000000005821</v>
      </c>
      <c r="CC29" s="60">
        <v>12427.7</v>
      </c>
      <c r="CD29" s="67">
        <f t="shared" si="33"/>
        <v>18.200000000000728</v>
      </c>
      <c r="CE29" s="60">
        <v>6555.9</v>
      </c>
      <c r="CF29" s="67">
        <f t="shared" si="34"/>
        <v>0.3999999999996362</v>
      </c>
      <c r="CG29" s="60">
        <v>60532.5</v>
      </c>
      <c r="CH29" s="67">
        <f t="shared" si="35"/>
        <v>54.900000000001455</v>
      </c>
      <c r="CI29" s="60">
        <v>956635</v>
      </c>
      <c r="CJ29" s="67">
        <f t="shared" si="36"/>
        <v>313</v>
      </c>
      <c r="CK29" s="60">
        <v>782.27</v>
      </c>
      <c r="CL29" s="64">
        <f t="shared" si="37"/>
        <v>740.00000000000909</v>
      </c>
      <c r="CM29" s="65">
        <f t="shared" si="41"/>
        <v>75</v>
      </c>
      <c r="CN29" s="62">
        <v>9</v>
      </c>
      <c r="CO29" s="62">
        <v>27</v>
      </c>
      <c r="CP29" s="68">
        <v>10982</v>
      </c>
      <c r="CQ29" s="67">
        <f t="shared" si="38"/>
        <v>48</v>
      </c>
      <c r="CR29" s="68">
        <v>14846</v>
      </c>
      <c r="CS29" s="67">
        <f t="shared" si="38"/>
        <v>27</v>
      </c>
      <c r="CT29" s="75">
        <v>6783</v>
      </c>
      <c r="CU29" s="67">
        <f t="shared" si="38"/>
        <v>2</v>
      </c>
      <c r="CV29" s="68">
        <v>16198</v>
      </c>
      <c r="CW29" s="67">
        <f t="shared" si="38"/>
        <v>53</v>
      </c>
    </row>
    <row r="30" spans="1:101" ht="25.5" customHeight="1" thickBot="1" x14ac:dyDescent="0.45">
      <c r="A30" s="63">
        <v>44404</v>
      </c>
      <c r="B30" s="44"/>
      <c r="C30" s="58">
        <v>2.3506</v>
      </c>
      <c r="D30" s="64">
        <f t="shared" si="0"/>
        <v>1399.9999999998458</v>
      </c>
      <c r="E30" s="58">
        <v>3.3391999999999999</v>
      </c>
      <c r="F30" s="64">
        <f t="shared" si="1"/>
        <v>2299.9999999999686</v>
      </c>
      <c r="G30" s="58">
        <v>3.3957000000000002</v>
      </c>
      <c r="H30" s="64">
        <f t="shared" si="2"/>
        <v>2299.9999999999686</v>
      </c>
      <c r="I30" s="58">
        <v>1.6745000000000001</v>
      </c>
      <c r="J30" s="64">
        <f t="shared" si="3"/>
        <v>1200.0000000000898</v>
      </c>
      <c r="K30" s="58">
        <v>2.7046000000000001</v>
      </c>
      <c r="L30" s="64">
        <f t="shared" si="4"/>
        <v>2000.0000000002237</v>
      </c>
      <c r="M30" s="58">
        <v>1.4854000000000001</v>
      </c>
      <c r="N30" s="64">
        <f t="shared" si="5"/>
        <v>700.00000000014495</v>
      </c>
      <c r="O30" s="58">
        <v>14536</v>
      </c>
      <c r="P30" s="67">
        <f t="shared" si="44"/>
        <v>2</v>
      </c>
      <c r="Q30" s="58">
        <v>1085</v>
      </c>
      <c r="R30" s="67">
        <f t="shared" si="6"/>
        <v>2</v>
      </c>
      <c r="S30" s="58">
        <v>1017.2</v>
      </c>
      <c r="T30" s="64">
        <f t="shared" si="45"/>
        <v>600.00000000002274</v>
      </c>
      <c r="U30" s="58">
        <v>426523.8</v>
      </c>
      <c r="V30" s="67">
        <f t="shared" si="8"/>
        <v>241.59999999997672</v>
      </c>
      <c r="W30" s="58">
        <v>405.59</v>
      </c>
      <c r="X30" s="65">
        <f t="shared" si="9"/>
        <v>209.99999999997954</v>
      </c>
      <c r="Y30" s="58">
        <v>2.92</v>
      </c>
      <c r="Z30" s="65">
        <f t="shared" si="10"/>
        <v>1900.0000000000127</v>
      </c>
      <c r="AA30" s="58">
        <v>404.27</v>
      </c>
      <c r="AB30" s="65">
        <f t="shared" si="11"/>
        <v>180.00000000000682</v>
      </c>
      <c r="AC30" s="58">
        <v>377.89</v>
      </c>
      <c r="AD30" s="65">
        <f t="shared" si="12"/>
        <v>180.00000000000682</v>
      </c>
      <c r="AE30" s="58">
        <v>574.97</v>
      </c>
      <c r="AF30" s="65">
        <f t="shared" si="13"/>
        <v>170.00000000007276</v>
      </c>
      <c r="AG30" s="58">
        <v>5494</v>
      </c>
      <c r="AH30" s="67">
        <f t="shared" si="14"/>
        <v>33</v>
      </c>
      <c r="AI30" s="58">
        <v>633</v>
      </c>
      <c r="AJ30" s="65">
        <f t="shared" si="15"/>
        <v>240.00000000000909</v>
      </c>
      <c r="AK30" s="58">
        <v>209.39</v>
      </c>
      <c r="AL30" s="65">
        <f t="shared" si="15"/>
        <v>159.99999999999659</v>
      </c>
      <c r="AM30" s="58">
        <v>199.4</v>
      </c>
      <c r="AN30" s="65">
        <f t="shared" si="15"/>
        <v>129.99999999999545</v>
      </c>
      <c r="AO30" s="58">
        <v>192.59</v>
      </c>
      <c r="AP30" s="65">
        <f t="shared" si="15"/>
        <v>129.99999999999545</v>
      </c>
      <c r="AQ30" s="58">
        <v>251.83</v>
      </c>
      <c r="AR30" s="65">
        <f t="shared" si="16"/>
        <v>90.000000000003411</v>
      </c>
      <c r="AS30" s="58">
        <v>378.05</v>
      </c>
      <c r="AT30" s="65">
        <f t="shared" si="17"/>
        <v>90.000000000031832</v>
      </c>
      <c r="AU30" s="58">
        <v>288.43</v>
      </c>
      <c r="AV30" s="65">
        <f t="shared" si="18"/>
        <v>79.999999999984084</v>
      </c>
      <c r="AW30" s="58">
        <v>322.77</v>
      </c>
      <c r="AX30" s="65">
        <f t="shared" si="19"/>
        <v>109.9999999999568</v>
      </c>
      <c r="AY30" s="58">
        <v>362.84</v>
      </c>
      <c r="AZ30" s="65">
        <f t="shared" si="20"/>
        <v>29.999999999972715</v>
      </c>
      <c r="BA30" s="58">
        <v>381.97</v>
      </c>
      <c r="BB30" s="65">
        <f t="shared" si="21"/>
        <v>20.000000000038654</v>
      </c>
      <c r="BC30" s="58">
        <v>244.6</v>
      </c>
      <c r="BD30" s="65">
        <f t="shared" si="22"/>
        <v>60.000000000002274</v>
      </c>
      <c r="BE30" s="59">
        <v>41227</v>
      </c>
      <c r="BF30" s="67">
        <f t="shared" si="39"/>
        <v>14</v>
      </c>
      <c r="BG30" s="60">
        <v>235.22</v>
      </c>
      <c r="BH30" s="65">
        <f t="shared" si="23"/>
        <v>30.000000000001137</v>
      </c>
      <c r="BI30" s="60">
        <v>293.95999999999998</v>
      </c>
      <c r="BJ30" s="65">
        <f t="shared" si="40"/>
        <v>19.99999999998181</v>
      </c>
      <c r="BK30" s="60">
        <v>237.77</v>
      </c>
      <c r="BL30" s="65">
        <f t="shared" si="24"/>
        <v>20.000000000010232</v>
      </c>
      <c r="BM30" s="60">
        <v>224.92</v>
      </c>
      <c r="BN30" s="65">
        <f t="shared" si="25"/>
        <v>39.999999999992042</v>
      </c>
      <c r="BO30" s="60">
        <v>288.66000000000003</v>
      </c>
      <c r="BP30" s="65">
        <f t="shared" si="26"/>
        <v>30.000000000029559</v>
      </c>
      <c r="BQ30" s="60">
        <v>46112</v>
      </c>
      <c r="BR30" s="65">
        <f t="shared" si="27"/>
        <v>30</v>
      </c>
      <c r="BS30" s="60">
        <v>201.6</v>
      </c>
      <c r="BT30" s="65">
        <f t="shared" si="42"/>
        <v>30.000000000001137</v>
      </c>
      <c r="BU30" s="60">
        <v>41826</v>
      </c>
      <c r="BV30" s="65">
        <f t="shared" si="29"/>
        <v>31</v>
      </c>
      <c r="BW30" s="60">
        <v>232.61</v>
      </c>
      <c r="BX30" s="65">
        <f t="shared" si="30"/>
        <v>20.000000000010232</v>
      </c>
      <c r="BY30" s="60">
        <v>61627</v>
      </c>
      <c r="BZ30" s="67">
        <f t="shared" si="31"/>
        <v>37</v>
      </c>
      <c r="CA30" s="60">
        <v>32998</v>
      </c>
      <c r="CB30" s="67">
        <f t="shared" si="32"/>
        <v>25.19999999999709</v>
      </c>
      <c r="CC30" s="60">
        <v>12431.5</v>
      </c>
      <c r="CD30" s="67">
        <f t="shared" si="33"/>
        <v>3.7999999999992724</v>
      </c>
      <c r="CE30" s="60">
        <v>6565.2</v>
      </c>
      <c r="CF30" s="67">
        <f t="shared" si="34"/>
        <v>9.3000000000001819</v>
      </c>
      <c r="CG30" s="60">
        <v>60559.4</v>
      </c>
      <c r="CH30" s="67">
        <f t="shared" si="35"/>
        <v>26.900000000001455</v>
      </c>
      <c r="CI30" s="60">
        <v>956923</v>
      </c>
      <c r="CJ30" s="67">
        <f t="shared" si="36"/>
        <v>288</v>
      </c>
      <c r="CK30" s="60">
        <v>782.9</v>
      </c>
      <c r="CL30" s="64">
        <f t="shared" si="37"/>
        <v>629.99999999999545</v>
      </c>
      <c r="CM30" s="65">
        <f t="shared" si="41"/>
        <v>56</v>
      </c>
      <c r="CN30" s="62">
        <v>9</v>
      </c>
      <c r="CO30" s="62">
        <v>27</v>
      </c>
      <c r="CP30" s="68">
        <v>11021</v>
      </c>
      <c r="CQ30" s="67">
        <f t="shared" si="38"/>
        <v>39</v>
      </c>
      <c r="CR30" s="68">
        <v>14863</v>
      </c>
      <c r="CS30" s="67">
        <f t="shared" si="38"/>
        <v>17</v>
      </c>
      <c r="CT30" s="75">
        <v>6784</v>
      </c>
      <c r="CU30" s="67">
        <f t="shared" si="38"/>
        <v>1</v>
      </c>
      <c r="CV30" s="68">
        <v>16232</v>
      </c>
      <c r="CW30" s="67">
        <f t="shared" si="38"/>
        <v>34</v>
      </c>
    </row>
    <row r="31" spans="1:101" ht="25.5" customHeight="1" thickBot="1" x14ac:dyDescent="0.45">
      <c r="A31" s="63">
        <v>44405</v>
      </c>
      <c r="B31" s="66"/>
      <c r="C31" s="58">
        <v>2.3519000000000001</v>
      </c>
      <c r="D31" s="64">
        <f t="shared" si="0"/>
        <v>1300.0000000000789</v>
      </c>
      <c r="E31" s="58">
        <v>3.3412000000000002</v>
      </c>
      <c r="F31" s="64">
        <f t="shared" si="1"/>
        <v>2000.0000000002237</v>
      </c>
      <c r="G31" s="58">
        <v>3.3978000000000002</v>
      </c>
      <c r="H31" s="64">
        <f t="shared" si="2"/>
        <v>2099.9999999999909</v>
      </c>
      <c r="I31" s="58">
        <v>1.6755</v>
      </c>
      <c r="J31" s="64">
        <f t="shared" si="3"/>
        <v>999.99999999988984</v>
      </c>
      <c r="K31" s="58">
        <v>2.7063999999999999</v>
      </c>
      <c r="L31" s="64">
        <f t="shared" si="4"/>
        <v>1799.9999999998017</v>
      </c>
      <c r="M31" s="58">
        <v>1.4862</v>
      </c>
      <c r="N31" s="64">
        <f t="shared" si="5"/>
        <v>799.99999999991189</v>
      </c>
      <c r="O31" s="58">
        <v>14540</v>
      </c>
      <c r="P31" s="67">
        <f t="shared" si="44"/>
        <v>4</v>
      </c>
      <c r="Q31" s="58">
        <v>1087</v>
      </c>
      <c r="R31" s="67">
        <f t="shared" si="6"/>
        <v>2</v>
      </c>
      <c r="S31" s="58">
        <v>1017.6</v>
      </c>
      <c r="T31" s="64">
        <f t="shared" si="45"/>
        <v>399.99999999997726</v>
      </c>
      <c r="U31" s="58">
        <v>426745.7</v>
      </c>
      <c r="V31" s="67">
        <f t="shared" si="8"/>
        <v>221.90000000002328</v>
      </c>
      <c r="W31" s="58">
        <v>405.78</v>
      </c>
      <c r="X31" s="65">
        <f t="shared" si="9"/>
        <v>189.99999999999773</v>
      </c>
      <c r="Y31" s="58">
        <v>2.9218000000000002</v>
      </c>
      <c r="Z31" s="65">
        <f t="shared" si="10"/>
        <v>1800.0000000002458</v>
      </c>
      <c r="AA31" s="58">
        <v>404.57</v>
      </c>
      <c r="AB31" s="65">
        <f t="shared" si="11"/>
        <v>300.00000000001137</v>
      </c>
      <c r="AC31" s="58">
        <v>378.06</v>
      </c>
      <c r="AD31" s="65">
        <f t="shared" si="12"/>
        <v>170.00000000001592</v>
      </c>
      <c r="AE31" s="58">
        <v>575.16</v>
      </c>
      <c r="AF31" s="65">
        <f t="shared" si="13"/>
        <v>189.99999999994088</v>
      </c>
      <c r="AG31" s="58">
        <v>5522</v>
      </c>
      <c r="AH31" s="67">
        <f t="shared" si="14"/>
        <v>28</v>
      </c>
      <c r="AI31" s="58">
        <v>633.22</v>
      </c>
      <c r="AJ31" s="65">
        <f t="shared" si="15"/>
        <v>220.00000000002728</v>
      </c>
      <c r="AK31" s="58">
        <v>209.52</v>
      </c>
      <c r="AL31" s="65">
        <f t="shared" si="15"/>
        <v>130.00000000002387</v>
      </c>
      <c r="AM31" s="58">
        <v>199.51</v>
      </c>
      <c r="AN31" s="65">
        <f t="shared" si="15"/>
        <v>109.99999999998522</v>
      </c>
      <c r="AO31" s="58">
        <v>192.69</v>
      </c>
      <c r="AP31" s="65">
        <f t="shared" si="15"/>
        <v>99.999999999994316</v>
      </c>
      <c r="AQ31" s="58">
        <v>251.87</v>
      </c>
      <c r="AR31" s="65">
        <f t="shared" si="16"/>
        <v>39.999999999992042</v>
      </c>
      <c r="AS31" s="58">
        <v>378.12</v>
      </c>
      <c r="AT31" s="65">
        <f t="shared" si="17"/>
        <v>69.999999999993179</v>
      </c>
      <c r="AU31" s="58">
        <v>288.52</v>
      </c>
      <c r="AV31" s="65">
        <f t="shared" si="18"/>
        <v>89.999999999974989</v>
      </c>
      <c r="AW31" s="58">
        <v>322.87</v>
      </c>
      <c r="AX31" s="65">
        <f t="shared" si="19"/>
        <v>100.00000000002274</v>
      </c>
      <c r="AY31" s="58">
        <v>362.86</v>
      </c>
      <c r="AZ31" s="65">
        <f t="shared" si="20"/>
        <v>20.000000000038654</v>
      </c>
      <c r="BA31" s="58">
        <v>381.98</v>
      </c>
      <c r="BB31" s="65">
        <f t="shared" si="21"/>
        <v>9.9999999999909051</v>
      </c>
      <c r="BC31" s="58">
        <v>244.66</v>
      </c>
      <c r="BD31" s="65">
        <f t="shared" si="22"/>
        <v>60.000000000002274</v>
      </c>
      <c r="BE31" s="59">
        <v>41274</v>
      </c>
      <c r="BF31" s="67">
        <f t="shared" si="39"/>
        <v>47</v>
      </c>
      <c r="BG31" s="60">
        <v>235.24</v>
      </c>
      <c r="BH31" s="65">
        <f t="shared" si="23"/>
        <v>20.000000000010232</v>
      </c>
      <c r="BI31" s="60">
        <v>293.99</v>
      </c>
      <c r="BJ31" s="65">
        <f t="shared" si="40"/>
        <v>30.000000000029559</v>
      </c>
      <c r="BK31" s="60">
        <v>237.79</v>
      </c>
      <c r="BL31" s="65">
        <f t="shared" si="24"/>
        <v>19.99999999998181</v>
      </c>
      <c r="BM31" s="60">
        <v>224.94</v>
      </c>
      <c r="BN31" s="65">
        <f t="shared" si="25"/>
        <v>20.000000000010232</v>
      </c>
      <c r="BO31" s="60">
        <v>288.69</v>
      </c>
      <c r="BP31" s="65">
        <f t="shared" si="26"/>
        <v>29.999999999972715</v>
      </c>
      <c r="BQ31" s="60">
        <v>46133</v>
      </c>
      <c r="BR31" s="65">
        <f t="shared" si="27"/>
        <v>21</v>
      </c>
      <c r="BS31" s="60">
        <v>201.64</v>
      </c>
      <c r="BT31" s="65">
        <f t="shared" si="42"/>
        <v>39.999999999992042</v>
      </c>
      <c r="BU31" s="60">
        <v>41863</v>
      </c>
      <c r="BV31" s="65">
        <f t="shared" si="29"/>
        <v>37</v>
      </c>
      <c r="BW31" s="60">
        <v>232.63</v>
      </c>
      <c r="BX31" s="65">
        <f t="shared" si="30"/>
        <v>19.99999999998181</v>
      </c>
      <c r="BY31" s="60">
        <v>61662</v>
      </c>
      <c r="BZ31" s="67">
        <f t="shared" si="31"/>
        <v>35</v>
      </c>
      <c r="CA31" s="60">
        <v>33022.800000000003</v>
      </c>
      <c r="CB31" s="67">
        <f t="shared" si="32"/>
        <v>24.80000000000291</v>
      </c>
      <c r="CC31" s="60">
        <v>12434.2</v>
      </c>
      <c r="CD31" s="67">
        <f t="shared" si="33"/>
        <v>2.7000000000007276</v>
      </c>
      <c r="CE31" s="60">
        <v>6574.6</v>
      </c>
      <c r="CF31" s="67">
        <f t="shared" si="34"/>
        <v>9.4000000000005457</v>
      </c>
      <c r="CG31" s="60">
        <v>60594.7</v>
      </c>
      <c r="CH31" s="67">
        <f t="shared" si="35"/>
        <v>35.299999999995634</v>
      </c>
      <c r="CI31" s="60">
        <v>957144</v>
      </c>
      <c r="CJ31" s="67">
        <f t="shared" si="36"/>
        <v>221</v>
      </c>
      <c r="CK31" s="60">
        <v>783.54</v>
      </c>
      <c r="CL31" s="64">
        <f t="shared" si="37"/>
        <v>639.99999999998636</v>
      </c>
      <c r="CM31" s="65">
        <f t="shared" si="41"/>
        <v>61</v>
      </c>
      <c r="CN31" s="62">
        <v>10</v>
      </c>
      <c r="CO31" s="62">
        <v>32</v>
      </c>
      <c r="CP31" s="68">
        <v>11052</v>
      </c>
      <c r="CQ31" s="67">
        <f t="shared" si="38"/>
        <v>31</v>
      </c>
      <c r="CR31" s="68">
        <v>14893</v>
      </c>
      <c r="CS31" s="67">
        <f t="shared" si="38"/>
        <v>30</v>
      </c>
      <c r="CT31" s="75">
        <v>6786</v>
      </c>
      <c r="CU31" s="67">
        <f t="shared" si="38"/>
        <v>2</v>
      </c>
      <c r="CV31" s="68">
        <v>16264</v>
      </c>
      <c r="CW31" s="67">
        <f t="shared" si="38"/>
        <v>32</v>
      </c>
    </row>
    <row r="32" spans="1:101" ht="25.5" customHeight="1" thickBot="1" x14ac:dyDescent="0.45">
      <c r="A32" s="63">
        <v>44406</v>
      </c>
      <c r="B32" s="68"/>
      <c r="C32" s="58">
        <v>2.3536999999999999</v>
      </c>
      <c r="D32" s="64">
        <f t="shared" si="0"/>
        <v>1799.9999999998017</v>
      </c>
      <c r="E32" s="58">
        <v>3.3439000000000001</v>
      </c>
      <c r="F32" s="64">
        <f t="shared" si="1"/>
        <v>2699.9999999999245</v>
      </c>
      <c r="G32" s="58">
        <v>3.4005000000000001</v>
      </c>
      <c r="H32" s="64">
        <f t="shared" si="2"/>
        <v>2699.9999999999245</v>
      </c>
      <c r="I32" s="58">
        <v>1.6768000000000001</v>
      </c>
      <c r="J32" s="64">
        <f t="shared" si="3"/>
        <v>1300.0000000000789</v>
      </c>
      <c r="K32" s="58">
        <v>2.7086000000000001</v>
      </c>
      <c r="L32" s="64">
        <f t="shared" si="4"/>
        <v>2200.0000000002019</v>
      </c>
      <c r="M32" s="58">
        <v>1.4869000000000001</v>
      </c>
      <c r="N32" s="64">
        <f t="shared" si="5"/>
        <v>700.00000000014495</v>
      </c>
      <c r="O32" s="58">
        <v>14541</v>
      </c>
      <c r="P32" s="67">
        <f t="shared" si="44"/>
        <v>1</v>
      </c>
      <c r="Q32" s="58">
        <v>1089</v>
      </c>
      <c r="R32" s="67">
        <f t="shared" si="6"/>
        <v>2</v>
      </c>
      <c r="S32" s="58">
        <v>1018.4</v>
      </c>
      <c r="T32" s="64">
        <f t="shared" si="45"/>
        <v>799.99999999995453</v>
      </c>
      <c r="U32" s="58">
        <v>427068.6</v>
      </c>
      <c r="V32" s="67">
        <f t="shared" si="8"/>
        <v>322.89999999996508</v>
      </c>
      <c r="W32" s="58">
        <v>406</v>
      </c>
      <c r="X32" s="65">
        <f t="shared" si="9"/>
        <v>220.00000000002728</v>
      </c>
      <c r="Y32" s="58">
        <v>2.9243000000000001</v>
      </c>
      <c r="Z32" s="65">
        <f t="shared" si="10"/>
        <v>2499.9999999999468</v>
      </c>
      <c r="AA32" s="58">
        <v>404.79</v>
      </c>
      <c r="AB32" s="65">
        <f t="shared" si="11"/>
        <v>220.00000000002728</v>
      </c>
      <c r="AC32" s="58">
        <v>378.29</v>
      </c>
      <c r="AD32" s="65">
        <f t="shared" si="12"/>
        <v>230.00000000001819</v>
      </c>
      <c r="AE32" s="58">
        <v>575.38</v>
      </c>
      <c r="AF32" s="65">
        <f t="shared" si="13"/>
        <v>220.00000000002728</v>
      </c>
      <c r="AG32" s="58">
        <v>5557</v>
      </c>
      <c r="AH32" s="67">
        <f t="shared" si="14"/>
        <v>35</v>
      </c>
      <c r="AI32" s="58">
        <v>633.5</v>
      </c>
      <c r="AJ32" s="65">
        <f t="shared" si="15"/>
        <v>279.99999999997272</v>
      </c>
      <c r="AK32" s="58">
        <v>209.72</v>
      </c>
      <c r="AL32" s="65">
        <f t="shared" si="15"/>
        <v>199.99999999998863</v>
      </c>
      <c r="AM32" s="58">
        <v>199.69</v>
      </c>
      <c r="AN32" s="65">
        <f t="shared" si="15"/>
        <v>180.00000000000682</v>
      </c>
      <c r="AO32" s="58">
        <v>192.83</v>
      </c>
      <c r="AP32" s="65">
        <f t="shared" si="15"/>
        <v>140.00000000001478</v>
      </c>
      <c r="AQ32" s="58">
        <v>252.08</v>
      </c>
      <c r="AR32" s="65">
        <f t="shared" si="16"/>
        <v>210.00000000000796</v>
      </c>
      <c r="AS32" s="58">
        <v>378.27</v>
      </c>
      <c r="AT32" s="65">
        <f t="shared" si="17"/>
        <v>149.99999999997726</v>
      </c>
      <c r="AU32" s="58">
        <v>288.7</v>
      </c>
      <c r="AV32" s="65">
        <f t="shared" si="18"/>
        <v>180.00000000000682</v>
      </c>
      <c r="AW32" s="58">
        <v>322.99</v>
      </c>
      <c r="AX32" s="65">
        <f t="shared" si="19"/>
        <v>120.00000000000455</v>
      </c>
      <c r="AY32" s="58">
        <v>362.91</v>
      </c>
      <c r="AZ32" s="65">
        <f t="shared" si="20"/>
        <v>50.000000000011369</v>
      </c>
      <c r="BA32" s="58">
        <v>382.01</v>
      </c>
      <c r="BB32" s="65">
        <f t="shared" si="21"/>
        <v>29.999999999972715</v>
      </c>
      <c r="BC32" s="58">
        <v>244.73</v>
      </c>
      <c r="BD32" s="65">
        <f t="shared" si="22"/>
        <v>69.999999999993179</v>
      </c>
      <c r="BE32" s="59">
        <v>41297</v>
      </c>
      <c r="BF32" s="67">
        <f t="shared" si="39"/>
        <v>23</v>
      </c>
      <c r="BG32" s="60">
        <v>235.28</v>
      </c>
      <c r="BH32" s="65">
        <f t="shared" si="23"/>
        <v>39.999999999992042</v>
      </c>
      <c r="BI32" s="60">
        <v>294.01</v>
      </c>
      <c r="BJ32" s="65">
        <f t="shared" si="40"/>
        <v>19.99999999998181</v>
      </c>
      <c r="BK32" s="60">
        <v>237.82</v>
      </c>
      <c r="BL32" s="65">
        <f t="shared" si="24"/>
        <v>30.000000000001137</v>
      </c>
      <c r="BM32" s="60">
        <v>224.99</v>
      </c>
      <c r="BN32" s="65">
        <f t="shared" si="25"/>
        <v>50.000000000011369</v>
      </c>
      <c r="BO32" s="60">
        <v>288.72000000000003</v>
      </c>
      <c r="BP32" s="65">
        <f t="shared" si="26"/>
        <v>30.000000000029559</v>
      </c>
      <c r="BQ32" s="60">
        <v>46158</v>
      </c>
      <c r="BR32" s="65">
        <f t="shared" si="27"/>
        <v>25</v>
      </c>
      <c r="BS32" s="60">
        <v>201.67</v>
      </c>
      <c r="BT32" s="65">
        <f t="shared" si="42"/>
        <v>30.000000000001137</v>
      </c>
      <c r="BU32" s="60">
        <v>41904</v>
      </c>
      <c r="BV32" s="65">
        <f t="shared" si="29"/>
        <v>41</v>
      </c>
      <c r="BW32" s="60">
        <v>232.66</v>
      </c>
      <c r="BX32" s="65">
        <f t="shared" si="30"/>
        <v>30.000000000001137</v>
      </c>
      <c r="BY32" s="60">
        <v>61705</v>
      </c>
      <c r="BZ32" s="67">
        <f t="shared" si="31"/>
        <v>43</v>
      </c>
      <c r="CA32" s="60">
        <v>33061.599999999999</v>
      </c>
      <c r="CB32" s="67">
        <f t="shared" si="32"/>
        <v>38.799999999995634</v>
      </c>
      <c r="CC32" s="60">
        <v>12442.7</v>
      </c>
      <c r="CD32" s="67">
        <f t="shared" si="33"/>
        <v>8.5</v>
      </c>
      <c r="CE32" s="60">
        <v>6575.3</v>
      </c>
      <c r="CF32" s="67">
        <f t="shared" si="34"/>
        <v>0.6999999999998181</v>
      </c>
      <c r="CG32" s="60">
        <v>60642.5</v>
      </c>
      <c r="CH32" s="67">
        <f t="shared" si="35"/>
        <v>47.80000000000291</v>
      </c>
      <c r="CI32" s="60">
        <v>957412</v>
      </c>
      <c r="CJ32" s="67">
        <f t="shared" si="36"/>
        <v>268</v>
      </c>
      <c r="CK32" s="60">
        <v>784.31</v>
      </c>
      <c r="CL32" s="64">
        <f t="shared" si="37"/>
        <v>769.99999999998181</v>
      </c>
      <c r="CM32" s="65">
        <f t="shared" si="41"/>
        <v>66</v>
      </c>
      <c r="CN32" s="62">
        <v>0</v>
      </c>
      <c r="CO32" s="62">
        <v>0</v>
      </c>
      <c r="CP32" s="68">
        <v>11096</v>
      </c>
      <c r="CQ32" s="67">
        <f t="shared" si="38"/>
        <v>44</v>
      </c>
      <c r="CR32" s="68">
        <v>14915</v>
      </c>
      <c r="CS32" s="67">
        <f t="shared" si="38"/>
        <v>22</v>
      </c>
      <c r="CT32" s="75">
        <v>6787</v>
      </c>
      <c r="CU32" s="67">
        <f t="shared" si="38"/>
        <v>1</v>
      </c>
      <c r="CV32" s="68">
        <v>16278</v>
      </c>
      <c r="CW32" s="67">
        <f t="shared" si="38"/>
        <v>14</v>
      </c>
    </row>
    <row r="33" spans="1:101" ht="25.5" customHeight="1" thickBot="1" x14ac:dyDescent="0.45">
      <c r="A33" s="63">
        <v>44407</v>
      </c>
      <c r="B33" s="68"/>
      <c r="C33" s="58"/>
      <c r="D33" s="64" t="str">
        <f t="shared" si="0"/>
        <v>0</v>
      </c>
      <c r="E33" s="58"/>
      <c r="F33" s="64" t="str">
        <f t="shared" si="1"/>
        <v>0</v>
      </c>
      <c r="G33" s="58"/>
      <c r="H33" s="64" t="str">
        <f t="shared" si="2"/>
        <v>0</v>
      </c>
      <c r="I33" s="58"/>
      <c r="J33" s="64" t="str">
        <f t="shared" si="3"/>
        <v>0</v>
      </c>
      <c r="K33" s="58"/>
      <c r="L33" s="64" t="str">
        <f t="shared" si="4"/>
        <v>0</v>
      </c>
      <c r="M33" s="58"/>
      <c r="N33" s="64" t="str">
        <f t="shared" si="5"/>
        <v/>
      </c>
      <c r="O33" s="58"/>
      <c r="P33" s="67" t="str">
        <f t="shared" si="44"/>
        <v/>
      </c>
      <c r="Q33" s="58"/>
      <c r="R33" s="67" t="str">
        <f t="shared" si="6"/>
        <v/>
      </c>
      <c r="S33" s="58"/>
      <c r="T33" s="64" t="str">
        <f t="shared" si="45"/>
        <v>0</v>
      </c>
      <c r="U33" s="58"/>
      <c r="V33" s="67" t="str">
        <f t="shared" si="8"/>
        <v/>
      </c>
      <c r="W33" s="58"/>
      <c r="X33" s="65" t="str">
        <f t="shared" si="9"/>
        <v/>
      </c>
      <c r="Y33" s="58"/>
      <c r="Z33" s="65" t="str">
        <f t="shared" si="10"/>
        <v/>
      </c>
      <c r="AA33" s="58"/>
      <c r="AB33" s="65" t="str">
        <f t="shared" si="11"/>
        <v/>
      </c>
      <c r="AC33" s="58"/>
      <c r="AD33" s="65" t="str">
        <f t="shared" si="12"/>
        <v/>
      </c>
      <c r="AE33" s="58"/>
      <c r="AF33" s="65" t="str">
        <f t="shared" si="13"/>
        <v/>
      </c>
      <c r="AG33" s="58"/>
      <c r="AH33" s="67" t="str">
        <f t="shared" si="14"/>
        <v/>
      </c>
      <c r="AI33" s="58"/>
      <c r="AJ33" s="65" t="str">
        <f t="shared" si="15"/>
        <v/>
      </c>
      <c r="AK33" s="58"/>
      <c r="AL33" s="65" t="str">
        <f t="shared" si="15"/>
        <v/>
      </c>
      <c r="AM33" s="58"/>
      <c r="AN33" s="65" t="str">
        <f t="shared" si="15"/>
        <v/>
      </c>
      <c r="AO33" s="58"/>
      <c r="AP33" s="65" t="str">
        <f t="shared" si="15"/>
        <v/>
      </c>
      <c r="AQ33" s="58"/>
      <c r="AR33" s="65" t="str">
        <f t="shared" si="16"/>
        <v/>
      </c>
      <c r="AS33" s="58"/>
      <c r="AT33" s="65" t="str">
        <f t="shared" si="17"/>
        <v/>
      </c>
      <c r="AU33" s="58"/>
      <c r="AV33" s="65" t="str">
        <f t="shared" si="18"/>
        <v/>
      </c>
      <c r="AW33" s="58"/>
      <c r="AX33" s="65" t="str">
        <f t="shared" si="19"/>
        <v/>
      </c>
      <c r="AY33" s="58"/>
      <c r="AZ33" s="65" t="str">
        <f t="shared" si="20"/>
        <v/>
      </c>
      <c r="BA33" s="58"/>
      <c r="BB33" s="65" t="str">
        <f t="shared" si="21"/>
        <v/>
      </c>
      <c r="BC33" s="58"/>
      <c r="BD33" s="65" t="str">
        <f t="shared" si="22"/>
        <v/>
      </c>
      <c r="BE33" s="59"/>
      <c r="BF33" s="67" t="str">
        <f t="shared" si="39"/>
        <v/>
      </c>
      <c r="BG33" s="60"/>
      <c r="BH33" s="65" t="str">
        <f t="shared" si="23"/>
        <v/>
      </c>
      <c r="BI33" s="60"/>
      <c r="BJ33" s="65" t="str">
        <f t="shared" si="40"/>
        <v/>
      </c>
      <c r="BK33" s="60"/>
      <c r="BL33" s="65" t="str">
        <f t="shared" si="24"/>
        <v/>
      </c>
      <c r="BM33" s="60"/>
      <c r="BN33" s="65" t="str">
        <f t="shared" si="25"/>
        <v/>
      </c>
      <c r="BO33" s="60"/>
      <c r="BP33" s="65" t="str">
        <f t="shared" si="26"/>
        <v/>
      </c>
      <c r="BQ33" s="60"/>
      <c r="BR33" s="65" t="str">
        <f t="shared" si="27"/>
        <v/>
      </c>
      <c r="BS33" s="60"/>
      <c r="BT33" s="65" t="str">
        <f t="shared" si="42"/>
        <v/>
      </c>
      <c r="BU33" s="60"/>
      <c r="BV33" s="65" t="str">
        <f t="shared" si="29"/>
        <v/>
      </c>
      <c r="BW33" s="60"/>
      <c r="BX33" s="65" t="str">
        <f t="shared" si="30"/>
        <v/>
      </c>
      <c r="BY33" s="60"/>
      <c r="BZ33" s="67" t="str">
        <f t="shared" si="31"/>
        <v/>
      </c>
      <c r="CA33" s="60"/>
      <c r="CB33" s="67" t="str">
        <f t="shared" si="32"/>
        <v/>
      </c>
      <c r="CC33" s="60"/>
      <c r="CD33" s="67" t="str">
        <f t="shared" si="33"/>
        <v/>
      </c>
      <c r="CE33" s="60"/>
      <c r="CF33" s="67" t="str">
        <f t="shared" si="34"/>
        <v/>
      </c>
      <c r="CG33" s="60"/>
      <c r="CH33" s="67" t="str">
        <f t="shared" si="35"/>
        <v/>
      </c>
      <c r="CI33" s="60"/>
      <c r="CJ33" s="67" t="str">
        <f t="shared" si="36"/>
        <v/>
      </c>
      <c r="CK33" s="60"/>
      <c r="CL33" s="64" t="str">
        <f t="shared" si="37"/>
        <v/>
      </c>
      <c r="CM33" s="65" t="e">
        <f t="shared" si="41"/>
        <v>#VALUE!</v>
      </c>
      <c r="CN33" s="62">
        <v>0</v>
      </c>
      <c r="CO33" s="62">
        <v>0</v>
      </c>
      <c r="CP33" s="68"/>
      <c r="CQ33" s="67" t="str">
        <f t="shared" si="38"/>
        <v/>
      </c>
      <c r="CR33" s="68"/>
      <c r="CS33" s="67" t="str">
        <f t="shared" si="38"/>
        <v/>
      </c>
      <c r="CT33" s="75"/>
      <c r="CU33" s="67" t="str">
        <f t="shared" si="38"/>
        <v/>
      </c>
      <c r="CV33" s="68"/>
      <c r="CW33" s="67" t="str">
        <f t="shared" si="38"/>
        <v/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4">
        <f t="shared" si="45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G37" sqref="G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15</v>
      </c>
      <c r="D26" s="40">
        <v>51</v>
      </c>
      <c r="E26" s="41">
        <v>30</v>
      </c>
      <c r="F26" s="41">
        <v>5469</v>
      </c>
      <c r="G26" s="41">
        <v>0</v>
      </c>
      <c r="H26" s="41">
        <v>1592</v>
      </c>
      <c r="I26" s="41">
        <v>0</v>
      </c>
      <c r="J26" s="41">
        <v>375</v>
      </c>
      <c r="K26" s="42">
        <v>85</v>
      </c>
      <c r="L26" s="42">
        <v>60</v>
      </c>
      <c r="M26" s="42">
        <v>1366</v>
      </c>
      <c r="N26" s="39">
        <v>85</v>
      </c>
      <c r="O26" s="39">
        <v>0</v>
      </c>
      <c r="P26" s="39">
        <v>75</v>
      </c>
      <c r="Q26" s="39">
        <v>3955</v>
      </c>
      <c r="R26" s="78">
        <v>70</v>
      </c>
      <c r="S26" s="78">
        <v>198</v>
      </c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14</v>
      </c>
      <c r="D27" s="40">
        <v>49</v>
      </c>
      <c r="E27" s="41">
        <v>20</v>
      </c>
      <c r="F27" s="41">
        <v>5474</v>
      </c>
      <c r="G27" s="41">
        <v>0</v>
      </c>
      <c r="H27" s="41">
        <v>1596</v>
      </c>
      <c r="I27" s="41">
        <v>0</v>
      </c>
      <c r="J27" s="41">
        <v>376</v>
      </c>
      <c r="K27" s="42">
        <v>85</v>
      </c>
      <c r="L27" s="42">
        <v>55</v>
      </c>
      <c r="M27" s="42">
        <v>1367</v>
      </c>
      <c r="N27" s="39">
        <v>85</v>
      </c>
      <c r="O27" s="39">
        <v>0</v>
      </c>
      <c r="P27" s="39">
        <v>69</v>
      </c>
      <c r="Q27" s="39">
        <v>3959</v>
      </c>
      <c r="R27" s="78">
        <v>70</v>
      </c>
      <c r="S27" s="78">
        <v>198</v>
      </c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14</v>
      </c>
      <c r="D28" s="40">
        <v>49</v>
      </c>
      <c r="E28" s="41">
        <v>85</v>
      </c>
      <c r="F28" s="41">
        <v>5479</v>
      </c>
      <c r="G28" s="41">
        <v>85</v>
      </c>
      <c r="H28" s="41">
        <v>1599</v>
      </c>
      <c r="I28" s="41">
        <v>85</v>
      </c>
      <c r="J28" s="41">
        <v>376</v>
      </c>
      <c r="K28" s="42">
        <v>85</v>
      </c>
      <c r="L28" s="42">
        <v>55</v>
      </c>
      <c r="M28" s="42">
        <v>1369</v>
      </c>
      <c r="N28" s="39">
        <v>85</v>
      </c>
      <c r="O28" s="39">
        <v>0</v>
      </c>
      <c r="P28" s="39">
        <v>65</v>
      </c>
      <c r="Q28" s="39">
        <v>3963</v>
      </c>
      <c r="R28" s="78">
        <v>70</v>
      </c>
      <c r="S28" s="78">
        <v>200</v>
      </c>
      <c r="T28">
        <f t="shared" si="0"/>
        <v>2</v>
      </c>
    </row>
    <row r="29" spans="1:20" x14ac:dyDescent="0.25">
      <c r="A29" s="73">
        <v>44034</v>
      </c>
      <c r="B29" s="40">
        <v>0</v>
      </c>
      <c r="C29" s="40">
        <v>14</v>
      </c>
      <c r="D29" s="40">
        <v>49</v>
      </c>
      <c r="E29" s="41">
        <v>85</v>
      </c>
      <c r="F29" s="41">
        <v>5585</v>
      </c>
      <c r="G29" s="41">
        <v>70</v>
      </c>
      <c r="H29" s="41">
        <v>1604</v>
      </c>
      <c r="I29" s="41">
        <v>85</v>
      </c>
      <c r="J29" s="41">
        <v>376</v>
      </c>
      <c r="K29" s="42">
        <v>85</v>
      </c>
      <c r="L29" s="42">
        <v>50</v>
      </c>
      <c r="M29" s="42">
        <v>1370</v>
      </c>
      <c r="N29" s="39">
        <v>55</v>
      </c>
      <c r="O29" s="39">
        <v>0</v>
      </c>
      <c r="P29" s="39">
        <v>85</v>
      </c>
      <c r="Q29" s="39">
        <v>3969</v>
      </c>
      <c r="R29" s="78">
        <v>70</v>
      </c>
      <c r="S29" s="78">
        <v>200</v>
      </c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14</v>
      </c>
      <c r="D30" s="40">
        <v>49</v>
      </c>
      <c r="E30" s="41">
        <v>85</v>
      </c>
      <c r="F30" s="41">
        <v>5488</v>
      </c>
      <c r="G30" s="41">
        <v>60</v>
      </c>
      <c r="H30" s="41">
        <v>1605</v>
      </c>
      <c r="I30" s="41">
        <v>85</v>
      </c>
      <c r="J30" s="41">
        <v>377</v>
      </c>
      <c r="K30" s="42">
        <v>85</v>
      </c>
      <c r="L30" s="42">
        <v>50</v>
      </c>
      <c r="M30" s="42">
        <v>1372</v>
      </c>
      <c r="N30" s="39">
        <v>55</v>
      </c>
      <c r="O30" s="39">
        <v>0</v>
      </c>
      <c r="P30" s="39">
        <v>85</v>
      </c>
      <c r="Q30" s="39">
        <v>3970</v>
      </c>
      <c r="R30" s="78">
        <v>70</v>
      </c>
      <c r="S30" s="78">
        <v>200</v>
      </c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14</v>
      </c>
      <c r="D31" s="40">
        <v>49</v>
      </c>
      <c r="E31" s="41">
        <v>85</v>
      </c>
      <c r="F31" s="41">
        <v>5494</v>
      </c>
      <c r="G31" s="41">
        <v>50</v>
      </c>
      <c r="H31" s="41">
        <v>1608</v>
      </c>
      <c r="I31" s="41">
        <v>85</v>
      </c>
      <c r="J31" s="41">
        <v>378</v>
      </c>
      <c r="K31" s="42">
        <v>85</v>
      </c>
      <c r="L31" s="42">
        <v>50</v>
      </c>
      <c r="M31" s="42">
        <v>1374</v>
      </c>
      <c r="N31" s="39">
        <v>50</v>
      </c>
      <c r="O31" s="39">
        <v>0</v>
      </c>
      <c r="P31" s="39">
        <v>85</v>
      </c>
      <c r="Q31" s="39">
        <v>3974</v>
      </c>
      <c r="R31" s="78">
        <v>70</v>
      </c>
      <c r="S31" s="78">
        <v>200</v>
      </c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9</v>
      </c>
      <c r="D32" s="40">
        <v>27</v>
      </c>
      <c r="E32" s="41">
        <v>85</v>
      </c>
      <c r="F32" s="41">
        <v>5499</v>
      </c>
      <c r="G32" s="41">
        <v>45</v>
      </c>
      <c r="H32" s="41">
        <v>1610</v>
      </c>
      <c r="I32" s="41">
        <v>85</v>
      </c>
      <c r="J32" s="41">
        <v>379</v>
      </c>
      <c r="K32" s="42">
        <v>85</v>
      </c>
      <c r="L32" s="42">
        <v>45</v>
      </c>
      <c r="M32" s="42">
        <v>1374</v>
      </c>
      <c r="N32" s="39">
        <v>45</v>
      </c>
      <c r="O32" s="39">
        <v>0</v>
      </c>
      <c r="P32" s="39">
        <v>85</v>
      </c>
      <c r="Q32" s="39">
        <v>3977</v>
      </c>
      <c r="R32" s="78">
        <v>70</v>
      </c>
      <c r="S32" s="78">
        <v>200</v>
      </c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9</v>
      </c>
      <c r="D33" s="40">
        <v>27</v>
      </c>
      <c r="E33" s="41">
        <v>85</v>
      </c>
      <c r="F33" s="41">
        <v>5505</v>
      </c>
      <c r="G33" s="41">
        <v>25</v>
      </c>
      <c r="H33" s="41">
        <v>1615</v>
      </c>
      <c r="I33" s="41">
        <v>85</v>
      </c>
      <c r="J33" s="41">
        <v>379</v>
      </c>
      <c r="K33" s="42">
        <v>85</v>
      </c>
      <c r="L33" s="42">
        <v>40</v>
      </c>
      <c r="M33" s="42">
        <v>1375</v>
      </c>
      <c r="N33" s="39">
        <v>40</v>
      </c>
      <c r="O33" s="39">
        <v>0</v>
      </c>
      <c r="P33" s="39">
        <v>85</v>
      </c>
      <c r="Q33" s="39">
        <v>3983</v>
      </c>
      <c r="R33" s="78">
        <v>70</v>
      </c>
      <c r="S33" s="78">
        <v>200</v>
      </c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9</v>
      </c>
      <c r="D34" s="40">
        <v>27</v>
      </c>
      <c r="E34" s="41">
        <v>85</v>
      </c>
      <c r="F34" s="41">
        <v>5509</v>
      </c>
      <c r="G34" s="41">
        <v>20</v>
      </c>
      <c r="H34" s="41">
        <v>1617</v>
      </c>
      <c r="I34" s="41">
        <v>85</v>
      </c>
      <c r="J34" s="41">
        <v>380</v>
      </c>
      <c r="K34" s="42">
        <v>85</v>
      </c>
      <c r="L34" s="42">
        <v>40</v>
      </c>
      <c r="M34" s="42">
        <v>1375</v>
      </c>
      <c r="N34" s="39">
        <v>35</v>
      </c>
      <c r="O34" s="39">
        <v>0</v>
      </c>
      <c r="P34" s="39">
        <v>85</v>
      </c>
      <c r="Q34" s="39">
        <v>3987</v>
      </c>
      <c r="R34" s="78">
        <v>70</v>
      </c>
      <c r="S34" s="78">
        <v>200</v>
      </c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10</v>
      </c>
      <c r="D35" s="40">
        <v>32</v>
      </c>
      <c r="E35" s="41">
        <v>85</v>
      </c>
      <c r="F35" s="41">
        <v>5513</v>
      </c>
      <c r="G35" s="41">
        <v>10</v>
      </c>
      <c r="H35" s="41">
        <v>1619</v>
      </c>
      <c r="I35" s="41">
        <v>85</v>
      </c>
      <c r="J35" s="41">
        <v>382</v>
      </c>
      <c r="K35" s="42">
        <v>85</v>
      </c>
      <c r="L35" s="42">
        <v>40</v>
      </c>
      <c r="M35" s="42">
        <v>1377</v>
      </c>
      <c r="N35" s="39">
        <v>30</v>
      </c>
      <c r="O35" s="39">
        <v>0</v>
      </c>
      <c r="P35" s="39">
        <v>85</v>
      </c>
      <c r="Q35" s="39">
        <v>3990</v>
      </c>
      <c r="R35" s="78">
        <v>70</v>
      </c>
      <c r="S35" s="78">
        <v>200</v>
      </c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13</v>
      </c>
      <c r="D36" s="40">
        <v>46</v>
      </c>
      <c r="E36" s="41">
        <v>85</v>
      </c>
      <c r="F36" s="41">
        <v>5518</v>
      </c>
      <c r="G36" s="41">
        <v>0</v>
      </c>
      <c r="H36" s="41">
        <v>1622</v>
      </c>
      <c r="I36" s="41">
        <v>85</v>
      </c>
      <c r="J36" s="41">
        <v>383</v>
      </c>
      <c r="K36" s="42">
        <v>85</v>
      </c>
      <c r="L36" s="42">
        <v>40</v>
      </c>
      <c r="M36" s="42">
        <v>1377</v>
      </c>
      <c r="N36" s="39">
        <v>15</v>
      </c>
      <c r="O36" s="39">
        <v>0</v>
      </c>
      <c r="P36" s="39">
        <v>85</v>
      </c>
      <c r="Q36" s="39">
        <v>3994</v>
      </c>
      <c r="R36" s="78">
        <v>70</v>
      </c>
      <c r="S36" s="78">
        <v>200</v>
      </c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-200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2021-07-30T19:26:50Z</dcterms:modified>
</cp:coreProperties>
</file>