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9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AZ30" i="4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F22" i="3"/>
  <c r="E23" i="3"/>
  <c r="E22" i="3"/>
  <c r="F24" i="3"/>
  <c r="F23" i="3"/>
  <c r="C30" i="4"/>
  <c r="C29" i="4"/>
  <c r="G22" i="3"/>
  <c r="F30" i="4"/>
  <c r="F29" i="4"/>
  <c r="H22" i="3"/>
  <c r="K30" i="4"/>
  <c r="K29" i="4"/>
  <c r="I22" i="3"/>
  <c r="J22" i="3"/>
  <c r="O30" i="4"/>
  <c r="O29" i="4"/>
  <c r="K22" i="3"/>
  <c r="R30" i="4"/>
  <c r="R29" i="4"/>
  <c r="L22" i="3"/>
  <c r="U30" i="4"/>
  <c r="U29" i="4"/>
  <c r="M22" i="3"/>
  <c r="X30" i="4"/>
  <c r="X29" i="4"/>
  <c r="N22" i="3"/>
  <c r="AA30" i="4"/>
  <c r="AA29" i="4"/>
  <c r="O22" i="3"/>
  <c r="AD30" i="4"/>
  <c r="AD29" i="4"/>
  <c r="P22" i="3"/>
  <c r="AG30" i="4"/>
  <c r="AG29" i="4"/>
  <c r="Q22" i="3"/>
  <c r="AJ30" i="4"/>
  <c r="AJ29" i="4"/>
  <c r="R22" i="3"/>
  <c r="AM30" i="4"/>
  <c r="AM29" i="4"/>
  <c r="S22" i="3"/>
  <c r="AP30" i="4"/>
  <c r="AP29" i="4"/>
  <c r="T22" i="3"/>
  <c r="AS30" i="4"/>
  <c r="AS29" i="4"/>
  <c r="U22" i="3"/>
  <c r="AV30" i="4"/>
  <c r="AV29" i="4"/>
  <c r="V22" i="3"/>
  <c r="AZ29" i="4"/>
  <c r="W22" i="3"/>
  <c r="BC30" i="4"/>
  <c r="BC29" i="4"/>
  <c r="X22" i="3"/>
  <c r="BF30" i="4"/>
  <c r="BF29" i="4"/>
  <c r="Y22" i="3"/>
  <c r="CK30" i="4"/>
  <c r="CK29" i="4"/>
  <c r="Z22" i="3"/>
  <c r="CN30" i="4"/>
  <c r="CN29" i="4"/>
  <c r="AA22" i="3"/>
  <c r="CQ30" i="4"/>
  <c r="CQ29" i="4"/>
  <c r="AB22" i="3"/>
  <c r="CT30" i="4"/>
  <c r="CT29" i="4"/>
  <c r="AC22" i="3"/>
  <c r="BY30" i="4"/>
  <c r="BY29" i="4"/>
  <c r="AD22" i="3"/>
  <c r="CA30" i="4"/>
  <c r="CA29" i="4"/>
  <c r="AE22" i="3"/>
  <c r="CC30" i="4"/>
  <c r="CC29" i="4"/>
  <c r="AF22" i="3"/>
  <c r="CE30" i="4"/>
  <c r="CE29" i="4"/>
  <c r="AG22" i="3"/>
  <c r="CG30" i="4"/>
  <c r="CG29" i="4"/>
  <c r="AH22" i="3"/>
  <c r="CI30" i="4"/>
  <c r="CI29" i="4"/>
  <c r="AI22" i="3"/>
  <c r="CY30" i="4"/>
  <c r="CY29" i="4"/>
  <c r="AJ22" i="3"/>
  <c r="CW30" i="4"/>
  <c r="CW29" i="4"/>
  <c r="AK22" i="3"/>
  <c r="DC30" i="4"/>
  <c r="DC29" i="4"/>
  <c r="AL22" i="3"/>
  <c r="DA30" i="4"/>
  <c r="DA29" i="4"/>
  <c r="AM22" i="3"/>
  <c r="DG30" i="4"/>
  <c r="DG29" i="4"/>
  <c r="AN22" i="3"/>
  <c r="DE30" i="4"/>
  <c r="DE29" i="4"/>
  <c r="AO22" i="3"/>
  <c r="DK30" i="4"/>
  <c r="DK29" i="4"/>
  <c r="AP22" i="3"/>
  <c r="DI30" i="4"/>
  <c r="DI29" i="4"/>
  <c r="AQ22" i="3"/>
  <c r="DO30" i="4"/>
  <c r="DO29" i="4"/>
  <c r="AR22" i="3"/>
  <c r="DM30" i="4"/>
  <c r="DM29" i="4"/>
  <c r="AS22" i="3"/>
  <c r="DQ30" i="4"/>
  <c r="DQ29" i="4"/>
  <c r="AT22" i="3"/>
  <c r="DT30" i="4"/>
  <c r="DT29" i="4"/>
  <c r="AU22" i="3"/>
  <c r="DX30" i="4"/>
  <c r="DX29" i="4"/>
  <c r="AW22" i="3"/>
  <c r="DZ30" i="4"/>
  <c r="DZ29" i="4"/>
  <c r="AX22" i="3"/>
  <c r="EB30" i="4"/>
  <c r="EB29" i="4"/>
  <c r="AY22" i="3"/>
  <c r="ED30" i="4"/>
  <c r="ED29" i="4"/>
  <c r="AZ22" i="3"/>
  <c r="EG30" i="4"/>
  <c r="EG29" i="4"/>
  <c r="BA22" i="3"/>
  <c r="EI30" i="4"/>
  <c r="EI29" i="4"/>
  <c r="BB22" i="3"/>
  <c r="EQ30" i="4"/>
  <c r="EQ29" i="4"/>
  <c r="BC22" i="3"/>
  <c r="EK30" i="4"/>
  <c r="EK29" i="4"/>
  <c r="BD22" i="3"/>
  <c r="EM30" i="4"/>
  <c r="EM29" i="4"/>
  <c r="BE22" i="3"/>
  <c r="EO30" i="4"/>
  <c r="EO29" i="4"/>
  <c r="BF22" i="3"/>
  <c r="ET30" i="4"/>
  <c r="ET29" i="4"/>
  <c r="BG22" i="3"/>
  <c r="EV30" i="4"/>
  <c r="EV29" i="4"/>
  <c r="BH22" i="3"/>
  <c r="EZ30" i="4"/>
  <c r="EZ29" i="4"/>
  <c r="BI22" i="3"/>
  <c r="EX30" i="4"/>
  <c r="EX29" i="4"/>
  <c r="BJ22" i="3"/>
  <c r="FB30" i="4"/>
  <c r="FB29" i="4"/>
  <c r="BK22" i="3"/>
  <c r="J30" i="4"/>
  <c r="BL22" i="3"/>
  <c r="C28" i="4"/>
  <c r="G21" i="3"/>
  <c r="F28" i="4"/>
  <c r="H21" i="3"/>
  <c r="K28" i="4"/>
  <c r="I21" i="3"/>
  <c r="J21" i="3"/>
  <c r="O28" i="4"/>
  <c r="K21" i="3"/>
  <c r="R28" i="4"/>
  <c r="L21" i="3"/>
  <c r="U28" i="4"/>
  <c r="M21" i="3"/>
  <c r="X28" i="4"/>
  <c r="N21" i="3"/>
  <c r="AA28" i="4"/>
  <c r="O21" i="3"/>
  <c r="AD28" i="4"/>
  <c r="P21" i="3"/>
  <c r="AG28" i="4"/>
  <c r="Q21" i="3"/>
  <c r="AJ28" i="4"/>
  <c r="R21" i="3"/>
  <c r="AM28" i="4"/>
  <c r="S21" i="3"/>
  <c r="AP28" i="4"/>
  <c r="T21" i="3"/>
  <c r="AS28" i="4"/>
  <c r="U21" i="3"/>
  <c r="AV28" i="4"/>
  <c r="V21" i="3"/>
  <c r="AZ28" i="4"/>
  <c r="W21" i="3"/>
  <c r="BC28" i="4"/>
  <c r="X21" i="3"/>
  <c r="BF28" i="4"/>
  <c r="Y21" i="3"/>
  <c r="CK28" i="4"/>
  <c r="Z21" i="3"/>
  <c r="CN28" i="4"/>
  <c r="AA21" i="3"/>
  <c r="CQ28" i="4"/>
  <c r="AB21" i="3"/>
  <c r="CT28" i="4"/>
  <c r="AC21" i="3"/>
  <c r="BY28" i="4"/>
  <c r="AD21" i="3"/>
  <c r="CA28" i="4"/>
  <c r="AE21" i="3"/>
  <c r="CC28" i="4"/>
  <c r="AF21" i="3"/>
  <c r="CE28" i="4"/>
  <c r="AG21" i="3"/>
  <c r="CG28" i="4"/>
  <c r="AH21" i="3"/>
  <c r="CI28" i="4"/>
  <c r="AI21" i="3"/>
  <c r="CY28" i="4"/>
  <c r="AJ21" i="3"/>
  <c r="CW28" i="4"/>
  <c r="AK21" i="3"/>
  <c r="DC28" i="4"/>
  <c r="AL21" i="3"/>
  <c r="DA28" i="4"/>
  <c r="AM21" i="3"/>
  <c r="DG28" i="4"/>
  <c r="AN21" i="3"/>
  <c r="DE28" i="4"/>
  <c r="AO21" i="3"/>
  <c r="DK28" i="4"/>
  <c r="AP21" i="3"/>
  <c r="DI28" i="4"/>
  <c r="AQ21" i="3"/>
  <c r="DO28" i="4"/>
  <c r="AR21" i="3"/>
  <c r="DM28" i="4"/>
  <c r="AS21" i="3"/>
  <c r="DQ28" i="4"/>
  <c r="AT21" i="3"/>
  <c r="DT28" i="4"/>
  <c r="AU21" i="3"/>
  <c r="DX28" i="4"/>
  <c r="AW21" i="3"/>
  <c r="DZ28" i="4"/>
  <c r="AX21" i="3"/>
  <c r="EB28" i="4"/>
  <c r="AY21" i="3"/>
  <c r="ED28" i="4"/>
  <c r="AZ21" i="3"/>
  <c r="EG28" i="4"/>
  <c r="BA21" i="3"/>
  <c r="EI28" i="4"/>
  <c r="BB21" i="3"/>
  <c r="EQ28" i="4"/>
  <c r="BC21" i="3"/>
  <c r="EK28" i="4"/>
  <c r="BD21" i="3"/>
  <c r="EM28" i="4"/>
  <c r="BE21" i="3"/>
  <c r="EO28" i="4"/>
  <c r="BF21" i="3"/>
  <c r="ET28" i="4"/>
  <c r="BG21" i="3"/>
  <c r="EV28" i="4"/>
  <c r="BH21" i="3"/>
  <c r="EZ28" i="4"/>
  <c r="BI21" i="3"/>
  <c r="EX28" i="4"/>
  <c r="BJ21" i="3"/>
  <c r="FB28" i="4"/>
  <c r="BK21" i="3"/>
  <c r="J29" i="4"/>
  <c r="BL21" i="3"/>
  <c r="F19" i="3"/>
  <c r="F20" i="3"/>
  <c r="E19" i="3"/>
  <c r="E20" i="3"/>
  <c r="E21" i="3"/>
  <c r="F21" i="3"/>
  <c r="C25" i="4"/>
  <c r="C24" i="4"/>
  <c r="G17" i="3"/>
  <c r="F25" i="4"/>
  <c r="F24" i="4"/>
  <c r="K25" i="4"/>
  <c r="K24" i="4"/>
  <c r="J17" i="3"/>
  <c r="O25" i="4"/>
  <c r="O24" i="4"/>
  <c r="K17" i="3"/>
  <c r="R25" i="4"/>
  <c r="R24" i="4"/>
  <c r="L17" i="3"/>
  <c r="U25" i="4"/>
  <c r="U24" i="4"/>
  <c r="M17" i="3"/>
  <c r="X25" i="4"/>
  <c r="X24" i="4"/>
  <c r="N17" i="3"/>
  <c r="AA25" i="4"/>
  <c r="AA24" i="4"/>
  <c r="O17" i="3"/>
  <c r="AD25" i="4"/>
  <c r="AD24" i="4"/>
  <c r="P17" i="3"/>
  <c r="AG25" i="4"/>
  <c r="AG24" i="4"/>
  <c r="Q17" i="3"/>
  <c r="AJ25" i="4"/>
  <c r="AJ24" i="4"/>
  <c r="R17" i="3"/>
  <c r="AM25" i="4"/>
  <c r="AM24" i="4"/>
  <c r="S17" i="3"/>
  <c r="AP25" i="4"/>
  <c r="AP24" i="4"/>
  <c r="T17" i="3"/>
  <c r="AS25" i="4"/>
  <c r="AS24" i="4"/>
  <c r="U17" i="3"/>
  <c r="AV25" i="4"/>
  <c r="AV24" i="4"/>
  <c r="V17" i="3"/>
  <c r="AZ25" i="4"/>
  <c r="AZ24" i="4"/>
  <c r="W17" i="3"/>
  <c r="BC25" i="4"/>
  <c r="BC24" i="4"/>
  <c r="X17" i="3"/>
  <c r="BF25" i="4"/>
  <c r="BF24" i="4"/>
  <c r="Y17" i="3"/>
  <c r="CK25" i="4"/>
  <c r="CK24" i="4"/>
  <c r="Z17" i="3"/>
  <c r="CN25" i="4"/>
  <c r="CN24" i="4"/>
  <c r="AA17" i="3"/>
  <c r="CQ25" i="4"/>
  <c r="CQ24" i="4"/>
  <c r="CT25" i="4"/>
  <c r="CT24" i="4"/>
  <c r="AC17" i="3"/>
  <c r="BY25" i="4"/>
  <c r="BY24" i="4"/>
  <c r="AD17" i="3"/>
  <c r="CA25" i="4"/>
  <c r="CA24" i="4"/>
  <c r="AE17" i="3"/>
  <c r="CC25" i="4"/>
  <c r="CC24" i="4"/>
  <c r="AF17" i="3"/>
  <c r="CE25" i="4"/>
  <c r="CE24" i="4"/>
  <c r="AG17" i="3"/>
  <c r="CG25" i="4"/>
  <c r="CG24" i="4"/>
  <c r="AH17" i="3"/>
  <c r="CI25" i="4"/>
  <c r="CI24" i="4"/>
  <c r="AI17" i="3"/>
  <c r="CY25" i="4"/>
  <c r="CY24" i="4"/>
  <c r="AJ17" i="3"/>
  <c r="CW25" i="4"/>
  <c r="CW24" i="4"/>
  <c r="AK17" i="3"/>
  <c r="DC25" i="4"/>
  <c r="DC24" i="4"/>
  <c r="AL17" i="3"/>
  <c r="DA25" i="4"/>
  <c r="DA24" i="4"/>
  <c r="AM17" i="3"/>
  <c r="DG25" i="4"/>
  <c r="DG24" i="4"/>
  <c r="DE25" i="4"/>
  <c r="DE24" i="4"/>
  <c r="AO17" i="3"/>
  <c r="DK25" i="4"/>
  <c r="DK24" i="4"/>
  <c r="AP17" i="3"/>
  <c r="DI25" i="4"/>
  <c r="DI24" i="4"/>
  <c r="AQ17" i="3"/>
  <c r="DO25" i="4"/>
  <c r="DO24" i="4"/>
  <c r="AR17" i="3"/>
  <c r="DM25" i="4"/>
  <c r="DM24" i="4"/>
  <c r="AS17" i="3"/>
  <c r="DQ25" i="4"/>
  <c r="DQ24" i="4"/>
  <c r="DT25" i="4"/>
  <c r="DT24" i="4"/>
  <c r="AU17" i="3"/>
  <c r="DX25" i="4"/>
  <c r="DX24" i="4"/>
  <c r="AW17" i="3"/>
  <c r="DZ25" i="4"/>
  <c r="DZ24" i="4"/>
  <c r="AX17" i="3"/>
  <c r="EB25" i="4"/>
  <c r="EB24" i="4"/>
  <c r="AY17" i="3"/>
  <c r="ED25" i="4"/>
  <c r="ED24" i="4"/>
  <c r="AZ17" i="3"/>
  <c r="EG25" i="4"/>
  <c r="EG24" i="4"/>
  <c r="BA17" i="3"/>
  <c r="EI25" i="4"/>
  <c r="EI24" i="4"/>
  <c r="BB17" i="3"/>
  <c r="EQ25" i="4"/>
  <c r="EQ24" i="4"/>
  <c r="BC17" i="3"/>
  <c r="EK25" i="4"/>
  <c r="EK24" i="4"/>
  <c r="BD17" i="3"/>
  <c r="EM25" i="4"/>
  <c r="EM24" i="4"/>
  <c r="BE17" i="3"/>
  <c r="EO25" i="4"/>
  <c r="EO24" i="4"/>
  <c r="BF17" i="3"/>
  <c r="ET25" i="4"/>
  <c r="ET24" i="4"/>
  <c r="EV25" i="4"/>
  <c r="EV24" i="4"/>
  <c r="BH17" i="3"/>
  <c r="EZ25" i="4"/>
  <c r="EZ24" i="4"/>
  <c r="BI17" i="3"/>
  <c r="EX25" i="4"/>
  <c r="EX24" i="4"/>
  <c r="BJ17" i="3"/>
  <c r="FB25" i="4"/>
  <c r="FB24" i="4"/>
  <c r="BK17" i="3"/>
  <c r="J25" i="4"/>
  <c r="BL17" i="3"/>
  <c r="C26" i="4"/>
  <c r="F26" i="4"/>
  <c r="H18" i="3"/>
  <c r="K26" i="4"/>
  <c r="J18" i="3"/>
  <c r="O26" i="4"/>
  <c r="R26" i="4"/>
  <c r="L18" i="3"/>
  <c r="U26" i="4"/>
  <c r="M18" i="3"/>
  <c r="X26" i="4"/>
  <c r="AA26" i="4"/>
  <c r="AD26" i="4"/>
  <c r="P18" i="3"/>
  <c r="AG26" i="4"/>
  <c r="Q18" i="3"/>
  <c r="AJ26" i="4"/>
  <c r="AM26" i="4"/>
  <c r="S18" i="3"/>
  <c r="AP26" i="4"/>
  <c r="T18" i="3"/>
  <c r="AS26" i="4"/>
  <c r="U18" i="3"/>
  <c r="AV26" i="4"/>
  <c r="V18" i="3"/>
  <c r="AZ26" i="4"/>
  <c r="W18" i="3"/>
  <c r="BC26" i="4"/>
  <c r="BF26" i="4"/>
  <c r="Y18" i="3"/>
  <c r="CK26" i="4"/>
  <c r="Z18" i="3"/>
  <c r="CN26" i="4"/>
  <c r="CQ26" i="4"/>
  <c r="CT26" i="4"/>
  <c r="AC18" i="3"/>
  <c r="BY26" i="4"/>
  <c r="AD18" i="3"/>
  <c r="CA26" i="4"/>
  <c r="AE18" i="3"/>
  <c r="CC26" i="4"/>
  <c r="AF18" i="3"/>
  <c r="CE26" i="4"/>
  <c r="CG26" i="4"/>
  <c r="AH18" i="3"/>
  <c r="CI26" i="4"/>
  <c r="AI18" i="3"/>
  <c r="CY26" i="4"/>
  <c r="CW26" i="4"/>
  <c r="AK18" i="3"/>
  <c r="DC26" i="4"/>
  <c r="DA26" i="4"/>
  <c r="AM18" i="3"/>
  <c r="DG26" i="4"/>
  <c r="DE26" i="4"/>
  <c r="AO18" i="3"/>
  <c r="DK26" i="4"/>
  <c r="DI26" i="4"/>
  <c r="AQ18" i="3"/>
  <c r="DO26" i="4"/>
  <c r="DM26" i="4"/>
  <c r="DQ26" i="4"/>
  <c r="DT26" i="4"/>
  <c r="DX26" i="4"/>
  <c r="AW18" i="3"/>
  <c r="DZ26" i="4"/>
  <c r="AX18" i="3"/>
  <c r="EB26" i="4"/>
  <c r="ED26" i="4"/>
  <c r="EG26" i="4"/>
  <c r="BA18" i="3"/>
  <c r="EI26" i="4"/>
  <c r="BB18" i="3"/>
  <c r="EQ26" i="4"/>
  <c r="EK26" i="4"/>
  <c r="BD18" i="3"/>
  <c r="EM26" i="4"/>
  <c r="BE18" i="3"/>
  <c r="EO26" i="4"/>
  <c r="BF18" i="3"/>
  <c r="ET26" i="4"/>
  <c r="EV26" i="4"/>
  <c r="BH18" i="3"/>
  <c r="EZ26" i="4"/>
  <c r="EX26" i="4"/>
  <c r="BJ18" i="3"/>
  <c r="FB26" i="4"/>
  <c r="J26" i="4"/>
  <c r="BL18" i="3"/>
  <c r="E18" i="3"/>
  <c r="F18" i="3"/>
  <c r="E17" i="3"/>
  <c r="E16" i="3"/>
  <c r="F16" i="3"/>
  <c r="F13" i="3"/>
  <c r="F17" i="3"/>
  <c r="E15" i="3"/>
  <c r="C23" i="4"/>
  <c r="G16" i="3"/>
  <c r="F23" i="4"/>
  <c r="K23" i="4"/>
  <c r="I16" i="3"/>
  <c r="J16" i="3"/>
  <c r="O23" i="4"/>
  <c r="K16" i="3"/>
  <c r="R23" i="4"/>
  <c r="U23" i="4"/>
  <c r="M16" i="3"/>
  <c r="X23" i="4"/>
  <c r="N16" i="3"/>
  <c r="AA23" i="4"/>
  <c r="O16" i="3"/>
  <c r="AD23" i="4"/>
  <c r="P16" i="3"/>
  <c r="AG23" i="4"/>
  <c r="Q16" i="3"/>
  <c r="AJ23" i="4"/>
  <c r="AM23" i="4"/>
  <c r="S16" i="3"/>
  <c r="AP23" i="4"/>
  <c r="T16" i="3"/>
  <c r="AS23" i="4"/>
  <c r="U16" i="3"/>
  <c r="AV23" i="4"/>
  <c r="V16" i="3"/>
  <c r="AZ23" i="4"/>
  <c r="W16" i="3"/>
  <c r="BC23" i="4"/>
  <c r="BF23" i="4"/>
  <c r="Y16" i="3"/>
  <c r="CK23" i="4"/>
  <c r="Z16" i="3"/>
  <c r="CN23" i="4"/>
  <c r="AA16" i="3"/>
  <c r="CQ23" i="4"/>
  <c r="AB16" i="3"/>
  <c r="CT23" i="4"/>
  <c r="AC16" i="3"/>
  <c r="BY23" i="4"/>
  <c r="CA23" i="4"/>
  <c r="AE16" i="3"/>
  <c r="CC23" i="4"/>
  <c r="AF16" i="3"/>
  <c r="CE23" i="4"/>
  <c r="AG16" i="3"/>
  <c r="CG23" i="4"/>
  <c r="AH16" i="3"/>
  <c r="CI23" i="4"/>
  <c r="AI16" i="3"/>
  <c r="CY23" i="4"/>
  <c r="CW23" i="4"/>
  <c r="AK16" i="3"/>
  <c r="DC23" i="4"/>
  <c r="AL16" i="3"/>
  <c r="DA23" i="4"/>
  <c r="AM16" i="3"/>
  <c r="DG23" i="4"/>
  <c r="AN16" i="3"/>
  <c r="DE23" i="4"/>
  <c r="AO16" i="3"/>
  <c r="DK23" i="4"/>
  <c r="DI23" i="4"/>
  <c r="AQ16" i="3"/>
  <c r="DO23" i="4"/>
  <c r="AR16" i="3"/>
  <c r="DM23" i="4"/>
  <c r="AS16" i="3"/>
  <c r="DQ23" i="4"/>
  <c r="AT16" i="3"/>
  <c r="DT23" i="4"/>
  <c r="AU16" i="3"/>
  <c r="DX23" i="4"/>
  <c r="DZ23" i="4"/>
  <c r="AX16" i="3"/>
  <c r="EB23" i="4"/>
  <c r="AY16" i="3"/>
  <c r="ED23" i="4"/>
  <c r="AZ16" i="3"/>
  <c r="EG23" i="4"/>
  <c r="BA16" i="3"/>
  <c r="EI23" i="4"/>
  <c r="BB16" i="3"/>
  <c r="EQ23" i="4"/>
  <c r="EK23" i="4"/>
  <c r="BD16" i="3"/>
  <c r="EM23" i="4"/>
  <c r="BE16" i="3"/>
  <c r="EO23" i="4"/>
  <c r="BF16" i="3"/>
  <c r="ET23" i="4"/>
  <c r="BG16" i="3"/>
  <c r="EV23" i="4"/>
  <c r="BH16" i="3"/>
  <c r="EZ23" i="4"/>
  <c r="EX23" i="4"/>
  <c r="BJ16" i="3"/>
  <c r="FB23" i="4"/>
  <c r="BK16" i="3"/>
  <c r="J24" i="4"/>
  <c r="BL16" i="3"/>
  <c r="C22" i="4"/>
  <c r="G15" i="3"/>
  <c r="F22" i="4"/>
  <c r="K22" i="4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G13" i="3"/>
  <c r="F21" i="4"/>
  <c r="F20" i="4"/>
  <c r="K21" i="4"/>
  <c r="K20" i="4"/>
  <c r="O21" i="4"/>
  <c r="O20" i="4"/>
  <c r="K13" i="3"/>
  <c r="R21" i="4"/>
  <c r="R20" i="4"/>
  <c r="U21" i="4"/>
  <c r="U20" i="4"/>
  <c r="M13" i="3"/>
  <c r="X21" i="4"/>
  <c r="X20" i="4"/>
  <c r="X19" i="4"/>
  <c r="N12" i="3"/>
  <c r="AA21" i="4"/>
  <c r="AA20" i="4"/>
  <c r="AD21" i="4"/>
  <c r="AD20" i="4"/>
  <c r="AD19" i="4"/>
  <c r="P12" i="3"/>
  <c r="AG21" i="4"/>
  <c r="AG20" i="4"/>
  <c r="Q13" i="3"/>
  <c r="AJ21" i="4"/>
  <c r="AJ20" i="4"/>
  <c r="AJ19" i="4"/>
  <c r="R12" i="3"/>
  <c r="AM21" i="4"/>
  <c r="AM20" i="4"/>
  <c r="S13" i="3"/>
  <c r="AP21" i="4"/>
  <c r="AP20" i="4"/>
  <c r="T13" i="3"/>
  <c r="AS21" i="4"/>
  <c r="AS20" i="4"/>
  <c r="AS19" i="4"/>
  <c r="U12" i="3"/>
  <c r="AS18" i="4"/>
  <c r="U11" i="3"/>
  <c r="AV21" i="4"/>
  <c r="AV20" i="4"/>
  <c r="AZ21" i="4"/>
  <c r="AZ20" i="4"/>
  <c r="BC21" i="4"/>
  <c r="BC20" i="4"/>
  <c r="BF21" i="4"/>
  <c r="BF20" i="4"/>
  <c r="Y13" i="3"/>
  <c r="CK21" i="4"/>
  <c r="CK20" i="4"/>
  <c r="Z13" i="3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CW20" i="4"/>
  <c r="AK13" i="3"/>
  <c r="DC21" i="4"/>
  <c r="DC20" i="4"/>
  <c r="DC19" i="4"/>
  <c r="AL12" i="3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/>
  <c r="DX21" i="4"/>
  <c r="DX20" i="4"/>
  <c r="DZ21" i="4"/>
  <c r="DZ20" i="4"/>
  <c r="AX13" i="3"/>
  <c r="EB21" i="4"/>
  <c r="EB20" i="4"/>
  <c r="AY13" i="3"/>
  <c r="EB19" i="4"/>
  <c r="AY12" i="3"/>
  <c r="ED21" i="4"/>
  <c r="ED20" i="4"/>
  <c r="AZ13" i="3"/>
  <c r="EG21" i="4"/>
  <c r="EG20" i="4"/>
  <c r="EG19" i="4"/>
  <c r="BA12" i="3"/>
  <c r="EI21" i="4"/>
  <c r="EI20" i="4"/>
  <c r="EQ21" i="4"/>
  <c r="EQ20" i="4"/>
  <c r="EQ19" i="4"/>
  <c r="BC12" i="3"/>
  <c r="EK21" i="4"/>
  <c r="EK20" i="4"/>
  <c r="EM21" i="4"/>
  <c r="EM20" i="4"/>
  <c r="EO21" i="4"/>
  <c r="EO20" i="4"/>
  <c r="EO19" i="4"/>
  <c r="BF12" i="3"/>
  <c r="ET21" i="4"/>
  <c r="ET20" i="4"/>
  <c r="ET19" i="4"/>
  <c r="BG12" i="3"/>
  <c r="EV21" i="4"/>
  <c r="EV20" i="4"/>
  <c r="BH13" i="3"/>
  <c r="EZ21" i="4"/>
  <c r="EZ20" i="4"/>
  <c r="EX21" i="4"/>
  <c r="EX20" i="4"/>
  <c r="BJ13" i="3"/>
  <c r="FB21" i="4"/>
  <c r="FB20" i="4"/>
  <c r="BK13" i="3"/>
  <c r="J21" i="4"/>
  <c r="BL13" i="3"/>
  <c r="K13" i="1"/>
  <c r="C19" i="4"/>
  <c r="G12" i="3"/>
  <c r="F19" i="4"/>
  <c r="K19" i="4"/>
  <c r="K18" i="4"/>
  <c r="O19" i="4"/>
  <c r="R19" i="4"/>
  <c r="U19" i="4"/>
  <c r="M12" i="3"/>
  <c r="AA19" i="4"/>
  <c r="AD18" i="4"/>
  <c r="P11" i="3"/>
  <c r="AG19" i="4"/>
  <c r="AM19" i="4"/>
  <c r="S12" i="3"/>
  <c r="AP19" i="4"/>
  <c r="T12" i="3"/>
  <c r="AV19" i="4"/>
  <c r="V12" i="3"/>
  <c r="AZ19" i="4"/>
  <c r="BC19" i="4"/>
  <c r="BF19" i="4"/>
  <c r="Y12" i="3"/>
  <c r="CK19" i="4"/>
  <c r="CN19" i="4"/>
  <c r="CN18" i="4"/>
  <c r="AA11" i="3"/>
  <c r="CQ19" i="4"/>
  <c r="CT19" i="4"/>
  <c r="BY19" i="4"/>
  <c r="BY18" i="4"/>
  <c r="AD11" i="3"/>
  <c r="CA19" i="4"/>
  <c r="CC19" i="4"/>
  <c r="CC18" i="4"/>
  <c r="AF11" i="3"/>
  <c r="CE19" i="4"/>
  <c r="CE18" i="4"/>
  <c r="AG11" i="3"/>
  <c r="CI19" i="4"/>
  <c r="CY19" i="4"/>
  <c r="AJ12" i="3"/>
  <c r="CW19" i="4"/>
  <c r="DE19" i="4"/>
  <c r="DK19" i="4"/>
  <c r="AP12" i="3"/>
  <c r="DI19" i="4"/>
  <c r="DI18" i="4"/>
  <c r="AQ11" i="3"/>
  <c r="DO19" i="4"/>
  <c r="DM19" i="4"/>
  <c r="DM18" i="4"/>
  <c r="DQ19" i="4"/>
  <c r="AT12" i="3"/>
  <c r="DT19" i="4"/>
  <c r="DT18" i="4"/>
  <c r="AU11" i="3"/>
  <c r="DX19" i="4"/>
  <c r="DZ19" i="4"/>
  <c r="DZ18" i="4"/>
  <c r="AX11" i="3"/>
  <c r="ED19" i="4"/>
  <c r="ED18" i="4"/>
  <c r="AZ11" i="3"/>
  <c r="ED17" i="4"/>
  <c r="AZ10" i="3"/>
  <c r="EI19" i="4"/>
  <c r="EK19" i="4"/>
  <c r="EM19" i="4"/>
  <c r="ET18" i="4"/>
  <c r="BG11" i="3"/>
  <c r="EV19" i="4"/>
  <c r="EZ19" i="4"/>
  <c r="EX19" i="4"/>
  <c r="FB19" i="4"/>
  <c r="J20" i="4"/>
  <c r="BL12" i="3"/>
  <c r="C18" i="4"/>
  <c r="G11" i="3"/>
  <c r="F18" i="4"/>
  <c r="H11" i="3"/>
  <c r="O18" i="4"/>
  <c r="O17" i="4"/>
  <c r="O16" i="4"/>
  <c r="K9" i="3"/>
  <c r="R18" i="4"/>
  <c r="U18" i="4"/>
  <c r="M11" i="3"/>
  <c r="X18" i="4"/>
  <c r="N11" i="3"/>
  <c r="AA18" i="4"/>
  <c r="AG18" i="4"/>
  <c r="AJ18" i="4"/>
  <c r="AM18" i="4"/>
  <c r="AP18" i="4"/>
  <c r="AV18" i="4"/>
  <c r="AZ18" i="4"/>
  <c r="W11" i="3"/>
  <c r="BC18" i="4"/>
  <c r="BF18" i="4"/>
  <c r="CK18" i="4"/>
  <c r="CQ18" i="4"/>
  <c r="CT18" i="4"/>
  <c r="CT17" i="4"/>
  <c r="AC10" i="3"/>
  <c r="CT16" i="4"/>
  <c r="AC9" i="3"/>
  <c r="CA18" i="4"/>
  <c r="CG18" i="4"/>
  <c r="CI18" i="4"/>
  <c r="CY18" i="4"/>
  <c r="AJ11" i="3"/>
  <c r="CW18" i="4"/>
  <c r="DC18" i="4"/>
  <c r="DC17" i="4"/>
  <c r="DC16" i="4"/>
  <c r="AL9" i="3"/>
  <c r="DA18" i="4"/>
  <c r="DG18" i="4"/>
  <c r="DE18" i="4"/>
  <c r="DK18" i="4"/>
  <c r="DK17" i="4"/>
  <c r="AP10" i="3"/>
  <c r="DO18" i="4"/>
  <c r="DQ18" i="4"/>
  <c r="DX18" i="4"/>
  <c r="DZ17" i="4"/>
  <c r="AX10" i="3"/>
  <c r="EB18" i="4"/>
  <c r="AY11" i="3"/>
  <c r="EG18" i="4"/>
  <c r="EI18" i="4"/>
  <c r="EQ18" i="4"/>
  <c r="EK18" i="4"/>
  <c r="EM18" i="4"/>
  <c r="EM17" i="4"/>
  <c r="BE10" i="3"/>
  <c r="EO18" i="4"/>
  <c r="BF11" i="3"/>
  <c r="EV18" i="4"/>
  <c r="EZ18" i="4"/>
  <c r="EX18" i="4"/>
  <c r="BJ11" i="3"/>
  <c r="FB18" i="4"/>
  <c r="FB17" i="4"/>
  <c r="BK10" i="3"/>
  <c r="J19" i="4"/>
  <c r="BL11" i="3"/>
  <c r="C17" i="4"/>
  <c r="F17" i="4"/>
  <c r="F16" i="4"/>
  <c r="K17" i="4"/>
  <c r="R17" i="4"/>
  <c r="U17" i="4"/>
  <c r="M10" i="3"/>
  <c r="X17" i="4"/>
  <c r="N10" i="3"/>
  <c r="AA17" i="4"/>
  <c r="AD17" i="4"/>
  <c r="AD16" i="4"/>
  <c r="AG17" i="4"/>
  <c r="AJ17" i="4"/>
  <c r="AM17" i="4"/>
  <c r="AP17" i="4"/>
  <c r="AS17" i="4"/>
  <c r="U10" i="3"/>
  <c r="AV17" i="4"/>
  <c r="AZ17" i="4"/>
  <c r="BC17" i="4"/>
  <c r="X10" i="3"/>
  <c r="BF17" i="4"/>
  <c r="Y10" i="3"/>
  <c r="CK17" i="4"/>
  <c r="CK16" i="4"/>
  <c r="Z9" i="3"/>
  <c r="CN17" i="4"/>
  <c r="CQ17" i="4"/>
  <c r="BY17" i="4"/>
  <c r="CA17" i="4"/>
  <c r="CC17" i="4"/>
  <c r="AF10" i="3"/>
  <c r="CE17" i="4"/>
  <c r="AG10" i="3"/>
  <c r="CG17" i="4"/>
  <c r="AH10" i="3"/>
  <c r="CI17" i="4"/>
  <c r="CY17" i="4"/>
  <c r="CW17" i="4"/>
  <c r="DA17" i="4"/>
  <c r="AM10" i="3"/>
  <c r="DG17" i="4"/>
  <c r="DE17" i="4"/>
  <c r="DI17" i="4"/>
  <c r="DI16" i="4"/>
  <c r="AQ9" i="3"/>
  <c r="DI15" i="4"/>
  <c r="AQ8" i="3"/>
  <c r="DO17" i="4"/>
  <c r="DM17" i="4"/>
  <c r="DQ17" i="4"/>
  <c r="DT17" i="4"/>
  <c r="DX17" i="4"/>
  <c r="DX16" i="4"/>
  <c r="AW9" i="3"/>
  <c r="EB17" i="4"/>
  <c r="EB16" i="4"/>
  <c r="AY9" i="3"/>
  <c r="EG17" i="4"/>
  <c r="BA10" i="3"/>
  <c r="EI17" i="4"/>
  <c r="BB10" i="3"/>
  <c r="EQ17" i="4"/>
  <c r="EK17" i="4"/>
  <c r="EO17" i="4"/>
  <c r="ET17" i="4"/>
  <c r="EV17" i="4"/>
  <c r="EZ17" i="4"/>
  <c r="EZ16" i="4"/>
  <c r="BI9" i="3"/>
  <c r="EX17" i="4"/>
  <c r="BJ10" i="3"/>
  <c r="J18" i="4"/>
  <c r="BL10" i="3"/>
  <c r="K10" i="1"/>
  <c r="C16" i="4"/>
  <c r="K16" i="4"/>
  <c r="R16" i="4"/>
  <c r="U16" i="4"/>
  <c r="U15" i="4"/>
  <c r="M8" i="3"/>
  <c r="X16" i="4"/>
  <c r="N9" i="3"/>
  <c r="AA16" i="4"/>
  <c r="AD15" i="4"/>
  <c r="AG16" i="4"/>
  <c r="AJ16" i="4"/>
  <c r="AM16" i="4"/>
  <c r="AM15" i="4"/>
  <c r="AP16" i="4"/>
  <c r="AS16" i="4"/>
  <c r="AV16" i="4"/>
  <c r="AV15" i="4"/>
  <c r="AZ16" i="4"/>
  <c r="W9" i="3"/>
  <c r="BC16" i="4"/>
  <c r="BF16" i="4"/>
  <c r="BF15" i="4"/>
  <c r="Y8" i="3"/>
  <c r="CN16" i="4"/>
  <c r="CQ16" i="4"/>
  <c r="BY16" i="4"/>
  <c r="CA16" i="4"/>
  <c r="CA15" i="4"/>
  <c r="AE8" i="3"/>
  <c r="CC16" i="4"/>
  <c r="CE16" i="4"/>
  <c r="CG16" i="4"/>
  <c r="CI16" i="4"/>
  <c r="CI15" i="4"/>
  <c r="AI8" i="3"/>
  <c r="CY16" i="4"/>
  <c r="CW16" i="4"/>
  <c r="DC15" i="4"/>
  <c r="AL8" i="3"/>
  <c r="DA16" i="4"/>
  <c r="DG16" i="4"/>
  <c r="DE16" i="4"/>
  <c r="DE15" i="4"/>
  <c r="AO8" i="3"/>
  <c r="DK16" i="4"/>
  <c r="DI14" i="4"/>
  <c r="AQ7" i="3"/>
  <c r="DO16" i="4"/>
  <c r="DM16" i="4"/>
  <c r="DQ16" i="4"/>
  <c r="DT16" i="4"/>
  <c r="DZ16" i="4"/>
  <c r="ED16" i="4"/>
  <c r="EG16" i="4"/>
  <c r="EI16" i="4"/>
  <c r="EQ16" i="4"/>
  <c r="EK16" i="4"/>
  <c r="EM16" i="4"/>
  <c r="EO16" i="4"/>
  <c r="BF9" i="3"/>
  <c r="ET16" i="4"/>
  <c r="EV16" i="4"/>
  <c r="EV15" i="4"/>
  <c r="BH8" i="3"/>
  <c r="EX16" i="4"/>
  <c r="FB16" i="4"/>
  <c r="BK9" i="3"/>
  <c r="J17" i="4"/>
  <c r="BL9" i="3"/>
  <c r="K9" i="1"/>
  <c r="E9" i="3"/>
  <c r="C15" i="4"/>
  <c r="F15" i="4"/>
  <c r="H8" i="3"/>
  <c r="K15" i="4"/>
  <c r="O15" i="4"/>
  <c r="R15" i="4"/>
  <c r="X15" i="4"/>
  <c r="AA15" i="4"/>
  <c r="AG15" i="4"/>
  <c r="AJ15" i="4"/>
  <c r="AP15" i="4"/>
  <c r="AS15" i="4"/>
  <c r="AZ15" i="4"/>
  <c r="BC15" i="4"/>
  <c r="CK15" i="4"/>
  <c r="Z8" i="3"/>
  <c r="CN15" i="4"/>
  <c r="CQ15" i="4"/>
  <c r="CT15" i="4"/>
  <c r="BY15" i="4"/>
  <c r="BY14" i="4"/>
  <c r="AD7" i="3"/>
  <c r="CC15" i="4"/>
  <c r="CC14" i="4"/>
  <c r="AF7" i="3"/>
  <c r="CE15" i="4"/>
  <c r="CE14" i="4"/>
  <c r="CG15" i="4"/>
  <c r="AH8" i="3"/>
  <c r="CY15" i="4"/>
  <c r="CW15" i="4"/>
  <c r="DA15" i="4"/>
  <c r="DA14" i="4"/>
  <c r="DG15" i="4"/>
  <c r="AN8" i="3"/>
  <c r="DE14" i="4"/>
  <c r="DE13" i="4"/>
  <c r="AO6" i="3"/>
  <c r="DK15" i="4"/>
  <c r="DO15" i="4"/>
  <c r="DM15" i="4"/>
  <c r="DQ15" i="4"/>
  <c r="AT8" i="3"/>
  <c r="DT15" i="4"/>
  <c r="DX15" i="4"/>
  <c r="DZ15" i="4"/>
  <c r="EB15" i="4"/>
  <c r="EB14" i="4"/>
  <c r="AY7" i="3"/>
  <c r="ED15" i="4"/>
  <c r="ED14" i="4"/>
  <c r="AZ7" i="3"/>
  <c r="EG15" i="4"/>
  <c r="EI15" i="4"/>
  <c r="BB8" i="3"/>
  <c r="EQ15" i="4"/>
  <c r="EK15" i="4"/>
  <c r="BD8" i="3"/>
  <c r="EM15" i="4"/>
  <c r="EO15" i="4"/>
  <c r="EO14" i="4"/>
  <c r="ET15" i="4"/>
  <c r="BG8" i="3"/>
  <c r="EZ15" i="4"/>
  <c r="EX15" i="4"/>
  <c r="FB15" i="4"/>
  <c r="J16" i="4"/>
  <c r="BL8" i="3"/>
  <c r="K8" i="1"/>
  <c r="F9" i="3"/>
  <c r="J12" i="4"/>
  <c r="BL4" i="3"/>
  <c r="K4" i="1"/>
  <c r="J13" i="4"/>
  <c r="J14" i="4"/>
  <c r="BL6" i="3"/>
  <c r="J15" i="4"/>
  <c r="BL7" i="3"/>
  <c r="J11" i="4"/>
  <c r="BL3" i="3"/>
  <c r="K3" i="1"/>
  <c r="C14" i="4"/>
  <c r="F14" i="4"/>
  <c r="K14" i="4"/>
  <c r="K13" i="4"/>
  <c r="O14" i="4"/>
  <c r="R14" i="4"/>
  <c r="U14" i="4"/>
  <c r="X14" i="4"/>
  <c r="AA14" i="4"/>
  <c r="AD14" i="4"/>
  <c r="AG14" i="4"/>
  <c r="AG13" i="4"/>
  <c r="Q6" i="3"/>
  <c r="AJ14" i="4"/>
  <c r="AM14" i="4"/>
  <c r="AM13" i="4"/>
  <c r="AM12" i="4"/>
  <c r="S5" i="3"/>
  <c r="AP14" i="4"/>
  <c r="AS14" i="4"/>
  <c r="AS13" i="4"/>
  <c r="U6" i="3"/>
  <c r="AV14" i="4"/>
  <c r="AZ14" i="4"/>
  <c r="BC14" i="4"/>
  <c r="BF14" i="4"/>
  <c r="CK14" i="4"/>
  <c r="Z7" i="3"/>
  <c r="CN14" i="4"/>
  <c r="CQ14" i="4"/>
  <c r="CT14" i="4"/>
  <c r="CT13" i="4"/>
  <c r="AC6" i="3"/>
  <c r="CA14" i="4"/>
  <c r="CG14" i="4"/>
  <c r="CG13" i="4"/>
  <c r="CI14" i="4"/>
  <c r="CY14" i="4"/>
  <c r="CW14" i="4"/>
  <c r="DC14" i="4"/>
  <c r="AL7" i="3"/>
  <c r="DG14" i="4"/>
  <c r="DG13" i="4"/>
  <c r="AN6" i="3"/>
  <c r="DK14" i="4"/>
  <c r="DI13" i="4"/>
  <c r="AQ6" i="3"/>
  <c r="DO14" i="4"/>
  <c r="DO13" i="4"/>
  <c r="AR6" i="3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EV13" i="4"/>
  <c r="BH6" i="3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O13" i="4"/>
  <c r="K6" i="3"/>
  <c r="R13" i="4"/>
  <c r="U13" i="4"/>
  <c r="X13" i="4"/>
  <c r="N6" i="3"/>
  <c r="AA13" i="4"/>
  <c r="AA12" i="4"/>
  <c r="O5" i="3"/>
  <c r="AD13" i="4"/>
  <c r="AD12" i="4"/>
  <c r="P5" i="3"/>
  <c r="AJ13" i="4"/>
  <c r="AJ12" i="4"/>
  <c r="AP13" i="4"/>
  <c r="T6" i="3"/>
  <c r="AV13" i="4"/>
  <c r="AV12" i="4"/>
  <c r="AZ13" i="4"/>
  <c r="BC13" i="4"/>
  <c r="BF13" i="4"/>
  <c r="CK13" i="4"/>
  <c r="Z6" i="3"/>
  <c r="CN13" i="4"/>
  <c r="CQ13" i="4"/>
  <c r="CQ12" i="4"/>
  <c r="BY13" i="4"/>
  <c r="CA13" i="4"/>
  <c r="CA12" i="4"/>
  <c r="CC13" i="4"/>
  <c r="AF6" i="3"/>
  <c r="CE13" i="4"/>
  <c r="CI13" i="4"/>
  <c r="AI6" i="3"/>
  <c r="CY13" i="4"/>
  <c r="CW13" i="4"/>
  <c r="DC13" i="4"/>
  <c r="AL6" i="3"/>
  <c r="DA13" i="4"/>
  <c r="AM6" i="3"/>
  <c r="DK13" i="4"/>
  <c r="DM13" i="4"/>
  <c r="DM12" i="4"/>
  <c r="AS5" i="3"/>
  <c r="DQ13" i="4"/>
  <c r="DT13" i="4"/>
  <c r="DX13" i="4"/>
  <c r="EB13" i="4"/>
  <c r="AY6" i="3"/>
  <c r="ED13" i="4"/>
  <c r="EG13" i="4"/>
  <c r="EG12" i="4"/>
  <c r="BA5" i="3"/>
  <c r="EI13" i="4"/>
  <c r="EQ13" i="4"/>
  <c r="EQ12" i="4"/>
  <c r="EK13" i="4"/>
  <c r="EK12" i="4"/>
  <c r="BD5" i="3"/>
  <c r="EO13" i="4"/>
  <c r="ET13" i="4"/>
  <c r="ET12" i="4"/>
  <c r="BG5" i="3"/>
  <c r="EZ13" i="4"/>
  <c r="EX13" i="4"/>
  <c r="EX12" i="4"/>
  <c r="FB13" i="4"/>
  <c r="BK6" i="3"/>
  <c r="C12" i="4"/>
  <c r="C11" i="4"/>
  <c r="G4" i="3"/>
  <c r="F12" i="4"/>
  <c r="K12" i="4"/>
  <c r="O12" i="4"/>
  <c r="R12" i="4"/>
  <c r="U12" i="4"/>
  <c r="M5" i="3"/>
  <c r="X12" i="4"/>
  <c r="AD11" i="4"/>
  <c r="P4" i="3"/>
  <c r="AG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CY11" i="4"/>
  <c r="AJ4" i="3"/>
  <c r="CW12" i="4"/>
  <c r="DC12" i="4"/>
  <c r="DA12" i="4"/>
  <c r="DG12" i="4"/>
  <c r="AN5" i="3"/>
  <c r="DE12" i="4"/>
  <c r="DK12" i="4"/>
  <c r="DI12" i="4"/>
  <c r="DO12" i="4"/>
  <c r="DQ12" i="4"/>
  <c r="DT12" i="4"/>
  <c r="DX12" i="4"/>
  <c r="DZ12" i="4"/>
  <c r="EB12" i="4"/>
  <c r="ED12" i="4"/>
  <c r="EI12" i="4"/>
  <c r="EM12" i="4"/>
  <c r="EO12" i="4"/>
  <c r="EV12" i="4"/>
  <c r="EZ12" i="4"/>
  <c r="FB12" i="4"/>
  <c r="F11" i="4"/>
  <c r="K11" i="4"/>
  <c r="O11" i="4"/>
  <c r="K4" i="3"/>
  <c r="R11" i="4"/>
  <c r="U11" i="4"/>
  <c r="U10" i="4"/>
  <c r="M3" i="3"/>
  <c r="X11" i="4"/>
  <c r="AA11" i="4"/>
  <c r="AG11" i="4"/>
  <c r="AJ11" i="4"/>
  <c r="AM11" i="4"/>
  <c r="AP11" i="4"/>
  <c r="AS11" i="4"/>
  <c r="AV11" i="4"/>
  <c r="AZ11" i="4"/>
  <c r="BC11" i="4"/>
  <c r="BF11" i="4"/>
  <c r="CK11" i="4"/>
  <c r="CN11" i="4"/>
  <c r="CQ11" i="4"/>
  <c r="CT11" i="4"/>
  <c r="BY11" i="4"/>
  <c r="BY10" i="4"/>
  <c r="AD3" i="3"/>
  <c r="CA11" i="4"/>
  <c r="CC11" i="4"/>
  <c r="CE11" i="4"/>
  <c r="CG11" i="4"/>
  <c r="CI11" i="4"/>
  <c r="AI4" i="3"/>
  <c r="CW11" i="4"/>
  <c r="AK4" i="3"/>
  <c r="DC11" i="4"/>
  <c r="DA11" i="4"/>
  <c r="DG11" i="4"/>
  <c r="DE11" i="4"/>
  <c r="DK11" i="4"/>
  <c r="DI11" i="4"/>
  <c r="DO11" i="4"/>
  <c r="DM11" i="4"/>
  <c r="AS4" i="3"/>
  <c r="DQ11" i="4"/>
  <c r="DT11" i="4"/>
  <c r="DX11" i="4"/>
  <c r="DZ11" i="4"/>
  <c r="EB11" i="4"/>
  <c r="ED11" i="4"/>
  <c r="EG11" i="4"/>
  <c r="EI11" i="4"/>
  <c r="EQ11" i="4"/>
  <c r="BC4" i="3"/>
  <c r="EK11" i="4"/>
  <c r="EM11" i="4"/>
  <c r="EO11" i="4"/>
  <c r="ET11" i="4"/>
  <c r="EV11" i="4"/>
  <c r="EV10" i="4"/>
  <c r="BH3" i="3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/>
  <c r="AA10" i="4"/>
  <c r="AD10" i="4"/>
  <c r="P3" i="3"/>
  <c r="AG10" i="4"/>
  <c r="AJ10" i="4"/>
  <c r="AM10" i="4"/>
  <c r="AP10" i="4"/>
  <c r="T3" i="3"/>
  <c r="AS10" i="4"/>
  <c r="AV10" i="4"/>
  <c r="V3" i="3"/>
  <c r="AZ10" i="4"/>
  <c r="BC10" i="4"/>
  <c r="BF10" i="4"/>
  <c r="BF9" i="4"/>
  <c r="Y2" i="3"/>
  <c r="CK10" i="4"/>
  <c r="CN10" i="4"/>
  <c r="CQ10" i="4"/>
  <c r="CT10" i="4"/>
  <c r="AC3" i="3"/>
  <c r="CA10" i="4"/>
  <c r="CC10" i="4"/>
  <c r="AF3" i="3"/>
  <c r="CE10" i="4"/>
  <c r="CE9" i="4"/>
  <c r="AG2" i="3"/>
  <c r="CG10" i="4"/>
  <c r="CI10" i="4"/>
  <c r="CY10" i="4"/>
  <c r="CW10" i="4"/>
  <c r="CW9" i="4"/>
  <c r="CX9" i="4"/>
  <c r="DC10" i="4"/>
  <c r="AL3" i="3"/>
  <c r="DA10" i="4"/>
  <c r="DG10" i="4"/>
  <c r="AN3" i="3"/>
  <c r="DE10" i="4"/>
  <c r="DK10" i="4"/>
  <c r="DI10" i="4"/>
  <c r="DO10" i="4"/>
  <c r="AR3" i="3"/>
  <c r="DM10" i="4"/>
  <c r="DQ10" i="4"/>
  <c r="AT3" i="3"/>
  <c r="DT10" i="4"/>
  <c r="DX10" i="4"/>
  <c r="DZ10" i="4"/>
  <c r="DZ9" i="4"/>
  <c r="AX2" i="3"/>
  <c r="EB10" i="4"/>
  <c r="AY3" i="3"/>
  <c r="ED10" i="4"/>
  <c r="EG10" i="4"/>
  <c r="EI10" i="4"/>
  <c r="EQ10" i="4"/>
  <c r="EQ9" i="4"/>
  <c r="BC2" i="3"/>
  <c r="EK10" i="4"/>
  <c r="EM10" i="4"/>
  <c r="BE3" i="3"/>
  <c r="EO10" i="4"/>
  <c r="EO9" i="4"/>
  <c r="BF2" i="3"/>
  <c r="ET10" i="4"/>
  <c r="BG3" i="3"/>
  <c r="EZ10" i="4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DV30" i="4"/>
  <c r="BV30" i="4"/>
  <c r="BS30" i="4"/>
  <c r="Q30" i="4"/>
  <c r="M30" i="4"/>
  <c r="I30" i="4"/>
  <c r="H30" i="4"/>
  <c r="E30" i="4"/>
  <c r="B30" i="4"/>
  <c r="DV29" i="4"/>
  <c r="BV29" i="4"/>
  <c r="BS29" i="4"/>
  <c r="Q29" i="4"/>
  <c r="M29" i="4"/>
  <c r="I29" i="4"/>
  <c r="H29" i="4"/>
  <c r="E29" i="4"/>
  <c r="B29" i="4"/>
  <c r="FC28" i="4"/>
  <c r="FB27" i="4"/>
  <c r="BK20" i="3"/>
  <c r="FA28" i="4"/>
  <c r="EZ27" i="4"/>
  <c r="BI20" i="3"/>
  <c r="EY28" i="4"/>
  <c r="EW28" i="4"/>
  <c r="EV27" i="4"/>
  <c r="BH20" i="3"/>
  <c r="EU28" i="4"/>
  <c r="ET27" i="4"/>
  <c r="BG20" i="3"/>
  <c r="ER28" i="4"/>
  <c r="EP28" i="4"/>
  <c r="EO27" i="4"/>
  <c r="BF20" i="3"/>
  <c r="EN28" i="4"/>
  <c r="EM27" i="4"/>
  <c r="BE20" i="3"/>
  <c r="EL28" i="4"/>
  <c r="EJ28" i="4"/>
  <c r="EI27" i="4"/>
  <c r="BB20" i="3"/>
  <c r="EH28" i="4"/>
  <c r="EG27" i="4"/>
  <c r="BA20" i="3"/>
  <c r="EE28" i="4"/>
  <c r="EC28" i="4"/>
  <c r="EB27" i="4"/>
  <c r="AY20" i="3"/>
  <c r="EA28" i="4"/>
  <c r="DZ27" i="4"/>
  <c r="AX20" i="3"/>
  <c r="DY28" i="4"/>
  <c r="DW28" i="4"/>
  <c r="DV28" i="4"/>
  <c r="DU28" i="4"/>
  <c r="DT27" i="4"/>
  <c r="AU20" i="3"/>
  <c r="DR28" i="4"/>
  <c r="DP28" i="4"/>
  <c r="DO27" i="4"/>
  <c r="AR20" i="3"/>
  <c r="DN28" i="4"/>
  <c r="DM27" i="4"/>
  <c r="AS20" i="3"/>
  <c r="DL28" i="4"/>
  <c r="DJ28" i="4"/>
  <c r="DI27" i="4"/>
  <c r="AQ20" i="3"/>
  <c r="DG27" i="4"/>
  <c r="AN20" i="3"/>
  <c r="DF28" i="4"/>
  <c r="DD28" i="4"/>
  <c r="DC27" i="4"/>
  <c r="AL20" i="3"/>
  <c r="DB28" i="4"/>
  <c r="DA27" i="4"/>
  <c r="AM20" i="3"/>
  <c r="CZ28" i="4"/>
  <c r="CX28" i="4"/>
  <c r="CW27" i="4"/>
  <c r="AK20" i="3"/>
  <c r="CU28" i="4"/>
  <c r="CT27" i="4"/>
  <c r="AC20" i="3"/>
  <c r="CS28" i="4"/>
  <c r="CR28" i="4"/>
  <c r="CP28" i="4"/>
  <c r="CO28" i="4"/>
  <c r="CN27" i="4"/>
  <c r="AA20" i="3"/>
  <c r="CM28" i="4"/>
  <c r="CL28" i="4"/>
  <c r="CJ28" i="4"/>
  <c r="CI27" i="4"/>
  <c r="AI20" i="3"/>
  <c r="CH28" i="4"/>
  <c r="CF28" i="4"/>
  <c r="CD28" i="4"/>
  <c r="CC27" i="4"/>
  <c r="AF20" i="3"/>
  <c r="CB28" i="4"/>
  <c r="BZ28" i="4"/>
  <c r="BX28" i="4"/>
  <c r="BW28" i="4"/>
  <c r="BV28" i="4"/>
  <c r="BT28" i="4"/>
  <c r="BS28" i="4"/>
  <c r="BH28" i="4"/>
  <c r="BG28" i="4"/>
  <c r="BF27" i="4"/>
  <c r="Y20" i="3"/>
  <c r="BE28" i="4"/>
  <c r="BD28" i="4"/>
  <c r="BB28" i="4"/>
  <c r="BA28" i="4"/>
  <c r="AZ27" i="4"/>
  <c r="W20" i="3"/>
  <c r="AX28" i="4"/>
  <c r="AW28" i="4"/>
  <c r="AU28" i="4"/>
  <c r="AT28" i="4"/>
  <c r="AS27" i="4"/>
  <c r="U20" i="3"/>
  <c r="AO28" i="4"/>
  <c r="AN28" i="4"/>
  <c r="AM27" i="4"/>
  <c r="S20" i="3"/>
  <c r="AL28" i="4"/>
  <c r="AK28" i="4"/>
  <c r="AI28" i="4"/>
  <c r="AH28" i="4"/>
  <c r="AG27" i="4"/>
  <c r="Q20" i="3"/>
  <c r="AF28" i="4"/>
  <c r="AE28" i="4"/>
  <c r="AC28" i="4"/>
  <c r="AB28" i="4"/>
  <c r="AA27" i="4"/>
  <c r="O20" i="3"/>
  <c r="Z28" i="4"/>
  <c r="Y28" i="4"/>
  <c r="W28" i="4"/>
  <c r="V28" i="4"/>
  <c r="U27" i="4"/>
  <c r="M20" i="3"/>
  <c r="S28" i="4"/>
  <c r="Q28" i="4"/>
  <c r="P28" i="4"/>
  <c r="O27" i="4"/>
  <c r="K20" i="3"/>
  <c r="N28" i="4"/>
  <c r="M28" i="4"/>
  <c r="L28" i="4"/>
  <c r="I28" i="4"/>
  <c r="H28" i="4"/>
  <c r="G28" i="4"/>
  <c r="E28" i="4"/>
  <c r="D28" i="4"/>
  <c r="C27" i="4"/>
  <c r="G20" i="3"/>
  <c r="B28" i="4"/>
  <c r="FC27" i="4"/>
  <c r="BK19" i="3"/>
  <c r="FA27" i="4"/>
  <c r="BI19" i="3"/>
  <c r="EY27" i="4"/>
  <c r="EX27" i="4"/>
  <c r="BJ19" i="3"/>
  <c r="EW27" i="4"/>
  <c r="BH19" i="3"/>
  <c r="EU27" i="4"/>
  <c r="BG19" i="3"/>
  <c r="ER27" i="4"/>
  <c r="EQ27" i="4"/>
  <c r="EP27" i="4"/>
  <c r="BF19" i="3"/>
  <c r="EN27" i="4"/>
  <c r="BE19" i="3"/>
  <c r="EL27" i="4"/>
  <c r="EK27" i="4"/>
  <c r="BD19" i="3"/>
  <c r="EJ27" i="4"/>
  <c r="BB19" i="3"/>
  <c r="EH27" i="4"/>
  <c r="BA19" i="3"/>
  <c r="EE27" i="4"/>
  <c r="ED27" i="4"/>
  <c r="AZ19" i="3"/>
  <c r="EC27" i="4"/>
  <c r="AY19" i="3"/>
  <c r="EA27" i="4"/>
  <c r="AX19" i="3"/>
  <c r="DY27" i="4"/>
  <c r="DX27" i="4"/>
  <c r="AW19" i="3"/>
  <c r="DW27" i="4"/>
  <c r="DV27" i="4"/>
  <c r="DU27" i="4"/>
  <c r="AU19" i="3"/>
  <c r="DR27" i="4"/>
  <c r="DQ27" i="4"/>
  <c r="AT19" i="3"/>
  <c r="DP27" i="4"/>
  <c r="AR19" i="3"/>
  <c r="DN27" i="4"/>
  <c r="AS19" i="3"/>
  <c r="DL27" i="4"/>
  <c r="DK27" i="4"/>
  <c r="AP19" i="3"/>
  <c r="DJ27" i="4"/>
  <c r="AQ19" i="3"/>
  <c r="DH27" i="4"/>
  <c r="AN19" i="3"/>
  <c r="DF27" i="4"/>
  <c r="DE27" i="4"/>
  <c r="AO19" i="3"/>
  <c r="DD27" i="4"/>
  <c r="AL19" i="3"/>
  <c r="DB27" i="4"/>
  <c r="AM19" i="3"/>
  <c r="CZ27" i="4"/>
  <c r="CY27" i="4"/>
  <c r="CX27" i="4"/>
  <c r="AK19" i="3"/>
  <c r="CU27" i="4"/>
  <c r="AC19" i="3"/>
  <c r="CS27" i="4"/>
  <c r="CR27" i="4"/>
  <c r="CQ27" i="4"/>
  <c r="AB19" i="3"/>
  <c r="CP27" i="4"/>
  <c r="CO27" i="4"/>
  <c r="AA19" i="3"/>
  <c r="CM27" i="4"/>
  <c r="CL27" i="4"/>
  <c r="CK27" i="4"/>
  <c r="Z19" i="3"/>
  <c r="CJ27" i="4"/>
  <c r="AI19" i="3"/>
  <c r="CH27" i="4"/>
  <c r="CG27" i="4"/>
  <c r="AH19" i="3"/>
  <c r="CF27" i="4"/>
  <c r="CE27" i="4"/>
  <c r="AG19" i="3"/>
  <c r="CD27" i="4"/>
  <c r="AF19" i="3"/>
  <c r="CB27" i="4"/>
  <c r="CA27" i="4"/>
  <c r="AE19" i="3"/>
  <c r="BZ27" i="4"/>
  <c r="BY27" i="4"/>
  <c r="AD19" i="3"/>
  <c r="BX27" i="4"/>
  <c r="BW27" i="4"/>
  <c r="BV27" i="4"/>
  <c r="BT27" i="4"/>
  <c r="BS27" i="4"/>
  <c r="BH27" i="4"/>
  <c r="BG27" i="4"/>
  <c r="Y19" i="3"/>
  <c r="BE27" i="4"/>
  <c r="BD27" i="4"/>
  <c r="BC27" i="4"/>
  <c r="X19" i="3"/>
  <c r="BB27" i="4"/>
  <c r="BA27" i="4"/>
  <c r="W19" i="3"/>
  <c r="AX27" i="4"/>
  <c r="AW27" i="4"/>
  <c r="AV27" i="4"/>
  <c r="V19" i="3"/>
  <c r="AU27" i="4"/>
  <c r="AT27" i="4"/>
  <c r="U19" i="3"/>
  <c r="AR27" i="4"/>
  <c r="AQ27" i="4"/>
  <c r="AP27" i="4"/>
  <c r="T19" i="3"/>
  <c r="AO27" i="4"/>
  <c r="AN27" i="4"/>
  <c r="S19" i="3"/>
  <c r="AL27" i="4"/>
  <c r="AK27" i="4"/>
  <c r="AJ27" i="4"/>
  <c r="AI27" i="4"/>
  <c r="AH27" i="4"/>
  <c r="Q19" i="3"/>
  <c r="AF27" i="4"/>
  <c r="AE27" i="4"/>
  <c r="AD27" i="4"/>
  <c r="P19" i="3"/>
  <c r="AC27" i="4"/>
  <c r="AB27" i="4"/>
  <c r="O19" i="3"/>
  <c r="Z27" i="4"/>
  <c r="Y27" i="4"/>
  <c r="X27" i="4"/>
  <c r="N19" i="3"/>
  <c r="W27" i="4"/>
  <c r="V27" i="4"/>
  <c r="M19" i="3"/>
  <c r="S27" i="4"/>
  <c r="R27" i="4"/>
  <c r="L19" i="3"/>
  <c r="Q27" i="4"/>
  <c r="P27" i="4"/>
  <c r="K19" i="3"/>
  <c r="N27" i="4"/>
  <c r="M27" i="4"/>
  <c r="L27" i="4"/>
  <c r="K27" i="4"/>
  <c r="J27" i="4"/>
  <c r="BL19" i="3"/>
  <c r="I27" i="4"/>
  <c r="H27" i="4"/>
  <c r="G27" i="4"/>
  <c r="F27" i="4"/>
  <c r="H19" i="3"/>
  <c r="E27" i="4"/>
  <c r="D27" i="4"/>
  <c r="G19" i="3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/>
  <c r="EZ22" i="4"/>
  <c r="BI14" i="3"/>
  <c r="EX22" i="4"/>
  <c r="EV22" i="4"/>
  <c r="BH15" i="3"/>
  <c r="ET22" i="4"/>
  <c r="BG15" i="3"/>
  <c r="EQ22" i="4"/>
  <c r="EO22" i="4"/>
  <c r="BF15" i="3"/>
  <c r="EM22" i="4"/>
  <c r="BE15" i="3"/>
  <c r="EK22" i="4"/>
  <c r="BD14" i="3"/>
  <c r="EI22" i="4"/>
  <c r="BB15" i="3"/>
  <c r="EG22" i="4"/>
  <c r="BA14" i="3"/>
  <c r="ED22" i="4"/>
  <c r="EB22" i="4"/>
  <c r="AY15" i="3"/>
  <c r="DZ22" i="4"/>
  <c r="AX14" i="3"/>
  <c r="AX15" i="3"/>
  <c r="DX22" i="4"/>
  <c r="AW15" i="3"/>
  <c r="DV23" i="4"/>
  <c r="DT22" i="4"/>
  <c r="AU15" i="3"/>
  <c r="DQ22" i="4"/>
  <c r="AT14" i="3"/>
  <c r="DO22" i="4"/>
  <c r="AR15" i="3"/>
  <c r="DM22" i="4"/>
  <c r="AS15" i="3"/>
  <c r="DK22" i="4"/>
  <c r="AP14" i="3"/>
  <c r="DI22" i="4"/>
  <c r="DG22" i="4"/>
  <c r="AN15" i="3"/>
  <c r="DE22" i="4"/>
  <c r="AO14" i="3"/>
  <c r="DC22" i="4"/>
  <c r="AL15" i="3"/>
  <c r="DA22" i="4"/>
  <c r="AM15" i="3"/>
  <c r="CY22" i="4"/>
  <c r="AJ14" i="3"/>
  <c r="CW22" i="4"/>
  <c r="AK15" i="3"/>
  <c r="CT22" i="4"/>
  <c r="AC15" i="3"/>
  <c r="CQ22" i="4"/>
  <c r="AB14" i="3"/>
  <c r="CN22" i="4"/>
  <c r="AA15" i="3"/>
  <c r="CK22" i="4"/>
  <c r="Z15" i="3"/>
  <c r="CI22" i="4"/>
  <c r="AI15" i="3"/>
  <c r="CG22" i="4"/>
  <c r="AH14" i="3"/>
  <c r="AH15" i="3"/>
  <c r="CE22" i="4"/>
  <c r="AG15" i="3"/>
  <c r="CC22" i="4"/>
  <c r="AF14" i="3"/>
  <c r="CA22" i="4"/>
  <c r="BY22" i="4"/>
  <c r="AD15" i="3"/>
  <c r="BV23" i="4"/>
  <c r="BS23" i="4"/>
  <c r="BF22" i="4"/>
  <c r="Y15" i="3"/>
  <c r="BC22" i="4"/>
  <c r="X15" i="3"/>
  <c r="AZ22" i="4"/>
  <c r="W14" i="3"/>
  <c r="AV22" i="4"/>
  <c r="V15" i="3"/>
  <c r="AS22" i="4"/>
  <c r="U15" i="3"/>
  <c r="AP22" i="4"/>
  <c r="T15" i="3"/>
  <c r="AM22" i="4"/>
  <c r="AJ22" i="4"/>
  <c r="R14" i="3"/>
  <c r="R15" i="3"/>
  <c r="AG22" i="4"/>
  <c r="Q14" i="3"/>
  <c r="AD22" i="4"/>
  <c r="P15" i="3"/>
  <c r="AA22" i="4"/>
  <c r="O15" i="3"/>
  <c r="X22" i="4"/>
  <c r="N15" i="3"/>
  <c r="U22" i="4"/>
  <c r="M14" i="3"/>
  <c r="M15" i="3"/>
  <c r="R22" i="4"/>
  <c r="L15" i="3"/>
  <c r="Q23" i="4"/>
  <c r="O22" i="4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AY14" i="3"/>
  <c r="EA22" i="4"/>
  <c r="DY22" i="4"/>
  <c r="DW22" i="4"/>
  <c r="DV22" i="4"/>
  <c r="DU22" i="4"/>
  <c r="AU14" i="3"/>
  <c r="DR22" i="4"/>
  <c r="DP22" i="4"/>
  <c r="DN22" i="4"/>
  <c r="AS14" i="3"/>
  <c r="DL22" i="4"/>
  <c r="DJ22" i="4"/>
  <c r="AQ14" i="3"/>
  <c r="DH22" i="4"/>
  <c r="AN14" i="3"/>
  <c r="DF22" i="4"/>
  <c r="DD22" i="4"/>
  <c r="DB22" i="4"/>
  <c r="CZ22" i="4"/>
  <c r="CX22" i="4"/>
  <c r="AK14" i="3"/>
  <c r="CU22" i="4"/>
  <c r="AC14" i="3"/>
  <c r="CS22" i="4"/>
  <c r="CR22" i="4"/>
  <c r="CP22" i="4"/>
  <c r="CO22" i="4"/>
  <c r="AA14" i="3"/>
  <c r="CM22" i="4"/>
  <c r="CL22" i="4"/>
  <c r="CJ22" i="4"/>
  <c r="CH22" i="4"/>
  <c r="CF22" i="4"/>
  <c r="AG14" i="3"/>
  <c r="CD22" i="4"/>
  <c r="CB22" i="4"/>
  <c r="AE14" i="3"/>
  <c r="BZ22" i="4"/>
  <c r="AD14" i="3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U14" i="3"/>
  <c r="AR22" i="4"/>
  <c r="AQ22" i="4"/>
  <c r="AO22" i="4"/>
  <c r="AN22" i="4"/>
  <c r="S14" i="3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/>
  <c r="K14" i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E9" i="4"/>
  <c r="C44" i="4"/>
  <c r="B11" i="4"/>
  <c r="DV10" i="4"/>
  <c r="DV9" i="4"/>
  <c r="DW9" i="4"/>
  <c r="BV10" i="4"/>
  <c r="BV9" i="4"/>
  <c r="BW9" i="4"/>
  <c r="BS10" i="4"/>
  <c r="M10" i="4"/>
  <c r="M9" i="4"/>
  <c r="N9" i="4"/>
  <c r="I10" i="4"/>
  <c r="I9" i="4"/>
  <c r="J9" i="4"/>
  <c r="BL2" i="3"/>
  <c r="K2" i="1"/>
  <c r="B10" i="4"/>
  <c r="FB9" i="4"/>
  <c r="BK2" i="3"/>
  <c r="EZ9" i="4"/>
  <c r="EX9" i="4"/>
  <c r="BJ2" i="3"/>
  <c r="EV9" i="4"/>
  <c r="ET9" i="4"/>
  <c r="BG2" i="3"/>
  <c r="EM9" i="4"/>
  <c r="BE2" i="3"/>
  <c r="EK9" i="4"/>
  <c r="EL9" i="4"/>
  <c r="EI9" i="4"/>
  <c r="BB2" i="3"/>
  <c r="EG9" i="4"/>
  <c r="ED9" i="4"/>
  <c r="AZ2" i="3"/>
  <c r="EB9" i="4"/>
  <c r="AY2" i="3"/>
  <c r="EC9" i="4"/>
  <c r="DX9" i="4"/>
  <c r="AW2" i="3"/>
  <c r="DT9" i="4"/>
  <c r="DQ9" i="4"/>
  <c r="AT2" i="3"/>
  <c r="DO9" i="4"/>
  <c r="DP9" i="4"/>
  <c r="DM9" i="4"/>
  <c r="AS2" i="3"/>
  <c r="DK9" i="4"/>
  <c r="AP2" i="3"/>
  <c r="DI9" i="4"/>
  <c r="DG9" i="4"/>
  <c r="DH9" i="4"/>
  <c r="DE9" i="4"/>
  <c r="DC9" i="4"/>
  <c r="AL2" i="3"/>
  <c r="DA9" i="4"/>
  <c r="AM2" i="3"/>
  <c r="CY9" i="4"/>
  <c r="AJ2" i="3"/>
  <c r="CT9" i="4"/>
  <c r="AC2" i="3"/>
  <c r="CS9" i="4"/>
  <c r="CQ9" i="4"/>
  <c r="CP9" i="4"/>
  <c r="CP23" i="4"/>
  <c r="CP24" i="4"/>
  <c r="CN44" i="4"/>
  <c r="CN9" i="4"/>
  <c r="CO9" i="4"/>
  <c r="CM9" i="4"/>
  <c r="CK9" i="4"/>
  <c r="Z2" i="3"/>
  <c r="CI9" i="4"/>
  <c r="CG9" i="4"/>
  <c r="AH2" i="3"/>
  <c r="CC9" i="4"/>
  <c r="CD9" i="4"/>
  <c r="CA9" i="4"/>
  <c r="BY9" i="4"/>
  <c r="BX9" i="4"/>
  <c r="BS9" i="4"/>
  <c r="BH9" i="4"/>
  <c r="BH23" i="4"/>
  <c r="BH24" i="4"/>
  <c r="BF44" i="4"/>
  <c r="BE9" i="4"/>
  <c r="BC9" i="4"/>
  <c r="X2" i="3"/>
  <c r="BB9" i="4"/>
  <c r="AZ9" i="4"/>
  <c r="W2" i="3"/>
  <c r="AX9" i="4"/>
  <c r="AV9" i="4"/>
  <c r="AW9" i="4"/>
  <c r="AU9" i="4"/>
  <c r="AS9" i="4"/>
  <c r="AT9" i="4"/>
  <c r="AT23" i="4"/>
  <c r="AT24" i="4"/>
  <c r="AS45" i="4"/>
  <c r="AR9" i="4"/>
  <c r="AP9" i="4"/>
  <c r="AO9" i="4"/>
  <c r="AM9" i="4"/>
  <c r="S2" i="3"/>
  <c r="AL9" i="4"/>
  <c r="AJ9" i="4"/>
  <c r="AK9" i="4"/>
  <c r="AI9" i="4"/>
  <c r="AG9" i="4"/>
  <c r="Q2" i="3"/>
  <c r="AF9" i="4"/>
  <c r="AD9" i="4"/>
  <c r="P2" i="3"/>
  <c r="AC9" i="4"/>
  <c r="AA9" i="4"/>
  <c r="O2" i="3"/>
  <c r="Z9" i="4"/>
  <c r="X9" i="4"/>
  <c r="N2" i="3"/>
  <c r="W9" i="4"/>
  <c r="U9" i="4"/>
  <c r="M2" i="3"/>
  <c r="R9" i="4"/>
  <c r="S9" i="4"/>
  <c r="Q9" i="4"/>
  <c r="O9" i="4"/>
  <c r="K9" i="4"/>
  <c r="L9" i="4"/>
  <c r="H9" i="4"/>
  <c r="F44" i="4"/>
  <c r="F9" i="4"/>
  <c r="G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I12" i="1"/>
  <c r="K11" i="1"/>
  <c r="EE9" i="4"/>
  <c r="AO2" i="3"/>
  <c r="AF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7" i="1"/>
  <c r="I15" i="1"/>
  <c r="I11" i="1"/>
  <c r="I4" i="1"/>
  <c r="N2" i="1"/>
  <c r="V9" i="4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EJ9" i="4"/>
  <c r="CF9" i="4"/>
  <c r="BG9" i="4"/>
  <c r="AR2" i="3"/>
  <c r="BH2" i="3"/>
  <c r="BA9" i="4"/>
  <c r="AA2" i="3"/>
  <c r="AE9" i="4"/>
  <c r="CJ9" i="4"/>
  <c r="AI2" i="3"/>
  <c r="AK2" i="3"/>
  <c r="EW9" i="4"/>
  <c r="DF9" i="4"/>
  <c r="EU9" i="4"/>
  <c r="K12" i="1"/>
  <c r="K16" i="1"/>
  <c r="K17" i="1"/>
  <c r="K24" i="1"/>
  <c r="K21" i="1"/>
  <c r="K29" i="1"/>
  <c r="K28" i="1"/>
  <c r="K25" i="1"/>
  <c r="K7" i="1"/>
  <c r="K19" i="1"/>
  <c r="G28" i="1"/>
  <c r="E30" i="1"/>
  <c r="G16" i="1"/>
  <c r="G31" i="1"/>
  <c r="E17" i="1"/>
  <c r="I13" i="1"/>
  <c r="BD9" i="4"/>
  <c r="R2" i="3"/>
  <c r="G23" i="1"/>
  <c r="E22" i="1"/>
  <c r="EN9" i="4"/>
  <c r="DB9" i="4"/>
  <c r="E21" i="1"/>
  <c r="I31" i="1"/>
  <c r="I25" i="1"/>
  <c r="G27" i="1"/>
  <c r="G26" i="1"/>
  <c r="E28" i="1"/>
  <c r="G29" i="1"/>
  <c r="E29" i="1"/>
  <c r="G25" i="1"/>
  <c r="E26" i="1"/>
  <c r="E27" i="1"/>
  <c r="E23" i="1"/>
  <c r="G21" i="1"/>
  <c r="E25" i="1"/>
  <c r="G22" i="1"/>
  <c r="E24" i="1"/>
  <c r="AU6" i="3"/>
  <c r="AU7" i="3"/>
  <c r="BK7" i="3"/>
  <c r="BK8" i="3"/>
  <c r="X8" i="3"/>
  <c r="X9" i="3"/>
  <c r="L8" i="3"/>
  <c r="L9" i="3"/>
  <c r="ER9" i="4"/>
  <c r="V2" i="3"/>
  <c r="EP9" i="4"/>
  <c r="CU9" i="4"/>
  <c r="BF5" i="3"/>
  <c r="BJ8" i="3"/>
  <c r="AK10" i="3"/>
  <c r="FC9" i="4"/>
  <c r="BB6" i="3"/>
  <c r="BB7" i="3"/>
  <c r="AE6" i="3"/>
  <c r="R8" i="3"/>
  <c r="R9" i="3"/>
  <c r="AB10" i="3"/>
  <c r="AB9" i="3"/>
  <c r="BF6" i="3"/>
  <c r="T7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4" i="3"/>
  <c r="O3" i="3"/>
  <c r="U8" i="3"/>
  <c r="U9" i="3"/>
  <c r="O8" i="3"/>
  <c r="O9" i="3"/>
  <c r="BD10" i="3"/>
  <c r="EA9" i="4"/>
  <c r="AR8" i="3"/>
  <c r="AR7" i="3"/>
  <c r="AX8" i="3"/>
  <c r="AX9" i="3"/>
  <c r="AQ13" i="3"/>
  <c r="AQ12" i="3"/>
  <c r="AE13" i="3"/>
  <c r="AE12" i="3"/>
  <c r="AX3" i="3"/>
  <c r="W8" i="3"/>
  <c r="W7" i="3"/>
  <c r="Q7" i="3"/>
  <c r="Q8" i="3"/>
  <c r="K7" i="3"/>
  <c r="K8" i="3"/>
  <c r="S10" i="3"/>
  <c r="AP11" i="3"/>
  <c r="BG14" i="3"/>
  <c r="AU3" i="3"/>
  <c r="K3" i="3"/>
  <c r="BI4" i="3"/>
  <c r="AW4" i="3"/>
  <c r="AP4" i="3"/>
  <c r="AD4" i="3"/>
  <c r="X4" i="3"/>
  <c r="L4" i="3"/>
  <c r="AG5" i="3"/>
  <c r="X5" i="3"/>
  <c r="BG6" i="3"/>
  <c r="AW7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M6" i="3"/>
  <c r="G6" i="3"/>
  <c r="I6" i="1"/>
  <c r="BC7" i="3"/>
  <c r="AY8" i="3"/>
  <c r="AJ7" i="3"/>
  <c r="I7" i="3"/>
  <c r="AO9" i="3"/>
  <c r="T9" i="3"/>
  <c r="BC10" i="3"/>
  <c r="AS10" i="3"/>
  <c r="AA10" i="3"/>
  <c r="R10" i="3"/>
  <c r="R11" i="3"/>
  <c r="AF12" i="3"/>
  <c r="BI13" i="3"/>
  <c r="BF13" i="3"/>
  <c r="AW13" i="3"/>
  <c r="AN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Y6" i="3"/>
  <c r="P6" i="3"/>
  <c r="AP7" i="3"/>
  <c r="H7" i="3"/>
  <c r="BJ9" i="3"/>
  <c r="AH9" i="3"/>
  <c r="AE9" i="3"/>
  <c r="Y9" i="3"/>
  <c r="V9" i="3"/>
  <c r="M9" i="3"/>
  <c r="BF10" i="3"/>
  <c r="AD10" i="3"/>
  <c r="BC11" i="3"/>
  <c r="BB11" i="3"/>
  <c r="AR12" i="3"/>
  <c r="AI11" i="3"/>
  <c r="Z12" i="3"/>
  <c r="Q11" i="3"/>
  <c r="BH12" i="3"/>
  <c r="BA13" i="3"/>
  <c r="AP13" i="3"/>
  <c r="AJ13" i="3"/>
  <c r="AD13" i="3"/>
  <c r="X13" i="3"/>
  <c r="P13" i="3"/>
  <c r="AI3" i="3"/>
  <c r="W3" i="3"/>
  <c r="AX4" i="3"/>
  <c r="M4" i="3"/>
  <c r="AZ5" i="3"/>
  <c r="AP5" i="3"/>
  <c r="U5" i="3"/>
  <c r="AK6" i="3"/>
  <c r="AS7" i="3"/>
  <c r="AA7" i="3"/>
  <c r="X7" i="3"/>
  <c r="U7" i="3"/>
  <c r="R7" i="3"/>
  <c r="O7" i="3"/>
  <c r="L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BE14" i="3"/>
  <c r="AJ3" i="3"/>
  <c r="R3" i="3"/>
  <c r="BI6" i="3"/>
  <c r="X6" i="3"/>
  <c r="J6" i="3"/>
  <c r="I5" i="3"/>
  <c r="AT7" i="3"/>
  <c r="J7" i="3"/>
  <c r="Q12" i="3"/>
  <c r="I13" i="3"/>
  <c r="H2" i="3"/>
  <c r="BK4" i="3"/>
  <c r="BK5" i="3"/>
  <c r="BB4" i="3"/>
  <c r="BB5" i="3"/>
  <c r="AR4" i="3"/>
  <c r="AR5" i="3"/>
  <c r="AI5" i="3"/>
  <c r="Z4" i="3"/>
  <c r="Q5" i="3"/>
  <c r="G5" i="3"/>
  <c r="I5" i="1"/>
  <c r="AS6" i="3"/>
  <c r="AA6" i="3"/>
  <c r="AX7" i="3"/>
  <c r="AE7" i="3"/>
  <c r="M7" i="3"/>
  <c r="BF8" i="3"/>
  <c r="BC8" i="3"/>
  <c r="AZ8" i="3"/>
  <c r="AW8" i="3"/>
  <c r="AS8" i="3"/>
  <c r="AJ8" i="3"/>
  <c r="AG8" i="3"/>
  <c r="AD8" i="3"/>
  <c r="AA8" i="3"/>
  <c r="BK11" i="3"/>
  <c r="BE11" i="3"/>
  <c r="AR11" i="3"/>
  <c r="AL11" i="3"/>
  <c r="Z11" i="3"/>
  <c r="AL14" i="3"/>
  <c r="AR14" i="3"/>
  <c r="AP3" i="3"/>
  <c r="X3" i="3"/>
  <c r="AD6" i="3"/>
  <c r="L6" i="3"/>
  <c r="AH7" i="3"/>
  <c r="P7" i="3"/>
  <c r="J9" i="3"/>
  <c r="J8" i="3"/>
  <c r="I9" i="3"/>
  <c r="I8" i="3"/>
  <c r="AB9" i="4"/>
  <c r="Z14" i="3"/>
  <c r="G14" i="1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O6" i="3"/>
  <c r="BD7" i="3"/>
  <c r="AK7" i="3"/>
  <c r="AU12" i="3"/>
  <c r="K12" i="3"/>
  <c r="I14" i="3"/>
  <c r="J14" i="3"/>
  <c r="T14" i="3"/>
  <c r="BC3" i="3"/>
  <c r="AJ6" i="3"/>
  <c r="R6" i="3"/>
  <c r="BG7" i="3"/>
  <c r="AN7" i="3"/>
  <c r="V7" i="3"/>
  <c r="AO12" i="3"/>
  <c r="AI12" i="3"/>
  <c r="AC12" i="3"/>
  <c r="W12" i="3"/>
  <c r="AA13" i="3"/>
  <c r="G13" i="1"/>
  <c r="U13" i="3"/>
  <c r="G8" i="3"/>
  <c r="I8" i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CR23" i="4"/>
  <c r="CS23" i="4"/>
  <c r="CS24" i="4"/>
  <c r="CR24" i="4"/>
  <c r="CO24" i="4"/>
  <c r="CO23" i="4"/>
  <c r="CM24" i="4"/>
  <c r="CL24" i="4"/>
  <c r="CM23" i="4"/>
  <c r="CL23" i="4"/>
  <c r="BX23" i="4"/>
  <c r="BW23" i="4"/>
  <c r="BW24" i="4"/>
  <c r="BX24" i="4"/>
  <c r="BG23" i="4"/>
  <c r="BG24" i="4"/>
  <c r="BE23" i="4"/>
  <c r="BE24" i="4"/>
  <c r="BD23" i="4"/>
  <c r="BD24" i="4"/>
  <c r="BA24" i="4"/>
  <c r="BB24" i="4"/>
  <c r="BB23" i="4"/>
  <c r="BA23" i="4"/>
  <c r="AX24" i="4"/>
  <c r="AW24" i="4"/>
  <c r="AX23" i="4"/>
  <c r="AW23" i="4"/>
  <c r="AU23" i="4"/>
  <c r="AU24" i="4"/>
  <c r="AQ23" i="4"/>
  <c r="AR23" i="4"/>
  <c r="AR24" i="4"/>
  <c r="AQ24" i="4"/>
  <c r="AO23" i="4"/>
  <c r="AN23" i="4"/>
  <c r="AO24" i="4"/>
  <c r="AN24" i="4"/>
  <c r="AL23" i="4"/>
  <c r="AK23" i="4"/>
  <c r="AL24" i="4"/>
  <c r="AJ44" i="4"/>
  <c r="AK24" i="4"/>
  <c r="AH24" i="4"/>
  <c r="AH23" i="4"/>
  <c r="AG45" i="4"/>
  <c r="AI24" i="4"/>
  <c r="AI23" i="4"/>
  <c r="AF24" i="4"/>
  <c r="AE24" i="4"/>
  <c r="AF23" i="4"/>
  <c r="AE23" i="4"/>
  <c r="AD45" i="4"/>
  <c r="AC23" i="4"/>
  <c r="AB23" i="4"/>
  <c r="AC24" i="4"/>
  <c r="AB24" i="4"/>
  <c r="AA45" i="4"/>
  <c r="Y23" i="4"/>
  <c r="Z23" i="4"/>
  <c r="Z24" i="4"/>
  <c r="Y24" i="4"/>
  <c r="V23" i="4"/>
  <c r="W23" i="4"/>
  <c r="V24" i="4"/>
  <c r="W24" i="4"/>
  <c r="AA44" i="4"/>
  <c r="U44" i="4"/>
  <c r="U45" i="4"/>
  <c r="CK44" i="4"/>
  <c r="CQ44" i="4"/>
  <c r="DD9" i="4"/>
  <c r="AN9" i="4"/>
  <c r="DL9" i="4"/>
  <c r="AZ45" i="4"/>
  <c r="DN9" i="4"/>
  <c r="BK14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Y4" i="3"/>
  <c r="BH10" i="3"/>
  <c r="AL18" i="3"/>
  <c r="P14" i="3"/>
  <c r="W15" i="3"/>
  <c r="BA15" i="3"/>
  <c r="BI15" i="3"/>
  <c r="H20" i="3"/>
  <c r="L20" i="3"/>
  <c r="AE20" i="3"/>
  <c r="AH20" i="3"/>
  <c r="AH6" i="3"/>
  <c r="Z10" i="3"/>
  <c r="G10" i="1"/>
  <c r="AU9" i="3"/>
  <c r="AU8" i="3"/>
  <c r="P8" i="3"/>
  <c r="AE11" i="3"/>
  <c r="AE10" i="3"/>
  <c r="AM12" i="3"/>
  <c r="AM11" i="3"/>
  <c r="H16" i="3"/>
  <c r="H15" i="3"/>
  <c r="BK18" i="3"/>
  <c r="BH9" i="3"/>
  <c r="BD2" i="3"/>
  <c r="BT9" i="4"/>
  <c r="X44" i="4"/>
  <c r="AZ44" i="4"/>
  <c r="AI9" i="3"/>
  <c r="E12" i="1"/>
  <c r="CZ9" i="4"/>
  <c r="BC45" i="4"/>
  <c r="G19" i="1"/>
  <c r="AD20" i="3"/>
  <c r="AG20" i="3"/>
  <c r="Z20" i="3"/>
  <c r="AB20" i="3"/>
  <c r="G20" i="1"/>
  <c r="BI2" i="3"/>
  <c r="V5" i="3"/>
  <c r="V11" i="3"/>
  <c r="V10" i="3"/>
  <c r="AY18" i="3"/>
  <c r="AR18" i="3"/>
  <c r="N18" i="3"/>
  <c r="BG17" i="3"/>
  <c r="BG18" i="3"/>
  <c r="AT17" i="3"/>
  <c r="AT18" i="3"/>
  <c r="AN17" i="3"/>
  <c r="AN18" i="3"/>
  <c r="AB17" i="3"/>
  <c r="G17" i="1"/>
  <c r="AB18" i="3"/>
  <c r="BB3" i="3"/>
  <c r="Q4" i="3"/>
  <c r="AA4" i="3"/>
  <c r="T4" i="3"/>
  <c r="L5" i="3"/>
  <c r="AP6" i="3"/>
  <c r="W6" i="3"/>
  <c r="AI7" i="3"/>
  <c r="BA7" i="3"/>
  <c r="AU10" i="3"/>
  <c r="AD9" i="3"/>
  <c r="P9" i="3"/>
  <c r="Y11" i="3"/>
  <c r="K10" i="3"/>
  <c r="AB12" i="3"/>
  <c r="G12" i="1"/>
  <c r="J11" i="3"/>
  <c r="BK12" i="3"/>
  <c r="R13" i="3"/>
  <c r="L12" i="3"/>
  <c r="J15" i="3"/>
  <c r="AZ18" i="3"/>
  <c r="AU18" i="3"/>
  <c r="AG18" i="3"/>
  <c r="O18" i="3"/>
  <c r="K18" i="3"/>
  <c r="G18" i="3"/>
  <c r="I18" i="1"/>
  <c r="H17" i="3"/>
  <c r="P9" i="4"/>
  <c r="BA3" i="3"/>
  <c r="AH3" i="3"/>
  <c r="AB3" i="3"/>
  <c r="BA4" i="3"/>
  <c r="Z5" i="3"/>
  <c r="G7" i="3"/>
  <c r="I7" i="1"/>
  <c r="BD9" i="3"/>
  <c r="AS9" i="3"/>
  <c r="Y7" i="3"/>
  <c r="AZ9" i="3"/>
  <c r="AT11" i="3"/>
  <c r="AI10" i="3"/>
  <c r="BD11" i="3"/>
  <c r="AX12" i="3"/>
  <c r="BE12" i="3"/>
  <c r="I15" i="3"/>
  <c r="BC18" i="3"/>
  <c r="AJ18" i="3"/>
  <c r="R18" i="3"/>
  <c r="E18" i="1"/>
  <c r="I10" i="3"/>
  <c r="AO7" i="3"/>
  <c r="BB9" i="3"/>
  <c r="AM9" i="3"/>
  <c r="AB8" i="3"/>
  <c r="G8" i="1"/>
  <c r="BC9" i="3"/>
  <c r="AR9" i="3"/>
  <c r="W10" i="3"/>
  <c r="AL10" i="3"/>
  <c r="S11" i="3"/>
  <c r="BH11" i="3"/>
  <c r="AS11" i="3"/>
  <c r="BG13" i="3"/>
  <c r="AS13" i="3"/>
  <c r="AL13" i="3"/>
  <c r="AF13" i="3"/>
  <c r="N13" i="3"/>
  <c r="BI18" i="3"/>
  <c r="AP18" i="3"/>
  <c r="X18" i="3"/>
  <c r="AK5" i="3"/>
  <c r="Y5" i="3"/>
  <c r="BF7" i="3"/>
  <c r="AA9" i="3"/>
  <c r="G9" i="1"/>
  <c r="AS18" i="3"/>
  <c r="AA18" i="3"/>
  <c r="G18" i="1"/>
  <c r="BI16" i="3"/>
  <c r="BC16" i="3"/>
  <c r="AW16" i="3"/>
  <c r="AP16" i="3"/>
  <c r="AJ16" i="3"/>
  <c r="AD16" i="3"/>
  <c r="X16" i="3"/>
  <c r="R16" i="3"/>
  <c r="E16" i="1"/>
  <c r="L16" i="3"/>
  <c r="O45" i="4"/>
  <c r="D9" i="4"/>
  <c r="C45" i="4"/>
  <c r="G2" i="3"/>
  <c r="I2" i="1"/>
  <c r="AT4" i="3"/>
  <c r="AH5" i="3"/>
  <c r="AH4" i="3"/>
  <c r="BC5" i="3"/>
  <c r="BC6" i="3"/>
  <c r="BJ7" i="3"/>
  <c r="BJ6" i="3"/>
  <c r="AM7" i="3"/>
  <c r="AM8" i="3"/>
  <c r="AG7" i="3"/>
  <c r="AG6" i="3"/>
  <c r="AC7" i="3"/>
  <c r="AC8" i="3"/>
  <c r="AD44" i="4"/>
  <c r="O47" i="4"/>
  <c r="O44" i="4"/>
  <c r="AZ15" i="3"/>
  <c r="AZ14" i="3"/>
  <c r="AM44" i="4"/>
  <c r="R5" i="3"/>
  <c r="E5" i="1"/>
  <c r="G3" i="3"/>
  <c r="I3" i="1"/>
  <c r="DY9" i="4"/>
  <c r="FA9" i="4"/>
  <c r="DU9" i="4"/>
  <c r="AU2" i="3"/>
  <c r="BC44" i="4"/>
  <c r="BC46" i="4"/>
  <c r="AI14" i="3"/>
  <c r="AW14" i="3"/>
  <c r="K15" i="3"/>
  <c r="K14" i="3"/>
  <c r="Q15" i="3"/>
  <c r="AO15" i="3"/>
  <c r="BB13" i="3"/>
  <c r="BB12" i="3"/>
  <c r="AN12" i="3"/>
  <c r="AN11" i="3"/>
  <c r="AM14" i="3"/>
  <c r="AM13" i="3"/>
  <c r="AG12" i="3"/>
  <c r="AG13" i="3"/>
  <c r="O14" i="3"/>
  <c r="O13" i="3"/>
  <c r="H13" i="3"/>
  <c r="H12" i="3"/>
  <c r="CL9" i="4"/>
  <c r="BF45" i="4"/>
  <c r="BF46" i="4"/>
  <c r="F45" i="4"/>
  <c r="L2" i="3"/>
  <c r="AG44" i="4"/>
  <c r="AQ9" i="4"/>
  <c r="T2" i="3"/>
  <c r="AV44" i="4"/>
  <c r="AJ15" i="3"/>
  <c r="BC15" i="3"/>
  <c r="BC14" i="3"/>
  <c r="AN10" i="3"/>
  <c r="AN9" i="3"/>
  <c r="AJ9" i="3"/>
  <c r="AJ10" i="3"/>
  <c r="T10" i="3"/>
  <c r="T11" i="3"/>
  <c r="BJ15" i="3"/>
  <c r="BJ14" i="3"/>
  <c r="AM45" i="4"/>
  <c r="AV45" i="4"/>
  <c r="E2" i="1"/>
  <c r="K2" i="3"/>
  <c r="F47" i="4"/>
  <c r="AJ45" i="4"/>
  <c r="AP44" i="4"/>
  <c r="AB2" i="3"/>
  <c r="G2" i="1"/>
  <c r="CR9" i="4"/>
  <c r="E14" i="1"/>
  <c r="AB15" i="3"/>
  <c r="G15" i="1"/>
  <c r="Q9" i="3"/>
  <c r="Q10" i="3"/>
  <c r="H9" i="3"/>
  <c r="H10" i="3"/>
  <c r="BI10" i="3"/>
  <c r="BI11" i="3"/>
  <c r="AO11" i="3"/>
  <c r="AO10" i="3"/>
  <c r="AB11" i="3"/>
  <c r="G11" i="1"/>
  <c r="J2" i="3"/>
  <c r="I2" i="3"/>
  <c r="AT15" i="3"/>
  <c r="AP9" i="3"/>
  <c r="AP8" i="3"/>
  <c r="AK8" i="3"/>
  <c r="AK9" i="3"/>
  <c r="AF9" i="3"/>
  <c r="AF8" i="3"/>
  <c r="S8" i="3"/>
  <c r="S9" i="3"/>
  <c r="E9" i="1"/>
  <c r="BZ9" i="4"/>
  <c r="AD2" i="3"/>
  <c r="CN45" i="4"/>
  <c r="C47" i="4"/>
  <c r="AF15" i="3"/>
  <c r="AP15" i="3"/>
  <c r="BI3" i="3"/>
  <c r="BA2" i="3"/>
  <c r="EH9" i="4"/>
  <c r="AQ3" i="3"/>
  <c r="DJ9" i="4"/>
  <c r="AQ2" i="3"/>
  <c r="AE3" i="3"/>
  <c r="AE2" i="3"/>
  <c r="CB9" i="4"/>
  <c r="BH4" i="3"/>
  <c r="BH5" i="3"/>
  <c r="AW5" i="3"/>
  <c r="AW6" i="3"/>
  <c r="AE5" i="3"/>
  <c r="AE4" i="3"/>
  <c r="R4" i="3"/>
  <c r="S6" i="3"/>
  <c r="E6" i="1"/>
  <c r="BE6" i="3"/>
  <c r="BE7" i="3"/>
  <c r="AB7" i="3"/>
  <c r="G7" i="1"/>
  <c r="AB6" i="3"/>
  <c r="G6" i="1"/>
  <c r="S7" i="3"/>
  <c r="E7" i="1"/>
  <c r="BL5" i="3"/>
  <c r="K5" i="1"/>
  <c r="BI8" i="3"/>
  <c r="BI7" i="3"/>
  <c r="AN2" i="3"/>
  <c r="Y9" i="4"/>
  <c r="BF14" i="3"/>
  <c r="AT5" i="3"/>
  <c r="BG10" i="3"/>
  <c r="BG9" i="3"/>
  <c r="G10" i="3"/>
  <c r="I10" i="1"/>
  <c r="G9" i="3"/>
  <c r="I9" i="1"/>
  <c r="L11" i="3"/>
  <c r="L10" i="3"/>
  <c r="AK12" i="3"/>
  <c r="AK11" i="3"/>
  <c r="BE13" i="3"/>
  <c r="AT13" i="3"/>
  <c r="AS44" i="4"/>
  <c r="CH9" i="4"/>
  <c r="BB14" i="3"/>
  <c r="Z3" i="3"/>
  <c r="G3" i="1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R19" i="3"/>
  <c r="E19" i="1"/>
  <c r="AJ19" i="3"/>
  <c r="BC19" i="3"/>
  <c r="BD3" i="3"/>
  <c r="BD4" i="3"/>
  <c r="S4" i="3"/>
  <c r="S3" i="3"/>
  <c r="E3" i="1"/>
  <c r="I6" i="3"/>
  <c r="J5" i="3"/>
  <c r="O11" i="3"/>
  <c r="O10" i="3"/>
  <c r="AH12" i="3"/>
  <c r="AH11" i="3"/>
  <c r="BD15" i="3"/>
  <c r="AB5" i="3"/>
  <c r="G5" i="1"/>
  <c r="AB4" i="3"/>
  <c r="G4" i="1"/>
  <c r="H6" i="3"/>
  <c r="H5" i="3"/>
  <c r="AX6" i="3"/>
  <c r="AX5" i="3"/>
  <c r="BA9" i="3"/>
  <c r="BA8" i="3"/>
  <c r="AG9" i="3"/>
  <c r="AR10" i="3"/>
  <c r="BJ12" i="3"/>
  <c r="I17" i="3"/>
  <c r="I18" i="3"/>
  <c r="BC13" i="3"/>
  <c r="AR13" i="3"/>
  <c r="AY10" i="3"/>
  <c r="E20" i="1"/>
  <c r="E8" i="1"/>
  <c r="E10" i="1"/>
  <c r="AA51" i="4"/>
  <c r="E11" i="1"/>
  <c r="E15" i="1"/>
  <c r="E13" i="1"/>
  <c r="AZ46" i="4"/>
  <c r="CQ45" i="4"/>
  <c r="X45" i="4"/>
  <c r="E4" i="1"/>
  <c r="AP45" i="4"/>
  <c r="CK45" i="4"/>
  <c r="AM51" i="4"/>
  <c r="AV5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T48" i="4"/>
  <c r="CT49" i="4"/>
  <c r="CJ29" i="4"/>
  <c r="CH29" i="4"/>
  <c r="CG48" i="4"/>
  <c r="CF29" i="4"/>
  <c r="CE48" i="4"/>
  <c r="CD29" i="4"/>
  <c r="CC48" i="4"/>
  <c r="BZ29" i="4"/>
  <c r="BY48" i="4"/>
  <c r="BT29" i="4"/>
  <c r="S29" i="4"/>
  <c r="P29" i="4"/>
  <c r="O48" i="4"/>
  <c r="O49" i="4"/>
  <c r="N29" i="4"/>
  <c r="L29" i="4"/>
  <c r="K48" i="4"/>
  <c r="K49" i="4"/>
  <c r="G29" i="4"/>
  <c r="F48" i="4"/>
  <c r="F49" i="4"/>
  <c r="D29" i="4"/>
  <c r="C48" i="4"/>
  <c r="C49" i="4"/>
  <c r="DH28" i="4"/>
  <c r="J28" i="4"/>
  <c r="BL20" i="3"/>
  <c r="K20" i="1"/>
  <c r="FA29" i="4"/>
  <c r="EN29" i="4"/>
  <c r="DD29" i="4"/>
  <c r="CS29" i="4"/>
  <c r="CR29" i="4"/>
  <c r="CR30" i="4"/>
  <c r="CQ48" i="4"/>
  <c r="CS30" i="4"/>
  <c r="CO29" i="4"/>
  <c r="CO30" i="4"/>
  <c r="CN48" i="4"/>
  <c r="CP29" i="4"/>
  <c r="CP30" i="4"/>
  <c r="CN47" i="4"/>
  <c r="CM30" i="4"/>
  <c r="CL30" i="4"/>
  <c r="CM29" i="4"/>
  <c r="CK47" i="4"/>
  <c r="CL29" i="4"/>
  <c r="CK48" i="4"/>
  <c r="CK49" i="4"/>
  <c r="CI48" i="4"/>
  <c r="CB29" i="4"/>
  <c r="CA48" i="4"/>
  <c r="BW30" i="4"/>
  <c r="BX30" i="4"/>
  <c r="BX29" i="4"/>
  <c r="BW29" i="4"/>
  <c r="BS48" i="4"/>
  <c r="AR28" i="4"/>
  <c r="AQ28" i="4"/>
  <c r="AX30" i="4"/>
  <c r="AW30" i="4"/>
  <c r="AX29" i="4"/>
  <c r="AW29" i="4"/>
  <c r="AV48" i="4"/>
  <c r="AU29" i="4"/>
  <c r="AT29" i="4"/>
  <c r="AT30" i="4"/>
  <c r="AS48" i="4"/>
  <c r="AU30" i="4"/>
  <c r="AR29" i="4"/>
  <c r="AQ29" i="4"/>
  <c r="AQ30" i="4"/>
  <c r="AP48" i="4"/>
  <c r="AR30" i="4"/>
  <c r="AN29" i="4"/>
  <c r="AO29" i="4"/>
  <c r="AO30" i="4"/>
  <c r="AN30" i="4"/>
  <c r="AK29" i="4"/>
  <c r="AK30" i="4"/>
  <c r="AJ48" i="4"/>
  <c r="AL29" i="4"/>
  <c r="AL30" i="4"/>
  <c r="AJ47" i="4"/>
  <c r="AJ49" i="4"/>
  <c r="AI29" i="4"/>
  <c r="AH29" i="4"/>
  <c r="AH30" i="4"/>
  <c r="AG48" i="4"/>
  <c r="AI30" i="4"/>
  <c r="AF30" i="4"/>
  <c r="AE30" i="4"/>
  <c r="AF29" i="4"/>
  <c r="AD47" i="4"/>
  <c r="AE29" i="4"/>
  <c r="AD48" i="4"/>
  <c r="AD49" i="4"/>
  <c r="AC29" i="4"/>
  <c r="AC30" i="4"/>
  <c r="AA47" i="4"/>
  <c r="AB29" i="4"/>
  <c r="AB30" i="4"/>
  <c r="Z29" i="4"/>
  <c r="Y29" i="4"/>
  <c r="Z30" i="4"/>
  <c r="Y30" i="4"/>
  <c r="V29" i="4"/>
  <c r="W29" i="4"/>
  <c r="W30" i="4"/>
  <c r="V30" i="4"/>
  <c r="I48" i="4"/>
  <c r="I49" i="4"/>
  <c r="BH29" i="4"/>
  <c r="BG29" i="4"/>
  <c r="BG30" i="4"/>
  <c r="BF48" i="4"/>
  <c r="BF49" i="4"/>
  <c r="BH30" i="4"/>
  <c r="BD29" i="4"/>
  <c r="BD30" i="4"/>
  <c r="BC48" i="4"/>
  <c r="BC49" i="4"/>
  <c r="BE29" i="4"/>
  <c r="BE30" i="4"/>
  <c r="BB29" i="4"/>
  <c r="BA29" i="4"/>
  <c r="BA30" i="4"/>
  <c r="AZ48" i="4"/>
  <c r="BB30" i="4"/>
  <c r="R48" i="4"/>
  <c r="R49" i="4"/>
  <c r="CQ47" i="4"/>
  <c r="CQ49" i="4"/>
  <c r="CN49" i="4"/>
  <c r="U48" i="4"/>
  <c r="AV47" i="4"/>
  <c r="AV49" i="4"/>
  <c r="U47" i="4"/>
  <c r="AA48" i="4"/>
  <c r="AA49" i="4"/>
  <c r="AM48" i="4"/>
  <c r="AG47" i="4"/>
  <c r="AG49" i="4"/>
  <c r="AS47" i="4"/>
  <c r="AS49" i="4"/>
  <c r="AP47" i="4"/>
  <c r="AP49" i="4"/>
  <c r="AM47" i="4"/>
  <c r="AM49" i="4"/>
  <c r="X48" i="4"/>
  <c r="X47" i="4"/>
  <c r="U49" i="4"/>
  <c r="AM50" i="4"/>
  <c r="BC51" i="4"/>
  <c r="AZ49" i="4"/>
  <c r="AA50" i="4"/>
  <c r="AV50" i="4"/>
  <c r="X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<sst xmlns="http://schemas.openxmlformats.org/spreadsheetml/2006/main" count="411" uniqueCount="204">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</sst>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B30">
            <v>0.81</v>
          </cell>
          <cell r="E30">
            <v>198149</v>
          </cell>
          <cell r="F30">
            <v>755</v>
          </cell>
          <cell r="G30">
            <v>1228</v>
          </cell>
          <cell r="H30">
            <v>233859</v>
          </cell>
          <cell r="I30">
            <v>414</v>
          </cell>
          <cell r="J30">
            <v>422</v>
          </cell>
          <cell r="K30">
            <v>4517</v>
          </cell>
          <cell r="L30">
            <v>131</v>
          </cell>
          <cell r="N30">
            <v>916658</v>
          </cell>
          <cell r="O30">
            <v>270</v>
          </cell>
          <cell r="Q30">
            <v>242139</v>
          </cell>
          <cell r="R30">
            <v>136</v>
          </cell>
          <cell r="U30">
            <v>114069</v>
          </cell>
          <cell r="V30">
            <v>142</v>
          </cell>
          <cell r="W30">
            <v>117.90000000000146</v>
          </cell>
          <cell r="X30">
            <v>6143</v>
          </cell>
          <cell r="Y30">
            <v>11</v>
          </cell>
          <cell r="AE30">
            <v>8104766.8800000008</v>
          </cell>
          <cell r="AF30">
            <v>2094.9600000018254</v>
          </cell>
          <cell r="AH30">
            <v>15398004.719999999</v>
          </cell>
          <cell r="AI30">
            <v>4530.9599999990314</v>
          </cell>
          <cell r="AK30">
            <v>15751419.6</v>
          </cell>
          <cell r="AL30">
            <v>389.75999999977648</v>
          </cell>
          <cell r="AN30">
            <v>18782534.399999999</v>
          </cell>
          <cell r="AO30">
            <v>974.39999999850988</v>
          </cell>
          <cell r="AQ30">
            <v>19065354</v>
          </cell>
          <cell r="AR30">
            <v>14177.519999999553</v>
          </cell>
          <cell r="AT30">
            <v>17468750.879999999</v>
          </cell>
          <cell r="AU30">
            <v>5748.9600000008941</v>
          </cell>
          <cell r="AW30">
            <v>14713829.76</v>
          </cell>
          <cell r="AX30">
            <v>4336.0800000000745</v>
          </cell>
          <cell r="AZ30">
            <v>14230624.799999999</v>
          </cell>
          <cell r="BA30">
            <v>4433.5199999976903</v>
          </cell>
          <cell r="BC30">
            <v>11127696.719999999</v>
          </cell>
          <cell r="BD30">
            <v>2923.1999999992549</v>
          </cell>
          <cell r="BF30">
            <v>17603071.919999998</v>
          </cell>
          <cell r="BG30">
            <v>5797.679999999702</v>
          </cell>
          <cell r="BM30">
            <v>77838300</v>
          </cell>
          <cell r="BN30">
            <v>0</v>
          </cell>
          <cell r="BP30">
            <v>80264900</v>
          </cell>
          <cell r="BQ30">
            <v>0</v>
          </cell>
          <cell r="BS30">
            <v>74265500</v>
          </cell>
          <cell r="BT30">
            <v>72000</v>
          </cell>
          <cell r="BV30">
            <v>10105090</v>
          </cell>
          <cell r="BW30">
            <v>7390</v>
          </cell>
          <cell r="BY30">
            <v>0.67</v>
          </cell>
          <cell r="BZ30">
            <v>4.9999999999999933E-2</v>
          </cell>
          <cell r="CB30">
            <v>63992</v>
          </cell>
          <cell r="CC30">
            <v>20</v>
          </cell>
          <cell r="CD30">
            <v>55095</v>
          </cell>
          <cell r="CE30">
            <v>19</v>
          </cell>
          <cell r="CF30">
            <v>18636</v>
          </cell>
          <cell r="CG30">
            <v>7</v>
          </cell>
          <cell r="CH30">
            <v>25419</v>
          </cell>
          <cell r="CI30">
            <v>10</v>
          </cell>
          <cell r="CJ30">
            <v>28235</v>
          </cell>
          <cell r="CK30">
            <v>15</v>
          </cell>
          <cell r="CL30">
            <v>61925</v>
          </cell>
          <cell r="CM30">
            <v>33</v>
          </cell>
          <cell r="CN30">
            <v>266782</v>
          </cell>
          <cell r="CO30">
            <v>75</v>
          </cell>
          <cell r="CQ30">
            <v>213252</v>
          </cell>
          <cell r="CR30">
            <v>101</v>
          </cell>
          <cell r="CT30">
            <v>352391</v>
          </cell>
          <cell r="CU30">
            <v>167</v>
          </cell>
          <cell r="CW30">
            <v>691823</v>
          </cell>
          <cell r="CX30">
            <v>184</v>
          </cell>
          <cell r="CZ30">
            <v>8723</v>
          </cell>
          <cell r="DA30">
            <v>7</v>
          </cell>
          <cell r="DB30">
            <v>5921</v>
          </cell>
          <cell r="DC30">
            <v>4</v>
          </cell>
          <cell r="DD30">
            <v>31872</v>
          </cell>
          <cell r="DE30">
            <v>15</v>
          </cell>
          <cell r="DF30">
            <v>32144</v>
          </cell>
          <cell r="DG30">
            <v>13</v>
          </cell>
          <cell r="DH30">
            <v>21665</v>
          </cell>
          <cell r="DI30">
            <v>7</v>
          </cell>
          <cell r="DJ30">
            <v>23936</v>
          </cell>
          <cell r="DK30">
            <v>5</v>
          </cell>
          <cell r="DL30">
            <v>6931</v>
          </cell>
          <cell r="DM30">
            <v>9</v>
          </cell>
          <cell r="DN30">
            <v>9625</v>
          </cell>
          <cell r="DO30">
            <v>6</v>
          </cell>
          <cell r="DP30">
            <v>3196</v>
          </cell>
          <cell r="DQ30">
            <v>3</v>
          </cell>
          <cell r="DR30">
            <v>6283</v>
          </cell>
          <cell r="DS30">
            <v>9</v>
          </cell>
          <cell r="DT30">
            <v>30198</v>
          </cell>
          <cell r="DU30">
            <v>14</v>
          </cell>
          <cell r="DW30">
            <v>6137.2</v>
          </cell>
          <cell r="DX30">
            <v>11</v>
          </cell>
          <cell r="DY30">
            <v>11146.7</v>
          </cell>
          <cell r="DZ30">
            <v>8.2000000000007276</v>
          </cell>
          <cell r="EA30">
            <v>4684.3999999999996</v>
          </cell>
          <cell r="EB30">
            <v>7</v>
          </cell>
          <cell r="EC30">
            <v>5263.2</v>
          </cell>
          <cell r="ED30">
            <v>6.0999999999994543</v>
          </cell>
          <cell r="EE30">
            <v>1116688</v>
          </cell>
          <cell r="EF30">
            <v>598</v>
          </cell>
          <cell r="EI30">
            <v>229108.7</v>
          </cell>
          <cell r="EJ30">
            <v>73.900000000023283</v>
          </cell>
          <cell r="EL30">
            <v>12069000</v>
          </cell>
          <cell r="EM30">
            <v>5000</v>
          </cell>
          <cell r="EN30">
            <v>929090</v>
          </cell>
          <cell r="EO30">
            <v>320</v>
          </cell>
          <cell r="EP30">
            <v>7186300</v>
          </cell>
          <cell r="EQ30">
            <v>2500</v>
          </cell>
          <cell r="ER30">
            <v>2489900</v>
          </cell>
          <cell r="ES30">
            <v>700</v>
          </cell>
          <cell r="ET30">
            <v>1265650</v>
          </cell>
          <cell r="EU30">
            <v>760</v>
          </cell>
          <cell r="EV30">
            <v>16550400</v>
          </cell>
          <cell r="EW30">
            <v>6300</v>
          </cell>
          <cell r="EY30">
            <v>41824</v>
          </cell>
          <cell r="EZ30">
            <v>13</v>
          </cell>
          <cell r="FA30">
            <v>36587</v>
          </cell>
          <cell r="FB30">
            <v>13</v>
          </cell>
          <cell r="FC30">
            <v>7367</v>
          </cell>
          <cell r="FD30">
            <v>9</v>
          </cell>
          <cell r="FE30">
            <v>59016</v>
          </cell>
          <cell r="FF30">
            <v>12</v>
          </cell>
          <cell r="FG30">
            <v>48957</v>
          </cell>
          <cell r="FH30">
            <v>35</v>
          </cell>
        </row>
        <row r="31">
          <cell r="B31">
            <v>0.66</v>
          </cell>
          <cell r="E31">
            <v>198881</v>
          </cell>
          <cell r="F31">
            <v>732</v>
          </cell>
          <cell r="G31">
            <v>466</v>
          </cell>
          <cell r="H31">
            <v>234274</v>
          </cell>
          <cell r="I31">
            <v>415</v>
          </cell>
          <cell r="J31">
            <v>373</v>
          </cell>
          <cell r="K31">
            <v>4649</v>
          </cell>
          <cell r="L31">
            <v>132</v>
          </cell>
          <cell r="N31">
            <v>916956</v>
          </cell>
          <cell r="O31">
            <v>298</v>
          </cell>
          <cell r="Q31">
            <v>242290</v>
          </cell>
          <cell r="R31">
            <v>151</v>
          </cell>
          <cell r="U31">
            <v>114192</v>
          </cell>
          <cell r="V31">
            <v>123</v>
          </cell>
          <cell r="W31">
            <v>134.38999999999942</v>
          </cell>
          <cell r="X31">
            <v>6155</v>
          </cell>
          <cell r="Y31">
            <v>12</v>
          </cell>
          <cell r="AE31">
            <v>8106861.8399999999</v>
          </cell>
          <cell r="AF31">
            <v>2094.9599999990314</v>
          </cell>
          <cell r="AH31">
            <v>15402584.4</v>
          </cell>
          <cell r="AI31">
            <v>4579.6800000015646</v>
          </cell>
          <cell r="AK31">
            <v>15751760.640000001</v>
          </cell>
          <cell r="AL31">
            <v>341.04000000096858</v>
          </cell>
          <cell r="AN31">
            <v>18783313.919999998</v>
          </cell>
          <cell r="AO31">
            <v>779.51999999955297</v>
          </cell>
          <cell r="AQ31">
            <v>19077241.68</v>
          </cell>
          <cell r="AR31">
            <v>11887.679999999702</v>
          </cell>
          <cell r="AT31">
            <v>17474597.280000001</v>
          </cell>
          <cell r="AU31">
            <v>5846.4000000022352</v>
          </cell>
          <cell r="AW31">
            <v>14718263.280000001</v>
          </cell>
          <cell r="AX31">
            <v>4433.5200000014156</v>
          </cell>
          <cell r="AZ31">
            <v>14235301.919999998</v>
          </cell>
          <cell r="BA31">
            <v>4677.1199999991804</v>
          </cell>
          <cell r="BC31">
            <v>11130766.08</v>
          </cell>
          <cell r="BD31">
            <v>3069.3600000012666</v>
          </cell>
          <cell r="BF31">
            <v>17608820.879999999</v>
          </cell>
          <cell r="BG31">
            <v>5748.9600000008941</v>
          </cell>
          <cell r="BM31">
            <v>77838300</v>
          </cell>
          <cell r="BN31">
            <v>0</v>
          </cell>
          <cell r="BP31">
            <v>80264900</v>
          </cell>
          <cell r="BQ31">
            <v>0</v>
          </cell>
          <cell r="BS31">
            <v>74324600</v>
          </cell>
          <cell r="BT31">
            <v>59100</v>
          </cell>
          <cell r="BV31">
            <v>10112550</v>
          </cell>
          <cell r="BW31">
            <v>7460</v>
          </cell>
          <cell r="BY31">
            <v>0.78</v>
          </cell>
          <cell r="BZ31">
            <v>-0.10999999999999999</v>
          </cell>
          <cell r="CB31">
            <v>64013</v>
          </cell>
          <cell r="CC31">
            <v>21</v>
          </cell>
          <cell r="CD31">
            <v>55114</v>
          </cell>
          <cell r="CE31">
            <v>19</v>
          </cell>
          <cell r="CF31">
            <v>18644</v>
          </cell>
          <cell r="CG31">
            <v>8</v>
          </cell>
          <cell r="CH31">
            <v>25430</v>
          </cell>
          <cell r="CI31">
            <v>11</v>
          </cell>
          <cell r="CJ31">
            <v>28249</v>
          </cell>
          <cell r="CK31">
            <v>14</v>
          </cell>
          <cell r="CL31">
            <v>61959</v>
          </cell>
          <cell r="CM31">
            <v>34</v>
          </cell>
          <cell r="CN31">
            <v>266858</v>
          </cell>
          <cell r="CO31">
            <v>76</v>
          </cell>
          <cell r="CQ31">
            <v>213356</v>
          </cell>
          <cell r="CR31">
            <v>104</v>
          </cell>
          <cell r="CT31">
            <v>352560</v>
          </cell>
          <cell r="CU31">
            <v>169</v>
          </cell>
          <cell r="CW31">
            <v>692009</v>
          </cell>
          <cell r="CX31">
            <v>186</v>
          </cell>
          <cell r="CZ31">
            <v>8731</v>
          </cell>
          <cell r="DA31">
            <v>8</v>
          </cell>
          <cell r="DB31">
            <v>5925</v>
          </cell>
          <cell r="DC31">
            <v>4</v>
          </cell>
          <cell r="DD31">
            <v>31887</v>
          </cell>
          <cell r="DE31">
            <v>15</v>
          </cell>
          <cell r="DF31">
            <v>32159</v>
          </cell>
          <cell r="DG31">
            <v>15</v>
          </cell>
          <cell r="DH31">
            <v>21678</v>
          </cell>
          <cell r="DI31">
            <v>13</v>
          </cell>
          <cell r="DJ31">
            <v>23942</v>
          </cell>
          <cell r="DK31">
            <v>6</v>
          </cell>
          <cell r="DL31">
            <v>6939</v>
          </cell>
          <cell r="DM31">
            <v>8</v>
          </cell>
          <cell r="DN31">
            <v>9629</v>
          </cell>
          <cell r="DO31">
            <v>4</v>
          </cell>
          <cell r="DP31">
            <v>3200</v>
          </cell>
          <cell r="DQ31">
            <v>4</v>
          </cell>
          <cell r="DR31">
            <v>6292</v>
          </cell>
          <cell r="DS31">
            <v>9</v>
          </cell>
          <cell r="DT31">
            <v>30198</v>
          </cell>
          <cell r="DU31">
            <v>0</v>
          </cell>
          <cell r="DW31">
            <v>6148.7</v>
          </cell>
          <cell r="DX31">
            <v>11.5</v>
          </cell>
          <cell r="DY31">
            <v>11155.1</v>
          </cell>
          <cell r="DZ31">
            <v>8.3999999999996362</v>
          </cell>
          <cell r="EA31">
            <v>4691.3999999999996</v>
          </cell>
          <cell r="EB31">
            <v>7</v>
          </cell>
          <cell r="EC31">
            <v>5268.8</v>
          </cell>
          <cell r="ED31">
            <v>5.6000000000003638</v>
          </cell>
          <cell r="EE31">
            <v>1117279</v>
          </cell>
          <cell r="EF31">
            <v>591</v>
          </cell>
          <cell r="EI31">
            <v>229335.5</v>
          </cell>
          <cell r="EJ31">
            <v>226.79999999998836</v>
          </cell>
          <cell r="EL31">
            <v>12072600</v>
          </cell>
          <cell r="EM31">
            <v>3600</v>
          </cell>
          <cell r="EN31">
            <v>929350</v>
          </cell>
          <cell r="EO31">
            <v>260</v>
          </cell>
          <cell r="EP31">
            <v>7188200</v>
          </cell>
          <cell r="EQ31">
            <v>1900</v>
          </cell>
          <cell r="ER31">
            <v>2490400</v>
          </cell>
          <cell r="ES31">
            <v>500</v>
          </cell>
          <cell r="ET31">
            <v>1266380</v>
          </cell>
          <cell r="EU31">
            <v>730</v>
          </cell>
          <cell r="EV31">
            <v>16553200</v>
          </cell>
          <cell r="EW31">
            <v>2800</v>
          </cell>
          <cell r="EY31">
            <v>41845</v>
          </cell>
          <cell r="EZ31">
            <v>21</v>
          </cell>
          <cell r="FA31">
            <v>36599</v>
          </cell>
          <cell r="FB31">
            <v>12</v>
          </cell>
          <cell r="FC31">
            <v>7374</v>
          </cell>
          <cell r="FD31">
            <v>7</v>
          </cell>
          <cell r="FE31">
            <v>59030</v>
          </cell>
          <cell r="FF31">
            <v>14</v>
          </cell>
          <cell r="FG31">
            <v>48988</v>
          </cell>
          <cell r="FH31">
            <v>31</v>
          </cell>
        </row>
        <row r="32">
          <cell r="F32">
            <v>-198881</v>
          </cell>
          <cell r="G32">
            <v>1470</v>
          </cell>
          <cell r="I32">
            <v>-234274</v>
          </cell>
          <cell r="J32">
            <v>493</v>
          </cell>
          <cell r="L32">
            <v>-4649</v>
          </cell>
          <cell r="O32">
            <v>-916956</v>
          </cell>
          <cell r="R32">
            <v>-242290</v>
          </cell>
          <cell r="V32">
            <v>-114192</v>
          </cell>
          <cell r="W32">
            <v>142.86000000000058</v>
          </cell>
          <cell r="Y32">
            <v>-6155</v>
          </cell>
          <cell r="AF32">
            <v>-8106861.8399999999</v>
          </cell>
          <cell r="AI32">
            <v>-15402584.4</v>
          </cell>
          <cell r="AL32">
            <v>-15751760.640000001</v>
          </cell>
          <cell r="AO32">
            <v>-18783313.919999998</v>
          </cell>
          <cell r="AR32">
            <v>-19077241.68</v>
          </cell>
          <cell r="AU32">
            <v>-17474597.280000001</v>
          </cell>
          <cell r="AX32">
            <v>-14718263.280000001</v>
          </cell>
          <cell r="BA32">
            <v>-14235301.919999998</v>
          </cell>
          <cell r="BD32">
            <v>-11130766.08</v>
          </cell>
          <cell r="BG32">
            <v>-17608820.879999999</v>
          </cell>
          <cell r="BN32">
            <v>-77838300</v>
          </cell>
          <cell r="BQ32">
            <v>-80264900</v>
          </cell>
          <cell r="BT32">
            <v>-74324600</v>
          </cell>
          <cell r="BW32">
            <v>-10112550</v>
          </cell>
          <cell r="BZ32">
            <v>0.78</v>
          </cell>
          <cell r="CC32">
            <v>-64013</v>
          </cell>
          <cell r="CE32">
            <v>-55114</v>
          </cell>
          <cell r="CG32">
            <v>-18644</v>
          </cell>
          <cell r="CI32">
            <v>-25430</v>
          </cell>
          <cell r="CK32">
            <v>-28249</v>
          </cell>
          <cell r="CM32">
            <v>-61959</v>
          </cell>
          <cell r="CO32">
            <v>-266858</v>
          </cell>
          <cell r="CR32">
            <v>-213356</v>
          </cell>
          <cell r="CU32">
            <v>-352560</v>
          </cell>
          <cell r="CX32">
            <v>-692009</v>
          </cell>
          <cell r="DA32">
            <v>-8731</v>
          </cell>
          <cell r="DC32">
            <v>-5925</v>
          </cell>
          <cell r="DE32">
            <v>-31887</v>
          </cell>
          <cell r="DG32">
            <v>-32159</v>
          </cell>
          <cell r="DI32">
            <v>-21678</v>
          </cell>
          <cell r="DK32">
            <v>-23942</v>
          </cell>
          <cell r="DM32">
            <v>-6939</v>
          </cell>
          <cell r="DO32">
            <v>-9629</v>
          </cell>
          <cell r="DQ32">
            <v>-3200</v>
          </cell>
          <cell r="DS32">
            <v>-6292</v>
          </cell>
          <cell r="DU32">
            <v>-30198</v>
          </cell>
          <cell r="DX32">
            <v>-6148.7</v>
          </cell>
          <cell r="DZ32">
            <v>-11155.1</v>
          </cell>
          <cell r="EB32">
            <v>-4691.3999999999996</v>
          </cell>
          <cell r="ED32">
            <v>-5268.8</v>
          </cell>
          <cell r="EF32">
            <v>-1117279</v>
          </cell>
          <cell r="EJ32">
            <v>-229335.5</v>
          </cell>
          <cell r="EM32">
            <v>-12072600</v>
          </cell>
          <cell r="EO32">
            <v>-929350</v>
          </cell>
          <cell r="EQ32">
            <v>-7188200</v>
          </cell>
          <cell r="ES32">
            <v>-2490400</v>
          </cell>
          <cell r="EU32">
            <v>-1266380</v>
          </cell>
          <cell r="EW32">
            <v>-16553200</v>
          </cell>
          <cell r="EZ32">
            <v>-41845</v>
          </cell>
          <cell r="FB32">
            <v>-36599</v>
          </cell>
          <cell r="FD32">
            <v>-7374</v>
          </cell>
          <cell r="FF32">
            <v>-59030</v>
          </cell>
          <cell r="FH32">
            <v>-48988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3.3461538461538458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3.3461538461538458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45407.039999996312</v>
      </c>
      <c r="F22">
        <v>0.44447999999999999</v>
      </c>
      <c r="G22" s="3">
        <f>Submetering!Z22+Submetering!AA22+Submetering!AB22</f>
        <v>648.27</v>
      </c>
      <c r="H22" s="238">
        <f t="shared" si="0"/>
        <v>3.3461538461538458</v>
      </c>
      <c r="I22" s="3">
        <f>Submetering!G22</f>
        <v>755</v>
      </c>
      <c r="J22">
        <v>13.83</v>
      </c>
      <c r="K22" s="3">
        <f>Submetering!BL22</f>
        <v>131</v>
      </c>
      <c r="L22">
        <v>1.2</v>
      </c>
      <c r="M22" s="238">
        <f>Submetering!E22</f>
        <v>191.97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43458.240000005811</v>
      </c>
      <c r="F23">
        <v>0.44447999999999999</v>
      </c>
      <c r="G23" s="3">
        <f>Submetering!Z23+Submetering!AA23+Submetering!AB23</f>
        <v>659.6099999999999</v>
      </c>
      <c r="H23" s="238">
        <f t="shared" si="0"/>
        <v>3.3461538461538458</v>
      </c>
      <c r="I23" s="3">
        <f>Submetering!G23</f>
        <v>732</v>
      </c>
      <c r="J23">
        <v>13.83</v>
      </c>
      <c r="K23" s="3">
        <f>Submetering!BL23</f>
        <v>132</v>
      </c>
      <c r="L23">
        <v>1.2</v>
      </c>
      <c r="M23" s="238">
        <f>Submetering!E23</f>
        <v>156.42000000000002</v>
      </c>
      <c r="N23">
        <f>Submetering!F23</f>
        <v>299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301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5" sqref="B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>
        <f>237*0.81</f>
        <v>191.97</v>
      </c>
      <c r="F22" s="79">
        <f>323+41</f>
        <v>364</v>
      </c>
      <c r="G22" s="3">
        <f>'DJB Daily Readings'!C30-'DJB Daily Readings'!C29</f>
        <v>755</v>
      </c>
      <c r="H22" s="3">
        <f>'DJB Daily Readings'!F30-'DJB Daily Readings'!F29</f>
        <v>414</v>
      </c>
      <c r="I22" s="3">
        <f>'DJB Daily Readings'!K30-'DJB Daily Readings'!K29</f>
        <v>270</v>
      </c>
      <c r="J22" s="3">
        <f>'DJB Daily Readings'!K30-'DJB Daily Readings'!K29</f>
        <v>270</v>
      </c>
      <c r="K22" s="3">
        <f>'DJB Daily Readings'!O30-'DJB Daily Readings'!O29</f>
        <v>142</v>
      </c>
      <c r="L22" s="3">
        <f>'DJB Daily Readings'!R30-'DJB Daily Readings'!R29</f>
        <v>11</v>
      </c>
      <c r="M22" s="3">
        <f>'DJB Daily Readings'!U30-'DJB Daily Readings'!U29</f>
        <v>2094.9600000018254</v>
      </c>
      <c r="N22" s="3">
        <f>'DJB Daily Readings'!X30-'DJB Daily Readings'!X29</f>
        <v>4530.9599999990314</v>
      </c>
      <c r="O22" s="3">
        <f>'DJB Daily Readings'!AA30-'DJB Daily Readings'!AA29</f>
        <v>389.75999999977648</v>
      </c>
      <c r="P22" s="3">
        <f>'DJB Daily Readings'!AD30-'DJB Daily Readings'!AD29</f>
        <v>974.39999999850988</v>
      </c>
      <c r="Q22" s="3">
        <f>'DJB Daily Readings'!AG30-'DJB Daily Readings'!AG29</f>
        <v>14177.519999999553</v>
      </c>
      <c r="R22" s="3">
        <f>'DJB Daily Readings'!AJ30-'DJB Daily Readings'!AJ29</f>
        <v>5748.9600000008941</v>
      </c>
      <c r="S22" s="3">
        <f>'DJB Daily Readings'!AM30-'DJB Daily Readings'!AM29</f>
        <v>4336.0800000000745</v>
      </c>
      <c r="T22" s="3">
        <f>'DJB Daily Readings'!AP30-'DJB Daily Readings'!AP29</f>
        <v>4433.5199999976903</v>
      </c>
      <c r="U22" s="3">
        <f>'DJB Daily Readings'!AS30-'DJB Daily Readings'!AS29</f>
        <v>2923.1999999992549</v>
      </c>
      <c r="V22" s="3">
        <f>'DJB Daily Readings'!AV30-'DJB Daily Readings'!AV29</f>
        <v>5797.679999999702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72000</v>
      </c>
      <c r="Z22" s="3">
        <f>('DJB Daily Readings'!CK30-'DJB Daily Readings'!CK29)*1.89</f>
        <v>141.75</v>
      </c>
      <c r="AA22" s="3">
        <f>('DJB Daily Readings'!CN30-'DJB Daily Readings'!CN29)*1.89</f>
        <v>190.89</v>
      </c>
      <c r="AB22" s="3">
        <f>('DJB Daily Readings'!CQ30-'DJB Daily Readings'!CQ29)*1.89</f>
        <v>315.63</v>
      </c>
      <c r="AC22" s="3">
        <f>'DJB Daily Readings'!CT30-'DJB Daily Readings'!CT29</f>
        <v>184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28.349999999999998</v>
      </c>
      <c r="AI22" s="84">
        <f>('DJB Daily Readings'!CI30-'DJB Daily Readings'!CI29)*1.89</f>
        <v>62.37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13</v>
      </c>
      <c r="AM22" s="82">
        <f>'DJB Daily Readings'!DA30-'DJB Daily Readings'!DA29</f>
        <v>15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14</v>
      </c>
      <c r="AU22" s="82">
        <f>'DJB Daily Readings'!DT30-'DJB Daily Readings'!DT29</f>
        <v>11</v>
      </c>
      <c r="AW22" s="82">
        <f>'DJB Daily Readings'!DX30-'DJB Daily Readings'!DX29</f>
        <v>7</v>
      </c>
      <c r="AX22" s="82">
        <f>'DJB Daily Readings'!DZ30-'DJB Daily Readings'!DZ29</f>
        <v>6.0999999999994543</v>
      </c>
      <c r="AY22" s="82">
        <f>'DJB Daily Readings'!EB30-'DJB Daily Readings'!EB29</f>
        <v>598</v>
      </c>
      <c r="AZ22" s="82">
        <f>'DJB Daily Readings'!ED30-'DJB Daily Readings'!ED29</f>
        <v>73.900000000023283</v>
      </c>
      <c r="BA22" s="82">
        <f>'DJB Daily Readings'!EG30-'DJB Daily Readings'!EG29</f>
        <v>5000</v>
      </c>
      <c r="BB22" s="82">
        <f>'DJB Daily Readings'!EI30-'DJB Daily Readings'!EI29</f>
        <v>320</v>
      </c>
      <c r="BC22" s="82">
        <f>'DJB Daily Readings'!EQ30-'DJB Daily Readings'!EQ29</f>
        <v>6300</v>
      </c>
      <c r="BD22" s="82">
        <f>'DJB Daily Readings'!EK30-'DJB Daily Readings'!EK29</f>
        <v>2500</v>
      </c>
      <c r="BE22" s="82">
        <f>'DJB Daily Readings'!EM30-'DJB Daily Readings'!EM29</f>
        <v>700</v>
      </c>
      <c r="BF22" s="82">
        <f>'DJB Daily Readings'!EO30-'DJB Daily Readings'!EO29</f>
        <v>760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22.68</v>
      </c>
      <c r="BJ22" s="82">
        <f>('DJB Daily Readings'!EX30-'DJB Daily Readings'!EX29)*1.89</f>
        <v>17.009999999999998</v>
      </c>
      <c r="BK22" s="82">
        <f>('DJB Daily Readings'!FB30-'DJB Daily Readings'!FB29)*1.89</f>
        <v>66.149999999999991</v>
      </c>
      <c r="BL22" s="82">
        <f>'DJB Daily Readings'!J30</f>
        <v>131</v>
      </c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>
        <f>237*0.66</f>
        <v>156.42000000000002</v>
      </c>
      <c r="F23" s="79">
        <f>257+42</f>
        <v>299</v>
      </c>
      <c r="G23" s="3">
        <f>'DJB Daily Readings'!C31-'DJB Daily Readings'!C30</f>
        <v>732</v>
      </c>
      <c r="H23" s="3">
        <f>'DJB Daily Readings'!F31-'DJB Daily Readings'!F30</f>
        <v>415</v>
      </c>
      <c r="I23" s="3">
        <f>'DJB Daily Readings'!K31-'DJB Daily Readings'!K30</f>
        <v>298</v>
      </c>
      <c r="J23" s="3">
        <f>'DJB Daily Readings'!K31-'DJB Daily Readings'!K30</f>
        <v>298</v>
      </c>
      <c r="K23" s="3">
        <f>'DJB Daily Readings'!O31-'DJB Daily Readings'!O30</f>
        <v>123</v>
      </c>
      <c r="L23" s="3">
        <f>'DJB Daily Readings'!R31-'DJB Daily Readings'!R30</f>
        <v>12</v>
      </c>
      <c r="M23" s="3">
        <f>'DJB Daily Readings'!U31-'DJB Daily Readings'!U30</f>
        <v>2094.9599999990314</v>
      </c>
      <c r="N23" s="3">
        <f>'DJB Daily Readings'!X31-'DJB Daily Readings'!X30</f>
        <v>4579.6800000015646</v>
      </c>
      <c r="O23" s="3">
        <f>'DJB Daily Readings'!AA31-'DJB Daily Readings'!AA30</f>
        <v>341.04000000096858</v>
      </c>
      <c r="P23" s="3">
        <f>'DJB Daily Readings'!AD31-'DJB Daily Readings'!AD30</f>
        <v>779.51999999955297</v>
      </c>
      <c r="Q23" s="3">
        <f>'DJB Daily Readings'!AG31-'DJB Daily Readings'!AG30</f>
        <v>11887.679999999702</v>
      </c>
      <c r="R23" s="3">
        <f>'DJB Daily Readings'!AJ31-'DJB Daily Readings'!AJ30</f>
        <v>5846.4000000022352</v>
      </c>
      <c r="S23" s="3">
        <f>'DJB Daily Readings'!AM31-'DJB Daily Readings'!AM30</f>
        <v>4433.5200000014156</v>
      </c>
      <c r="T23" s="3">
        <f>'DJB Daily Readings'!AP31-'DJB Daily Readings'!AP30</f>
        <v>4677.1199999991804</v>
      </c>
      <c r="U23" s="3">
        <f>'DJB Daily Readings'!AS31-'DJB Daily Readings'!AS30</f>
        <v>3069.3600000012666</v>
      </c>
      <c r="V23" s="3">
        <f>'DJB Daily Readings'!AV31-'DJB Daily Readings'!AV30</f>
        <v>5748.9600000008941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59100</v>
      </c>
      <c r="Z23" s="3">
        <f>('DJB Daily Readings'!CK31-'DJB Daily Readings'!CK30)*1.89</f>
        <v>143.63999999999999</v>
      </c>
      <c r="AA23" s="3">
        <f>('DJB Daily Readings'!CN31-'DJB Daily Readings'!CN30)*1.89</f>
        <v>196.56</v>
      </c>
      <c r="AB23" s="3">
        <f>('DJB Daily Readings'!CQ31-'DJB Daily Readings'!CQ30)*1.89</f>
        <v>319.40999999999997</v>
      </c>
      <c r="AC23" s="3">
        <f>'DJB Daily Readings'!CT31-'DJB Daily Readings'!CT30</f>
        <v>186</v>
      </c>
      <c r="AD23" s="84">
        <f>('DJB Daily Readings'!BY31-'DJB Daily Readings'!BY30)*1.89</f>
        <v>39.69</v>
      </c>
      <c r="AE23" s="84">
        <f>('DJB Daily Readings'!CA31-'DJB Daily Readings'!CA30)*1.89</f>
        <v>35.909999999999997</v>
      </c>
      <c r="AF23" s="84">
        <f>('DJB Daily Readings'!CC31-'DJB Daily Readings'!CC30)*1.89</f>
        <v>15.12</v>
      </c>
      <c r="AG23" s="84">
        <f>('DJB Daily Readings'!CE31-'DJB Daily Readings'!CE30)*1.89</f>
        <v>20.79</v>
      </c>
      <c r="AH23" s="84">
        <f>('DJB Daily Readings'!CG31-'DJB Daily Readings'!CG30)*1.89</f>
        <v>26.459999999999997</v>
      </c>
      <c r="AI23" s="84">
        <f>('DJB Daily Readings'!CI31-'DJB Daily Readings'!CI30)*1.89</f>
        <v>64.259999999999991</v>
      </c>
      <c r="AJ23" s="81">
        <f>'DJB Daily Readings'!CY31-'DJB Daily Readings'!CY30</f>
        <v>4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13</v>
      </c>
      <c r="AP23" s="82">
        <f>'DJB Daily Readings'!DK31-'DJB Daily Readings'!DK30</f>
        <v>4</v>
      </c>
      <c r="AQ23" s="82">
        <f>'DJB Daily Readings'!DI31-'DJB Daily Readings'!DI30</f>
        <v>8</v>
      </c>
      <c r="AR23" s="82">
        <f>'DJB Daily Readings'!DO31-'DJB Daily Readings'!DO30</f>
        <v>9</v>
      </c>
      <c r="AS23" s="82">
        <f>'DJB Daily Readings'!DM31-'DJB Daily Readings'!DM30</f>
        <v>4</v>
      </c>
      <c r="AT23" s="82">
        <f>'DJB Daily Readings'!DQ31-'DJB Daily Readings'!DQ30</f>
        <v>0</v>
      </c>
      <c r="AU23" s="82">
        <f>'DJB Daily Readings'!DT31-'DJB Daily Readings'!DT30</f>
        <v>11.5</v>
      </c>
      <c r="AW23" s="82">
        <f>'DJB Daily Readings'!DX31-'DJB Daily Readings'!DX30</f>
        <v>7</v>
      </c>
      <c r="AX23" s="82">
        <f>'DJB Daily Readings'!DZ31-'DJB Daily Readings'!DZ30</f>
        <v>5.6000000000003638</v>
      </c>
      <c r="AY23" s="82">
        <f>'DJB Daily Readings'!EB31-'DJB Daily Readings'!EB30</f>
        <v>591</v>
      </c>
      <c r="AZ23" s="82">
        <f>'DJB Daily Readings'!ED31-'DJB Daily Readings'!ED30</f>
        <v>226.79999999998836</v>
      </c>
      <c r="BA23" s="82">
        <f>'DJB Daily Readings'!EG31-'DJB Daily Readings'!EG30</f>
        <v>3600</v>
      </c>
      <c r="BB23" s="82">
        <f>'DJB Daily Readings'!EI31-'DJB Daily Readings'!EI30</f>
        <v>260</v>
      </c>
      <c r="BC23" s="82">
        <f>'DJB Daily Readings'!EQ31-'DJB Daily Readings'!EQ30</f>
        <v>2800</v>
      </c>
      <c r="BD23" s="82">
        <f>'DJB Daily Readings'!EK31-'DJB Daily Readings'!EK30</f>
        <v>1900</v>
      </c>
      <c r="BE23" s="82">
        <f>'DJB Daily Readings'!EM31-'DJB Daily Readings'!EM30</f>
        <v>500</v>
      </c>
      <c r="BF23" s="82">
        <f>'DJB Daily Readings'!EO31-'DJB Daily Readings'!EO30</f>
        <v>730</v>
      </c>
      <c r="BG23" s="82">
        <f>('DJB Daily Readings'!ET31-'DJB Daily Readings'!ET30)*1.89</f>
        <v>39.69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13.229999999999999</v>
      </c>
      <c r="BK23" s="82">
        <f>('DJB Daily Readings'!FB31-'DJB Daily Readings'!FB30)*1.89</f>
        <v>58.589999999999996</v>
      </c>
      <c r="BL23" s="82">
        <f>'DJB Daily Readings'!J31</f>
        <v>132</v>
      </c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F24" s="79">
        <f>264+37</f>
        <v>301</v>
      </c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521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87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394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454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439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378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42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521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87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394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454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439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378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42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521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87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394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454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439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378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42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521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87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394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454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439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378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42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521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87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394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454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439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378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42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521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87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394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454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439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378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42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521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87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394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454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439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378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42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521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87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394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454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439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378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42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521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87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394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454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439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378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42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521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87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394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454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439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378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42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521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87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394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454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439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378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42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521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87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394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454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439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378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42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0.81</v>
      </c>
      <c r="C30" s="250">
        <f>'[1]November - 2022'!E30</f>
        <v>198149</v>
      </c>
      <c r="D30" s="170">
        <f>'[1]November - 2022'!F30</f>
        <v>755</v>
      </c>
      <c r="E30" s="168">
        <f>'[1]November - 2022'!G30</f>
        <v>1228</v>
      </c>
      <c r="F30" s="168">
        <f>'[1]November - 2022'!H30</f>
        <v>233859</v>
      </c>
      <c r="G30" s="170">
        <f>'[1]November - 2022'!I30</f>
        <v>414</v>
      </c>
      <c r="H30" s="168">
        <f>'[1]November - 2022'!J30</f>
        <v>422</v>
      </c>
      <c r="I30" s="168">
        <f>'[1]November - 2022'!K30</f>
        <v>4517</v>
      </c>
      <c r="J30" s="170">
        <f>'[1]November - 2022'!L30</f>
        <v>131</v>
      </c>
      <c r="K30" s="168">
        <f>'[1]November - 2022'!N30</f>
        <v>916658</v>
      </c>
      <c r="L30" s="170">
        <f>'[1]November - 2022'!O30</f>
        <v>270</v>
      </c>
      <c r="M30" s="168">
        <f>'[1]November - 2022'!Q30</f>
        <v>242139</v>
      </c>
      <c r="N30" s="170">
        <f>'[1]November - 2022'!R30</f>
        <v>136</v>
      </c>
      <c r="O30" s="168">
        <f>'[1]November - 2022'!U30</f>
        <v>114069</v>
      </c>
      <c r="P30" s="170">
        <f>'[1]November - 2022'!V30</f>
        <v>142</v>
      </c>
      <c r="Q30" s="168">
        <f>'[1]November - 2022'!W30</f>
        <v>117.90000000000146</v>
      </c>
      <c r="R30" s="168">
        <f>'[1]November - 2022'!X30</f>
        <v>6143</v>
      </c>
      <c r="S30" s="208">
        <f>'[1]November - 2022'!Y30</f>
        <v>11</v>
      </c>
      <c r="T30" s="521"/>
      <c r="U30" s="169">
        <f>'[1]November - 2022'!AE30</f>
        <v>8104766.8800000008</v>
      </c>
      <c r="V30" s="288">
        <f>'[1]November - 2022'!AF30</f>
        <v>2094.9600000018254</v>
      </c>
      <c r="W30" s="92">
        <f>'[1]November - 2022'!AF30</f>
        <v>2094.9600000018254</v>
      </c>
      <c r="X30" s="287">
        <f>'[1]November - 2022'!AH30</f>
        <v>15398004.719999999</v>
      </c>
      <c r="Y30" s="288">
        <f>'[1]November - 2022'!AI30</f>
        <v>4530.9599999990314</v>
      </c>
      <c r="Z30" s="92">
        <f>'[1]November - 2022'!AI30</f>
        <v>4530.9599999990314</v>
      </c>
      <c r="AA30" s="287">
        <f>'[1]November - 2022'!AK30</f>
        <v>15751419.6</v>
      </c>
      <c r="AB30" s="288">
        <f>'[1]November - 2022'!AL30</f>
        <v>389.75999999977648</v>
      </c>
      <c r="AC30" s="92">
        <f>'[1]November - 2022'!AL30</f>
        <v>389.75999999977648</v>
      </c>
      <c r="AD30" s="287">
        <f>'[1]November - 2022'!AN30</f>
        <v>18782534.399999999</v>
      </c>
      <c r="AE30" s="288">
        <f>'[1]November - 2022'!AO30</f>
        <v>974.39999999850988</v>
      </c>
      <c r="AF30" s="92">
        <f>'[1]November - 2022'!AO30</f>
        <v>974.39999999850988</v>
      </c>
      <c r="AG30" s="287">
        <f>'[1]November - 2022'!AQ30</f>
        <v>19065354</v>
      </c>
      <c r="AH30" s="288">
        <f>'[1]November - 2022'!AR30</f>
        <v>14177.519999999553</v>
      </c>
      <c r="AI30" s="92">
        <f>'[1]November - 2022'!AR30</f>
        <v>14177.519999999553</v>
      </c>
      <c r="AJ30" s="287">
        <f>'[1]November - 2022'!AT30</f>
        <v>17468750.879999999</v>
      </c>
      <c r="AK30" s="288">
        <f>'[1]November - 2022'!AU30</f>
        <v>5748.9600000008941</v>
      </c>
      <c r="AL30" s="92">
        <f>'[1]November - 2022'!AU30</f>
        <v>5748.9600000008941</v>
      </c>
      <c r="AM30" s="287">
        <f>'[1]November - 2022'!AW30</f>
        <v>14713829.76</v>
      </c>
      <c r="AN30" s="288">
        <f>'[1]November - 2022'!AX30</f>
        <v>4336.0800000000745</v>
      </c>
      <c r="AO30" s="92">
        <f>'[1]November - 2022'!AX30</f>
        <v>4336.0800000000745</v>
      </c>
      <c r="AP30" s="287">
        <f>'[1]November - 2022'!AZ30</f>
        <v>14230624.799999999</v>
      </c>
      <c r="AQ30" s="288">
        <f>'[1]November - 2022'!BA30</f>
        <v>4433.5199999976903</v>
      </c>
      <c r="AR30" s="92">
        <f>'[1]November - 2022'!BA30</f>
        <v>4433.5199999976903</v>
      </c>
      <c r="AS30" s="287">
        <f>'[1]November - 2022'!BC30</f>
        <v>11127696.719999999</v>
      </c>
      <c r="AT30" s="288">
        <f>'[1]November - 2022'!BD30</f>
        <v>2923.1999999992549</v>
      </c>
      <c r="AU30" s="92">
        <f>'[1]November - 2022'!BD30</f>
        <v>2923.1999999992549</v>
      </c>
      <c r="AV30" s="287">
        <f>'[1]November - 2022'!BF30</f>
        <v>17603071.919999998</v>
      </c>
      <c r="AW30" s="252">
        <f>'[1]November - 2022'!BG30</f>
        <v>5797.679999999702</v>
      </c>
      <c r="AX30" s="253">
        <f>'[1]November - 2022'!BG30</f>
        <v>5797.679999999702</v>
      </c>
      <c r="AY30" s="487"/>
      <c r="AZ30" s="272">
        <f>'[1]November - 2022'!BM30</f>
        <v>77838300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80264900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74265500</v>
      </c>
      <c r="BG30" s="245">
        <f>'[1]November - 2022'!BT30</f>
        <v>72000</v>
      </c>
      <c r="BH30" s="93">
        <f>'[1]November - 2022'!BT30</f>
        <v>72000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10105090</v>
      </c>
      <c r="BT30" s="185">
        <f>'[1]November - 2022'!BW30</f>
        <v>7390</v>
      </c>
      <c r="BU30" s="394"/>
      <c r="BV30" s="88">
        <f>'[1]November - 2022'!BY30</f>
        <v>0.67</v>
      </c>
      <c r="BW30" s="241">
        <f>'[1]November - 2022'!BZ30</f>
        <v>4.9999999999999933E-2</v>
      </c>
      <c r="BX30" s="88">
        <f>'[1]November - 2022'!BZ30</f>
        <v>4.9999999999999933E-2</v>
      </c>
      <c r="BY30" s="89">
        <f>'[1]November - 2022'!CB30</f>
        <v>63992</v>
      </c>
      <c r="BZ30" s="191">
        <f>'[1]November - 2022'!CC30</f>
        <v>20</v>
      </c>
      <c r="CA30" s="89">
        <f>'[1]November - 2022'!CD30</f>
        <v>55095</v>
      </c>
      <c r="CB30" s="191">
        <f>'[1]November - 2022'!CE30</f>
        <v>19</v>
      </c>
      <c r="CC30" s="89">
        <f>'[1]November - 2022'!CF30</f>
        <v>18636</v>
      </c>
      <c r="CD30" s="191">
        <f>'[1]November - 2022'!CG30</f>
        <v>7</v>
      </c>
      <c r="CE30" s="89">
        <f>'[1]November - 2022'!CH30</f>
        <v>25419</v>
      </c>
      <c r="CF30" s="191">
        <f>'[1]November - 2022'!CI30</f>
        <v>10</v>
      </c>
      <c r="CG30" s="89">
        <f>'[1]November - 2022'!CJ30</f>
        <v>28235</v>
      </c>
      <c r="CH30" s="191">
        <f>'[1]November - 2022'!CK30</f>
        <v>15</v>
      </c>
      <c r="CI30" s="89">
        <f>'[1]November - 2022'!CL30</f>
        <v>61925</v>
      </c>
      <c r="CJ30" s="191">
        <f>'[1]November - 2022'!CM30</f>
        <v>33</v>
      </c>
      <c r="CK30" s="89">
        <f>'[1]November - 2022'!CN30</f>
        <v>266782</v>
      </c>
      <c r="CL30" s="246">
        <f>'[1]November - 2022'!CO30</f>
        <v>75</v>
      </c>
      <c r="CM30" s="89">
        <f>'[1]November - 2022'!CO30</f>
        <v>75</v>
      </c>
      <c r="CN30" s="89">
        <f>'[1]November - 2022'!CQ30</f>
        <v>213252</v>
      </c>
      <c r="CO30" s="246">
        <f>'[1]November - 2022'!CR30</f>
        <v>101</v>
      </c>
      <c r="CP30" s="89">
        <f>'[1]November - 2022'!CR30</f>
        <v>101</v>
      </c>
      <c r="CQ30" s="89">
        <f>'[1]November - 2022'!CT30</f>
        <v>352391</v>
      </c>
      <c r="CR30" s="246">
        <f>'[1]November - 2022'!CU30</f>
        <v>167</v>
      </c>
      <c r="CS30" s="89">
        <f>'[1]November - 2022'!CU30</f>
        <v>167</v>
      </c>
      <c r="CT30" s="89">
        <f>'[1]November - 2022'!CW30</f>
        <v>691823</v>
      </c>
      <c r="CU30" s="191">
        <f>'[1]November - 2022'!CX30</f>
        <v>184</v>
      </c>
      <c r="CV30" s="454"/>
      <c r="CW30" s="256">
        <f>'[1]November - 2022'!CZ30</f>
        <v>8723</v>
      </c>
      <c r="CX30" s="198">
        <f>'[1]November - 2022'!DA30</f>
        <v>7</v>
      </c>
      <c r="CY30" s="257">
        <f>'[1]November - 2022'!DB30</f>
        <v>5921</v>
      </c>
      <c r="CZ30" s="198">
        <f>'[1]November - 2022'!DC30</f>
        <v>4</v>
      </c>
      <c r="DA30" s="257">
        <f>'[1]November - 2022'!DD30</f>
        <v>31872</v>
      </c>
      <c r="DB30" s="198">
        <f>'[1]November - 2022'!DE30</f>
        <v>15</v>
      </c>
      <c r="DC30" s="257">
        <f>'[1]November - 2022'!DF30</f>
        <v>32144</v>
      </c>
      <c r="DD30" s="198">
        <f>'[1]November - 2022'!DG30</f>
        <v>13</v>
      </c>
      <c r="DE30" s="257">
        <f>'[1]November - 2022'!DH30</f>
        <v>21665</v>
      </c>
      <c r="DF30" s="198">
        <f>'[1]November - 2022'!DI30</f>
        <v>7</v>
      </c>
      <c r="DG30" s="257">
        <f>'[1]November - 2022'!DJ30</f>
        <v>23936</v>
      </c>
      <c r="DH30" s="198">
        <f>'[1]November - 2022'!DK30</f>
        <v>5</v>
      </c>
      <c r="DI30" s="257">
        <f>'[1]November - 2022'!DL30</f>
        <v>6931</v>
      </c>
      <c r="DJ30" s="198">
        <f>'[1]November - 2022'!DM30</f>
        <v>9</v>
      </c>
      <c r="DK30" s="257">
        <f>'[1]November - 2022'!DN30</f>
        <v>9625</v>
      </c>
      <c r="DL30" s="198">
        <f>'[1]November - 2022'!DO30</f>
        <v>6</v>
      </c>
      <c r="DM30" s="257">
        <f>'[1]November - 2022'!DP30</f>
        <v>3196</v>
      </c>
      <c r="DN30" s="198">
        <f>'[1]November - 2022'!DQ30</f>
        <v>3</v>
      </c>
      <c r="DO30" s="257">
        <f>'[1]November - 2022'!DR30</f>
        <v>6283</v>
      </c>
      <c r="DP30" s="198">
        <f>'[1]November - 2022'!DS30</f>
        <v>9</v>
      </c>
      <c r="DQ30" s="257">
        <f>'[1]November - 2022'!DT30</f>
        <v>30198</v>
      </c>
      <c r="DR30" s="206">
        <f>'[1]November - 2022'!DU30</f>
        <v>14</v>
      </c>
      <c r="DS30" s="439"/>
      <c r="DT30" s="210">
        <f>'[1]November - 2022'!DW30</f>
        <v>6137.2</v>
      </c>
      <c r="DU30" s="221">
        <f>'[1]November - 2022'!DX30</f>
        <v>11</v>
      </c>
      <c r="DV30" s="91">
        <f>'[1]November - 2022'!DY30</f>
        <v>11146.7</v>
      </c>
      <c r="DW30" s="215">
        <f>'[1]November - 2022'!DZ30</f>
        <v>8.2000000000007276</v>
      </c>
      <c r="DX30" s="91">
        <f>'[1]November - 2022'!EA30</f>
        <v>4684.3999999999996</v>
      </c>
      <c r="DY30" s="215">
        <f>'[1]November - 2022'!EB30</f>
        <v>7</v>
      </c>
      <c r="DZ30" s="91">
        <f>'[1]November - 2022'!EC30</f>
        <v>5263.2</v>
      </c>
      <c r="EA30" s="215">
        <f>'[1]November - 2022'!ED30</f>
        <v>6.0999999999994543</v>
      </c>
      <c r="EB30" s="91">
        <f>'[1]November - 2022'!EE30</f>
        <v>1116688</v>
      </c>
      <c r="EC30" s="215">
        <f>'[1]November - 2022'!EF30</f>
        <v>598</v>
      </c>
      <c r="ED30" s="91">
        <f>'[1]November - 2022'!EI30</f>
        <v>229108.7</v>
      </c>
      <c r="EE30" s="229">
        <f>'[1]November - 2022'!EJ30</f>
        <v>73.900000000023283</v>
      </c>
      <c r="EF30" s="378"/>
      <c r="EG30" s="235">
        <f>'[1]November - 2022'!EL30</f>
        <v>12069000</v>
      </c>
      <c r="EH30" s="230">
        <f>'[1]November - 2022'!EM30</f>
        <v>5000</v>
      </c>
      <c r="EI30" s="90">
        <f>'[1]November - 2022'!EN30</f>
        <v>929090</v>
      </c>
      <c r="EJ30" s="230">
        <f>'[1]November - 2022'!EO30</f>
        <v>320</v>
      </c>
      <c r="EK30" s="90">
        <f>'[1]November - 2022'!EP30</f>
        <v>7186300</v>
      </c>
      <c r="EL30" s="230">
        <f>'[1]November - 2022'!EQ30</f>
        <v>2500</v>
      </c>
      <c r="EM30" s="90">
        <f>'[1]November - 2022'!ER30</f>
        <v>2489900</v>
      </c>
      <c r="EN30" s="230">
        <f>'[1]November - 2022'!ES30</f>
        <v>700</v>
      </c>
      <c r="EO30" s="90">
        <f>'[1]November - 2022'!ET30</f>
        <v>1265650</v>
      </c>
      <c r="EP30" s="230">
        <f>'[1]November - 2022'!EU30</f>
        <v>760</v>
      </c>
      <c r="EQ30" s="90">
        <f>'[1]November - 2022'!EV30</f>
        <v>16550400</v>
      </c>
      <c r="ER30" s="230">
        <f>'[1]November - 2022'!EW30</f>
        <v>6300</v>
      </c>
      <c r="ES30" s="426"/>
      <c r="ET30" s="281">
        <f>'[1]November - 2022'!EY30</f>
        <v>41824</v>
      </c>
      <c r="EU30" s="275">
        <f>'[1]November - 2022'!EZ30</f>
        <v>13</v>
      </c>
      <c r="EV30" s="282">
        <f>'[1]November - 2022'!FA30</f>
        <v>36587</v>
      </c>
      <c r="EW30" s="275">
        <f>'[1]November - 2022'!FB30</f>
        <v>13</v>
      </c>
      <c r="EX30" s="282">
        <f>'[1]November - 2022'!FC30</f>
        <v>7367</v>
      </c>
      <c r="EY30" s="275">
        <f>'[1]November - 2022'!FD30</f>
        <v>9</v>
      </c>
      <c r="EZ30" s="282">
        <f>'[1]November - 2022'!FE30</f>
        <v>59016</v>
      </c>
      <c r="FA30" s="275">
        <f>'[1]November - 2022'!FF30</f>
        <v>12</v>
      </c>
      <c r="FB30" s="282">
        <f>'[1]November - 2022'!FG30</f>
        <v>48957</v>
      </c>
      <c r="FC30" s="276">
        <f>'[1]November - 2022'!FH30</f>
        <v>35</v>
      </c>
    </row>
    <row r="31" spans="1:159" ht="30" customHeight="1" x14ac:dyDescent="0.25">
      <c r="A31" s="207">
        <v>43852</v>
      </c>
      <c r="B31" s="209">
        <f>'[1]November - 2022'!B31</f>
        <v>0.66</v>
      </c>
      <c r="C31" s="250">
        <f>'[1]November - 2022'!E31</f>
        <v>198881</v>
      </c>
      <c r="D31" s="170">
        <f>'[1]November - 2022'!F31</f>
        <v>732</v>
      </c>
      <c r="E31" s="168">
        <f>'[1]November - 2022'!G31</f>
        <v>466</v>
      </c>
      <c r="F31" s="168">
        <f>'[1]November - 2022'!H31</f>
        <v>234274</v>
      </c>
      <c r="G31" s="170">
        <f>'[1]November - 2022'!I31</f>
        <v>415</v>
      </c>
      <c r="H31" s="168">
        <f>'[1]November - 2022'!J31</f>
        <v>373</v>
      </c>
      <c r="I31" s="168">
        <f>'[1]November - 2022'!K31</f>
        <v>4649</v>
      </c>
      <c r="J31" s="170">
        <f>'[1]November - 2022'!L31</f>
        <v>132</v>
      </c>
      <c r="K31" s="168">
        <f>'[1]November - 2022'!N31</f>
        <v>916956</v>
      </c>
      <c r="L31" s="170">
        <f>'[1]November - 2022'!O31</f>
        <v>298</v>
      </c>
      <c r="M31" s="168">
        <f>'[1]November - 2022'!Q31</f>
        <v>242290</v>
      </c>
      <c r="N31" s="170">
        <f>'[1]November - 2022'!R31</f>
        <v>151</v>
      </c>
      <c r="O31" s="168">
        <f>'[1]November - 2022'!U31</f>
        <v>114192</v>
      </c>
      <c r="P31" s="170">
        <f>'[1]November - 2022'!V31</f>
        <v>123</v>
      </c>
      <c r="Q31" s="168">
        <f>'[1]November - 2022'!W31</f>
        <v>134.38999999999942</v>
      </c>
      <c r="R31" s="168">
        <f>'[1]November - 2022'!X31</f>
        <v>6155</v>
      </c>
      <c r="S31" s="208">
        <f>'[1]November - 2022'!Y31</f>
        <v>12</v>
      </c>
      <c r="T31" s="521"/>
      <c r="U31" s="169">
        <f>'[1]November - 2022'!AE31</f>
        <v>8106861.8399999999</v>
      </c>
      <c r="V31" s="288">
        <f>'[1]November - 2022'!AF31</f>
        <v>2094.9599999990314</v>
      </c>
      <c r="W31" s="92">
        <f>'[1]November - 2022'!AF31</f>
        <v>2094.9599999990314</v>
      </c>
      <c r="X31" s="287">
        <f>'[1]November - 2022'!AH31</f>
        <v>15402584.4</v>
      </c>
      <c r="Y31" s="288">
        <f>'[1]November - 2022'!AI31</f>
        <v>4579.6800000015646</v>
      </c>
      <c r="Z31" s="92">
        <f>'[1]November - 2022'!AI31</f>
        <v>4579.6800000015646</v>
      </c>
      <c r="AA31" s="287">
        <f>'[1]November - 2022'!AK31</f>
        <v>15751760.640000001</v>
      </c>
      <c r="AB31" s="288">
        <f>'[1]November - 2022'!AL31</f>
        <v>341.04000000096858</v>
      </c>
      <c r="AC31" s="92">
        <f>'[1]November - 2022'!AL31</f>
        <v>341.04000000096858</v>
      </c>
      <c r="AD31" s="287">
        <f>'[1]November - 2022'!AN31</f>
        <v>18783313.919999998</v>
      </c>
      <c r="AE31" s="288">
        <f>'[1]November - 2022'!AO31</f>
        <v>779.51999999955297</v>
      </c>
      <c r="AF31" s="92">
        <f>'[1]November - 2022'!AO31</f>
        <v>779.51999999955297</v>
      </c>
      <c r="AG31" s="287">
        <f>'[1]November - 2022'!AQ31</f>
        <v>19077241.68</v>
      </c>
      <c r="AH31" s="288">
        <f>'[1]November - 2022'!AR31</f>
        <v>11887.679999999702</v>
      </c>
      <c r="AI31" s="92">
        <f>'[1]November - 2022'!AR31</f>
        <v>11887.679999999702</v>
      </c>
      <c r="AJ31" s="287">
        <f>'[1]November - 2022'!AT31</f>
        <v>17474597.280000001</v>
      </c>
      <c r="AK31" s="288">
        <f>'[1]November - 2022'!AU31</f>
        <v>5846.4000000022352</v>
      </c>
      <c r="AL31" s="92">
        <f>'[1]November - 2022'!AU31</f>
        <v>5846.4000000022352</v>
      </c>
      <c r="AM31" s="287">
        <f>'[1]November - 2022'!AW31</f>
        <v>14718263.280000001</v>
      </c>
      <c r="AN31" s="288">
        <f>'[1]November - 2022'!AX31</f>
        <v>4433.5200000014156</v>
      </c>
      <c r="AO31" s="92">
        <f>'[1]November - 2022'!AX31</f>
        <v>4433.5200000014156</v>
      </c>
      <c r="AP31" s="287">
        <f>'[1]November - 2022'!AZ31</f>
        <v>14235301.919999998</v>
      </c>
      <c r="AQ31" s="288">
        <f>'[1]November - 2022'!BA31</f>
        <v>4677.1199999991804</v>
      </c>
      <c r="AR31" s="92">
        <f>'[1]November - 2022'!BA31</f>
        <v>4677.1199999991804</v>
      </c>
      <c r="AS31" s="287">
        <f>'[1]November - 2022'!BC31</f>
        <v>11130766.08</v>
      </c>
      <c r="AT31" s="288">
        <f>'[1]November - 2022'!BD31</f>
        <v>3069.3600000012666</v>
      </c>
      <c r="AU31" s="92">
        <f>'[1]November - 2022'!BD31</f>
        <v>3069.3600000012666</v>
      </c>
      <c r="AV31" s="287">
        <f>'[1]November - 2022'!BF31</f>
        <v>17608820.879999999</v>
      </c>
      <c r="AW31" s="252">
        <f>'[1]November - 2022'!BG31</f>
        <v>5748.9600000008941</v>
      </c>
      <c r="AX31" s="253">
        <f>'[1]November - 2022'!BG31</f>
        <v>5748.9600000008941</v>
      </c>
      <c r="AY31" s="487"/>
      <c r="AZ31" s="272">
        <f>'[1]November - 2022'!BM31</f>
        <v>77838300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80264900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74324600</v>
      </c>
      <c r="BG31" s="245">
        <f>'[1]November - 2022'!BT31</f>
        <v>59100</v>
      </c>
      <c r="BH31" s="93">
        <f>'[1]November - 2022'!BT31</f>
        <v>59100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10112550</v>
      </c>
      <c r="BT31" s="185">
        <f>'[1]November - 2022'!BW31</f>
        <v>7460</v>
      </c>
      <c r="BU31" s="394"/>
      <c r="BV31" s="88">
        <f>'[1]November - 2022'!BY31</f>
        <v>0.78</v>
      </c>
      <c r="BW31" s="241">
        <f>'[1]November - 2022'!BZ31</f>
        <v>-0.10999999999999999</v>
      </c>
      <c r="BX31" s="88">
        <f>'[1]November - 2022'!BZ31</f>
        <v>-0.10999999999999999</v>
      </c>
      <c r="BY31" s="89">
        <f>'[1]November - 2022'!CB31</f>
        <v>64013</v>
      </c>
      <c r="BZ31" s="191">
        <f>'[1]November - 2022'!CC31</f>
        <v>21</v>
      </c>
      <c r="CA31" s="89">
        <f>'[1]November - 2022'!CD31</f>
        <v>55114</v>
      </c>
      <c r="CB31" s="191">
        <f>'[1]November - 2022'!CE31</f>
        <v>19</v>
      </c>
      <c r="CC31" s="89">
        <f>'[1]November - 2022'!CF31</f>
        <v>18644</v>
      </c>
      <c r="CD31" s="191">
        <f>'[1]November - 2022'!CG31</f>
        <v>8</v>
      </c>
      <c r="CE31" s="89">
        <f>'[1]November - 2022'!CH31</f>
        <v>25430</v>
      </c>
      <c r="CF31" s="191">
        <f>'[1]November - 2022'!CI31</f>
        <v>11</v>
      </c>
      <c r="CG31" s="89">
        <f>'[1]November - 2022'!CJ31</f>
        <v>28249</v>
      </c>
      <c r="CH31" s="191">
        <f>'[1]November - 2022'!CK31</f>
        <v>14</v>
      </c>
      <c r="CI31" s="89">
        <f>'[1]November - 2022'!CL31</f>
        <v>61959</v>
      </c>
      <c r="CJ31" s="191">
        <f>'[1]November - 2022'!CM31</f>
        <v>34</v>
      </c>
      <c r="CK31" s="89">
        <f>'[1]November - 2022'!CN31</f>
        <v>266858</v>
      </c>
      <c r="CL31" s="246">
        <f>'[1]November - 2022'!CO31</f>
        <v>76</v>
      </c>
      <c r="CM31" s="89">
        <f>'[1]November - 2022'!CO31</f>
        <v>76</v>
      </c>
      <c r="CN31" s="89">
        <f>'[1]November - 2022'!CQ31</f>
        <v>213356</v>
      </c>
      <c r="CO31" s="246">
        <f>'[1]November - 2022'!CR31</f>
        <v>104</v>
      </c>
      <c r="CP31" s="89">
        <f>'[1]November - 2022'!CR31</f>
        <v>104</v>
      </c>
      <c r="CQ31" s="89">
        <f>'[1]November - 2022'!CT31</f>
        <v>352560</v>
      </c>
      <c r="CR31" s="246">
        <f>'[1]November - 2022'!CU31</f>
        <v>169</v>
      </c>
      <c r="CS31" s="89">
        <f>'[1]November - 2022'!CU31</f>
        <v>169</v>
      </c>
      <c r="CT31" s="89">
        <f>'[1]November - 2022'!CW31</f>
        <v>692009</v>
      </c>
      <c r="CU31" s="191">
        <f>'[1]November - 2022'!CX31</f>
        <v>186</v>
      </c>
      <c r="CV31" s="454"/>
      <c r="CW31" s="256">
        <f>'[1]November - 2022'!CZ31</f>
        <v>8731</v>
      </c>
      <c r="CX31" s="198">
        <f>'[1]November - 2022'!DA31</f>
        <v>8</v>
      </c>
      <c r="CY31" s="257">
        <f>'[1]November - 2022'!DB31</f>
        <v>5925</v>
      </c>
      <c r="CZ31" s="198">
        <f>'[1]November - 2022'!DC31</f>
        <v>4</v>
      </c>
      <c r="DA31" s="257">
        <f>'[1]November - 2022'!DD31</f>
        <v>31887</v>
      </c>
      <c r="DB31" s="198">
        <f>'[1]November - 2022'!DE31</f>
        <v>15</v>
      </c>
      <c r="DC31" s="257">
        <f>'[1]November - 2022'!DF31</f>
        <v>32159</v>
      </c>
      <c r="DD31" s="198">
        <f>'[1]November - 2022'!DG31</f>
        <v>15</v>
      </c>
      <c r="DE31" s="257">
        <f>'[1]November - 2022'!DH31</f>
        <v>21678</v>
      </c>
      <c r="DF31" s="198">
        <f>'[1]November - 2022'!DI31</f>
        <v>13</v>
      </c>
      <c r="DG31" s="257">
        <f>'[1]November - 2022'!DJ31</f>
        <v>23942</v>
      </c>
      <c r="DH31" s="198">
        <f>'[1]November - 2022'!DK31</f>
        <v>6</v>
      </c>
      <c r="DI31" s="257">
        <f>'[1]November - 2022'!DL31</f>
        <v>6939</v>
      </c>
      <c r="DJ31" s="198">
        <f>'[1]November - 2022'!DM31</f>
        <v>8</v>
      </c>
      <c r="DK31" s="257">
        <f>'[1]November - 2022'!DN31</f>
        <v>9629</v>
      </c>
      <c r="DL31" s="198">
        <f>'[1]November - 2022'!DO31</f>
        <v>4</v>
      </c>
      <c r="DM31" s="257">
        <f>'[1]November - 2022'!DP31</f>
        <v>3200</v>
      </c>
      <c r="DN31" s="198">
        <f>'[1]November - 2022'!DQ31</f>
        <v>4</v>
      </c>
      <c r="DO31" s="257">
        <f>'[1]November - 2022'!DR31</f>
        <v>6292</v>
      </c>
      <c r="DP31" s="198">
        <f>'[1]November - 2022'!DS31</f>
        <v>9</v>
      </c>
      <c r="DQ31" s="257">
        <f>'[1]November - 2022'!DT31</f>
        <v>30198</v>
      </c>
      <c r="DR31" s="206">
        <f>'[1]November - 2022'!DU31</f>
        <v>0</v>
      </c>
      <c r="DS31" s="439"/>
      <c r="DT31" s="210">
        <f>'[1]November - 2022'!DW31</f>
        <v>6148.7</v>
      </c>
      <c r="DU31" s="221">
        <f>'[1]November - 2022'!DX31</f>
        <v>11.5</v>
      </c>
      <c r="DV31" s="91">
        <f>'[1]November - 2022'!DY31</f>
        <v>11155.1</v>
      </c>
      <c r="DW31" s="215">
        <f>'[1]November - 2022'!DZ31</f>
        <v>8.3999999999996362</v>
      </c>
      <c r="DX31" s="91">
        <f>'[1]November - 2022'!EA31</f>
        <v>4691.3999999999996</v>
      </c>
      <c r="DY31" s="215">
        <f>'[1]November - 2022'!EB31</f>
        <v>7</v>
      </c>
      <c r="DZ31" s="91">
        <f>'[1]November - 2022'!EC31</f>
        <v>5268.8</v>
      </c>
      <c r="EA31" s="215">
        <f>'[1]November - 2022'!ED31</f>
        <v>5.6000000000003638</v>
      </c>
      <c r="EB31" s="91">
        <f>'[1]November - 2022'!EE31</f>
        <v>1117279</v>
      </c>
      <c r="EC31" s="215">
        <f>'[1]November - 2022'!EF31</f>
        <v>591</v>
      </c>
      <c r="ED31" s="91">
        <f>'[1]November - 2022'!EI31</f>
        <v>229335.5</v>
      </c>
      <c r="EE31" s="229">
        <f>'[1]November - 2022'!EJ31</f>
        <v>226.79999999998836</v>
      </c>
      <c r="EF31" s="378"/>
      <c r="EG31" s="235">
        <f>'[1]November - 2022'!EL31</f>
        <v>12072600</v>
      </c>
      <c r="EH31" s="230">
        <f>'[1]November - 2022'!EM31</f>
        <v>3600</v>
      </c>
      <c r="EI31" s="90">
        <f>'[1]November - 2022'!EN31</f>
        <v>929350</v>
      </c>
      <c r="EJ31" s="230">
        <f>'[1]November - 2022'!EO31</f>
        <v>260</v>
      </c>
      <c r="EK31" s="90">
        <f>'[1]November - 2022'!EP31</f>
        <v>7188200</v>
      </c>
      <c r="EL31" s="230">
        <f>'[1]November - 2022'!EQ31</f>
        <v>1900</v>
      </c>
      <c r="EM31" s="90">
        <f>'[1]November - 2022'!ER31</f>
        <v>2490400</v>
      </c>
      <c r="EN31" s="230">
        <f>'[1]November - 2022'!ES31</f>
        <v>500</v>
      </c>
      <c r="EO31" s="90">
        <f>'[1]November - 2022'!ET31</f>
        <v>1266380</v>
      </c>
      <c r="EP31" s="230">
        <f>'[1]November - 2022'!EU31</f>
        <v>730</v>
      </c>
      <c r="EQ31" s="90">
        <f>'[1]November - 2022'!EV31</f>
        <v>16553200</v>
      </c>
      <c r="ER31" s="230">
        <f>'[1]November - 2022'!EW31</f>
        <v>2800</v>
      </c>
      <c r="ES31" s="426"/>
      <c r="ET31" s="281">
        <f>'[1]November - 2022'!EY31</f>
        <v>41845</v>
      </c>
      <c r="EU31" s="275">
        <f>'[1]November - 2022'!EZ31</f>
        <v>21</v>
      </c>
      <c r="EV31" s="282">
        <f>'[1]November - 2022'!FA31</f>
        <v>36599</v>
      </c>
      <c r="EW31" s="275">
        <f>'[1]November - 2022'!FB31</f>
        <v>12</v>
      </c>
      <c r="EX31" s="282">
        <f>'[1]November - 2022'!FC31</f>
        <v>7374</v>
      </c>
      <c r="EY31" s="275">
        <f>'[1]November - 2022'!FD31</f>
        <v>7</v>
      </c>
      <c r="EZ31" s="282">
        <f>'[1]November - 2022'!FE31</f>
        <v>59030</v>
      </c>
      <c r="FA31" s="275">
        <f>'[1]November - 2022'!FF31</f>
        <v>14</v>
      </c>
      <c r="FB31" s="282">
        <f>'[1]November - 2022'!FG31</f>
        <v>48988</v>
      </c>
      <c r="FC31" s="276">
        <f>'[1]November - 2022'!FH31</f>
        <v>31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-198881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-234274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-4649</v>
      </c>
      <c r="K32" s="168">
        <f>'[1]November - 2022'!N32</f>
        <v>0</v>
      </c>
      <c r="L32" s="170">
        <f>'[1]November - 2022'!O32</f>
        <v>-916956</v>
      </c>
      <c r="M32" s="168">
        <f>'[1]November - 2022'!Q32</f>
        <v>0</v>
      </c>
      <c r="N32" s="170">
        <f>'[1]November - 2022'!R32</f>
        <v>-242290</v>
      </c>
      <c r="O32" s="168">
        <f>'[1]November - 2022'!U32</f>
        <v>0</v>
      </c>
      <c r="P32" s="170">
        <f>'[1]November - 2022'!V32</f>
        <v>-114192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-6155</v>
      </c>
      <c r="T32" s="521"/>
      <c r="U32" s="169">
        <f>'[1]November - 2022'!AE32</f>
        <v>0</v>
      </c>
      <c r="V32" s="288">
        <f>'[1]November - 2022'!AF32</f>
        <v>-8106861.8399999999</v>
      </c>
      <c r="W32" s="92">
        <f>'[1]November - 2022'!AF32</f>
        <v>-8106861.8399999999</v>
      </c>
      <c r="X32" s="287">
        <f>'[1]November - 2022'!AH32</f>
        <v>0</v>
      </c>
      <c r="Y32" s="288">
        <f>'[1]November - 2022'!AI32</f>
        <v>-15402584.4</v>
      </c>
      <c r="Z32" s="92">
        <f>'[1]November - 2022'!AI32</f>
        <v>-15402584.4</v>
      </c>
      <c r="AA32" s="287">
        <f>'[1]November - 2022'!AK32</f>
        <v>0</v>
      </c>
      <c r="AB32" s="288">
        <f>'[1]November - 2022'!AL32</f>
        <v>-15751760.640000001</v>
      </c>
      <c r="AC32" s="92">
        <f>'[1]November - 2022'!AL32</f>
        <v>-15751760.640000001</v>
      </c>
      <c r="AD32" s="287">
        <f>'[1]November - 2022'!AN32</f>
        <v>0</v>
      </c>
      <c r="AE32" s="288">
        <f>'[1]November - 2022'!AO32</f>
        <v>-18783313.919999998</v>
      </c>
      <c r="AF32" s="92">
        <f>'[1]November - 2022'!AO32</f>
        <v>-18783313.919999998</v>
      </c>
      <c r="AG32" s="287">
        <f>'[1]November - 2022'!AQ32</f>
        <v>0</v>
      </c>
      <c r="AH32" s="288">
        <f>'[1]November - 2022'!AR32</f>
        <v>-19077241.68</v>
      </c>
      <c r="AI32" s="92">
        <f>'[1]November - 2022'!AR32</f>
        <v>-19077241.68</v>
      </c>
      <c r="AJ32" s="287">
        <f>'[1]November - 2022'!AT32</f>
        <v>0</v>
      </c>
      <c r="AK32" s="288">
        <f>'[1]November - 2022'!AU32</f>
        <v>-17474597.280000001</v>
      </c>
      <c r="AL32" s="92">
        <f>'[1]November - 2022'!AU32</f>
        <v>-17474597.280000001</v>
      </c>
      <c r="AM32" s="287">
        <f>'[1]November - 2022'!AW32</f>
        <v>0</v>
      </c>
      <c r="AN32" s="288">
        <f>'[1]November - 2022'!AX32</f>
        <v>-14718263.280000001</v>
      </c>
      <c r="AO32" s="92">
        <f>'[1]November - 2022'!AX32</f>
        <v>-14718263.280000001</v>
      </c>
      <c r="AP32" s="287">
        <f>'[1]November - 2022'!AZ32</f>
        <v>0</v>
      </c>
      <c r="AQ32" s="288">
        <f>'[1]November - 2022'!BA32</f>
        <v>-14235301.919999998</v>
      </c>
      <c r="AR32" s="92">
        <f>'[1]November - 2022'!BA32</f>
        <v>-14235301.919999998</v>
      </c>
      <c r="AS32" s="287">
        <f>'[1]November - 2022'!BC32</f>
        <v>0</v>
      </c>
      <c r="AT32" s="288">
        <f>'[1]November - 2022'!BD32</f>
        <v>-11130766.08</v>
      </c>
      <c r="AU32" s="92">
        <f>'[1]November - 2022'!BD32</f>
        <v>-11130766.08</v>
      </c>
      <c r="AV32" s="287">
        <f>'[1]November - 2022'!BF32</f>
        <v>0</v>
      </c>
      <c r="AW32" s="252">
        <f>'[1]November - 2022'!BG32</f>
        <v>-17608820.879999999</v>
      </c>
      <c r="AX32" s="253">
        <f>'[1]November - 2022'!BG32</f>
        <v>-17608820.879999999</v>
      </c>
      <c r="AY32" s="487"/>
      <c r="AZ32" s="272">
        <f>'[1]November - 2022'!BM32</f>
        <v>0</v>
      </c>
      <c r="BA32" s="179">
        <f>'[1]November - 2022'!BN32</f>
        <v>-77838300</v>
      </c>
      <c r="BB32" s="93">
        <f>'[1]November - 2022'!BN32</f>
        <v>-77838300</v>
      </c>
      <c r="BC32" s="272">
        <f>'[1]November - 2022'!BP32</f>
        <v>0</v>
      </c>
      <c r="BD32" s="245">
        <f>'[1]November - 2022'!BQ32</f>
        <v>-80264900</v>
      </c>
      <c r="BE32" s="93">
        <f>'[1]November - 2022'!BQ32</f>
        <v>-80264900</v>
      </c>
      <c r="BF32" s="272">
        <f>'[1]November - 2022'!BS32</f>
        <v>0</v>
      </c>
      <c r="BG32" s="245">
        <f>'[1]November - 2022'!BT32</f>
        <v>-74324600</v>
      </c>
      <c r="BH32" s="93">
        <f>'[1]November - 2022'!BT32</f>
        <v>-74324600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-10112550</v>
      </c>
      <c r="BU32" s="394"/>
      <c r="BV32" s="88">
        <f>'[1]November - 2022'!BY32</f>
        <v>0</v>
      </c>
      <c r="BW32" s="241">
        <f>'[1]November - 2022'!BZ32</f>
        <v>0.78</v>
      </c>
      <c r="BX32" s="88">
        <f>'[1]November - 2022'!BZ32</f>
        <v>0.78</v>
      </c>
      <c r="BY32" s="89">
        <f>'[1]November - 2022'!CB32</f>
        <v>0</v>
      </c>
      <c r="BZ32" s="191">
        <f>'[1]November - 2022'!CC32</f>
        <v>-64013</v>
      </c>
      <c r="CA32" s="89">
        <f>'[1]November - 2022'!CD32</f>
        <v>0</v>
      </c>
      <c r="CB32" s="191">
        <f>'[1]November - 2022'!CE32</f>
        <v>-55114</v>
      </c>
      <c r="CC32" s="89">
        <f>'[1]November - 2022'!CF32</f>
        <v>0</v>
      </c>
      <c r="CD32" s="191">
        <f>'[1]November - 2022'!CG32</f>
        <v>-18644</v>
      </c>
      <c r="CE32" s="89">
        <f>'[1]November - 2022'!CH32</f>
        <v>0</v>
      </c>
      <c r="CF32" s="191">
        <f>'[1]November - 2022'!CI32</f>
        <v>-25430</v>
      </c>
      <c r="CG32" s="89">
        <f>'[1]November - 2022'!CJ32</f>
        <v>0</v>
      </c>
      <c r="CH32" s="191">
        <f>'[1]November - 2022'!CK32</f>
        <v>-28249</v>
      </c>
      <c r="CI32" s="89">
        <f>'[1]November - 2022'!CL32</f>
        <v>0</v>
      </c>
      <c r="CJ32" s="191">
        <f>'[1]November - 2022'!CM32</f>
        <v>-61959</v>
      </c>
      <c r="CK32" s="89">
        <f>'[1]November - 2022'!CN32</f>
        <v>0</v>
      </c>
      <c r="CL32" s="246">
        <f>'[1]November - 2022'!CO32</f>
        <v>-266858</v>
      </c>
      <c r="CM32" s="89">
        <f>'[1]November - 2022'!CO32</f>
        <v>-266858</v>
      </c>
      <c r="CN32" s="89">
        <f>'[1]November - 2022'!CQ32</f>
        <v>0</v>
      </c>
      <c r="CO32" s="246">
        <f>'[1]November - 2022'!CR32</f>
        <v>-213356</v>
      </c>
      <c r="CP32" s="89">
        <f>'[1]November - 2022'!CR32</f>
        <v>-213356</v>
      </c>
      <c r="CQ32" s="89">
        <f>'[1]November - 2022'!CT32</f>
        <v>0</v>
      </c>
      <c r="CR32" s="246">
        <f>'[1]November - 2022'!CU32</f>
        <v>-352560</v>
      </c>
      <c r="CS32" s="89">
        <f>'[1]November - 2022'!CU32</f>
        <v>-352560</v>
      </c>
      <c r="CT32" s="89">
        <f>'[1]November - 2022'!CW32</f>
        <v>0</v>
      </c>
      <c r="CU32" s="191">
        <f>'[1]November - 2022'!CX32</f>
        <v>-692009</v>
      </c>
      <c r="CV32" s="454"/>
      <c r="CW32" s="256">
        <f>'[1]November - 2022'!CZ32</f>
        <v>0</v>
      </c>
      <c r="CX32" s="198">
        <f>'[1]November - 2022'!DA32</f>
        <v>-8731</v>
      </c>
      <c r="CY32" s="257">
        <f>'[1]November - 2022'!DB32</f>
        <v>0</v>
      </c>
      <c r="CZ32" s="198">
        <f>'[1]November - 2022'!DC32</f>
        <v>-5925</v>
      </c>
      <c r="DA32" s="257">
        <f>'[1]November - 2022'!DD32</f>
        <v>0</v>
      </c>
      <c r="DB32" s="198">
        <f>'[1]November - 2022'!DE32</f>
        <v>-31887</v>
      </c>
      <c r="DC32" s="257">
        <f>'[1]November - 2022'!DF32</f>
        <v>0</v>
      </c>
      <c r="DD32" s="198">
        <f>'[1]November - 2022'!DG32</f>
        <v>-32159</v>
      </c>
      <c r="DE32" s="257">
        <f>'[1]November - 2022'!DH32</f>
        <v>0</v>
      </c>
      <c r="DF32" s="198">
        <f>'[1]November - 2022'!DI32</f>
        <v>-21678</v>
      </c>
      <c r="DG32" s="257">
        <f>'[1]November - 2022'!DJ32</f>
        <v>0</v>
      </c>
      <c r="DH32" s="198">
        <f>'[1]November - 2022'!DK32</f>
        <v>-23942</v>
      </c>
      <c r="DI32" s="257">
        <f>'[1]November - 2022'!DL32</f>
        <v>0</v>
      </c>
      <c r="DJ32" s="198">
        <f>'[1]November - 2022'!DM32</f>
        <v>-6939</v>
      </c>
      <c r="DK32" s="257">
        <f>'[1]November - 2022'!DN32</f>
        <v>0</v>
      </c>
      <c r="DL32" s="198">
        <f>'[1]November - 2022'!DO32</f>
        <v>-9629</v>
      </c>
      <c r="DM32" s="257">
        <f>'[1]November - 2022'!DP32</f>
        <v>0</v>
      </c>
      <c r="DN32" s="198">
        <f>'[1]November - 2022'!DQ32</f>
        <v>-3200</v>
      </c>
      <c r="DO32" s="257">
        <f>'[1]November - 2022'!DR32</f>
        <v>0</v>
      </c>
      <c r="DP32" s="198">
        <f>'[1]November - 2022'!DS32</f>
        <v>-6292</v>
      </c>
      <c r="DQ32" s="257">
        <f>'[1]November - 2022'!DT32</f>
        <v>0</v>
      </c>
      <c r="DR32" s="206">
        <f>'[1]November - 2022'!DU32</f>
        <v>-30198</v>
      </c>
      <c r="DS32" s="439"/>
      <c r="DT32" s="210">
        <f>'[1]November - 2022'!DW32</f>
        <v>0</v>
      </c>
      <c r="DU32" s="221">
        <f>'[1]November - 2022'!DX32</f>
        <v>-6148.7</v>
      </c>
      <c r="DV32" s="91">
        <f>'[1]November - 2022'!DY32</f>
        <v>0</v>
      </c>
      <c r="DW32" s="215">
        <f>'[1]November - 2022'!DZ32</f>
        <v>-11155.1</v>
      </c>
      <c r="DX32" s="91">
        <f>'[1]November - 2022'!EA32</f>
        <v>0</v>
      </c>
      <c r="DY32" s="215">
        <f>'[1]November - 2022'!EB32</f>
        <v>-4691.3999999999996</v>
      </c>
      <c r="DZ32" s="91">
        <f>'[1]November - 2022'!EC32</f>
        <v>0</v>
      </c>
      <c r="EA32" s="215">
        <f>'[1]November - 2022'!ED32</f>
        <v>-5268.8</v>
      </c>
      <c r="EB32" s="91">
        <f>'[1]November - 2022'!EE32</f>
        <v>0</v>
      </c>
      <c r="EC32" s="215">
        <f>'[1]November - 2022'!EF32</f>
        <v>-1117279</v>
      </c>
      <c r="ED32" s="91">
        <f>'[1]November - 2022'!EI32</f>
        <v>0</v>
      </c>
      <c r="EE32" s="229">
        <f>'[1]November - 2022'!EJ32</f>
        <v>-229335.5</v>
      </c>
      <c r="EF32" s="378"/>
      <c r="EG32" s="235">
        <f>'[1]November - 2022'!EL32</f>
        <v>0</v>
      </c>
      <c r="EH32" s="230">
        <f>'[1]November - 2022'!EM32</f>
        <v>-12072600</v>
      </c>
      <c r="EI32" s="90">
        <f>'[1]November - 2022'!EN32</f>
        <v>0</v>
      </c>
      <c r="EJ32" s="230">
        <f>'[1]November - 2022'!EO32</f>
        <v>-929350</v>
      </c>
      <c r="EK32" s="90">
        <f>'[1]November - 2022'!EP32</f>
        <v>0</v>
      </c>
      <c r="EL32" s="230">
        <f>'[1]November - 2022'!EQ32</f>
        <v>-7188200</v>
      </c>
      <c r="EM32" s="90">
        <f>'[1]November - 2022'!ER32</f>
        <v>0</v>
      </c>
      <c r="EN32" s="230">
        <f>'[1]November - 2022'!ES32</f>
        <v>-2490400</v>
      </c>
      <c r="EO32" s="90">
        <f>'[1]November - 2022'!ET32</f>
        <v>0</v>
      </c>
      <c r="EP32" s="230">
        <f>'[1]November - 2022'!EU32</f>
        <v>-1266380</v>
      </c>
      <c r="EQ32" s="90">
        <f>'[1]November - 2022'!EV32</f>
        <v>0</v>
      </c>
      <c r="ER32" s="230">
        <f>'[1]November - 2022'!EW32</f>
        <v>-16553200</v>
      </c>
      <c r="ES32" s="426"/>
      <c r="ET32" s="281">
        <f>'[1]November - 2022'!EY32</f>
        <v>0</v>
      </c>
      <c r="EU32" s="275">
        <f>'[1]November - 2022'!EZ32</f>
        <v>-41845</v>
      </c>
      <c r="EV32" s="282">
        <f>'[1]November - 2022'!FA32</f>
        <v>0</v>
      </c>
      <c r="EW32" s="275">
        <f>'[1]November - 2022'!FB32</f>
        <v>-36599</v>
      </c>
      <c r="EX32" s="282">
        <f>'[1]November - 2022'!FC32</f>
        <v>0</v>
      </c>
      <c r="EY32" s="275">
        <f>'[1]November - 2022'!FD32</f>
        <v>-7374</v>
      </c>
      <c r="EZ32" s="282">
        <f>'[1]November - 2022'!FE32</f>
        <v>0</v>
      </c>
      <c r="FA32" s="275">
        <f>'[1]November - 2022'!FF32</f>
        <v>-59030</v>
      </c>
      <c r="FB32" s="282">
        <f>'[1]November - 2022'!FG32</f>
        <v>0</v>
      </c>
      <c r="FC32" s="276">
        <f>'[1]November - 2022'!FH32</f>
        <v>-48988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521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87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394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454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439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378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42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521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87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394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454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439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378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42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521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87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394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454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439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378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42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37563.11999999918</v>
      </c>
      <c r="V44" s="364"/>
      <c r="W44" s="365"/>
      <c r="X44" s="363">
        <f>SUM(Z9:Z24)</f>
        <v>69815.759999997914</v>
      </c>
      <c r="Y44" s="364"/>
      <c r="Z44" s="365"/>
      <c r="AA44" s="363">
        <f>SUM(AC9:AC24)</f>
        <v>79559.759999999776</v>
      </c>
      <c r="AB44" s="364"/>
      <c r="AC44" s="365"/>
      <c r="AD44" s="363">
        <f>SUM(AF9:AF24)</f>
        <v>115368.96000000089</v>
      </c>
      <c r="AE44" s="364"/>
      <c r="AF44" s="365"/>
      <c r="AG44" s="363">
        <f>SUM(AI9:AI24)</f>
        <v>77952</v>
      </c>
      <c r="AH44" s="364"/>
      <c r="AI44" s="365"/>
      <c r="AJ44" s="363">
        <f>SUM(AL9:AL24)</f>
        <v>87403.680000003427</v>
      </c>
      <c r="AK44" s="364"/>
      <c r="AL44" s="365"/>
      <c r="AM44" s="363">
        <f>SUM(AO9:AO24)</f>
        <v>71277.359999999404</v>
      </c>
      <c r="AN44" s="364"/>
      <c r="AO44" s="365"/>
      <c r="AP44" s="363">
        <f>SUM(AR9:AR24)</f>
        <v>70546.559999998659</v>
      </c>
      <c r="AQ44" s="364"/>
      <c r="AR44" s="365"/>
      <c r="AS44" s="363">
        <f>SUM(AU9:AU24)</f>
        <v>46868.640000000596</v>
      </c>
      <c r="AT44" s="364"/>
      <c r="AU44" s="365"/>
      <c r="AV44" s="363">
        <f>SUM(AX9:AX24)</f>
        <v>88426.800000000745</v>
      </c>
      <c r="AW44" s="364"/>
      <c r="AX44" s="364"/>
      <c r="AY44" s="585"/>
      <c r="AZ44" s="364">
        <f>SUM(BB9:BB24)</f>
        <v>373300</v>
      </c>
      <c r="BA44" s="364"/>
      <c r="BB44" s="364"/>
      <c r="BC44" s="363">
        <f>SUM(BE9:BE24)</f>
        <v>561600</v>
      </c>
      <c r="BD44" s="364"/>
      <c r="BE44" s="364"/>
      <c r="BF44" s="358">
        <f>SUM(BH9:BH24)</f>
        <v>355000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1162</v>
      </c>
      <c r="CL44" s="358"/>
      <c r="CM44" s="358"/>
      <c r="CN44" s="358">
        <f>SUM(CP9:CP24)</f>
        <v>1492</v>
      </c>
      <c r="CO44" s="358"/>
      <c r="CP44" s="358"/>
      <c r="CQ44" s="358">
        <f>SUM(CS9:CS24)</f>
        <v>1616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14172</v>
      </c>
      <c r="D45" s="360"/>
      <c r="E45" s="361"/>
      <c r="F45" s="360">
        <f>SUM(G9:G24)</f>
        <v>7269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2671</v>
      </c>
      <c r="P45" s="360"/>
      <c r="Q45" s="361"/>
      <c r="R45" s="366"/>
      <c r="S45" s="367"/>
      <c r="T45" s="527"/>
      <c r="U45" s="351">
        <f>SUM(V9:V24)</f>
        <v>37563.11999999918</v>
      </c>
      <c r="V45" s="351"/>
      <c r="W45" s="352"/>
      <c r="X45" s="351">
        <f>SUM(Y9:Y24)</f>
        <v>69815.759999997914</v>
      </c>
      <c r="Y45" s="351"/>
      <c r="Z45" s="352"/>
      <c r="AA45" s="351">
        <f>SUM(AB9:AB24)</f>
        <v>79559.759999999776</v>
      </c>
      <c r="AB45" s="351"/>
      <c r="AC45" s="352"/>
      <c r="AD45" s="351">
        <f>SUM(AE9:AE24)</f>
        <v>115368.96000000089</v>
      </c>
      <c r="AE45" s="351"/>
      <c r="AF45" s="352"/>
      <c r="AG45" s="351">
        <f>SUM(AH9:AH24)</f>
        <v>77952</v>
      </c>
      <c r="AH45" s="351"/>
      <c r="AI45" s="352"/>
      <c r="AJ45" s="351">
        <f>SUM(AK9:AK24)</f>
        <v>87403.680000003427</v>
      </c>
      <c r="AK45" s="351"/>
      <c r="AL45" s="352"/>
      <c r="AM45" s="351">
        <f>SUM(AN9:AN24)</f>
        <v>71277.359999999404</v>
      </c>
      <c r="AN45" s="351"/>
      <c r="AO45" s="352"/>
      <c r="AP45" s="351">
        <f>SUM(AQ9:AQ24)</f>
        <v>70546.559999998659</v>
      </c>
      <c r="AQ45" s="351"/>
      <c r="AR45" s="352"/>
      <c r="AS45" s="351">
        <f>SUM(AT9:AT24)</f>
        <v>46868.640000000596</v>
      </c>
      <c r="AT45" s="351"/>
      <c r="AU45" s="352"/>
      <c r="AV45" s="351">
        <f>SUM(AW9:AW24)</f>
        <v>88426.800000000745</v>
      </c>
      <c r="AW45" s="351"/>
      <c r="AX45" s="351"/>
      <c r="AY45" s="585"/>
      <c r="AZ45" s="352">
        <f>SUM(BA9:BA24)</f>
        <v>373300</v>
      </c>
      <c r="BA45" s="358"/>
      <c r="BB45" s="358"/>
      <c r="BC45" s="358">
        <f>SUM(BD9:BD24)</f>
        <v>561600</v>
      </c>
      <c r="BD45" s="358"/>
      <c r="BE45" s="358"/>
      <c r="BF45" s="358">
        <f>SUM(BG9:BG24)</f>
        <v>355000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1162</v>
      </c>
      <c r="CL45" s="358"/>
      <c r="CM45" s="358"/>
      <c r="CN45" s="358">
        <f>SUM(CO9:CO24)</f>
        <v>1492</v>
      </c>
      <c r="CO45" s="358"/>
      <c r="CP45" s="358"/>
      <c r="CQ45" s="358">
        <f>SUM(CR9:CR24)</f>
        <v>1616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744782.6400000006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744782.6400000006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2022-11-23T12:39:40Z</dcterms:modified>
</cp:coreProperties>
</file>