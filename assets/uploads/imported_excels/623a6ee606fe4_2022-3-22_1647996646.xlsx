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ar.boyadzhiev\Desktop\HEP\"/>
    </mc:Choice>
  </mc:AlternateContent>
  <bookViews>
    <workbookView xWindow="-105" yWindow="-105" windowWidth="23250" windowHeight="12405" tabRatio="193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5" i="1" l="1"/>
  <c r="I75" i="1" s="1"/>
  <c r="I74" i="1" l="1"/>
  <c r="H74" i="1"/>
  <c r="F2" i="1" l="1"/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2" i="1"/>
  <c r="I2" i="1" s="1"/>
  <c r="J56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1" i="1"/>
</calcChain>
</file>

<file path=xl/sharedStrings.xml><?xml version="1.0" encoding="utf-8"?>
<sst xmlns="http://schemas.openxmlformats.org/spreadsheetml/2006/main" count="101" uniqueCount="18">
  <si>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</si>
  <si>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</si>
  <si>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</si>
  <si>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</si>
  <si>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</si>
  <si>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</si>
  <si>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</si>
  <si>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Water Total Budgeted</t>
  </si>
  <si>
    <t>Water Total Budgeted Cost ($)</t>
  </si>
  <si>
    <t xml:space="preserve">Room Nights </t>
  </si>
  <si>
    <t>Total Guests</t>
  </si>
  <si>
    <t>LPG Kitchen $/Kg</t>
  </si>
  <si>
    <t>LPG Total Budgeted</t>
  </si>
  <si>
    <t>LPG Total Budgeted Cost ($)</t>
  </si>
  <si>
    <t>Hualalai</t>
  </si>
  <si>
    <t>Water Utility Supply (USG) USG</t>
  </si>
  <si>
    <t>Water Utility Supply (USG) $/USG</t>
  </si>
  <si>
    <t>LPG Kitchen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</si>
</sst>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0" fillId="0" borderId="0" xfId="0" applyNumberFormat="1" applyFill="1" applyAlignment="1">
      <alignment horizontal="center"/>
    </xf>
    <xf numFmtId="2" fontId="8" fillId="0" borderId="0" xfId="0" applyNumberFormat="1" applyFont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 2" xfId="1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abSelected="1" topLeftCell="A52" zoomScaleNormal="100" workbookViewId="0">
      <pane xSplit="3" topLeftCell="D1" activePane="topRight" state="frozen"/>
      <selection pane="topRight" activeCell="J76" sqref="J76"/>
    </sheetView>
  </sheetViews>
  <sheetFormatPr defaultColWidth="11.5703125" defaultRowHeight="12.75" x14ac:dyDescent="0.2"/>
  <cols>
    <col min="1" max="1" width="13" style="3" bestFit="1" customWidth="1"/>
    <col min="2" max="2" width="11.5703125" style="3"/>
    <col min="3" max="3" width="13.42578125" style="3" customWidth="1"/>
    <col min="4" max="5" width="12.5703125" style="3" customWidth="1"/>
    <col min="6" max="6" width="11.5703125" style="3"/>
    <col min="7" max="7" width="13.85546875" style="3" customWidth="1"/>
    <col min="8" max="8" width="11.5703125" style="3"/>
    <col min="9" max="9" width="12.85546875" style="5" customWidth="1"/>
    <col min="10" max="11" width="11.5703125" style="3"/>
    <col min="12" max="12" width="16.5703125" style="3" bestFit="1" customWidth="1"/>
    <col min="13" max="13" width="11.5703125" style="3"/>
    <col min="14" max="15" width="11.5703125" style="4"/>
    <col min="16" max="16384" width="11.5703125" style="3"/>
  </cols>
  <sheetData>
    <row r="1" spans="1:23" s="15" customFormat="1" ht="63.7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2" t="s">
        <v>17</v>
      </c>
      <c r="I1" s="2" t="s">
        <v>11</v>
      </c>
      <c r="J1" s="6" t="s">
        <v>12</v>
      </c>
      <c r="K1" s="6" t="s">
        <v>13</v>
      </c>
      <c r="L1" s="2" t="s">
        <v>15</v>
      </c>
      <c r="M1" s="2" t="s">
        <v>16</v>
      </c>
      <c r="N1" s="14" t="s">
        <v>7</v>
      </c>
      <c r="O1" s="14" t="s">
        <v>8</v>
      </c>
      <c r="P1" s="2" t="s">
        <v>9</v>
      </c>
      <c r="Q1" s="2" t="s">
        <v>10</v>
      </c>
    </row>
    <row r="2" spans="1:23" ht="15" x14ac:dyDescent="0.25">
      <c r="A2" s="3" t="s">
        <v>14</v>
      </c>
      <c r="B2" s="16">
        <v>1</v>
      </c>
      <c r="C2" s="16">
        <v>2016</v>
      </c>
      <c r="D2" s="9">
        <v>861600</v>
      </c>
      <c r="E2" s="10">
        <v>0.2445509285051069</v>
      </c>
      <c r="F2" s="8">
        <f>T2/E2</f>
        <v>949859.40728149458</v>
      </c>
      <c r="G2" s="8">
        <v>210705.0800000001</v>
      </c>
      <c r="H2" s="13">
        <f>S2*2.1</f>
        <v>85823.934000000008</v>
      </c>
      <c r="I2" s="10">
        <f>K2/H2</f>
        <v>1.1302946098928532</v>
      </c>
      <c r="J2" s="8">
        <v>103411.1</v>
      </c>
      <c r="K2" s="8">
        <v>97006.33</v>
      </c>
      <c r="L2" s="11">
        <v>4505685</v>
      </c>
      <c r="M2" s="10">
        <v>2.5515567555210807E-2</v>
      </c>
      <c r="N2" s="8">
        <v>98450.33</v>
      </c>
      <c r="O2" s="8">
        <v>98450.33</v>
      </c>
      <c r="P2" s="11">
        <v>6403</v>
      </c>
      <c r="Q2" s="9"/>
      <c r="R2" s="17"/>
      <c r="S2" s="9">
        <v>40868.54</v>
      </c>
      <c r="T2" s="3">
        <v>232289</v>
      </c>
    </row>
    <row r="3" spans="1:23" ht="15" x14ac:dyDescent="0.25">
      <c r="A3" s="3" t="s">
        <v>14</v>
      </c>
      <c r="B3" s="16">
        <v>2</v>
      </c>
      <c r="C3" s="16">
        <v>2016</v>
      </c>
      <c r="D3" s="9">
        <v>751200</v>
      </c>
      <c r="E3" s="10">
        <v>0.25152058040468583</v>
      </c>
      <c r="F3" s="8">
        <v>236035</v>
      </c>
      <c r="G3" s="8">
        <v>188942.26</v>
      </c>
      <c r="H3" s="13">
        <f t="shared" ref="H3:H66" si="0">S3*2.1</f>
        <v>78903.278999999995</v>
      </c>
      <c r="I3" s="10">
        <f t="shared" ref="I3:I66" si="1">K3/H3</f>
        <v>1.1101737711052542</v>
      </c>
      <c r="J3" s="8">
        <v>94448.660000000018</v>
      </c>
      <c r="K3" s="8">
        <v>87596.3508</v>
      </c>
      <c r="L3" s="11">
        <v>6458000</v>
      </c>
      <c r="M3" s="10">
        <v>1.3365074326416846E-2</v>
      </c>
      <c r="N3" s="8">
        <v>97937.36</v>
      </c>
      <c r="O3" s="8">
        <v>97937.36</v>
      </c>
      <c r="P3" s="11">
        <v>6223</v>
      </c>
      <c r="Q3" s="9"/>
      <c r="S3" s="9">
        <v>37572.99</v>
      </c>
    </row>
    <row r="4" spans="1:23" ht="15" x14ac:dyDescent="0.25">
      <c r="A4" s="3" t="s">
        <v>14</v>
      </c>
      <c r="B4" s="16">
        <v>3</v>
      </c>
      <c r="C4" s="16">
        <v>2016</v>
      </c>
      <c r="D4" s="9">
        <v>769200</v>
      </c>
      <c r="E4" s="10">
        <v>0.24338009620384815</v>
      </c>
      <c r="F4" s="8">
        <v>227070</v>
      </c>
      <c r="G4" s="8">
        <v>187207.97</v>
      </c>
      <c r="H4" s="13">
        <f t="shared" si="0"/>
        <v>73534.46100000001</v>
      </c>
      <c r="I4" s="10">
        <f t="shared" si="1"/>
        <v>1.22300104980711</v>
      </c>
      <c r="J4" s="8">
        <v>87371.81</v>
      </c>
      <c r="K4" s="8">
        <v>89932.722999999998</v>
      </c>
      <c r="L4" s="11">
        <v>3687000</v>
      </c>
      <c r="M4" s="10">
        <v>3.1476154054787091E-2</v>
      </c>
      <c r="N4" s="8">
        <v>98625.79</v>
      </c>
      <c r="O4" s="8">
        <v>98625.79</v>
      </c>
      <c r="P4" s="11">
        <v>6320</v>
      </c>
      <c r="Q4" s="9"/>
      <c r="S4" s="9">
        <v>35016.410000000003</v>
      </c>
    </row>
    <row r="5" spans="1:23" s="18" customFormat="1" ht="15" x14ac:dyDescent="0.25">
      <c r="A5" s="3" t="s">
        <v>14</v>
      </c>
      <c r="B5" s="16">
        <v>4</v>
      </c>
      <c r="C5" s="16">
        <v>2016</v>
      </c>
      <c r="D5" s="9">
        <v>802800</v>
      </c>
      <c r="E5" s="10">
        <v>0.2390409192825112</v>
      </c>
      <c r="F5" s="8">
        <v>240418</v>
      </c>
      <c r="G5" s="8">
        <v>191902.05</v>
      </c>
      <c r="H5" s="13">
        <f t="shared" si="0"/>
        <v>76773.102000000014</v>
      </c>
      <c r="I5" s="10">
        <f t="shared" si="1"/>
        <v>1.2936839493602847</v>
      </c>
      <c r="J5" s="8">
        <v>97379.629999999976</v>
      </c>
      <c r="K5" s="8">
        <v>99320.129799999995</v>
      </c>
      <c r="L5" s="11">
        <v>6457000</v>
      </c>
      <c r="M5" s="10">
        <v>1.4868200402663775E-2</v>
      </c>
      <c r="N5" s="8">
        <v>102716.79</v>
      </c>
      <c r="O5" s="8">
        <v>102716.79</v>
      </c>
      <c r="P5" s="11">
        <v>6585</v>
      </c>
      <c r="Q5" s="9"/>
      <c r="S5" s="9">
        <v>36558.620000000003</v>
      </c>
      <c r="V5" s="3"/>
      <c r="W5" s="3"/>
    </row>
    <row r="6" spans="1:23" ht="15" x14ac:dyDescent="0.25">
      <c r="A6" s="3" t="s">
        <v>14</v>
      </c>
      <c r="B6" s="16">
        <v>5</v>
      </c>
      <c r="C6" s="16">
        <v>2016</v>
      </c>
      <c r="D6" s="9">
        <v>870000</v>
      </c>
      <c r="E6" s="10">
        <v>0.21052464367816093</v>
      </c>
      <c r="F6" s="8">
        <v>248943</v>
      </c>
      <c r="G6" s="8">
        <v>183156.44</v>
      </c>
      <c r="H6" s="13">
        <f t="shared" si="0"/>
        <v>72348.884999999995</v>
      </c>
      <c r="I6" s="10">
        <f t="shared" si="1"/>
        <v>1.2463223199638809</v>
      </c>
      <c r="J6" s="8">
        <v>92668.47</v>
      </c>
      <c r="K6" s="8">
        <v>90170.030200000008</v>
      </c>
      <c r="L6" s="11">
        <v>6205455</v>
      </c>
      <c r="M6" s="10">
        <v>1.7643802106372539E-2</v>
      </c>
      <c r="N6" s="8">
        <v>95532.33</v>
      </c>
      <c r="O6" s="8">
        <v>95532.33</v>
      </c>
      <c r="P6" s="11">
        <v>6132</v>
      </c>
      <c r="Q6" s="9"/>
      <c r="S6" s="9">
        <v>34451.85</v>
      </c>
    </row>
    <row r="7" spans="1:23" ht="15" x14ac:dyDescent="0.25">
      <c r="A7" s="3" t="s">
        <v>14</v>
      </c>
      <c r="B7" s="16">
        <v>6</v>
      </c>
      <c r="C7" s="16">
        <v>2016</v>
      </c>
      <c r="D7" s="9">
        <v>820800</v>
      </c>
      <c r="E7" s="10">
        <v>0.22127571881091615</v>
      </c>
      <c r="F7" s="8">
        <v>242448</v>
      </c>
      <c r="G7" s="8">
        <v>181623.11</v>
      </c>
      <c r="H7" s="13">
        <f t="shared" si="0"/>
        <v>83790</v>
      </c>
      <c r="I7" s="10">
        <f t="shared" si="1"/>
        <v>1.044871037116601</v>
      </c>
      <c r="J7" s="8">
        <v>85980.83</v>
      </c>
      <c r="K7" s="8">
        <v>87549.744200000001</v>
      </c>
      <c r="L7" s="11">
        <v>4054000</v>
      </c>
      <c r="M7" s="10">
        <v>2.4964000986679821E-2</v>
      </c>
      <c r="N7" s="8">
        <v>110369.28</v>
      </c>
      <c r="O7" s="8">
        <v>110369.28</v>
      </c>
      <c r="P7" s="11">
        <v>5652</v>
      </c>
      <c r="Q7" s="9"/>
      <c r="S7" s="9">
        <v>39900</v>
      </c>
    </row>
    <row r="8" spans="1:23" ht="15" x14ac:dyDescent="0.25">
      <c r="A8" s="3" t="s">
        <v>14</v>
      </c>
      <c r="B8" s="16">
        <v>7</v>
      </c>
      <c r="C8" s="16">
        <v>2016</v>
      </c>
      <c r="D8" s="9">
        <v>896400</v>
      </c>
      <c r="E8" s="10">
        <v>0.22376309683177151</v>
      </c>
      <c r="F8" s="8">
        <v>258887</v>
      </c>
      <c r="G8" s="8">
        <v>200581.24</v>
      </c>
      <c r="H8" s="13">
        <f t="shared" si="0"/>
        <v>76811.7</v>
      </c>
      <c r="I8" s="10">
        <f t="shared" si="1"/>
        <v>1.2348469751352984</v>
      </c>
      <c r="J8" s="8">
        <v>97504.299999999974</v>
      </c>
      <c r="K8" s="8">
        <v>94850.695399999997</v>
      </c>
      <c r="L8" s="11">
        <v>5876000</v>
      </c>
      <c r="M8" s="10">
        <v>1.6993347515316542E-2</v>
      </c>
      <c r="N8" s="8">
        <v>112672.86</v>
      </c>
      <c r="O8" s="8">
        <v>112672.86</v>
      </c>
      <c r="P8" s="11">
        <v>6609</v>
      </c>
      <c r="Q8" s="9"/>
      <c r="S8" s="9">
        <v>36577</v>
      </c>
    </row>
    <row r="9" spans="1:23" ht="15" x14ac:dyDescent="0.25">
      <c r="A9" s="3" t="s">
        <v>14</v>
      </c>
      <c r="B9" s="16">
        <v>8</v>
      </c>
      <c r="C9" s="16">
        <v>2016</v>
      </c>
      <c r="D9" s="9">
        <v>820800</v>
      </c>
      <c r="E9" s="10">
        <v>0.26130300925925926</v>
      </c>
      <c r="F9" s="8">
        <v>281643</v>
      </c>
      <c r="G9" s="8">
        <v>214477.51</v>
      </c>
      <c r="H9" s="13">
        <f t="shared" si="0"/>
        <v>86093.7</v>
      </c>
      <c r="I9" s="10">
        <f t="shared" si="1"/>
        <v>1.0586158731707431</v>
      </c>
      <c r="J9" s="8">
        <v>92386.32</v>
      </c>
      <c r="K9" s="8">
        <v>91140.157399999996</v>
      </c>
      <c r="L9" s="11">
        <v>7416000</v>
      </c>
      <c r="M9" s="10">
        <v>1.3328149946062563E-2</v>
      </c>
      <c r="N9" s="8">
        <v>115072.75</v>
      </c>
      <c r="O9" s="8">
        <v>115072.75</v>
      </c>
      <c r="P9" s="11">
        <v>6247</v>
      </c>
      <c r="Q9" s="9"/>
      <c r="S9" s="9">
        <v>40997</v>
      </c>
    </row>
    <row r="10" spans="1:23" ht="15" x14ac:dyDescent="0.25">
      <c r="A10" s="3" t="s">
        <v>14</v>
      </c>
      <c r="B10" s="16">
        <v>9</v>
      </c>
      <c r="C10" s="16">
        <v>2016</v>
      </c>
      <c r="D10" s="9">
        <v>802800</v>
      </c>
      <c r="E10" s="10">
        <v>0.23930986547085201</v>
      </c>
      <c r="F10" s="8">
        <v>262893</v>
      </c>
      <c r="G10" s="8">
        <v>192117.96</v>
      </c>
      <c r="H10" s="13">
        <f t="shared" si="0"/>
        <v>78285.900000000009</v>
      </c>
      <c r="I10" s="10">
        <f t="shared" si="1"/>
        <v>1.272331288265192</v>
      </c>
      <c r="J10" s="8">
        <v>94849.77</v>
      </c>
      <c r="K10" s="8">
        <v>99605.6</v>
      </c>
      <c r="L10" s="11">
        <v>6806670</v>
      </c>
      <c r="M10" s="10">
        <v>2.0110011209592941E-2</v>
      </c>
      <c r="N10" s="8">
        <v>110075.88</v>
      </c>
      <c r="O10" s="8">
        <v>110075.88</v>
      </c>
      <c r="P10" s="11">
        <v>5193</v>
      </c>
      <c r="Q10" s="9"/>
      <c r="S10" s="9">
        <v>37279</v>
      </c>
    </row>
    <row r="11" spans="1:23" ht="15" x14ac:dyDescent="0.25">
      <c r="A11" s="3" t="s">
        <v>14</v>
      </c>
      <c r="B11" s="16">
        <v>10</v>
      </c>
      <c r="C11" s="16">
        <v>2016</v>
      </c>
      <c r="D11" s="9">
        <v>811200</v>
      </c>
      <c r="E11" s="10">
        <v>0.23454444033530572</v>
      </c>
      <c r="F11" s="8">
        <v>247077</v>
      </c>
      <c r="G11" s="8">
        <v>190262.45</v>
      </c>
      <c r="H11" s="13">
        <f t="shared" si="0"/>
        <v>68676.3</v>
      </c>
      <c r="I11" s="10">
        <f t="shared" si="1"/>
        <v>1.4058697105114863</v>
      </c>
      <c r="J11" s="8">
        <v>81591.92</v>
      </c>
      <c r="K11" s="8">
        <v>96549.93</v>
      </c>
      <c r="L11" s="11">
        <v>6950000</v>
      </c>
      <c r="M11" s="10">
        <v>1.4346454676258993E-2</v>
      </c>
      <c r="N11" s="8">
        <v>119105.9</v>
      </c>
      <c r="O11" s="8">
        <v>119105.9</v>
      </c>
      <c r="P11" s="11">
        <v>6184</v>
      </c>
      <c r="Q11" s="9"/>
      <c r="S11" s="9">
        <v>32703</v>
      </c>
    </row>
    <row r="12" spans="1:23" ht="15" x14ac:dyDescent="0.25">
      <c r="A12" s="3" t="s">
        <v>14</v>
      </c>
      <c r="B12" s="16">
        <v>11</v>
      </c>
      <c r="C12" s="16">
        <v>2016</v>
      </c>
      <c r="D12" s="9">
        <v>750000</v>
      </c>
      <c r="E12" s="10">
        <v>0.23521646666666668</v>
      </c>
      <c r="F12" s="8">
        <v>247522</v>
      </c>
      <c r="G12" s="8">
        <v>176412.35</v>
      </c>
      <c r="H12" s="13">
        <f t="shared" si="0"/>
        <v>89208</v>
      </c>
      <c r="I12" s="10">
        <f t="shared" si="1"/>
        <v>0.98671677428033355</v>
      </c>
      <c r="J12" s="8">
        <v>91708.03</v>
      </c>
      <c r="K12" s="8">
        <v>88023.03</v>
      </c>
      <c r="L12" s="11">
        <v>6053585</v>
      </c>
      <c r="M12" s="10">
        <v>1.9503332322912785E-2</v>
      </c>
      <c r="N12" s="8">
        <v>100347.97</v>
      </c>
      <c r="O12" s="8">
        <v>100347.97</v>
      </c>
      <c r="P12" s="11">
        <v>6264</v>
      </c>
      <c r="Q12" s="9"/>
      <c r="S12" s="9">
        <v>42480</v>
      </c>
    </row>
    <row r="13" spans="1:23" ht="15" x14ac:dyDescent="0.25">
      <c r="A13" s="3" t="s">
        <v>14</v>
      </c>
      <c r="B13" s="16">
        <v>12</v>
      </c>
      <c r="C13" s="16">
        <v>2016</v>
      </c>
      <c r="D13" s="9">
        <v>813600</v>
      </c>
      <c r="E13" s="10">
        <v>0.2514303097345133</v>
      </c>
      <c r="F13" s="8">
        <v>249391</v>
      </c>
      <c r="G13" s="8">
        <v>204563.7</v>
      </c>
      <c r="H13" s="13">
        <f t="shared" si="0"/>
        <v>104569.24799999999</v>
      </c>
      <c r="I13" s="10">
        <f t="shared" si="1"/>
        <v>0.9634947360432391</v>
      </c>
      <c r="J13" s="8">
        <v>94445.930000000008</v>
      </c>
      <c r="K13" s="8">
        <v>100751.92</v>
      </c>
      <c r="L13" s="11">
        <v>5953000</v>
      </c>
      <c r="M13" s="10">
        <v>1.5792197211490007E-2</v>
      </c>
      <c r="N13" s="8">
        <v>93419.99</v>
      </c>
      <c r="O13" s="8">
        <v>93419.99</v>
      </c>
      <c r="P13" s="11">
        <v>6259</v>
      </c>
      <c r="Q13" s="9"/>
      <c r="S13" s="9">
        <v>49794.879999999997</v>
      </c>
    </row>
    <row r="14" spans="1:23" ht="15" x14ac:dyDescent="0.25">
      <c r="A14" s="3" t="s">
        <v>14</v>
      </c>
      <c r="B14" s="16">
        <v>1</v>
      </c>
      <c r="C14" s="16">
        <v>2017</v>
      </c>
      <c r="D14" s="9">
        <v>826800</v>
      </c>
      <c r="E14" s="10">
        <v>0.23100693033381711</v>
      </c>
      <c r="F14" s="8">
        <v>191650</v>
      </c>
      <c r="G14" s="8">
        <v>190996.53</v>
      </c>
      <c r="H14" s="13">
        <f t="shared" si="0"/>
        <v>102017.09700000001</v>
      </c>
      <c r="I14" s="10">
        <f t="shared" si="1"/>
        <v>1.0617632062202278</v>
      </c>
      <c r="J14" s="8">
        <f t="shared" ref="J14:J61" si="2">K14/I14</f>
        <v>102017.09700000002</v>
      </c>
      <c r="K14" s="8">
        <v>108318</v>
      </c>
      <c r="L14" s="11">
        <v>6019000</v>
      </c>
      <c r="M14" s="10">
        <v>1.6571342415683667E-2</v>
      </c>
      <c r="N14" s="8">
        <v>99700</v>
      </c>
      <c r="O14" s="8">
        <v>99700</v>
      </c>
      <c r="P14" s="11">
        <v>6750</v>
      </c>
      <c r="Q14" s="9"/>
      <c r="R14" s="17"/>
      <c r="S14" s="17">
        <v>48579.57</v>
      </c>
    </row>
    <row r="15" spans="1:23" ht="15" x14ac:dyDescent="0.25">
      <c r="A15" s="3" t="s">
        <v>14</v>
      </c>
      <c r="B15" s="16">
        <v>2</v>
      </c>
      <c r="C15" s="16">
        <v>2017</v>
      </c>
      <c r="D15" s="9">
        <v>709200</v>
      </c>
      <c r="E15" s="10">
        <v>0.25228688663282572</v>
      </c>
      <c r="F15" s="8">
        <v>185650</v>
      </c>
      <c r="G15" s="8">
        <v>178921.86</v>
      </c>
      <c r="H15" s="13">
        <f t="shared" si="0"/>
        <v>67490.955000000002</v>
      </c>
      <c r="I15" s="10">
        <f t="shared" si="1"/>
        <v>1.3241033557755999</v>
      </c>
      <c r="J15" s="8">
        <f t="shared" si="2"/>
        <v>67490.955000000002</v>
      </c>
      <c r="K15" s="8">
        <v>89365</v>
      </c>
      <c r="L15" s="11">
        <v>6538000</v>
      </c>
      <c r="M15" s="10">
        <v>1.4827259100642398E-2</v>
      </c>
      <c r="N15" s="8">
        <v>88900.999500000005</v>
      </c>
      <c r="O15" s="8">
        <v>88900.999500000005</v>
      </c>
      <c r="P15" s="11">
        <v>6245</v>
      </c>
      <c r="Q15" s="9"/>
      <c r="S15" s="17">
        <v>32138.550000000003</v>
      </c>
    </row>
    <row r="16" spans="1:23" ht="15" x14ac:dyDescent="0.25">
      <c r="A16" s="3" t="s">
        <v>14</v>
      </c>
      <c r="B16" s="16">
        <v>3</v>
      </c>
      <c r="C16" s="16">
        <v>2017</v>
      </c>
      <c r="D16" s="9">
        <v>781200</v>
      </c>
      <c r="E16" s="10">
        <v>0.25869706861239117</v>
      </c>
      <c r="F16" s="8">
        <v>194650</v>
      </c>
      <c r="G16" s="8">
        <v>202094.15</v>
      </c>
      <c r="H16" s="13">
        <f t="shared" si="0"/>
        <v>86701.062000000005</v>
      </c>
      <c r="I16" s="10">
        <f t="shared" si="1"/>
        <v>1.1390633254296239</v>
      </c>
      <c r="J16" s="8">
        <f t="shared" si="2"/>
        <v>86701.062000000005</v>
      </c>
      <c r="K16" s="8">
        <v>98758</v>
      </c>
      <c r="L16" s="11">
        <v>5409000</v>
      </c>
      <c r="M16" s="10">
        <v>1.5127165834719916E-2</v>
      </c>
      <c r="N16" s="8">
        <v>119534.1574</v>
      </c>
      <c r="O16" s="8">
        <v>119534.1574</v>
      </c>
      <c r="P16" s="11">
        <v>6891</v>
      </c>
      <c r="Q16" s="9"/>
      <c r="S16" s="17">
        <v>41286.22</v>
      </c>
    </row>
    <row r="17" spans="1:19" ht="15" x14ac:dyDescent="0.25">
      <c r="A17" s="3" t="s">
        <v>14</v>
      </c>
      <c r="B17" s="16">
        <v>4</v>
      </c>
      <c r="C17" s="16">
        <v>2017</v>
      </c>
      <c r="D17" s="9">
        <v>842400</v>
      </c>
      <c r="E17" s="10">
        <v>0.25128570750237417</v>
      </c>
      <c r="F17" s="8">
        <v>211330.81</v>
      </c>
      <c r="G17" s="8">
        <v>211683.08</v>
      </c>
      <c r="H17" s="13">
        <f t="shared" si="0"/>
        <v>83423.865000000005</v>
      </c>
      <c r="I17" s="10">
        <f t="shared" si="1"/>
        <v>1.1902109785970716</v>
      </c>
      <c r="J17" s="8">
        <f t="shared" si="2"/>
        <v>83423.865000000005</v>
      </c>
      <c r="K17" s="8">
        <v>99292</v>
      </c>
      <c r="L17" s="11">
        <v>5579500</v>
      </c>
      <c r="M17" s="10">
        <v>1.5068819786719242E-2</v>
      </c>
      <c r="N17" s="8">
        <v>98884.089099999997</v>
      </c>
      <c r="O17" s="8">
        <v>98884.089099999997</v>
      </c>
      <c r="P17" s="11">
        <v>6622</v>
      </c>
      <c r="Q17" s="9"/>
      <c r="S17" s="17">
        <v>39725.65</v>
      </c>
    </row>
    <row r="18" spans="1:19" ht="15" x14ac:dyDescent="0.25">
      <c r="A18" s="3" t="s">
        <v>14</v>
      </c>
      <c r="B18" s="16">
        <v>5</v>
      </c>
      <c r="C18" s="16">
        <v>2017</v>
      </c>
      <c r="D18" s="9">
        <v>776400</v>
      </c>
      <c r="E18" s="10">
        <v>0.24812944358578054</v>
      </c>
      <c r="F18" s="8">
        <v>225548.53</v>
      </c>
      <c r="G18" s="8">
        <v>192647.7</v>
      </c>
      <c r="H18" s="13">
        <f t="shared" si="0"/>
        <v>85014.278999999995</v>
      </c>
      <c r="I18" s="10">
        <f t="shared" si="1"/>
        <v>1.1855420193588893</v>
      </c>
      <c r="J18" s="8">
        <f t="shared" si="2"/>
        <v>85014.278999999995</v>
      </c>
      <c r="K18" s="8">
        <v>100788</v>
      </c>
      <c r="L18" s="11">
        <v>7248500</v>
      </c>
      <c r="M18" s="10">
        <v>1.542973442781265E-2</v>
      </c>
      <c r="N18" s="8">
        <v>112772.4546</v>
      </c>
      <c r="O18" s="8">
        <v>112772.4546</v>
      </c>
      <c r="P18" s="11">
        <v>6047</v>
      </c>
      <c r="Q18" s="9"/>
      <c r="S18" s="17">
        <v>40482.99</v>
      </c>
    </row>
    <row r="19" spans="1:19" ht="15" x14ac:dyDescent="0.25">
      <c r="A19" s="3" t="s">
        <v>14</v>
      </c>
      <c r="B19" s="16">
        <v>6</v>
      </c>
      <c r="C19" s="16">
        <v>2017</v>
      </c>
      <c r="D19" s="9">
        <v>782400</v>
      </c>
      <c r="E19" s="10">
        <v>0.26345397494887529</v>
      </c>
      <c r="F19" s="8">
        <v>218181.16</v>
      </c>
      <c r="G19" s="8">
        <v>206126.39</v>
      </c>
      <c r="H19" s="13">
        <f t="shared" si="0"/>
        <v>79346.672999999995</v>
      </c>
      <c r="I19" s="10">
        <f t="shared" si="1"/>
        <v>1.2299444489625924</v>
      </c>
      <c r="J19" s="8">
        <f t="shared" si="2"/>
        <v>79346.672999999995</v>
      </c>
      <c r="K19" s="8">
        <v>97592</v>
      </c>
      <c r="L19" s="11">
        <v>5841000</v>
      </c>
      <c r="M19" s="10">
        <v>1.5899601095702792E-2</v>
      </c>
      <c r="N19" s="8">
        <v>104240.18180000001</v>
      </c>
      <c r="O19" s="8">
        <v>104240.18180000001</v>
      </c>
      <c r="P19" s="11">
        <v>6604</v>
      </c>
      <c r="Q19" s="9"/>
      <c r="S19" s="17">
        <v>37784.129999999997</v>
      </c>
    </row>
    <row r="20" spans="1:19" ht="15" x14ac:dyDescent="0.25">
      <c r="A20" s="3" t="s">
        <v>14</v>
      </c>
      <c r="B20" s="16">
        <v>7</v>
      </c>
      <c r="C20" s="16">
        <v>2017</v>
      </c>
      <c r="D20" s="9">
        <v>843613</v>
      </c>
      <c r="E20" s="10">
        <v>0.24196859223364267</v>
      </c>
      <c r="F20" s="8">
        <v>237956.72</v>
      </c>
      <c r="G20" s="8">
        <v>204127.85</v>
      </c>
      <c r="H20" s="13">
        <f t="shared" si="0"/>
        <v>89583.03899999999</v>
      </c>
      <c r="I20" s="10">
        <f t="shared" si="1"/>
        <v>1.1250790453759891</v>
      </c>
      <c r="J20" s="8">
        <f t="shared" si="2"/>
        <v>89583.03899999999</v>
      </c>
      <c r="K20" s="8">
        <v>100788</v>
      </c>
      <c r="L20" s="11">
        <v>5876000</v>
      </c>
      <c r="M20" s="10">
        <v>1.6419409462219196E-2</v>
      </c>
      <c r="N20" s="8">
        <v>102848.4973</v>
      </c>
      <c r="O20" s="8">
        <v>102848.4973</v>
      </c>
      <c r="P20" s="11">
        <v>6355</v>
      </c>
      <c r="Q20" s="9"/>
      <c r="S20" s="17">
        <v>42658.59</v>
      </c>
    </row>
    <row r="21" spans="1:19" ht="15" x14ac:dyDescent="0.25">
      <c r="A21" s="3" t="s">
        <v>14</v>
      </c>
      <c r="B21" s="16">
        <v>8</v>
      </c>
      <c r="C21" s="16">
        <v>2017</v>
      </c>
      <c r="D21" s="9">
        <v>867587</v>
      </c>
      <c r="E21" s="10">
        <v>0.23052337114318217</v>
      </c>
      <c r="F21" s="8">
        <v>230046.5</v>
      </c>
      <c r="G21" s="8">
        <v>199999.08</v>
      </c>
      <c r="H21" s="13">
        <f t="shared" si="0"/>
        <v>89669.831999999995</v>
      </c>
      <c r="I21" s="10">
        <f t="shared" si="1"/>
        <v>1.1239900616742542</v>
      </c>
      <c r="J21" s="8">
        <f t="shared" si="2"/>
        <v>89669.831999999995</v>
      </c>
      <c r="K21" s="8">
        <v>100788</v>
      </c>
      <c r="L21" s="11">
        <v>7416000</v>
      </c>
      <c r="M21" s="10">
        <v>1.25998880798274E-2</v>
      </c>
      <c r="N21" s="8">
        <v>101806.80680000001</v>
      </c>
      <c r="O21" s="8">
        <v>101806.80680000001</v>
      </c>
      <c r="P21" s="11">
        <v>6805</v>
      </c>
      <c r="Q21" s="9"/>
      <c r="S21" s="17">
        <v>42699.92</v>
      </c>
    </row>
    <row r="22" spans="1:19" ht="15" x14ac:dyDescent="0.25">
      <c r="A22" s="3" t="s">
        <v>14</v>
      </c>
      <c r="B22" s="16">
        <v>9</v>
      </c>
      <c r="C22" s="16">
        <v>2017</v>
      </c>
      <c r="D22" s="9">
        <v>812400</v>
      </c>
      <c r="E22" s="10">
        <v>0.2514907434761201</v>
      </c>
      <c r="F22" s="8">
        <v>214226.05</v>
      </c>
      <c r="G22" s="8">
        <v>204311.08</v>
      </c>
      <c r="H22" s="13">
        <f t="shared" si="0"/>
        <v>83934.732000000004</v>
      </c>
      <c r="I22" s="10">
        <f t="shared" si="1"/>
        <v>1.1627129517730515</v>
      </c>
      <c r="J22" s="8">
        <f t="shared" si="2"/>
        <v>83934.732000000004</v>
      </c>
      <c r="K22" s="8">
        <v>97592</v>
      </c>
      <c r="L22" s="11">
        <v>6806670</v>
      </c>
      <c r="M22" s="10">
        <v>1.4175375036545035E-2</v>
      </c>
      <c r="N22" s="8">
        <v>113378.15640000001</v>
      </c>
      <c r="O22" s="8">
        <v>113378.15640000001</v>
      </c>
      <c r="P22" s="11">
        <v>6079</v>
      </c>
      <c r="Q22" s="9"/>
      <c r="S22" s="17">
        <v>39968.92</v>
      </c>
    </row>
    <row r="23" spans="1:19" ht="15" x14ac:dyDescent="0.25">
      <c r="A23" s="3" t="s">
        <v>14</v>
      </c>
      <c r="B23" s="16">
        <v>10</v>
      </c>
      <c r="C23" s="16">
        <v>2017</v>
      </c>
      <c r="D23" s="9">
        <v>816000</v>
      </c>
      <c r="E23" s="10">
        <v>0.27312319852941175</v>
      </c>
      <c r="F23" s="8">
        <v>224773.02</v>
      </c>
      <c r="G23" s="8">
        <v>222868.53</v>
      </c>
      <c r="H23" s="13">
        <f t="shared" si="0"/>
        <v>91906.016999999993</v>
      </c>
      <c r="I23" s="10">
        <f t="shared" si="1"/>
        <v>1.0966420185524959</v>
      </c>
      <c r="J23" s="8">
        <f t="shared" si="2"/>
        <v>91906.016999999993</v>
      </c>
      <c r="K23" s="8">
        <v>100788</v>
      </c>
      <c r="L23" s="11">
        <v>6950000</v>
      </c>
      <c r="M23" s="10">
        <v>1.8476412949640288E-2</v>
      </c>
      <c r="N23" s="8">
        <v>122679.077</v>
      </c>
      <c r="O23" s="8">
        <v>122679.077</v>
      </c>
      <c r="P23" s="11">
        <v>6149</v>
      </c>
      <c r="Q23" s="9"/>
      <c r="S23" s="17">
        <v>43764.77</v>
      </c>
    </row>
    <row r="24" spans="1:19" ht="15" x14ac:dyDescent="0.25">
      <c r="A24" s="3" t="s">
        <v>14</v>
      </c>
      <c r="B24" s="16">
        <v>11</v>
      </c>
      <c r="C24" s="16">
        <v>2017</v>
      </c>
      <c r="D24" s="9">
        <v>723613</v>
      </c>
      <c r="E24" s="10">
        <v>0.29647086218738472</v>
      </c>
      <c r="F24" s="8">
        <v>224773.02</v>
      </c>
      <c r="G24" s="8">
        <v>214530.17</v>
      </c>
      <c r="H24" s="13">
        <f t="shared" si="0"/>
        <v>93207.093000000008</v>
      </c>
      <c r="I24" s="10">
        <f t="shared" si="1"/>
        <v>1.0681268645509627</v>
      </c>
      <c r="J24" s="8">
        <f t="shared" si="2"/>
        <v>93207.093000000008</v>
      </c>
      <c r="K24" s="8">
        <v>99557</v>
      </c>
      <c r="L24" s="11">
        <v>6443000</v>
      </c>
      <c r="M24" s="10">
        <v>1.7083037404935587E-2</v>
      </c>
      <c r="N24" s="8">
        <v>103358.4091</v>
      </c>
      <c r="O24" s="8">
        <v>103358.4091</v>
      </c>
      <c r="P24" s="11">
        <v>6204</v>
      </c>
      <c r="Q24" s="9"/>
      <c r="S24" s="17">
        <v>44384.33</v>
      </c>
    </row>
    <row r="25" spans="1:19" ht="15" x14ac:dyDescent="0.25">
      <c r="A25" s="3" t="s">
        <v>14</v>
      </c>
      <c r="B25" s="16">
        <v>12</v>
      </c>
      <c r="C25" s="16">
        <v>2017</v>
      </c>
      <c r="D25" s="9">
        <v>778787</v>
      </c>
      <c r="E25" s="10">
        <v>0.25093793296498274</v>
      </c>
      <c r="F25" s="8">
        <v>227409.76</v>
      </c>
      <c r="G25" s="8">
        <v>195427.20000000001</v>
      </c>
      <c r="H25" s="13">
        <f t="shared" si="0"/>
        <v>99983.499000000011</v>
      </c>
      <c r="I25" s="10">
        <f t="shared" si="1"/>
        <v>1.0283596896323861</v>
      </c>
      <c r="J25" s="8">
        <f t="shared" si="2"/>
        <v>99983.499000000011</v>
      </c>
      <c r="K25" s="8">
        <v>102819</v>
      </c>
      <c r="L25" s="11">
        <v>4023000</v>
      </c>
      <c r="M25" s="10">
        <v>1.7781690280884912E-2</v>
      </c>
      <c r="N25" s="8">
        <v>96222.589699999997</v>
      </c>
      <c r="O25" s="8">
        <v>96222.589699999997</v>
      </c>
      <c r="P25" s="11">
        <v>6457</v>
      </c>
      <c r="Q25" s="9"/>
      <c r="S25" s="17">
        <v>47611.19</v>
      </c>
    </row>
    <row r="26" spans="1:19" ht="15" x14ac:dyDescent="0.25">
      <c r="A26" s="3" t="s">
        <v>14</v>
      </c>
      <c r="B26" s="16">
        <v>1</v>
      </c>
      <c r="C26" s="16">
        <v>2018</v>
      </c>
      <c r="D26" s="9">
        <v>792000</v>
      </c>
      <c r="E26" s="10">
        <v>0.28730709595959597</v>
      </c>
      <c r="F26" s="8">
        <v>199232.8</v>
      </c>
      <c r="G26" s="8">
        <v>227547.22</v>
      </c>
      <c r="H26" s="13">
        <f t="shared" si="0"/>
        <v>117815.103</v>
      </c>
      <c r="I26" s="10">
        <f t="shared" si="1"/>
        <v>0.91938976618303336</v>
      </c>
      <c r="J26" s="8">
        <f t="shared" si="2"/>
        <v>117815.103</v>
      </c>
      <c r="K26" s="8">
        <v>108318</v>
      </c>
      <c r="L26" s="11">
        <v>9249000</v>
      </c>
      <c r="M26" s="10">
        <v>1.529279273434966E-2</v>
      </c>
      <c r="N26" s="8">
        <v>104730.06</v>
      </c>
      <c r="O26" s="8">
        <v>104730.06</v>
      </c>
      <c r="P26" s="11">
        <v>6798</v>
      </c>
      <c r="Q26" s="9"/>
      <c r="S26" s="17">
        <v>56102.43</v>
      </c>
    </row>
    <row r="27" spans="1:19" ht="15" x14ac:dyDescent="0.25">
      <c r="A27" s="3" t="s">
        <v>14</v>
      </c>
      <c r="B27" s="16">
        <v>2</v>
      </c>
      <c r="C27" s="16">
        <v>2018</v>
      </c>
      <c r="D27" s="9">
        <v>698400</v>
      </c>
      <c r="E27" s="10">
        <v>0.30250505441008019</v>
      </c>
      <c r="F27" s="8">
        <v>175402.87</v>
      </c>
      <c r="G27" s="8">
        <v>211269.53</v>
      </c>
      <c r="H27" s="13">
        <f t="shared" si="0"/>
        <v>103819.632</v>
      </c>
      <c r="I27" s="10">
        <f t="shared" si="1"/>
        <v>0.86077168911560009</v>
      </c>
      <c r="J27" s="8">
        <f t="shared" si="2"/>
        <v>103819.632</v>
      </c>
      <c r="K27" s="8">
        <v>89365</v>
      </c>
      <c r="L27" s="11">
        <v>4957000</v>
      </c>
      <c r="M27" s="10">
        <v>2.2192190841234617E-2</v>
      </c>
      <c r="N27" s="8">
        <v>101787.65</v>
      </c>
      <c r="O27" s="8">
        <v>101787.65</v>
      </c>
      <c r="P27" s="11">
        <v>6332</v>
      </c>
      <c r="Q27" s="9"/>
      <c r="S27" s="17">
        <v>49437.919999999998</v>
      </c>
    </row>
    <row r="28" spans="1:19" ht="15" x14ac:dyDescent="0.25">
      <c r="A28" s="3" t="s">
        <v>14</v>
      </c>
      <c r="B28" s="16">
        <v>3</v>
      </c>
      <c r="C28" s="16">
        <v>2018</v>
      </c>
      <c r="D28" s="9">
        <v>886800</v>
      </c>
      <c r="E28" s="10">
        <v>0.26990930311231393</v>
      </c>
      <c r="F28" s="8">
        <v>188774.11</v>
      </c>
      <c r="G28" s="8">
        <v>239355.57</v>
      </c>
      <c r="H28" s="13">
        <f t="shared" si="0"/>
        <v>109217.32500000001</v>
      </c>
      <c r="I28" s="10">
        <f t="shared" si="1"/>
        <v>0.90423382920246387</v>
      </c>
      <c r="J28" s="8">
        <f t="shared" si="2"/>
        <v>109217.32500000001</v>
      </c>
      <c r="K28" s="8">
        <v>98758</v>
      </c>
      <c r="L28" s="11">
        <v>5982000</v>
      </c>
      <c r="M28" s="10">
        <v>1.867733868271481E-2</v>
      </c>
      <c r="N28" s="8">
        <v>85913.98</v>
      </c>
      <c r="O28" s="8">
        <v>85913.98</v>
      </c>
      <c r="P28" s="11">
        <v>6825</v>
      </c>
      <c r="Q28" s="9"/>
      <c r="S28" s="17">
        <v>52008.25</v>
      </c>
    </row>
    <row r="29" spans="1:19" ht="15" x14ac:dyDescent="0.25">
      <c r="A29" s="3" t="s">
        <v>14</v>
      </c>
      <c r="B29" s="16">
        <v>4</v>
      </c>
      <c r="C29" s="16">
        <v>2018</v>
      </c>
      <c r="D29" s="9">
        <v>676800</v>
      </c>
      <c r="E29" s="10">
        <v>0.31571338652482273</v>
      </c>
      <c r="F29" s="8">
        <v>217358.52</v>
      </c>
      <c r="G29" s="8">
        <v>213674.82</v>
      </c>
      <c r="H29" s="13">
        <f t="shared" si="0"/>
        <v>99308.622000000003</v>
      </c>
      <c r="I29" s="10">
        <f t="shared" si="1"/>
        <v>0.99983262279079854</v>
      </c>
      <c r="J29" s="8">
        <f t="shared" si="2"/>
        <v>99308.622000000003</v>
      </c>
      <c r="K29" s="8">
        <v>99292</v>
      </c>
      <c r="L29" s="11">
        <v>12298000</v>
      </c>
      <c r="M29" s="10">
        <v>1.006834607253212E-2</v>
      </c>
      <c r="N29" s="8">
        <v>88280.3</v>
      </c>
      <c r="O29" s="8">
        <v>88280.3</v>
      </c>
      <c r="P29" s="11">
        <v>6287</v>
      </c>
      <c r="Q29" s="9"/>
      <c r="S29" s="17">
        <v>47289.82</v>
      </c>
    </row>
    <row r="30" spans="1:19" ht="15" x14ac:dyDescent="0.25">
      <c r="A30" s="3" t="s">
        <v>14</v>
      </c>
      <c r="B30" s="16">
        <v>5</v>
      </c>
      <c r="C30" s="16">
        <v>2018</v>
      </c>
      <c r="D30" s="9">
        <v>808800</v>
      </c>
      <c r="E30" s="10">
        <v>0.26708022997032638</v>
      </c>
      <c r="F30" s="8">
        <v>196445.39</v>
      </c>
      <c r="G30" s="8">
        <v>216014.49</v>
      </c>
      <c r="H30" s="13">
        <f t="shared" si="0"/>
        <v>96291.678</v>
      </c>
      <c r="I30" s="10">
        <f t="shared" si="1"/>
        <v>1.0466948140627479</v>
      </c>
      <c r="J30" s="8">
        <f t="shared" si="2"/>
        <v>96291.678000000014</v>
      </c>
      <c r="K30" s="8">
        <v>100788</v>
      </c>
      <c r="L30" s="11">
        <v>7686000</v>
      </c>
      <c r="M30" s="10">
        <v>1.4459030705178247E-2</v>
      </c>
      <c r="N30" s="8">
        <v>117434.55</v>
      </c>
      <c r="O30" s="8">
        <v>117434.55</v>
      </c>
      <c r="P30" s="11">
        <v>5236</v>
      </c>
      <c r="Q30" s="9"/>
      <c r="S30" s="17">
        <v>45853.18</v>
      </c>
    </row>
    <row r="31" spans="1:19" ht="15" x14ac:dyDescent="0.25">
      <c r="A31" s="3" t="s">
        <v>14</v>
      </c>
      <c r="B31" s="16">
        <v>6</v>
      </c>
      <c r="C31" s="16">
        <v>2018</v>
      </c>
      <c r="D31" s="9">
        <v>757200</v>
      </c>
      <c r="E31" s="10">
        <v>0.29474458531431591</v>
      </c>
      <c r="F31" s="8">
        <v>201907.05</v>
      </c>
      <c r="G31" s="8">
        <v>223180.6</v>
      </c>
      <c r="H31" s="13">
        <f t="shared" si="0"/>
        <v>180862.41600000003</v>
      </c>
      <c r="I31" s="10">
        <f t="shared" si="1"/>
        <v>0.53959248227669365</v>
      </c>
      <c r="J31" s="8">
        <f t="shared" si="2"/>
        <v>180862.416</v>
      </c>
      <c r="K31" s="8">
        <v>97592</v>
      </c>
      <c r="L31" s="11">
        <v>6321000</v>
      </c>
      <c r="M31" s="10">
        <v>1.739485049833887E-2</v>
      </c>
      <c r="N31" s="8">
        <v>97513.05</v>
      </c>
      <c r="O31" s="8">
        <v>97513.05</v>
      </c>
      <c r="P31" s="11">
        <v>3797</v>
      </c>
      <c r="Q31" s="9"/>
      <c r="S31" s="17">
        <v>86124.96</v>
      </c>
    </row>
    <row r="32" spans="1:19" ht="15" x14ac:dyDescent="0.25">
      <c r="A32" s="3" t="s">
        <v>14</v>
      </c>
      <c r="B32" s="16">
        <v>7</v>
      </c>
      <c r="C32" s="16">
        <v>2018</v>
      </c>
      <c r="D32" s="9">
        <v>817200</v>
      </c>
      <c r="E32" s="10">
        <v>0.31422361722956438</v>
      </c>
      <c r="F32" s="8">
        <v>224475.05</v>
      </c>
      <c r="G32" s="8">
        <v>256783.54</v>
      </c>
      <c r="H32" s="13">
        <f t="shared" si="0"/>
        <v>93592.821000000011</v>
      </c>
      <c r="I32" s="10">
        <f t="shared" si="1"/>
        <v>1.076877466915972</v>
      </c>
      <c r="J32" s="8">
        <f t="shared" si="2"/>
        <v>93592.821000000011</v>
      </c>
      <c r="K32" s="8">
        <v>100788</v>
      </c>
      <c r="L32" s="11">
        <v>8316000</v>
      </c>
      <c r="M32" s="10">
        <v>1.5832406204906207E-2</v>
      </c>
      <c r="N32" s="8">
        <v>101304.47</v>
      </c>
      <c r="O32" s="8">
        <v>101304.47</v>
      </c>
      <c r="P32" s="11">
        <v>4754</v>
      </c>
      <c r="Q32" s="9"/>
      <c r="S32" s="17">
        <v>44568.01</v>
      </c>
    </row>
    <row r="33" spans="1:25" ht="15" x14ac:dyDescent="0.25">
      <c r="A33" s="3" t="s">
        <v>14</v>
      </c>
      <c r="B33" s="16">
        <v>8</v>
      </c>
      <c r="C33" s="16">
        <v>2018</v>
      </c>
      <c r="D33" s="9">
        <v>843600</v>
      </c>
      <c r="E33" s="10">
        <v>0.28581021811284968</v>
      </c>
      <c r="F33" s="8">
        <v>216536.06</v>
      </c>
      <c r="G33" s="8">
        <v>241109.5</v>
      </c>
      <c r="H33" s="13">
        <f t="shared" si="0"/>
        <v>103241.27100000001</v>
      </c>
      <c r="I33" s="10">
        <f t="shared" si="1"/>
        <v>0.97623749711488916</v>
      </c>
      <c r="J33" s="8">
        <f t="shared" si="2"/>
        <v>103241.27100000001</v>
      </c>
      <c r="K33" s="8">
        <v>100788</v>
      </c>
      <c r="L33" s="11">
        <v>8165000</v>
      </c>
      <c r="M33" s="10">
        <v>1.5891685241886101E-2</v>
      </c>
      <c r="N33" s="8">
        <v>98112.81</v>
      </c>
      <c r="O33" s="8">
        <v>98112.81</v>
      </c>
      <c r="P33" s="11">
        <v>4425</v>
      </c>
      <c r="Q33" s="9"/>
      <c r="S33" s="17">
        <v>49162.51</v>
      </c>
    </row>
    <row r="34" spans="1:25" ht="15" x14ac:dyDescent="0.25">
      <c r="A34" s="3" t="s">
        <v>14</v>
      </c>
      <c r="B34" s="16">
        <v>9</v>
      </c>
      <c r="C34" s="16">
        <v>2018</v>
      </c>
      <c r="D34" s="9">
        <v>817200</v>
      </c>
      <c r="E34" s="10">
        <v>0.31773229319627999</v>
      </c>
      <c r="F34" s="8">
        <v>212456.82</v>
      </c>
      <c r="G34" s="8">
        <v>259650.83</v>
      </c>
      <c r="H34" s="13">
        <f t="shared" si="0"/>
        <v>92754.228000000003</v>
      </c>
      <c r="I34" s="10">
        <f t="shared" si="1"/>
        <v>1.0521568892794839</v>
      </c>
      <c r="J34" s="8">
        <f t="shared" si="2"/>
        <v>92754.227999999988</v>
      </c>
      <c r="K34" s="8">
        <v>97592</v>
      </c>
      <c r="L34" s="11">
        <v>6806670</v>
      </c>
      <c r="M34" s="10">
        <v>1.8306643336609533E-2</v>
      </c>
      <c r="N34" s="8">
        <v>101311.46</v>
      </c>
      <c r="O34" s="8">
        <v>101311.46</v>
      </c>
      <c r="P34" s="11">
        <v>4273</v>
      </c>
      <c r="Q34" s="9"/>
      <c r="S34" s="17">
        <v>44168.68</v>
      </c>
    </row>
    <row r="35" spans="1:25" ht="15" x14ac:dyDescent="0.25">
      <c r="A35" s="3" t="s">
        <v>14</v>
      </c>
      <c r="B35" s="16">
        <v>10</v>
      </c>
      <c r="C35" s="16">
        <v>2018</v>
      </c>
      <c r="D35" s="9">
        <v>889200</v>
      </c>
      <c r="E35" s="10">
        <v>0.28272437022042285</v>
      </c>
      <c r="F35" s="8">
        <v>222916.41</v>
      </c>
      <c r="G35" s="8">
        <v>251398.51</v>
      </c>
      <c r="H35" s="13">
        <f t="shared" si="0"/>
        <v>80178.672000000006</v>
      </c>
      <c r="I35" s="10">
        <f t="shared" si="1"/>
        <v>1.257042521233078</v>
      </c>
      <c r="J35" s="8">
        <f t="shared" si="2"/>
        <v>80178.672000000006</v>
      </c>
      <c r="K35" s="8">
        <v>100788</v>
      </c>
      <c r="L35" s="11">
        <v>6854000</v>
      </c>
      <c r="M35" s="10">
        <v>1.840194047271666E-2</v>
      </c>
      <c r="N35" s="8">
        <v>104693.25</v>
      </c>
      <c r="O35" s="8">
        <v>104693.25</v>
      </c>
      <c r="P35" s="11">
        <v>5010</v>
      </c>
      <c r="Q35" s="9"/>
      <c r="S35" s="17">
        <v>38180.32</v>
      </c>
    </row>
    <row r="36" spans="1:25" ht="15" x14ac:dyDescent="0.25">
      <c r="A36" s="3" t="s">
        <v>14</v>
      </c>
      <c r="B36" s="16">
        <v>11</v>
      </c>
      <c r="C36" s="16">
        <v>2018</v>
      </c>
      <c r="D36" s="4">
        <v>812400</v>
      </c>
      <c r="E36" s="5">
        <v>0.31339235598227477</v>
      </c>
      <c r="F36" s="8">
        <v>222916.41</v>
      </c>
      <c r="G36" s="7">
        <v>254599.95</v>
      </c>
      <c r="H36" s="13">
        <f t="shared" si="0"/>
        <v>80445.497999999992</v>
      </c>
      <c r="I36" s="10">
        <f t="shared" si="1"/>
        <v>1.237570808499439</v>
      </c>
      <c r="J36" s="8">
        <f t="shared" si="2"/>
        <v>80445.497999999992</v>
      </c>
      <c r="K36" s="7">
        <v>99557</v>
      </c>
      <c r="L36" s="4">
        <v>6312000</v>
      </c>
      <c r="M36" s="5">
        <v>1.8890611533586819E-2</v>
      </c>
      <c r="N36" s="8">
        <v>123968.33</v>
      </c>
      <c r="O36" s="7">
        <v>123968.33</v>
      </c>
      <c r="P36" s="4">
        <v>5480</v>
      </c>
      <c r="Q36" s="4"/>
      <c r="R36" s="17"/>
      <c r="S36" s="17">
        <v>38307.379999999997</v>
      </c>
    </row>
    <row r="37" spans="1:25" ht="15" x14ac:dyDescent="0.25">
      <c r="A37" s="3" t="s">
        <v>14</v>
      </c>
      <c r="B37" s="16">
        <v>12</v>
      </c>
      <c r="C37" s="16">
        <v>2018</v>
      </c>
      <c r="D37" s="4">
        <v>801600</v>
      </c>
      <c r="E37" s="5">
        <v>0.33939099301397208</v>
      </c>
      <c r="F37" s="8">
        <v>225531.31</v>
      </c>
      <c r="G37" s="8">
        <v>272055.82</v>
      </c>
      <c r="H37" s="13">
        <f t="shared" si="0"/>
        <v>85891.407000000007</v>
      </c>
      <c r="I37" s="10">
        <f t="shared" si="1"/>
        <v>1.1970813331769032</v>
      </c>
      <c r="J37" s="8">
        <f t="shared" si="2"/>
        <v>85891.407000000007</v>
      </c>
      <c r="K37" s="7">
        <v>102819</v>
      </c>
      <c r="L37" s="4">
        <v>8803000</v>
      </c>
      <c r="M37" s="5">
        <v>1.3702283312507099E-2</v>
      </c>
      <c r="N37" s="8">
        <v>98711.5</v>
      </c>
      <c r="O37" s="7">
        <v>98711.5</v>
      </c>
      <c r="P37" s="4">
        <v>4885</v>
      </c>
      <c r="Q37" s="17"/>
      <c r="R37" s="17"/>
      <c r="S37" s="17">
        <v>40900.67</v>
      </c>
      <c r="T37" s="17"/>
      <c r="U37" s="17"/>
      <c r="X37" s="17"/>
      <c r="Y37" s="17"/>
    </row>
    <row r="38" spans="1:25" ht="15" x14ac:dyDescent="0.25">
      <c r="A38" s="3" t="s">
        <v>14</v>
      </c>
      <c r="B38" s="16">
        <v>1</v>
      </c>
      <c r="C38" s="16">
        <v>2019</v>
      </c>
      <c r="D38" s="4">
        <v>735600</v>
      </c>
      <c r="E38" s="5">
        <v>0.28507790918977705</v>
      </c>
      <c r="F38" s="8">
        <v>249920.11</v>
      </c>
      <c r="G38" s="8">
        <v>209703.31</v>
      </c>
      <c r="H38" s="13">
        <f t="shared" si="0"/>
        <v>84657.615000000005</v>
      </c>
      <c r="I38" s="10">
        <f t="shared" si="1"/>
        <v>1.5740698577440433</v>
      </c>
      <c r="J38" s="8">
        <f t="shared" si="2"/>
        <v>84657.615000000005</v>
      </c>
      <c r="K38" s="7">
        <v>133257</v>
      </c>
      <c r="L38" s="4">
        <v>7879000</v>
      </c>
      <c r="M38" s="5">
        <v>1.4769644624952404E-2</v>
      </c>
      <c r="N38" s="8">
        <v>146393.54639999999</v>
      </c>
      <c r="O38" s="7">
        <v>146393.54639999999</v>
      </c>
      <c r="P38" s="4">
        <v>5842</v>
      </c>
      <c r="Q38" s="17"/>
      <c r="S38" s="17">
        <v>40313.15</v>
      </c>
    </row>
    <row r="39" spans="1:25" ht="15" x14ac:dyDescent="0.25">
      <c r="A39" s="3" t="s">
        <v>14</v>
      </c>
      <c r="B39" s="16">
        <v>2</v>
      </c>
      <c r="C39" s="16">
        <v>2019</v>
      </c>
      <c r="D39" s="4">
        <v>704400</v>
      </c>
      <c r="E39" s="5">
        <v>0.28424713231118681</v>
      </c>
      <c r="F39" s="8">
        <v>225937.85</v>
      </c>
      <c r="G39" s="8">
        <v>200223.68</v>
      </c>
      <c r="H39" s="13">
        <f t="shared" si="0"/>
        <v>80146.668000000005</v>
      </c>
      <c r="I39" s="10">
        <f t="shared" si="1"/>
        <v>1.4889202879900134</v>
      </c>
      <c r="J39" s="8">
        <f t="shared" si="2"/>
        <v>80146.668000000005</v>
      </c>
      <c r="K39" s="7">
        <v>119332</v>
      </c>
      <c r="L39" s="4">
        <v>6476000</v>
      </c>
      <c r="M39" s="5">
        <v>1.7669274243360098E-2</v>
      </c>
      <c r="N39" s="8">
        <v>113856.92419999999</v>
      </c>
      <c r="O39" s="7">
        <v>113856.92419999999</v>
      </c>
      <c r="P39" s="4">
        <v>5411</v>
      </c>
      <c r="Q39" s="17"/>
      <c r="R39" s="17"/>
      <c r="S39" s="17">
        <v>38165.08</v>
      </c>
    </row>
    <row r="40" spans="1:25" ht="15" x14ac:dyDescent="0.25">
      <c r="A40" s="3" t="s">
        <v>14</v>
      </c>
      <c r="B40" s="16">
        <v>3</v>
      </c>
      <c r="C40" s="16">
        <v>2019</v>
      </c>
      <c r="D40" s="4">
        <v>699600</v>
      </c>
      <c r="E40" s="5">
        <v>0.29964336763865068</v>
      </c>
      <c r="F40" s="8">
        <v>249233.34</v>
      </c>
      <c r="G40" s="8">
        <v>209630.5</v>
      </c>
      <c r="H40" s="13">
        <f t="shared" si="0"/>
        <v>56146.082999999999</v>
      </c>
      <c r="I40" s="10">
        <f t="shared" si="1"/>
        <v>2.3179355183156765</v>
      </c>
      <c r="J40" s="8">
        <f t="shared" si="2"/>
        <v>56146.083000000006</v>
      </c>
      <c r="K40" s="7">
        <v>130143</v>
      </c>
      <c r="L40" s="4">
        <v>6680000</v>
      </c>
      <c r="M40" s="5">
        <v>1.9518866766467066E-2</v>
      </c>
      <c r="N40" s="8">
        <v>115638.3144</v>
      </c>
      <c r="O40" s="7">
        <v>115638.3144</v>
      </c>
      <c r="P40" s="4">
        <v>6070</v>
      </c>
      <c r="S40" s="17">
        <v>26736.23</v>
      </c>
    </row>
    <row r="41" spans="1:25" ht="15" x14ac:dyDescent="0.25">
      <c r="A41" s="3" t="s">
        <v>14</v>
      </c>
      <c r="B41" s="16">
        <v>4</v>
      </c>
      <c r="C41" s="16">
        <v>2019</v>
      </c>
      <c r="D41" s="4">
        <v>808800</v>
      </c>
      <c r="E41" s="5">
        <v>0.28368992334322451</v>
      </c>
      <c r="F41" s="8">
        <v>234111.8</v>
      </c>
      <c r="G41" s="8">
        <v>229448.41</v>
      </c>
      <c r="H41" s="13">
        <f t="shared" si="0"/>
        <v>74180.252999999997</v>
      </c>
      <c r="I41" s="10">
        <f t="shared" si="1"/>
        <v>1.4364739359947991</v>
      </c>
      <c r="J41" s="8">
        <f t="shared" si="2"/>
        <v>74180.252999999997</v>
      </c>
      <c r="K41" s="7">
        <v>106558</v>
      </c>
      <c r="L41" s="4">
        <v>7732000</v>
      </c>
      <c r="M41" s="5">
        <v>1.6817484480082773E-2</v>
      </c>
      <c r="N41" s="8">
        <v>128154.23820000001</v>
      </c>
      <c r="O41" s="7">
        <v>128154.23820000001</v>
      </c>
      <c r="P41" s="4">
        <v>5550</v>
      </c>
      <c r="S41" s="17">
        <v>35323.93</v>
      </c>
    </row>
    <row r="42" spans="1:25" ht="15" x14ac:dyDescent="0.25">
      <c r="A42" s="3" t="s">
        <v>14</v>
      </c>
      <c r="B42" s="16">
        <v>5</v>
      </c>
      <c r="C42" s="16">
        <v>2019</v>
      </c>
      <c r="D42" s="4">
        <v>801600</v>
      </c>
      <c r="E42" s="5">
        <v>0.30418519211576844</v>
      </c>
      <c r="F42" s="8">
        <v>240381.71</v>
      </c>
      <c r="G42" s="8">
        <v>243834.85</v>
      </c>
      <c r="H42" s="13">
        <f t="shared" si="0"/>
        <v>96378.40800000001</v>
      </c>
      <c r="I42" s="10">
        <f t="shared" si="1"/>
        <v>1.1687368813977503</v>
      </c>
      <c r="J42" s="8">
        <f t="shared" si="2"/>
        <v>96378.40800000001</v>
      </c>
      <c r="K42" s="7">
        <v>112641</v>
      </c>
      <c r="L42" s="4">
        <v>5817000</v>
      </c>
      <c r="M42" s="5">
        <v>1.7842308750214888E-2</v>
      </c>
      <c r="N42" s="8">
        <v>115021.73390000001</v>
      </c>
      <c r="O42" s="7">
        <v>115021.73390000001</v>
      </c>
      <c r="P42" s="4">
        <v>5878</v>
      </c>
      <c r="S42" s="17">
        <v>45894.48</v>
      </c>
    </row>
    <row r="43" spans="1:25" ht="15" x14ac:dyDescent="0.25">
      <c r="A43" s="3" t="s">
        <v>14</v>
      </c>
      <c r="B43" s="16">
        <v>6</v>
      </c>
      <c r="C43" s="16">
        <v>2019</v>
      </c>
      <c r="D43" s="4">
        <v>819600</v>
      </c>
      <c r="E43" s="5">
        <v>0.30512384089799904</v>
      </c>
      <c r="F43" s="8">
        <v>242779.03</v>
      </c>
      <c r="G43" s="8">
        <v>250079.5</v>
      </c>
      <c r="H43" s="13">
        <f t="shared" si="0"/>
        <v>80821.377000000008</v>
      </c>
      <c r="I43" s="10">
        <f t="shared" si="1"/>
        <v>1.2492610711148857</v>
      </c>
      <c r="J43" s="8">
        <f t="shared" si="2"/>
        <v>80821.377000000008</v>
      </c>
      <c r="K43" s="7">
        <v>100967</v>
      </c>
      <c r="L43" s="4">
        <v>6129000</v>
      </c>
      <c r="M43" s="5">
        <v>1.4356072768804046E-2</v>
      </c>
      <c r="N43" s="8">
        <v>113801.1998</v>
      </c>
      <c r="O43" s="7">
        <v>113801.1998</v>
      </c>
      <c r="P43" s="4">
        <v>5167</v>
      </c>
      <c r="S43" s="17">
        <v>38486.370000000003</v>
      </c>
    </row>
    <row r="44" spans="1:25" ht="15" x14ac:dyDescent="0.25">
      <c r="A44" s="3" t="s">
        <v>14</v>
      </c>
      <c r="B44" s="16">
        <v>7</v>
      </c>
      <c r="C44" s="16">
        <v>2019</v>
      </c>
      <c r="D44" s="4">
        <v>848400</v>
      </c>
      <c r="E44" s="5">
        <v>0.28292561291843471</v>
      </c>
      <c r="F44" s="8">
        <v>278477.53999999998</v>
      </c>
      <c r="G44" s="8">
        <v>240034.09</v>
      </c>
      <c r="H44" s="13">
        <f t="shared" si="0"/>
        <v>79115.337</v>
      </c>
      <c r="I44" s="10">
        <f t="shared" si="1"/>
        <v>1.4127222892319855</v>
      </c>
      <c r="J44" s="8">
        <f t="shared" si="2"/>
        <v>79115.337</v>
      </c>
      <c r="K44" s="7">
        <v>111768</v>
      </c>
      <c r="L44" s="12">
        <v>7377000</v>
      </c>
      <c r="M44" s="5">
        <v>1.4703582757218382E-2</v>
      </c>
      <c r="N44" s="8">
        <v>136270.47020000001</v>
      </c>
      <c r="O44" s="7">
        <v>136270.47020000001</v>
      </c>
      <c r="P44" s="4">
        <v>5430</v>
      </c>
      <c r="S44" s="17">
        <v>37673.97</v>
      </c>
    </row>
    <row r="45" spans="1:25" ht="15" x14ac:dyDescent="0.25">
      <c r="A45" s="3" t="s">
        <v>14</v>
      </c>
      <c r="B45" s="16">
        <v>8</v>
      </c>
      <c r="C45" s="16">
        <v>2019</v>
      </c>
      <c r="D45" s="4">
        <v>861600</v>
      </c>
      <c r="E45" s="5">
        <v>0.27678363509749304</v>
      </c>
      <c r="F45" s="8">
        <v>256934.26</v>
      </c>
      <c r="G45" s="8">
        <v>238476.78</v>
      </c>
      <c r="H45" s="13">
        <f t="shared" si="0"/>
        <v>79124.955000000016</v>
      </c>
      <c r="I45" s="10">
        <f t="shared" si="1"/>
        <v>1.5135806396351186</v>
      </c>
      <c r="J45" s="8">
        <f t="shared" si="2"/>
        <v>79124.955000000016</v>
      </c>
      <c r="K45" s="7">
        <v>119762</v>
      </c>
      <c r="L45" s="4">
        <v>6473000</v>
      </c>
      <c r="M45" s="5">
        <v>1.7052709717287194E-2</v>
      </c>
      <c r="N45" s="8">
        <v>134297.0564</v>
      </c>
      <c r="O45" s="7">
        <v>134297.0564</v>
      </c>
      <c r="P45" s="4">
        <v>6176</v>
      </c>
      <c r="S45" s="17">
        <v>37678.550000000003</v>
      </c>
    </row>
    <row r="46" spans="1:25" ht="15" x14ac:dyDescent="0.25">
      <c r="A46" s="3" t="s">
        <v>14</v>
      </c>
      <c r="B46" s="16">
        <v>9</v>
      </c>
      <c r="C46" s="16">
        <v>2019</v>
      </c>
      <c r="D46" s="4">
        <v>822000</v>
      </c>
      <c r="E46" s="5">
        <v>0.28782284671532848</v>
      </c>
      <c r="F46" s="8">
        <v>248987.46</v>
      </c>
      <c r="G46" s="8">
        <v>236590.38</v>
      </c>
      <c r="H46" s="13">
        <f t="shared" si="0"/>
        <v>76609.239000000001</v>
      </c>
      <c r="I46" s="10">
        <f t="shared" si="1"/>
        <v>1.4925484379240472</v>
      </c>
      <c r="J46" s="8">
        <f t="shared" si="2"/>
        <v>76609.239000000001</v>
      </c>
      <c r="K46" s="7">
        <v>114343</v>
      </c>
      <c r="L46" s="4">
        <v>9330000</v>
      </c>
      <c r="M46" s="5">
        <v>1.1173306538049302E-2</v>
      </c>
      <c r="N46" s="8">
        <v>125557.36109999999</v>
      </c>
      <c r="O46" s="7">
        <v>125557.36109999999</v>
      </c>
      <c r="P46" s="4">
        <v>4473</v>
      </c>
      <c r="S46" s="17">
        <v>36480.589999999997</v>
      </c>
    </row>
    <row r="47" spans="1:25" ht="15" x14ac:dyDescent="0.25">
      <c r="A47" s="3" t="s">
        <v>14</v>
      </c>
      <c r="B47" s="16">
        <v>10</v>
      </c>
      <c r="C47" s="16">
        <v>2019</v>
      </c>
      <c r="D47" s="4">
        <v>870000</v>
      </c>
      <c r="E47" s="5">
        <v>0.25986737931034481</v>
      </c>
      <c r="F47" s="8">
        <v>250849.99</v>
      </c>
      <c r="G47" s="8">
        <v>226084.62</v>
      </c>
      <c r="H47" s="13">
        <f t="shared" si="0"/>
        <v>79847.859000000011</v>
      </c>
      <c r="I47" s="10">
        <f t="shared" si="1"/>
        <v>1.1961623166376945</v>
      </c>
      <c r="J47" s="8">
        <f t="shared" si="2"/>
        <v>79847.859000000011</v>
      </c>
      <c r="K47" s="7">
        <v>95511</v>
      </c>
      <c r="L47" s="4">
        <v>10923000</v>
      </c>
      <c r="M47" s="5">
        <v>9.130581342122128E-3</v>
      </c>
      <c r="N47" s="8">
        <v>129057.5138</v>
      </c>
      <c r="O47" s="7">
        <v>129057.5138</v>
      </c>
      <c r="P47" s="4">
        <v>5689</v>
      </c>
      <c r="S47" s="17">
        <v>38022.79</v>
      </c>
    </row>
    <row r="48" spans="1:25" ht="15" x14ac:dyDescent="0.25">
      <c r="A48" s="3" t="s">
        <v>14</v>
      </c>
      <c r="B48" s="16">
        <v>11</v>
      </c>
      <c r="C48" s="16">
        <v>2019</v>
      </c>
      <c r="D48" s="4">
        <v>747600</v>
      </c>
      <c r="E48" s="5">
        <v>0.29593606206527551</v>
      </c>
      <c r="F48" s="8">
        <v>239674.81</v>
      </c>
      <c r="G48" s="8">
        <v>221241.8</v>
      </c>
      <c r="H48" s="13">
        <f t="shared" si="0"/>
        <v>76445.396999999997</v>
      </c>
      <c r="I48" s="10">
        <f t="shared" si="1"/>
        <v>1.1960039922351375</v>
      </c>
      <c r="J48" s="8">
        <f t="shared" si="2"/>
        <v>76445.396999999997</v>
      </c>
      <c r="K48" s="7">
        <v>91429</v>
      </c>
      <c r="L48" s="4">
        <v>10923000</v>
      </c>
      <c r="M48" s="5">
        <v>1.0464990387256248E-2</v>
      </c>
      <c r="N48" s="8">
        <v>128307.2216</v>
      </c>
      <c r="O48" s="7">
        <v>128307.2216</v>
      </c>
      <c r="P48" s="4">
        <v>5052</v>
      </c>
      <c r="S48" s="17">
        <v>36402.57</v>
      </c>
    </row>
    <row r="49" spans="1:19" ht="15" x14ac:dyDescent="0.25">
      <c r="A49" s="3" t="s">
        <v>14</v>
      </c>
      <c r="B49" s="16">
        <v>12</v>
      </c>
      <c r="C49" s="16">
        <v>2019</v>
      </c>
      <c r="D49" s="4">
        <v>726000</v>
      </c>
      <c r="E49" s="5">
        <v>0.30182778236914598</v>
      </c>
      <c r="F49" s="8">
        <v>248987.46</v>
      </c>
      <c r="G49" s="8">
        <v>219126.97</v>
      </c>
      <c r="H49" s="13">
        <f t="shared" si="0"/>
        <v>83240.703000000009</v>
      </c>
      <c r="I49" s="10">
        <f t="shared" si="1"/>
        <v>1.2955200534526961</v>
      </c>
      <c r="J49" s="8">
        <f t="shared" si="2"/>
        <v>83240.703000000009</v>
      </c>
      <c r="K49" s="7">
        <v>107840</v>
      </c>
      <c r="L49" s="4">
        <v>19713100</v>
      </c>
      <c r="M49" s="5">
        <v>4.3029345967909661E-3</v>
      </c>
      <c r="N49" s="8">
        <v>102166.4025</v>
      </c>
      <c r="O49" s="7">
        <v>102166.4025</v>
      </c>
      <c r="P49" s="4">
        <v>5870</v>
      </c>
      <c r="S49" s="17">
        <v>39638.43</v>
      </c>
    </row>
    <row r="50" spans="1:19" ht="15" x14ac:dyDescent="0.25">
      <c r="A50" s="3" t="s">
        <v>14</v>
      </c>
      <c r="B50" s="16">
        <v>1</v>
      </c>
      <c r="C50" s="16">
        <v>2020</v>
      </c>
      <c r="D50" s="4">
        <v>759600</v>
      </c>
      <c r="E50" s="5">
        <v>0.28607555292259085</v>
      </c>
      <c r="F50" s="8">
        <v>269768.26163070003</v>
      </c>
      <c r="G50" s="8">
        <v>217302.99</v>
      </c>
      <c r="H50" s="13">
        <f t="shared" si="0"/>
        <v>88416.78300000001</v>
      </c>
      <c r="I50" s="10">
        <f t="shared" si="1"/>
        <v>1.2878230245659354</v>
      </c>
      <c r="J50" s="8">
        <f t="shared" si="2"/>
        <v>88416.78300000001</v>
      </c>
      <c r="K50" s="7">
        <v>113865.16890545</v>
      </c>
      <c r="L50" s="4">
        <v>8557</v>
      </c>
      <c r="M50" s="5">
        <v>10.939165595418956</v>
      </c>
      <c r="N50" s="8">
        <v>155453.515144</v>
      </c>
      <c r="O50" s="7">
        <v>155453.515144</v>
      </c>
      <c r="P50" s="4">
        <v>6102</v>
      </c>
      <c r="S50" s="17">
        <v>42103.23</v>
      </c>
    </row>
    <row r="51" spans="1:19" ht="15" x14ac:dyDescent="0.25">
      <c r="A51" s="3" t="s">
        <v>14</v>
      </c>
      <c r="B51" s="16">
        <v>2</v>
      </c>
      <c r="C51" s="16">
        <v>2020</v>
      </c>
      <c r="D51" s="4">
        <v>621600</v>
      </c>
      <c r="E51" s="5">
        <v>0.33718539253539254</v>
      </c>
      <c r="F51" s="8">
        <v>243460.12616936999</v>
      </c>
      <c r="G51" s="8">
        <v>209594.44</v>
      </c>
      <c r="H51" s="13">
        <f t="shared" si="0"/>
        <v>77871.927000000011</v>
      </c>
      <c r="I51" s="10">
        <f t="shared" si="1"/>
        <v>1.3474830826404229</v>
      </c>
      <c r="J51" s="8">
        <f t="shared" si="2"/>
        <v>77871.927000000011</v>
      </c>
      <c r="K51" s="7">
        <v>104931.10424510999</v>
      </c>
      <c r="L51" s="4">
        <v>7952000</v>
      </c>
      <c r="M51" s="5">
        <v>1.0563581488933603E-2</v>
      </c>
      <c r="N51" s="8">
        <v>124727.83054875</v>
      </c>
      <c r="O51" s="7">
        <v>124727.83054875</v>
      </c>
      <c r="P51" s="4">
        <v>5209</v>
      </c>
      <c r="S51" s="17">
        <v>37081.870000000003</v>
      </c>
    </row>
    <row r="52" spans="1:19" ht="15" x14ac:dyDescent="0.25">
      <c r="A52" s="3" t="s">
        <v>14</v>
      </c>
      <c r="B52" s="16">
        <v>3</v>
      </c>
      <c r="C52" s="16">
        <v>2020</v>
      </c>
      <c r="D52" s="4">
        <v>612000</v>
      </c>
      <c r="E52" s="5">
        <v>0.32513632352941174</v>
      </c>
      <c r="F52" s="8">
        <v>269433.67785055999</v>
      </c>
      <c r="G52" s="8">
        <v>198983.43</v>
      </c>
      <c r="H52" s="13">
        <f t="shared" si="0"/>
        <v>72454.91399999999</v>
      </c>
      <c r="I52" s="10">
        <f t="shared" si="1"/>
        <v>1.4519281207996468</v>
      </c>
      <c r="J52" s="8">
        <f t="shared" si="2"/>
        <v>72454.91399999999</v>
      </c>
      <c r="K52" s="7">
        <v>105199.32712672</v>
      </c>
      <c r="L52" s="4">
        <v>8301000</v>
      </c>
      <c r="M52" s="5">
        <v>1.0268530297554512E-2</v>
      </c>
      <c r="N52" s="8">
        <v>143726.73496242001</v>
      </c>
      <c r="O52" s="7">
        <v>143726.73496242001</v>
      </c>
      <c r="P52" s="4">
        <v>2759</v>
      </c>
      <c r="S52" s="17">
        <v>34502.339999999997</v>
      </c>
    </row>
    <row r="53" spans="1:19" ht="15" x14ac:dyDescent="0.25">
      <c r="A53" s="3" t="s">
        <v>14</v>
      </c>
      <c r="B53" s="16">
        <v>4</v>
      </c>
      <c r="C53" s="16">
        <v>2020</v>
      </c>
      <c r="D53" s="4">
        <v>392400</v>
      </c>
      <c r="E53" s="5">
        <v>0.29228509174311929</v>
      </c>
      <c r="F53" s="8">
        <v>131637.3377666751</v>
      </c>
      <c r="G53" s="8">
        <v>114692.67</v>
      </c>
      <c r="H53" s="13">
        <f t="shared" si="0"/>
        <v>17253.474000000002</v>
      </c>
      <c r="I53" s="10">
        <f t="shared" si="1"/>
        <v>3.1627602411965019</v>
      </c>
      <c r="J53" s="8">
        <f t="shared" si="2"/>
        <v>17253.474000000002</v>
      </c>
      <c r="K53" s="7">
        <v>54568.601589717582</v>
      </c>
      <c r="L53" s="4">
        <v>7261000</v>
      </c>
      <c r="M53" s="5">
        <v>8.3862649772758566E-3</v>
      </c>
      <c r="N53" s="8">
        <v>62678.057490168721</v>
      </c>
      <c r="O53" s="7">
        <v>62678.057490168721</v>
      </c>
      <c r="P53" s="4">
        <v>0</v>
      </c>
      <c r="S53" s="17">
        <v>8215.94</v>
      </c>
    </row>
    <row r="54" spans="1:19" ht="15" x14ac:dyDescent="0.25">
      <c r="A54" s="3" t="s">
        <v>14</v>
      </c>
      <c r="B54" s="16">
        <v>5</v>
      </c>
      <c r="C54" s="16">
        <v>2020</v>
      </c>
      <c r="D54" s="4">
        <v>375600</v>
      </c>
      <c r="E54" s="5">
        <v>0.33689068157614482</v>
      </c>
      <c r="F54" s="8">
        <v>106395.51019998761</v>
      </c>
      <c r="G54" s="8">
        <v>126536.14</v>
      </c>
      <c r="H54" s="13">
        <f t="shared" si="0"/>
        <v>16636.557000000001</v>
      </c>
      <c r="I54" s="10">
        <f t="shared" si="1"/>
        <v>2.3013024376356594</v>
      </c>
      <c r="J54" s="8">
        <f t="shared" si="2"/>
        <v>16636.557000000001</v>
      </c>
      <c r="K54" s="7">
        <v>38285.749177964593</v>
      </c>
      <c r="L54" s="12">
        <v>7414000</v>
      </c>
      <c r="M54" s="5">
        <v>1.1917213380091718E-2</v>
      </c>
      <c r="N54" s="8">
        <v>44162.286765749843</v>
      </c>
      <c r="O54" s="7">
        <v>44162.286765749843</v>
      </c>
      <c r="P54" s="4">
        <v>0</v>
      </c>
      <c r="S54" s="17">
        <v>7922.17</v>
      </c>
    </row>
    <row r="55" spans="1:19" ht="15" x14ac:dyDescent="0.25">
      <c r="A55" s="3" t="s">
        <v>14</v>
      </c>
      <c r="B55" s="16">
        <v>6</v>
      </c>
      <c r="C55" s="16">
        <v>2020</v>
      </c>
      <c r="D55" s="4">
        <v>16800</v>
      </c>
      <c r="E55" s="5">
        <v>4.9301660714285713</v>
      </c>
      <c r="F55" s="8">
        <v>121800.5294906971</v>
      </c>
      <c r="G55" s="8">
        <v>82826.789999999994</v>
      </c>
      <c r="H55" s="13">
        <f t="shared" si="0"/>
        <v>9821.9310000000005</v>
      </c>
      <c r="I55" s="10">
        <f t="shared" si="1"/>
        <v>3.8441202069583906</v>
      </c>
      <c r="J55" s="8">
        <f t="shared" si="2"/>
        <v>9821.9310000000005</v>
      </c>
      <c r="K55" s="7">
        <v>37756.683428451033</v>
      </c>
      <c r="L55" s="4">
        <v>7369000</v>
      </c>
      <c r="M55" s="5">
        <v>1.0108758311846927E-2</v>
      </c>
      <c r="N55" s="8">
        <v>51282.347634070517</v>
      </c>
      <c r="O55" s="7">
        <v>51282.347634070517</v>
      </c>
      <c r="P55" s="4">
        <v>0</v>
      </c>
      <c r="S55" s="17">
        <v>4677.1099999999997</v>
      </c>
    </row>
    <row r="56" spans="1:19" ht="15" x14ac:dyDescent="0.25">
      <c r="A56" s="3" t="s">
        <v>14</v>
      </c>
      <c r="B56" s="16">
        <v>7</v>
      </c>
      <c r="C56" s="16">
        <v>2020</v>
      </c>
      <c r="D56" s="4">
        <v>382800</v>
      </c>
      <c r="E56" s="5">
        <v>0.26770083594566352</v>
      </c>
      <c r="F56" s="8">
        <v>140831.23397199999</v>
      </c>
      <c r="G56" s="8">
        <v>102475.88</v>
      </c>
      <c r="H56" s="13">
        <f t="shared" si="0"/>
        <v>11421.984000000002</v>
      </c>
      <c r="I56" s="10">
        <f t="shared" si="1"/>
        <v>4.6370503461220025</v>
      </c>
      <c r="J56" s="8">
        <f>K56/I55</f>
        <v>13778.006932438593</v>
      </c>
      <c r="K56" s="7">
        <v>52964.314860599989</v>
      </c>
      <c r="L56" s="4">
        <v>9068000</v>
      </c>
      <c r="M56" s="5">
        <v>8.5495489633877365E-3</v>
      </c>
      <c r="N56" s="8">
        <v>67721.38847759999</v>
      </c>
      <c r="O56" s="7">
        <v>67721.38847759999</v>
      </c>
      <c r="P56" s="4">
        <v>0</v>
      </c>
      <c r="S56" s="17">
        <v>5439.0400000000009</v>
      </c>
    </row>
    <row r="57" spans="1:19" ht="15" x14ac:dyDescent="0.25">
      <c r="A57" s="3" t="s">
        <v>14</v>
      </c>
      <c r="B57" s="16">
        <v>8</v>
      </c>
      <c r="C57" s="16">
        <v>2020</v>
      </c>
      <c r="D57" s="4">
        <v>384000</v>
      </c>
      <c r="E57" s="5">
        <v>0.300073125</v>
      </c>
      <c r="F57" s="8">
        <v>152396.6647887</v>
      </c>
      <c r="G57" s="8">
        <v>115228.08</v>
      </c>
      <c r="H57" s="13">
        <f t="shared" si="0"/>
        <v>20540.289000000001</v>
      </c>
      <c r="I57" s="10">
        <f t="shared" si="1"/>
        <v>2.8463379356225222</v>
      </c>
      <c r="J57" s="8">
        <f t="shared" si="2"/>
        <v>20540.289000000001</v>
      </c>
      <c r="K57" s="7">
        <v>58464.603789350003</v>
      </c>
      <c r="L57" s="4">
        <v>7061000</v>
      </c>
      <c r="M57" s="5">
        <v>1.0558289194165132E-2</v>
      </c>
      <c r="N57" s="8">
        <v>66799.870346600001</v>
      </c>
      <c r="O57" s="7">
        <v>66799.870346600001</v>
      </c>
      <c r="P57" s="4">
        <v>0</v>
      </c>
      <c r="S57" s="17">
        <v>9781.09</v>
      </c>
    </row>
    <row r="58" spans="1:19" ht="15" x14ac:dyDescent="0.25">
      <c r="A58" s="3" t="s">
        <v>14</v>
      </c>
      <c r="B58" s="16">
        <v>9</v>
      </c>
      <c r="C58" s="16">
        <v>2020</v>
      </c>
      <c r="D58" s="4">
        <v>369600</v>
      </c>
      <c r="E58" s="5">
        <v>0.29781523268398269</v>
      </c>
      <c r="F58" s="8">
        <v>126339.97865511</v>
      </c>
      <c r="G58" s="8">
        <v>110072.51</v>
      </c>
      <c r="H58" s="13">
        <f t="shared" si="0"/>
        <v>14313.621000000001</v>
      </c>
      <c r="I58" s="10">
        <f t="shared" si="1"/>
        <v>3.9688619930218922</v>
      </c>
      <c r="J58" s="8">
        <f t="shared" si="2"/>
        <v>14313.621000000001</v>
      </c>
      <c r="K58" s="7">
        <v>56808.786369420013</v>
      </c>
      <c r="L58" s="4">
        <v>8673000</v>
      </c>
      <c r="M58" s="5">
        <v>6.6140009224028599E-3</v>
      </c>
      <c r="N58" s="8">
        <v>69544.048554780005</v>
      </c>
      <c r="O58" s="7">
        <v>69544.048554780005</v>
      </c>
      <c r="P58" s="4">
        <v>0</v>
      </c>
      <c r="S58" s="17">
        <v>6816.01</v>
      </c>
    </row>
    <row r="59" spans="1:19" ht="15" x14ac:dyDescent="0.25">
      <c r="A59" s="3" t="s">
        <v>14</v>
      </c>
      <c r="B59" s="16">
        <v>10</v>
      </c>
      <c r="C59" s="16">
        <v>2020</v>
      </c>
      <c r="D59" s="4">
        <v>412800</v>
      </c>
      <c r="E59" s="5">
        <v>0.28777696220930232</v>
      </c>
      <c r="F59" s="8">
        <v>143958.14414916001</v>
      </c>
      <c r="G59" s="8">
        <v>118794.33</v>
      </c>
      <c r="H59" s="13">
        <f t="shared" si="0"/>
        <v>11306.316000000003</v>
      </c>
      <c r="I59" s="10">
        <f t="shared" si="1"/>
        <v>4.2012697739210534</v>
      </c>
      <c r="J59" s="8">
        <f t="shared" si="2"/>
        <v>11306.316000000003</v>
      </c>
      <c r="K59" s="7">
        <v>47500.883665200003</v>
      </c>
      <c r="L59" s="4">
        <v>7031000</v>
      </c>
      <c r="M59" s="5">
        <v>1.1763924050632911E-2</v>
      </c>
      <c r="N59" s="8">
        <v>68397.700996559986</v>
      </c>
      <c r="O59" s="7">
        <v>68397.700996559986</v>
      </c>
      <c r="P59" s="4">
        <v>0</v>
      </c>
      <c r="S59" s="17">
        <v>5383.9600000000009</v>
      </c>
    </row>
    <row r="60" spans="1:19" ht="15" x14ac:dyDescent="0.25">
      <c r="A60" s="3" t="s">
        <v>14</v>
      </c>
      <c r="B60" s="16">
        <v>11</v>
      </c>
      <c r="C60" s="16">
        <v>2020</v>
      </c>
      <c r="D60" s="4">
        <v>475200</v>
      </c>
      <c r="E60" s="5">
        <v>0.26053714225589225</v>
      </c>
      <c r="F60" s="8">
        <v>224971.8061674801</v>
      </c>
      <c r="G60" s="8">
        <v>123807.25</v>
      </c>
      <c r="H60" s="13">
        <f t="shared" si="0"/>
        <v>21224.615999999998</v>
      </c>
      <c r="I60" s="10">
        <f t="shared" si="1"/>
        <v>3.9242523679806527</v>
      </c>
      <c r="J60" s="8">
        <f t="shared" si="2"/>
        <v>21224.615999999998</v>
      </c>
      <c r="K60" s="7">
        <v>83290.74959748004</v>
      </c>
      <c r="L60" s="4">
        <v>6925000</v>
      </c>
      <c r="M60" s="5">
        <v>9.9207018050541523E-3</v>
      </c>
      <c r="N60" s="8">
        <v>100136.03012962001</v>
      </c>
      <c r="O60" s="7">
        <v>100136.03012962001</v>
      </c>
      <c r="P60" s="4">
        <v>0</v>
      </c>
      <c r="S60" s="17">
        <v>10106.959999999999</v>
      </c>
    </row>
    <row r="61" spans="1:19" ht="15" x14ac:dyDescent="0.25">
      <c r="A61" s="3" t="s">
        <v>14</v>
      </c>
      <c r="B61" s="16">
        <v>12</v>
      </c>
      <c r="C61" s="16">
        <v>2020</v>
      </c>
      <c r="D61" s="4">
        <v>636000</v>
      </c>
      <c r="E61" s="5">
        <v>0.26046965408805034</v>
      </c>
      <c r="F61" s="8">
        <v>402256.20540039998</v>
      </c>
      <c r="G61" s="8">
        <v>165658.70000000001</v>
      </c>
      <c r="H61" s="13">
        <f t="shared" si="0"/>
        <v>60676.203000000001</v>
      </c>
      <c r="I61" s="10">
        <f t="shared" si="1"/>
        <v>2.2464473716735376</v>
      </c>
      <c r="J61" s="8">
        <f t="shared" si="2"/>
        <v>60676.202999999994</v>
      </c>
      <c r="K61" s="7">
        <v>136305.89675248001</v>
      </c>
      <c r="L61" s="4">
        <v>9479000</v>
      </c>
      <c r="M61" s="5">
        <v>7.9172560396666321E-3</v>
      </c>
      <c r="N61" s="8">
        <v>136414.91954376001</v>
      </c>
      <c r="O61" s="7">
        <v>136414.91954376001</v>
      </c>
      <c r="P61" s="4">
        <v>2281</v>
      </c>
      <c r="S61" s="17">
        <v>28893.43</v>
      </c>
    </row>
    <row r="62" spans="1:19" ht="15" x14ac:dyDescent="0.25">
      <c r="A62" s="3" t="s">
        <v>14</v>
      </c>
      <c r="B62" s="4">
        <v>1</v>
      </c>
      <c r="C62" s="4">
        <v>2021</v>
      </c>
      <c r="D62" s="4">
        <v>622800</v>
      </c>
      <c r="E62" s="5">
        <v>0.2583535484906872</v>
      </c>
      <c r="F62" s="8">
        <v>141495.14019999999</v>
      </c>
      <c r="G62" s="8">
        <v>160902.59</v>
      </c>
      <c r="H62" s="13">
        <f t="shared" si="0"/>
        <v>67972.947</v>
      </c>
      <c r="I62" s="10">
        <f t="shared" si="1"/>
        <v>1.3308717010607176</v>
      </c>
      <c r="J62" s="8">
        <v>80147.199999999997</v>
      </c>
      <c r="K62" s="7">
        <v>90463.271600000007</v>
      </c>
      <c r="L62" s="4">
        <v>6802000</v>
      </c>
      <c r="M62" s="5">
        <v>1.0678635695383711E-2</v>
      </c>
      <c r="N62" s="8">
        <v>104580.0012</v>
      </c>
      <c r="O62" s="7">
        <v>104580.0012</v>
      </c>
      <c r="P62" s="4">
        <v>2223</v>
      </c>
      <c r="S62" s="17">
        <v>32368.07</v>
      </c>
    </row>
    <row r="63" spans="1:19" ht="15" x14ac:dyDescent="0.25">
      <c r="A63" s="3" t="s">
        <v>14</v>
      </c>
      <c r="B63" s="4">
        <v>2</v>
      </c>
      <c r="C63" s="4">
        <v>2021</v>
      </c>
      <c r="D63" s="4">
        <v>573600</v>
      </c>
      <c r="E63" s="5">
        <v>0.2656354951185495</v>
      </c>
      <c r="F63" s="8">
        <v>139801.06375968558</v>
      </c>
      <c r="G63" s="8">
        <v>152368.51999999999</v>
      </c>
      <c r="H63" s="13">
        <f t="shared" si="0"/>
        <v>59288.271000000008</v>
      </c>
      <c r="I63" s="10">
        <f t="shared" si="1"/>
        <v>1.4326826782099449</v>
      </c>
      <c r="J63" s="8">
        <v>69094.19</v>
      </c>
      <c r="K63" s="7">
        <v>84941.278882717015</v>
      </c>
      <c r="L63" s="4">
        <v>6847000</v>
      </c>
      <c r="M63" s="5">
        <v>9.7883438002044684E-3</v>
      </c>
      <c r="N63" s="8">
        <v>103814.69647652052</v>
      </c>
      <c r="O63" s="7">
        <v>103814.69647652052</v>
      </c>
      <c r="P63" s="4">
        <v>2653</v>
      </c>
      <c r="S63" s="17">
        <v>28232.510000000002</v>
      </c>
    </row>
    <row r="64" spans="1:19" ht="15" x14ac:dyDescent="0.25">
      <c r="A64" s="3" t="s">
        <v>14</v>
      </c>
      <c r="B64" s="4">
        <v>3</v>
      </c>
      <c r="C64" s="4">
        <v>2021</v>
      </c>
      <c r="D64" s="4">
        <v>680400</v>
      </c>
      <c r="E64" s="5">
        <v>0.27165511463844799</v>
      </c>
      <c r="F64" s="8">
        <v>177821.10819999999</v>
      </c>
      <c r="G64" s="8">
        <v>184834.14</v>
      </c>
      <c r="H64" s="13">
        <f t="shared" si="0"/>
        <v>69312.663</v>
      </c>
      <c r="I64" s="10">
        <f t="shared" si="1"/>
        <v>1.3530948565632228</v>
      </c>
      <c r="J64" s="7">
        <v>83874.820000000007</v>
      </c>
      <c r="K64" s="7">
        <v>93786.607799999998</v>
      </c>
      <c r="L64" s="4">
        <v>8857000</v>
      </c>
      <c r="M64" s="5">
        <v>8.3416450265326857E-3</v>
      </c>
      <c r="N64" s="8">
        <v>122049.35</v>
      </c>
      <c r="O64" s="7">
        <v>122049.35</v>
      </c>
      <c r="P64" s="3">
        <v>4570</v>
      </c>
      <c r="S64" s="17">
        <v>33006.03</v>
      </c>
    </row>
    <row r="65" spans="1:19" ht="15" x14ac:dyDescent="0.25">
      <c r="A65" s="3" t="s">
        <v>14</v>
      </c>
      <c r="B65" s="4">
        <v>4</v>
      </c>
      <c r="C65" s="4">
        <v>2021</v>
      </c>
      <c r="D65" s="4">
        <v>637200</v>
      </c>
      <c r="E65" s="5">
        <v>0.2734942561205273</v>
      </c>
      <c r="F65" s="8">
        <v>214657.86042739375</v>
      </c>
      <c r="G65" s="8">
        <v>174270.54</v>
      </c>
      <c r="H65" s="13">
        <f t="shared" si="0"/>
        <v>65495.682000000008</v>
      </c>
      <c r="I65" s="10">
        <f t="shared" si="1"/>
        <v>1.3868589704007805</v>
      </c>
      <c r="J65" s="7">
        <v>74640.490000000005</v>
      </c>
      <c r="K65" s="7">
        <v>90833.274104216951</v>
      </c>
      <c r="L65" s="4">
        <v>8214000</v>
      </c>
      <c r="M65" s="5">
        <v>1.0486750669588507E-2</v>
      </c>
      <c r="N65" s="8">
        <v>128596.21093274609</v>
      </c>
      <c r="O65" s="7">
        <v>128596.21093274609</v>
      </c>
      <c r="P65" s="3">
        <v>4580</v>
      </c>
      <c r="S65" s="17">
        <v>31188.420000000002</v>
      </c>
    </row>
    <row r="66" spans="1:19" ht="15" x14ac:dyDescent="0.25">
      <c r="A66" s="3" t="s">
        <v>14</v>
      </c>
      <c r="B66" s="4">
        <v>5</v>
      </c>
      <c r="C66" s="4">
        <v>2021</v>
      </c>
      <c r="D66" s="4">
        <v>745200</v>
      </c>
      <c r="E66" s="5">
        <v>0.29120662909286099</v>
      </c>
      <c r="F66" s="8">
        <v>224560.99160000001</v>
      </c>
      <c r="G66" s="8">
        <v>217007.18</v>
      </c>
      <c r="H66" s="13">
        <f t="shared" si="0"/>
        <v>75182.562000000005</v>
      </c>
      <c r="I66" s="10">
        <f t="shared" si="1"/>
        <v>1.214055897696064</v>
      </c>
      <c r="J66" s="7">
        <v>87264.91</v>
      </c>
      <c r="K66" s="7">
        <v>91275.832800000004</v>
      </c>
      <c r="L66" s="4">
        <v>7414000</v>
      </c>
      <c r="M66" s="5">
        <v>1.1016598327488535E-2</v>
      </c>
      <c r="N66" s="8">
        <v>101730.25440000001</v>
      </c>
      <c r="O66" s="7">
        <v>101730.25440000001</v>
      </c>
      <c r="P66" s="3">
        <v>4754</v>
      </c>
      <c r="S66" s="3">
        <v>35801.22</v>
      </c>
    </row>
    <row r="67" spans="1:19" ht="15" x14ac:dyDescent="0.25">
      <c r="A67" s="3" t="s">
        <v>14</v>
      </c>
      <c r="B67" s="4">
        <v>6</v>
      </c>
      <c r="C67" s="4">
        <v>2021</v>
      </c>
      <c r="D67" s="4">
        <v>745200</v>
      </c>
      <c r="E67" s="5">
        <v>0.28846642512077292</v>
      </c>
      <c r="F67" s="8">
        <v>245950.4486</v>
      </c>
      <c r="G67" s="8">
        <v>214965.18</v>
      </c>
      <c r="H67" s="13">
        <f t="shared" ref="H67:H74" si="3">S67*2.1</f>
        <v>69563.381999999998</v>
      </c>
      <c r="I67" s="10">
        <f t="shared" ref="I67:I74" si="4">K67/H67</f>
        <v>1.3600666252828248</v>
      </c>
      <c r="J67" s="7">
        <v>84923.38</v>
      </c>
      <c r="K67" s="7">
        <v>94610.834199999998</v>
      </c>
      <c r="L67" s="4">
        <v>10524000</v>
      </c>
      <c r="M67" s="5">
        <v>8.8715307867730901E-3</v>
      </c>
      <c r="N67" s="8">
        <v>89371.972000000009</v>
      </c>
      <c r="O67" s="7">
        <v>89371.972000000009</v>
      </c>
      <c r="P67" s="3">
        <v>5366</v>
      </c>
      <c r="S67" s="3">
        <v>33125.42</v>
      </c>
    </row>
    <row r="68" spans="1:19" ht="15" x14ac:dyDescent="0.25">
      <c r="A68" s="3" t="s">
        <v>14</v>
      </c>
      <c r="B68" s="4">
        <v>7</v>
      </c>
      <c r="C68" s="4">
        <v>2021</v>
      </c>
      <c r="D68" s="4">
        <v>804000</v>
      </c>
      <c r="E68" s="5">
        <v>0.29577599502487562</v>
      </c>
      <c r="F68" s="8">
        <v>226111.0091199</v>
      </c>
      <c r="G68" s="8">
        <v>237803.9</v>
      </c>
      <c r="H68" s="13">
        <f t="shared" si="3"/>
        <v>77323.218000000008</v>
      </c>
      <c r="I68" s="10">
        <f t="shared" si="4"/>
        <v>1.2114768029564547</v>
      </c>
      <c r="J68" s="7">
        <v>92374.680000000008</v>
      </c>
      <c r="K68" s="7">
        <v>93675.284936944998</v>
      </c>
      <c r="L68" s="4">
        <v>8839000</v>
      </c>
      <c r="M68" s="5">
        <v>1.0540240977486142E-2</v>
      </c>
      <c r="N68" s="8">
        <v>107954.44470024999</v>
      </c>
      <c r="O68" s="7">
        <v>107954.44470024999</v>
      </c>
      <c r="P68" s="3">
        <v>5871</v>
      </c>
      <c r="S68" s="3">
        <v>36820.58</v>
      </c>
    </row>
    <row r="69" spans="1:19" ht="15" x14ac:dyDescent="0.25">
      <c r="A69" s="3" t="s">
        <v>14</v>
      </c>
      <c r="B69" s="4">
        <v>8</v>
      </c>
      <c r="C69" s="4">
        <v>2021</v>
      </c>
      <c r="D69" s="4">
        <v>819600</v>
      </c>
      <c r="E69" s="5">
        <v>0.30231005368472424</v>
      </c>
      <c r="F69" s="8">
        <v>222372.41355972976</v>
      </c>
      <c r="G69" s="8">
        <v>247773.32</v>
      </c>
      <c r="H69" s="13">
        <f t="shared" si="3"/>
        <v>80744.264999999999</v>
      </c>
      <c r="I69" s="10">
        <f t="shared" si="4"/>
        <v>1.1398146206728939</v>
      </c>
      <c r="J69" s="7">
        <v>118013.34</v>
      </c>
      <c r="K69" s="7">
        <v>92033.493782486621</v>
      </c>
      <c r="L69" s="4">
        <v>9310000</v>
      </c>
      <c r="M69" s="5">
        <v>1.0547145005370569E-2</v>
      </c>
      <c r="N69" s="8">
        <v>108694.65466191457</v>
      </c>
      <c r="O69" s="7">
        <v>108694.65466191457</v>
      </c>
      <c r="P69" s="3">
        <v>5547</v>
      </c>
      <c r="S69" s="3">
        <v>38449.65</v>
      </c>
    </row>
    <row r="70" spans="1:19" ht="15" x14ac:dyDescent="0.25">
      <c r="A70" s="3" t="s">
        <v>14</v>
      </c>
      <c r="B70" s="4">
        <v>9</v>
      </c>
      <c r="C70" s="4">
        <v>2021</v>
      </c>
      <c r="D70" s="4">
        <v>708000</v>
      </c>
      <c r="E70" s="5">
        <v>0.3156849858757062</v>
      </c>
      <c r="F70" s="8">
        <v>227910.59951423603</v>
      </c>
      <c r="G70" s="8">
        <v>223504.97</v>
      </c>
      <c r="H70" s="13">
        <f t="shared" si="3"/>
        <v>70691.019</v>
      </c>
      <c r="I70" s="10">
        <f t="shared" si="4"/>
        <v>1.2747060387708657</v>
      </c>
      <c r="J70" s="7">
        <v>85520.12</v>
      </c>
      <c r="K70" s="7">
        <v>90110.268806166001</v>
      </c>
      <c r="L70" s="4">
        <v>10417000</v>
      </c>
      <c r="M70" s="5">
        <v>8.4505107036574826E-3</v>
      </c>
      <c r="N70" s="8">
        <v>104467.00927353</v>
      </c>
      <c r="O70" s="7">
        <v>104467.00927353</v>
      </c>
      <c r="P70" s="3">
        <v>3634</v>
      </c>
      <c r="S70" s="3">
        <v>33662.39</v>
      </c>
    </row>
    <row r="71" spans="1:19" ht="15" x14ac:dyDescent="0.25">
      <c r="A71" s="3" t="s">
        <v>14</v>
      </c>
      <c r="B71" s="4">
        <v>10</v>
      </c>
      <c r="C71" s="4">
        <v>2021</v>
      </c>
      <c r="D71" s="4">
        <v>800400</v>
      </c>
      <c r="E71" s="5">
        <v>0.31039813843078456</v>
      </c>
      <c r="F71" s="8">
        <v>198019.90759651148</v>
      </c>
      <c r="G71" s="8">
        <v>248442.66999999998</v>
      </c>
      <c r="H71" s="13">
        <f t="shared" si="3"/>
        <v>82585.293000000005</v>
      </c>
      <c r="I71" s="10">
        <f t="shared" si="4"/>
        <v>1.1609107886289693</v>
      </c>
      <c r="J71" s="7">
        <v>99497.12</v>
      </c>
      <c r="K71" s="7">
        <v>95874.157625784501</v>
      </c>
      <c r="L71" s="4">
        <v>10393000</v>
      </c>
      <c r="M71" s="5">
        <v>1.0731520254017126E-2</v>
      </c>
      <c r="N71" s="8">
        <v>95024.112770437001</v>
      </c>
      <c r="O71" s="7">
        <v>95024.112770437001</v>
      </c>
      <c r="P71" s="3">
        <v>5168</v>
      </c>
      <c r="S71" s="3">
        <v>39326.33</v>
      </c>
    </row>
    <row r="72" spans="1:19" ht="15" x14ac:dyDescent="0.25">
      <c r="A72" s="3" t="s">
        <v>14</v>
      </c>
      <c r="B72" s="4">
        <v>11</v>
      </c>
      <c r="C72" s="4">
        <v>2021</v>
      </c>
      <c r="D72" s="4">
        <v>732000</v>
      </c>
      <c r="E72" s="5">
        <v>0.31636792349726778</v>
      </c>
      <c r="F72" s="8">
        <v>199672.4731179208</v>
      </c>
      <c r="G72" s="8">
        <v>231581.32</v>
      </c>
      <c r="H72" s="13">
        <f t="shared" si="3"/>
        <v>79124.955000000016</v>
      </c>
      <c r="I72" s="10">
        <f t="shared" si="4"/>
        <v>1.1250141275410821</v>
      </c>
      <c r="J72" s="7">
        <v>92785.21</v>
      </c>
      <c r="K72" s="7">
        <v>89016.692216052397</v>
      </c>
      <c r="L72" s="4">
        <v>9005000</v>
      </c>
      <c r="M72" s="5">
        <v>1.065718933925597E-2</v>
      </c>
      <c r="N72" s="8">
        <v>111064.6555025046</v>
      </c>
      <c r="O72" s="7">
        <v>111064.6555025046</v>
      </c>
      <c r="P72" s="3">
        <v>5654</v>
      </c>
      <c r="S72" s="3">
        <v>37678.550000000003</v>
      </c>
    </row>
    <row r="73" spans="1:19" ht="15" x14ac:dyDescent="0.25">
      <c r="A73" s="3" t="s">
        <v>14</v>
      </c>
      <c r="B73" s="4">
        <v>12</v>
      </c>
      <c r="C73" s="4">
        <v>2021</v>
      </c>
      <c r="D73" s="4">
        <v>742800</v>
      </c>
      <c r="E73" s="5">
        <v>0.33608947226709746</v>
      </c>
      <c r="F73" s="8">
        <v>206453.7027346112</v>
      </c>
      <c r="G73" s="8">
        <v>249647.26</v>
      </c>
      <c r="H73" s="13">
        <f t="shared" si="3"/>
        <v>61445.748000000014</v>
      </c>
      <c r="I73" s="10">
        <f t="shared" si="4"/>
        <v>1.5918064000169772</v>
      </c>
      <c r="J73" s="7">
        <v>106255.9</v>
      </c>
      <c r="K73" s="7">
        <v>97809.734920230403</v>
      </c>
      <c r="L73" s="4">
        <v>10395000</v>
      </c>
      <c r="M73" s="5">
        <v>8.677653679653681E-3</v>
      </c>
      <c r="N73" s="8">
        <v>84430.760980966399</v>
      </c>
      <c r="O73" s="7">
        <v>84430.760980966399</v>
      </c>
      <c r="P73" s="3">
        <v>5964</v>
      </c>
      <c r="S73" s="3">
        <v>29259.880000000005</v>
      </c>
    </row>
    <row r="74" spans="1:19" ht="15" x14ac:dyDescent="0.25">
      <c r="A74" s="3" t="s">
        <v>14</v>
      </c>
      <c r="B74" s="4">
        <v>1</v>
      </c>
      <c r="C74" s="4">
        <v>2022</v>
      </c>
      <c r="D74" s="4">
        <v>730800</v>
      </c>
      <c r="E74" s="5">
        <v>0.28299999999999997</v>
      </c>
      <c r="F74" s="8">
        <v>189604.93</v>
      </c>
      <c r="G74" s="8">
        <v>206790</v>
      </c>
      <c r="H74" s="13">
        <f t="shared" si="3"/>
        <v>123320.526</v>
      </c>
      <c r="I74" s="5">
        <f t="shared" si="4"/>
        <v>0.75843116335718519</v>
      </c>
      <c r="J74" s="7">
        <v>96067.73</v>
      </c>
      <c r="K74" s="7">
        <v>93530.13</v>
      </c>
      <c r="L74" s="4">
        <v>7310000</v>
      </c>
      <c r="M74" s="5">
        <v>1.2E-2</v>
      </c>
      <c r="N74" s="8">
        <v>117825</v>
      </c>
      <c r="O74" s="7">
        <v>117825.776</v>
      </c>
      <c r="P74" s="3">
        <v>5571</v>
      </c>
      <c r="S74" s="3">
        <v>58724.06</v>
      </c>
    </row>
    <row r="75" spans="1:19" ht="15" x14ac:dyDescent="0.25">
      <c r="A75" s="3" t="s">
        <v>14</v>
      </c>
      <c r="B75" s="4">
        <v>2</v>
      </c>
      <c r="C75" s="4">
        <v>2022</v>
      </c>
      <c r="D75" s="4">
        <v>661200</v>
      </c>
      <c r="E75" s="5">
        <v>0.27300000000000002</v>
      </c>
      <c r="F75" s="8">
        <v>183970</v>
      </c>
      <c r="G75" s="8">
        <v>180329.72</v>
      </c>
      <c r="H75" s="13">
        <f t="shared" ref="H75" si="5">S75*2.1</f>
        <v>90151.74</v>
      </c>
      <c r="I75" s="5">
        <f t="shared" ref="I75" si="6">K75/H75</f>
        <v>0.97417099215167668</v>
      </c>
      <c r="J75" s="7">
        <v>8994.48</v>
      </c>
      <c r="K75" s="7">
        <v>87823.21</v>
      </c>
      <c r="L75" s="4">
        <v>6703000</v>
      </c>
      <c r="M75" s="5">
        <v>0.01</v>
      </c>
      <c r="N75" s="8">
        <v>117825</v>
      </c>
      <c r="O75" s="7">
        <v>116338.59</v>
      </c>
      <c r="P75" s="3">
        <v>5183</v>
      </c>
      <c r="S75" s="3">
        <v>42929.4</v>
      </c>
    </row>
    <row r="76" spans="1:19" x14ac:dyDescent="0.2">
      <c r="A76" s="3" t="s">
        <v>14</v>
      </c>
      <c r="B76" s="4">
        <v>3</v>
      </c>
      <c r="C76" s="4">
        <v>2022</v>
      </c>
      <c r="D76" s="4"/>
      <c r="E76" s="5"/>
      <c r="F76" s="4"/>
      <c r="G76" s="4"/>
      <c r="H76" s="4"/>
      <c r="J76" s="4"/>
      <c r="K76" s="4"/>
      <c r="L76" s="4"/>
      <c r="M76" s="4"/>
    </row>
    <row r="77" spans="1:19" x14ac:dyDescent="0.2">
      <c r="A77" s="3" t="s">
        <v>14</v>
      </c>
      <c r="B77" s="4">
        <v>4</v>
      </c>
      <c r="C77" s="4">
        <v>2022</v>
      </c>
      <c r="D77" s="4"/>
      <c r="E77" s="5"/>
      <c r="F77" s="4"/>
      <c r="G77" s="4"/>
      <c r="H77" s="4"/>
      <c r="J77" s="4"/>
      <c r="K77" s="4"/>
      <c r="L77" s="4"/>
      <c r="M77" s="4"/>
    </row>
    <row r="78" spans="1:19" x14ac:dyDescent="0.2">
      <c r="A78" s="3" t="s">
        <v>14</v>
      </c>
      <c r="B78" s="4">
        <v>5</v>
      </c>
      <c r="C78" s="4">
        <v>2022</v>
      </c>
      <c r="D78" s="4"/>
      <c r="E78" s="4"/>
      <c r="F78" s="4"/>
      <c r="G78" s="4"/>
      <c r="H78" s="4"/>
      <c r="J78" s="4"/>
      <c r="K78" s="4"/>
      <c r="L78" s="4"/>
      <c r="M78" s="4"/>
    </row>
    <row r="79" spans="1:19" x14ac:dyDescent="0.2">
      <c r="A79" s="3" t="s">
        <v>14</v>
      </c>
      <c r="B79" s="4">
        <v>6</v>
      </c>
      <c r="C79" s="4">
        <v>2022</v>
      </c>
      <c r="D79" s="4"/>
      <c r="E79" s="4"/>
      <c r="F79" s="4"/>
      <c r="G79" s="4"/>
      <c r="H79" s="4"/>
      <c r="J79" s="4"/>
      <c r="K79" s="4"/>
      <c r="L79" s="4"/>
      <c r="M79" s="4"/>
    </row>
    <row r="80" spans="1:19" x14ac:dyDescent="0.2">
      <c r="A80" s="3" t="s">
        <v>14</v>
      </c>
      <c r="B80" s="4">
        <v>7</v>
      </c>
      <c r="C80" s="4">
        <v>2022</v>
      </c>
      <c r="D80" s="4"/>
      <c r="E80" s="4"/>
      <c r="F80" s="4"/>
      <c r="G80" s="4"/>
      <c r="H80" s="4"/>
      <c r="J80" s="4"/>
      <c r="K80" s="4"/>
      <c r="L80" s="4"/>
      <c r="M80" s="4"/>
    </row>
    <row r="81" spans="1:13" x14ac:dyDescent="0.2">
      <c r="A81" s="3" t="s">
        <v>14</v>
      </c>
      <c r="B81" s="4">
        <v>8</v>
      </c>
      <c r="C81" s="4">
        <v>2022</v>
      </c>
      <c r="D81" s="4"/>
      <c r="E81" s="4"/>
      <c r="F81" s="4"/>
      <c r="G81" s="4"/>
      <c r="H81" s="4"/>
      <c r="J81" s="4"/>
      <c r="K81" s="4"/>
      <c r="L81" s="4"/>
      <c r="M81" s="4"/>
    </row>
    <row r="82" spans="1:13" x14ac:dyDescent="0.2">
      <c r="A82" s="3" t="s">
        <v>14</v>
      </c>
      <c r="B82" s="4">
        <v>9</v>
      </c>
      <c r="C82" s="4">
        <v>2022</v>
      </c>
      <c r="D82" s="4"/>
      <c r="E82" s="4"/>
      <c r="F82" s="4"/>
      <c r="G82" s="4"/>
      <c r="H82" s="4"/>
      <c r="J82" s="4"/>
      <c r="K82" s="4"/>
      <c r="L82" s="4"/>
      <c r="M82" s="4"/>
    </row>
    <row r="83" spans="1:13" x14ac:dyDescent="0.2">
      <c r="A83" s="3" t="s">
        <v>14</v>
      </c>
      <c r="B83" s="4">
        <v>10</v>
      </c>
      <c r="C83" s="4">
        <v>2022</v>
      </c>
      <c r="D83" s="4"/>
      <c r="E83" s="4"/>
      <c r="F83" s="4"/>
      <c r="G83" s="4"/>
      <c r="H83" s="4"/>
      <c r="J83" s="4"/>
      <c r="K83" s="4"/>
      <c r="L83" s="4"/>
      <c r="M83" s="4"/>
    </row>
    <row r="84" spans="1:13" x14ac:dyDescent="0.2">
      <c r="A84" s="3" t="s">
        <v>14</v>
      </c>
      <c r="B84" s="4">
        <v>11</v>
      </c>
      <c r="C84" s="4">
        <v>2022</v>
      </c>
      <c r="D84" s="4"/>
      <c r="E84" s="4"/>
      <c r="F84" s="4"/>
      <c r="G84" s="4"/>
      <c r="H84" s="4"/>
      <c r="J84" s="4"/>
      <c r="K84" s="4"/>
      <c r="L84" s="4"/>
      <c r="M84" s="4"/>
    </row>
    <row r="85" spans="1:13" x14ac:dyDescent="0.2">
      <c r="A85" s="3" t="s">
        <v>14</v>
      </c>
      <c r="B85" s="4">
        <v>12</v>
      </c>
      <c r="C85" s="4">
        <v>2022</v>
      </c>
      <c r="D85" s="4"/>
      <c r="E85" s="4"/>
      <c r="F85" s="4"/>
      <c r="G85" s="4"/>
      <c r="H85" s="4"/>
      <c r="J85" s="4"/>
      <c r="K85" s="4"/>
      <c r="L85" s="4"/>
      <c r="M85" s="4"/>
    </row>
    <row r="86" spans="1:13" x14ac:dyDescent="0.2"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</row>
    <row r="87" spans="1:13" x14ac:dyDescent="0.2"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</row>
    <row r="88" spans="1:13" x14ac:dyDescent="0.2"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</row>
    <row r="89" spans="1:13" x14ac:dyDescent="0.2"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</row>
    <row r="90" spans="1:13" x14ac:dyDescent="0.2"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</row>
    <row r="91" spans="1:13" x14ac:dyDescent="0.2"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</row>
    <row r="92" spans="1:13" x14ac:dyDescent="0.2"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</row>
    <row r="93" spans="1:13" x14ac:dyDescent="0.2"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</row>
    <row r="94" spans="1:13" x14ac:dyDescent="0.2"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</row>
    <row r="95" spans="1:13" x14ac:dyDescent="0.2"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</row>
    <row r="96" spans="1:13" x14ac:dyDescent="0.2"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</row>
    <row r="97" spans="2:13" x14ac:dyDescent="0.2"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</row>
    <row r="98" spans="2:13" x14ac:dyDescent="0.2"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</row>
    <row r="99" spans="2:13" x14ac:dyDescent="0.2"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</row>
    <row r="100" spans="2:13" x14ac:dyDescent="0.2"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</row>
    <row r="101" spans="2:13" x14ac:dyDescent="0.2"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</row>
    <row r="102" spans="2:13" x14ac:dyDescent="0.2"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</row>
    <row r="103" spans="2:13" x14ac:dyDescent="0.2"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</row>
    <row r="104" spans="2:13" x14ac:dyDescent="0.2"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</row>
    <row r="105" spans="2:13" x14ac:dyDescent="0.2"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</row>
    <row r="106" spans="2:13" x14ac:dyDescent="0.2"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</row>
    <row r="107" spans="2:13" x14ac:dyDescent="0.2"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</row>
    <row r="108" spans="2:13" x14ac:dyDescent="0.2"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</row>
    <row r="109" spans="2:13" x14ac:dyDescent="0.2"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</row>
    <row r="110" spans="2:13" x14ac:dyDescent="0.2"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</row>
    <row r="111" spans="2:13" x14ac:dyDescent="0.2"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</row>
    <row r="112" spans="2:13" x14ac:dyDescent="0.2"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</row>
    <row r="113" spans="2:13" x14ac:dyDescent="0.2"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</row>
    <row r="114" spans="2:13" x14ac:dyDescent="0.2"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</row>
    <row r="115" spans="2:13" x14ac:dyDescent="0.2"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</row>
    <row r="116" spans="2:13" x14ac:dyDescent="0.2"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</row>
    <row r="117" spans="2:13" x14ac:dyDescent="0.2"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</row>
    <row r="118" spans="2:13" x14ac:dyDescent="0.2"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</row>
    <row r="119" spans="2:13" x14ac:dyDescent="0.2"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</row>
    <row r="120" spans="2:13" x14ac:dyDescent="0.2"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</row>
    <row r="121" spans="2:13" x14ac:dyDescent="0.2"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</row>
    <row r="122" spans="2:13" x14ac:dyDescent="0.2"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</row>
    <row r="123" spans="2:13" x14ac:dyDescent="0.2"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</row>
    <row r="124" spans="2:13" x14ac:dyDescent="0.2"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</row>
    <row r="125" spans="2:13" x14ac:dyDescent="0.2"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</row>
    <row r="126" spans="2:13" x14ac:dyDescent="0.2"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</row>
    <row r="127" spans="2:13" x14ac:dyDescent="0.2"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</row>
    <row r="128" spans="2:13" x14ac:dyDescent="0.2"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</row>
    <row r="129" spans="2:13" x14ac:dyDescent="0.2"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</row>
    <row r="130" spans="2:13" x14ac:dyDescent="0.2"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</row>
    <row r="131" spans="2:13" x14ac:dyDescent="0.2"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</row>
    <row r="132" spans="2:13" x14ac:dyDescent="0.2"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</row>
    <row r="133" spans="2:13" x14ac:dyDescent="0.2"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</row>
    <row r="134" spans="2:13" x14ac:dyDescent="0.2"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</row>
    <row r="135" spans="2:13" x14ac:dyDescent="0.2"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petar.boyadzhiev</cp:lastModifiedBy>
  <cp:revision/>
  <dcterms:created xsi:type="dcterms:W3CDTF">2016-09-19T10:41:46Z</dcterms:created>
  <dcterms:modified xsi:type="dcterms:W3CDTF">2022-03-23T00:49:52Z</dcterms:modified>
  <cp:category/>
  <cp:contentStatus/>
</cp:coreProperties>
</file>