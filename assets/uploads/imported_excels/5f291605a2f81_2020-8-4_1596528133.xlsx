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9"/>
  <workbookPr/>
  <mc:AlternateContent xmlns:mc="http://schemas.openxmlformats.org/markup-compatibility/2006">
    <mc:Choice Requires="x15">
      <x15ac:absPath xmlns:x15ac="http://schemas.microsoft.com/office/spreadsheetml/2010/11/ac" url="D:\TempUserProfiles\NetworkService\AppData\OICE_16_974FA576_32C1D314_116D\"/>
    </mc:Choice>
  </mc:AlternateContent>
  <xr:revisionPtr revIDLastSave="11" documentId="8_{AEAB0B3A-9900-494B-8EE2-0340DC1D828A}" xr6:coauthVersionLast="45" xr6:coauthVersionMax="45" xr10:uidLastSave="{9C53E381-7BCC-43C4-BDEA-771F4BD22D09}"/>
  <bookViews>
    <workbookView xWindow="-120" yWindow="-120" windowWidth="15600" windowHeight="11760" firstSheet="2" activeTab="1" xr2:uid="{00000000-000D-0000-FFFF-FFFF00000000}"/>
  </bookViews>
  <sheets>
    <sheet name="TOTAL" sheetId="3" r:id="rId1"/>
    <sheet name="Submetering " sheetId="4" r:id="rId2"/>
    <sheet name="FS Seychelles" sheetId="1" r:id="rId3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B3" i="4" l="1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2" i="4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E19" i="3"/>
  <c r="E20" i="3"/>
  <c r="Q32" i="1" l="1"/>
  <c r="T31" i="4"/>
  <c r="Q24" i="1"/>
  <c r="T23" i="4"/>
  <c r="Q25" i="1"/>
  <c r="T24" i="4"/>
  <c r="Q26" i="1"/>
  <c r="Q27" i="1"/>
  <c r="T26" i="4"/>
  <c r="Q28" i="1"/>
  <c r="T27" i="4"/>
  <c r="Q29" i="1"/>
  <c r="T28" i="4"/>
  <c r="Q23" i="1"/>
  <c r="Q30" i="1"/>
  <c r="Q31" i="1"/>
  <c r="T30" i="4"/>
  <c r="Q22" i="1"/>
  <c r="Q21" i="1"/>
  <c r="T20" i="4"/>
  <c r="Q20" i="1"/>
  <c r="T19" i="4"/>
  <c r="Q19" i="1"/>
  <c r="T18" i="4"/>
  <c r="Q18" i="1"/>
  <c r="T16" i="4"/>
  <c r="Q15" i="1"/>
  <c r="T14" i="4"/>
  <c r="Q14" i="1"/>
  <c r="T13" i="4"/>
  <c r="Q17" i="1"/>
  <c r="T15" i="4"/>
  <c r="Q16" i="1"/>
  <c r="Q12" i="1"/>
  <c r="T11" i="4"/>
  <c r="Q11" i="1"/>
  <c r="T10" i="4"/>
  <c r="Q13" i="1"/>
  <c r="T12" i="4"/>
  <c r="Q10" i="1"/>
  <c r="T9" i="4"/>
  <c r="Q9" i="1"/>
  <c r="T8" i="4"/>
  <c r="Q7" i="1"/>
  <c r="T6" i="4"/>
  <c r="Q5" i="1"/>
  <c r="T4" i="4"/>
  <c r="Q8" i="1"/>
  <c r="T7" i="4"/>
  <c r="Q4" i="1"/>
  <c r="Q3" i="1"/>
  <c r="T2" i="4"/>
  <c r="S22" i="4"/>
  <c r="S23" i="4"/>
  <c r="T29" i="4"/>
  <c r="T25" i="4"/>
  <c r="T22" i="4"/>
  <c r="T21" i="4"/>
  <c r="T5" i="4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P3" i="4"/>
  <c r="S3" i="4"/>
  <c r="E3" i="3" s="1"/>
  <c r="U3" i="4"/>
  <c r="V3" i="4"/>
  <c r="W3" i="4"/>
  <c r="X3" i="4"/>
  <c r="Y3" i="4"/>
  <c r="Z3" i="4"/>
  <c r="K3" i="3"/>
  <c r="AA3" i="4"/>
  <c r="G3" i="3"/>
  <c r="O4" i="4"/>
  <c r="P4" i="4"/>
  <c r="Q4" i="4"/>
  <c r="R4" i="4"/>
  <c r="S4" i="4"/>
  <c r="U4" i="4"/>
  <c r="V4" i="4"/>
  <c r="W4" i="4"/>
  <c r="X4" i="4"/>
  <c r="Y4" i="4"/>
  <c r="Z4" i="4"/>
  <c r="K4" i="3"/>
  <c r="AA4" i="4"/>
  <c r="G4" i="3"/>
  <c r="O5" i="4"/>
  <c r="P5" i="4"/>
  <c r="Q5" i="4"/>
  <c r="R5" i="4"/>
  <c r="S5" i="4"/>
  <c r="U5" i="4"/>
  <c r="V5" i="4"/>
  <c r="W5" i="4"/>
  <c r="X5" i="4"/>
  <c r="Y5" i="4"/>
  <c r="Z5" i="4"/>
  <c r="K5" i="3"/>
  <c r="AA5" i="4"/>
  <c r="G5" i="3"/>
  <c r="O6" i="4"/>
  <c r="P6" i="4"/>
  <c r="Q6" i="4"/>
  <c r="R6" i="4"/>
  <c r="S6" i="4"/>
  <c r="U6" i="4"/>
  <c r="V6" i="4"/>
  <c r="W6" i="4"/>
  <c r="X6" i="4"/>
  <c r="Y6" i="4"/>
  <c r="Z6" i="4"/>
  <c r="K6" i="3"/>
  <c r="AA6" i="4"/>
  <c r="G6" i="3"/>
  <c r="O7" i="4"/>
  <c r="P7" i="4"/>
  <c r="Q7" i="4"/>
  <c r="R7" i="4"/>
  <c r="S7" i="4"/>
  <c r="U7" i="4"/>
  <c r="V7" i="4"/>
  <c r="W7" i="4"/>
  <c r="X7" i="4"/>
  <c r="Y7" i="4"/>
  <c r="Z7" i="4"/>
  <c r="K7" i="3"/>
  <c r="AA7" i="4"/>
  <c r="G7" i="3"/>
  <c r="O8" i="4"/>
  <c r="P8" i="4"/>
  <c r="Q8" i="4"/>
  <c r="R8" i="4"/>
  <c r="S8" i="4"/>
  <c r="U8" i="4"/>
  <c r="V8" i="4"/>
  <c r="W8" i="4"/>
  <c r="X8" i="4"/>
  <c r="Y8" i="4"/>
  <c r="Z8" i="4"/>
  <c r="K8" i="3"/>
  <c r="AA8" i="4"/>
  <c r="G8" i="3"/>
  <c r="O9" i="4"/>
  <c r="P9" i="4"/>
  <c r="Q9" i="4"/>
  <c r="R9" i="4"/>
  <c r="S9" i="4"/>
  <c r="U9" i="4"/>
  <c r="V9" i="4"/>
  <c r="W9" i="4"/>
  <c r="X9" i="4"/>
  <c r="Y9" i="4"/>
  <c r="Z9" i="4"/>
  <c r="K9" i="3"/>
  <c r="AA9" i="4"/>
  <c r="G9" i="3"/>
  <c r="O10" i="4"/>
  <c r="P10" i="4"/>
  <c r="Q10" i="4"/>
  <c r="R10" i="4"/>
  <c r="S10" i="4"/>
  <c r="U10" i="4"/>
  <c r="V10" i="4"/>
  <c r="W10" i="4"/>
  <c r="X10" i="4"/>
  <c r="Y10" i="4"/>
  <c r="Z10" i="4"/>
  <c r="K10" i="3"/>
  <c r="AA10" i="4"/>
  <c r="G10" i="3"/>
  <c r="O11" i="4"/>
  <c r="P11" i="4"/>
  <c r="Q11" i="4"/>
  <c r="R11" i="4"/>
  <c r="S11" i="4"/>
  <c r="E11" i="3" s="1"/>
  <c r="U11" i="4"/>
  <c r="V11" i="4"/>
  <c r="W11" i="4"/>
  <c r="X11" i="4"/>
  <c r="Y11" i="4"/>
  <c r="Z11" i="4"/>
  <c r="K11" i="3"/>
  <c r="AA11" i="4"/>
  <c r="G11" i="3"/>
  <c r="O12" i="4"/>
  <c r="P12" i="4"/>
  <c r="Q12" i="4"/>
  <c r="R12" i="4"/>
  <c r="S12" i="4"/>
  <c r="U12" i="4"/>
  <c r="V12" i="4"/>
  <c r="W12" i="4"/>
  <c r="X12" i="4"/>
  <c r="Y12" i="4"/>
  <c r="Z12" i="4"/>
  <c r="K12" i="3"/>
  <c r="AA12" i="4"/>
  <c r="G12" i="3"/>
  <c r="O13" i="4"/>
  <c r="P13" i="4"/>
  <c r="Q13" i="4"/>
  <c r="R13" i="4"/>
  <c r="S13" i="4"/>
  <c r="U13" i="4"/>
  <c r="V13" i="4"/>
  <c r="W13" i="4"/>
  <c r="X13" i="4"/>
  <c r="Y13" i="4"/>
  <c r="Z13" i="4"/>
  <c r="K13" i="3"/>
  <c r="AA13" i="4"/>
  <c r="G13" i="3"/>
  <c r="O14" i="4"/>
  <c r="P14" i="4"/>
  <c r="Q14" i="4"/>
  <c r="R14" i="4"/>
  <c r="S14" i="4"/>
  <c r="U14" i="4"/>
  <c r="V14" i="4"/>
  <c r="W14" i="4"/>
  <c r="X14" i="4"/>
  <c r="Y14" i="4"/>
  <c r="Z14" i="4"/>
  <c r="K14" i="3"/>
  <c r="AA14" i="4"/>
  <c r="G14" i="3"/>
  <c r="O15" i="4"/>
  <c r="P15" i="4"/>
  <c r="Q15" i="4"/>
  <c r="R15" i="4"/>
  <c r="S15" i="4"/>
  <c r="U15" i="4"/>
  <c r="V15" i="4"/>
  <c r="W15" i="4"/>
  <c r="X15" i="4"/>
  <c r="Y15" i="4"/>
  <c r="Z15" i="4"/>
  <c r="K15" i="3"/>
  <c r="AA15" i="4"/>
  <c r="G15" i="3"/>
  <c r="O16" i="4"/>
  <c r="P16" i="4"/>
  <c r="Q16" i="4"/>
  <c r="R16" i="4"/>
  <c r="S16" i="4"/>
  <c r="E16" i="3" s="1"/>
  <c r="U16" i="4"/>
  <c r="V16" i="4"/>
  <c r="W16" i="4"/>
  <c r="X16" i="4"/>
  <c r="Y16" i="4"/>
  <c r="Z16" i="4"/>
  <c r="K16" i="3"/>
  <c r="AA16" i="4"/>
  <c r="G16" i="3"/>
  <c r="O17" i="4"/>
  <c r="P17" i="4"/>
  <c r="Q17" i="4"/>
  <c r="R17" i="4"/>
  <c r="S17" i="4"/>
  <c r="U17" i="4"/>
  <c r="V17" i="4"/>
  <c r="W17" i="4"/>
  <c r="X17" i="4"/>
  <c r="Y17" i="4"/>
  <c r="Z17" i="4"/>
  <c r="K17" i="3"/>
  <c r="AA17" i="4"/>
  <c r="G17" i="3"/>
  <c r="O18" i="4"/>
  <c r="P18" i="4"/>
  <c r="Q18" i="4"/>
  <c r="R18" i="4"/>
  <c r="S18" i="4"/>
  <c r="U18" i="4"/>
  <c r="V18" i="4"/>
  <c r="W18" i="4"/>
  <c r="X18" i="4"/>
  <c r="Y18" i="4"/>
  <c r="Z18" i="4"/>
  <c r="K18" i="3"/>
  <c r="AA18" i="4"/>
  <c r="G18" i="3"/>
  <c r="O19" i="4"/>
  <c r="P19" i="4"/>
  <c r="Q19" i="4"/>
  <c r="R19" i="4"/>
  <c r="U19" i="4"/>
  <c r="V19" i="4"/>
  <c r="W19" i="4"/>
  <c r="X19" i="4"/>
  <c r="Y19" i="4"/>
  <c r="Z19" i="4"/>
  <c r="K19" i="3"/>
  <c r="AA19" i="4"/>
  <c r="G19" i="3"/>
  <c r="O20" i="4"/>
  <c r="P20" i="4"/>
  <c r="Q20" i="4"/>
  <c r="R20" i="4"/>
  <c r="S20" i="4"/>
  <c r="U20" i="4"/>
  <c r="V20" i="4"/>
  <c r="W20" i="4"/>
  <c r="X20" i="4"/>
  <c r="Y20" i="4"/>
  <c r="Z20" i="4"/>
  <c r="K20" i="3"/>
  <c r="AA20" i="4"/>
  <c r="G20" i="3"/>
  <c r="O21" i="4"/>
  <c r="P21" i="4"/>
  <c r="Q21" i="4"/>
  <c r="R21" i="4"/>
  <c r="S21" i="4"/>
  <c r="U21" i="4"/>
  <c r="V21" i="4"/>
  <c r="W21" i="4"/>
  <c r="X21" i="4"/>
  <c r="Y21" i="4"/>
  <c r="Z21" i="4"/>
  <c r="K21" i="3"/>
  <c r="AA21" i="4"/>
  <c r="G21" i="3"/>
  <c r="O22" i="4"/>
  <c r="P22" i="4"/>
  <c r="Q22" i="4"/>
  <c r="R22" i="4"/>
  <c r="U22" i="4"/>
  <c r="V22" i="4"/>
  <c r="W22" i="4"/>
  <c r="X22" i="4"/>
  <c r="Y22" i="4"/>
  <c r="Z22" i="4"/>
  <c r="K22" i="3"/>
  <c r="AA22" i="4"/>
  <c r="G22" i="3"/>
  <c r="O23" i="4"/>
  <c r="P23" i="4"/>
  <c r="Q23" i="4"/>
  <c r="R23" i="4"/>
  <c r="U23" i="4"/>
  <c r="V23" i="4"/>
  <c r="W23" i="4"/>
  <c r="X23" i="4"/>
  <c r="Y23" i="4"/>
  <c r="Z23" i="4"/>
  <c r="K23" i="3"/>
  <c r="AA23" i="4"/>
  <c r="G23" i="3"/>
  <c r="O24" i="4"/>
  <c r="P24" i="4"/>
  <c r="Q24" i="4"/>
  <c r="R24" i="4"/>
  <c r="S24" i="4"/>
  <c r="U24" i="4"/>
  <c r="V24" i="4"/>
  <c r="W24" i="4"/>
  <c r="X24" i="4"/>
  <c r="Y24" i="4"/>
  <c r="Z24" i="4"/>
  <c r="K24" i="3"/>
  <c r="AA24" i="4"/>
  <c r="G24" i="3"/>
  <c r="O25" i="4"/>
  <c r="P25" i="4"/>
  <c r="Q25" i="4"/>
  <c r="R25" i="4"/>
  <c r="S25" i="4"/>
  <c r="U25" i="4"/>
  <c r="V25" i="4"/>
  <c r="W25" i="4"/>
  <c r="X25" i="4"/>
  <c r="Y25" i="4"/>
  <c r="Z25" i="4"/>
  <c r="K25" i="3"/>
  <c r="AA25" i="4"/>
  <c r="G25" i="3"/>
  <c r="O26" i="4"/>
  <c r="P26" i="4"/>
  <c r="Q26" i="4"/>
  <c r="R26" i="4"/>
  <c r="U26" i="4"/>
  <c r="V26" i="4"/>
  <c r="W26" i="4"/>
  <c r="X26" i="4"/>
  <c r="Y26" i="4"/>
  <c r="Z26" i="4"/>
  <c r="K26" i="3"/>
  <c r="AA26" i="4"/>
  <c r="G26" i="3"/>
  <c r="O27" i="4"/>
  <c r="P27" i="4"/>
  <c r="Q27" i="4"/>
  <c r="R27" i="4"/>
  <c r="S27" i="4"/>
  <c r="U27" i="4"/>
  <c r="V27" i="4"/>
  <c r="W27" i="4"/>
  <c r="X27" i="4"/>
  <c r="Y27" i="4"/>
  <c r="Z27" i="4"/>
  <c r="K27" i="3"/>
  <c r="AA27" i="4"/>
  <c r="G27" i="3"/>
  <c r="O28" i="4"/>
  <c r="P28" i="4"/>
  <c r="Q28" i="4"/>
  <c r="R28" i="4"/>
  <c r="S28" i="4"/>
  <c r="U28" i="4"/>
  <c r="V28" i="4"/>
  <c r="W28" i="4"/>
  <c r="X28" i="4"/>
  <c r="Y28" i="4"/>
  <c r="Z28" i="4"/>
  <c r="K28" i="3"/>
  <c r="AA28" i="4"/>
  <c r="G28" i="3"/>
  <c r="O29" i="4"/>
  <c r="P29" i="4"/>
  <c r="Q29" i="4"/>
  <c r="R29" i="4"/>
  <c r="S29" i="4"/>
  <c r="U29" i="4"/>
  <c r="V29" i="4"/>
  <c r="W29" i="4"/>
  <c r="X29" i="4"/>
  <c r="Y29" i="4"/>
  <c r="Z29" i="4"/>
  <c r="K29" i="3"/>
  <c r="AA29" i="4"/>
  <c r="G29" i="3"/>
  <c r="O30" i="4"/>
  <c r="P30" i="4"/>
  <c r="Q30" i="4"/>
  <c r="R30" i="4"/>
  <c r="S30" i="4"/>
  <c r="U30" i="4"/>
  <c r="V30" i="4"/>
  <c r="W30" i="4"/>
  <c r="X30" i="4"/>
  <c r="Y30" i="4"/>
  <c r="Z30" i="4"/>
  <c r="K30" i="3"/>
  <c r="AA30" i="4"/>
  <c r="G30" i="3"/>
  <c r="O31" i="4"/>
  <c r="P31" i="4"/>
  <c r="Q31" i="4"/>
  <c r="R31" i="4"/>
  <c r="S31" i="4"/>
  <c r="U31" i="4"/>
  <c r="V31" i="4"/>
  <c r="W31" i="4"/>
  <c r="X31" i="4"/>
  <c r="Y31" i="4"/>
  <c r="Z31" i="4"/>
  <c r="K31" i="3"/>
  <c r="AA31" i="4"/>
  <c r="G31" i="3"/>
  <c r="Z2" i="4"/>
  <c r="K2" i="3"/>
  <c r="AA2" i="4"/>
  <c r="G2" i="3"/>
  <c r="V2" i="4"/>
  <c r="W2" i="4"/>
  <c r="X2" i="4"/>
  <c r="Y2" i="4"/>
  <c r="U2" i="4"/>
  <c r="P2" i="4"/>
  <c r="Q2" i="4"/>
  <c r="R2" i="4"/>
  <c r="S2" i="4"/>
  <c r="O2" i="4"/>
  <c r="E2" i="3"/>
  <c r="F3" i="4"/>
  <c r="G3" i="4"/>
  <c r="H3" i="4"/>
  <c r="I3" i="4"/>
  <c r="J3" i="4"/>
  <c r="K3" i="4"/>
  <c r="L3" i="4"/>
  <c r="M3" i="4"/>
  <c r="N3" i="4"/>
  <c r="F4" i="4"/>
  <c r="G4" i="4"/>
  <c r="H4" i="4"/>
  <c r="I4" i="4"/>
  <c r="J4" i="4"/>
  <c r="K4" i="4"/>
  <c r="L4" i="4"/>
  <c r="M4" i="4"/>
  <c r="N4" i="4"/>
  <c r="F5" i="4"/>
  <c r="G5" i="4"/>
  <c r="H5" i="4"/>
  <c r="I5" i="4"/>
  <c r="J5" i="4"/>
  <c r="K5" i="4"/>
  <c r="L5" i="4"/>
  <c r="M5" i="4"/>
  <c r="N5" i="4"/>
  <c r="F6" i="4"/>
  <c r="G6" i="4"/>
  <c r="H6" i="4"/>
  <c r="I6" i="4"/>
  <c r="J6" i="4"/>
  <c r="K6" i="4"/>
  <c r="L6" i="4"/>
  <c r="M6" i="4"/>
  <c r="N6" i="4"/>
  <c r="F7" i="4"/>
  <c r="G7" i="4"/>
  <c r="H7" i="4"/>
  <c r="I7" i="4"/>
  <c r="J7" i="4"/>
  <c r="K7" i="4"/>
  <c r="L7" i="4"/>
  <c r="M7" i="4"/>
  <c r="N7" i="4"/>
  <c r="F8" i="4"/>
  <c r="G8" i="4"/>
  <c r="H8" i="4"/>
  <c r="I8" i="4"/>
  <c r="J8" i="4"/>
  <c r="K8" i="4"/>
  <c r="L8" i="4"/>
  <c r="M8" i="4"/>
  <c r="N8" i="4"/>
  <c r="F9" i="4"/>
  <c r="G9" i="4"/>
  <c r="H9" i="4"/>
  <c r="I9" i="4"/>
  <c r="J9" i="4"/>
  <c r="K9" i="4"/>
  <c r="L9" i="4"/>
  <c r="M9" i="4"/>
  <c r="N9" i="4"/>
  <c r="F10" i="4"/>
  <c r="G10" i="4"/>
  <c r="H10" i="4"/>
  <c r="I10" i="4"/>
  <c r="J10" i="4"/>
  <c r="K10" i="4"/>
  <c r="L10" i="4"/>
  <c r="M10" i="4"/>
  <c r="N10" i="4"/>
  <c r="F11" i="4"/>
  <c r="G11" i="4"/>
  <c r="H11" i="4"/>
  <c r="I11" i="4"/>
  <c r="J11" i="4"/>
  <c r="K11" i="4"/>
  <c r="L11" i="4"/>
  <c r="M11" i="4"/>
  <c r="N11" i="4"/>
  <c r="F12" i="4"/>
  <c r="G12" i="4"/>
  <c r="H12" i="4"/>
  <c r="I12" i="4"/>
  <c r="J12" i="4"/>
  <c r="K12" i="4"/>
  <c r="L12" i="4"/>
  <c r="M12" i="4"/>
  <c r="N12" i="4"/>
  <c r="F13" i="4"/>
  <c r="G13" i="4"/>
  <c r="H13" i="4"/>
  <c r="I13" i="4"/>
  <c r="J13" i="4"/>
  <c r="K13" i="4"/>
  <c r="L13" i="4"/>
  <c r="M13" i="4"/>
  <c r="N13" i="4"/>
  <c r="F14" i="4"/>
  <c r="G14" i="4"/>
  <c r="H14" i="4"/>
  <c r="I14" i="4"/>
  <c r="J14" i="4"/>
  <c r="K14" i="4"/>
  <c r="L14" i="4"/>
  <c r="M14" i="4"/>
  <c r="N14" i="4"/>
  <c r="F15" i="4"/>
  <c r="G15" i="4"/>
  <c r="H15" i="4"/>
  <c r="I15" i="4"/>
  <c r="J15" i="4"/>
  <c r="K15" i="4"/>
  <c r="L15" i="4"/>
  <c r="M15" i="4"/>
  <c r="N15" i="4"/>
  <c r="F16" i="4"/>
  <c r="G16" i="4"/>
  <c r="H16" i="4"/>
  <c r="I16" i="4"/>
  <c r="J16" i="4"/>
  <c r="K16" i="4"/>
  <c r="L16" i="4"/>
  <c r="M16" i="4"/>
  <c r="N16" i="4"/>
  <c r="F17" i="4"/>
  <c r="G17" i="4"/>
  <c r="H17" i="4"/>
  <c r="I17" i="4"/>
  <c r="J17" i="4"/>
  <c r="K17" i="4"/>
  <c r="L17" i="4"/>
  <c r="M17" i="4"/>
  <c r="N17" i="4"/>
  <c r="F18" i="4"/>
  <c r="G18" i="4"/>
  <c r="H18" i="4"/>
  <c r="I18" i="4"/>
  <c r="J18" i="4"/>
  <c r="K18" i="4"/>
  <c r="L18" i="4"/>
  <c r="M18" i="4"/>
  <c r="N18" i="4"/>
  <c r="F19" i="4"/>
  <c r="G19" i="4"/>
  <c r="H19" i="4"/>
  <c r="I19" i="4"/>
  <c r="J19" i="4"/>
  <c r="K19" i="4"/>
  <c r="L19" i="4"/>
  <c r="M19" i="4"/>
  <c r="N19" i="4"/>
  <c r="F20" i="4"/>
  <c r="G20" i="4"/>
  <c r="H20" i="4"/>
  <c r="I20" i="4"/>
  <c r="J20" i="4"/>
  <c r="K20" i="4"/>
  <c r="L20" i="4"/>
  <c r="M20" i="4"/>
  <c r="N20" i="4"/>
  <c r="F21" i="4"/>
  <c r="G21" i="4"/>
  <c r="H21" i="4"/>
  <c r="I21" i="4"/>
  <c r="J21" i="4"/>
  <c r="K21" i="4"/>
  <c r="L21" i="4"/>
  <c r="M21" i="4"/>
  <c r="N21" i="4"/>
  <c r="F22" i="4"/>
  <c r="G22" i="4"/>
  <c r="H22" i="4"/>
  <c r="I22" i="4"/>
  <c r="J22" i="4"/>
  <c r="K22" i="4"/>
  <c r="L22" i="4"/>
  <c r="M22" i="4"/>
  <c r="N22" i="4"/>
  <c r="F23" i="4"/>
  <c r="G23" i="4"/>
  <c r="H23" i="4"/>
  <c r="I23" i="4"/>
  <c r="J23" i="4"/>
  <c r="K23" i="4"/>
  <c r="L23" i="4"/>
  <c r="M23" i="4"/>
  <c r="N23" i="4"/>
  <c r="F24" i="4"/>
  <c r="G24" i="4"/>
  <c r="H24" i="4"/>
  <c r="I24" i="4"/>
  <c r="J24" i="4"/>
  <c r="K24" i="4"/>
  <c r="L24" i="4"/>
  <c r="M24" i="4"/>
  <c r="N24" i="4"/>
  <c r="F25" i="4"/>
  <c r="G25" i="4"/>
  <c r="H25" i="4"/>
  <c r="I25" i="4"/>
  <c r="J25" i="4"/>
  <c r="K25" i="4"/>
  <c r="L25" i="4"/>
  <c r="M25" i="4"/>
  <c r="N25" i="4"/>
  <c r="F26" i="4"/>
  <c r="G26" i="4"/>
  <c r="H26" i="4"/>
  <c r="I26" i="4"/>
  <c r="J26" i="4"/>
  <c r="K26" i="4"/>
  <c r="L26" i="4"/>
  <c r="M26" i="4"/>
  <c r="N26" i="4"/>
  <c r="F27" i="4"/>
  <c r="G27" i="4"/>
  <c r="H27" i="4"/>
  <c r="I27" i="4"/>
  <c r="J27" i="4"/>
  <c r="K27" i="4"/>
  <c r="L27" i="4"/>
  <c r="M27" i="4"/>
  <c r="N27" i="4"/>
  <c r="F28" i="4"/>
  <c r="G28" i="4"/>
  <c r="H28" i="4"/>
  <c r="I28" i="4"/>
  <c r="J28" i="4"/>
  <c r="K28" i="4"/>
  <c r="L28" i="4"/>
  <c r="M28" i="4"/>
  <c r="N28" i="4"/>
  <c r="F29" i="4"/>
  <c r="G29" i="4"/>
  <c r="H29" i="4"/>
  <c r="I29" i="4"/>
  <c r="J29" i="4"/>
  <c r="K29" i="4"/>
  <c r="L29" i="4"/>
  <c r="M29" i="4"/>
  <c r="N29" i="4"/>
  <c r="F30" i="4"/>
  <c r="G30" i="4"/>
  <c r="H30" i="4"/>
  <c r="I30" i="4"/>
  <c r="J30" i="4"/>
  <c r="K30" i="4"/>
  <c r="L30" i="4"/>
  <c r="M30" i="4"/>
  <c r="N30" i="4"/>
  <c r="F31" i="4"/>
  <c r="G31" i="4"/>
  <c r="H31" i="4"/>
  <c r="I31" i="4"/>
  <c r="J31" i="4"/>
  <c r="K31" i="4"/>
  <c r="L31" i="4"/>
  <c r="M31" i="4"/>
  <c r="N31" i="4"/>
  <c r="G2" i="4"/>
  <c r="H2" i="4"/>
  <c r="I2" i="4"/>
  <c r="J2" i="4"/>
  <c r="K2" i="4"/>
  <c r="L2" i="4"/>
  <c r="M2" i="4"/>
  <c r="N2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T17" i="4"/>
  <c r="S26" i="4"/>
  <c r="E31" i="3" l="1"/>
  <c r="E30" i="3"/>
  <c r="E29" i="3"/>
  <c r="E28" i="3"/>
  <c r="E27" i="3"/>
  <c r="E26" i="3"/>
  <c r="E25" i="3"/>
  <c r="E24" i="3"/>
  <c r="E23" i="3"/>
  <c r="E22" i="3"/>
  <c r="E21" i="3"/>
  <c r="E18" i="3"/>
  <c r="E17" i="3"/>
  <c r="E15" i="3"/>
  <c r="E14" i="3"/>
  <c r="E13" i="3"/>
  <c r="E12" i="3"/>
  <c r="E10" i="3"/>
  <c r="E9" i="3"/>
  <c r="E8" i="3"/>
  <c r="E7" i="3"/>
  <c r="E6" i="3"/>
  <c r="E5" i="3"/>
  <c r="E4" i="3"/>
</calcChain>
</file>

<file path=xl/sharedStrings.xml><?xml version="1.0" encoding="utf-8"?>
<sst xmlns="http://schemas.openxmlformats.org/spreadsheetml/2006/main" count="127" uniqueCount="62">
  <si>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</si>
  <si>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</si>
  <si>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</si>
  <si>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</si>
  <si>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</si>
  <si>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</si>
  <si>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</si>
  <si>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</si>
  <si>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</si>
  <si>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</si>
  <si>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</si>
  <si>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</si>
  <si>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>Room Nights</t>
  </si>
  <si>
    <t>Seychelles</t>
  </si>
  <si>
    <t>Room Night</t>
  </si>
  <si>
    <t xml:space="preserve">SS-A - KWh </t>
  </si>
  <si>
    <t xml:space="preserve">SS-B- KWh </t>
  </si>
  <si>
    <t xml:space="preserve">SS-C- KWh </t>
  </si>
  <si>
    <t xml:space="preserve">SS-D1- KWh </t>
  </si>
  <si>
    <t xml:space="preserve">SS-D2- KWh </t>
  </si>
  <si>
    <t xml:space="preserve">SS-E-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</si>
  <si>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</si>
  <si>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</si>
  <si>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</si>
  <si>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</si>
  <si>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</si>
  <si>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</si>
  <si>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</si>
  <si>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</si>
  <si>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</si>
  <si>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BOH Water- m3</t>
  </si>
  <si>
    <t>E-Resort- m3</t>
  </si>
  <si>
    <t>North RVs- m3</t>
  </si>
  <si>
    <t>WT59- m3</t>
  </si>
  <si>
    <t>WT08- m3</t>
  </si>
  <si>
    <t>PUC (HOH)- m3</t>
  </si>
  <si>
    <t>PUC (Resort) -  m3</t>
  </si>
  <si>
    <t>LPG (Kg)</t>
  </si>
  <si>
    <t>DATE</t>
  </si>
  <si>
    <t>SS-A</t>
  </si>
  <si>
    <t>SS-B</t>
  </si>
  <si>
    <t>SS-C</t>
  </si>
  <si>
    <t>SS-D1</t>
  </si>
  <si>
    <t>SS-D2</t>
  </si>
  <si>
    <t>SS-E</t>
  </si>
  <si>
    <t>FIRE PUMP</t>
  </si>
  <si>
    <t>CASINO</t>
  </si>
  <si>
    <t>BOH</t>
  </si>
  <si>
    <t xml:space="preserve">Generator#1 </t>
  </si>
  <si>
    <t>Generator#2</t>
  </si>
  <si>
    <t>Generator#3</t>
  </si>
  <si>
    <t>Generator#4</t>
  </si>
  <si>
    <t>Generator#5</t>
  </si>
  <si>
    <t>DIESEL (Liter)</t>
  </si>
  <si>
    <t>BOH Water</t>
  </si>
  <si>
    <t>E-Resort</t>
  </si>
  <si>
    <t>North RVs</t>
  </si>
  <si>
    <t>WT59</t>
  </si>
  <si>
    <t>WT08</t>
  </si>
  <si>
    <t>PUC (HOH)</t>
  </si>
  <si>
    <t>PUC (Eresort)</t>
  </si>
  <si>
    <t xml:space="preserve">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</si>
</sst>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14" fontId="12" fillId="0" borderId="2" xfId="0" applyNumberFormat="1" applyFont="1" applyBorder="1"/>
    <xf numFmtId="4" fontId="12" fillId="0" borderId="2" xfId="0" applyNumberFormat="1" applyFont="1" applyBorder="1"/>
    <xf numFmtId="2" fontId="12" fillId="0" borderId="2" xfId="0" applyNumberFormat="1" applyFont="1" applyBorder="1"/>
    <xf numFmtId="0" fontId="0" fillId="0" borderId="0" xfId="0" applyAlignment="1">
      <alignment vertical="center" wrapText="1"/>
    </xf>
    <xf numFmtId="4" fontId="12" fillId="0" borderId="0" xfId="0" applyNumberFormat="1" applyFont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165" fontId="12" fillId="0" borderId="2" xfId="0" applyNumberFormat="1" applyFont="1" applyBorder="1"/>
    <xf numFmtId="3" fontId="12" fillId="0" borderId="2" xfId="0" applyNumberFormat="1" applyFont="1" applyBorder="1"/>
    <xf numFmtId="0" fontId="13" fillId="0" borderId="2" xfId="0" applyFont="1" applyBorder="1" applyAlignment="1">
      <alignment vertical="center"/>
    </xf>
    <xf numFmtId="0" fontId="13" fillId="2" borderId="2" xfId="0" applyFont="1" applyFill="1" applyBorder="1" applyAlignment="1">
      <alignment vertical="center"/>
    </xf>
    <xf numFmtId="0" fontId="13" fillId="3" borderId="2" xfId="0" applyFont="1" applyFill="1" applyBorder="1" applyAlignment="1">
      <alignment vertical="center"/>
    </xf>
    <xf numFmtId="0" fontId="13" fillId="4" borderId="2" xfId="0" applyFont="1" applyFill="1" applyBorder="1" applyAlignment="1">
      <alignment vertical="center"/>
    </xf>
    <xf numFmtId="4" fontId="12" fillId="0" borderId="2" xfId="0" applyNumberFormat="1" applyFont="1" applyBorder="1" applyAlignment="1">
      <alignment horizontal="right"/>
    </xf>
    <xf numFmtId="4" fontId="12" fillId="0" borderId="2" xfId="0" applyNumberFormat="1" applyFont="1" applyBorder="1" applyAlignment="1">
      <alignment horizontal="right" vertical="center"/>
    </xf>
    <xf numFmtId="10" fontId="12" fillId="0" borderId="2" xfId="0" applyNumberFormat="1" applyFont="1" applyBorder="1"/>
    <xf numFmtId="0" fontId="12" fillId="0" borderId="2" xfId="0" applyNumberFormat="1" applyFont="1" applyBorder="1"/>
    <xf numFmtId="0" fontId="12" fillId="0" borderId="0" xfId="0" applyNumberFormat="1" applyFont="1"/>
    <xf numFmtId="0" fontId="13" fillId="5" borderId="2" xfId="0" applyNumberFormat="1" applyFont="1" applyFill="1" applyBorder="1" applyAlignment="1">
      <alignment vertical="center"/>
    </xf>
    <xf numFmtId="0" fontId="4" fillId="6" borderId="3" xfId="0" applyFont="1" applyFill="1" applyBorder="1" applyAlignment="1">
      <alignment horizontal="center" vertical="center"/>
    </xf>
    <xf numFmtId="0" fontId="13" fillId="0" borderId="2" xfId="0" applyFont="1" applyBorder="1"/>
    <xf numFmtId="0" fontId="13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1" fontId="12" fillId="0" borderId="2" xfId="0" applyNumberFormat="1" applyFont="1" applyBorder="1"/>
    <xf numFmtId="0" fontId="4" fillId="7" borderId="4" xfId="0" applyFont="1" applyFill="1" applyBorder="1" applyAlignment="1">
      <alignment horizontal="center" vertical="center"/>
    </xf>
    <xf numFmtId="0" fontId="12" fillId="0" borderId="2" xfId="0" applyFont="1" applyBorder="1" applyAlignment="1"/>
    <xf numFmtId="1" fontId="8" fillId="0" borderId="0" xfId="0" applyNumberFormat="1" applyFont="1"/>
  </cellXfs>
  <cellStyles count="2">
    <cellStyle name="Milliers_Classeur1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workbookViewId="0">
      <selection activeCell="G2" sqref="G2"/>
    </sheetView>
  </sheetViews>
  <sheetFormatPr defaultColWidth="11.5703125" defaultRowHeight="1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33"/>
    <col min="12" max="12" width="11.5703125" style="17"/>
  </cols>
  <sheetData>
    <row r="1" spans="1:13" s="9" customFormat="1" ht="60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6" t="s">
        <v>7</v>
      </c>
      <c r="I1" s="8" t="s">
        <v>8</v>
      </c>
      <c r="J1" s="6" t="s">
        <v>9</v>
      </c>
      <c r="K1" s="31" t="s">
        <v>10</v>
      </c>
      <c r="L1" s="6" t="s">
        <v>11</v>
      </c>
      <c r="M1" s="8" t="s">
        <v>12</v>
      </c>
    </row>
    <row r="2" spans="1:13" s="13" customFormat="1">
      <c r="A2" s="1" t="s">
        <v>13</v>
      </c>
      <c r="B2" s="10">
        <v>1</v>
      </c>
      <c r="C2" s="11">
        <v>9</v>
      </c>
      <c r="D2" s="1">
        <v>2019</v>
      </c>
      <c r="E2" s="12">
        <f>'Submetering '!O2+'Submetering '!P2+'Submetering '!Q2+'Submetering '!R2+'Submetering '!S2</f>
        <v>33147</v>
      </c>
      <c r="F2" s="11">
        <v>5.79</v>
      </c>
      <c r="G2" s="12">
        <f>'Submetering '!AB2</f>
        <v>400</v>
      </c>
      <c r="H2" s="11">
        <v>18.899999999999999</v>
      </c>
      <c r="I2" s="12">
        <f>'FS Seychelles'!R3+'FS Seychelles'!T3+'FS Seychelles'!U3+'FS Seychelles'!V3</f>
        <v>593</v>
      </c>
      <c r="J2" s="11">
        <v>0</v>
      </c>
      <c r="K2" s="32">
        <f>'Submetering '!Z2</f>
        <v>133</v>
      </c>
      <c r="L2" s="11"/>
      <c r="M2" s="53">
        <f>'Submetering '!E2</f>
        <v>42.11</v>
      </c>
    </row>
    <row r="3" spans="1:13" s="15" customFormat="1">
      <c r="A3" s="1" t="s">
        <v>13</v>
      </c>
      <c r="B3" s="14">
        <f>B2+1</f>
        <v>2</v>
      </c>
      <c r="C3" s="11">
        <v>9</v>
      </c>
      <c r="D3" s="1">
        <v>2019</v>
      </c>
      <c r="E3" s="12">
        <f>'Submetering '!O3+'Submetering '!P3+'Submetering '!Q3+'Submetering '!R3+'Submetering '!S3</f>
        <v>36347</v>
      </c>
      <c r="F3" s="11">
        <f>F2</f>
        <v>5.79</v>
      </c>
      <c r="G3" s="12">
        <f>'Submetering '!AB3</f>
        <v>400</v>
      </c>
      <c r="H3" s="11">
        <f>H2</f>
        <v>18.899999999999999</v>
      </c>
      <c r="I3" s="12">
        <f>'FS Seychelles'!R4+'FS Seychelles'!T4+'FS Seychelles'!U4+'FS Seychelles'!V4</f>
        <v>489</v>
      </c>
      <c r="J3" s="11">
        <f>J2</f>
        <v>0</v>
      </c>
      <c r="K3" s="32">
        <f>'Submetering '!Z3</f>
        <v>138</v>
      </c>
      <c r="L3" s="11"/>
      <c r="M3" s="53">
        <f>'Submetering '!E3</f>
        <v>47.37</v>
      </c>
    </row>
    <row r="4" spans="1:13" s="15" customFormat="1">
      <c r="A4" s="1" t="s">
        <v>13</v>
      </c>
      <c r="B4" s="14">
        <f t="shared" ref="B4:B31" si="0">B3+1</f>
        <v>3</v>
      </c>
      <c r="C4" s="11">
        <v>9</v>
      </c>
      <c r="D4" s="1">
        <v>2019</v>
      </c>
      <c r="E4" s="12">
        <f>'Submetering '!O4+'Submetering '!P4+'Submetering '!Q4+'Submetering '!R4+'Submetering '!S4</f>
        <v>17905</v>
      </c>
      <c r="F4" s="11">
        <f t="shared" ref="F4:F31" si="1">F3</f>
        <v>5.79</v>
      </c>
      <c r="G4" s="12">
        <f>'Submetering '!AB4</f>
        <v>400</v>
      </c>
      <c r="H4" s="11">
        <f t="shared" ref="H4:H31" si="2">H3</f>
        <v>18.899999999999999</v>
      </c>
      <c r="I4" s="12">
        <f>'FS Seychelles'!R5+'FS Seychelles'!T5+'FS Seychelles'!U5+'FS Seychelles'!V5</f>
        <v>481</v>
      </c>
      <c r="J4" s="11">
        <f t="shared" ref="J4:J31" si="3">J3</f>
        <v>0</v>
      </c>
      <c r="K4" s="32">
        <f>'Submetering '!Z4</f>
        <v>131</v>
      </c>
      <c r="L4" s="11"/>
      <c r="M4" s="53">
        <f>'Submetering '!E4</f>
        <v>57.86</v>
      </c>
    </row>
    <row r="5" spans="1:13" s="15" customFormat="1">
      <c r="A5" s="1" t="s">
        <v>13</v>
      </c>
      <c r="B5" s="14">
        <f t="shared" si="0"/>
        <v>4</v>
      </c>
      <c r="C5" s="11">
        <v>9</v>
      </c>
      <c r="D5" s="1">
        <v>2019</v>
      </c>
      <c r="E5" s="12">
        <f>'Submetering '!O5+'Submetering '!P5+'Submetering '!Q5+'Submetering '!R5+'Submetering '!S5</f>
        <v>26845</v>
      </c>
      <c r="F5" s="11">
        <f t="shared" si="1"/>
        <v>5.79</v>
      </c>
      <c r="G5" s="12">
        <f>'Submetering '!AB5</f>
        <v>400</v>
      </c>
      <c r="H5" s="11">
        <f t="shared" si="2"/>
        <v>18.899999999999999</v>
      </c>
      <c r="I5" s="12">
        <f>'FS Seychelles'!R6+'FS Seychelles'!T6+'FS Seychelles'!U6+'FS Seychelles'!V6</f>
        <v>484</v>
      </c>
      <c r="J5" s="11">
        <f t="shared" si="3"/>
        <v>0</v>
      </c>
      <c r="K5" s="32">
        <f>'Submetering '!Z5</f>
        <v>68</v>
      </c>
      <c r="L5" s="11"/>
      <c r="M5" s="53">
        <f>'Submetering '!E5</f>
        <v>67.11</v>
      </c>
    </row>
    <row r="6" spans="1:13" s="15" customFormat="1">
      <c r="A6" s="1" t="s">
        <v>13</v>
      </c>
      <c r="B6" s="14">
        <f t="shared" si="0"/>
        <v>5</v>
      </c>
      <c r="C6" s="11">
        <v>9</v>
      </c>
      <c r="D6" s="1">
        <v>2019</v>
      </c>
      <c r="E6" s="12">
        <f>'Submetering '!O6+'Submetering '!P6+'Submetering '!Q6+'Submetering '!R6+'Submetering '!S6</f>
        <v>14360</v>
      </c>
      <c r="F6" s="11">
        <f t="shared" si="1"/>
        <v>5.79</v>
      </c>
      <c r="G6" s="12">
        <f>'Submetering '!AB6</f>
        <v>400</v>
      </c>
      <c r="H6" s="11">
        <f t="shared" si="2"/>
        <v>18.899999999999999</v>
      </c>
      <c r="I6" s="12">
        <f>'FS Seychelles'!R7+'FS Seychelles'!T7+'FS Seychelles'!U7+'FS Seychelles'!V7</f>
        <v>468</v>
      </c>
      <c r="J6" s="11">
        <f t="shared" si="3"/>
        <v>0</v>
      </c>
      <c r="K6" s="32">
        <f>'Submetering '!Z6</f>
        <v>73</v>
      </c>
      <c r="L6" s="11"/>
      <c r="M6" s="53">
        <f>'Submetering '!E6</f>
        <v>59.21</v>
      </c>
    </row>
    <row r="7" spans="1:13" s="15" customFormat="1">
      <c r="A7" s="1" t="s">
        <v>13</v>
      </c>
      <c r="B7" s="14">
        <f t="shared" si="0"/>
        <v>6</v>
      </c>
      <c r="C7" s="11">
        <v>9</v>
      </c>
      <c r="D7" s="1">
        <v>2019</v>
      </c>
      <c r="E7" s="12">
        <f>'Submetering '!O7+'Submetering '!P7+'Submetering '!Q7+'Submetering '!R7+'Submetering '!S7</f>
        <v>25864</v>
      </c>
      <c r="F7" s="11">
        <f t="shared" si="1"/>
        <v>5.79</v>
      </c>
      <c r="G7" s="12">
        <f>'Submetering '!AB7</f>
        <v>400</v>
      </c>
      <c r="H7" s="11">
        <f t="shared" si="2"/>
        <v>18.899999999999999</v>
      </c>
      <c r="I7" s="12">
        <f>'FS Seychelles'!R8+'FS Seychelles'!T8+'FS Seychelles'!U8+'FS Seychelles'!V8</f>
        <v>585</v>
      </c>
      <c r="J7" s="11">
        <f t="shared" si="3"/>
        <v>0</v>
      </c>
      <c r="K7" s="32">
        <f>'Submetering '!Z7</f>
        <v>119</v>
      </c>
      <c r="L7" s="11"/>
      <c r="M7" s="53">
        <f>'Submetering '!E7</f>
        <v>73.680000000000007</v>
      </c>
    </row>
    <row r="8" spans="1:13" s="15" customFormat="1">
      <c r="A8" s="1" t="s">
        <v>13</v>
      </c>
      <c r="B8" s="14">
        <f t="shared" si="0"/>
        <v>7</v>
      </c>
      <c r="C8" s="11">
        <v>9</v>
      </c>
      <c r="D8" s="1">
        <v>2019</v>
      </c>
      <c r="E8" s="12">
        <f>'Submetering '!O8+'Submetering '!P8+'Submetering '!Q8+'Submetering '!R8+'Submetering '!S8</f>
        <v>28075</v>
      </c>
      <c r="F8" s="11">
        <f t="shared" si="1"/>
        <v>5.79</v>
      </c>
      <c r="G8" s="12">
        <f>'Submetering '!AB8</f>
        <v>400</v>
      </c>
      <c r="H8" s="11">
        <f t="shared" si="2"/>
        <v>18.899999999999999</v>
      </c>
      <c r="I8" s="12">
        <f>'FS Seychelles'!R9+'FS Seychelles'!T9+'FS Seychelles'!U9+'FS Seychelles'!V9</f>
        <v>489</v>
      </c>
      <c r="J8" s="11">
        <f t="shared" si="3"/>
        <v>0</v>
      </c>
      <c r="K8" s="32">
        <f>'Submetering '!Z8</f>
        <v>120</v>
      </c>
      <c r="L8" s="11"/>
      <c r="M8" s="53">
        <f>'Submetering '!E8</f>
        <v>81.58</v>
      </c>
    </row>
    <row r="9" spans="1:13" s="15" customFormat="1">
      <c r="A9" s="1" t="s">
        <v>13</v>
      </c>
      <c r="B9" s="14">
        <f t="shared" si="0"/>
        <v>8</v>
      </c>
      <c r="C9" s="11">
        <v>9</v>
      </c>
      <c r="D9" s="1">
        <v>2019</v>
      </c>
      <c r="E9" s="12">
        <f>'Submetering '!O9+'Submetering '!P9+'Submetering '!Q9+'Submetering '!R9+'Submetering '!S9</f>
        <v>28441</v>
      </c>
      <c r="F9" s="11">
        <f t="shared" si="1"/>
        <v>5.79</v>
      </c>
      <c r="G9" s="12">
        <f>'Submetering '!AB9</f>
        <v>400</v>
      </c>
      <c r="H9" s="11">
        <f t="shared" si="2"/>
        <v>18.899999999999999</v>
      </c>
      <c r="I9" s="12">
        <f>'FS Seychelles'!R10+'FS Seychelles'!T10+'FS Seychelles'!U10+'FS Seychelles'!V10</f>
        <v>470</v>
      </c>
      <c r="J9" s="11">
        <f t="shared" si="3"/>
        <v>0</v>
      </c>
      <c r="K9" s="32">
        <f>'Submetering '!Z9</f>
        <v>127</v>
      </c>
      <c r="L9" s="11"/>
      <c r="M9" s="53">
        <f>'Submetering '!E9</f>
        <v>67.11</v>
      </c>
    </row>
    <row r="10" spans="1:13" s="15" customFormat="1">
      <c r="A10" s="1" t="s">
        <v>13</v>
      </c>
      <c r="B10" s="14">
        <f t="shared" si="0"/>
        <v>9</v>
      </c>
      <c r="C10" s="11">
        <v>9</v>
      </c>
      <c r="D10" s="1">
        <v>2019</v>
      </c>
      <c r="E10" s="12">
        <f>'Submetering '!O10+'Submetering '!P10+'Submetering '!Q10+'Submetering '!R10+'Submetering '!S10</f>
        <v>28425</v>
      </c>
      <c r="F10" s="11">
        <f t="shared" si="1"/>
        <v>5.79</v>
      </c>
      <c r="G10" s="12">
        <f>'Submetering '!AB10</f>
        <v>400</v>
      </c>
      <c r="H10" s="11">
        <f t="shared" si="2"/>
        <v>18.899999999999999</v>
      </c>
      <c r="I10" s="12">
        <f>'FS Seychelles'!R11+'FS Seychelles'!T11+'FS Seychelles'!U11+'FS Seychelles'!V11</f>
        <v>441</v>
      </c>
      <c r="J10" s="11">
        <f t="shared" si="3"/>
        <v>0</v>
      </c>
      <c r="K10" s="32">
        <f>'Submetering '!Z10</f>
        <v>117</v>
      </c>
      <c r="L10" s="11"/>
      <c r="M10" s="53">
        <f>'Submetering '!E10</f>
        <v>65.790000000000006</v>
      </c>
    </row>
    <row r="11" spans="1:13" s="15" customFormat="1">
      <c r="A11" s="1" t="s">
        <v>13</v>
      </c>
      <c r="B11" s="14">
        <f t="shared" si="0"/>
        <v>10</v>
      </c>
      <c r="C11" s="11">
        <v>9</v>
      </c>
      <c r="D11" s="1">
        <v>2019</v>
      </c>
      <c r="E11" s="12">
        <f>'Submetering '!O11+'Submetering '!P11+'Submetering '!Q11+'Submetering '!R11+'Submetering '!S11</f>
        <v>29296</v>
      </c>
      <c r="F11" s="11">
        <f t="shared" si="1"/>
        <v>5.79</v>
      </c>
      <c r="G11" s="12">
        <f>'Submetering '!AB11</f>
        <v>400</v>
      </c>
      <c r="H11" s="11">
        <f t="shared" si="2"/>
        <v>18.899999999999999</v>
      </c>
      <c r="I11" s="12">
        <f>'FS Seychelles'!R12+'FS Seychelles'!T12+'FS Seychelles'!U12+'FS Seychelles'!V12</f>
        <v>464</v>
      </c>
      <c r="J11" s="11">
        <f t="shared" si="3"/>
        <v>0</v>
      </c>
      <c r="K11" s="32">
        <f>'Submetering '!Z11</f>
        <v>122</v>
      </c>
      <c r="L11" s="11"/>
      <c r="M11" s="53">
        <f>'Submetering '!E11</f>
        <v>39.47</v>
      </c>
    </row>
    <row r="12" spans="1:13" s="15" customFormat="1">
      <c r="A12" s="1" t="s">
        <v>13</v>
      </c>
      <c r="B12" s="14">
        <f t="shared" si="0"/>
        <v>11</v>
      </c>
      <c r="C12" s="11">
        <v>9</v>
      </c>
      <c r="D12" s="1">
        <v>2019</v>
      </c>
      <c r="E12" s="12">
        <f>'Submetering '!O12+'Submetering '!P12+'Submetering '!Q12+'Submetering '!R12+'Submetering '!S12</f>
        <v>29789</v>
      </c>
      <c r="F12" s="11">
        <f t="shared" si="1"/>
        <v>5.79</v>
      </c>
      <c r="G12" s="12">
        <f>'Submetering '!AB12</f>
        <v>400</v>
      </c>
      <c r="H12" s="11">
        <f t="shared" si="2"/>
        <v>18.899999999999999</v>
      </c>
      <c r="I12" s="12">
        <f>'FS Seychelles'!R13+'FS Seychelles'!T13+'FS Seychelles'!U13+'FS Seychelles'!V13</f>
        <v>386</v>
      </c>
      <c r="J12" s="11">
        <f t="shared" si="3"/>
        <v>0</v>
      </c>
      <c r="K12" s="32">
        <f>'Submetering '!Z12</f>
        <v>123</v>
      </c>
      <c r="L12" s="11"/>
      <c r="M12" s="53">
        <f>'Submetering '!E12</f>
        <v>35.53</v>
      </c>
    </row>
    <row r="13" spans="1:13" s="15" customFormat="1">
      <c r="A13" s="1" t="s">
        <v>13</v>
      </c>
      <c r="B13" s="14">
        <f t="shared" si="0"/>
        <v>12</v>
      </c>
      <c r="C13" s="11">
        <v>9</v>
      </c>
      <c r="D13" s="1">
        <v>2019</v>
      </c>
      <c r="E13" s="12">
        <f>'Submetering '!O13+'Submetering '!P13+'Submetering '!Q13+'Submetering '!R13+'Submetering '!S13</f>
        <v>28938</v>
      </c>
      <c r="F13" s="11">
        <f t="shared" si="1"/>
        <v>5.79</v>
      </c>
      <c r="G13" s="12">
        <f>'Submetering '!AB13</f>
        <v>400</v>
      </c>
      <c r="H13" s="11">
        <f t="shared" si="2"/>
        <v>18.899999999999999</v>
      </c>
      <c r="I13" s="12">
        <f>'FS Seychelles'!R14+'FS Seychelles'!T14+'FS Seychelles'!U14+'FS Seychelles'!V14</f>
        <v>519</v>
      </c>
      <c r="J13" s="11">
        <f t="shared" si="3"/>
        <v>0</v>
      </c>
      <c r="K13" s="32">
        <f>'Submetering '!Z13</f>
        <v>87</v>
      </c>
      <c r="L13" s="11"/>
      <c r="M13" s="53">
        <f>'Submetering '!E13</f>
        <v>31.58</v>
      </c>
    </row>
    <row r="14" spans="1:13" s="15" customFormat="1">
      <c r="A14" s="1" t="s">
        <v>13</v>
      </c>
      <c r="B14" s="14">
        <f t="shared" si="0"/>
        <v>13</v>
      </c>
      <c r="C14" s="11">
        <v>9</v>
      </c>
      <c r="D14" s="1">
        <v>2019</v>
      </c>
      <c r="E14" s="12">
        <f>'Submetering '!O14+'Submetering '!P14+'Submetering '!Q14+'Submetering '!R14+'Submetering '!S14</f>
        <v>27071</v>
      </c>
      <c r="F14" s="11">
        <f t="shared" si="1"/>
        <v>5.79</v>
      </c>
      <c r="G14" s="12">
        <f>'Submetering '!AB14</f>
        <v>400</v>
      </c>
      <c r="H14" s="11">
        <f t="shared" si="2"/>
        <v>18.899999999999999</v>
      </c>
      <c r="I14" s="12">
        <f>'FS Seychelles'!R15+'FS Seychelles'!T15+'FS Seychelles'!U15+'FS Seychelles'!V15</f>
        <v>544</v>
      </c>
      <c r="J14" s="11">
        <f t="shared" si="3"/>
        <v>0</v>
      </c>
      <c r="K14" s="32">
        <f>'Submetering '!Z14</f>
        <v>85</v>
      </c>
      <c r="L14" s="11"/>
      <c r="M14" s="53">
        <f>'Submetering '!E14</f>
        <v>30.26</v>
      </c>
    </row>
    <row r="15" spans="1:13" s="15" customFormat="1">
      <c r="A15" s="1" t="s">
        <v>13</v>
      </c>
      <c r="B15" s="14">
        <f t="shared" si="0"/>
        <v>14</v>
      </c>
      <c r="C15" s="11">
        <v>9</v>
      </c>
      <c r="D15" s="1">
        <v>2019</v>
      </c>
      <c r="E15" s="12">
        <f>'Submetering '!O15+'Submetering '!P15+'Submetering '!Q15+'Submetering '!R15+'Submetering '!S15</f>
        <v>25385</v>
      </c>
      <c r="F15" s="11">
        <f t="shared" si="1"/>
        <v>5.79</v>
      </c>
      <c r="G15" s="12">
        <f>'Submetering '!AB15</f>
        <v>400</v>
      </c>
      <c r="H15" s="11">
        <f t="shared" si="2"/>
        <v>18.899999999999999</v>
      </c>
      <c r="I15" s="12">
        <f>'FS Seychelles'!R16+'FS Seychelles'!T16+'FS Seychelles'!U16+'FS Seychelles'!V16</f>
        <v>454</v>
      </c>
      <c r="J15" s="11">
        <f t="shared" si="3"/>
        <v>0</v>
      </c>
      <c r="K15" s="32">
        <f>'Submetering '!Z15</f>
        <v>168</v>
      </c>
      <c r="L15" s="11"/>
      <c r="M15" s="53">
        <f>'Submetering '!E15</f>
        <v>27.63</v>
      </c>
    </row>
    <row r="16" spans="1:13" s="15" customFormat="1">
      <c r="A16" s="1" t="s">
        <v>13</v>
      </c>
      <c r="B16" s="14">
        <f t="shared" si="0"/>
        <v>15</v>
      </c>
      <c r="C16" s="11">
        <v>9</v>
      </c>
      <c r="D16" s="1">
        <v>2019</v>
      </c>
      <c r="E16" s="12">
        <f>'Submetering '!O16+'Submetering '!P16+'Submetering '!Q16+'Submetering '!R16+'Submetering '!S16</f>
        <v>26348</v>
      </c>
      <c r="F16" s="11">
        <f t="shared" si="1"/>
        <v>5.79</v>
      </c>
      <c r="G16" s="12">
        <f>'Submetering '!AB16</f>
        <v>400</v>
      </c>
      <c r="H16" s="11">
        <f t="shared" si="2"/>
        <v>18.899999999999999</v>
      </c>
      <c r="I16" s="12">
        <f>'FS Seychelles'!R17+'FS Seychelles'!T17+'FS Seychelles'!U17+'FS Seychelles'!V17</f>
        <v>458</v>
      </c>
      <c r="J16" s="11">
        <f t="shared" si="3"/>
        <v>0</v>
      </c>
      <c r="K16" s="32">
        <f>'Submetering '!Z16</f>
        <v>85</v>
      </c>
      <c r="L16" s="11"/>
      <c r="M16" s="53">
        <f>'Submetering '!E16</f>
        <v>32.89</v>
      </c>
    </row>
    <row r="17" spans="1:13" s="15" customFormat="1">
      <c r="A17" s="1" t="s">
        <v>13</v>
      </c>
      <c r="B17" s="14">
        <f t="shared" si="0"/>
        <v>16</v>
      </c>
      <c r="C17" s="11">
        <v>9</v>
      </c>
      <c r="D17" s="1">
        <v>2019</v>
      </c>
      <c r="E17" s="12">
        <f>'Submetering '!O17+'Submetering '!P17+'Submetering '!Q17+'Submetering '!R17+'Submetering '!S17</f>
        <v>26475</v>
      </c>
      <c r="F17" s="11">
        <f t="shared" si="1"/>
        <v>5.79</v>
      </c>
      <c r="G17" s="12">
        <f>'Submetering '!AB17</f>
        <v>400</v>
      </c>
      <c r="H17" s="11">
        <f t="shared" si="2"/>
        <v>18.899999999999999</v>
      </c>
      <c r="I17" s="12">
        <f>'FS Seychelles'!R18+'FS Seychelles'!T18+'FS Seychelles'!U18+'FS Seychelles'!V18</f>
        <v>450</v>
      </c>
      <c r="J17" s="11">
        <f t="shared" si="3"/>
        <v>0</v>
      </c>
      <c r="K17" s="32">
        <f>'Submetering '!Z17</f>
        <v>77</v>
      </c>
      <c r="L17" s="11"/>
      <c r="M17" s="53">
        <f>'Submetering '!E17</f>
        <v>35.53</v>
      </c>
    </row>
    <row r="18" spans="1:13" s="15" customFormat="1">
      <c r="A18" s="1" t="s">
        <v>13</v>
      </c>
      <c r="B18" s="14">
        <f t="shared" si="0"/>
        <v>17</v>
      </c>
      <c r="C18" s="11">
        <v>9</v>
      </c>
      <c r="D18" s="1">
        <v>2019</v>
      </c>
      <c r="E18" s="12">
        <f>'Submetering '!O18+'Submetering '!P18+'Submetering '!Q18+'Submetering '!R18+'Submetering '!S18</f>
        <v>26567</v>
      </c>
      <c r="F18" s="11">
        <f t="shared" si="1"/>
        <v>5.79</v>
      </c>
      <c r="G18" s="12">
        <f>'Submetering '!AB18</f>
        <v>400</v>
      </c>
      <c r="H18" s="11">
        <f t="shared" si="2"/>
        <v>18.899999999999999</v>
      </c>
      <c r="I18" s="12">
        <f>'FS Seychelles'!R19+'FS Seychelles'!T19+'FS Seychelles'!U19+'FS Seychelles'!V19</f>
        <v>448</v>
      </c>
      <c r="J18" s="11">
        <f t="shared" si="3"/>
        <v>0</v>
      </c>
      <c r="K18" s="32">
        <f>'Submetering '!Z18</f>
        <v>193</v>
      </c>
      <c r="L18" s="11"/>
      <c r="M18" s="53">
        <f>'Submetering '!E18</f>
        <v>43.42</v>
      </c>
    </row>
    <row r="19" spans="1:13" s="15" customFormat="1">
      <c r="A19" s="1" t="s">
        <v>13</v>
      </c>
      <c r="B19" s="14">
        <f t="shared" si="0"/>
        <v>18</v>
      </c>
      <c r="C19" s="11">
        <v>9</v>
      </c>
      <c r="D19" s="1">
        <v>2019</v>
      </c>
      <c r="E19" s="12">
        <f>'Submetering '!O19+'Submetering '!P19+'Submetering '!Q19+'Submetering '!R19+'Submetering '!S19</f>
        <v>23400</v>
      </c>
      <c r="F19" s="11">
        <f t="shared" si="1"/>
        <v>5.79</v>
      </c>
      <c r="G19" s="12">
        <f>'Submetering '!AB19</f>
        <v>400</v>
      </c>
      <c r="H19" s="11">
        <f t="shared" si="2"/>
        <v>18.899999999999999</v>
      </c>
      <c r="I19" s="12">
        <f>'FS Seychelles'!R20+'FS Seychelles'!T20+'FS Seychelles'!U20+'FS Seychelles'!V20</f>
        <v>622</v>
      </c>
      <c r="J19" s="11">
        <f t="shared" si="3"/>
        <v>0</v>
      </c>
      <c r="K19" s="32">
        <f>'Submetering '!Z19</f>
        <v>110</v>
      </c>
      <c r="L19" s="11"/>
      <c r="M19" s="53">
        <f>'Submetering '!E19</f>
        <v>44.74</v>
      </c>
    </row>
    <row r="20" spans="1:13" s="15" customFormat="1">
      <c r="A20" s="1" t="s">
        <v>13</v>
      </c>
      <c r="B20" s="14">
        <f t="shared" si="0"/>
        <v>19</v>
      </c>
      <c r="C20" s="11">
        <v>9</v>
      </c>
      <c r="D20" s="1">
        <v>2019</v>
      </c>
      <c r="E20" s="12">
        <f>'Submetering '!O20+'Submetering '!P20+'Submetering '!Q20+'Submetering '!R20+'Submetering '!S20</f>
        <v>25339</v>
      </c>
      <c r="F20" s="11">
        <f t="shared" si="1"/>
        <v>5.79</v>
      </c>
      <c r="G20" s="12">
        <f>'Submetering '!AB20</f>
        <v>400</v>
      </c>
      <c r="H20" s="11">
        <f t="shared" si="2"/>
        <v>18.899999999999999</v>
      </c>
      <c r="I20" s="12">
        <f>'FS Seychelles'!R21+'FS Seychelles'!T21+'FS Seychelles'!U21+'FS Seychelles'!V21</f>
        <v>514</v>
      </c>
      <c r="J20" s="11">
        <f t="shared" si="3"/>
        <v>0</v>
      </c>
      <c r="K20" s="32">
        <f>'Submetering '!Z20</f>
        <v>194</v>
      </c>
      <c r="L20" s="11"/>
      <c r="M20" s="53">
        <f>'Submetering '!E20</f>
        <v>55.26</v>
      </c>
    </row>
    <row r="21" spans="1:13" s="15" customFormat="1">
      <c r="A21" s="1" t="s">
        <v>13</v>
      </c>
      <c r="B21" s="14">
        <f t="shared" si="0"/>
        <v>20</v>
      </c>
      <c r="C21" s="11">
        <v>9</v>
      </c>
      <c r="D21" s="1">
        <v>2019</v>
      </c>
      <c r="E21" s="12">
        <f>'Submetering '!O21+'Submetering '!P21+'Submetering '!Q21+'Submetering '!R21+'Submetering '!S21</f>
        <v>26815</v>
      </c>
      <c r="F21" s="11">
        <f t="shared" si="1"/>
        <v>5.79</v>
      </c>
      <c r="G21" s="12">
        <f>'Submetering '!AB21</f>
        <v>400</v>
      </c>
      <c r="H21" s="11">
        <f t="shared" si="2"/>
        <v>18.899999999999999</v>
      </c>
      <c r="I21" s="12">
        <f>'FS Seychelles'!R22+'FS Seychelles'!T22+'FS Seychelles'!U22+'FS Seychelles'!V22</f>
        <v>498</v>
      </c>
      <c r="J21" s="11">
        <f t="shared" si="3"/>
        <v>0</v>
      </c>
      <c r="K21" s="32">
        <f>'Submetering '!Z21</f>
        <v>153</v>
      </c>
      <c r="L21" s="11"/>
      <c r="M21" s="53">
        <f>'Submetering '!E21</f>
        <v>53.95</v>
      </c>
    </row>
    <row r="22" spans="1:13" s="15" customFormat="1">
      <c r="A22" s="1" t="s">
        <v>13</v>
      </c>
      <c r="B22" s="14">
        <f t="shared" si="0"/>
        <v>21</v>
      </c>
      <c r="C22" s="11">
        <v>9</v>
      </c>
      <c r="D22" s="1">
        <v>2019</v>
      </c>
      <c r="E22" s="12">
        <f>'Submetering '!O22+'Submetering '!P22+'Submetering '!Q22+'Submetering '!R22+'Submetering '!S22</f>
        <v>24292</v>
      </c>
      <c r="F22" s="11">
        <f t="shared" si="1"/>
        <v>5.79</v>
      </c>
      <c r="G22" s="12">
        <f>'Submetering '!AB22</f>
        <v>400</v>
      </c>
      <c r="H22" s="11">
        <f t="shared" si="2"/>
        <v>18.899999999999999</v>
      </c>
      <c r="I22" s="12">
        <f>'FS Seychelles'!R23+'FS Seychelles'!T23+'FS Seychelles'!U23+'FS Seychelles'!V23</f>
        <v>533</v>
      </c>
      <c r="J22" s="11">
        <f t="shared" si="3"/>
        <v>0</v>
      </c>
      <c r="K22" s="32">
        <f>'Submetering '!Z22</f>
        <v>111</v>
      </c>
      <c r="L22" s="11"/>
      <c r="M22" s="53">
        <f>'Submetering '!E22</f>
        <v>57.89</v>
      </c>
    </row>
    <row r="23" spans="1:13" s="15" customFormat="1">
      <c r="A23" s="1" t="s">
        <v>13</v>
      </c>
      <c r="B23" s="14">
        <f t="shared" si="0"/>
        <v>22</v>
      </c>
      <c r="C23" s="11">
        <v>9</v>
      </c>
      <c r="D23" s="1">
        <v>2019</v>
      </c>
      <c r="E23" s="12">
        <f>'Submetering '!O23+'Submetering '!P23+'Submetering '!Q23+'Submetering '!R23+'Submetering '!S23</f>
        <v>25147</v>
      </c>
      <c r="F23" s="11">
        <f t="shared" si="1"/>
        <v>5.79</v>
      </c>
      <c r="G23" s="12">
        <f>'Submetering '!AB23</f>
        <v>400</v>
      </c>
      <c r="H23" s="11">
        <f t="shared" si="2"/>
        <v>18.899999999999999</v>
      </c>
      <c r="I23" s="12">
        <f>'FS Seychelles'!R24+'FS Seychelles'!T24+'FS Seychelles'!U24+'FS Seychelles'!V24</f>
        <v>574</v>
      </c>
      <c r="J23" s="11">
        <f t="shared" si="3"/>
        <v>0</v>
      </c>
      <c r="K23" s="32">
        <f>'Submetering '!Z23</f>
        <v>86</v>
      </c>
      <c r="L23" s="11"/>
      <c r="M23" s="53">
        <f>'Submetering '!E23</f>
        <v>50</v>
      </c>
    </row>
    <row r="24" spans="1:13" s="15" customFormat="1">
      <c r="A24" s="1" t="s">
        <v>13</v>
      </c>
      <c r="B24" s="14">
        <f t="shared" si="0"/>
        <v>23</v>
      </c>
      <c r="C24" s="11">
        <v>9</v>
      </c>
      <c r="D24" s="1">
        <v>2019</v>
      </c>
      <c r="E24" s="12">
        <f>'Submetering '!O24+'Submetering '!P24+'Submetering '!Q24+'Submetering '!R24+'Submetering '!S24</f>
        <v>27372</v>
      </c>
      <c r="F24" s="11">
        <f t="shared" si="1"/>
        <v>5.79</v>
      </c>
      <c r="G24" s="12">
        <f>'Submetering '!AB24</f>
        <v>400</v>
      </c>
      <c r="H24" s="11">
        <f t="shared" si="2"/>
        <v>18.899999999999999</v>
      </c>
      <c r="I24" s="12">
        <f>'FS Seychelles'!R25+'FS Seychelles'!T25+'FS Seychelles'!U25+'FS Seychelles'!V25</f>
        <v>543</v>
      </c>
      <c r="J24" s="11">
        <f t="shared" si="3"/>
        <v>0</v>
      </c>
      <c r="K24" s="32">
        <f>'Submetering '!Z24</f>
        <v>148</v>
      </c>
      <c r="L24" s="11"/>
      <c r="M24" s="53">
        <f>'Submetering '!E24</f>
        <v>44.74</v>
      </c>
    </row>
    <row r="25" spans="1:13" s="15" customFormat="1">
      <c r="A25" s="1" t="s">
        <v>13</v>
      </c>
      <c r="B25" s="14">
        <f t="shared" si="0"/>
        <v>24</v>
      </c>
      <c r="C25" s="11">
        <v>9</v>
      </c>
      <c r="D25" s="1">
        <v>2019</v>
      </c>
      <c r="E25" s="12">
        <f>'Submetering '!O25+'Submetering '!P25+'Submetering '!Q25+'Submetering '!R25+'Submetering '!S25</f>
        <v>25598</v>
      </c>
      <c r="F25" s="11">
        <f t="shared" si="1"/>
        <v>5.79</v>
      </c>
      <c r="G25" s="12">
        <f>'Submetering '!AB25</f>
        <v>400</v>
      </c>
      <c r="H25" s="11">
        <f t="shared" si="2"/>
        <v>18.899999999999999</v>
      </c>
      <c r="I25" s="12">
        <f>'FS Seychelles'!R26+'FS Seychelles'!T26+'FS Seychelles'!U26+'FS Seychelles'!V26</f>
        <v>506</v>
      </c>
      <c r="J25" s="11">
        <f t="shared" si="3"/>
        <v>0</v>
      </c>
      <c r="K25" s="32">
        <f>'Submetering '!Z25</f>
        <v>149</v>
      </c>
      <c r="L25" s="11"/>
      <c r="M25" s="53">
        <f>'Submetering '!E25</f>
        <v>44.74</v>
      </c>
    </row>
    <row r="26" spans="1:13" s="15" customFormat="1">
      <c r="A26" s="1" t="s">
        <v>13</v>
      </c>
      <c r="B26" s="14">
        <f>B25+1</f>
        <v>25</v>
      </c>
      <c r="C26" s="11">
        <v>9</v>
      </c>
      <c r="D26" s="1">
        <v>2019</v>
      </c>
      <c r="E26" s="12">
        <f>'Submetering '!O26+'Submetering '!P26+'Submetering '!Q26+'Submetering '!R26+'Submetering '!S26</f>
        <v>24893</v>
      </c>
      <c r="F26" s="11">
        <f t="shared" si="1"/>
        <v>5.79</v>
      </c>
      <c r="G26" s="12">
        <f>'Submetering '!AB26</f>
        <v>400</v>
      </c>
      <c r="H26" s="11">
        <f t="shared" si="2"/>
        <v>18.899999999999999</v>
      </c>
      <c r="I26" s="12">
        <f>'FS Seychelles'!R27+'FS Seychelles'!T27+'FS Seychelles'!U27+'FS Seychelles'!V27</f>
        <v>521</v>
      </c>
      <c r="J26" s="11">
        <f t="shared" si="3"/>
        <v>0</v>
      </c>
      <c r="K26" s="32">
        <f>'Submetering '!Z26</f>
        <v>149</v>
      </c>
      <c r="L26" s="11"/>
      <c r="M26" s="53">
        <f>'Submetering '!E26</f>
        <v>44.74</v>
      </c>
    </row>
    <row r="27" spans="1:13" s="15" customFormat="1">
      <c r="A27" s="1" t="s">
        <v>13</v>
      </c>
      <c r="B27" s="14">
        <f t="shared" si="0"/>
        <v>26</v>
      </c>
      <c r="C27" s="11">
        <v>9</v>
      </c>
      <c r="D27" s="1">
        <v>2019</v>
      </c>
      <c r="E27" s="12">
        <f>'Submetering '!O27+'Submetering '!P27+'Submetering '!Q27+'Submetering '!R27+'Submetering '!S27</f>
        <v>24345</v>
      </c>
      <c r="F27" s="11">
        <f t="shared" si="1"/>
        <v>5.79</v>
      </c>
      <c r="G27" s="12">
        <f>'Submetering '!AB27</f>
        <v>400</v>
      </c>
      <c r="H27" s="11">
        <f t="shared" si="2"/>
        <v>18.899999999999999</v>
      </c>
      <c r="I27" s="12">
        <f>'FS Seychelles'!R28+'FS Seychelles'!T28+'FS Seychelles'!U28+'FS Seychelles'!V28</f>
        <v>425</v>
      </c>
      <c r="J27" s="11">
        <f t="shared" si="3"/>
        <v>0</v>
      </c>
      <c r="K27" s="32">
        <f>'Submetering '!Z27</f>
        <v>146</v>
      </c>
      <c r="L27" s="11"/>
      <c r="M27" s="53">
        <f>'Submetering '!E27</f>
        <v>43.42</v>
      </c>
    </row>
    <row r="28" spans="1:13" s="15" customFormat="1">
      <c r="A28" s="1" t="s">
        <v>13</v>
      </c>
      <c r="B28" s="14">
        <f t="shared" si="0"/>
        <v>27</v>
      </c>
      <c r="C28" s="11">
        <v>9</v>
      </c>
      <c r="D28" s="1">
        <v>2019</v>
      </c>
      <c r="E28" s="12">
        <f>'Submetering '!O28+'Submetering '!P28+'Submetering '!Q28+'Submetering '!R28+'Submetering '!S28</f>
        <v>21682</v>
      </c>
      <c r="F28" s="11">
        <f t="shared" si="1"/>
        <v>5.79</v>
      </c>
      <c r="G28" s="12">
        <f>'Submetering '!AB28</f>
        <v>400</v>
      </c>
      <c r="H28" s="11">
        <f t="shared" si="2"/>
        <v>18.899999999999999</v>
      </c>
      <c r="I28" s="12">
        <f>'FS Seychelles'!R29+'FS Seychelles'!T29+'FS Seychelles'!U29+'FS Seychelles'!V29</f>
        <v>461</v>
      </c>
      <c r="J28" s="11">
        <f t="shared" si="3"/>
        <v>0</v>
      </c>
      <c r="K28" s="32">
        <f>'Submetering '!Z28</f>
        <v>146</v>
      </c>
      <c r="L28" s="11"/>
      <c r="M28" s="53">
        <f>'Submetering '!E28</f>
        <v>45.45</v>
      </c>
    </row>
    <row r="29" spans="1:13" s="15" customFormat="1">
      <c r="A29" s="1" t="s">
        <v>13</v>
      </c>
      <c r="B29" s="14">
        <f t="shared" si="0"/>
        <v>28</v>
      </c>
      <c r="C29" s="11">
        <v>9</v>
      </c>
      <c r="D29" s="1">
        <v>2019</v>
      </c>
      <c r="E29" s="12">
        <f>'Submetering '!O29+'Submetering '!P29+'Submetering '!Q29+'Submetering '!R29+'Submetering '!S29</f>
        <v>27170</v>
      </c>
      <c r="F29" s="11">
        <f t="shared" si="1"/>
        <v>5.79</v>
      </c>
      <c r="G29" s="12">
        <f>'Submetering '!AB29</f>
        <v>400</v>
      </c>
      <c r="H29" s="11">
        <f t="shared" si="2"/>
        <v>18.899999999999999</v>
      </c>
      <c r="I29" s="12">
        <f>'FS Seychelles'!R30+'FS Seychelles'!T30+'FS Seychelles'!U30+'FS Seychelles'!V30</f>
        <v>485</v>
      </c>
      <c r="J29" s="11">
        <f t="shared" si="3"/>
        <v>0</v>
      </c>
      <c r="K29" s="32">
        <f>'Submetering '!Z29</f>
        <v>154</v>
      </c>
      <c r="L29" s="11"/>
      <c r="M29" s="53">
        <f>'Submetering '!E29</f>
        <v>45.45</v>
      </c>
    </row>
    <row r="30" spans="1:13" s="15" customFormat="1">
      <c r="A30" s="1" t="s">
        <v>13</v>
      </c>
      <c r="B30" s="14">
        <f t="shared" si="0"/>
        <v>29</v>
      </c>
      <c r="C30" s="11">
        <v>9</v>
      </c>
      <c r="D30" s="1">
        <v>2019</v>
      </c>
      <c r="E30" s="12">
        <f>'Submetering '!O30+'Submetering '!P30+'Submetering '!Q30+'Submetering '!R30+'Submetering '!S30</f>
        <v>26189</v>
      </c>
      <c r="F30" s="11">
        <f t="shared" si="1"/>
        <v>5.79</v>
      </c>
      <c r="G30" s="12">
        <f>'Submetering '!AB30</f>
        <v>400</v>
      </c>
      <c r="H30" s="11">
        <f t="shared" si="2"/>
        <v>18.899999999999999</v>
      </c>
      <c r="I30" s="12">
        <f>'FS Seychelles'!R31+'FS Seychelles'!T31+'FS Seychelles'!U31+'FS Seychelles'!V31</f>
        <v>431</v>
      </c>
      <c r="J30" s="11">
        <f t="shared" si="3"/>
        <v>0</v>
      </c>
      <c r="K30" s="32">
        <f>'Submetering '!Z30</f>
        <v>140</v>
      </c>
      <c r="L30" s="11"/>
      <c r="M30" s="53">
        <f>'Submetering '!E30</f>
        <v>34.61</v>
      </c>
    </row>
    <row r="31" spans="1:13" s="13" customFormat="1">
      <c r="A31" s="1" t="s">
        <v>13</v>
      </c>
      <c r="B31" s="14">
        <f t="shared" si="0"/>
        <v>30</v>
      </c>
      <c r="C31" s="11">
        <v>9</v>
      </c>
      <c r="D31" s="1">
        <v>2019</v>
      </c>
      <c r="E31" s="12">
        <f>'Submetering '!O31+'Submetering '!P31+'Submetering '!Q31+'Submetering '!R31+'Submetering '!S31</f>
        <v>27025</v>
      </c>
      <c r="F31" s="11">
        <f t="shared" si="1"/>
        <v>5.79</v>
      </c>
      <c r="G31" s="12">
        <f>'Submetering '!AB31</f>
        <v>400</v>
      </c>
      <c r="H31" s="11">
        <f t="shared" si="2"/>
        <v>18.899999999999999</v>
      </c>
      <c r="I31" s="12">
        <f>'FS Seychelles'!R32+'FS Seychelles'!T32+'FS Seychelles'!U32+'FS Seychelles'!V32</f>
        <v>506</v>
      </c>
      <c r="J31" s="11">
        <f t="shared" si="3"/>
        <v>0</v>
      </c>
      <c r="K31" s="32">
        <f>'Submetering '!Z31</f>
        <v>158</v>
      </c>
      <c r="L31" s="11"/>
      <c r="M31" s="53">
        <f>'Submetering '!E31</f>
        <v>59.02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2"/>
  <sheetViews>
    <sheetView tabSelected="1" workbookViewId="0">
      <selection activeCell="A34" sqref="A34"/>
    </sheetView>
  </sheetViews>
  <sheetFormatPr defaultColWidth="11.5703125" defaultRowHeight="15"/>
  <cols>
    <col min="1" max="1" width="22.28515625" style="29" bestFit="1" customWidth="1"/>
    <col min="2" max="3" width="11.5703125" style="11"/>
    <col min="4" max="4" width="13.42578125" style="11" customWidth="1"/>
    <col min="5" max="19" width="12.5703125" style="18" customWidth="1"/>
    <col min="20" max="20" width="12.28515625" style="18" bestFit="1" customWidth="1"/>
    <col min="21" max="22" width="12.5703125" style="18" customWidth="1"/>
    <col min="23" max="28" width="16.5703125" style="18" customWidth="1"/>
  </cols>
  <sheetData>
    <row r="1" spans="1:28" s="9" customFormat="1" ht="30">
      <c r="A1" s="30" t="s">
        <v>0</v>
      </c>
      <c r="B1" s="27" t="s">
        <v>1</v>
      </c>
      <c r="C1" s="27" t="s">
        <v>2</v>
      </c>
      <c r="D1" s="27" t="s">
        <v>3</v>
      </c>
      <c r="E1" s="28" t="s">
        <v>14</v>
      </c>
      <c r="F1" s="28" t="s">
        <v>15</v>
      </c>
      <c r="G1" s="28" t="s">
        <v>16</v>
      </c>
      <c r="H1" s="28" t="s">
        <v>17</v>
      </c>
      <c r="I1" s="28" t="s">
        <v>18</v>
      </c>
      <c r="J1" s="28" t="s">
        <v>19</v>
      </c>
      <c r="K1" s="28" t="s">
        <v>20</v>
      </c>
      <c r="L1" s="28" t="s">
        <v>21</v>
      </c>
      <c r="M1" s="28" t="s">
        <v>22</v>
      </c>
      <c r="N1" s="28" t="s">
        <v>23</v>
      </c>
      <c r="O1" s="28" t="s">
        <v>24</v>
      </c>
      <c r="P1" s="28" t="s">
        <v>25</v>
      </c>
      <c r="Q1" s="28" t="s">
        <v>26</v>
      </c>
      <c r="R1" s="28" t="s">
        <v>27</v>
      </c>
      <c r="S1" s="28" t="s">
        <v>28</v>
      </c>
      <c r="T1" s="28" t="s">
        <v>29</v>
      </c>
      <c r="U1" s="28" t="s">
        <v>30</v>
      </c>
      <c r="V1" s="28" t="s">
        <v>31</v>
      </c>
      <c r="W1" s="28" t="s">
        <v>32</v>
      </c>
      <c r="X1" s="28" t="s">
        <v>33</v>
      </c>
      <c r="Y1" s="28" t="s">
        <v>34</v>
      </c>
      <c r="Z1" s="28" t="s">
        <v>35</v>
      </c>
      <c r="AA1" s="28" t="s">
        <v>36</v>
      </c>
      <c r="AB1" s="28" t="s">
        <v>37</v>
      </c>
    </row>
    <row r="2" spans="1:28">
      <c r="A2" s="1" t="s">
        <v>13</v>
      </c>
      <c r="B2" s="11">
        <v>1</v>
      </c>
      <c r="C2" s="11">
        <v>9</v>
      </c>
      <c r="D2" s="11">
        <v>2019</v>
      </c>
      <c r="E2" s="18">
        <f>'FS Seychelles'!B3</f>
        <v>42.11</v>
      </c>
      <c r="F2" s="18">
        <f>'FS Seychelles'!C3*1000</f>
        <v>4810</v>
      </c>
      <c r="G2" s="18">
        <f>'FS Seychelles'!D3*1000</f>
        <v>5800</v>
      </c>
      <c r="H2" s="18">
        <f>'FS Seychelles'!E3*1000</f>
        <v>6220</v>
      </c>
      <c r="I2" s="18">
        <f>'FS Seychelles'!F3*1000</f>
        <v>2890</v>
      </c>
      <c r="J2" s="18">
        <f>'FS Seychelles'!G3*1000</f>
        <v>3800</v>
      </c>
      <c r="K2" s="18">
        <f>'FS Seychelles'!H3*1000</f>
        <v>1640</v>
      </c>
      <c r="L2" s="18">
        <f>'FS Seychelles'!I3*1000</f>
        <v>1380</v>
      </c>
      <c r="M2" s="18">
        <f>'FS Seychelles'!J3*1000</f>
        <v>2150</v>
      </c>
      <c r="N2" s="18">
        <f>'FS Seychelles'!K3*1000</f>
        <v>4090</v>
      </c>
      <c r="O2" s="18">
        <f>'FS Seychelles'!L3</f>
        <v>12417</v>
      </c>
      <c r="P2" s="18">
        <f>'FS Seychelles'!M3</f>
        <v>0</v>
      </c>
      <c r="Q2" s="18">
        <f>'FS Seychelles'!N3</f>
        <v>12079</v>
      </c>
      <c r="R2" s="18">
        <f>'FS Seychelles'!O3</f>
        <v>8651</v>
      </c>
      <c r="S2" s="18">
        <f>'FS Seychelles'!P3</f>
        <v>0</v>
      </c>
      <c r="T2" s="18">
        <f>'FS Seychelles'!Q3</f>
        <v>8831</v>
      </c>
      <c r="U2" s="18">
        <f>'FS Seychelles'!R3</f>
        <v>90</v>
      </c>
      <c r="V2" s="18">
        <f>'FS Seychelles'!S3</f>
        <v>22</v>
      </c>
      <c r="W2" s="18">
        <f>'FS Seychelles'!T3</f>
        <v>81</v>
      </c>
      <c r="X2" s="18">
        <f>'FS Seychelles'!U3</f>
        <v>327</v>
      </c>
      <c r="Y2" s="18">
        <f>'FS Seychelles'!V3</f>
        <v>95</v>
      </c>
      <c r="Z2" s="18">
        <f>'FS Seychelles'!W3</f>
        <v>133</v>
      </c>
      <c r="AA2" s="18">
        <f>'FS Seychelles'!X3</f>
        <v>0</v>
      </c>
      <c r="AB2" s="18">
        <f>12000/30</f>
        <v>400</v>
      </c>
    </row>
    <row r="3" spans="1:28">
      <c r="A3" s="1" t="s">
        <v>13</v>
      </c>
      <c r="B3" s="11">
        <f>B2+1</f>
        <v>2</v>
      </c>
      <c r="C3" s="11">
        <v>9</v>
      </c>
      <c r="D3" s="11">
        <v>2019</v>
      </c>
      <c r="E3" s="18">
        <f>'FS Seychelles'!B4</f>
        <v>47.37</v>
      </c>
      <c r="F3" s="18">
        <f>'FS Seychelles'!C4*1000</f>
        <v>3340</v>
      </c>
      <c r="G3" s="18">
        <f>'FS Seychelles'!D4*1000</f>
        <v>5170</v>
      </c>
      <c r="H3" s="18">
        <f>'FS Seychelles'!E4*1000</f>
        <v>5570</v>
      </c>
      <c r="I3" s="18">
        <f>'FS Seychelles'!F4*1000</f>
        <v>2060</v>
      </c>
      <c r="J3" s="18">
        <f>'FS Seychelles'!G4*1000</f>
        <v>2800</v>
      </c>
      <c r="K3" s="18">
        <f>'FS Seychelles'!H4*1000</f>
        <v>2270</v>
      </c>
      <c r="L3" s="18">
        <f>'FS Seychelles'!I4*1000</f>
        <v>1310</v>
      </c>
      <c r="M3" s="18">
        <f>'FS Seychelles'!J4*1000</f>
        <v>1660</v>
      </c>
      <c r="N3" s="18">
        <f>'FS Seychelles'!K4*1000</f>
        <v>4080</v>
      </c>
      <c r="O3" s="18">
        <v>12417</v>
      </c>
      <c r="P3" s="18">
        <f>'FS Seychelles'!M4</f>
        <v>3200</v>
      </c>
      <c r="Q3" s="18">
        <v>12079</v>
      </c>
      <c r="R3" s="18">
        <v>8651</v>
      </c>
      <c r="S3" s="18">
        <f>'FS Seychelles'!P4</f>
        <v>0</v>
      </c>
      <c r="T3" s="18">
        <v>9881</v>
      </c>
      <c r="U3" s="18">
        <f>'FS Seychelles'!R4</f>
        <v>84</v>
      </c>
      <c r="V3" s="18">
        <f>'FS Seychelles'!S4</f>
        <v>37</v>
      </c>
      <c r="W3" s="18">
        <f>'FS Seychelles'!T4</f>
        <v>72</v>
      </c>
      <c r="X3" s="18">
        <f>'FS Seychelles'!U4</f>
        <v>233</v>
      </c>
      <c r="Y3" s="18">
        <f>'FS Seychelles'!V4</f>
        <v>100</v>
      </c>
      <c r="Z3" s="18">
        <f>'FS Seychelles'!W4</f>
        <v>138</v>
      </c>
      <c r="AA3" s="18">
        <f>'FS Seychelles'!X4</f>
        <v>0</v>
      </c>
      <c r="AB3" s="18">
        <f t="shared" ref="AB3:AB32" si="0">12000/30</f>
        <v>400</v>
      </c>
    </row>
    <row r="4" spans="1:28">
      <c r="A4" s="1" t="s">
        <v>13</v>
      </c>
      <c r="B4" s="11">
        <f t="shared" ref="B4:B31" si="1">B3+1</f>
        <v>3</v>
      </c>
      <c r="C4" s="11">
        <v>9</v>
      </c>
      <c r="D4" s="11">
        <v>2019</v>
      </c>
      <c r="E4" s="18">
        <f>'FS Seychelles'!B5</f>
        <v>57.86</v>
      </c>
      <c r="F4" s="18">
        <f>'FS Seychelles'!C5*1000</f>
        <v>3050</v>
      </c>
      <c r="G4" s="18">
        <f>'FS Seychelles'!D5*1000</f>
        <v>4800</v>
      </c>
      <c r="H4" s="18">
        <f>'FS Seychelles'!E5*1000</f>
        <v>5430</v>
      </c>
      <c r="I4" s="18">
        <f>'FS Seychelles'!F5*1000</f>
        <v>1920</v>
      </c>
      <c r="J4" s="18">
        <f>'FS Seychelles'!G5*1000</f>
        <v>2540</v>
      </c>
      <c r="K4" s="18">
        <f>'FS Seychelles'!H5*1000</f>
        <v>3010</v>
      </c>
      <c r="L4" s="18">
        <f>'FS Seychelles'!I5*1000</f>
        <v>1420</v>
      </c>
      <c r="M4" s="18">
        <f>'FS Seychelles'!J5*1000</f>
        <v>1570</v>
      </c>
      <c r="N4" s="18">
        <f>'FS Seychelles'!K5*1000</f>
        <v>7690</v>
      </c>
      <c r="O4" s="18">
        <f>'FS Seychelles'!L5</f>
        <v>0</v>
      </c>
      <c r="P4" s="18">
        <f>'FS Seychelles'!M5</f>
        <v>0</v>
      </c>
      <c r="Q4" s="18">
        <f>'FS Seychelles'!N5</f>
        <v>8602</v>
      </c>
      <c r="R4" s="18">
        <f>'FS Seychelles'!O5</f>
        <v>9303</v>
      </c>
      <c r="S4" s="18">
        <f>'FS Seychelles'!P5</f>
        <v>0</v>
      </c>
      <c r="T4" s="18">
        <f>'FS Seychelles'!Q5</f>
        <v>4845</v>
      </c>
      <c r="U4" s="18">
        <f>'FS Seychelles'!R5</f>
        <v>82</v>
      </c>
      <c r="V4" s="18">
        <f>'FS Seychelles'!S5</f>
        <v>37</v>
      </c>
      <c r="W4" s="18">
        <f>'FS Seychelles'!T5</f>
        <v>84</v>
      </c>
      <c r="X4" s="18">
        <f>'FS Seychelles'!U5</f>
        <v>215</v>
      </c>
      <c r="Y4" s="18">
        <f>'FS Seychelles'!V5</f>
        <v>100</v>
      </c>
      <c r="Z4" s="18">
        <f>'FS Seychelles'!W5</f>
        <v>131</v>
      </c>
      <c r="AA4" s="18">
        <f>'FS Seychelles'!X5</f>
        <v>0</v>
      </c>
      <c r="AB4" s="18">
        <f t="shared" si="0"/>
        <v>400</v>
      </c>
    </row>
    <row r="5" spans="1:28">
      <c r="A5" s="1" t="s">
        <v>13</v>
      </c>
      <c r="B5" s="11">
        <f t="shared" si="1"/>
        <v>4</v>
      </c>
      <c r="C5" s="11">
        <v>9</v>
      </c>
      <c r="D5" s="11">
        <v>2019</v>
      </c>
      <c r="E5" s="18">
        <f>'FS Seychelles'!B6</f>
        <v>67.11</v>
      </c>
      <c r="F5" s="18">
        <f>'FS Seychelles'!C6*1000</f>
        <v>3110</v>
      </c>
      <c r="G5" s="18">
        <f>'FS Seychelles'!D6*1000</f>
        <v>5260</v>
      </c>
      <c r="H5" s="18">
        <f>'FS Seychelles'!E6*1000</f>
        <v>5640</v>
      </c>
      <c r="I5" s="18">
        <f>'FS Seychelles'!F6*1000</f>
        <v>1740</v>
      </c>
      <c r="J5" s="18">
        <f>'FS Seychelles'!G6*1000</f>
        <v>2170</v>
      </c>
      <c r="K5" s="18">
        <f>'FS Seychelles'!H6*1000</f>
        <v>2670</v>
      </c>
      <c r="L5" s="18">
        <f>'FS Seychelles'!I6*1000</f>
        <v>1420</v>
      </c>
      <c r="M5" s="18">
        <f>'FS Seychelles'!J6*1000</f>
        <v>1650</v>
      </c>
      <c r="N5" s="18">
        <f>'FS Seychelles'!K6*1000</f>
        <v>8090</v>
      </c>
      <c r="O5" s="18">
        <f>'FS Seychelles'!L6</f>
        <v>8006</v>
      </c>
      <c r="P5" s="18">
        <f>'FS Seychelles'!M6</f>
        <v>2001</v>
      </c>
      <c r="Q5" s="18">
        <f>'FS Seychelles'!N6</f>
        <v>11590</v>
      </c>
      <c r="R5" s="18">
        <f>'FS Seychelles'!O6</f>
        <v>5248</v>
      </c>
      <c r="S5" s="18">
        <f>'FS Seychelles'!P6</f>
        <v>0</v>
      </c>
      <c r="T5" s="18">
        <f>'FS Seychelles'!Q6</f>
        <v>7126</v>
      </c>
      <c r="U5" s="18">
        <f>'FS Seychelles'!R6</f>
        <v>76</v>
      </c>
      <c r="V5" s="18">
        <f>'FS Seychelles'!S6</f>
        <v>71</v>
      </c>
      <c r="W5" s="18">
        <f>'FS Seychelles'!T6</f>
        <v>61</v>
      </c>
      <c r="X5" s="18">
        <f>'FS Seychelles'!U6</f>
        <v>235</v>
      </c>
      <c r="Y5" s="18">
        <f>'FS Seychelles'!V6</f>
        <v>112</v>
      </c>
      <c r="Z5" s="18">
        <f>'FS Seychelles'!W6</f>
        <v>68</v>
      </c>
      <c r="AA5" s="18">
        <f>'FS Seychelles'!X6</f>
        <v>0</v>
      </c>
      <c r="AB5" s="18">
        <f t="shared" si="0"/>
        <v>400</v>
      </c>
    </row>
    <row r="6" spans="1:28">
      <c r="A6" s="1" t="s">
        <v>13</v>
      </c>
      <c r="B6" s="11">
        <f t="shared" si="1"/>
        <v>5</v>
      </c>
      <c r="C6" s="11">
        <v>9</v>
      </c>
      <c r="D6" s="11">
        <v>2019</v>
      </c>
      <c r="E6" s="18">
        <f>'FS Seychelles'!B7</f>
        <v>59.21</v>
      </c>
      <c r="F6" s="18">
        <f>'FS Seychelles'!C7*1000</f>
        <v>3180</v>
      </c>
      <c r="G6" s="18">
        <f>'FS Seychelles'!D7*1000</f>
        <v>5350</v>
      </c>
      <c r="H6" s="18">
        <f>'FS Seychelles'!E7*1000</f>
        <v>5710</v>
      </c>
      <c r="I6" s="18">
        <f>'FS Seychelles'!F7*1000</f>
        <v>1830</v>
      </c>
      <c r="J6" s="18">
        <f>'FS Seychelles'!G7*1000</f>
        <v>2640</v>
      </c>
      <c r="K6" s="18">
        <f>'FS Seychelles'!H7*1000</f>
        <v>2500</v>
      </c>
      <c r="L6" s="18">
        <f>'FS Seychelles'!I7*1000</f>
        <v>1400</v>
      </c>
      <c r="M6" s="18">
        <f>'FS Seychelles'!J7*1000</f>
        <v>1790</v>
      </c>
      <c r="N6" s="18">
        <f>'FS Seychelles'!K7*1000</f>
        <v>3690</v>
      </c>
      <c r="O6" s="18">
        <f>'FS Seychelles'!L7</f>
        <v>0</v>
      </c>
      <c r="P6" s="18">
        <f>'FS Seychelles'!M7</f>
        <v>10275</v>
      </c>
      <c r="Q6" s="18">
        <f>'FS Seychelles'!N7</f>
        <v>0</v>
      </c>
      <c r="R6" s="18">
        <f>'FS Seychelles'!O7</f>
        <v>4085</v>
      </c>
      <c r="S6" s="18">
        <f>'FS Seychelles'!P7</f>
        <v>0</v>
      </c>
      <c r="T6" s="18">
        <f>'FS Seychelles'!Q7</f>
        <v>3990</v>
      </c>
      <c r="U6" s="18">
        <f>'FS Seychelles'!R7</f>
        <v>75</v>
      </c>
      <c r="V6" s="18">
        <f>'FS Seychelles'!S7</f>
        <v>35</v>
      </c>
      <c r="W6" s="18">
        <f>'FS Seychelles'!T7</f>
        <v>82</v>
      </c>
      <c r="X6" s="18">
        <f>'FS Seychelles'!U7</f>
        <v>236</v>
      </c>
      <c r="Y6" s="18">
        <f>'FS Seychelles'!V7</f>
        <v>75</v>
      </c>
      <c r="Z6" s="18">
        <f>'FS Seychelles'!W7</f>
        <v>73</v>
      </c>
      <c r="AA6" s="18">
        <f>'FS Seychelles'!X7</f>
        <v>0</v>
      </c>
      <c r="AB6" s="18">
        <f t="shared" si="0"/>
        <v>400</v>
      </c>
    </row>
    <row r="7" spans="1:28">
      <c r="A7" s="1" t="s">
        <v>13</v>
      </c>
      <c r="B7" s="11">
        <f t="shared" si="1"/>
        <v>6</v>
      </c>
      <c r="C7" s="11">
        <v>9</v>
      </c>
      <c r="D7" s="11">
        <v>2019</v>
      </c>
      <c r="E7" s="18">
        <f>'FS Seychelles'!B8</f>
        <v>73.680000000000007</v>
      </c>
      <c r="F7" s="18">
        <f>'FS Seychelles'!C8*1000</f>
        <v>3070</v>
      </c>
      <c r="G7" s="18">
        <f>'FS Seychelles'!D8*1000</f>
        <v>5170</v>
      </c>
      <c r="H7" s="18">
        <f>'FS Seychelles'!E8*1000</f>
        <v>5660</v>
      </c>
      <c r="I7" s="18">
        <f>'FS Seychelles'!F8*1000</f>
        <v>1720</v>
      </c>
      <c r="J7" s="18">
        <f>'FS Seychelles'!G8*1000</f>
        <v>2830</v>
      </c>
      <c r="K7" s="18">
        <f>'FS Seychelles'!H8*1000</f>
        <v>2410</v>
      </c>
      <c r="L7" s="18">
        <f>'FS Seychelles'!I8*1000</f>
        <v>1400</v>
      </c>
      <c r="M7" s="18">
        <f>'FS Seychelles'!J8*1000</f>
        <v>1590</v>
      </c>
      <c r="N7" s="18">
        <f>'FS Seychelles'!K8*1000</f>
        <v>3640</v>
      </c>
      <c r="O7" s="18">
        <f>'FS Seychelles'!L8</f>
        <v>0</v>
      </c>
      <c r="P7" s="18">
        <f>'FS Seychelles'!M8</f>
        <v>9222</v>
      </c>
      <c r="Q7" s="18">
        <f>'FS Seychelles'!N8</f>
        <v>12905</v>
      </c>
      <c r="R7" s="18">
        <f>'FS Seychelles'!O8</f>
        <v>3737</v>
      </c>
      <c r="S7" s="18">
        <f>'FS Seychelles'!P8</f>
        <v>0</v>
      </c>
      <c r="T7" s="18">
        <f>'FS Seychelles'!Q8</f>
        <v>7163</v>
      </c>
      <c r="U7" s="18">
        <f>'FS Seychelles'!R8</f>
        <v>76</v>
      </c>
      <c r="V7" s="18">
        <f>'FS Seychelles'!S8</f>
        <v>38</v>
      </c>
      <c r="W7" s="18">
        <f>'FS Seychelles'!T8</f>
        <v>86</v>
      </c>
      <c r="X7" s="18">
        <f>'FS Seychelles'!U8</f>
        <v>338</v>
      </c>
      <c r="Y7" s="18">
        <f>'FS Seychelles'!V8</f>
        <v>85</v>
      </c>
      <c r="Z7" s="18">
        <f>'FS Seychelles'!W8</f>
        <v>119</v>
      </c>
      <c r="AA7" s="18">
        <f>'FS Seychelles'!X8</f>
        <v>0</v>
      </c>
      <c r="AB7" s="18">
        <f t="shared" si="0"/>
        <v>400</v>
      </c>
    </row>
    <row r="8" spans="1:28">
      <c r="A8" s="1" t="s">
        <v>13</v>
      </c>
      <c r="B8" s="11">
        <f t="shared" si="1"/>
        <v>7</v>
      </c>
      <c r="C8" s="11">
        <v>9</v>
      </c>
      <c r="D8" s="11">
        <v>2019</v>
      </c>
      <c r="E8" s="18">
        <f>'FS Seychelles'!B9</f>
        <v>81.58</v>
      </c>
      <c r="F8" s="18">
        <f>'FS Seychelles'!C9*1000</f>
        <v>3460</v>
      </c>
      <c r="G8" s="18">
        <f>'FS Seychelles'!D9*1000</f>
        <v>5600</v>
      </c>
      <c r="H8" s="18">
        <f>'FS Seychelles'!E9*1000</f>
        <v>5770</v>
      </c>
      <c r="I8" s="18">
        <f>'FS Seychelles'!F9*1000</f>
        <v>1900</v>
      </c>
      <c r="J8" s="18">
        <f>'FS Seychelles'!G9*1000</f>
        <v>3180</v>
      </c>
      <c r="K8" s="18">
        <f>'FS Seychelles'!H9*1000</f>
        <v>2290</v>
      </c>
      <c r="L8" s="18">
        <f>'FS Seychelles'!I9*1000</f>
        <v>1420</v>
      </c>
      <c r="M8" s="18">
        <f>'FS Seychelles'!J9*1000</f>
        <v>2500</v>
      </c>
      <c r="N8" s="18">
        <f>'FS Seychelles'!K9*1000</f>
        <v>3600</v>
      </c>
      <c r="O8" s="18">
        <f>'FS Seychelles'!L9</f>
        <v>6225</v>
      </c>
      <c r="P8" s="18">
        <f>'FS Seychelles'!M9</f>
        <v>4881</v>
      </c>
      <c r="Q8" s="18">
        <f>'FS Seychelles'!N9</f>
        <v>6582</v>
      </c>
      <c r="R8" s="18">
        <f>'FS Seychelles'!O9</f>
        <v>10387</v>
      </c>
      <c r="S8" s="18">
        <f>'FS Seychelles'!P9</f>
        <v>0</v>
      </c>
      <c r="T8" s="18">
        <f>'FS Seychelles'!Q9</f>
        <v>7647</v>
      </c>
      <c r="U8" s="18">
        <f>'FS Seychelles'!R9</f>
        <v>66</v>
      </c>
      <c r="V8" s="18">
        <f>'FS Seychelles'!S9</f>
        <v>34</v>
      </c>
      <c r="W8" s="18">
        <f>'FS Seychelles'!T9</f>
        <v>79</v>
      </c>
      <c r="X8" s="18">
        <f>'FS Seychelles'!U9</f>
        <v>277</v>
      </c>
      <c r="Y8" s="18">
        <f>'FS Seychelles'!V9</f>
        <v>67</v>
      </c>
      <c r="Z8" s="18">
        <f>'FS Seychelles'!W9</f>
        <v>120</v>
      </c>
      <c r="AA8" s="18">
        <f>'FS Seychelles'!X9</f>
        <v>0</v>
      </c>
      <c r="AB8" s="18">
        <f t="shared" si="0"/>
        <v>400</v>
      </c>
    </row>
    <row r="9" spans="1:28">
      <c r="A9" s="1" t="s">
        <v>13</v>
      </c>
      <c r="B9" s="11">
        <f t="shared" si="1"/>
        <v>8</v>
      </c>
      <c r="C9" s="11">
        <v>9</v>
      </c>
      <c r="D9" s="11">
        <v>2019</v>
      </c>
      <c r="E9" s="18">
        <f>'FS Seychelles'!B10</f>
        <v>67.11</v>
      </c>
      <c r="F9" s="18">
        <f>'FS Seychelles'!C10*1000</f>
        <v>3380</v>
      </c>
      <c r="G9" s="18">
        <f>'FS Seychelles'!D10*1000</f>
        <v>5480</v>
      </c>
      <c r="H9" s="18">
        <f>'FS Seychelles'!E10*1000</f>
        <v>5950</v>
      </c>
      <c r="I9" s="18">
        <f>'FS Seychelles'!F10*1000</f>
        <v>1920</v>
      </c>
      <c r="J9" s="18">
        <f>'FS Seychelles'!G10*1000</f>
        <v>3140</v>
      </c>
      <c r="K9" s="18">
        <f>'FS Seychelles'!H10*1000</f>
        <v>2280</v>
      </c>
      <c r="L9" s="18">
        <f>'FS Seychelles'!I10*1000</f>
        <v>1360</v>
      </c>
      <c r="M9" s="18">
        <f>'FS Seychelles'!J10*1000</f>
        <v>1940</v>
      </c>
      <c r="N9" s="18">
        <f>'FS Seychelles'!K10*1000</f>
        <v>3490</v>
      </c>
      <c r="O9" s="18">
        <f>'FS Seychelles'!L10</f>
        <v>5339</v>
      </c>
      <c r="P9" s="18">
        <f>'FS Seychelles'!M10</f>
        <v>8822</v>
      </c>
      <c r="Q9" s="18">
        <f>'FS Seychelles'!N10</f>
        <v>10861</v>
      </c>
      <c r="R9" s="18">
        <f>'FS Seychelles'!O10</f>
        <v>3419</v>
      </c>
      <c r="S9" s="18">
        <f>'FS Seychelles'!P10</f>
        <v>0</v>
      </c>
      <c r="T9" s="18">
        <f>'FS Seychelles'!Q10</f>
        <v>7657</v>
      </c>
      <c r="U9" s="18">
        <f>'FS Seychelles'!R10</f>
        <v>80</v>
      </c>
      <c r="V9" s="18">
        <f>'FS Seychelles'!S10</f>
        <v>22</v>
      </c>
      <c r="W9" s="18">
        <f>'FS Seychelles'!T10</f>
        <v>90</v>
      </c>
      <c r="X9" s="18">
        <f>'FS Seychelles'!U10</f>
        <v>232</v>
      </c>
      <c r="Y9" s="18">
        <f>'FS Seychelles'!V10</f>
        <v>68</v>
      </c>
      <c r="Z9" s="18">
        <f>'FS Seychelles'!W10</f>
        <v>127</v>
      </c>
      <c r="AA9" s="18">
        <f>'FS Seychelles'!X10</f>
        <v>0</v>
      </c>
      <c r="AB9" s="18">
        <f t="shared" si="0"/>
        <v>400</v>
      </c>
    </row>
    <row r="10" spans="1:28">
      <c r="A10" s="1" t="s">
        <v>13</v>
      </c>
      <c r="B10" s="11">
        <f t="shared" si="1"/>
        <v>9</v>
      </c>
      <c r="C10" s="11">
        <v>9</v>
      </c>
      <c r="D10" s="11">
        <v>2019</v>
      </c>
      <c r="E10" s="18">
        <f>'FS Seychelles'!B11</f>
        <v>65.790000000000006</v>
      </c>
      <c r="F10" s="18">
        <f>'FS Seychelles'!C11*1000</f>
        <v>3160</v>
      </c>
      <c r="G10" s="18">
        <f>'FS Seychelles'!D11*1000</f>
        <v>5400</v>
      </c>
      <c r="H10" s="18">
        <f>'FS Seychelles'!E11*1000</f>
        <v>5700</v>
      </c>
      <c r="I10" s="18">
        <f>'FS Seychelles'!F11*1000</f>
        <v>1900</v>
      </c>
      <c r="J10" s="18">
        <f>'FS Seychelles'!G11*1000</f>
        <v>3190</v>
      </c>
      <c r="K10" s="18">
        <f>'FS Seychelles'!H11*1000</f>
        <v>2100</v>
      </c>
      <c r="L10" s="18">
        <f>'FS Seychelles'!I11*1000</f>
        <v>1400</v>
      </c>
      <c r="M10" s="18">
        <f>'FS Seychelles'!J11*1000</f>
        <v>1950</v>
      </c>
      <c r="N10" s="18">
        <f>'FS Seychelles'!K11*1000</f>
        <v>3700</v>
      </c>
      <c r="O10" s="18">
        <f>'FS Seychelles'!L11</f>
        <v>5392</v>
      </c>
      <c r="P10" s="18">
        <f>'FS Seychelles'!M11</f>
        <v>5432</v>
      </c>
      <c r="Q10" s="18">
        <f>'FS Seychelles'!N11</f>
        <v>9350</v>
      </c>
      <c r="R10" s="18">
        <f>'FS Seychelles'!O11</f>
        <v>8251</v>
      </c>
      <c r="S10" s="18">
        <f>'FS Seychelles'!P11</f>
        <v>0</v>
      </c>
      <c r="T10" s="18">
        <f>'FS Seychelles'!Q11</f>
        <v>7936</v>
      </c>
      <c r="U10" s="18">
        <f>'FS Seychelles'!R11</f>
        <v>68</v>
      </c>
      <c r="V10" s="18">
        <f>'FS Seychelles'!S11</f>
        <v>41</v>
      </c>
      <c r="W10" s="18">
        <f>'FS Seychelles'!T11</f>
        <v>79</v>
      </c>
      <c r="X10" s="18">
        <f>'FS Seychelles'!U11</f>
        <v>235</v>
      </c>
      <c r="Y10" s="18">
        <f>'FS Seychelles'!V11</f>
        <v>59</v>
      </c>
      <c r="Z10" s="18">
        <f>'FS Seychelles'!W11</f>
        <v>117</v>
      </c>
      <c r="AA10" s="18">
        <f>'FS Seychelles'!X11</f>
        <v>0</v>
      </c>
      <c r="AB10" s="18">
        <f t="shared" si="0"/>
        <v>400</v>
      </c>
    </row>
    <row r="11" spans="1:28">
      <c r="A11" s="1" t="s">
        <v>13</v>
      </c>
      <c r="B11" s="11">
        <f t="shared" si="1"/>
        <v>10</v>
      </c>
      <c r="C11" s="11">
        <v>9</v>
      </c>
      <c r="D11" s="11">
        <v>2019</v>
      </c>
      <c r="E11" s="18">
        <f>'FS Seychelles'!B12</f>
        <v>39.47</v>
      </c>
      <c r="F11" s="18">
        <f>'FS Seychelles'!C12*1000</f>
        <v>3180</v>
      </c>
      <c r="G11" s="18">
        <f>'FS Seychelles'!D12*1000</f>
        <v>5380</v>
      </c>
      <c r="H11" s="18">
        <f>'FS Seychelles'!E12*1000</f>
        <v>5570</v>
      </c>
      <c r="I11" s="18">
        <f>'FS Seychelles'!F12*1000</f>
        <v>1690</v>
      </c>
      <c r="J11" s="18">
        <f>'FS Seychelles'!G12*1000</f>
        <v>3310</v>
      </c>
      <c r="K11" s="18">
        <f>'FS Seychelles'!H12*1000</f>
        <v>2160</v>
      </c>
      <c r="L11" s="18">
        <f>'FS Seychelles'!I12*1000</f>
        <v>1460</v>
      </c>
      <c r="M11" s="18">
        <f>'FS Seychelles'!J12*1000</f>
        <v>2130</v>
      </c>
      <c r="N11" s="18">
        <f>'FS Seychelles'!K12*1000</f>
        <v>3780</v>
      </c>
      <c r="O11" s="18">
        <f>'FS Seychelles'!L12</f>
        <v>7436</v>
      </c>
      <c r="P11" s="18">
        <f>'FS Seychelles'!M12</f>
        <v>7974</v>
      </c>
      <c r="Q11" s="18">
        <f>'FS Seychelles'!N12</f>
        <v>5769</v>
      </c>
      <c r="R11" s="18">
        <f>'FS Seychelles'!O12</f>
        <v>8117</v>
      </c>
      <c r="S11" s="18">
        <f>'FS Seychelles'!P12</f>
        <v>0</v>
      </c>
      <c r="T11" s="18">
        <f>'FS Seychelles'!Q12</f>
        <v>7687</v>
      </c>
      <c r="U11" s="18">
        <f>'FS Seychelles'!R12</f>
        <v>74</v>
      </c>
      <c r="V11" s="18">
        <f>'FS Seychelles'!S12</f>
        <v>20</v>
      </c>
      <c r="W11" s="18">
        <f>'FS Seychelles'!T12</f>
        <v>76</v>
      </c>
      <c r="X11" s="18">
        <f>'FS Seychelles'!U12</f>
        <v>246</v>
      </c>
      <c r="Y11" s="18">
        <f>'FS Seychelles'!V12</f>
        <v>68</v>
      </c>
      <c r="Z11" s="18">
        <f>'FS Seychelles'!W12</f>
        <v>122</v>
      </c>
      <c r="AA11" s="18">
        <f>'FS Seychelles'!X12</f>
        <v>0</v>
      </c>
      <c r="AB11" s="18">
        <f t="shared" si="0"/>
        <v>400</v>
      </c>
    </row>
    <row r="12" spans="1:28">
      <c r="A12" s="1" t="s">
        <v>13</v>
      </c>
      <c r="B12" s="11">
        <f t="shared" si="1"/>
        <v>11</v>
      </c>
      <c r="C12" s="11">
        <v>9</v>
      </c>
      <c r="D12" s="11">
        <v>2019</v>
      </c>
      <c r="E12" s="18">
        <f>'FS Seychelles'!B13</f>
        <v>35.53</v>
      </c>
      <c r="F12" s="18">
        <f>'FS Seychelles'!C13*1000</f>
        <v>3290</v>
      </c>
      <c r="G12" s="18">
        <f>'FS Seychelles'!D13*1000</f>
        <v>5340</v>
      </c>
      <c r="H12" s="18">
        <f>'FS Seychelles'!E13*1000</f>
        <v>5400</v>
      </c>
      <c r="I12" s="18">
        <f>'FS Seychelles'!F13*1000</f>
        <v>1830</v>
      </c>
      <c r="J12" s="18">
        <f>'FS Seychelles'!G13*1000</f>
        <v>3250</v>
      </c>
      <c r="K12" s="18">
        <f>'FS Seychelles'!H13*1000</f>
        <v>2250</v>
      </c>
      <c r="L12" s="18">
        <f>'FS Seychelles'!I13*1000</f>
        <v>1410</v>
      </c>
      <c r="M12" s="18">
        <f>'FS Seychelles'!J13*1000</f>
        <v>2000</v>
      </c>
      <c r="N12" s="18">
        <f>'FS Seychelles'!K13*1000</f>
        <v>3710</v>
      </c>
      <c r="O12" s="18">
        <f>'FS Seychelles'!L13</f>
        <v>1673</v>
      </c>
      <c r="P12" s="18">
        <f>'FS Seychelles'!M13</f>
        <v>13627</v>
      </c>
      <c r="Q12" s="18">
        <f>'FS Seychelles'!N13</f>
        <v>12137</v>
      </c>
      <c r="R12" s="18">
        <f>'FS Seychelles'!O13</f>
        <v>2352</v>
      </c>
      <c r="S12" s="18">
        <f>'FS Seychelles'!P13</f>
        <v>0</v>
      </c>
      <c r="T12" s="18">
        <f>'FS Seychelles'!Q13</f>
        <v>8104.9</v>
      </c>
      <c r="U12" s="18">
        <f>'FS Seychelles'!R13</f>
        <v>74</v>
      </c>
      <c r="V12" s="18">
        <f>'FS Seychelles'!S13</f>
        <v>38</v>
      </c>
      <c r="W12" s="18">
        <f>'FS Seychelles'!T13</f>
        <v>15</v>
      </c>
      <c r="X12" s="18">
        <f>'FS Seychelles'!U13</f>
        <v>235</v>
      </c>
      <c r="Y12" s="18">
        <f>'FS Seychelles'!V13</f>
        <v>62</v>
      </c>
      <c r="Z12" s="18">
        <f>'FS Seychelles'!W13</f>
        <v>123</v>
      </c>
      <c r="AA12" s="18">
        <f>'FS Seychelles'!X13</f>
        <v>0</v>
      </c>
      <c r="AB12" s="18">
        <f t="shared" si="0"/>
        <v>400</v>
      </c>
    </row>
    <row r="13" spans="1:28">
      <c r="A13" s="1" t="s">
        <v>13</v>
      </c>
      <c r="B13" s="11">
        <f t="shared" si="1"/>
        <v>12</v>
      </c>
      <c r="C13" s="11">
        <v>9</v>
      </c>
      <c r="D13" s="11">
        <v>2019</v>
      </c>
      <c r="E13" s="18">
        <f>'FS Seychelles'!B14</f>
        <v>31.58</v>
      </c>
      <c r="F13" s="18">
        <f>'FS Seychelles'!C14*1000</f>
        <v>3120</v>
      </c>
      <c r="G13" s="18">
        <f>'FS Seychelles'!D14*1000</f>
        <v>5180</v>
      </c>
      <c r="H13" s="18">
        <f>'FS Seychelles'!E14*1000</f>
        <v>5400</v>
      </c>
      <c r="I13" s="18">
        <f>'FS Seychelles'!F14*1000</f>
        <v>1670</v>
      </c>
      <c r="J13" s="18">
        <f>'FS Seychelles'!G14*1000</f>
        <v>2880</v>
      </c>
      <c r="K13" s="18">
        <f>'FS Seychelles'!H14*1000</f>
        <v>2230</v>
      </c>
      <c r="L13" s="18">
        <f>'FS Seychelles'!I14*1000</f>
        <v>1410</v>
      </c>
      <c r="M13" s="18">
        <f>'FS Seychelles'!J14*1000</f>
        <v>1990</v>
      </c>
      <c r="N13" s="18">
        <f>'FS Seychelles'!K14*1000</f>
        <v>3740</v>
      </c>
      <c r="O13" s="18">
        <f>'FS Seychelles'!L14</f>
        <v>4506</v>
      </c>
      <c r="P13" s="18">
        <f>'FS Seychelles'!M14</f>
        <v>0</v>
      </c>
      <c r="Q13" s="18">
        <f>'FS Seychelles'!N14</f>
        <v>9969</v>
      </c>
      <c r="R13" s="18">
        <f>'FS Seychelles'!O14</f>
        <v>14463</v>
      </c>
      <c r="S13" s="18">
        <f>'FS Seychelles'!P14</f>
        <v>0</v>
      </c>
      <c r="T13" s="18">
        <f>'FS Seychelles'!Q14</f>
        <v>7719</v>
      </c>
      <c r="U13" s="18">
        <f>'FS Seychelles'!R14</f>
        <v>77</v>
      </c>
      <c r="V13" s="18">
        <f>'FS Seychelles'!S14</f>
        <v>53</v>
      </c>
      <c r="W13" s="18">
        <f>'FS Seychelles'!T14</f>
        <v>63</v>
      </c>
      <c r="X13" s="18">
        <f>'FS Seychelles'!U14</f>
        <v>297</v>
      </c>
      <c r="Y13" s="18">
        <f>'FS Seychelles'!V14</f>
        <v>82</v>
      </c>
      <c r="Z13" s="18">
        <f>'FS Seychelles'!W14</f>
        <v>87</v>
      </c>
      <c r="AA13" s="18">
        <f>'FS Seychelles'!X14</f>
        <v>0</v>
      </c>
      <c r="AB13" s="18">
        <f t="shared" si="0"/>
        <v>400</v>
      </c>
    </row>
    <row r="14" spans="1:28">
      <c r="A14" s="1" t="s">
        <v>13</v>
      </c>
      <c r="B14" s="11">
        <f t="shared" si="1"/>
        <v>13</v>
      </c>
      <c r="C14" s="11">
        <v>9</v>
      </c>
      <c r="D14" s="11">
        <v>2019</v>
      </c>
      <c r="E14" s="18">
        <f>'FS Seychelles'!B15</f>
        <v>30.26</v>
      </c>
      <c r="F14" s="18">
        <f>'FS Seychelles'!C15*1000</f>
        <v>3160</v>
      </c>
      <c r="G14" s="18">
        <f>'FS Seychelles'!D15*1000</f>
        <v>4990</v>
      </c>
      <c r="H14" s="18">
        <f>'FS Seychelles'!E15*1000</f>
        <v>5390</v>
      </c>
      <c r="I14" s="18">
        <f>'FS Seychelles'!F15*1000</f>
        <v>1570</v>
      </c>
      <c r="J14" s="18">
        <f>'FS Seychelles'!G15*1000</f>
        <v>2160</v>
      </c>
      <c r="K14" s="18">
        <f>'FS Seychelles'!H15*1000</f>
        <v>2150</v>
      </c>
      <c r="L14" s="18">
        <f>'FS Seychelles'!I15*1000</f>
        <v>1390</v>
      </c>
      <c r="M14" s="18">
        <f>'FS Seychelles'!J15*1000</f>
        <v>1930</v>
      </c>
      <c r="N14" s="18">
        <f>'FS Seychelles'!K15*1000</f>
        <v>3710</v>
      </c>
      <c r="O14" s="18">
        <f>'FS Seychelles'!L15</f>
        <v>8707</v>
      </c>
      <c r="P14" s="18">
        <f>'FS Seychelles'!M15</f>
        <v>5540</v>
      </c>
      <c r="Q14" s="18">
        <f>'FS Seychelles'!N15</f>
        <v>8549</v>
      </c>
      <c r="R14" s="18">
        <f>'FS Seychelles'!O15</f>
        <v>4275</v>
      </c>
      <c r="S14" s="18">
        <f>'FS Seychelles'!P15</f>
        <v>0</v>
      </c>
      <c r="T14" s="18">
        <f>'FS Seychelles'!Q15</f>
        <v>7210</v>
      </c>
      <c r="U14" s="18">
        <f>'FS Seychelles'!R15</f>
        <v>89</v>
      </c>
      <c r="V14" s="18">
        <f>'FS Seychelles'!S15</f>
        <v>28</v>
      </c>
      <c r="W14" s="18">
        <f>'FS Seychelles'!T15</f>
        <v>77</v>
      </c>
      <c r="X14" s="18">
        <f>'FS Seychelles'!U15</f>
        <v>295</v>
      </c>
      <c r="Y14" s="18">
        <f>'FS Seychelles'!V15</f>
        <v>83</v>
      </c>
      <c r="Z14" s="18">
        <f>'FS Seychelles'!W15</f>
        <v>85</v>
      </c>
      <c r="AA14" s="18">
        <f>'FS Seychelles'!X15</f>
        <v>0</v>
      </c>
      <c r="AB14" s="18">
        <f t="shared" si="0"/>
        <v>400</v>
      </c>
    </row>
    <row r="15" spans="1:28">
      <c r="A15" s="1" t="s">
        <v>13</v>
      </c>
      <c r="B15" s="11">
        <f t="shared" si="1"/>
        <v>14</v>
      </c>
      <c r="C15" s="11">
        <v>9</v>
      </c>
      <c r="D15" s="11">
        <v>2019</v>
      </c>
      <c r="E15" s="18">
        <f>'FS Seychelles'!B16</f>
        <v>27.63</v>
      </c>
      <c r="F15" s="18">
        <f>'FS Seychelles'!C16*1000</f>
        <v>3040</v>
      </c>
      <c r="G15" s="18">
        <f>'FS Seychelles'!D16*1000</f>
        <v>4910</v>
      </c>
      <c r="H15" s="18">
        <f>'FS Seychelles'!E16*1000</f>
        <v>5310</v>
      </c>
      <c r="I15" s="18">
        <f>'FS Seychelles'!F16*1000</f>
        <v>1460</v>
      </c>
      <c r="J15" s="18">
        <f>'FS Seychelles'!G16*1000</f>
        <v>2009.9999999999998</v>
      </c>
      <c r="K15" s="18">
        <f>'FS Seychelles'!H16*1000</f>
        <v>2120</v>
      </c>
      <c r="L15" s="18">
        <f>'FS Seychelles'!I16*1000</f>
        <v>1420</v>
      </c>
      <c r="M15" s="18">
        <f>'FS Seychelles'!J16*1000</f>
        <v>1870</v>
      </c>
      <c r="N15" s="18">
        <f>'FS Seychelles'!K16*1000</f>
        <v>3630</v>
      </c>
      <c r="O15" s="18">
        <f>'FS Seychelles'!L16</f>
        <v>0</v>
      </c>
      <c r="P15" s="18">
        <f>'FS Seychelles'!M16</f>
        <v>3009</v>
      </c>
      <c r="Q15" s="18">
        <f>'FS Seychelles'!N16</f>
        <v>9381</v>
      </c>
      <c r="R15" s="18">
        <f>'FS Seychelles'!O16</f>
        <v>12995</v>
      </c>
      <c r="S15" s="18">
        <f>'FS Seychelles'!P16</f>
        <v>0</v>
      </c>
      <c r="T15" s="18">
        <f>'FS Seychelles'!Q17</f>
        <v>7202</v>
      </c>
      <c r="U15" s="18">
        <f>'FS Seychelles'!R16</f>
        <v>79</v>
      </c>
      <c r="V15" s="18">
        <f>'FS Seychelles'!S16</f>
        <v>36</v>
      </c>
      <c r="W15" s="18">
        <f>'FS Seychelles'!T16</f>
        <v>67</v>
      </c>
      <c r="X15" s="18">
        <f>'FS Seychelles'!U16</f>
        <v>245</v>
      </c>
      <c r="Y15" s="18">
        <f>'FS Seychelles'!V16</f>
        <v>63</v>
      </c>
      <c r="Z15" s="18">
        <f>'FS Seychelles'!W16</f>
        <v>168</v>
      </c>
      <c r="AA15" s="18">
        <f>'FS Seychelles'!X16</f>
        <v>0</v>
      </c>
      <c r="AB15" s="18">
        <f t="shared" si="0"/>
        <v>400</v>
      </c>
    </row>
    <row r="16" spans="1:28">
      <c r="A16" s="1" t="s">
        <v>13</v>
      </c>
      <c r="B16" s="11">
        <f t="shared" si="1"/>
        <v>15</v>
      </c>
      <c r="C16" s="11">
        <v>9</v>
      </c>
      <c r="D16" s="11">
        <v>2019</v>
      </c>
      <c r="E16" s="18">
        <f>'FS Seychelles'!B17</f>
        <v>32.89</v>
      </c>
      <c r="F16" s="18">
        <f>'FS Seychelles'!C17*1000</f>
        <v>2980</v>
      </c>
      <c r="G16" s="18">
        <f>'FS Seychelles'!D17*1000</f>
        <v>5130</v>
      </c>
      <c r="H16" s="18">
        <f>'FS Seychelles'!E17*1000</f>
        <v>5070</v>
      </c>
      <c r="I16" s="18">
        <f>'FS Seychelles'!F17*1000</f>
        <v>1490</v>
      </c>
      <c r="J16" s="18">
        <f>'FS Seychelles'!G17*1000</f>
        <v>1890</v>
      </c>
      <c r="K16" s="18">
        <f>'FS Seychelles'!H17*1000</f>
        <v>2100</v>
      </c>
      <c r="L16" s="18">
        <f>'FS Seychelles'!I17*1000</f>
        <v>1390</v>
      </c>
      <c r="M16" s="18">
        <f>'FS Seychelles'!J17*1000</f>
        <v>1840</v>
      </c>
      <c r="N16" s="18">
        <f>'FS Seychelles'!K17*1000</f>
        <v>3460</v>
      </c>
      <c r="O16" s="18">
        <f>'FS Seychelles'!L17</f>
        <v>0</v>
      </c>
      <c r="P16" s="18">
        <f>'FS Seychelles'!M17</f>
        <v>9509</v>
      </c>
      <c r="Q16" s="18">
        <f>'FS Seychelles'!N17</f>
        <v>13055</v>
      </c>
      <c r="R16" s="18">
        <f>'FS Seychelles'!O17</f>
        <v>3784</v>
      </c>
      <c r="S16" s="18">
        <f>'FS Seychelles'!P17</f>
        <v>0</v>
      </c>
      <c r="T16" s="18">
        <f>'FS Seychelles'!Q18</f>
        <v>7138</v>
      </c>
      <c r="U16" s="18">
        <f>'FS Seychelles'!R17</f>
        <v>78</v>
      </c>
      <c r="V16" s="18">
        <f>'FS Seychelles'!S17</f>
        <v>28</v>
      </c>
      <c r="W16" s="18">
        <f>'FS Seychelles'!T17</f>
        <v>61</v>
      </c>
      <c r="X16" s="18">
        <f>'FS Seychelles'!U17</f>
        <v>242</v>
      </c>
      <c r="Y16" s="18">
        <f>'FS Seychelles'!V17</f>
        <v>77</v>
      </c>
      <c r="Z16" s="18">
        <f>'FS Seychelles'!W17</f>
        <v>85</v>
      </c>
      <c r="AA16" s="18">
        <f>'FS Seychelles'!X17</f>
        <v>0</v>
      </c>
      <c r="AB16" s="18">
        <f t="shared" si="0"/>
        <v>400</v>
      </c>
    </row>
    <row r="17" spans="1:28">
      <c r="A17" s="1" t="s">
        <v>13</v>
      </c>
      <c r="B17" s="11">
        <f t="shared" si="1"/>
        <v>16</v>
      </c>
      <c r="C17" s="11">
        <v>9</v>
      </c>
      <c r="D17" s="11">
        <v>2019</v>
      </c>
      <c r="E17" s="18">
        <f>'FS Seychelles'!B18</f>
        <v>35.53</v>
      </c>
      <c r="F17" s="18">
        <f>'FS Seychelles'!C18*1000</f>
        <v>3080</v>
      </c>
      <c r="G17" s="18">
        <f>'FS Seychelles'!D18*1000</f>
        <v>5020</v>
      </c>
      <c r="H17" s="18">
        <f>'FS Seychelles'!E18*1000</f>
        <v>4950</v>
      </c>
      <c r="I17" s="18">
        <f>'FS Seychelles'!F18*1000</f>
        <v>1610</v>
      </c>
      <c r="J17" s="18">
        <f>'FS Seychelles'!G18*1000</f>
        <v>1880</v>
      </c>
      <c r="K17" s="18">
        <f>'FS Seychelles'!H18*1000</f>
        <v>2250</v>
      </c>
      <c r="L17" s="18">
        <f>'FS Seychelles'!I18*1000</f>
        <v>1390</v>
      </c>
      <c r="M17" s="18">
        <f>'FS Seychelles'!J18*1000</f>
        <v>1650</v>
      </c>
      <c r="N17" s="18">
        <f>'FS Seychelles'!K18*1000</f>
        <v>3610</v>
      </c>
      <c r="O17" s="18">
        <f>'FS Seychelles'!L18</f>
        <v>0</v>
      </c>
      <c r="P17" s="18">
        <f>'FS Seychelles'!M18</f>
        <v>9195</v>
      </c>
      <c r="Q17" s="18">
        <f>'FS Seychelles'!N18</f>
        <v>4706</v>
      </c>
      <c r="R17" s="18">
        <f>'FS Seychelles'!O18</f>
        <v>12574</v>
      </c>
      <c r="S17" s="18">
        <f>'FS Seychelles'!P18</f>
        <v>0</v>
      </c>
      <c r="T17" s="18">
        <f>'FS Seychelles'!Q18</f>
        <v>7138</v>
      </c>
      <c r="U17" s="18">
        <f>'FS Seychelles'!R18</f>
        <v>69</v>
      </c>
      <c r="V17" s="18">
        <f>'FS Seychelles'!S18</f>
        <v>31</v>
      </c>
      <c r="W17" s="18">
        <f>'FS Seychelles'!T18</f>
        <v>58</v>
      </c>
      <c r="X17" s="18">
        <f>'FS Seychelles'!U18</f>
        <v>253</v>
      </c>
      <c r="Y17" s="18">
        <f>'FS Seychelles'!V18</f>
        <v>70</v>
      </c>
      <c r="Z17" s="18">
        <f>'FS Seychelles'!W18</f>
        <v>77</v>
      </c>
      <c r="AA17" s="18">
        <f>'FS Seychelles'!X18</f>
        <v>0</v>
      </c>
      <c r="AB17" s="18">
        <f t="shared" si="0"/>
        <v>400</v>
      </c>
    </row>
    <row r="18" spans="1:28">
      <c r="A18" s="1" t="s">
        <v>13</v>
      </c>
      <c r="B18" s="11">
        <f t="shared" si="1"/>
        <v>17</v>
      </c>
      <c r="C18" s="11">
        <v>9</v>
      </c>
      <c r="D18" s="11">
        <v>2019</v>
      </c>
      <c r="E18" s="18">
        <f>'FS Seychelles'!B19</f>
        <v>43.42</v>
      </c>
      <c r="F18" s="18">
        <f>'FS Seychelles'!C19*1000</f>
        <v>3050</v>
      </c>
      <c r="G18" s="18">
        <f>'FS Seychelles'!D19*1000</f>
        <v>4870</v>
      </c>
      <c r="H18" s="18">
        <f>'FS Seychelles'!E19*1000</f>
        <v>4900</v>
      </c>
      <c r="I18" s="18">
        <f>'FS Seychelles'!F19*1000</f>
        <v>1600</v>
      </c>
      <c r="J18" s="18">
        <f>'FS Seychelles'!G19*1000</f>
        <v>1980</v>
      </c>
      <c r="K18" s="18">
        <f>'FS Seychelles'!H19*1000</f>
        <v>2250</v>
      </c>
      <c r="L18" s="18">
        <f>'FS Seychelles'!I19*1000</f>
        <v>1410</v>
      </c>
      <c r="M18" s="18">
        <f>'FS Seychelles'!J19*1000</f>
        <v>1710</v>
      </c>
      <c r="N18" s="18">
        <f>'FS Seychelles'!K19*1000</f>
        <v>3600</v>
      </c>
      <c r="O18" s="18">
        <f>'FS Seychelles'!L19</f>
        <v>3612</v>
      </c>
      <c r="P18" s="18">
        <f>'FS Seychelles'!M19</f>
        <v>9727</v>
      </c>
      <c r="Q18" s="18">
        <f>'FS Seychelles'!N19</f>
        <v>13228</v>
      </c>
      <c r="R18" s="18">
        <f>'FS Seychelles'!O19</f>
        <v>0</v>
      </c>
      <c r="S18" s="18">
        <f>'FS Seychelles'!P19</f>
        <v>0</v>
      </c>
      <c r="T18" s="18">
        <f>'FS Seychelles'!Q19</f>
        <v>7309</v>
      </c>
      <c r="U18" s="18">
        <f>'FS Seychelles'!R19</f>
        <v>71</v>
      </c>
      <c r="V18" s="18">
        <f>'FS Seychelles'!S19</f>
        <v>81</v>
      </c>
      <c r="W18" s="18">
        <f>'FS Seychelles'!T19</f>
        <v>62</v>
      </c>
      <c r="X18" s="18">
        <f>'FS Seychelles'!U19</f>
        <v>243</v>
      </c>
      <c r="Y18" s="18">
        <f>'FS Seychelles'!V19</f>
        <v>72</v>
      </c>
      <c r="Z18" s="18">
        <f>'FS Seychelles'!W19</f>
        <v>193</v>
      </c>
      <c r="AA18" s="18">
        <f>'FS Seychelles'!X19</f>
        <v>0</v>
      </c>
      <c r="AB18" s="18">
        <f t="shared" si="0"/>
        <v>400</v>
      </c>
    </row>
    <row r="19" spans="1:28">
      <c r="A19" s="1" t="s">
        <v>13</v>
      </c>
      <c r="B19" s="11">
        <f t="shared" si="1"/>
        <v>18</v>
      </c>
      <c r="C19" s="11">
        <v>9</v>
      </c>
      <c r="D19" s="11">
        <v>2019</v>
      </c>
      <c r="E19" s="18">
        <f>'FS Seychelles'!B20</f>
        <v>44.74</v>
      </c>
      <c r="F19" s="18">
        <f>'FS Seychelles'!C20*1000</f>
        <v>2960</v>
      </c>
      <c r="G19" s="18">
        <f>'FS Seychelles'!D20*1000</f>
        <v>4690</v>
      </c>
      <c r="H19" s="18">
        <f>'FS Seychelles'!E20*1000</f>
        <v>4610</v>
      </c>
      <c r="I19" s="18">
        <f>'FS Seychelles'!F20*1000</f>
        <v>1530</v>
      </c>
      <c r="J19" s="18">
        <f>'FS Seychelles'!G20*1000</f>
        <v>1680</v>
      </c>
      <c r="K19" s="18">
        <f>'FS Seychelles'!H20*1000</f>
        <v>2140</v>
      </c>
      <c r="L19" s="18">
        <f>'FS Seychelles'!I20*1000</f>
        <v>1430</v>
      </c>
      <c r="M19" s="18">
        <f>'FS Seychelles'!J20*1000</f>
        <v>1710</v>
      </c>
      <c r="N19" s="18">
        <f>'FS Seychelles'!K20*1000</f>
        <v>3450</v>
      </c>
      <c r="O19" s="18">
        <f>'FS Seychelles'!L20</f>
        <v>4531</v>
      </c>
      <c r="P19" s="18">
        <f>'FS Seychelles'!M20</f>
        <v>7189</v>
      </c>
      <c r="Q19" s="18">
        <f>'FS Seychelles'!N20</f>
        <v>8691</v>
      </c>
      <c r="R19" s="18">
        <f>'FS Seychelles'!O20</f>
        <v>2989</v>
      </c>
      <c r="S19" s="18">
        <v>0</v>
      </c>
      <c r="T19" s="18">
        <f>'FS Seychelles'!Q20</f>
        <v>5991</v>
      </c>
      <c r="U19" s="18">
        <f>'FS Seychelles'!R20</f>
        <v>63</v>
      </c>
      <c r="V19" s="18">
        <f>'FS Seychelles'!S20</f>
        <v>11</v>
      </c>
      <c r="W19" s="18">
        <f>'FS Seychelles'!T20</f>
        <v>72</v>
      </c>
      <c r="X19" s="18">
        <f>'FS Seychelles'!U20</f>
        <v>361</v>
      </c>
      <c r="Y19" s="18">
        <f>'FS Seychelles'!V20</f>
        <v>126</v>
      </c>
      <c r="Z19" s="18">
        <f>'FS Seychelles'!W20</f>
        <v>110</v>
      </c>
      <c r="AA19" s="18">
        <f>'FS Seychelles'!X20</f>
        <v>0</v>
      </c>
      <c r="AB19" s="18">
        <f t="shared" si="0"/>
        <v>400</v>
      </c>
    </row>
    <row r="20" spans="1:28">
      <c r="A20" s="1" t="s">
        <v>13</v>
      </c>
      <c r="B20" s="11">
        <f t="shared" si="1"/>
        <v>19</v>
      </c>
      <c r="C20" s="11">
        <v>9</v>
      </c>
      <c r="D20" s="11">
        <v>2019</v>
      </c>
      <c r="E20" s="18">
        <f>'FS Seychelles'!B21</f>
        <v>55.26</v>
      </c>
      <c r="F20" s="18">
        <f>'FS Seychelles'!C21*1000</f>
        <v>3050</v>
      </c>
      <c r="G20" s="18">
        <f>'FS Seychelles'!D21*1000</f>
        <v>5130</v>
      </c>
      <c r="H20" s="18">
        <f>'FS Seychelles'!E21*1000</f>
        <v>5060</v>
      </c>
      <c r="I20" s="18">
        <f>'FS Seychelles'!F21*1000</f>
        <v>1310</v>
      </c>
      <c r="J20" s="18">
        <f>'FS Seychelles'!G21*1000</f>
        <v>1700</v>
      </c>
      <c r="K20" s="18">
        <f>'FS Seychelles'!H21*1000</f>
        <v>2310</v>
      </c>
      <c r="L20" s="18">
        <f>'FS Seychelles'!I21*1000</f>
        <v>1480</v>
      </c>
      <c r="M20" s="18">
        <f>'FS Seychelles'!J21*1000</f>
        <v>1660</v>
      </c>
      <c r="N20" s="18">
        <f>'FS Seychelles'!K21*1000</f>
        <v>3580</v>
      </c>
      <c r="O20" s="18">
        <f>'FS Seychelles'!L21</f>
        <v>3285</v>
      </c>
      <c r="P20" s="18">
        <f>'FS Seychelles'!M21</f>
        <v>0</v>
      </c>
      <c r="Q20" s="18">
        <f>'FS Seychelles'!N21</f>
        <v>12667</v>
      </c>
      <c r="R20" s="18">
        <f>'FS Seychelles'!O21</f>
        <v>9387</v>
      </c>
      <c r="S20" s="18">
        <f>'FS Seychelles'!P21</f>
        <v>0</v>
      </c>
      <c r="T20" s="18">
        <f>'FS Seychelles'!Q21</f>
        <v>9210</v>
      </c>
      <c r="U20" s="18">
        <f>'FS Seychelles'!R21</f>
        <v>69</v>
      </c>
      <c r="V20" s="18">
        <f>'FS Seychelles'!S21</f>
        <v>38</v>
      </c>
      <c r="W20" s="18">
        <f>'FS Seychelles'!T21</f>
        <v>89</v>
      </c>
      <c r="X20" s="18">
        <f>'FS Seychelles'!U21</f>
        <v>270</v>
      </c>
      <c r="Y20" s="18">
        <f>'FS Seychelles'!V21</f>
        <v>86</v>
      </c>
      <c r="Z20" s="18">
        <f>'FS Seychelles'!W21</f>
        <v>194</v>
      </c>
      <c r="AA20" s="18">
        <f>'FS Seychelles'!X21</f>
        <v>0</v>
      </c>
      <c r="AB20" s="18">
        <f t="shared" si="0"/>
        <v>400</v>
      </c>
    </row>
    <row r="21" spans="1:28">
      <c r="A21" s="1" t="s">
        <v>13</v>
      </c>
      <c r="B21" s="11">
        <f t="shared" si="1"/>
        <v>20</v>
      </c>
      <c r="C21" s="11">
        <v>9</v>
      </c>
      <c r="D21" s="11">
        <v>2019</v>
      </c>
      <c r="E21" s="18">
        <f>'FS Seychelles'!B22</f>
        <v>53.95</v>
      </c>
      <c r="F21" s="18">
        <f>'FS Seychelles'!C22*1000</f>
        <v>3330</v>
      </c>
      <c r="G21" s="18">
        <f>'FS Seychelles'!D22*1000</f>
        <v>5700</v>
      </c>
      <c r="H21" s="18">
        <f>'FS Seychelles'!E22*1000</f>
        <v>5240</v>
      </c>
      <c r="I21" s="18">
        <f>'FS Seychelles'!F22*1000</f>
        <v>1420</v>
      </c>
      <c r="J21" s="18">
        <f>'FS Seychelles'!G22*1000</f>
        <v>1800</v>
      </c>
      <c r="K21" s="18">
        <f>'FS Seychelles'!H22*1000</f>
        <v>2360</v>
      </c>
      <c r="L21" s="18">
        <f>'FS Seychelles'!I22*1000</f>
        <v>1500</v>
      </c>
      <c r="M21" s="18">
        <f>'FS Seychelles'!J22*1000</f>
        <v>1700</v>
      </c>
      <c r="N21" s="18">
        <f>'FS Seychelles'!K22*1000</f>
        <v>3710</v>
      </c>
      <c r="O21" s="18">
        <f>'FS Seychelles'!L22</f>
        <v>10222</v>
      </c>
      <c r="P21" s="18">
        <f>'FS Seychelles'!M22</f>
        <v>468</v>
      </c>
      <c r="Q21" s="18">
        <f>'FS Seychelles'!N22</f>
        <v>6563</v>
      </c>
      <c r="R21" s="18">
        <f>'FS Seychelles'!O22</f>
        <v>9562</v>
      </c>
      <c r="S21" s="18">
        <f>'FS Seychelles'!P23</f>
        <v>0</v>
      </c>
      <c r="T21" s="18">
        <f>'FS Seychelles'!Q22</f>
        <v>7184</v>
      </c>
      <c r="U21" s="18">
        <f>'FS Seychelles'!R22</f>
        <v>74</v>
      </c>
      <c r="V21" s="18">
        <f>'FS Seychelles'!S22</f>
        <v>31</v>
      </c>
      <c r="W21" s="18">
        <f>'FS Seychelles'!T22</f>
        <v>83</v>
      </c>
      <c r="X21" s="18">
        <f>'FS Seychelles'!U22</f>
        <v>263</v>
      </c>
      <c r="Y21" s="18">
        <f>'FS Seychelles'!V22</f>
        <v>78</v>
      </c>
      <c r="Z21" s="18">
        <f>'FS Seychelles'!W22</f>
        <v>153</v>
      </c>
      <c r="AA21" s="18">
        <f>'FS Seychelles'!X22</f>
        <v>0</v>
      </c>
      <c r="AB21" s="18">
        <f t="shared" si="0"/>
        <v>400</v>
      </c>
    </row>
    <row r="22" spans="1:28">
      <c r="A22" s="1" t="s">
        <v>13</v>
      </c>
      <c r="B22" s="11">
        <f t="shared" si="1"/>
        <v>21</v>
      </c>
      <c r="C22" s="11">
        <v>9</v>
      </c>
      <c r="D22" s="11">
        <v>2019</v>
      </c>
      <c r="E22" s="18">
        <f>'FS Seychelles'!B23</f>
        <v>57.89</v>
      </c>
      <c r="F22" s="18">
        <f>'FS Seychelles'!C23*1000</f>
        <v>3050</v>
      </c>
      <c r="G22" s="18">
        <f>'FS Seychelles'!D23*1000</f>
        <v>5290</v>
      </c>
      <c r="H22" s="18">
        <f>'FS Seychelles'!E23*1000</f>
        <v>4990</v>
      </c>
      <c r="I22" s="18">
        <f>'FS Seychelles'!F23*1000</f>
        <v>1350</v>
      </c>
      <c r="J22" s="18">
        <f>'FS Seychelles'!G23*1000</f>
        <v>1700</v>
      </c>
      <c r="K22" s="18">
        <f>'FS Seychelles'!H23*1000</f>
        <v>2180</v>
      </c>
      <c r="L22" s="18">
        <f>'FS Seychelles'!I23*1000</f>
        <v>1510</v>
      </c>
      <c r="M22" s="18">
        <f>'FS Seychelles'!J23*1000</f>
        <v>1600</v>
      </c>
      <c r="N22" s="18">
        <f>'FS Seychelles'!K23*1000</f>
        <v>3560</v>
      </c>
      <c r="O22" s="18">
        <f>'FS Seychelles'!L23</f>
        <v>3033</v>
      </c>
      <c r="P22" s="18">
        <f>'FS Seychelles'!M23</f>
        <v>0</v>
      </c>
      <c r="Q22" s="18">
        <f>'FS Seychelles'!N23</f>
        <v>9155</v>
      </c>
      <c r="R22" s="18">
        <f>'FS Seychelles'!O23</f>
        <v>12104</v>
      </c>
      <c r="S22" s="18">
        <f>'FS Seychelles'!P24</f>
        <v>0</v>
      </c>
      <c r="T22" s="18">
        <f>'FS Seychelles'!Q23</f>
        <v>6504</v>
      </c>
      <c r="U22" s="18">
        <f>'FS Seychelles'!R23</f>
        <v>70</v>
      </c>
      <c r="V22" s="18">
        <f>'FS Seychelles'!S23</f>
        <v>71</v>
      </c>
      <c r="W22" s="18">
        <f>'FS Seychelles'!T23</f>
        <v>81</v>
      </c>
      <c r="X22" s="18">
        <f>'FS Seychelles'!U23</f>
        <v>284</v>
      </c>
      <c r="Y22" s="18">
        <f>'FS Seychelles'!V23</f>
        <v>98</v>
      </c>
      <c r="Z22" s="18">
        <f>'FS Seychelles'!W23</f>
        <v>111</v>
      </c>
      <c r="AA22" s="18">
        <f>'FS Seychelles'!X23</f>
        <v>0</v>
      </c>
      <c r="AB22" s="18">
        <f t="shared" si="0"/>
        <v>400</v>
      </c>
    </row>
    <row r="23" spans="1:28">
      <c r="A23" s="1" t="s">
        <v>13</v>
      </c>
      <c r="B23" s="11">
        <f t="shared" si="1"/>
        <v>22</v>
      </c>
      <c r="C23" s="11">
        <v>9</v>
      </c>
      <c r="D23" s="11">
        <v>2019</v>
      </c>
      <c r="E23" s="18">
        <f>'FS Seychelles'!B24</f>
        <v>50</v>
      </c>
      <c r="F23" s="18">
        <f>'FS Seychelles'!C24*1000</f>
        <v>3210</v>
      </c>
      <c r="G23" s="18">
        <f>'FS Seychelles'!D24*1000</f>
        <v>5630</v>
      </c>
      <c r="H23" s="18">
        <f>'FS Seychelles'!E24*1000</f>
        <v>5030</v>
      </c>
      <c r="I23" s="18">
        <f>'FS Seychelles'!F24*1000</f>
        <v>1360</v>
      </c>
      <c r="J23" s="18">
        <f>'FS Seychelles'!G24*1000</f>
        <v>1680</v>
      </c>
      <c r="K23" s="18">
        <f>'FS Seychelles'!H24*1000</f>
        <v>2330</v>
      </c>
      <c r="L23" s="18">
        <f>'FS Seychelles'!I24*1000</f>
        <v>1290</v>
      </c>
      <c r="M23" s="18">
        <f>'FS Seychelles'!J24*1000</f>
        <v>1860</v>
      </c>
      <c r="N23" s="18">
        <f>'FS Seychelles'!K24*1000</f>
        <v>3370</v>
      </c>
      <c r="O23" s="18">
        <f>'FS Seychelles'!L24</f>
        <v>8720</v>
      </c>
      <c r="P23" s="18">
        <f>'FS Seychelles'!M24</f>
        <v>3611</v>
      </c>
      <c r="Q23" s="18">
        <f>'FS Seychelles'!N24</f>
        <v>4675</v>
      </c>
      <c r="R23" s="18">
        <f>'FS Seychelles'!O24</f>
        <v>8141</v>
      </c>
      <c r="S23" s="18">
        <f>'FS Seychelles'!P25</f>
        <v>0</v>
      </c>
      <c r="T23" s="18">
        <f>'FS Seychelles'!Q24</f>
        <v>6709</v>
      </c>
      <c r="U23" s="18">
        <f>'FS Seychelles'!R24</f>
        <v>76</v>
      </c>
      <c r="V23" s="18">
        <f>'FS Seychelles'!S24</f>
        <v>37</v>
      </c>
      <c r="W23" s="18">
        <f>'FS Seychelles'!T24</f>
        <v>79</v>
      </c>
      <c r="X23" s="18">
        <f>'FS Seychelles'!U24</f>
        <v>243</v>
      </c>
      <c r="Y23" s="18">
        <f>'FS Seychelles'!V24</f>
        <v>176</v>
      </c>
      <c r="Z23" s="18">
        <f>'FS Seychelles'!W24</f>
        <v>86</v>
      </c>
      <c r="AA23" s="18">
        <f>'FS Seychelles'!X24</f>
        <v>0</v>
      </c>
      <c r="AB23" s="18">
        <f t="shared" si="0"/>
        <v>400</v>
      </c>
    </row>
    <row r="24" spans="1:28">
      <c r="A24" s="1" t="s">
        <v>13</v>
      </c>
      <c r="B24" s="11">
        <f t="shared" si="1"/>
        <v>23</v>
      </c>
      <c r="C24" s="11">
        <v>9</v>
      </c>
      <c r="D24" s="11">
        <v>2019</v>
      </c>
      <c r="E24" s="18">
        <f>'FS Seychelles'!B25</f>
        <v>44.74</v>
      </c>
      <c r="F24" s="18">
        <f>'FS Seychelles'!C25*1000</f>
        <v>3090</v>
      </c>
      <c r="G24" s="18">
        <f>'FS Seychelles'!D25*1000</f>
        <v>5220</v>
      </c>
      <c r="H24" s="18">
        <f>'FS Seychelles'!E25*1000</f>
        <v>5040</v>
      </c>
      <c r="I24" s="18">
        <f>'FS Seychelles'!F25*1000</f>
        <v>1100</v>
      </c>
      <c r="J24" s="18">
        <f>'FS Seychelles'!G25*1000</f>
        <v>2090</v>
      </c>
      <c r="K24" s="18">
        <f>'FS Seychelles'!H25*1000</f>
        <v>2280</v>
      </c>
      <c r="L24" s="18">
        <f>'FS Seychelles'!I25*1000</f>
        <v>1410</v>
      </c>
      <c r="M24" s="18">
        <f>'FS Seychelles'!J25*1000</f>
        <v>1720</v>
      </c>
      <c r="N24" s="18">
        <f>'FS Seychelles'!K25*1000</f>
        <v>3640</v>
      </c>
      <c r="O24" s="18">
        <f>'FS Seychelles'!L25</f>
        <v>0</v>
      </c>
      <c r="P24" s="18">
        <f>'FS Seychelles'!M25</f>
        <v>8742</v>
      </c>
      <c r="Q24" s="18">
        <f>'FS Seychelles'!N25</f>
        <v>5886</v>
      </c>
      <c r="R24" s="18">
        <f>'FS Seychelles'!O25</f>
        <v>12744</v>
      </c>
      <c r="S24" s="18">
        <f>'FS Seychelles'!P25</f>
        <v>0</v>
      </c>
      <c r="T24" s="18">
        <f>'FS Seychelles'!Q25</f>
        <v>6448.7</v>
      </c>
      <c r="U24" s="18">
        <f>'FS Seychelles'!R25</f>
        <v>72</v>
      </c>
      <c r="V24" s="18">
        <f>'FS Seychelles'!S25</f>
        <v>39</v>
      </c>
      <c r="W24" s="18">
        <f>'FS Seychelles'!T25</f>
        <v>110</v>
      </c>
      <c r="X24" s="18">
        <f>'FS Seychelles'!U25</f>
        <v>239</v>
      </c>
      <c r="Y24" s="18">
        <f>'FS Seychelles'!V25</f>
        <v>122</v>
      </c>
      <c r="Z24" s="18">
        <f>'FS Seychelles'!W25</f>
        <v>148</v>
      </c>
      <c r="AA24" s="18">
        <f>'FS Seychelles'!X25</f>
        <v>0</v>
      </c>
      <c r="AB24" s="18">
        <f t="shared" si="0"/>
        <v>400</v>
      </c>
    </row>
    <row r="25" spans="1:28">
      <c r="A25" s="1" t="s">
        <v>13</v>
      </c>
      <c r="B25" s="11">
        <f t="shared" si="1"/>
        <v>24</v>
      </c>
      <c r="C25" s="11">
        <v>9</v>
      </c>
      <c r="D25" s="11">
        <v>2019</v>
      </c>
      <c r="E25" s="18">
        <f>'FS Seychelles'!B26</f>
        <v>44.74</v>
      </c>
      <c r="F25" s="18">
        <f>'FS Seychelles'!C26*1000</f>
        <v>3190</v>
      </c>
      <c r="G25" s="18">
        <f>'FS Seychelles'!D26*1000</f>
        <v>5010</v>
      </c>
      <c r="H25" s="18">
        <f>'FS Seychelles'!E26*1000</f>
        <v>5080</v>
      </c>
      <c r="I25" s="18">
        <f>'FS Seychelles'!F26*1000</f>
        <v>0</v>
      </c>
      <c r="J25" s="18">
        <f>'FS Seychelles'!G26*1000</f>
        <v>1020</v>
      </c>
      <c r="K25" s="18">
        <f>'FS Seychelles'!H26*1000</f>
        <v>2490</v>
      </c>
      <c r="L25" s="18">
        <f>'FS Seychelles'!I26*1000</f>
        <v>1440</v>
      </c>
      <c r="M25" s="18">
        <f>'FS Seychelles'!J26*1000</f>
        <v>1660</v>
      </c>
      <c r="N25" s="18">
        <f>'FS Seychelles'!K26*1000</f>
        <v>3730</v>
      </c>
      <c r="O25" s="18">
        <f>'FS Seychelles'!L26</f>
        <v>11313</v>
      </c>
      <c r="P25" s="18">
        <f>'FS Seychelles'!M26</f>
        <v>12562</v>
      </c>
      <c r="Q25" s="18">
        <f>'FS Seychelles'!N26</f>
        <v>1723</v>
      </c>
      <c r="R25" s="18">
        <f>'FS Seychelles'!O26</f>
        <v>0</v>
      </c>
      <c r="S25" s="18">
        <f>'FS Seychelles'!P26</f>
        <v>0</v>
      </c>
      <c r="T25" s="18">
        <f>'FS Seychelles'!Q26</f>
        <v>6647</v>
      </c>
      <c r="U25" s="18">
        <f>'FS Seychelles'!R26</f>
        <v>84</v>
      </c>
      <c r="V25" s="18">
        <f>'FS Seychelles'!S26</f>
        <v>41</v>
      </c>
      <c r="W25" s="18">
        <f>'FS Seychelles'!T26</f>
        <v>86</v>
      </c>
      <c r="X25" s="18">
        <f>'FS Seychelles'!U26</f>
        <v>247</v>
      </c>
      <c r="Y25" s="18">
        <f>'FS Seychelles'!V26</f>
        <v>89</v>
      </c>
      <c r="Z25" s="18">
        <f>'FS Seychelles'!W26</f>
        <v>149</v>
      </c>
      <c r="AA25" s="18">
        <f>'FS Seychelles'!X26</f>
        <v>0</v>
      </c>
      <c r="AB25" s="18">
        <f t="shared" si="0"/>
        <v>400</v>
      </c>
    </row>
    <row r="26" spans="1:28">
      <c r="A26" s="1" t="s">
        <v>13</v>
      </c>
      <c r="B26" s="11">
        <f>B25+1</f>
        <v>25</v>
      </c>
      <c r="C26" s="11">
        <v>9</v>
      </c>
      <c r="D26" s="11">
        <v>2019</v>
      </c>
      <c r="E26" s="18">
        <f>'FS Seychelles'!B27</f>
        <v>44.74</v>
      </c>
      <c r="F26" s="18">
        <f>'FS Seychelles'!C27*1000</f>
        <v>3170</v>
      </c>
      <c r="G26" s="18">
        <f>'FS Seychelles'!D27*1000</f>
        <v>5020</v>
      </c>
      <c r="H26" s="18">
        <f>'FS Seychelles'!E27*1000</f>
        <v>5120</v>
      </c>
      <c r="I26" s="18">
        <f>'FS Seychelles'!F27*1000</f>
        <v>0</v>
      </c>
      <c r="J26" s="18">
        <f>'FS Seychelles'!G27*1000</f>
        <v>1090</v>
      </c>
      <c r="K26" s="18">
        <f>'FS Seychelles'!H27*1000</f>
        <v>2110</v>
      </c>
      <c r="L26" s="18">
        <f>'FS Seychelles'!I27*1000</f>
        <v>1530</v>
      </c>
      <c r="M26" s="18">
        <f>'FS Seychelles'!J27*1000</f>
        <v>1630</v>
      </c>
      <c r="N26" s="18">
        <f>'FS Seychelles'!K27*1000</f>
        <v>3770</v>
      </c>
      <c r="O26" s="18">
        <f>'FS Seychelles'!L27</f>
        <v>0</v>
      </c>
      <c r="P26" s="18">
        <f>'FS Seychelles'!M27</f>
        <v>2311</v>
      </c>
      <c r="Q26" s="18">
        <f>'FS Seychelles'!N27</f>
        <v>12074</v>
      </c>
      <c r="R26" s="18">
        <f>'FS Seychelles'!O27</f>
        <v>10508</v>
      </c>
      <c r="S26" s="18">
        <f>'FS Seychelles'!P27</f>
        <v>0</v>
      </c>
      <c r="T26" s="18">
        <f>'FS Seychelles'!Q27</f>
        <v>6757</v>
      </c>
      <c r="U26" s="18">
        <f>'FS Seychelles'!R27</f>
        <v>74</v>
      </c>
      <c r="V26" s="18">
        <f>'FS Seychelles'!S27</f>
        <v>33</v>
      </c>
      <c r="W26" s="18">
        <f>'FS Seychelles'!T27</f>
        <v>63</v>
      </c>
      <c r="X26" s="18">
        <f>'FS Seychelles'!U27</f>
        <v>280</v>
      </c>
      <c r="Y26" s="18">
        <f>'FS Seychelles'!V27</f>
        <v>104</v>
      </c>
      <c r="Z26" s="18">
        <f>'FS Seychelles'!W27</f>
        <v>149</v>
      </c>
      <c r="AA26" s="18">
        <f>'FS Seychelles'!X27</f>
        <v>0</v>
      </c>
      <c r="AB26" s="18">
        <f t="shared" si="0"/>
        <v>400</v>
      </c>
    </row>
    <row r="27" spans="1:28">
      <c r="A27" s="1" t="s">
        <v>13</v>
      </c>
      <c r="B27" s="11">
        <f t="shared" si="1"/>
        <v>26</v>
      </c>
      <c r="C27" s="11">
        <v>9</v>
      </c>
      <c r="D27" s="11">
        <v>2019</v>
      </c>
      <c r="E27" s="18">
        <f>'FS Seychelles'!B28</f>
        <v>43.42</v>
      </c>
      <c r="F27" s="18">
        <f>'FS Seychelles'!C28*1000</f>
        <v>3350</v>
      </c>
      <c r="G27" s="18">
        <f>'FS Seychelles'!D28*1000</f>
        <v>5230</v>
      </c>
      <c r="H27" s="18">
        <f>'FS Seychelles'!E28*1000</f>
        <v>5330</v>
      </c>
      <c r="I27" s="18">
        <f>'FS Seychelles'!F28*1000</f>
        <v>0</v>
      </c>
      <c r="J27" s="18">
        <f>'FS Seychelles'!G28*1000</f>
        <v>1120</v>
      </c>
      <c r="K27" s="18">
        <f>'FS Seychelles'!H28*1000</f>
        <v>2070</v>
      </c>
      <c r="L27" s="18">
        <f>'FS Seychelles'!I28*1000</f>
        <v>1510</v>
      </c>
      <c r="M27" s="18">
        <f>'FS Seychelles'!J28*1000</f>
        <v>1730</v>
      </c>
      <c r="N27" s="18">
        <f>'FS Seychelles'!K28*1000</f>
        <v>3630</v>
      </c>
      <c r="O27" s="18">
        <f>'FS Seychelles'!L28</f>
        <v>7200</v>
      </c>
      <c r="P27" s="18">
        <f>'FS Seychelles'!M28</f>
        <v>7327</v>
      </c>
      <c r="Q27" s="18">
        <f>'FS Seychelles'!N28</f>
        <v>5561</v>
      </c>
      <c r="R27" s="18">
        <f>'FS Seychelles'!O28</f>
        <v>4257</v>
      </c>
      <c r="S27" s="18">
        <f>'FS Seychelles'!P28</f>
        <v>0</v>
      </c>
      <c r="T27" s="18">
        <f>'FS Seychelles'!Q28</f>
        <v>6725</v>
      </c>
      <c r="U27" s="18">
        <f>'FS Seychelles'!R28</f>
        <v>74</v>
      </c>
      <c r="V27" s="18">
        <f>'FS Seychelles'!S28</f>
        <v>41</v>
      </c>
      <c r="W27" s="18">
        <f>'FS Seychelles'!T28</f>
        <v>54</v>
      </c>
      <c r="X27" s="18">
        <f>'FS Seychelles'!U28</f>
        <v>233</v>
      </c>
      <c r="Y27" s="18">
        <f>'FS Seychelles'!V28</f>
        <v>64</v>
      </c>
      <c r="Z27" s="18">
        <f>'FS Seychelles'!W28</f>
        <v>146</v>
      </c>
      <c r="AA27" s="18">
        <f>'FS Seychelles'!X28</f>
        <v>0</v>
      </c>
      <c r="AB27" s="18">
        <f t="shared" si="0"/>
        <v>400</v>
      </c>
    </row>
    <row r="28" spans="1:28">
      <c r="A28" s="1" t="s">
        <v>13</v>
      </c>
      <c r="B28" s="11">
        <f t="shared" si="1"/>
        <v>27</v>
      </c>
      <c r="C28" s="11">
        <v>9</v>
      </c>
      <c r="D28" s="11">
        <v>2019</v>
      </c>
      <c r="E28" s="18">
        <f>'FS Seychelles'!B29</f>
        <v>45.45</v>
      </c>
      <c r="F28" s="18">
        <f>'FS Seychelles'!C29*1000</f>
        <v>3160</v>
      </c>
      <c r="G28" s="18">
        <f>'FS Seychelles'!D29*1000</f>
        <v>4660</v>
      </c>
      <c r="H28" s="18">
        <f>'FS Seychelles'!E29*1000</f>
        <v>4740</v>
      </c>
      <c r="I28" s="18">
        <f>'FS Seychelles'!F29*1000</f>
        <v>0</v>
      </c>
      <c r="J28" s="18">
        <f>'FS Seychelles'!G29*1000</f>
        <v>1760</v>
      </c>
      <c r="K28" s="18">
        <f>'FS Seychelles'!H29*1000</f>
        <v>1970</v>
      </c>
      <c r="L28" s="18">
        <f>'FS Seychelles'!I29*1000</f>
        <v>1430</v>
      </c>
      <c r="M28" s="18">
        <f>'FS Seychelles'!J29*1000</f>
        <v>1600</v>
      </c>
      <c r="N28" s="18">
        <f>'FS Seychelles'!K29*1000</f>
        <v>3380</v>
      </c>
      <c r="O28" s="18">
        <f>'FS Seychelles'!L29</f>
        <v>2791</v>
      </c>
      <c r="P28" s="18">
        <f>'FS Seychelles'!M29</f>
        <v>0</v>
      </c>
      <c r="Q28" s="18">
        <f>'FS Seychelles'!N29</f>
        <v>6503</v>
      </c>
      <c r="R28" s="18">
        <f>'FS Seychelles'!O29</f>
        <v>12388</v>
      </c>
      <c r="S28" s="18">
        <f>'FS Seychelles'!P29</f>
        <v>0</v>
      </c>
      <c r="T28" s="18">
        <f>'FS Seychelles'!Q29</f>
        <v>5612</v>
      </c>
      <c r="U28" s="18">
        <f>'FS Seychelles'!R29</f>
        <v>78</v>
      </c>
      <c r="V28" s="18">
        <f>'FS Seychelles'!S29</f>
        <v>34</v>
      </c>
      <c r="W28" s="18">
        <f>'FS Seychelles'!T29</f>
        <v>52</v>
      </c>
      <c r="X28" s="18">
        <f>'FS Seychelles'!U29</f>
        <v>259</v>
      </c>
      <c r="Y28" s="18">
        <f>'FS Seychelles'!V29</f>
        <v>72</v>
      </c>
      <c r="Z28" s="18">
        <f>'FS Seychelles'!W29</f>
        <v>146</v>
      </c>
      <c r="AA28" s="18">
        <f>'FS Seychelles'!X29</f>
        <v>0</v>
      </c>
      <c r="AB28" s="18">
        <f t="shared" si="0"/>
        <v>400</v>
      </c>
    </row>
    <row r="29" spans="1:28">
      <c r="A29" s="1" t="s">
        <v>13</v>
      </c>
      <c r="B29" s="11">
        <f t="shared" si="1"/>
        <v>28</v>
      </c>
      <c r="C29" s="11">
        <v>9</v>
      </c>
      <c r="D29" s="11">
        <v>2019</v>
      </c>
      <c r="E29" s="18">
        <f>'FS Seychelles'!B30</f>
        <v>45.45</v>
      </c>
      <c r="F29" s="18">
        <f>'FS Seychelles'!C30*1000</f>
        <v>3460</v>
      </c>
      <c r="G29" s="18">
        <f>'FS Seychelles'!D30*1000</f>
        <v>5320</v>
      </c>
      <c r="H29" s="18">
        <f>'FS Seychelles'!E30*1000</f>
        <v>4990</v>
      </c>
      <c r="I29" s="18">
        <f>'FS Seychelles'!F30*1000</f>
        <v>0</v>
      </c>
      <c r="J29" s="18">
        <f>'FS Seychelles'!G30*1000</f>
        <v>1840</v>
      </c>
      <c r="K29" s="18">
        <f>'FS Seychelles'!H30*1000</f>
        <v>2110</v>
      </c>
      <c r="L29" s="18">
        <f>'FS Seychelles'!I30*1000</f>
        <v>1240</v>
      </c>
      <c r="M29" s="18">
        <f>'FS Seychelles'!J30*1000</f>
        <v>1710</v>
      </c>
      <c r="N29" s="18">
        <f>'FS Seychelles'!K30*1000</f>
        <v>3210</v>
      </c>
      <c r="O29" s="18">
        <f>'FS Seychelles'!L30</f>
        <v>0</v>
      </c>
      <c r="P29" s="18">
        <f>'FS Seychelles'!M30</f>
        <v>12579</v>
      </c>
      <c r="Q29" s="18">
        <f>'FS Seychelles'!N30</f>
        <v>10107</v>
      </c>
      <c r="R29" s="18">
        <f>'FS Seychelles'!O30</f>
        <v>4484</v>
      </c>
      <c r="S29" s="18">
        <f>'FS Seychelles'!P30</f>
        <v>0</v>
      </c>
      <c r="T29" s="18">
        <f>'FS Seychelles'!Q30</f>
        <v>7464</v>
      </c>
      <c r="U29" s="18">
        <f>'FS Seychelles'!R30</f>
        <v>74</v>
      </c>
      <c r="V29" s="18">
        <f>'FS Seychelles'!S30</f>
        <v>27</v>
      </c>
      <c r="W29" s="18">
        <f>'FS Seychelles'!T30</f>
        <v>60</v>
      </c>
      <c r="X29" s="18">
        <f>'FS Seychelles'!U30</f>
        <v>240</v>
      </c>
      <c r="Y29" s="18">
        <f>'FS Seychelles'!V30</f>
        <v>111</v>
      </c>
      <c r="Z29" s="18">
        <f>'FS Seychelles'!W30</f>
        <v>154</v>
      </c>
      <c r="AA29" s="18">
        <f>'FS Seychelles'!X30</f>
        <v>0</v>
      </c>
      <c r="AB29" s="18">
        <f t="shared" si="0"/>
        <v>400</v>
      </c>
    </row>
    <row r="30" spans="1:28">
      <c r="A30" s="1" t="s">
        <v>13</v>
      </c>
      <c r="B30" s="11">
        <f t="shared" si="1"/>
        <v>29</v>
      </c>
      <c r="C30" s="11">
        <v>9</v>
      </c>
      <c r="D30" s="11">
        <v>2019</v>
      </c>
      <c r="E30" s="18">
        <f>'FS Seychelles'!B31</f>
        <v>34.61</v>
      </c>
      <c r="F30" s="18">
        <f>'FS Seychelles'!C31*1000</f>
        <v>3140</v>
      </c>
      <c r="G30" s="18">
        <f>'FS Seychelles'!D31*1000</f>
        <v>5010</v>
      </c>
      <c r="H30" s="18">
        <f>'FS Seychelles'!E31*1000</f>
        <v>4940</v>
      </c>
      <c r="I30" s="18">
        <f>'FS Seychelles'!F31*1000</f>
        <v>0</v>
      </c>
      <c r="J30" s="18">
        <f>'FS Seychelles'!G31*1000</f>
        <v>1710</v>
      </c>
      <c r="K30" s="18">
        <f>'FS Seychelles'!H31*1000</f>
        <v>2020</v>
      </c>
      <c r="L30" s="18">
        <f>'FS Seychelles'!I31*1000</f>
        <v>1350</v>
      </c>
      <c r="M30" s="18">
        <f>'FS Seychelles'!J31*1000</f>
        <v>1810</v>
      </c>
      <c r="N30" s="18">
        <f>'FS Seychelles'!K31*1000</f>
        <v>3410</v>
      </c>
      <c r="O30" s="18">
        <f>'FS Seychelles'!L31</f>
        <v>5084</v>
      </c>
      <c r="P30" s="18">
        <f>'FS Seychelles'!M31</f>
        <v>5688</v>
      </c>
      <c r="Q30" s="18">
        <f>'FS Seychelles'!N31</f>
        <v>7931</v>
      </c>
      <c r="R30" s="18">
        <f>'FS Seychelles'!O31</f>
        <v>7486</v>
      </c>
      <c r="S30" s="18">
        <f>'FS Seychelles'!P31</f>
        <v>0</v>
      </c>
      <c r="T30" s="18">
        <f>'FS Seychelles'!Q31</f>
        <v>7175</v>
      </c>
      <c r="U30" s="18">
        <f>'FS Seychelles'!R31</f>
        <v>62</v>
      </c>
      <c r="V30" s="18">
        <f>'FS Seychelles'!S31</f>
        <v>42</v>
      </c>
      <c r="W30" s="18">
        <f>'FS Seychelles'!T31</f>
        <v>42</v>
      </c>
      <c r="X30" s="18">
        <f>'FS Seychelles'!U31</f>
        <v>243</v>
      </c>
      <c r="Y30" s="18">
        <f>'FS Seychelles'!V31</f>
        <v>84</v>
      </c>
      <c r="Z30" s="18">
        <f>'FS Seychelles'!W31</f>
        <v>140</v>
      </c>
      <c r="AA30" s="18">
        <f>'FS Seychelles'!X31</f>
        <v>0</v>
      </c>
      <c r="AB30" s="18">
        <f t="shared" si="0"/>
        <v>400</v>
      </c>
    </row>
    <row r="31" spans="1:28">
      <c r="A31" s="1" t="s">
        <v>13</v>
      </c>
      <c r="B31" s="11">
        <f t="shared" si="1"/>
        <v>30</v>
      </c>
      <c r="C31" s="11">
        <v>9</v>
      </c>
      <c r="D31" s="11">
        <v>2019</v>
      </c>
      <c r="E31" s="18">
        <f>'FS Seychelles'!B32</f>
        <v>59.02</v>
      </c>
      <c r="F31" s="18">
        <f>'FS Seychelles'!C32*1000</f>
        <v>3250</v>
      </c>
      <c r="G31" s="18">
        <f>'FS Seychelles'!D32*1000</f>
        <v>5630</v>
      </c>
      <c r="H31" s="18">
        <f>'FS Seychelles'!E32*1000</f>
        <v>5190</v>
      </c>
      <c r="I31" s="18">
        <f>'FS Seychelles'!F32*1000</f>
        <v>0</v>
      </c>
      <c r="J31" s="18">
        <f>'FS Seychelles'!G32*1000</f>
        <v>1790</v>
      </c>
      <c r="K31" s="18">
        <f>'FS Seychelles'!H32*1000</f>
        <v>2220</v>
      </c>
      <c r="L31" s="18">
        <f>'FS Seychelles'!I32*1000</f>
        <v>1280</v>
      </c>
      <c r="M31" s="18">
        <f>'FS Seychelles'!J32*1000</f>
        <v>1840</v>
      </c>
      <c r="N31" s="18">
        <f>'FS Seychelles'!K32*1000</f>
        <v>3350</v>
      </c>
      <c r="O31" s="18">
        <f>'FS Seychelles'!L32</f>
        <v>0</v>
      </c>
      <c r="P31" s="18">
        <f>'FS Seychelles'!M32</f>
        <v>12139</v>
      </c>
      <c r="Q31" s="18">
        <f>'FS Seychelles'!N32</f>
        <v>2013</v>
      </c>
      <c r="R31" s="18">
        <f>'FS Seychelles'!O32</f>
        <v>12873</v>
      </c>
      <c r="S31" s="18">
        <f>'FS Seychelles'!P32</f>
        <v>0</v>
      </c>
      <c r="T31" s="18">
        <f>'FS Seychelles'!Q32</f>
        <v>7575</v>
      </c>
      <c r="U31" s="18">
        <f>'FS Seychelles'!R32</f>
        <v>72</v>
      </c>
      <c r="V31" s="18">
        <f>'FS Seychelles'!S32</f>
        <v>60</v>
      </c>
      <c r="W31" s="18">
        <f>'FS Seychelles'!T32</f>
        <v>56</v>
      </c>
      <c r="X31" s="18">
        <f>'FS Seychelles'!U32</f>
        <v>294</v>
      </c>
      <c r="Y31" s="18">
        <f>'FS Seychelles'!V32</f>
        <v>84</v>
      </c>
      <c r="Z31" s="18">
        <f>'FS Seychelles'!W32</f>
        <v>158</v>
      </c>
      <c r="AA31" s="18">
        <f>'FS Seychelles'!X32</f>
        <v>0</v>
      </c>
      <c r="AB31" s="18">
        <f t="shared" si="0"/>
        <v>400</v>
      </c>
    </row>
    <row r="32" spans="1:28">
      <c r="A32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33"/>
  <sheetViews>
    <sheetView zoomScaleNormal="100" workbookViewId="0">
      <selection activeCell="AC31" sqref="AC31"/>
    </sheetView>
  </sheetViews>
  <sheetFormatPr defaultRowHeight="12.75"/>
  <cols>
    <col min="1" max="1" width="10.42578125" style="19" bestFit="1" customWidth="1"/>
    <col min="2" max="2" width="12.7109375" style="44" customWidth="1"/>
    <col min="3" max="11" width="9.140625" style="19"/>
    <col min="12" max="12" width="13.42578125" style="19" customWidth="1"/>
    <col min="13" max="13" width="11.42578125" style="19" customWidth="1"/>
    <col min="14" max="14" width="11.7109375" style="19" customWidth="1"/>
    <col min="15" max="15" width="11.5703125" style="19" customWidth="1"/>
    <col min="16" max="16" width="11.7109375" style="19" customWidth="1"/>
    <col min="17" max="17" width="12" style="19" customWidth="1"/>
    <col min="18" max="19" width="10.7109375" style="19" customWidth="1"/>
    <col min="20" max="20" width="9.42578125" style="19" bestFit="1" customWidth="1"/>
    <col min="21" max="21" width="9.140625" style="19"/>
    <col min="22" max="22" width="6" style="19" bestFit="1" customWidth="1"/>
    <col min="23" max="23" width="9.140625" style="19"/>
    <col min="24" max="24" width="13.28515625" style="19" customWidth="1"/>
    <col min="25" max="25" width="19.5703125" style="19" customWidth="1"/>
    <col min="26" max="16384" width="9.140625" style="19"/>
  </cols>
  <sheetData>
    <row r="1" spans="1:26" ht="13.5" thickBot="1"/>
    <row r="2" spans="1:26" s="26" customFormat="1" ht="31.5" customHeight="1" thickBot="1">
      <c r="A2" s="36" t="s">
        <v>38</v>
      </c>
      <c r="B2" s="45" t="s">
        <v>14</v>
      </c>
      <c r="C2" s="37" t="s">
        <v>39</v>
      </c>
      <c r="D2" s="37" t="s">
        <v>40</v>
      </c>
      <c r="E2" s="37" t="s">
        <v>41</v>
      </c>
      <c r="F2" s="37" t="s">
        <v>42</v>
      </c>
      <c r="G2" s="37" t="s">
        <v>43</v>
      </c>
      <c r="H2" s="37" t="s">
        <v>44</v>
      </c>
      <c r="I2" s="37" t="s">
        <v>45</v>
      </c>
      <c r="J2" s="37" t="s">
        <v>46</v>
      </c>
      <c r="K2" s="37" t="s">
        <v>47</v>
      </c>
      <c r="L2" s="38" t="s">
        <v>48</v>
      </c>
      <c r="M2" s="38" t="s">
        <v>49</v>
      </c>
      <c r="N2" s="38" t="s">
        <v>50</v>
      </c>
      <c r="O2" s="38" t="s">
        <v>51</v>
      </c>
      <c r="P2" s="38" t="s">
        <v>52</v>
      </c>
      <c r="Q2" s="39" t="s">
        <v>53</v>
      </c>
      <c r="R2" s="46" t="s">
        <v>54</v>
      </c>
      <c r="S2" s="46" t="s">
        <v>55</v>
      </c>
      <c r="T2" s="46" t="s">
        <v>56</v>
      </c>
      <c r="U2" s="46" t="s">
        <v>57</v>
      </c>
      <c r="V2" s="46" t="s">
        <v>58</v>
      </c>
      <c r="W2" s="46" t="s">
        <v>59</v>
      </c>
      <c r="X2" s="46" t="s">
        <v>60</v>
      </c>
      <c r="Y2" s="51" t="s">
        <v>37</v>
      </c>
    </row>
    <row r="3" spans="1:26" ht="15">
      <c r="A3" s="21">
        <v>43709</v>
      </c>
      <c r="B3" s="43">
        <v>42.11</v>
      </c>
      <c r="C3" s="22">
        <v>4.8099999999999996</v>
      </c>
      <c r="D3" s="34">
        <v>5.8</v>
      </c>
      <c r="E3" s="34">
        <v>6.22</v>
      </c>
      <c r="F3" s="34">
        <v>2.89</v>
      </c>
      <c r="G3" s="23">
        <v>3.8</v>
      </c>
      <c r="H3" s="34">
        <v>1.64</v>
      </c>
      <c r="I3" s="34">
        <v>1.38</v>
      </c>
      <c r="J3" s="34">
        <v>2.15</v>
      </c>
      <c r="K3" s="34">
        <v>4.09</v>
      </c>
      <c r="L3" s="40">
        <v>12417</v>
      </c>
      <c r="M3" s="40">
        <v>0</v>
      </c>
      <c r="N3" s="40">
        <v>12079</v>
      </c>
      <c r="O3" s="40">
        <v>8651</v>
      </c>
      <c r="P3" s="40">
        <v>0</v>
      </c>
      <c r="Q3" s="22">
        <f>2276+3229+3326</f>
        <v>8831</v>
      </c>
      <c r="R3" s="35">
        <v>90</v>
      </c>
      <c r="S3" s="35">
        <v>22</v>
      </c>
      <c r="T3" s="20">
        <v>81</v>
      </c>
      <c r="U3" s="20">
        <v>327</v>
      </c>
      <c r="V3" s="20">
        <v>95</v>
      </c>
      <c r="W3" s="20">
        <v>133</v>
      </c>
      <c r="X3" s="20">
        <v>0</v>
      </c>
      <c r="Y3" s="52"/>
      <c r="Z3" s="24"/>
    </row>
    <row r="4" spans="1:26" ht="15">
      <c r="A4" s="21">
        <v>43710</v>
      </c>
      <c r="B4" s="43">
        <v>47.37</v>
      </c>
      <c r="C4" s="22">
        <v>3.34</v>
      </c>
      <c r="D4" s="34">
        <v>5.17</v>
      </c>
      <c r="E4" s="34">
        <v>5.57</v>
      </c>
      <c r="F4" s="34">
        <v>2.06</v>
      </c>
      <c r="G4" s="23">
        <v>2.8</v>
      </c>
      <c r="H4" s="34">
        <v>2.27</v>
      </c>
      <c r="I4" s="34">
        <v>1.31</v>
      </c>
      <c r="J4" s="34">
        <v>1.66</v>
      </c>
      <c r="K4" s="34">
        <v>4.08</v>
      </c>
      <c r="L4" s="41">
        <v>8070</v>
      </c>
      <c r="M4" s="40">
        <v>3200</v>
      </c>
      <c r="N4" s="40">
        <v>10856</v>
      </c>
      <c r="O4" s="40">
        <v>6875</v>
      </c>
      <c r="P4" s="40">
        <v>0</v>
      </c>
      <c r="Q4" s="22">
        <f>2169+984+301+1809</f>
        <v>5263</v>
      </c>
      <c r="R4" s="35">
        <v>84</v>
      </c>
      <c r="S4" s="35">
        <v>37</v>
      </c>
      <c r="T4" s="20">
        <v>72</v>
      </c>
      <c r="U4" s="20">
        <v>233</v>
      </c>
      <c r="V4" s="20">
        <v>100</v>
      </c>
      <c r="W4" s="20">
        <v>138</v>
      </c>
      <c r="X4" s="20">
        <v>0</v>
      </c>
      <c r="Y4" s="52"/>
      <c r="Z4" s="24"/>
    </row>
    <row r="5" spans="1:26" ht="15">
      <c r="A5" s="21">
        <v>43711</v>
      </c>
      <c r="B5" s="43">
        <v>57.86</v>
      </c>
      <c r="C5" s="22">
        <v>3.05</v>
      </c>
      <c r="D5" s="34">
        <v>4.8</v>
      </c>
      <c r="E5" s="34">
        <v>5.43</v>
      </c>
      <c r="F5" s="34">
        <v>1.92</v>
      </c>
      <c r="G5" s="23">
        <v>2.54</v>
      </c>
      <c r="H5" s="34">
        <v>3.01</v>
      </c>
      <c r="I5" s="34">
        <v>1.42</v>
      </c>
      <c r="J5" s="34">
        <v>1.57</v>
      </c>
      <c r="K5" s="34">
        <v>7.69</v>
      </c>
      <c r="L5" s="40">
        <v>0</v>
      </c>
      <c r="M5" s="40">
        <v>0</v>
      </c>
      <c r="N5" s="40">
        <v>8602</v>
      </c>
      <c r="O5" s="40">
        <v>9303</v>
      </c>
      <c r="P5" s="40">
        <v>0</v>
      </c>
      <c r="Q5" s="22">
        <f>2448+2397</f>
        <v>4845</v>
      </c>
      <c r="R5" s="35">
        <v>82</v>
      </c>
      <c r="S5" s="35">
        <v>37</v>
      </c>
      <c r="T5" s="20">
        <v>84</v>
      </c>
      <c r="U5" s="20">
        <v>215</v>
      </c>
      <c r="V5" s="20">
        <v>100</v>
      </c>
      <c r="W5" s="20">
        <v>131</v>
      </c>
      <c r="X5" s="20">
        <v>0</v>
      </c>
      <c r="Y5" s="52"/>
      <c r="Z5" s="24"/>
    </row>
    <row r="6" spans="1:26" ht="15">
      <c r="A6" s="21">
        <v>43712</v>
      </c>
      <c r="B6" s="43">
        <v>67.11</v>
      </c>
      <c r="C6" s="22">
        <v>3.11</v>
      </c>
      <c r="D6" s="34">
        <v>5.26</v>
      </c>
      <c r="E6" s="34">
        <v>5.64</v>
      </c>
      <c r="F6" s="34">
        <v>1.74</v>
      </c>
      <c r="G6" s="23">
        <v>2.17</v>
      </c>
      <c r="H6" s="34">
        <v>2.67</v>
      </c>
      <c r="I6" s="34">
        <v>1.42</v>
      </c>
      <c r="J6" s="34">
        <v>1.65</v>
      </c>
      <c r="K6" s="34">
        <v>8.09</v>
      </c>
      <c r="L6" s="40">
        <v>8006</v>
      </c>
      <c r="M6" s="40">
        <v>2001</v>
      </c>
      <c r="N6" s="40">
        <v>11590</v>
      </c>
      <c r="O6" s="40">
        <v>5248</v>
      </c>
      <c r="P6" s="40">
        <v>0</v>
      </c>
      <c r="Q6" s="22">
        <v>7126</v>
      </c>
      <c r="R6" s="35">
        <v>76</v>
      </c>
      <c r="S6" s="35">
        <v>71</v>
      </c>
      <c r="T6" s="20">
        <v>61</v>
      </c>
      <c r="U6" s="20">
        <v>235</v>
      </c>
      <c r="V6" s="20">
        <v>112</v>
      </c>
      <c r="W6" s="20">
        <v>68</v>
      </c>
      <c r="X6" s="20">
        <v>0</v>
      </c>
      <c r="Y6" s="52"/>
      <c r="Z6" s="24"/>
    </row>
    <row r="7" spans="1:26" ht="15">
      <c r="A7" s="21">
        <v>43713</v>
      </c>
      <c r="B7" s="43">
        <v>59.21</v>
      </c>
      <c r="C7" s="22">
        <v>3.18</v>
      </c>
      <c r="D7" s="34">
        <v>5.35</v>
      </c>
      <c r="E7" s="34">
        <v>5.71</v>
      </c>
      <c r="F7" s="34">
        <v>1.83</v>
      </c>
      <c r="G7" s="23">
        <v>2.64</v>
      </c>
      <c r="H7" s="34">
        <v>2.5</v>
      </c>
      <c r="I7" s="34">
        <v>1.4</v>
      </c>
      <c r="J7" s="34">
        <v>1.79</v>
      </c>
      <c r="K7" s="34">
        <v>3.69</v>
      </c>
      <c r="L7" s="40">
        <v>0</v>
      </c>
      <c r="M7" s="40">
        <v>10275</v>
      </c>
      <c r="N7" s="40">
        <v>0</v>
      </c>
      <c r="O7" s="40">
        <v>4085</v>
      </c>
      <c r="P7" s="40">
        <v>0</v>
      </c>
      <c r="Q7" s="22">
        <f>2915+1075</f>
        <v>3990</v>
      </c>
      <c r="R7" s="35">
        <v>75</v>
      </c>
      <c r="S7" s="35">
        <v>35</v>
      </c>
      <c r="T7" s="20">
        <v>82</v>
      </c>
      <c r="U7" s="20">
        <v>236</v>
      </c>
      <c r="V7" s="20">
        <v>75</v>
      </c>
      <c r="W7" s="20">
        <v>73</v>
      </c>
      <c r="X7" s="20">
        <v>0</v>
      </c>
      <c r="Y7" s="52"/>
      <c r="Z7" s="24"/>
    </row>
    <row r="8" spans="1:26" ht="15">
      <c r="A8" s="21">
        <v>43714</v>
      </c>
      <c r="B8" s="43">
        <v>73.680000000000007</v>
      </c>
      <c r="C8" s="22">
        <v>3.07</v>
      </c>
      <c r="D8" s="34">
        <v>5.17</v>
      </c>
      <c r="E8" s="34">
        <v>5.66</v>
      </c>
      <c r="F8" s="34">
        <v>1.72</v>
      </c>
      <c r="G8" s="23">
        <v>2.83</v>
      </c>
      <c r="H8" s="34">
        <v>2.41</v>
      </c>
      <c r="I8" s="34">
        <v>1.4</v>
      </c>
      <c r="J8" s="34">
        <v>1.59</v>
      </c>
      <c r="K8" s="34">
        <v>3.64</v>
      </c>
      <c r="L8" s="40">
        <v>0</v>
      </c>
      <c r="M8" s="40">
        <v>9222</v>
      </c>
      <c r="N8" s="40">
        <v>12905</v>
      </c>
      <c r="O8" s="40">
        <v>3737</v>
      </c>
      <c r="P8" s="40">
        <v>0</v>
      </c>
      <c r="Q8" s="22">
        <f>3540+2640+983</f>
        <v>7163</v>
      </c>
      <c r="R8" s="35">
        <v>76</v>
      </c>
      <c r="S8" s="35">
        <v>38</v>
      </c>
      <c r="T8" s="20">
        <v>86</v>
      </c>
      <c r="U8" s="20">
        <v>338</v>
      </c>
      <c r="V8" s="20">
        <v>85</v>
      </c>
      <c r="W8" s="20">
        <v>119</v>
      </c>
      <c r="X8" s="20">
        <v>0</v>
      </c>
      <c r="Y8" s="52"/>
      <c r="Z8" s="24"/>
    </row>
    <row r="9" spans="1:26" ht="15">
      <c r="A9" s="21">
        <v>43715</v>
      </c>
      <c r="B9" s="43">
        <v>81.58</v>
      </c>
      <c r="C9" s="22">
        <v>3.46</v>
      </c>
      <c r="D9" s="34">
        <v>5.6</v>
      </c>
      <c r="E9" s="34">
        <v>5.77</v>
      </c>
      <c r="F9" s="34">
        <v>1.9</v>
      </c>
      <c r="G9" s="23">
        <v>3.18</v>
      </c>
      <c r="H9" s="34">
        <v>2.29</v>
      </c>
      <c r="I9" s="34">
        <v>1.42</v>
      </c>
      <c r="J9" s="34">
        <v>2.5</v>
      </c>
      <c r="K9" s="34">
        <v>3.6</v>
      </c>
      <c r="L9" s="40">
        <v>6225</v>
      </c>
      <c r="M9" s="40">
        <v>4881</v>
      </c>
      <c r="N9" s="40">
        <v>6582</v>
      </c>
      <c r="O9" s="40">
        <v>10387</v>
      </c>
      <c r="P9" s="40">
        <v>0</v>
      </c>
      <c r="Q9" s="22">
        <f>2733+1669+1388+1857</f>
        <v>7647</v>
      </c>
      <c r="R9" s="35">
        <v>66</v>
      </c>
      <c r="S9" s="35">
        <v>34</v>
      </c>
      <c r="T9" s="20">
        <v>79</v>
      </c>
      <c r="U9" s="20">
        <v>277</v>
      </c>
      <c r="V9" s="20">
        <v>67</v>
      </c>
      <c r="W9" s="20">
        <v>120</v>
      </c>
      <c r="X9" s="20">
        <v>0</v>
      </c>
      <c r="Y9" s="52"/>
      <c r="Z9" s="24"/>
    </row>
    <row r="10" spans="1:26" ht="15">
      <c r="A10" s="21">
        <v>43716</v>
      </c>
      <c r="B10" s="43">
        <v>67.11</v>
      </c>
      <c r="C10" s="22">
        <v>3.38</v>
      </c>
      <c r="D10" s="34">
        <v>5.48</v>
      </c>
      <c r="E10" s="34">
        <v>5.95</v>
      </c>
      <c r="F10" s="34">
        <v>1.92</v>
      </c>
      <c r="G10" s="23">
        <v>3.14</v>
      </c>
      <c r="H10" s="34">
        <v>2.2799999999999998</v>
      </c>
      <c r="I10" s="34">
        <v>1.36</v>
      </c>
      <c r="J10" s="34">
        <v>1.94</v>
      </c>
      <c r="K10" s="34">
        <v>3.49</v>
      </c>
      <c r="L10" s="40">
        <v>5339</v>
      </c>
      <c r="M10" s="40">
        <v>8822</v>
      </c>
      <c r="N10" s="40">
        <v>10861</v>
      </c>
      <c r="O10" s="40">
        <v>3419</v>
      </c>
      <c r="P10" s="40">
        <v>0</v>
      </c>
      <c r="Q10" s="22">
        <f>1407+2925+2425+900</f>
        <v>7657</v>
      </c>
      <c r="R10" s="35">
        <v>80</v>
      </c>
      <c r="S10" s="35">
        <v>22</v>
      </c>
      <c r="T10" s="20">
        <v>90</v>
      </c>
      <c r="U10" s="20">
        <v>232</v>
      </c>
      <c r="V10" s="20">
        <v>68</v>
      </c>
      <c r="W10" s="20">
        <v>127</v>
      </c>
      <c r="X10" s="20">
        <v>0</v>
      </c>
      <c r="Y10" s="52"/>
      <c r="Z10" s="24"/>
    </row>
    <row r="11" spans="1:26" ht="15">
      <c r="A11" s="21">
        <v>43717</v>
      </c>
      <c r="B11" s="43">
        <v>65.790000000000006</v>
      </c>
      <c r="C11" s="22">
        <v>3.16</v>
      </c>
      <c r="D11" s="34">
        <v>5.4</v>
      </c>
      <c r="E11" s="34">
        <v>5.7</v>
      </c>
      <c r="F11" s="34">
        <v>1.9</v>
      </c>
      <c r="G11" s="23">
        <v>3.19</v>
      </c>
      <c r="H11" s="34">
        <v>2.1</v>
      </c>
      <c r="I11" s="34">
        <v>1.4</v>
      </c>
      <c r="J11" s="34">
        <v>1.95</v>
      </c>
      <c r="K11" s="34">
        <v>3.7</v>
      </c>
      <c r="L11" s="40">
        <v>5392</v>
      </c>
      <c r="M11" s="40">
        <v>5432</v>
      </c>
      <c r="N11" s="40">
        <v>9350</v>
      </c>
      <c r="O11" s="40">
        <v>8251</v>
      </c>
      <c r="P11" s="40">
        <v>0</v>
      </c>
      <c r="Q11" s="22">
        <f>2171+1467+2598+1700</f>
        <v>7936</v>
      </c>
      <c r="R11" s="35">
        <v>68</v>
      </c>
      <c r="S11" s="35">
        <v>41</v>
      </c>
      <c r="T11" s="20">
        <v>79</v>
      </c>
      <c r="U11" s="20">
        <v>235</v>
      </c>
      <c r="V11" s="20">
        <v>59</v>
      </c>
      <c r="W11" s="20">
        <v>117</v>
      </c>
      <c r="X11" s="20">
        <v>0</v>
      </c>
      <c r="Y11" s="52"/>
      <c r="Z11" s="24"/>
    </row>
    <row r="12" spans="1:26" ht="15">
      <c r="A12" s="21">
        <v>43718</v>
      </c>
      <c r="B12" s="43">
        <v>39.47</v>
      </c>
      <c r="C12" s="22">
        <v>3.18</v>
      </c>
      <c r="D12" s="34">
        <v>5.38</v>
      </c>
      <c r="E12" s="34">
        <v>5.57</v>
      </c>
      <c r="F12" s="34">
        <v>1.69</v>
      </c>
      <c r="G12" s="23">
        <v>3.31</v>
      </c>
      <c r="H12" s="34">
        <v>2.16</v>
      </c>
      <c r="I12" s="34">
        <v>1.46</v>
      </c>
      <c r="J12" s="34">
        <v>2.13</v>
      </c>
      <c r="K12" s="34">
        <v>3.78</v>
      </c>
      <c r="L12" s="40">
        <v>7436</v>
      </c>
      <c r="M12" s="40">
        <v>7974</v>
      </c>
      <c r="N12" s="40">
        <v>5769</v>
      </c>
      <c r="O12" s="40">
        <v>8117</v>
      </c>
      <c r="P12" s="40">
        <v>0</v>
      </c>
      <c r="Q12" s="22">
        <f>1921+2096+1534+2136</f>
        <v>7687</v>
      </c>
      <c r="R12" s="35">
        <v>74</v>
      </c>
      <c r="S12" s="35">
        <v>20</v>
      </c>
      <c r="T12" s="20">
        <v>76</v>
      </c>
      <c r="U12" s="20">
        <v>246</v>
      </c>
      <c r="V12" s="20">
        <v>68</v>
      </c>
      <c r="W12" s="20">
        <v>122</v>
      </c>
      <c r="X12" s="20">
        <v>0</v>
      </c>
      <c r="Y12" s="52"/>
      <c r="Z12" s="24"/>
    </row>
    <row r="13" spans="1:26" ht="15">
      <c r="A13" s="21">
        <v>43719</v>
      </c>
      <c r="B13" s="43">
        <v>35.53</v>
      </c>
      <c r="C13" s="22">
        <v>3.29</v>
      </c>
      <c r="D13" s="34">
        <v>5.34</v>
      </c>
      <c r="E13" s="34">
        <v>5.4</v>
      </c>
      <c r="F13" s="34">
        <v>1.83</v>
      </c>
      <c r="G13" s="23">
        <v>3.25</v>
      </c>
      <c r="H13" s="34">
        <v>2.25</v>
      </c>
      <c r="I13" s="34">
        <v>1.41</v>
      </c>
      <c r="J13" s="34">
        <v>2</v>
      </c>
      <c r="K13" s="34">
        <v>3.71</v>
      </c>
      <c r="L13" s="40">
        <v>1673</v>
      </c>
      <c r="M13" s="40">
        <v>13627</v>
      </c>
      <c r="N13" s="40">
        <v>12137</v>
      </c>
      <c r="O13" s="40">
        <v>2352</v>
      </c>
      <c r="P13" s="40">
        <v>0</v>
      </c>
      <c r="Q13" s="22">
        <f>618.9+3274+3763+449</f>
        <v>8104.9</v>
      </c>
      <c r="R13" s="35">
        <v>74</v>
      </c>
      <c r="S13" s="35">
        <v>38</v>
      </c>
      <c r="T13" s="20">
        <v>15</v>
      </c>
      <c r="U13" s="20">
        <v>235</v>
      </c>
      <c r="V13" s="20">
        <v>62</v>
      </c>
      <c r="W13" s="20">
        <v>123</v>
      </c>
      <c r="X13" s="20">
        <v>0</v>
      </c>
      <c r="Y13" s="52"/>
      <c r="Z13" s="24"/>
    </row>
    <row r="14" spans="1:26" ht="15">
      <c r="A14" s="21">
        <v>43720</v>
      </c>
      <c r="B14" s="43">
        <v>31.58</v>
      </c>
      <c r="C14" s="22">
        <v>3.12</v>
      </c>
      <c r="D14" s="34">
        <v>5.18</v>
      </c>
      <c r="E14" s="34">
        <v>5.4</v>
      </c>
      <c r="F14" s="34">
        <v>1.67</v>
      </c>
      <c r="G14" s="23">
        <v>2.88</v>
      </c>
      <c r="H14" s="34">
        <v>2.23</v>
      </c>
      <c r="I14" s="34">
        <v>1.41</v>
      </c>
      <c r="J14" s="34">
        <v>1.99</v>
      </c>
      <c r="K14" s="34">
        <v>3.74</v>
      </c>
      <c r="L14" s="40">
        <v>4506</v>
      </c>
      <c r="M14" s="40">
        <v>0</v>
      </c>
      <c r="N14" s="40">
        <v>9969</v>
      </c>
      <c r="O14" s="40">
        <v>14463</v>
      </c>
      <c r="P14" s="40">
        <v>0</v>
      </c>
      <c r="Q14" s="40">
        <f>3806+1236+2677</f>
        <v>7719</v>
      </c>
      <c r="R14" s="35">
        <v>77</v>
      </c>
      <c r="S14" s="35">
        <v>53</v>
      </c>
      <c r="T14" s="20">
        <v>63</v>
      </c>
      <c r="U14" s="20">
        <v>297</v>
      </c>
      <c r="V14" s="20">
        <v>82</v>
      </c>
      <c r="W14" s="20">
        <v>87</v>
      </c>
      <c r="X14" s="20">
        <v>0</v>
      </c>
      <c r="Y14" s="52"/>
      <c r="Z14" s="24"/>
    </row>
    <row r="15" spans="1:26" ht="15">
      <c r="A15" s="21">
        <v>43721</v>
      </c>
      <c r="B15" s="43">
        <v>30.26</v>
      </c>
      <c r="C15" s="22">
        <v>3.16</v>
      </c>
      <c r="D15" s="34">
        <v>4.99</v>
      </c>
      <c r="E15" s="34">
        <v>5.39</v>
      </c>
      <c r="F15" s="34">
        <v>1.57</v>
      </c>
      <c r="G15" s="23">
        <v>2.16</v>
      </c>
      <c r="H15" s="34">
        <v>2.15</v>
      </c>
      <c r="I15" s="34">
        <v>1.39</v>
      </c>
      <c r="J15" s="34">
        <v>1.93</v>
      </c>
      <c r="K15" s="34">
        <v>3.71</v>
      </c>
      <c r="L15" s="40">
        <v>8707</v>
      </c>
      <c r="M15" s="40">
        <v>5540</v>
      </c>
      <c r="N15" s="40">
        <v>8549</v>
      </c>
      <c r="O15" s="40">
        <v>4275</v>
      </c>
      <c r="P15" s="40">
        <v>0</v>
      </c>
      <c r="Q15" s="22">
        <f>1125+2342+1478+2265</f>
        <v>7210</v>
      </c>
      <c r="R15" s="35">
        <v>89</v>
      </c>
      <c r="S15" s="35">
        <v>28</v>
      </c>
      <c r="T15" s="20">
        <v>77</v>
      </c>
      <c r="U15" s="20">
        <v>295</v>
      </c>
      <c r="V15" s="20">
        <v>83</v>
      </c>
      <c r="W15" s="20">
        <v>85</v>
      </c>
      <c r="X15" s="20">
        <v>0</v>
      </c>
      <c r="Y15" s="20"/>
      <c r="Z15" s="24"/>
    </row>
    <row r="16" spans="1:26" ht="15">
      <c r="A16" s="21">
        <v>43722</v>
      </c>
      <c r="B16" s="43">
        <v>27.63</v>
      </c>
      <c r="C16" s="22">
        <v>3.04</v>
      </c>
      <c r="D16" s="34">
        <v>4.91</v>
      </c>
      <c r="E16" s="34">
        <v>5.31</v>
      </c>
      <c r="F16" s="34">
        <v>1.46</v>
      </c>
      <c r="G16" s="23">
        <v>2.0099999999999998</v>
      </c>
      <c r="H16" s="34">
        <v>2.12</v>
      </c>
      <c r="I16" s="34">
        <v>1.42</v>
      </c>
      <c r="J16" s="34">
        <v>1.87</v>
      </c>
      <c r="K16" s="34">
        <v>3.63</v>
      </c>
      <c r="L16" s="40">
        <v>0</v>
      </c>
      <c r="M16" s="40">
        <v>3009</v>
      </c>
      <c r="N16" s="40">
        <v>9381</v>
      </c>
      <c r="O16" s="40">
        <v>12995</v>
      </c>
      <c r="P16" s="40">
        <v>0</v>
      </c>
      <c r="Q16" s="40">
        <f>834+2499+3420</f>
        <v>6753</v>
      </c>
      <c r="R16" s="35">
        <v>79</v>
      </c>
      <c r="S16" s="35">
        <v>36</v>
      </c>
      <c r="T16" s="20">
        <v>67</v>
      </c>
      <c r="U16" s="20">
        <v>245</v>
      </c>
      <c r="V16" s="20">
        <v>63</v>
      </c>
      <c r="W16" s="20">
        <v>168</v>
      </c>
      <c r="X16" s="20">
        <v>0</v>
      </c>
      <c r="Y16" s="20"/>
      <c r="Z16" s="24"/>
    </row>
    <row r="17" spans="1:28" ht="15">
      <c r="A17" s="21">
        <v>43723</v>
      </c>
      <c r="B17" s="43">
        <v>32.89</v>
      </c>
      <c r="C17" s="22">
        <v>2.98</v>
      </c>
      <c r="D17" s="34">
        <v>5.13</v>
      </c>
      <c r="E17" s="34">
        <v>5.07</v>
      </c>
      <c r="F17" s="34">
        <v>1.49</v>
      </c>
      <c r="G17" s="23">
        <v>1.89</v>
      </c>
      <c r="H17" s="34">
        <v>2.1</v>
      </c>
      <c r="I17" s="34">
        <v>1.39</v>
      </c>
      <c r="J17" s="34">
        <v>1.84</v>
      </c>
      <c r="K17" s="34">
        <v>3.46</v>
      </c>
      <c r="L17" s="40">
        <v>0</v>
      </c>
      <c r="M17" s="40">
        <v>9509</v>
      </c>
      <c r="N17" s="40">
        <v>13055</v>
      </c>
      <c r="O17" s="40">
        <v>3784</v>
      </c>
      <c r="P17" s="40">
        <v>0</v>
      </c>
      <c r="Q17" s="22">
        <f>3574+2632+996</f>
        <v>7202</v>
      </c>
      <c r="R17" s="35">
        <v>78</v>
      </c>
      <c r="S17" s="35">
        <v>28</v>
      </c>
      <c r="T17" s="20">
        <v>61</v>
      </c>
      <c r="U17" s="20">
        <v>242</v>
      </c>
      <c r="V17" s="20">
        <v>77</v>
      </c>
      <c r="W17" s="20">
        <v>85</v>
      </c>
      <c r="X17" s="20">
        <v>0</v>
      </c>
      <c r="Y17" s="20"/>
      <c r="Z17" s="24"/>
    </row>
    <row r="18" spans="1:28" ht="15">
      <c r="A18" s="21">
        <v>43724</v>
      </c>
      <c r="B18" s="43">
        <v>35.53</v>
      </c>
      <c r="C18" s="22">
        <v>3.08</v>
      </c>
      <c r="D18" s="34">
        <v>5.0199999999999996</v>
      </c>
      <c r="E18" s="34">
        <v>4.95</v>
      </c>
      <c r="F18" s="34">
        <v>1.61</v>
      </c>
      <c r="G18" s="23">
        <v>1.88</v>
      </c>
      <c r="H18" s="34">
        <v>2.25</v>
      </c>
      <c r="I18" s="34">
        <v>1.39</v>
      </c>
      <c r="J18" s="34">
        <v>1.65</v>
      </c>
      <c r="K18" s="34">
        <v>3.61</v>
      </c>
      <c r="L18" s="40">
        <v>0</v>
      </c>
      <c r="M18" s="40">
        <v>9195</v>
      </c>
      <c r="N18" s="40">
        <v>4706</v>
      </c>
      <c r="O18" s="40">
        <v>12574</v>
      </c>
      <c r="P18" s="40">
        <v>0</v>
      </c>
      <c r="Q18" s="22">
        <f>1299+3309+2530</f>
        <v>7138</v>
      </c>
      <c r="R18" s="35">
        <v>69</v>
      </c>
      <c r="S18" s="35">
        <v>31</v>
      </c>
      <c r="T18" s="20">
        <v>58</v>
      </c>
      <c r="U18" s="20">
        <v>253</v>
      </c>
      <c r="V18" s="20">
        <v>70</v>
      </c>
      <c r="W18" s="20">
        <v>77</v>
      </c>
      <c r="X18" s="20">
        <v>0</v>
      </c>
      <c r="Y18" s="20"/>
      <c r="Z18" s="24"/>
    </row>
    <row r="19" spans="1:28" ht="15">
      <c r="A19" s="21">
        <v>43725</v>
      </c>
      <c r="B19" s="43">
        <v>43.42</v>
      </c>
      <c r="C19" s="22">
        <v>3.05</v>
      </c>
      <c r="D19" s="34">
        <v>4.87</v>
      </c>
      <c r="E19" s="34">
        <v>4.9000000000000004</v>
      </c>
      <c r="F19" s="34">
        <v>1.6</v>
      </c>
      <c r="G19" s="23">
        <v>1.98</v>
      </c>
      <c r="H19" s="34">
        <v>2.25</v>
      </c>
      <c r="I19" s="34">
        <v>1.41</v>
      </c>
      <c r="J19" s="34">
        <v>1.71</v>
      </c>
      <c r="K19" s="34">
        <v>3.6</v>
      </c>
      <c r="L19" s="40">
        <v>3612</v>
      </c>
      <c r="M19" s="40">
        <v>9727</v>
      </c>
      <c r="N19" s="40">
        <v>13228</v>
      </c>
      <c r="O19" s="40">
        <v>0</v>
      </c>
      <c r="P19" s="40">
        <v>0</v>
      </c>
      <c r="Q19" s="22">
        <f>3585+2717+1007</f>
        <v>7309</v>
      </c>
      <c r="R19" s="35">
        <v>71</v>
      </c>
      <c r="S19" s="35">
        <v>81</v>
      </c>
      <c r="T19" s="20">
        <v>62</v>
      </c>
      <c r="U19" s="20">
        <v>243</v>
      </c>
      <c r="V19" s="20">
        <v>72</v>
      </c>
      <c r="W19" s="20">
        <v>193</v>
      </c>
      <c r="X19" s="20">
        <v>0</v>
      </c>
      <c r="Y19" s="20"/>
      <c r="Z19" s="24"/>
    </row>
    <row r="20" spans="1:28" ht="15">
      <c r="A20" s="21">
        <v>43726</v>
      </c>
      <c r="B20" s="43">
        <v>44.74</v>
      </c>
      <c r="C20" s="22">
        <v>2.96</v>
      </c>
      <c r="D20" s="34">
        <v>4.6900000000000004</v>
      </c>
      <c r="E20" s="34">
        <v>4.6100000000000003</v>
      </c>
      <c r="F20" s="34">
        <v>1.53</v>
      </c>
      <c r="G20" s="23">
        <v>1.68</v>
      </c>
      <c r="H20" s="34">
        <v>2.14</v>
      </c>
      <c r="I20" s="34">
        <v>1.43</v>
      </c>
      <c r="J20" s="34">
        <v>1.71</v>
      </c>
      <c r="K20" s="34">
        <v>3.45</v>
      </c>
      <c r="L20" s="40">
        <v>4531</v>
      </c>
      <c r="M20" s="40">
        <v>7189</v>
      </c>
      <c r="N20" s="40">
        <v>8691</v>
      </c>
      <c r="O20" s="40">
        <v>2989</v>
      </c>
      <c r="P20" s="40" t="s">
        <v>61</v>
      </c>
      <c r="Q20" s="22">
        <f>786+2377+1625+1203</f>
        <v>5991</v>
      </c>
      <c r="R20" s="35">
        <v>63</v>
      </c>
      <c r="S20" s="35">
        <v>11</v>
      </c>
      <c r="T20" s="20">
        <v>72</v>
      </c>
      <c r="U20" s="20">
        <v>361</v>
      </c>
      <c r="V20" s="20">
        <v>126</v>
      </c>
      <c r="W20" s="20">
        <v>110</v>
      </c>
      <c r="X20" s="20">
        <v>0</v>
      </c>
      <c r="Y20" s="20"/>
      <c r="Z20" s="24"/>
    </row>
    <row r="21" spans="1:28" ht="15">
      <c r="A21" s="21">
        <v>43727</v>
      </c>
      <c r="B21" s="43">
        <v>55.26</v>
      </c>
      <c r="C21" s="22">
        <v>3.05</v>
      </c>
      <c r="D21" s="34">
        <v>5.13</v>
      </c>
      <c r="E21" s="34">
        <v>5.0599999999999996</v>
      </c>
      <c r="F21" s="34">
        <v>1.31</v>
      </c>
      <c r="G21" s="23">
        <v>1.7</v>
      </c>
      <c r="H21" s="34">
        <v>2.31</v>
      </c>
      <c r="I21" s="34">
        <v>1.48</v>
      </c>
      <c r="J21" s="34">
        <v>1.66</v>
      </c>
      <c r="K21" s="34">
        <v>3.58</v>
      </c>
      <c r="L21" s="40">
        <v>3285</v>
      </c>
      <c r="M21" s="40">
        <v>0</v>
      </c>
      <c r="N21" s="40">
        <v>12667</v>
      </c>
      <c r="O21" s="40">
        <v>9387</v>
      </c>
      <c r="P21" s="40">
        <v>0</v>
      </c>
      <c r="Q21" s="22">
        <f>3455+3285+2470</f>
        <v>9210</v>
      </c>
      <c r="R21" s="35">
        <v>69</v>
      </c>
      <c r="S21" s="35">
        <v>38</v>
      </c>
      <c r="T21" s="20">
        <v>89</v>
      </c>
      <c r="U21" s="20">
        <v>270</v>
      </c>
      <c r="V21" s="20">
        <v>86</v>
      </c>
      <c r="W21" s="20">
        <v>194</v>
      </c>
      <c r="X21" s="20">
        <v>0</v>
      </c>
      <c r="Y21" s="20"/>
      <c r="Z21" s="24"/>
      <c r="AA21" s="24"/>
      <c r="AB21" s="25"/>
    </row>
    <row r="22" spans="1:28" ht="15">
      <c r="A22" s="21">
        <v>43728</v>
      </c>
      <c r="B22" s="43">
        <v>53.95</v>
      </c>
      <c r="C22" s="22">
        <v>3.33</v>
      </c>
      <c r="D22" s="34">
        <v>5.7</v>
      </c>
      <c r="E22" s="34">
        <v>5.24</v>
      </c>
      <c r="F22" s="34">
        <v>1.42</v>
      </c>
      <c r="G22" s="23">
        <v>1.8</v>
      </c>
      <c r="H22" s="34">
        <v>2.36</v>
      </c>
      <c r="I22" s="34">
        <v>1.5</v>
      </c>
      <c r="J22" s="34">
        <v>1.7</v>
      </c>
      <c r="K22" s="34">
        <v>3.71</v>
      </c>
      <c r="L22" s="40">
        <v>10222</v>
      </c>
      <c r="M22" s="40">
        <v>468</v>
      </c>
      <c r="N22" s="40">
        <v>6563</v>
      </c>
      <c r="O22" s="40">
        <v>9562</v>
      </c>
      <c r="P22" s="40">
        <v>0</v>
      </c>
      <c r="Q22" s="22">
        <f>168+1782+2718+2516</f>
        <v>7184</v>
      </c>
      <c r="R22" s="35">
        <v>74</v>
      </c>
      <c r="S22" s="35">
        <v>31</v>
      </c>
      <c r="T22" s="20">
        <v>83</v>
      </c>
      <c r="U22" s="20">
        <v>263</v>
      </c>
      <c r="V22" s="20">
        <v>78</v>
      </c>
      <c r="W22" s="20">
        <v>153</v>
      </c>
      <c r="X22" s="20">
        <v>0</v>
      </c>
      <c r="Y22" s="20"/>
      <c r="Z22" s="24"/>
      <c r="AA22" s="24"/>
      <c r="AB22" s="25"/>
    </row>
    <row r="23" spans="1:28" ht="15">
      <c r="A23" s="21">
        <v>43729</v>
      </c>
      <c r="B23" s="43">
        <v>57.89</v>
      </c>
      <c r="C23" s="22">
        <v>3.05</v>
      </c>
      <c r="D23" s="34">
        <v>5.29</v>
      </c>
      <c r="E23" s="34">
        <v>4.99</v>
      </c>
      <c r="F23" s="34">
        <v>1.35</v>
      </c>
      <c r="G23" s="23">
        <v>1.7</v>
      </c>
      <c r="H23" s="34">
        <v>2.1800000000000002</v>
      </c>
      <c r="I23" s="34">
        <v>1.51</v>
      </c>
      <c r="J23" s="34">
        <v>1.6</v>
      </c>
      <c r="K23" s="34">
        <v>3.56</v>
      </c>
      <c r="L23" s="40">
        <v>3033</v>
      </c>
      <c r="M23" s="40">
        <v>0</v>
      </c>
      <c r="N23" s="40">
        <v>9155</v>
      </c>
      <c r="O23" s="40">
        <v>12104</v>
      </c>
      <c r="P23" s="40">
        <v>0</v>
      </c>
      <c r="Q23" s="22">
        <f>2493+826+3185</f>
        <v>6504</v>
      </c>
      <c r="R23" s="35">
        <v>70</v>
      </c>
      <c r="S23" s="35">
        <v>71</v>
      </c>
      <c r="T23" s="20">
        <v>81</v>
      </c>
      <c r="U23" s="20">
        <v>284</v>
      </c>
      <c r="V23" s="20">
        <v>98</v>
      </c>
      <c r="W23" s="20">
        <v>111</v>
      </c>
      <c r="X23" s="20">
        <v>0</v>
      </c>
      <c r="Y23" s="20"/>
      <c r="Z23" s="24"/>
      <c r="AA23" s="24"/>
      <c r="AB23" s="25"/>
    </row>
    <row r="24" spans="1:28" ht="15">
      <c r="A24" s="21">
        <v>43730</v>
      </c>
      <c r="B24" s="23">
        <v>50</v>
      </c>
      <c r="C24" s="22">
        <v>3.21</v>
      </c>
      <c r="D24" s="34">
        <v>5.63</v>
      </c>
      <c r="E24" s="34">
        <v>5.03</v>
      </c>
      <c r="F24" s="34">
        <v>1.36</v>
      </c>
      <c r="G24" s="23">
        <v>1.68</v>
      </c>
      <c r="H24" s="34">
        <v>2.33</v>
      </c>
      <c r="I24" s="34">
        <v>1.29</v>
      </c>
      <c r="J24" s="34">
        <v>1.86</v>
      </c>
      <c r="K24" s="34">
        <v>3.37</v>
      </c>
      <c r="L24" s="40">
        <v>8720</v>
      </c>
      <c r="M24" s="40">
        <v>3611</v>
      </c>
      <c r="N24" s="40">
        <v>4675</v>
      </c>
      <c r="O24" s="40">
        <v>8141</v>
      </c>
      <c r="P24" s="40">
        <v>0</v>
      </c>
      <c r="Q24" s="22">
        <f>2298+2142+1282+987</f>
        <v>6709</v>
      </c>
      <c r="R24" s="35">
        <v>76</v>
      </c>
      <c r="S24" s="35">
        <v>37</v>
      </c>
      <c r="T24" s="20">
        <v>79</v>
      </c>
      <c r="U24" s="20">
        <v>243</v>
      </c>
      <c r="V24" s="20">
        <v>176</v>
      </c>
      <c r="W24" s="20">
        <v>86</v>
      </c>
      <c r="X24" s="20">
        <v>0</v>
      </c>
      <c r="Y24" s="20"/>
      <c r="Z24" s="24"/>
      <c r="AA24" s="24"/>
      <c r="AB24" s="25"/>
    </row>
    <row r="25" spans="1:28" ht="15">
      <c r="A25" s="21">
        <v>43731</v>
      </c>
      <c r="B25" s="43">
        <v>44.74</v>
      </c>
      <c r="C25" s="22">
        <v>3.09</v>
      </c>
      <c r="D25" s="34">
        <v>5.22</v>
      </c>
      <c r="E25" s="34">
        <v>5.04</v>
      </c>
      <c r="F25" s="34">
        <v>1.1000000000000001</v>
      </c>
      <c r="G25" s="23">
        <v>2.09</v>
      </c>
      <c r="H25" s="34">
        <v>2.2799999999999998</v>
      </c>
      <c r="I25" s="34">
        <v>1.41</v>
      </c>
      <c r="J25" s="34">
        <v>1.72</v>
      </c>
      <c r="K25" s="34">
        <v>3.64</v>
      </c>
      <c r="L25" s="40">
        <v>0</v>
      </c>
      <c r="M25" s="40">
        <v>8742</v>
      </c>
      <c r="N25" s="40">
        <v>5886</v>
      </c>
      <c r="O25" s="40">
        <v>12744</v>
      </c>
      <c r="P25" s="40">
        <v>0</v>
      </c>
      <c r="Q25" s="22">
        <f>2416+3353.7+679</f>
        <v>6448.7</v>
      </c>
      <c r="R25" s="35">
        <v>72</v>
      </c>
      <c r="S25" s="35">
        <v>39</v>
      </c>
      <c r="T25" s="20">
        <v>110</v>
      </c>
      <c r="U25" s="20">
        <v>239</v>
      </c>
      <c r="V25" s="20">
        <v>122</v>
      </c>
      <c r="W25" s="20">
        <v>148</v>
      </c>
      <c r="X25" s="20">
        <v>0</v>
      </c>
      <c r="Y25" s="48"/>
      <c r="Z25" s="24"/>
      <c r="AA25" s="24"/>
      <c r="AB25" s="25"/>
    </row>
    <row r="26" spans="1:28" ht="15">
      <c r="A26" s="21">
        <v>43732</v>
      </c>
      <c r="B26" s="43">
        <v>44.74</v>
      </c>
      <c r="C26" s="22">
        <v>3.19</v>
      </c>
      <c r="D26" s="34">
        <v>5.01</v>
      </c>
      <c r="E26" s="34">
        <v>5.08</v>
      </c>
      <c r="F26" s="34">
        <v>0</v>
      </c>
      <c r="G26" s="23">
        <v>1.02</v>
      </c>
      <c r="H26" s="34">
        <v>2.4900000000000002</v>
      </c>
      <c r="I26" s="34">
        <v>1.44</v>
      </c>
      <c r="J26" s="34">
        <v>1.66</v>
      </c>
      <c r="K26" s="34">
        <v>3.73</v>
      </c>
      <c r="L26" s="40">
        <v>11313</v>
      </c>
      <c r="M26" s="40">
        <v>12562</v>
      </c>
      <c r="N26" s="40">
        <v>1723</v>
      </c>
      <c r="O26" s="40">
        <v>0</v>
      </c>
      <c r="P26" s="40">
        <v>0</v>
      </c>
      <c r="Q26" s="22">
        <f>3150+467+3030</f>
        <v>6647</v>
      </c>
      <c r="R26" s="35">
        <v>84</v>
      </c>
      <c r="S26" s="35">
        <v>41</v>
      </c>
      <c r="T26" s="20">
        <v>86</v>
      </c>
      <c r="U26" s="20">
        <v>247</v>
      </c>
      <c r="V26" s="20">
        <v>89</v>
      </c>
      <c r="W26" s="20">
        <v>149</v>
      </c>
      <c r="X26" s="20">
        <v>0</v>
      </c>
      <c r="Y26" s="49"/>
      <c r="Z26" s="24"/>
      <c r="AA26" s="24"/>
      <c r="AB26" s="25"/>
    </row>
    <row r="27" spans="1:28" ht="15">
      <c r="A27" s="21">
        <v>43733</v>
      </c>
      <c r="B27" s="43">
        <v>44.74</v>
      </c>
      <c r="C27" s="22">
        <v>3.17</v>
      </c>
      <c r="D27" s="34">
        <v>5.0199999999999996</v>
      </c>
      <c r="E27" s="34">
        <v>5.12</v>
      </c>
      <c r="F27" s="34">
        <v>0</v>
      </c>
      <c r="G27" s="23">
        <v>1.0900000000000001</v>
      </c>
      <c r="H27" s="34">
        <v>2.11</v>
      </c>
      <c r="I27" s="34">
        <v>1.53</v>
      </c>
      <c r="J27" s="34">
        <v>1.63</v>
      </c>
      <c r="K27" s="34">
        <v>3.77</v>
      </c>
      <c r="L27" s="40">
        <v>0</v>
      </c>
      <c r="M27" s="40">
        <v>2311</v>
      </c>
      <c r="N27" s="40">
        <v>12074</v>
      </c>
      <c r="O27" s="40">
        <v>10508</v>
      </c>
      <c r="P27" s="40">
        <v>0</v>
      </c>
      <c r="Q27" s="22">
        <f>3325+2765+667</f>
        <v>6757</v>
      </c>
      <c r="R27" s="35">
        <v>74</v>
      </c>
      <c r="S27" s="35">
        <v>33</v>
      </c>
      <c r="T27" s="20">
        <v>63</v>
      </c>
      <c r="U27" s="20">
        <v>280</v>
      </c>
      <c r="V27" s="20">
        <v>104</v>
      </c>
      <c r="W27" s="20">
        <v>149</v>
      </c>
      <c r="X27" s="20">
        <v>0</v>
      </c>
      <c r="Y27" s="20"/>
      <c r="Z27" s="24"/>
      <c r="AA27" s="24"/>
      <c r="AB27" s="25"/>
    </row>
    <row r="28" spans="1:28" ht="15">
      <c r="A28" s="21">
        <v>43734</v>
      </c>
      <c r="B28" s="43">
        <v>43.42</v>
      </c>
      <c r="C28" s="22">
        <v>3.35</v>
      </c>
      <c r="D28" s="34">
        <v>5.23</v>
      </c>
      <c r="E28" s="34">
        <v>5.33</v>
      </c>
      <c r="F28" s="34">
        <v>0</v>
      </c>
      <c r="G28" s="23">
        <v>1.1200000000000001</v>
      </c>
      <c r="H28" s="34">
        <v>2.0699999999999998</v>
      </c>
      <c r="I28" s="34">
        <v>1.51</v>
      </c>
      <c r="J28" s="34">
        <v>1.73</v>
      </c>
      <c r="K28" s="34">
        <v>3.63</v>
      </c>
      <c r="L28" s="40">
        <v>7200</v>
      </c>
      <c r="M28" s="40">
        <v>7327</v>
      </c>
      <c r="N28" s="40">
        <v>5561</v>
      </c>
      <c r="O28" s="40">
        <v>4257</v>
      </c>
      <c r="P28" s="40">
        <v>0</v>
      </c>
      <c r="Q28" s="22">
        <f>2010+1120+1532+2063</f>
        <v>6725</v>
      </c>
      <c r="R28" s="35">
        <v>74</v>
      </c>
      <c r="S28" s="35">
        <v>41</v>
      </c>
      <c r="T28" s="20">
        <v>54</v>
      </c>
      <c r="U28" s="20">
        <v>233</v>
      </c>
      <c r="V28" s="20">
        <v>64</v>
      </c>
      <c r="W28" s="20">
        <v>146</v>
      </c>
      <c r="X28" s="20">
        <v>0</v>
      </c>
      <c r="Y28" s="20"/>
      <c r="Z28" s="24"/>
      <c r="AA28" s="24"/>
      <c r="AB28" s="25"/>
    </row>
    <row r="29" spans="1:28" ht="15">
      <c r="A29" s="21">
        <v>43735</v>
      </c>
      <c r="B29" s="43">
        <v>45.45</v>
      </c>
      <c r="C29" s="22">
        <v>3.16</v>
      </c>
      <c r="D29" s="34">
        <v>4.66</v>
      </c>
      <c r="E29" s="34">
        <v>4.74</v>
      </c>
      <c r="F29" s="34">
        <v>0</v>
      </c>
      <c r="G29" s="23">
        <v>1.76</v>
      </c>
      <c r="H29" s="34">
        <v>1.97</v>
      </c>
      <c r="I29" s="34">
        <v>1.43</v>
      </c>
      <c r="J29" s="34">
        <v>1.6</v>
      </c>
      <c r="K29" s="34">
        <v>3.38</v>
      </c>
      <c r="L29" s="40">
        <v>2791</v>
      </c>
      <c r="M29" s="40">
        <v>0</v>
      </c>
      <c r="N29" s="40">
        <v>6503</v>
      </c>
      <c r="O29" s="40">
        <v>12388</v>
      </c>
      <c r="P29" s="40">
        <v>0</v>
      </c>
      <c r="Q29" s="22">
        <f>3260+742+1610</f>
        <v>5612</v>
      </c>
      <c r="R29" s="35">
        <v>78</v>
      </c>
      <c r="S29" s="35">
        <v>34</v>
      </c>
      <c r="T29" s="20">
        <v>52</v>
      </c>
      <c r="U29" s="20">
        <v>259</v>
      </c>
      <c r="V29" s="20">
        <v>72</v>
      </c>
      <c r="W29" s="20">
        <v>146</v>
      </c>
      <c r="X29" s="20">
        <v>0</v>
      </c>
      <c r="Y29" s="47"/>
      <c r="Z29" s="24"/>
      <c r="AA29" s="24"/>
      <c r="AB29" s="25"/>
    </row>
    <row r="30" spans="1:28" ht="15">
      <c r="A30" s="21">
        <v>43736</v>
      </c>
      <c r="B30" s="43">
        <v>45.45</v>
      </c>
      <c r="C30" s="22">
        <v>3.46</v>
      </c>
      <c r="D30" s="34">
        <v>5.32</v>
      </c>
      <c r="E30" s="34">
        <v>4.99</v>
      </c>
      <c r="F30" s="34">
        <v>0</v>
      </c>
      <c r="G30" s="23">
        <v>1.84</v>
      </c>
      <c r="H30" s="34">
        <v>2.11</v>
      </c>
      <c r="I30" s="34">
        <v>1.24</v>
      </c>
      <c r="J30" s="34">
        <v>1.71</v>
      </c>
      <c r="K30" s="34">
        <v>3.21</v>
      </c>
      <c r="L30" s="40">
        <v>0</v>
      </c>
      <c r="M30" s="40">
        <v>12579</v>
      </c>
      <c r="N30" s="40">
        <v>10107</v>
      </c>
      <c r="O30" s="40">
        <v>4484</v>
      </c>
      <c r="P30" s="40">
        <v>0</v>
      </c>
      <c r="Q30" s="22">
        <f>1180+2771+3513</f>
        <v>7464</v>
      </c>
      <c r="R30" s="35">
        <v>74</v>
      </c>
      <c r="S30" s="35">
        <v>27</v>
      </c>
      <c r="T30" s="20">
        <v>60</v>
      </c>
      <c r="U30" s="20">
        <v>240</v>
      </c>
      <c r="V30" s="20">
        <v>111</v>
      </c>
      <c r="W30" s="20">
        <v>154</v>
      </c>
      <c r="X30" s="20">
        <v>0</v>
      </c>
      <c r="Y30" s="49"/>
      <c r="Z30" s="24"/>
      <c r="AA30" s="24"/>
      <c r="AB30" s="25"/>
    </row>
    <row r="31" spans="1:28" ht="15">
      <c r="A31" s="21">
        <v>43737</v>
      </c>
      <c r="B31" s="43">
        <v>34.61</v>
      </c>
      <c r="C31" s="22">
        <v>3.14</v>
      </c>
      <c r="D31" s="34">
        <v>5.01</v>
      </c>
      <c r="E31" s="34">
        <v>4.9400000000000004</v>
      </c>
      <c r="F31" s="34">
        <v>0</v>
      </c>
      <c r="G31" s="23">
        <v>1.71</v>
      </c>
      <c r="H31" s="34">
        <v>2.02</v>
      </c>
      <c r="I31" s="34">
        <v>1.35</v>
      </c>
      <c r="J31" s="34">
        <v>1.81</v>
      </c>
      <c r="K31" s="34">
        <v>3.41</v>
      </c>
      <c r="L31" s="40">
        <v>5084</v>
      </c>
      <c r="M31" s="40">
        <v>5688</v>
      </c>
      <c r="N31" s="40">
        <v>7931</v>
      </c>
      <c r="O31" s="40">
        <v>7486</v>
      </c>
      <c r="P31" s="40">
        <v>0</v>
      </c>
      <c r="Q31" s="22">
        <f>2227+1396+1582+1970</f>
        <v>7175</v>
      </c>
      <c r="R31" s="50">
        <v>62</v>
      </c>
      <c r="S31" s="50">
        <v>42</v>
      </c>
      <c r="T31" s="50">
        <v>42</v>
      </c>
      <c r="U31" s="50">
        <v>243</v>
      </c>
      <c r="V31" s="50">
        <v>84</v>
      </c>
      <c r="W31" s="50">
        <v>140</v>
      </c>
      <c r="X31" s="50">
        <v>0</v>
      </c>
      <c r="Y31" s="20"/>
      <c r="Z31" s="24"/>
      <c r="AA31" s="24"/>
      <c r="AB31" s="25"/>
    </row>
    <row r="32" spans="1:28" ht="15">
      <c r="A32" s="21">
        <v>43738</v>
      </c>
      <c r="B32" s="43">
        <v>59.02</v>
      </c>
      <c r="C32" s="22">
        <v>3.25</v>
      </c>
      <c r="D32" s="34">
        <v>5.63</v>
      </c>
      <c r="E32" s="34">
        <v>5.19</v>
      </c>
      <c r="F32" s="42">
        <v>0</v>
      </c>
      <c r="G32" s="23">
        <v>1.79</v>
      </c>
      <c r="H32" s="34">
        <v>2.2200000000000002</v>
      </c>
      <c r="I32" s="34">
        <v>1.28</v>
      </c>
      <c r="J32" s="34">
        <v>1.84</v>
      </c>
      <c r="K32" s="34">
        <v>3.35</v>
      </c>
      <c r="L32" s="40">
        <v>0</v>
      </c>
      <c r="M32" s="40">
        <v>12139</v>
      </c>
      <c r="N32" s="40">
        <v>2013</v>
      </c>
      <c r="O32" s="40">
        <v>12873</v>
      </c>
      <c r="P32" s="40">
        <v>0</v>
      </c>
      <c r="Q32" s="22">
        <f>3387+528+3660</f>
        <v>7575</v>
      </c>
      <c r="R32" s="50">
        <v>72</v>
      </c>
      <c r="S32" s="50">
        <v>60</v>
      </c>
      <c r="T32" s="50">
        <v>56</v>
      </c>
      <c r="U32" s="50">
        <v>294</v>
      </c>
      <c r="V32" s="50">
        <v>84</v>
      </c>
      <c r="W32" s="50">
        <v>158</v>
      </c>
      <c r="X32" s="50">
        <v>0</v>
      </c>
      <c r="Y32" s="48"/>
      <c r="Z32" s="24"/>
      <c r="AA32" s="24"/>
      <c r="AB32" s="25"/>
    </row>
    <row r="33" spans="3:3">
      <c r="C33" s="25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>Joe Khoury</cp:lastModifiedBy>
  <cp:revision/>
  <dcterms:created xsi:type="dcterms:W3CDTF">2019-08-14T08:16:24Z</dcterms:created>
  <dcterms:modified xsi:type="dcterms:W3CDTF">2020-08-04T08:01:58Z</dcterms:modified>
  <cp:category/>
  <cp:contentStatus/>
</cp:coreProperties>
</file>