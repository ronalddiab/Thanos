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G154" i="1" l="1"/>
  <c r="G155" i="1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70" i="4" l="1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K154" i="4" s="1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3" i="4" l="1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<sst xmlns="http://schemas.openxmlformats.org/spreadsheetml/2006/main" count="606" uniqueCount="76">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</sst>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30" workbookViewId="0">
      <selection activeCell="L152" sqref="L15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>
        <f>'Gas Water'!M153</f>
        <v>1923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4">
        <v>0.67</v>
      </c>
      <c r="G152" s="4">
        <f>'Gas Water'!M154</f>
        <v>2072</v>
      </c>
      <c r="H152" s="154">
        <v>1.77</v>
      </c>
      <c r="I152" s="2">
        <f>'Gas Water'!L154</f>
        <v>220</v>
      </c>
      <c r="J152" s="154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>
        <v>0.67</v>
      </c>
      <c r="G153" s="4" t="str">
        <f>'Gas Water'!M155</f>
        <v/>
      </c>
      <c r="H153" s="154">
        <v>1.77</v>
      </c>
      <c r="I153" s="2" t="str">
        <f>'Gas Water'!L155</f>
        <v/>
      </c>
      <c r="J153" s="154">
        <v>12.93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>
        <v>0.67</v>
      </c>
      <c r="G154" s="4" t="str">
        <f>'Gas Water'!M156</f>
        <v/>
      </c>
      <c r="H154" s="154">
        <v>1.77</v>
      </c>
      <c r="I154" s="2" t="str">
        <f>'Gas Water'!L156</f>
        <v/>
      </c>
      <c r="J154" s="154">
        <v>12.93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>
        <v>0.67</v>
      </c>
      <c r="G155" s="4" t="str">
        <f>'Gas Water'!M157</f>
        <v/>
      </c>
      <c r="H155" s="154">
        <v>1.77</v>
      </c>
      <c r="I155" s="2" t="str">
        <f>'Gas Water'!L157</f>
        <v/>
      </c>
      <c r="J155" s="154">
        <v>12.93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>
        <v>0.67</v>
      </c>
      <c r="G156" s="4" t="str">
        <f>'Gas Water'!M158</f>
        <v/>
      </c>
      <c r="H156" s="154">
        <v>1.77</v>
      </c>
      <c r="I156" s="2" t="str">
        <f>'Gas Water'!L158</f>
        <v/>
      </c>
      <c r="J156" s="154">
        <v>12.93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>
        <v>0.67</v>
      </c>
      <c r="G157" s="4" t="str">
        <f>'Gas Water'!M159</f>
        <v/>
      </c>
      <c r="H157" s="154">
        <v>1.77</v>
      </c>
      <c r="I157" s="2" t="str">
        <f>'Gas Water'!L159</f>
        <v/>
      </c>
      <c r="J157" s="154">
        <v>12.93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>
        <v>0.67</v>
      </c>
      <c r="G158" s="4" t="str">
        <f>'Gas Water'!M160</f>
        <v/>
      </c>
      <c r="H158" s="154">
        <v>1.77</v>
      </c>
      <c r="I158" s="2" t="str">
        <f>'Gas Water'!L160</f>
        <v/>
      </c>
      <c r="J158" s="154">
        <v>12.93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>
        <v>0.67</v>
      </c>
      <c r="G159" s="4" t="str">
        <f>'Gas Water'!M161</f>
        <v/>
      </c>
      <c r="H159" s="154">
        <v>1.77</v>
      </c>
      <c r="I159" s="2" t="str">
        <f>'Gas Water'!L161</f>
        <v/>
      </c>
      <c r="J159" s="154">
        <v>12.93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>
        <v>0.67</v>
      </c>
      <c r="G160" s="4" t="str">
        <f>'Gas Water'!M162</f>
        <v/>
      </c>
      <c r="H160" s="154">
        <v>1.77</v>
      </c>
      <c r="I160" s="2" t="str">
        <f>'Gas Water'!L162</f>
        <v/>
      </c>
      <c r="J160" s="154">
        <v>12.93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>
        <v>0.67</v>
      </c>
      <c r="G161" s="4" t="str">
        <f>'Gas Water'!M163</f>
        <v/>
      </c>
      <c r="H161" s="154">
        <v>1.77</v>
      </c>
      <c r="I161" s="2" t="str">
        <f>'Gas Water'!L163</f>
        <v/>
      </c>
      <c r="J161" s="154">
        <v>12.93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>
        <v>0.67</v>
      </c>
      <c r="G162" s="4" t="str">
        <f>'Gas Water'!M164</f>
        <v/>
      </c>
      <c r="H162" s="154">
        <v>1.77</v>
      </c>
      <c r="I162" s="2" t="str">
        <f>'Gas Water'!L164</f>
        <v/>
      </c>
      <c r="J162" s="154">
        <v>12.93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>
        <v>0.67</v>
      </c>
      <c r="G163" s="4" t="str">
        <f>'Gas Water'!M165</f>
        <v/>
      </c>
      <c r="H163" s="154">
        <v>1.77</v>
      </c>
      <c r="I163" s="2" t="str">
        <f>'Gas Water'!L165</f>
        <v/>
      </c>
      <c r="J163" s="154">
        <v>12.93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>
        <v>0.67</v>
      </c>
      <c r="G164" s="4" t="str">
        <f>'Gas Water'!M166</f>
        <v/>
      </c>
      <c r="H164" s="154">
        <v>1.77</v>
      </c>
      <c r="I164" s="2" t="str">
        <f>'Gas Water'!L166</f>
        <v/>
      </c>
      <c r="J164" s="154">
        <v>12.93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>
        <v>0.67</v>
      </c>
      <c r="G165" s="4" t="str">
        <f>'Gas Water'!M167</f>
        <v/>
      </c>
      <c r="H165" s="154">
        <v>1.77</v>
      </c>
      <c r="I165" s="2" t="str">
        <f>'Gas Water'!L167</f>
        <v/>
      </c>
      <c r="J165" s="154">
        <v>12.93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>
        <v>0.67</v>
      </c>
      <c r="G166" s="4" t="str">
        <f>'Gas Water'!M168</f>
        <v/>
      </c>
      <c r="H166" s="154">
        <v>1.77</v>
      </c>
      <c r="I166" s="2" t="str">
        <f>'Gas Water'!L168</f>
        <v/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0.67</v>
      </c>
      <c r="G167" s="4" t="str">
        <f>'Gas Water'!M169</f>
        <v/>
      </c>
      <c r="H167" s="154">
        <v>1.77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0.67</v>
      </c>
      <c r="G168" s="4" t="str">
        <f>'Gas Water'!M170</f>
        <v/>
      </c>
      <c r="H168" s="154">
        <v>1.77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0.67</v>
      </c>
      <c r="G169" s="4" t="str">
        <f>'Gas Water'!M171</f>
        <v/>
      </c>
      <c r="H169" s="154">
        <v>1.77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0.67</v>
      </c>
      <c r="G170" s="4" t="str">
        <f>'Gas Water'!M172</f>
        <v/>
      </c>
      <c r="H170" s="154">
        <v>1.77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0.67</v>
      </c>
      <c r="G171" s="4" t="str">
        <f>'Gas Water'!M173</f>
        <v/>
      </c>
      <c r="H171" s="154">
        <v>1.77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0.67</v>
      </c>
      <c r="G172" s="4" t="str">
        <f>'Gas Water'!M174</f>
        <v/>
      </c>
      <c r="H172" s="154">
        <v>1.77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0.67</v>
      </c>
      <c r="G173" s="4" t="str">
        <f>'Gas Water'!M175</f>
        <v/>
      </c>
      <c r="H173" s="154">
        <v>1.77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18" workbookViewId="0">
      <selection activeCell="G156" sqref="G156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4482</v>
      </c>
      <c r="O148" s="32">
        <f>SUM(M12:M155)</f>
        <v>394577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149.4</v>
      </c>
      <c r="O151" s="32">
        <f>AVERAGE(M125:M155)</f>
        <v>1654.4666666666667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ref="L155:L196" si="14">IF(G155="","",+(G154-G155))</f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370811</v>
      </c>
      <c r="J371" s="40">
        <f t="shared" si="29"/>
        <v>21093</v>
      </c>
      <c r="K371" s="40">
        <f t="shared" si="29"/>
        <v>19726</v>
      </c>
      <c r="L371" s="40">
        <f t="shared" si="29"/>
        <v>20648</v>
      </c>
      <c r="M371" s="40">
        <f t="shared" si="29"/>
        <v>411630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30" workbookViewId="0">
      <selection activeCell="F154" sqref="F154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4.2244994757601476E-2</v>
      </c>
      <c r="Q145" s="71">
        <f>IF(L124="",0,+SUM(L124:L154)/SUM(I124:I154))</f>
        <v>4.2244994757601476E-2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>
        <v>0.14199999999999999</v>
      </c>
      <c r="E153" s="58">
        <v>390.52699999999999</v>
      </c>
      <c r="F153" s="59">
        <v>15.669</v>
      </c>
      <c r="G153" s="60"/>
      <c r="H153" s="60">
        <v>4140</v>
      </c>
      <c r="I153" s="60">
        <f t="shared" si="22"/>
        <v>24856.559999999845</v>
      </c>
      <c r="J153" s="60">
        <f t="shared" si="22"/>
        <v>877.67999999999893</v>
      </c>
      <c r="K153" s="61">
        <f t="shared" si="19"/>
        <v>3.53097934710195E-2</v>
      </c>
      <c r="L153" s="60">
        <f t="shared" si="20"/>
        <v>877.67999999999893</v>
      </c>
      <c r="M153" s="61">
        <f t="shared" si="21"/>
        <v>3.53097934710195E-2</v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3205398.6599999955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Yildizli</cp:lastModifiedBy>
  <cp:revision/>
  <dcterms:created xsi:type="dcterms:W3CDTF">2021-02-26T04:38:42Z</dcterms:created>
  <dcterms:modified xsi:type="dcterms:W3CDTF">2021-06-01T09:47:09Z</dcterms:modified>
  <cp:category/>
  <cp:contentStatus/>
</cp:coreProperties>
</file>