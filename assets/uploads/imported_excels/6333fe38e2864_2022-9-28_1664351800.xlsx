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99" documentId="13_ncr:1_{76C55D63-F869-4AF5-AAA3-3D809A91432B}" xr6:coauthVersionLast="47" xr6:coauthVersionMax="47" xr10:uidLastSave="{FE0322C0-2EF2-47FC-83A3-27C7DC1C1DC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33" i="27"/>
  <c r="L34" i="27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<sst xmlns="http://schemas.openxmlformats.org/spreadsheetml/2006/main" count="71" uniqueCount="33">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</sst>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5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21510.000000002947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22637.49999999618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1646</v>
      </c>
      <c r="J15" s="83">
        <v>0.21186441</v>
      </c>
      <c r="K15" s="11">
        <f>IF('Water, Gas, Diesel'!F19&lt;0,0,'Water, Gas, Diesel'!F19)</f>
        <v>342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24212.499999998727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1547</v>
      </c>
      <c r="J16" s="83">
        <v>0.21186441</v>
      </c>
      <c r="K16" s="11">
        <f>IF('Water, Gas, Diesel'!F20&lt;0,0,'Water, Gas, Diesel'!F20)</f>
        <v>233</v>
      </c>
      <c r="L16" s="83">
        <v>1.6949000000000001</v>
      </c>
      <c r="M16" s="11">
        <f>Electricity!H22</f>
        <v>103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21432.5000000008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1433</v>
      </c>
      <c r="J17" s="83">
        <v>0.21186441</v>
      </c>
      <c r="K17" s="11">
        <f>IF('Water, Gas, Diesel'!F21&lt;0,0,'Water, Gas, Diesel'!F21)</f>
        <v>261</v>
      </c>
      <c r="L17" s="83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23222.499999997126</v>
      </c>
      <c r="F18" s="83">
        <v>9.3200000000000005E-2</v>
      </c>
      <c r="G18" s="11">
        <f>IF('Water, Gas, Diesel'!K22&lt;0,0,'Water, Gas, Diesel'!K22)</f>
        <v>220</v>
      </c>
      <c r="H18" s="83">
        <v>0.7</v>
      </c>
      <c r="I18" s="11">
        <f>IF('Water, Gas, Diesel'!C22&lt;0,0,'Water, Gas, Diesel'!C22)</f>
        <v>1373</v>
      </c>
      <c r="J18" s="83">
        <v>0.21186441</v>
      </c>
      <c r="K18" s="11">
        <f>IF('Water, Gas, Diesel'!F22&lt;0,0,'Water, Gas, Diesel'!F22)</f>
        <v>283</v>
      </c>
      <c r="L18" s="83">
        <v>1.6949000000000001</v>
      </c>
      <c r="M18" s="11">
        <f>Electricity!H24</f>
        <v>99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23572.500000004766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1333</v>
      </c>
      <c r="J19" s="83">
        <v>0.21186441</v>
      </c>
      <c r="K19" s="11">
        <f>IF('Water, Gas, Diesel'!F23&lt;0,0,'Water, Gas, Diesel'!F23)</f>
        <v>297</v>
      </c>
      <c r="L19" s="83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23072.499999998399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1332</v>
      </c>
      <c r="J20" s="83">
        <v>0.21186441</v>
      </c>
      <c r="K20" s="11">
        <f>IF('Water, Gas, Diesel'!F24&lt;0,0,'Water, Gas, Diesel'!F24)</f>
        <v>287</v>
      </c>
      <c r="L20" s="83">
        <v>1.6949000000000001</v>
      </c>
      <c r="M20" s="11">
        <f>Electricity!H26</f>
        <v>64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23842.500000000655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1335</v>
      </c>
      <c r="J21" s="83">
        <v>0.21186441</v>
      </c>
      <c r="K21" s="11">
        <f>IF('Water, Gas, Diesel'!F25&lt;0,0,'Water, Gas, Diesel'!F25)</f>
        <v>278</v>
      </c>
      <c r="L21" s="83">
        <v>1.6949000000000001</v>
      </c>
      <c r="M21" s="11">
        <f>Electricity!H27</f>
        <v>76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25292.500000000473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1679</v>
      </c>
      <c r="J22" s="83">
        <v>0.21186441</v>
      </c>
      <c r="K22" s="11">
        <f>IF('Water, Gas, Diesel'!F26&lt;0,0,'Water, Gas, Diesel'!F26)</f>
        <v>269</v>
      </c>
      <c r="L22" s="83">
        <v>1.6949000000000001</v>
      </c>
      <c r="M22" s="11">
        <f>Electricity!H28</f>
        <v>122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24604.999999996835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1541</v>
      </c>
      <c r="J23" s="83">
        <v>0.21186441</v>
      </c>
      <c r="K23" s="11">
        <f>IF('Water, Gas, Diesel'!F27&lt;0,0,'Water, Gas, Diesel'!F27)</f>
        <v>261</v>
      </c>
      <c r="L23" s="83">
        <v>1.6949000000000001</v>
      </c>
      <c r="M23" s="11">
        <f>Electricity!H29</f>
        <v>154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24155.000000000655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1666</v>
      </c>
      <c r="J24" s="83">
        <v>0.21186441</v>
      </c>
      <c r="K24" s="11">
        <f>IF('Water, Gas, Diesel'!F28&lt;0,0,'Water, Gas, Diesel'!F28)</f>
        <v>284</v>
      </c>
      <c r="L24" s="83">
        <v>1.6949000000000001</v>
      </c>
      <c r="M24" s="11">
        <f>Electricity!H30</f>
        <v>164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22390.000000000327</v>
      </c>
      <c r="F25" s="83">
        <v>9.3200000000000005E-2</v>
      </c>
      <c r="G25" s="11">
        <f>IF('Water, Gas, Diesel'!K29&lt;0,0,'Water, Gas, Diesel'!K29)</f>
        <v>70</v>
      </c>
      <c r="H25" s="83">
        <v>0.7</v>
      </c>
      <c r="I25" s="11">
        <f>IF('Water, Gas, Diesel'!C29&lt;0,0,'Water, Gas, Diesel'!C29)</f>
        <v>1686</v>
      </c>
      <c r="J25" s="83">
        <v>0.21186441</v>
      </c>
      <c r="K25" s="11">
        <f>IF('Water, Gas, Diesel'!F29&lt;0,0,'Water, Gas, Diesel'!F29)</f>
        <v>302</v>
      </c>
      <c r="L25" s="83">
        <v>1.6949000000000001</v>
      </c>
      <c r="M25" s="11">
        <f>Electricity!H31</f>
        <v>162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24870.0000000008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1918</v>
      </c>
      <c r="J26" s="83">
        <v>0.21186441</v>
      </c>
      <c r="K26" s="11">
        <f>IF('Water, Gas, Diesel'!F30&lt;0,0,'Water, Gas, Diesel'!F30)</f>
        <v>317</v>
      </c>
      <c r="L26" s="83">
        <v>1.6949000000000001</v>
      </c>
      <c r="M26" s="11">
        <f>Electricity!H32</f>
        <v>121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123187.49999999908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1531</v>
      </c>
      <c r="J27" s="83">
        <v>0.21186441</v>
      </c>
      <c r="K27" s="11">
        <f>IF('Water, Gas, Diesel'!F31&lt;0,0,'Water, Gas, Diesel'!F31)</f>
        <v>278</v>
      </c>
      <c r="L27" s="83">
        <v>1.6949000000000001</v>
      </c>
      <c r="M27" s="11">
        <f>Electricity!H33</f>
        <v>152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11320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155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0" activePane="bottomLeft" state="frozen"/>
      <selection pane="bottomLeft" activeCell="J35" sqref="J3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3">
        <f t="shared" ref="F7:F38" si="2">C7+E7</f>
        <v>22664.999999997235</v>
      </c>
      <c r="G7" s="67">
        <f>F7*0.0932</f>
        <v>2112.3779999997423</v>
      </c>
      <c r="H7" s="135">
        <v>88</v>
      </c>
    </row>
    <row r="8" spans="1:8" ht="30.95" customHeight="1">
      <c r="A8" s="98">
        <v>1</v>
      </c>
      <c r="B8" s="92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99">
        <v>94</v>
      </c>
    </row>
    <row r="9" spans="1:8" ht="30.95" customHeight="1">
      <c r="A9" s="100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1">
        <v>67</v>
      </c>
    </row>
    <row r="10" spans="1:8" ht="30.95" customHeight="1">
      <c r="A10" s="98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1">
        <v>81</v>
      </c>
    </row>
    <row r="11" spans="1:8" ht="30.95" customHeight="1">
      <c r="A11" s="100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1">
        <v>97</v>
      </c>
    </row>
    <row r="12" spans="1:8" ht="30.95" customHeight="1">
      <c r="A12" s="98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1">
        <v>144</v>
      </c>
    </row>
    <row r="13" spans="1:8" ht="30.95" customHeight="1">
      <c r="A13" s="100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1">
        <v>164</v>
      </c>
    </row>
    <row r="14" spans="1:8" ht="30.95" customHeight="1">
      <c r="A14" s="98">
        <v>7</v>
      </c>
      <c r="B14" s="77">
        <v>15746.632</v>
      </c>
      <c r="C14" s="70">
        <f t="shared" si="0"/>
        <v>12835.000000000036</v>
      </c>
      <c r="D14" s="102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1">
        <v>157</v>
      </c>
    </row>
    <row r="15" spans="1:8" ht="30.95" customHeight="1">
      <c r="A15" s="100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1">
        <v>115</v>
      </c>
    </row>
    <row r="16" spans="1:8" ht="30.95" customHeight="1">
      <c r="A16" s="98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1">
        <v>112</v>
      </c>
    </row>
    <row r="17" spans="1:8" ht="30.95" customHeight="1">
      <c r="A17" s="100">
        <v>10</v>
      </c>
      <c r="B17" s="77">
        <v>15761.231</v>
      </c>
      <c r="C17" s="39">
        <f t="shared" si="0"/>
        <v>13782.500000002074</v>
      </c>
      <c r="D17" s="102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1">
        <v>96</v>
      </c>
    </row>
    <row r="18" spans="1:8" ht="30.95" customHeight="1">
      <c r="A18" s="98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1">
        <v>104</v>
      </c>
    </row>
    <row r="19" spans="1:8" ht="30.95" customHeight="1">
      <c r="A19" s="100">
        <v>12</v>
      </c>
      <c r="B19" s="77">
        <v>15772.069</v>
      </c>
      <c r="C19" s="39">
        <f t="shared" si="0"/>
        <v>13967.500000003383</v>
      </c>
      <c r="D19" s="102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1">
        <v>104</v>
      </c>
    </row>
    <row r="20" spans="1:8" ht="30.95" customHeight="1">
      <c r="A20" s="98">
        <v>13</v>
      </c>
      <c r="B20" s="75">
        <v>15777.656000000001</v>
      </c>
      <c r="C20" s="70">
        <f t="shared" si="0"/>
        <v>12454.999999999927</v>
      </c>
      <c r="D20" s="81">
        <v>16098.766</v>
      </c>
      <c r="E20" s="70">
        <f t="shared" si="1"/>
        <v>9055.0000000030195</v>
      </c>
      <c r="F20" s="51">
        <f t="shared" si="2"/>
        <v>21510.000000002947</v>
      </c>
      <c r="G20" s="67">
        <f t="shared" si="3"/>
        <v>2004.7320000002746</v>
      </c>
      <c r="H20" s="101">
        <v>89</v>
      </c>
    </row>
    <row r="21" spans="1:8" ht="30.95" customHeight="1">
      <c r="A21" s="100">
        <v>14</v>
      </c>
      <c r="B21" s="75">
        <v>15782.638000000001</v>
      </c>
      <c r="C21" s="39">
        <f t="shared" si="0"/>
        <v>13054.999999999382</v>
      </c>
      <c r="D21" s="78">
        <v>16102.388000000001</v>
      </c>
      <c r="E21" s="39">
        <f t="shared" si="1"/>
        <v>9582.4999999967986</v>
      </c>
      <c r="F21" s="47">
        <f t="shared" si="2"/>
        <v>22637.49999999618</v>
      </c>
      <c r="G21" s="67">
        <f t="shared" si="3"/>
        <v>2109.814999999644</v>
      </c>
      <c r="H21" s="101">
        <v>99</v>
      </c>
    </row>
    <row r="22" spans="1:8" ht="30.95" customHeight="1">
      <c r="A22" s="98">
        <v>15</v>
      </c>
      <c r="B22" s="75">
        <v>15787.86</v>
      </c>
      <c r="C22" s="70">
        <f t="shared" si="0"/>
        <v>14014.999999999418</v>
      </c>
      <c r="D22" s="57">
        <v>16106.221</v>
      </c>
      <c r="E22" s="70">
        <f t="shared" si="1"/>
        <v>10197.499999999309</v>
      </c>
      <c r="F22" s="51">
        <f t="shared" si="2"/>
        <v>24212.499999998727</v>
      </c>
      <c r="G22" s="67">
        <f t="shared" si="3"/>
        <v>2256.6049999998813</v>
      </c>
      <c r="H22" s="101">
        <v>103</v>
      </c>
    </row>
    <row r="23" spans="1:8" ht="30.95" customHeight="1">
      <c r="A23" s="100">
        <v>16</v>
      </c>
      <c r="B23" s="84">
        <v>15793.466</v>
      </c>
      <c r="C23" s="39">
        <f t="shared" si="0"/>
        <v>12592.500000000655</v>
      </c>
      <c r="D23" s="136">
        <v>16110.3</v>
      </c>
      <c r="E23" s="39">
        <f t="shared" si="1"/>
        <v>8840.0000000001455</v>
      </c>
      <c r="F23" s="47">
        <f t="shared" si="2"/>
        <v>21432.5000000008</v>
      </c>
      <c r="G23" s="67">
        <f t="shared" si="3"/>
        <v>1997.5090000000746</v>
      </c>
      <c r="H23" s="101">
        <v>100</v>
      </c>
    </row>
    <row r="24" spans="1:8" ht="30.95" customHeight="1">
      <c r="A24" s="98">
        <v>17</v>
      </c>
      <c r="B24" s="85">
        <v>15798.503000000001</v>
      </c>
      <c r="C24" s="70">
        <f t="shared" si="0"/>
        <v>13577.499999996689</v>
      </c>
      <c r="D24" s="102">
        <v>16113.835999999999</v>
      </c>
      <c r="E24" s="70">
        <f t="shared" si="1"/>
        <v>9645.0000000004366</v>
      </c>
      <c r="F24" s="51">
        <f t="shared" si="2"/>
        <v>23222.499999997126</v>
      </c>
      <c r="G24" s="67">
        <f t="shared" si="3"/>
        <v>2164.3369999997321</v>
      </c>
      <c r="H24" s="101">
        <v>99</v>
      </c>
    </row>
    <row r="25" spans="1:8" ht="30.95" customHeight="1">
      <c r="A25" s="100">
        <v>18</v>
      </c>
      <c r="B25" s="75">
        <v>15803.933999999999</v>
      </c>
      <c r="C25" s="39">
        <f>(B26-B25)*2500</f>
        <v>13622.50000000131</v>
      </c>
      <c r="D25" s="78">
        <v>16117.694</v>
      </c>
      <c r="E25" s="39">
        <f>(D26-D25)*2500</f>
        <v>9950.0000000034561</v>
      </c>
      <c r="F25" s="47">
        <f t="shared" si="2"/>
        <v>23572.500000004766</v>
      </c>
      <c r="G25" s="67">
        <f t="shared" si="3"/>
        <v>2196.9570000004442</v>
      </c>
      <c r="H25" s="101">
        <v>67</v>
      </c>
    </row>
    <row r="26" spans="1:8" ht="30.95" customHeight="1">
      <c r="A26" s="98">
        <v>19</v>
      </c>
      <c r="B26" s="77">
        <v>15809.383</v>
      </c>
      <c r="C26" s="70">
        <f t="shared" ref="C26:C38" si="4">(B27-B26)*2500</f>
        <v>13162.499999998545</v>
      </c>
      <c r="D26" s="102">
        <v>16121.674000000001</v>
      </c>
      <c r="E26" s="70">
        <f t="shared" ref="E26:E38" si="5">(D27-D26)*2500</f>
        <v>9909.9999999998545</v>
      </c>
      <c r="F26" s="47">
        <f t="shared" si="2"/>
        <v>23072.499999998399</v>
      </c>
      <c r="G26" s="67">
        <f t="shared" si="3"/>
        <v>2150.3569999998508</v>
      </c>
      <c r="H26" s="101">
        <v>64</v>
      </c>
    </row>
    <row r="27" spans="1:8" ht="30.95" customHeight="1">
      <c r="A27" s="100">
        <v>20</v>
      </c>
      <c r="B27" s="75">
        <v>15814.647999999999</v>
      </c>
      <c r="C27" s="39">
        <f t="shared" si="4"/>
        <v>13137.500000002547</v>
      </c>
      <c r="D27" s="81">
        <v>16125.638000000001</v>
      </c>
      <c r="E27" s="39">
        <f t="shared" si="5"/>
        <v>10704.999999998108</v>
      </c>
      <c r="F27" s="51">
        <f t="shared" si="2"/>
        <v>23842.500000000655</v>
      </c>
      <c r="G27" s="67">
        <f t="shared" si="3"/>
        <v>2222.121000000061</v>
      </c>
      <c r="H27" s="101">
        <v>76</v>
      </c>
    </row>
    <row r="28" spans="1:8" ht="30.95" customHeight="1">
      <c r="A28" s="98">
        <v>21</v>
      </c>
      <c r="B28" s="77">
        <v>15819.903</v>
      </c>
      <c r="C28" s="70">
        <f t="shared" si="4"/>
        <v>14110.000000000582</v>
      </c>
      <c r="D28" s="102">
        <v>16129.92</v>
      </c>
      <c r="E28" s="70">
        <f t="shared" si="5"/>
        <v>11182.499999999891</v>
      </c>
      <c r="F28" s="47">
        <f t="shared" si="2"/>
        <v>25292.500000000473</v>
      </c>
      <c r="G28" s="67">
        <f t="shared" si="3"/>
        <v>2357.2610000000441</v>
      </c>
      <c r="H28" s="101">
        <v>122</v>
      </c>
    </row>
    <row r="29" spans="1:8" ht="30.95" customHeight="1">
      <c r="A29" s="100">
        <v>22</v>
      </c>
      <c r="B29" s="75">
        <v>15825.547</v>
      </c>
      <c r="C29" s="39">
        <f t="shared" si="4"/>
        <v>13854.999999998654</v>
      </c>
      <c r="D29" s="78">
        <v>16134.393</v>
      </c>
      <c r="E29" s="39">
        <f t="shared" si="5"/>
        <v>10749.999999998181</v>
      </c>
      <c r="F29" s="51">
        <f t="shared" si="2"/>
        <v>24604.999999996835</v>
      </c>
      <c r="G29" s="67">
        <f t="shared" si="3"/>
        <v>2293.185999999705</v>
      </c>
      <c r="H29" s="101">
        <v>154</v>
      </c>
    </row>
    <row r="30" spans="1:8" ht="30.95" customHeight="1">
      <c r="A30" s="98">
        <v>23</v>
      </c>
      <c r="B30" s="77">
        <v>15831.089</v>
      </c>
      <c r="C30" s="70">
        <f t="shared" si="4"/>
        <v>13772.500000000036</v>
      </c>
      <c r="D30" s="102">
        <v>16138.692999999999</v>
      </c>
      <c r="E30" s="70">
        <f t="shared" si="5"/>
        <v>10382.500000000618</v>
      </c>
      <c r="F30" s="47">
        <f t="shared" si="2"/>
        <v>24155.000000000655</v>
      </c>
      <c r="G30" s="67">
        <f t="shared" si="3"/>
        <v>2251.246000000061</v>
      </c>
      <c r="H30" s="101">
        <v>164</v>
      </c>
    </row>
    <row r="31" spans="1:8" ht="30.95" customHeight="1">
      <c r="A31" s="100">
        <v>24</v>
      </c>
      <c r="B31" s="75">
        <v>15836.598</v>
      </c>
      <c r="C31" s="39">
        <f t="shared" si="4"/>
        <v>13107.500000000982</v>
      </c>
      <c r="D31" s="78">
        <v>16142.846</v>
      </c>
      <c r="E31" s="39">
        <f t="shared" si="5"/>
        <v>9282.4999999993452</v>
      </c>
      <c r="F31" s="51">
        <f t="shared" si="2"/>
        <v>22390.000000000327</v>
      </c>
      <c r="G31" s="67">
        <f t="shared" si="3"/>
        <v>2086.7480000000305</v>
      </c>
      <c r="H31" s="101">
        <v>162</v>
      </c>
    </row>
    <row r="32" spans="1:8" ht="30.95" customHeight="1">
      <c r="A32" s="98">
        <v>25</v>
      </c>
      <c r="B32" s="77">
        <v>15841.841</v>
      </c>
      <c r="C32" s="70">
        <f t="shared" si="4"/>
        <v>14087.500000000546</v>
      </c>
      <c r="D32" s="102">
        <v>16146.558999999999</v>
      </c>
      <c r="E32" s="70">
        <f t="shared" si="5"/>
        <v>10782.500000000255</v>
      </c>
      <c r="F32" s="47">
        <f t="shared" si="2"/>
        <v>24870.0000000008</v>
      </c>
      <c r="G32" s="67">
        <f t="shared" si="3"/>
        <v>2317.8840000000746</v>
      </c>
      <c r="H32" s="101">
        <v>121</v>
      </c>
    </row>
    <row r="33" spans="1:8" ht="30.95" customHeight="1">
      <c r="A33" s="100">
        <v>26</v>
      </c>
      <c r="B33" s="75">
        <v>15847.476000000001</v>
      </c>
      <c r="C33" s="39">
        <f t="shared" si="4"/>
        <v>13424.999999997453</v>
      </c>
      <c r="D33" s="78">
        <v>16150.871999999999</v>
      </c>
      <c r="E33" s="39">
        <f t="shared" si="5"/>
        <v>109762.50000000163</v>
      </c>
      <c r="F33" s="51">
        <f t="shared" si="2"/>
        <v>123187.49999999908</v>
      </c>
      <c r="G33" s="67">
        <f t="shared" si="3"/>
        <v>11481.074999999915</v>
      </c>
      <c r="H33" s="101">
        <v>152</v>
      </c>
    </row>
    <row r="34" spans="1:8" ht="30.95" customHeight="1">
      <c r="A34" s="98">
        <v>27</v>
      </c>
      <c r="B34" s="77">
        <v>15852.846</v>
      </c>
      <c r="C34" s="70">
        <f t="shared" si="4"/>
        <v>-39632115</v>
      </c>
      <c r="D34" s="102">
        <v>16194.777</v>
      </c>
      <c r="E34" s="39">
        <f t="shared" si="5"/>
        <v>-40486942.5</v>
      </c>
      <c r="F34" s="47">
        <f t="shared" si="2"/>
        <v>-80119057.5</v>
      </c>
      <c r="G34" s="67">
        <f t="shared" si="3"/>
        <v>-7467096.159</v>
      </c>
      <c r="H34" s="101">
        <v>155</v>
      </c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14">
        <v>30</v>
      </c>
      <c r="B37" s="115"/>
      <c r="C37" s="116">
        <f>(B38-B37)*2500</f>
        <v>0</v>
      </c>
      <c r="D37" s="117"/>
      <c r="E37" s="116">
        <f>(D38-D37)*2500</f>
        <v>0</v>
      </c>
      <c r="F37" s="118">
        <f t="shared" si="2"/>
        <v>0</v>
      </c>
      <c r="G37" s="134">
        <f t="shared" si="3"/>
        <v>0</v>
      </c>
      <c r="H37" s="119"/>
    </row>
    <row r="38" spans="1:8" ht="30.95" customHeight="1">
      <c r="A38" s="106">
        <v>1</v>
      </c>
      <c r="B38" s="107"/>
      <c r="C38" s="109">
        <f t="shared" si="4"/>
        <v>0</v>
      </c>
      <c r="D38" s="110"/>
      <c r="E38" s="109">
        <f t="shared" si="5"/>
        <v>0</v>
      </c>
      <c r="F38" s="111">
        <f t="shared" si="2"/>
        <v>0</v>
      </c>
      <c r="G38" s="112">
        <f t="shared" si="3"/>
        <v>0</v>
      </c>
      <c r="H38" s="113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7" activePane="bottomLeft" state="frozen"/>
      <selection pane="bottomLeft" activeCell="N33" sqref="N33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7007139</v>
      </c>
      <c r="C5" s="103">
        <f>B6-B5</f>
        <v>1119</v>
      </c>
      <c r="D5" s="34">
        <f>C5*0.21186441</f>
        <v>237.07627479000001</v>
      </c>
      <c r="E5" s="35">
        <v>556695</v>
      </c>
      <c r="F5" s="104">
        <f>E6-E5</f>
        <v>221</v>
      </c>
      <c r="G5" s="36">
        <f>F5*0.84746</f>
        <v>187.28865999999999</v>
      </c>
      <c r="H5" s="36">
        <f>F5*0.84746</f>
        <v>187.28865999999999</v>
      </c>
      <c r="I5" s="90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89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1646</v>
      </c>
      <c r="D19" s="46">
        <f t="shared" si="7"/>
        <v>348.72881885999999</v>
      </c>
      <c r="E19" s="52">
        <v>560433</v>
      </c>
      <c r="F19" s="56">
        <f t="shared" si="9"/>
        <v>342</v>
      </c>
      <c r="G19" s="48">
        <f t="shared" si="4"/>
        <v>289.83132000000001</v>
      </c>
      <c r="H19" s="48">
        <f t="shared" si="5"/>
        <v>289.83132000000001</v>
      </c>
      <c r="I19" s="49">
        <f t="shared" si="2"/>
        <v>579.66264000000001</v>
      </c>
      <c r="J19" s="37">
        <f>4760+6350</f>
        <v>11110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7028454</v>
      </c>
      <c r="C20" s="53">
        <f t="shared" si="8"/>
        <v>1547</v>
      </c>
      <c r="D20" s="46">
        <f t="shared" si="7"/>
        <v>327.75424227000002</v>
      </c>
      <c r="E20" s="51">
        <v>560775</v>
      </c>
      <c r="F20" s="54">
        <f t="shared" si="9"/>
        <v>233</v>
      </c>
      <c r="G20" s="43">
        <f t="shared" si="4"/>
        <v>197.45818</v>
      </c>
      <c r="H20" s="43">
        <f t="shared" si="5"/>
        <v>197.45818</v>
      </c>
      <c r="I20" s="49">
        <f t="shared" si="2"/>
        <v>394.91636</v>
      </c>
      <c r="J20" s="37">
        <f>4760+6350</f>
        <v>11110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7030001</v>
      </c>
      <c r="C21" s="55">
        <f t="shared" si="8"/>
        <v>1433</v>
      </c>
      <c r="D21" s="46">
        <f t="shared" si="7"/>
        <v>303.60169953000002</v>
      </c>
      <c r="E21" s="86">
        <v>561008</v>
      </c>
      <c r="F21" s="56">
        <f t="shared" si="9"/>
        <v>261</v>
      </c>
      <c r="G21" s="48">
        <f t="shared" si="4"/>
        <v>221.18706</v>
      </c>
      <c r="H21" s="48">
        <f t="shared" si="5"/>
        <v>221.18706</v>
      </c>
      <c r="I21" s="49">
        <f t="shared" si="2"/>
        <v>442.37412</v>
      </c>
      <c r="J21" s="37">
        <f>4760+6350</f>
        <v>11110</v>
      </c>
      <c r="K21" s="38">
        <f t="shared" si="3"/>
        <v>-50</v>
      </c>
      <c r="L21" s="39">
        <f t="shared" si="6"/>
        <v>-35</v>
      </c>
    </row>
    <row r="22" spans="1:12" ht="32.450000000000003" customHeight="1">
      <c r="A22" s="40">
        <v>17</v>
      </c>
      <c r="B22" s="40">
        <v>7031434</v>
      </c>
      <c r="C22" s="53">
        <f t="shared" si="8"/>
        <v>1373</v>
      </c>
      <c r="D22" s="46">
        <f t="shared" si="7"/>
        <v>290.88983493000001</v>
      </c>
      <c r="E22" s="52">
        <v>561269</v>
      </c>
      <c r="F22" s="54">
        <f t="shared" si="9"/>
        <v>283</v>
      </c>
      <c r="G22" s="43">
        <f t="shared" si="4"/>
        <v>239.83117999999999</v>
      </c>
      <c r="H22" s="43">
        <f t="shared" si="5"/>
        <v>239.83117999999999</v>
      </c>
      <c r="I22" s="49">
        <f t="shared" si="2"/>
        <v>479.66235999999998</v>
      </c>
      <c r="J22" s="50">
        <f>4810+6350</f>
        <v>11160</v>
      </c>
      <c r="K22" s="38">
        <f t="shared" si="3"/>
        <v>220</v>
      </c>
      <c r="L22" s="39">
        <f t="shared" si="6"/>
        <v>154</v>
      </c>
    </row>
    <row r="23" spans="1:12" ht="32.450000000000003" customHeight="1">
      <c r="A23" s="45">
        <v>18</v>
      </c>
      <c r="B23" s="45">
        <v>7032807</v>
      </c>
      <c r="C23" s="55">
        <f t="shared" si="8"/>
        <v>1333</v>
      </c>
      <c r="D23" s="46">
        <f t="shared" si="7"/>
        <v>282.41525853000002</v>
      </c>
      <c r="E23" s="52">
        <v>561552</v>
      </c>
      <c r="F23" s="56">
        <f t="shared" si="9"/>
        <v>297</v>
      </c>
      <c r="G23" s="48">
        <f t="shared" si="4"/>
        <v>251.69561999999999</v>
      </c>
      <c r="H23" s="48">
        <f t="shared" si="5"/>
        <v>251.69561999999999</v>
      </c>
      <c r="I23" s="49">
        <f t="shared" si="2"/>
        <v>503.39123999999998</v>
      </c>
      <c r="J23" s="50">
        <f>4590+6350</f>
        <v>10940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7034140</v>
      </c>
      <c r="C24" s="53">
        <f t="shared" si="8"/>
        <v>1332</v>
      </c>
      <c r="D24" s="46">
        <f t="shared" si="7"/>
        <v>282.20339411999998</v>
      </c>
      <c r="E24" s="52">
        <v>561849</v>
      </c>
      <c r="F24" s="54">
        <f t="shared" si="9"/>
        <v>287</v>
      </c>
      <c r="G24" s="43">
        <f t="shared" si="4"/>
        <v>243.22102000000001</v>
      </c>
      <c r="H24" s="43">
        <f t="shared" si="5"/>
        <v>243.22102000000001</v>
      </c>
      <c r="I24" s="49">
        <f t="shared" si="2"/>
        <v>486.44204000000002</v>
      </c>
      <c r="J24" s="50">
        <f>4590+6350</f>
        <v>10940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7035472</v>
      </c>
      <c r="C25" s="55">
        <f t="shared" si="8"/>
        <v>1335</v>
      </c>
      <c r="D25" s="46">
        <f t="shared" si="7"/>
        <v>282.83898735000002</v>
      </c>
      <c r="E25" s="52">
        <v>562136</v>
      </c>
      <c r="F25" s="56">
        <f t="shared" si="9"/>
        <v>278</v>
      </c>
      <c r="G25" s="48">
        <f t="shared" si="4"/>
        <v>235.59387999999998</v>
      </c>
      <c r="H25" s="48">
        <f t="shared" si="5"/>
        <v>235.59387999999998</v>
      </c>
      <c r="I25" s="49">
        <f t="shared" si="2"/>
        <v>471.18775999999997</v>
      </c>
      <c r="J25" s="50">
        <f>4590+6350</f>
        <v>10940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7036807</v>
      </c>
      <c r="C26" s="53">
        <f t="shared" si="8"/>
        <v>1679</v>
      </c>
      <c r="D26" s="46">
        <f t="shared" si="7"/>
        <v>355.72034438999998</v>
      </c>
      <c r="E26" s="52">
        <v>562414</v>
      </c>
      <c r="F26" s="54">
        <f t="shared" si="9"/>
        <v>269</v>
      </c>
      <c r="G26" s="43">
        <f t="shared" si="4"/>
        <v>227.96673999999999</v>
      </c>
      <c r="H26" s="43">
        <f t="shared" si="5"/>
        <v>227.96673999999999</v>
      </c>
      <c r="I26" s="49">
        <f t="shared" si="2"/>
        <v>455.93347999999997</v>
      </c>
      <c r="J26" s="50">
        <f>4590+6350</f>
        <v>10940</v>
      </c>
      <c r="K26" s="38">
        <f t="shared" si="3"/>
        <v>-330</v>
      </c>
      <c r="L26" s="39">
        <f t="shared" si="6"/>
        <v>-230.99999999999997</v>
      </c>
    </row>
    <row r="27" spans="1:12" ht="32.450000000000003" customHeight="1">
      <c r="A27" s="45">
        <v>22</v>
      </c>
      <c r="B27" s="45">
        <v>7038486</v>
      </c>
      <c r="C27" s="55">
        <f t="shared" si="8"/>
        <v>1541</v>
      </c>
      <c r="D27" s="46">
        <f t="shared" si="7"/>
        <v>326.48305581</v>
      </c>
      <c r="E27" s="52">
        <v>562683</v>
      </c>
      <c r="F27" s="56">
        <f t="shared" si="9"/>
        <v>261</v>
      </c>
      <c r="G27" s="48">
        <f t="shared" si="4"/>
        <v>221.18706</v>
      </c>
      <c r="H27" s="48">
        <f t="shared" si="5"/>
        <v>221.18706</v>
      </c>
      <c r="I27" s="49">
        <f t="shared" si="2"/>
        <v>442.37412</v>
      </c>
      <c r="J27" s="50">
        <f>4920+6350</f>
        <v>11270</v>
      </c>
      <c r="K27" s="38">
        <f t="shared" si="3"/>
        <v>-40</v>
      </c>
      <c r="L27" s="39">
        <f t="shared" si="6"/>
        <v>-28</v>
      </c>
    </row>
    <row r="28" spans="1:12" ht="32.450000000000003" customHeight="1">
      <c r="A28" s="40">
        <v>23</v>
      </c>
      <c r="B28" s="40">
        <v>7040027</v>
      </c>
      <c r="C28" s="53">
        <f t="shared" si="8"/>
        <v>1666</v>
      </c>
      <c r="D28" s="46">
        <f t="shared" si="7"/>
        <v>352.96610706000001</v>
      </c>
      <c r="E28" s="52">
        <v>562944</v>
      </c>
      <c r="F28" s="54">
        <f t="shared" si="9"/>
        <v>284</v>
      </c>
      <c r="G28" s="43">
        <f t="shared" si="4"/>
        <v>240.67864</v>
      </c>
      <c r="H28" s="43">
        <f t="shared" si="5"/>
        <v>240.67864</v>
      </c>
      <c r="I28" s="49">
        <f t="shared" si="2"/>
        <v>481.35728</v>
      </c>
      <c r="J28" s="50">
        <f>4960+6350</f>
        <v>11310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7041693</v>
      </c>
      <c r="C29" s="55">
        <f t="shared" si="8"/>
        <v>1686</v>
      </c>
      <c r="D29" s="46">
        <f t="shared" si="7"/>
        <v>357.20339525999998</v>
      </c>
      <c r="E29" s="52">
        <v>563228</v>
      </c>
      <c r="F29" s="56">
        <f t="shared" si="9"/>
        <v>302</v>
      </c>
      <c r="G29" s="48">
        <f t="shared" si="4"/>
        <v>255.93292</v>
      </c>
      <c r="H29" s="48">
        <f t="shared" si="5"/>
        <v>255.93292</v>
      </c>
      <c r="I29" s="49">
        <f t="shared" si="2"/>
        <v>511.86583999999999</v>
      </c>
      <c r="J29" s="50">
        <f>4960+6350</f>
        <v>11310</v>
      </c>
      <c r="K29" s="38">
        <f t="shared" si="3"/>
        <v>70</v>
      </c>
      <c r="L29" s="39">
        <f t="shared" si="6"/>
        <v>49</v>
      </c>
    </row>
    <row r="30" spans="1:12" ht="32.450000000000003" customHeight="1">
      <c r="A30" s="40">
        <v>25</v>
      </c>
      <c r="B30" s="40">
        <v>7043379</v>
      </c>
      <c r="C30" s="53">
        <f t="shared" si="8"/>
        <v>1918</v>
      </c>
      <c r="D30" s="46">
        <f t="shared" si="7"/>
        <v>406.35593838</v>
      </c>
      <c r="E30" s="52">
        <v>563530</v>
      </c>
      <c r="F30" s="54">
        <f t="shared" si="9"/>
        <v>317</v>
      </c>
      <c r="G30" s="43">
        <f t="shared" si="4"/>
        <v>268.64481999999998</v>
      </c>
      <c r="H30" s="43">
        <f t="shared" si="5"/>
        <v>268.64481999999998</v>
      </c>
      <c r="I30" s="49">
        <f t="shared" si="2"/>
        <v>537.28963999999996</v>
      </c>
      <c r="J30" s="50">
        <f>4880+6360</f>
        <v>11240</v>
      </c>
      <c r="K30" s="38">
        <f t="shared" si="3"/>
        <v>-80</v>
      </c>
      <c r="L30" s="39">
        <f t="shared" si="6"/>
        <v>-56</v>
      </c>
    </row>
    <row r="31" spans="1:12" ht="32.450000000000003" customHeight="1">
      <c r="A31" s="45">
        <v>26</v>
      </c>
      <c r="B31" s="45">
        <v>7045297</v>
      </c>
      <c r="C31" s="55">
        <f t="shared" si="8"/>
        <v>1531</v>
      </c>
      <c r="D31" s="46">
        <f t="shared" si="7"/>
        <v>324.36441171000001</v>
      </c>
      <c r="E31" s="52">
        <v>563847</v>
      </c>
      <c r="F31" s="56">
        <f t="shared" si="9"/>
        <v>278</v>
      </c>
      <c r="G31" s="48">
        <f t="shared" si="4"/>
        <v>235.59387999999998</v>
      </c>
      <c r="H31" s="48">
        <f t="shared" si="5"/>
        <v>235.59387999999998</v>
      </c>
      <c r="I31" s="49">
        <f t="shared" si="2"/>
        <v>471.18775999999997</v>
      </c>
      <c r="J31" s="50">
        <f>4960+6360</f>
        <v>11320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7046828</v>
      </c>
      <c r="C32" s="53">
        <f t="shared" si="8"/>
        <v>-7046828</v>
      </c>
      <c r="D32" s="46">
        <f t="shared" si="7"/>
        <v>-1492972.05659148</v>
      </c>
      <c r="E32" s="52">
        <v>564125</v>
      </c>
      <c r="F32" s="55">
        <f t="shared" si="9"/>
        <v>-564125</v>
      </c>
      <c r="G32" s="43">
        <f t="shared" si="4"/>
        <v>-478073.3725</v>
      </c>
      <c r="H32" s="43">
        <f t="shared" si="5"/>
        <v>-478073.3725</v>
      </c>
      <c r="I32" s="49">
        <f t="shared" si="2"/>
        <v>-956146.745</v>
      </c>
      <c r="J32" s="50">
        <f>4960+6360</f>
        <v>11320</v>
      </c>
      <c r="K32" s="38">
        <f t="shared" si="3"/>
        <v>11320</v>
      </c>
      <c r="L32" s="39">
        <f t="shared" si="6"/>
        <v>7923.9999999999991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6">
        <v>30</v>
      </c>
      <c r="B35" s="127"/>
      <c r="C35" s="128">
        <f t="shared" si="8"/>
        <v>0</v>
      </c>
      <c r="D35" s="129">
        <f t="shared" si="7"/>
        <v>0</v>
      </c>
      <c r="E35" s="118"/>
      <c r="F35" s="128">
        <f t="shared" si="9"/>
        <v>0</v>
      </c>
      <c r="G35" s="130">
        <f t="shared" si="4"/>
        <v>0</v>
      </c>
      <c r="H35" s="130">
        <f t="shared" si="5"/>
        <v>0</v>
      </c>
      <c r="I35" s="131">
        <f t="shared" si="2"/>
        <v>0</v>
      </c>
      <c r="J35" s="132"/>
      <c r="K35" s="133">
        <f t="shared" si="3"/>
        <v>0</v>
      </c>
      <c r="L35" s="116">
        <f>K35*0.7</f>
        <v>0</v>
      </c>
    </row>
    <row r="36" spans="1:12" ht="32.450000000000003" customHeight="1">
      <c r="A36" s="106">
        <v>1</v>
      </c>
      <c r="B36" s="107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08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62FF189F-71F5-43B3-94FB-7EE77E842CEC}"/>
</file>

<file path=customXml/itemProps3.xml><?xml version="1.0" encoding="utf-8"?>
<ds:datastoreItem xmlns:ds="http://schemas.openxmlformats.org/officeDocument/2006/customXml" ds:itemID="{09876524-0E37-4B22-A94F-EBE4BC28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2022-09-28T07:56:00Z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