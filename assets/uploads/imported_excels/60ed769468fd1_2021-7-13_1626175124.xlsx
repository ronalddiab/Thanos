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62E26013-E35B-4A03-9E32-1001E710FC29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B32" i="117" l="1"/>
  <c r="N2" i="117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<sst xmlns="http://schemas.openxmlformats.org/spreadsheetml/2006/main" count="63" uniqueCount="31">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</sst>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F35" sqref="F35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7</v>
      </c>
      <c r="D2" s="7">
        <v>2021</v>
      </c>
      <c r="E2" s="9">
        <f>'Marunouchi Daily'!D5</f>
        <v>5238</v>
      </c>
      <c r="F2" s="33">
        <v>15.371801912396213</v>
      </c>
      <c r="G2" s="9">
        <f>'Marunouchi Daily'!F5</f>
        <v>230.10999999999331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64</v>
      </c>
      <c r="L2" s="33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7</v>
      </c>
      <c r="D3" s="7">
        <v>2021</v>
      </c>
      <c r="E3" s="9">
        <f>'Marunouchi Daily'!D6</f>
        <v>5219</v>
      </c>
      <c r="F3" s="33">
        <v>15.371801912396213</v>
      </c>
      <c r="G3" s="9">
        <f>'Marunouchi Daily'!F6</f>
        <v>237.38999999999942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65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'Marunouchi Daily'!D7</f>
        <v>5413</v>
      </c>
      <c r="F4" s="33">
        <v>15.371801912396213</v>
      </c>
      <c r="G4" s="9">
        <f>'Marunouchi Daily'!F7</f>
        <v>228.77999999999884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80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'Marunouchi Daily'!D8</f>
        <v>5721</v>
      </c>
      <c r="F5" s="33">
        <v>15.371801912396213</v>
      </c>
      <c r="G5" s="9">
        <f>'Marunouchi Daily'!F8</f>
        <v>250.90000000000873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89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'Marunouchi Daily'!D9</f>
        <v>5079</v>
      </c>
      <c r="F6" s="33">
        <v>15.371801912396213</v>
      </c>
      <c r="G6" s="9">
        <f>'Marunouchi Daily'!F9</f>
        <v>289.59999999999127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58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'Marunouchi Daily'!D10</f>
        <v>4887</v>
      </c>
      <c r="F7" s="33">
        <v>15.371801912396213</v>
      </c>
      <c r="G7" s="9">
        <f>'Marunouchi Daily'!F10</f>
        <v>176.25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51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'Marunouchi Daily'!D11</f>
        <v>5251</v>
      </c>
      <c r="F8" s="33">
        <v>15.371801912396213</v>
      </c>
      <c r="G8" s="9">
        <f>'Marunouchi Daily'!F11</f>
        <v>223.98999999999796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61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'Marunouchi Daily'!D12</f>
        <v>5196</v>
      </c>
      <c r="F9" s="33">
        <v>15.371801912396213</v>
      </c>
      <c r="G9" s="9">
        <f>'Marunouchi Daily'!F12</f>
        <v>235.98999999999796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59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'Marunouchi Daily'!D13</f>
        <v>5520</v>
      </c>
      <c r="F10" s="33">
        <v>15.371801912396213</v>
      </c>
      <c r="G10" s="9">
        <f>'Marunouchi Daily'!F13</f>
        <v>238.91000000000349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67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'Marunouchi Daily'!D14</f>
        <v>5621</v>
      </c>
      <c r="F11" s="33">
        <v>15.371801912396213</v>
      </c>
      <c r="G11" s="9">
        <f>'Marunouchi Daily'!F14</f>
        <v>237.17000000000553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79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'Marunouchi Daily'!D15</f>
        <v>0</v>
      </c>
      <c r="F12" s="33">
        <v>15.371801912396213</v>
      </c>
      <c r="G12" s="9">
        <f>'Marunouchi Daily'!F15</f>
        <v>236.01000000000204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0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'Marunouchi Daily'!D16</f>
        <v>0</v>
      </c>
      <c r="F13" s="33">
        <v>15.371801912396213</v>
      </c>
      <c r="G13" s="9">
        <f>'Marunouchi Daily'!F16</f>
        <v>224.57999999999447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0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'Marunouchi Daily'!D17</f>
        <v>0</v>
      </c>
      <c r="F14" s="33">
        <v>15.371801912396213</v>
      </c>
      <c r="G14" s="9">
        <f>'Marunouchi Daily'!F17</f>
        <v>0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0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'Marunouchi Daily'!D18</f>
        <v>0</v>
      </c>
      <c r="F15" s="33">
        <v>15.371801912396213</v>
      </c>
      <c r="G15" s="9">
        <f>'Marunouchi Daily'!F18</f>
        <v>0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0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'Marunouchi Daily'!D19</f>
        <v>0</v>
      </c>
      <c r="F16" s="33">
        <v>15.371801912396213</v>
      </c>
      <c r="G16" s="9">
        <f>'Marunouchi Daily'!F19</f>
        <v>0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0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'Marunouchi Daily'!D20</f>
        <v>0</v>
      </c>
      <c r="F17" s="33">
        <v>15.371801912396213</v>
      </c>
      <c r="G17" s="9">
        <f>'Marunouchi Daily'!F20</f>
        <v>0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0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'Marunouchi Daily'!D21</f>
        <v>0</v>
      </c>
      <c r="F18" s="33">
        <v>15.371801912396213</v>
      </c>
      <c r="G18" s="9">
        <f>'Marunouchi Daily'!F21</f>
        <v>0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0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'Marunouchi Daily'!D22</f>
        <v>0</v>
      </c>
      <c r="F19" s="33">
        <v>15.371801912396213</v>
      </c>
      <c r="G19" s="9">
        <f>'Marunouchi Daily'!F22</f>
        <v>0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0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'Marunouchi Daily'!D23</f>
        <v>0</v>
      </c>
      <c r="F20" s="33">
        <v>15.371801912396213</v>
      </c>
      <c r="G20" s="9">
        <f>'Marunouchi Daily'!F23</f>
        <v>0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0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'Marunouchi Daily'!D24</f>
        <v>0</v>
      </c>
      <c r="F21" s="33">
        <v>15.371801912396213</v>
      </c>
      <c r="G21" s="9">
        <f>'Marunouchi Daily'!F24</f>
        <v>0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0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60" zoomScaleNormal="60" workbookViewId="0">
      <pane xSplit="1" topLeftCell="B1" activePane="topRight" state="frozen"/>
      <selection pane="topRight" activeCell="Z13" sqref="Z13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44377</v>
      </c>
      <c r="B4" s="36"/>
      <c r="C4" s="25"/>
      <c r="D4" s="26">
        <v>4996</v>
      </c>
      <c r="E4" s="25"/>
      <c r="F4" s="26">
        <v>213.58000000000902</v>
      </c>
      <c r="G4" s="25"/>
      <c r="H4" s="26"/>
      <c r="I4" s="25"/>
      <c r="J4" s="26">
        <v>57</v>
      </c>
      <c r="K4" s="35">
        <v>8</v>
      </c>
      <c r="L4" s="27">
        <v>48</v>
      </c>
      <c r="M4" s="27">
        <v>17</v>
      </c>
    </row>
    <row r="5" spans="1:13" ht="33" customHeight="1" x14ac:dyDescent="0.25">
      <c r="A5" s="24">
        <v>44378</v>
      </c>
      <c r="B5" s="36"/>
      <c r="C5" s="25"/>
      <c r="D5" s="26">
        <v>5238</v>
      </c>
      <c r="E5" s="25"/>
      <c r="F5" s="26">
        <v>230.10999999999331</v>
      </c>
      <c r="G5" s="25"/>
      <c r="H5" s="26"/>
      <c r="I5" s="25"/>
      <c r="J5" s="26">
        <v>64</v>
      </c>
      <c r="K5" s="35"/>
      <c r="L5" s="27"/>
      <c r="M5" s="27"/>
    </row>
    <row r="6" spans="1:13" ht="45" customHeight="1" x14ac:dyDescent="0.25">
      <c r="A6" s="24">
        <v>44379</v>
      </c>
      <c r="B6" s="36"/>
      <c r="C6" s="25"/>
      <c r="D6" s="26">
        <v>5219</v>
      </c>
      <c r="E6" s="25"/>
      <c r="F6" s="26">
        <v>237.38999999999942</v>
      </c>
      <c r="G6" s="25"/>
      <c r="H6" s="26"/>
      <c r="I6" s="25"/>
      <c r="J6" s="26">
        <v>65</v>
      </c>
      <c r="K6" s="35"/>
      <c r="L6" s="27"/>
      <c r="M6" s="27"/>
    </row>
    <row r="7" spans="1:13" ht="45" customHeight="1" x14ac:dyDescent="0.25">
      <c r="A7" s="24">
        <v>44380</v>
      </c>
      <c r="B7" s="36"/>
      <c r="C7" s="25"/>
      <c r="D7" s="26">
        <v>5413</v>
      </c>
      <c r="E7" s="25"/>
      <c r="F7" s="26">
        <v>228.77999999999884</v>
      </c>
      <c r="G7" s="25"/>
      <c r="H7" s="26"/>
      <c r="I7" s="25"/>
      <c r="J7" s="26">
        <v>80</v>
      </c>
      <c r="K7" s="35"/>
      <c r="L7" s="27"/>
      <c r="M7" s="27"/>
    </row>
    <row r="8" spans="1:13" ht="45" customHeight="1" x14ac:dyDescent="0.25">
      <c r="A8" s="24">
        <v>44381</v>
      </c>
      <c r="B8" s="36"/>
      <c r="C8" s="25"/>
      <c r="D8" s="26">
        <v>5721</v>
      </c>
      <c r="E8" s="25"/>
      <c r="F8" s="26">
        <v>250.90000000000873</v>
      </c>
      <c r="G8" s="25"/>
      <c r="H8" s="26"/>
      <c r="I8" s="25"/>
      <c r="J8" s="26">
        <v>89</v>
      </c>
      <c r="K8" s="35"/>
      <c r="L8" s="27"/>
      <c r="M8" s="27"/>
    </row>
    <row r="9" spans="1:13" ht="45" customHeight="1" x14ac:dyDescent="0.25">
      <c r="A9" s="24">
        <v>44382</v>
      </c>
      <c r="B9" s="36"/>
      <c r="C9" s="25"/>
      <c r="D9" s="26">
        <v>5079</v>
      </c>
      <c r="E9" s="25"/>
      <c r="F9" s="26">
        <v>289.59999999999127</v>
      </c>
      <c r="G9" s="25"/>
      <c r="H9" s="26"/>
      <c r="I9" s="25"/>
      <c r="J9" s="26">
        <v>58</v>
      </c>
      <c r="K9" s="35"/>
      <c r="L9" s="27"/>
      <c r="M9" s="27"/>
    </row>
    <row r="10" spans="1:13" ht="45" customHeight="1" x14ac:dyDescent="0.25">
      <c r="A10" s="24">
        <v>44383</v>
      </c>
      <c r="B10" s="36"/>
      <c r="C10" s="25"/>
      <c r="D10" s="26">
        <v>4887</v>
      </c>
      <c r="E10" s="25"/>
      <c r="F10" s="26">
        <v>176.25</v>
      </c>
      <c r="G10" s="25"/>
      <c r="H10" s="26"/>
      <c r="I10" s="25"/>
      <c r="J10" s="26">
        <v>51</v>
      </c>
      <c r="K10" s="35"/>
      <c r="L10" s="27"/>
      <c r="M10" s="27"/>
    </row>
    <row r="11" spans="1:13" ht="45" customHeight="1" x14ac:dyDescent="0.25">
      <c r="A11" s="24">
        <v>44384</v>
      </c>
      <c r="B11" s="36"/>
      <c r="C11" s="25"/>
      <c r="D11" s="26">
        <v>5251</v>
      </c>
      <c r="E11" s="25"/>
      <c r="F11" s="26">
        <v>223.98999999999796</v>
      </c>
      <c r="G11" s="25"/>
      <c r="H11" s="26"/>
      <c r="I11" s="25"/>
      <c r="J11" s="26">
        <v>61</v>
      </c>
      <c r="K11" s="35"/>
      <c r="L11" s="27"/>
      <c r="M11" s="27"/>
    </row>
    <row r="12" spans="1:13" ht="45" customHeight="1" x14ac:dyDescent="0.25">
      <c r="A12" s="24">
        <v>44385</v>
      </c>
      <c r="B12" s="36"/>
      <c r="C12" s="25"/>
      <c r="D12" s="26">
        <v>5196</v>
      </c>
      <c r="E12" s="25"/>
      <c r="F12" s="26">
        <v>235.98999999999796</v>
      </c>
      <c r="G12" s="25"/>
      <c r="H12" s="26"/>
      <c r="I12" s="25"/>
      <c r="J12" s="26">
        <v>59</v>
      </c>
      <c r="K12" s="35"/>
      <c r="L12" s="27"/>
      <c r="M12" s="27"/>
    </row>
    <row r="13" spans="1:13" ht="45" customHeight="1" x14ac:dyDescent="0.25">
      <c r="A13" s="24">
        <v>44386</v>
      </c>
      <c r="B13" s="36"/>
      <c r="C13" s="25"/>
      <c r="D13" s="26">
        <v>5520</v>
      </c>
      <c r="E13" s="25"/>
      <c r="F13" s="26">
        <v>238.91000000000349</v>
      </c>
      <c r="G13" s="25"/>
      <c r="H13" s="26"/>
      <c r="I13" s="25"/>
      <c r="J13" s="26">
        <v>67</v>
      </c>
      <c r="K13" s="35"/>
      <c r="L13" s="27"/>
      <c r="M13" s="27"/>
    </row>
    <row r="14" spans="1:13" ht="45" customHeight="1" x14ac:dyDescent="0.25">
      <c r="A14" s="24">
        <v>44387</v>
      </c>
      <c r="B14" s="36"/>
      <c r="C14" s="25"/>
      <c r="D14" s="26">
        <v>5621</v>
      </c>
      <c r="E14" s="25"/>
      <c r="F14" s="26">
        <v>237.17000000000553</v>
      </c>
      <c r="G14" s="25"/>
      <c r="H14" s="26"/>
      <c r="I14" s="25"/>
      <c r="J14" s="26">
        <v>79</v>
      </c>
      <c r="K14" s="35"/>
      <c r="L14" s="27"/>
      <c r="M14" s="27"/>
    </row>
    <row r="15" spans="1:13" ht="45" customHeight="1" x14ac:dyDescent="0.25">
      <c r="A15" s="24">
        <v>44388</v>
      </c>
      <c r="B15" s="36"/>
      <c r="C15" s="25"/>
      <c r="D15" s="26"/>
      <c r="E15" s="25"/>
      <c r="F15" s="26">
        <v>236.01000000000204</v>
      </c>
      <c r="G15" s="25"/>
      <c r="H15" s="26"/>
      <c r="I15" s="25"/>
      <c r="J15" s="26"/>
      <c r="K15" s="35"/>
      <c r="L15" s="27"/>
      <c r="M15" s="27"/>
    </row>
    <row r="16" spans="1:13" ht="45" customHeight="1" x14ac:dyDescent="0.25">
      <c r="A16" s="24">
        <v>44389</v>
      </c>
      <c r="B16" s="36"/>
      <c r="C16" s="25"/>
      <c r="D16" s="26"/>
      <c r="E16" s="25"/>
      <c r="F16" s="26">
        <v>224.57999999999447</v>
      </c>
      <c r="G16" s="25"/>
      <c r="H16" s="26"/>
      <c r="I16" s="25"/>
      <c r="J16" s="26"/>
      <c r="K16" s="35"/>
      <c r="L16" s="27"/>
      <c r="M16" s="27"/>
    </row>
    <row r="17" spans="1:13" ht="45" customHeight="1" x14ac:dyDescent="0.25">
      <c r="A17" s="24">
        <v>44390</v>
      </c>
      <c r="B17" s="36"/>
      <c r="C17" s="25"/>
      <c r="D17" s="26"/>
      <c r="E17" s="25"/>
      <c r="F17" s="26"/>
      <c r="G17" s="25"/>
      <c r="H17" s="26"/>
      <c r="I17" s="25"/>
      <c r="J17" s="26"/>
      <c r="K17" s="35"/>
      <c r="L17" s="27"/>
      <c r="M17" s="27"/>
    </row>
    <row r="18" spans="1:13" ht="45" customHeight="1" x14ac:dyDescent="0.25">
      <c r="A18" s="24">
        <v>44391</v>
      </c>
      <c r="B18" s="36"/>
      <c r="C18" s="25"/>
      <c r="D18" s="26"/>
      <c r="E18" s="25"/>
      <c r="F18" s="26"/>
      <c r="G18" s="25"/>
      <c r="H18" s="26"/>
      <c r="I18" s="25"/>
      <c r="J18" s="26"/>
      <c r="K18" s="35"/>
      <c r="L18" s="27"/>
      <c r="M18" s="27"/>
    </row>
    <row r="19" spans="1:13" ht="45" customHeight="1" x14ac:dyDescent="0.25">
      <c r="A19" s="24">
        <v>44392</v>
      </c>
      <c r="B19" s="36"/>
      <c r="C19" s="25"/>
      <c r="D19" s="26"/>
      <c r="E19" s="25"/>
      <c r="F19" s="26"/>
      <c r="G19" s="25"/>
      <c r="H19" s="26"/>
      <c r="I19" s="25"/>
      <c r="J19" s="26"/>
      <c r="K19" s="35"/>
      <c r="L19" s="27"/>
      <c r="M19" s="27"/>
    </row>
    <row r="20" spans="1:13" ht="45" customHeight="1" x14ac:dyDescent="0.25">
      <c r="A20" s="24">
        <v>44393</v>
      </c>
      <c r="B20" s="36"/>
      <c r="C20" s="25"/>
      <c r="D20" s="26"/>
      <c r="E20" s="25"/>
      <c r="F20" s="26"/>
      <c r="G20" s="25"/>
      <c r="H20" s="26"/>
      <c r="I20" s="25"/>
      <c r="J20" s="26"/>
      <c r="K20" s="35"/>
      <c r="L20" s="27"/>
      <c r="M20" s="27"/>
    </row>
    <row r="21" spans="1:13" ht="45" customHeight="1" x14ac:dyDescent="0.25">
      <c r="A21" s="24">
        <v>44394</v>
      </c>
      <c r="B21" s="36"/>
      <c r="C21" s="25"/>
      <c r="D21" s="26"/>
      <c r="E21" s="25"/>
      <c r="F21" s="26"/>
      <c r="G21" s="25"/>
      <c r="H21" s="26"/>
      <c r="I21" s="25"/>
      <c r="J21" s="26"/>
      <c r="K21" s="35"/>
      <c r="L21" s="27"/>
      <c r="M21" s="27"/>
    </row>
    <row r="22" spans="1:13" ht="45" customHeight="1" x14ac:dyDescent="0.25">
      <c r="A22" s="24">
        <v>44395</v>
      </c>
      <c r="B22" s="36"/>
      <c r="C22" s="25"/>
      <c r="D22" s="26"/>
      <c r="E22" s="25"/>
      <c r="F22" s="26"/>
      <c r="G22" s="25"/>
      <c r="H22" s="26"/>
      <c r="I22" s="25"/>
      <c r="J22" s="26"/>
      <c r="K22" s="35"/>
      <c r="L22" s="27"/>
      <c r="M22" s="27"/>
    </row>
    <row r="23" spans="1:13" ht="45" customHeight="1" x14ac:dyDescent="0.25">
      <c r="A23" s="24">
        <v>44396</v>
      </c>
      <c r="B23" s="36"/>
      <c r="C23" s="25"/>
      <c r="D23" s="26"/>
      <c r="E23" s="25"/>
      <c r="F23" s="26"/>
      <c r="G23" s="25"/>
      <c r="H23" s="26"/>
      <c r="I23" s="25"/>
      <c r="J23" s="26"/>
      <c r="K23" s="35"/>
      <c r="L23" s="27"/>
      <c r="M23" s="27"/>
    </row>
    <row r="24" spans="1:13" ht="45" customHeight="1" x14ac:dyDescent="0.25">
      <c r="A24" s="24">
        <v>44397</v>
      </c>
      <c r="B24" s="36"/>
      <c r="C24" s="25"/>
      <c r="D24" s="26"/>
      <c r="E24" s="25"/>
      <c r="F24" s="26"/>
      <c r="G24" s="25"/>
      <c r="H24" s="26"/>
      <c r="I24" s="25"/>
      <c r="J24" s="26"/>
      <c r="K24" s="35"/>
      <c r="L24" s="27"/>
      <c r="M24" s="27"/>
    </row>
    <row r="25" spans="1:13" ht="45" customHeight="1" x14ac:dyDescent="0.25">
      <c r="A25" s="24">
        <v>44398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 x14ac:dyDescent="0.25">
      <c r="A26" s="24">
        <v>44399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 x14ac:dyDescent="0.25">
      <c r="A27" s="24">
        <v>44400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 x14ac:dyDescent="0.25">
      <c r="A28" s="24">
        <v>44401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 x14ac:dyDescent="0.25">
      <c r="A29" s="24">
        <v>44402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 x14ac:dyDescent="0.25">
      <c r="A30" s="24">
        <v>44403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 x14ac:dyDescent="0.25">
      <c r="A31" s="24">
        <v>44404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 x14ac:dyDescent="0.25">
      <c r="A32" s="24">
        <v>44405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 x14ac:dyDescent="0.25">
      <c r="A33" s="24">
        <v>44406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 x14ac:dyDescent="0.25">
      <c r="A34" s="24">
        <v>44407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 x14ac:dyDescent="0.25">
      <c r="A35" s="24">
        <v>44408</v>
      </c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2021-07-13T11:16:58Z</dcterms:modified>
</cp:coreProperties>
</file>