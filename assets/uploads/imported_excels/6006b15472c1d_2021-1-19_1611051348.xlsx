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90FFECC8-9234-4480-9BE5-04EE19EA4117}" xr6:coauthVersionLast="46" xr6:coauthVersionMax="46" xr10:uidLastSave="{00000000-0000-0000-0000-000000000000}"/>
  <bookViews>
    <workbookView xWindow="-120" yWindow="-120" windowWidth="20730" windowHeight="11160" tabRatio="620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J25" i="119"/>
  <c r="K22" i="117" s="1"/>
  <c r="F25" i="119"/>
  <c r="G22" i="117" s="1"/>
  <c r="D25" i="119"/>
  <c r="E22" i="117" s="1"/>
  <c r="J24" i="119"/>
  <c r="K21" i="117" s="1"/>
  <c r="F24" i="119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J17" i="119"/>
  <c r="K14" i="117" s="1"/>
  <c r="F17" i="119"/>
  <c r="G14" i="117" s="1"/>
  <c r="D17" i="119"/>
  <c r="E14" i="117" s="1"/>
  <c r="J16" i="119"/>
  <c r="K13" i="117" s="1"/>
  <c r="F16" i="119"/>
  <c r="D16" i="119"/>
  <c r="E13" i="117" s="1"/>
  <c r="J15" i="119"/>
  <c r="K12" i="117" s="1"/>
  <c r="F15" i="119"/>
  <c r="G12" i="117" s="1"/>
  <c r="D15" i="119"/>
  <c r="E12" i="117" s="1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<sst xmlns="http://schemas.openxmlformats.org/spreadsheetml/2006/main" count="63" uniqueCount="31">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</sst>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H6" sqref="H6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5" t="s">
        <v>22</v>
      </c>
      <c r="J1" s="36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47" t="s">
        <v>29</v>
      </c>
    </row>
    <row r="2" spans="1:15" ht="15" x14ac:dyDescent="0.25">
      <c r="A2" s="6" t="s">
        <v>24</v>
      </c>
      <c r="B2" s="7">
        <v>1</v>
      </c>
      <c r="C2" s="8">
        <v>1</v>
      </c>
      <c r="D2" s="7">
        <v>2021</v>
      </c>
      <c r="E2" s="9">
        <f>'Marunouchi Daily'!D5</f>
        <v>4629</v>
      </c>
      <c r="F2" s="37">
        <v>15.371801912396213</v>
      </c>
      <c r="G2" s="9">
        <f>'Marunouchi Daily'!F5</f>
        <v>258.22000000000003</v>
      </c>
      <c r="H2" s="37">
        <v>55.660872462574005</v>
      </c>
      <c r="I2" s="9" t="str">
        <f>'Marunouchi Daily'!H5</f>
        <v>0</v>
      </c>
      <c r="J2" s="37">
        <v>2.68</v>
      </c>
      <c r="K2" s="9">
        <f>'Marunouchi Daily'!J5</f>
        <v>56</v>
      </c>
      <c r="L2" s="37">
        <v>866.58593380320269</v>
      </c>
      <c r="M2" s="9">
        <v>5</v>
      </c>
      <c r="N2" s="9">
        <v>129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1</v>
      </c>
      <c r="D3" s="7">
        <v>2021</v>
      </c>
      <c r="E3" s="9">
        <f>'Marunouchi Daily'!D6</f>
        <v>4596</v>
      </c>
      <c r="F3" s="37">
        <v>15.371801912396213</v>
      </c>
      <c r="G3" s="9">
        <f>'Marunouchi Daily'!F6</f>
        <v>246.12</v>
      </c>
      <c r="H3" s="37">
        <v>55.660872462574005</v>
      </c>
      <c r="I3" s="9">
        <f>'Marunouchi Daily'!H6</f>
        <v>0</v>
      </c>
      <c r="J3" s="37">
        <v>2.68</v>
      </c>
      <c r="K3" s="9">
        <f>'Marunouchi Daily'!J6</f>
        <v>59</v>
      </c>
      <c r="L3" s="37">
        <v>866.58593380320269</v>
      </c>
      <c r="M3" s="9">
        <f>'Marunouchi Daily'!K6</f>
        <v>8</v>
      </c>
      <c r="N3" s="9">
        <f>'Marunouchi Daily'!L6</f>
        <v>122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1</v>
      </c>
      <c r="D4" s="7">
        <v>2021</v>
      </c>
      <c r="E4" s="9">
        <f>'Marunouchi Daily'!D7</f>
        <v>4790</v>
      </c>
      <c r="F4" s="37">
        <v>15.371801912396213</v>
      </c>
      <c r="G4" s="9">
        <f>'Marunouchi Daily'!F7</f>
        <v>251.09</v>
      </c>
      <c r="H4" s="37">
        <v>55.660872462574005</v>
      </c>
      <c r="I4" s="9">
        <f>'Marunouchi Daily'!H7</f>
        <v>0</v>
      </c>
      <c r="J4" s="37">
        <v>2.68</v>
      </c>
      <c r="K4" s="9">
        <f>'Marunouchi Daily'!J7</f>
        <v>63</v>
      </c>
      <c r="L4" s="37">
        <v>866.58593380320269</v>
      </c>
      <c r="M4" s="9">
        <f>'Marunouchi Daily'!K7</f>
        <v>15</v>
      </c>
      <c r="N4" s="9">
        <f>'Marunouchi Daily'!L7</f>
        <v>142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1</v>
      </c>
      <c r="D5" s="7">
        <v>2021</v>
      </c>
      <c r="E5" s="9">
        <f>'Marunouchi Daily'!D8</f>
        <v>4670</v>
      </c>
      <c r="F5" s="37">
        <v>15.371801912396213</v>
      </c>
      <c r="G5" s="9">
        <f>'Marunouchi Daily'!F8</f>
        <v>256.89999999999998</v>
      </c>
      <c r="H5" s="37">
        <v>55.660872462574005</v>
      </c>
      <c r="I5" s="9">
        <f>'Marunouchi Daily'!H8</f>
        <v>0</v>
      </c>
      <c r="J5" s="37">
        <v>2.68</v>
      </c>
      <c r="K5" s="9">
        <f>'Marunouchi Daily'!J8</f>
        <v>60</v>
      </c>
      <c r="L5" s="37">
        <v>866.58593380320269</v>
      </c>
      <c r="M5" s="9">
        <f>'Marunouchi Daily'!K8</f>
        <v>5</v>
      </c>
      <c r="N5" s="9">
        <f>'Marunouchi Daily'!L8</f>
        <v>110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1</v>
      </c>
      <c r="D6" s="7">
        <v>2021</v>
      </c>
      <c r="E6" s="9">
        <f>'Marunouchi Daily'!D9</f>
        <v>4446</v>
      </c>
      <c r="F6" s="37">
        <v>15.371801912396213</v>
      </c>
      <c r="G6" s="9">
        <f>'Marunouchi Daily'!F9</f>
        <v>262.39999999999998</v>
      </c>
      <c r="H6" s="37">
        <v>55.660872462574005</v>
      </c>
      <c r="I6" s="9">
        <f>'Marunouchi Daily'!H9</f>
        <v>0</v>
      </c>
      <c r="J6" s="37">
        <v>2.68</v>
      </c>
      <c r="K6" s="9">
        <f>'Marunouchi Daily'!J9</f>
        <v>43</v>
      </c>
      <c r="L6" s="37">
        <v>866.58593380320269</v>
      </c>
      <c r="M6" s="9">
        <f>'Marunouchi Daily'!K9</f>
        <v>5</v>
      </c>
      <c r="N6" s="9">
        <f>'Marunouchi Daily'!L9</f>
        <v>43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1</v>
      </c>
      <c r="D7" s="7">
        <v>2021</v>
      </c>
      <c r="E7" s="9">
        <f>'Marunouchi Daily'!D10</f>
        <v>4322</v>
      </c>
      <c r="F7" s="37">
        <v>15.371801912396213</v>
      </c>
      <c r="G7" s="9">
        <f>'Marunouchi Daily'!F10</f>
        <v>259.14</v>
      </c>
      <c r="H7" s="37">
        <v>55.660872462574005</v>
      </c>
      <c r="I7" s="9">
        <f>'Marunouchi Daily'!H10</f>
        <v>0</v>
      </c>
      <c r="J7" s="37">
        <v>2.68</v>
      </c>
      <c r="K7" s="9">
        <f>'Marunouchi Daily'!J10</f>
        <v>45</v>
      </c>
      <c r="L7" s="37">
        <v>866.58593380320269</v>
      </c>
      <c r="M7" s="9">
        <f>'Marunouchi Daily'!K10</f>
        <v>2</v>
      </c>
      <c r="N7" s="9">
        <f>'Marunouchi Daily'!L10</f>
        <v>55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1</v>
      </c>
      <c r="D8" s="7">
        <v>2021</v>
      </c>
      <c r="E8" s="9">
        <f>'Marunouchi Daily'!D11</f>
        <v>4289</v>
      </c>
      <c r="F8" s="37">
        <v>15.371801912396213</v>
      </c>
      <c r="G8" s="9">
        <f>'Marunouchi Daily'!F11</f>
        <v>256.8</v>
      </c>
      <c r="H8" s="37">
        <v>55.660872462574005</v>
      </c>
      <c r="I8" s="9">
        <f>'Marunouchi Daily'!H11</f>
        <v>0</v>
      </c>
      <c r="J8" s="37">
        <v>2.68</v>
      </c>
      <c r="K8" s="9">
        <f>'Marunouchi Daily'!J11</f>
        <v>41</v>
      </c>
      <c r="L8" s="37">
        <v>866.58593380320269</v>
      </c>
      <c r="M8" s="9">
        <f>'Marunouchi Daily'!K11</f>
        <v>3</v>
      </c>
      <c r="N8" s="9">
        <f>'Marunouchi Daily'!L11</f>
        <v>62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1</v>
      </c>
      <c r="D9" s="7">
        <v>2021</v>
      </c>
      <c r="E9" s="9">
        <f>'Marunouchi Daily'!D12</f>
        <v>4465</v>
      </c>
      <c r="F9" s="37">
        <v>15.371801912396213</v>
      </c>
      <c r="G9" s="9">
        <f>'Marunouchi Daily'!F12</f>
        <v>261.12</v>
      </c>
      <c r="H9" s="37">
        <v>55.660872462574005</v>
      </c>
      <c r="I9" s="9">
        <f>'Marunouchi Daily'!H12</f>
        <v>0</v>
      </c>
      <c r="J9" s="37">
        <v>2.68</v>
      </c>
      <c r="K9" s="9">
        <f>'Marunouchi Daily'!J12</f>
        <v>43</v>
      </c>
      <c r="L9" s="37">
        <v>866.58593380320269</v>
      </c>
      <c r="M9" s="9">
        <f>'Marunouchi Daily'!K12</f>
        <v>7</v>
      </c>
      <c r="N9" s="9">
        <f>'Marunouchi Daily'!L12</f>
        <v>65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1</v>
      </c>
      <c r="D10" s="7">
        <v>2021</v>
      </c>
      <c r="E10" s="9">
        <f>'Marunouchi Daily'!D13</f>
        <v>4491</v>
      </c>
      <c r="F10" s="37">
        <v>15.371801912396213</v>
      </c>
      <c r="G10" s="9">
        <f>'Marunouchi Daily'!F13</f>
        <v>247.14</v>
      </c>
      <c r="H10" s="37">
        <v>55.660872462574005</v>
      </c>
      <c r="I10" s="9">
        <f>'Marunouchi Daily'!H13</f>
        <v>0</v>
      </c>
      <c r="J10" s="37">
        <v>2.68</v>
      </c>
      <c r="K10" s="9">
        <f>'Marunouchi Daily'!J13</f>
        <v>47</v>
      </c>
      <c r="L10" s="37">
        <v>866.58593380320269</v>
      </c>
      <c r="M10" s="9">
        <f>'Marunouchi Daily'!K13</f>
        <v>7</v>
      </c>
      <c r="N10" s="9">
        <f>'Marunouchi Daily'!L13</f>
        <v>73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1</v>
      </c>
      <c r="D11" s="7">
        <v>2021</v>
      </c>
      <c r="E11" s="9">
        <f>'Marunouchi Daily'!D14</f>
        <v>4550</v>
      </c>
      <c r="F11" s="37">
        <v>15.371801912396213</v>
      </c>
      <c r="G11" s="9">
        <f>'Marunouchi Daily'!F14</f>
        <v>248.15</v>
      </c>
      <c r="H11" s="37">
        <v>55.660872462574005</v>
      </c>
      <c r="I11" s="9">
        <f>'Marunouchi Daily'!H14</f>
        <v>0</v>
      </c>
      <c r="J11" s="37">
        <v>2.68</v>
      </c>
      <c r="K11" s="9">
        <f>'Marunouchi Daily'!J14</f>
        <v>57</v>
      </c>
      <c r="L11" s="37">
        <v>866.58593380320269</v>
      </c>
      <c r="M11" s="9">
        <f>'Marunouchi Daily'!K14</f>
        <v>11</v>
      </c>
      <c r="N11" s="9">
        <f>'Marunouchi Daily'!L14</f>
        <v>93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1</v>
      </c>
      <c r="D12" s="7">
        <v>2021</v>
      </c>
      <c r="E12" s="9">
        <f>'Marunouchi Daily'!D15</f>
        <v>0</v>
      </c>
      <c r="F12" s="37">
        <v>15.371801912396213</v>
      </c>
      <c r="G12" s="9">
        <f>'Marunouchi Daily'!F15</f>
        <v>0</v>
      </c>
      <c r="H12" s="37">
        <v>55.660872462574005</v>
      </c>
      <c r="I12" s="9">
        <f>'Marunouchi Daily'!H15</f>
        <v>0</v>
      </c>
      <c r="J12" s="37">
        <v>2.68</v>
      </c>
      <c r="K12" s="9">
        <f>'Marunouchi Daily'!J15</f>
        <v>0</v>
      </c>
      <c r="L12" s="37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1</v>
      </c>
      <c r="D13" s="7">
        <v>2021</v>
      </c>
      <c r="E13" s="9">
        <f>'Marunouchi Daily'!D16</f>
        <v>0</v>
      </c>
      <c r="F13" s="37">
        <v>15.371801912396213</v>
      </c>
      <c r="G13" s="9">
        <f>'Marunouchi Daily'!F16</f>
        <v>0</v>
      </c>
      <c r="H13" s="37">
        <v>55.660872462574005</v>
      </c>
      <c r="I13" s="9">
        <f>'Marunouchi Daily'!H16</f>
        <v>0</v>
      </c>
      <c r="J13" s="37">
        <v>2.68</v>
      </c>
      <c r="K13" s="9">
        <f>'Marunouchi Daily'!J16</f>
        <v>0</v>
      </c>
      <c r="L13" s="37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1</v>
      </c>
      <c r="D14" s="7">
        <v>2021</v>
      </c>
      <c r="E14" s="9">
        <f>'Marunouchi Daily'!D17</f>
        <v>0</v>
      </c>
      <c r="F14" s="37">
        <v>15.371801912396213</v>
      </c>
      <c r="G14" s="9">
        <f>'Marunouchi Daily'!F17</f>
        <v>0</v>
      </c>
      <c r="H14" s="37">
        <v>55.660872462574005</v>
      </c>
      <c r="I14" s="9">
        <f>'Marunouchi Daily'!H17</f>
        <v>0</v>
      </c>
      <c r="J14" s="37">
        <v>2.68</v>
      </c>
      <c r="K14" s="9">
        <f>'Marunouchi Daily'!J17</f>
        <v>0</v>
      </c>
      <c r="L14" s="37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1</v>
      </c>
      <c r="D15" s="7">
        <v>2021</v>
      </c>
      <c r="E15" s="9">
        <f>'Marunouchi Daily'!D18</f>
        <v>0</v>
      </c>
      <c r="F15" s="37">
        <v>15.371801912396213</v>
      </c>
      <c r="G15" s="9">
        <f>'Marunouchi Daily'!F18</f>
        <v>0</v>
      </c>
      <c r="H15" s="37">
        <v>55.660872462574005</v>
      </c>
      <c r="I15" s="9">
        <f>'Marunouchi Daily'!H18</f>
        <v>0</v>
      </c>
      <c r="J15" s="37">
        <v>2.68</v>
      </c>
      <c r="K15" s="9">
        <f>'Marunouchi Daily'!J18</f>
        <v>0</v>
      </c>
      <c r="L15" s="37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1</v>
      </c>
      <c r="D16" s="7">
        <v>2021</v>
      </c>
      <c r="E16" s="9">
        <f>'Marunouchi Daily'!D19</f>
        <v>0</v>
      </c>
      <c r="F16" s="37">
        <v>15.371801912396213</v>
      </c>
      <c r="G16" s="9">
        <f>'Marunouchi Daily'!F19</f>
        <v>0</v>
      </c>
      <c r="H16" s="37">
        <v>55.660872462574005</v>
      </c>
      <c r="I16" s="9">
        <f>'Marunouchi Daily'!H19</f>
        <v>0</v>
      </c>
      <c r="J16" s="37">
        <v>2.68</v>
      </c>
      <c r="K16" s="9">
        <f>'Marunouchi Daily'!J19</f>
        <v>0</v>
      </c>
      <c r="L16" s="37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1</v>
      </c>
      <c r="D17" s="7">
        <v>2021</v>
      </c>
      <c r="E17" s="9">
        <f>'Marunouchi Daily'!D20</f>
        <v>0</v>
      </c>
      <c r="F17" s="37">
        <v>15.371801912396213</v>
      </c>
      <c r="G17" s="9">
        <f>'Marunouchi Daily'!F20</f>
        <v>0</v>
      </c>
      <c r="H17" s="37">
        <v>55.660872462574005</v>
      </c>
      <c r="I17" s="9">
        <f>'Marunouchi Daily'!H20</f>
        <v>0</v>
      </c>
      <c r="J17" s="37">
        <v>2.68</v>
      </c>
      <c r="K17" s="9">
        <f>'Marunouchi Daily'!J20</f>
        <v>0</v>
      </c>
      <c r="L17" s="37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1</v>
      </c>
      <c r="D18" s="7">
        <v>2021</v>
      </c>
      <c r="E18" s="9">
        <f>'Marunouchi Daily'!D21</f>
        <v>0</v>
      </c>
      <c r="F18" s="37">
        <v>15.371801912396213</v>
      </c>
      <c r="G18" s="9">
        <f>'Marunouchi Daily'!F21</f>
        <v>0</v>
      </c>
      <c r="H18" s="37">
        <v>55.660872462574005</v>
      </c>
      <c r="I18" s="9">
        <f>'Marunouchi Daily'!H21</f>
        <v>0</v>
      </c>
      <c r="J18" s="37">
        <v>2.68</v>
      </c>
      <c r="K18" s="9">
        <f>'Marunouchi Daily'!J21</f>
        <v>0</v>
      </c>
      <c r="L18" s="37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1</v>
      </c>
      <c r="D19" s="7">
        <v>2021</v>
      </c>
      <c r="E19" s="9">
        <f>'Marunouchi Daily'!D22</f>
        <v>0</v>
      </c>
      <c r="F19" s="37">
        <v>15.371801912396213</v>
      </c>
      <c r="G19" s="9">
        <f>'Marunouchi Daily'!F22</f>
        <v>0</v>
      </c>
      <c r="H19" s="37">
        <v>55.660872462574005</v>
      </c>
      <c r="I19" s="9">
        <f>'Marunouchi Daily'!H22</f>
        <v>0</v>
      </c>
      <c r="J19" s="37">
        <v>2.68</v>
      </c>
      <c r="K19" s="9">
        <f>'Marunouchi Daily'!J22</f>
        <v>0</v>
      </c>
      <c r="L19" s="37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1</v>
      </c>
      <c r="D20" s="7">
        <v>2021</v>
      </c>
      <c r="E20" s="9">
        <f>'Marunouchi Daily'!D23</f>
        <v>0</v>
      </c>
      <c r="F20" s="37">
        <v>15.371801912396213</v>
      </c>
      <c r="G20" s="9">
        <f>'Marunouchi Daily'!F23</f>
        <v>0</v>
      </c>
      <c r="H20" s="37">
        <v>55.660872462574005</v>
      </c>
      <c r="I20" s="9">
        <f>'Marunouchi Daily'!H23</f>
        <v>0</v>
      </c>
      <c r="J20" s="37">
        <v>2.68</v>
      </c>
      <c r="K20" s="9">
        <f>'Marunouchi Daily'!J23</f>
        <v>0</v>
      </c>
      <c r="L20" s="37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1</v>
      </c>
      <c r="D21" s="7">
        <v>2021</v>
      </c>
      <c r="E21" s="9">
        <f>'Marunouchi Daily'!D24</f>
        <v>0</v>
      </c>
      <c r="F21" s="37">
        <v>15.371801912396213</v>
      </c>
      <c r="G21" s="9">
        <f>'Marunouchi Daily'!F24</f>
        <v>0</v>
      </c>
      <c r="H21" s="37">
        <v>55.660872462574005</v>
      </c>
      <c r="I21" s="9">
        <f>'Marunouchi Daily'!H24</f>
        <v>0</v>
      </c>
      <c r="J21" s="37">
        <v>2.68</v>
      </c>
      <c r="K21" s="9">
        <f>'Marunouchi Daily'!J24</f>
        <v>0</v>
      </c>
      <c r="L21" s="37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1</v>
      </c>
      <c r="D22" s="7">
        <v>2021</v>
      </c>
      <c r="E22" s="9">
        <f>'Marunouchi Daily'!D25</f>
        <v>0</v>
      </c>
      <c r="F22" s="37">
        <v>15.371801912396213</v>
      </c>
      <c r="G22" s="9">
        <f>'Marunouchi Daily'!F25</f>
        <v>0</v>
      </c>
      <c r="H22" s="37">
        <v>55.660872462574005</v>
      </c>
      <c r="I22" s="9">
        <f>'Marunouchi Daily'!H25</f>
        <v>0</v>
      </c>
      <c r="J22" s="37">
        <v>2.68</v>
      </c>
      <c r="K22" s="9">
        <f>'Marunouchi Daily'!J25</f>
        <v>0</v>
      </c>
      <c r="L22" s="37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1</v>
      </c>
      <c r="D23" s="7">
        <v>2021</v>
      </c>
      <c r="E23" s="9">
        <f>'Marunouchi Daily'!D26</f>
        <v>0</v>
      </c>
      <c r="F23" s="37">
        <v>15.371801912396213</v>
      </c>
      <c r="G23" s="9">
        <f>'Marunouchi Daily'!F26</f>
        <v>0</v>
      </c>
      <c r="H23" s="37">
        <v>55.660872462574005</v>
      </c>
      <c r="I23" s="9">
        <f>'Marunouchi Daily'!H26</f>
        <v>0</v>
      </c>
      <c r="J23" s="37">
        <v>2.68</v>
      </c>
      <c r="K23" s="9">
        <f>'Marunouchi Daily'!J26</f>
        <v>0</v>
      </c>
      <c r="L23" s="37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1</v>
      </c>
      <c r="D24" s="7">
        <v>2021</v>
      </c>
      <c r="E24" s="9">
        <f>'Marunouchi Daily'!D27</f>
        <v>0</v>
      </c>
      <c r="F24" s="37">
        <v>15.371801912396213</v>
      </c>
      <c r="G24" s="9">
        <f>'Marunouchi Daily'!F27</f>
        <v>0</v>
      </c>
      <c r="H24" s="37">
        <v>55.660872462574005</v>
      </c>
      <c r="I24" s="9">
        <f>'Marunouchi Daily'!H27</f>
        <v>0</v>
      </c>
      <c r="J24" s="37">
        <v>2.68</v>
      </c>
      <c r="K24" s="9">
        <f>'Marunouchi Daily'!J27</f>
        <v>0</v>
      </c>
      <c r="L24" s="37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1</v>
      </c>
      <c r="D25" s="7">
        <v>2021</v>
      </c>
      <c r="E25" s="9">
        <f>'Marunouchi Daily'!D28</f>
        <v>0</v>
      </c>
      <c r="F25" s="37">
        <v>15.371801912396213</v>
      </c>
      <c r="G25" s="9">
        <f>'Marunouchi Daily'!F28</f>
        <v>0</v>
      </c>
      <c r="H25" s="37">
        <v>55.660872462574005</v>
      </c>
      <c r="I25" s="9">
        <f>'Marunouchi Daily'!H28</f>
        <v>0</v>
      </c>
      <c r="J25" s="37">
        <v>2.68</v>
      </c>
      <c r="K25" s="9">
        <f>'Marunouchi Daily'!J28</f>
        <v>0</v>
      </c>
      <c r="L25" s="37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1</v>
      </c>
      <c r="D26" s="7">
        <v>2021</v>
      </c>
      <c r="E26" s="9">
        <f>'Marunouchi Daily'!D29</f>
        <v>0</v>
      </c>
      <c r="F26" s="37">
        <v>15.371801912396213</v>
      </c>
      <c r="G26" s="9">
        <f>'Marunouchi Daily'!F29</f>
        <v>0</v>
      </c>
      <c r="H26" s="37">
        <v>55.660872462574005</v>
      </c>
      <c r="I26" s="9">
        <f>'Marunouchi Daily'!H29</f>
        <v>0</v>
      </c>
      <c r="J26" s="37">
        <v>2.68</v>
      </c>
      <c r="K26" s="9">
        <f>'Marunouchi Daily'!J29</f>
        <v>0</v>
      </c>
      <c r="L26" s="37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1</v>
      </c>
      <c r="D27" s="7">
        <v>2021</v>
      </c>
      <c r="E27" s="9">
        <f>'Marunouchi Daily'!D30</f>
        <v>0</v>
      </c>
      <c r="F27" s="37">
        <v>15.371801912396213</v>
      </c>
      <c r="G27" s="9">
        <f>'Marunouchi Daily'!F30</f>
        <v>0</v>
      </c>
      <c r="H27" s="37">
        <v>55.660872462574005</v>
      </c>
      <c r="I27" s="9">
        <f>'Marunouchi Daily'!H30</f>
        <v>0</v>
      </c>
      <c r="J27" s="37">
        <v>2.68</v>
      </c>
      <c r="K27" s="9">
        <f>'Marunouchi Daily'!J30</f>
        <v>0</v>
      </c>
      <c r="L27" s="37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1</v>
      </c>
      <c r="D28" s="7">
        <v>2021</v>
      </c>
      <c r="E28" s="9">
        <f>'Marunouchi Daily'!D31</f>
        <v>0</v>
      </c>
      <c r="F28" s="37">
        <v>15.371801912396213</v>
      </c>
      <c r="G28" s="9">
        <f>'Marunouchi Daily'!F31</f>
        <v>0</v>
      </c>
      <c r="H28" s="37">
        <v>55.660872462574005</v>
      </c>
      <c r="I28" s="9">
        <f>'Marunouchi Daily'!H31</f>
        <v>0</v>
      </c>
      <c r="J28" s="37">
        <v>2.68</v>
      </c>
      <c r="K28" s="9">
        <f>'Marunouchi Daily'!J31</f>
        <v>0</v>
      </c>
      <c r="L28" s="37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1</v>
      </c>
      <c r="D29" s="7">
        <v>2021</v>
      </c>
      <c r="E29" s="9">
        <f>'Marunouchi Daily'!D32</f>
        <v>0</v>
      </c>
      <c r="F29" s="37">
        <v>15.371801912396213</v>
      </c>
      <c r="G29" s="9">
        <f>'Marunouchi Daily'!F32</f>
        <v>0</v>
      </c>
      <c r="H29" s="37">
        <v>55.660872462574005</v>
      </c>
      <c r="I29" s="9">
        <f>'Marunouchi Daily'!H32</f>
        <v>0</v>
      </c>
      <c r="J29" s="37">
        <v>2.68</v>
      </c>
      <c r="K29" s="9">
        <f>'Marunouchi Daily'!J32</f>
        <v>0</v>
      </c>
      <c r="L29" s="37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1</v>
      </c>
      <c r="D30" s="7">
        <v>2021</v>
      </c>
      <c r="E30" s="9">
        <f>'Marunouchi Daily'!D33</f>
        <v>0</v>
      </c>
      <c r="F30" s="37">
        <v>15.371801912396213</v>
      </c>
      <c r="G30" s="9">
        <f>'Marunouchi Daily'!F33</f>
        <v>0</v>
      </c>
      <c r="H30" s="37">
        <v>55.660872462574005</v>
      </c>
      <c r="I30" s="9">
        <f>'Marunouchi Daily'!H33</f>
        <v>0</v>
      </c>
      <c r="J30" s="37">
        <v>2.68</v>
      </c>
      <c r="K30" s="9">
        <f>'Marunouchi Daily'!J33</f>
        <v>0</v>
      </c>
      <c r="L30" s="37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1</v>
      </c>
      <c r="D31" s="7">
        <v>2021</v>
      </c>
      <c r="E31" s="9">
        <f>'Marunouchi Daily'!D34</f>
        <v>0</v>
      </c>
      <c r="F31" s="37">
        <v>15.371801912396213</v>
      </c>
      <c r="G31" s="9">
        <f>'Marunouchi Daily'!F34</f>
        <v>0</v>
      </c>
      <c r="H31" s="37">
        <v>55.660872462574005</v>
      </c>
      <c r="I31" s="9">
        <f>'Marunouchi Daily'!H34</f>
        <v>0</v>
      </c>
      <c r="J31" s="37">
        <v>2.68</v>
      </c>
      <c r="K31" s="9">
        <f>'Marunouchi Daily'!J34</f>
        <v>0</v>
      </c>
      <c r="L31" s="37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1</v>
      </c>
      <c r="D32" s="7">
        <v>2021</v>
      </c>
      <c r="E32" s="9">
        <f>'Marunouchi Daily'!D35</f>
        <v>0</v>
      </c>
      <c r="F32" s="37">
        <v>15.371801912396213</v>
      </c>
      <c r="G32" s="9">
        <f>'Marunouchi Daily'!F35</f>
        <v>0</v>
      </c>
      <c r="H32" s="37">
        <v>55.660872462574005</v>
      </c>
      <c r="I32" s="9">
        <f>'Marunouchi Daily'!H35</f>
        <v>0</v>
      </c>
      <c r="J32" s="37">
        <v>2.68</v>
      </c>
      <c r="K32" s="9">
        <f>'Marunouchi Daily'!J35</f>
        <v>0</v>
      </c>
      <c r="L32" s="37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zoomScale="85" zoomScaleNormal="85" workbookViewId="0">
      <pane xSplit="1" topLeftCell="B1" activePane="topRight" state="frozen"/>
      <selection pane="topRight" activeCell="L5" sqref="L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3" ht="35.25" customHeight="1" thickBot="1" x14ac:dyDescent="0.3">
      <c r="A2" s="14" t="s">
        <v>10</v>
      </c>
      <c r="B2" s="38"/>
      <c r="C2" s="40" t="s">
        <v>19</v>
      </c>
      <c r="D2" s="41"/>
      <c r="E2" s="42" t="s">
        <v>25</v>
      </c>
      <c r="F2" s="42"/>
      <c r="G2" s="45" t="s">
        <v>20</v>
      </c>
      <c r="H2" s="46"/>
      <c r="I2" s="43" t="s">
        <v>11</v>
      </c>
      <c r="J2" s="44"/>
      <c r="K2" s="15"/>
      <c r="L2" s="15"/>
    </row>
    <row r="3" spans="1:13" ht="44.25" customHeight="1" x14ac:dyDescent="0.25">
      <c r="A3" s="16" t="s">
        <v>12</v>
      </c>
      <c r="B3" s="38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6" customFormat="1" ht="35.25" customHeight="1" x14ac:dyDescent="0.25">
      <c r="A4" s="22">
        <v>44165</v>
      </c>
      <c r="B4" s="38"/>
      <c r="C4" s="23">
        <v>1500</v>
      </c>
      <c r="D4" s="24"/>
      <c r="E4" s="23">
        <v>796700</v>
      </c>
      <c r="F4" s="25"/>
      <c r="G4" s="23">
        <v>796700</v>
      </c>
      <c r="H4" s="25"/>
      <c r="I4" s="23">
        <v>348000</v>
      </c>
      <c r="K4" s="27"/>
      <c r="L4" s="27"/>
      <c r="M4" s="27"/>
    </row>
    <row r="5" spans="1:13" ht="33" customHeight="1" x14ac:dyDescent="0.25">
      <c r="A5" s="28">
        <v>44197</v>
      </c>
      <c r="B5" s="38"/>
      <c r="C5" s="29">
        <v>0</v>
      </c>
      <c r="D5" s="30">
        <v>4629</v>
      </c>
      <c r="E5" s="29">
        <v>0</v>
      </c>
      <c r="F5" s="30">
        <v>258.22000000000003</v>
      </c>
      <c r="G5" s="29">
        <v>0</v>
      </c>
      <c r="H5" s="30" t="str">
        <f>IF((G5-G4&lt;0), "0",G5-G4)</f>
        <v>0</v>
      </c>
      <c r="I5" s="29">
        <v>0</v>
      </c>
      <c r="J5" s="30">
        <v>56</v>
      </c>
      <c r="K5" s="31">
        <v>5</v>
      </c>
      <c r="L5" s="31">
        <v>129</v>
      </c>
      <c r="M5" s="31"/>
    </row>
    <row r="6" spans="1:13" ht="45" customHeight="1" x14ac:dyDescent="0.25">
      <c r="A6" s="28">
        <v>44198</v>
      </c>
      <c r="B6" s="38"/>
      <c r="C6" s="29">
        <v>0</v>
      </c>
      <c r="D6" s="30">
        <v>4596</v>
      </c>
      <c r="E6" s="29">
        <v>0</v>
      </c>
      <c r="F6" s="30">
        <v>246.12</v>
      </c>
      <c r="G6" s="29">
        <v>0</v>
      </c>
      <c r="H6" s="30">
        <f t="shared" ref="H6:H35" si="0">IF((G6-G5&lt;0), "0",G6-G5)</f>
        <v>0</v>
      </c>
      <c r="I6" s="29">
        <v>0</v>
      </c>
      <c r="J6" s="30">
        <v>59</v>
      </c>
      <c r="K6" s="12">
        <v>8</v>
      </c>
      <c r="L6" s="12">
        <v>122</v>
      </c>
      <c r="M6" s="12"/>
    </row>
    <row r="7" spans="1:13" ht="45" customHeight="1" x14ac:dyDescent="0.25">
      <c r="A7" s="28">
        <v>44199</v>
      </c>
      <c r="B7" s="38"/>
      <c r="C7" s="29">
        <v>0</v>
      </c>
      <c r="D7" s="30">
        <v>4790</v>
      </c>
      <c r="E7" s="29">
        <v>0</v>
      </c>
      <c r="F7" s="30">
        <v>251.09</v>
      </c>
      <c r="G7" s="29">
        <v>0</v>
      </c>
      <c r="H7" s="30">
        <f t="shared" si="0"/>
        <v>0</v>
      </c>
      <c r="I7" s="29">
        <v>0</v>
      </c>
      <c r="J7" s="30">
        <v>63</v>
      </c>
      <c r="K7" s="12">
        <v>15</v>
      </c>
      <c r="L7" s="12">
        <v>142</v>
      </c>
      <c r="M7" s="12"/>
    </row>
    <row r="8" spans="1:13" ht="45" customHeight="1" x14ac:dyDescent="0.25">
      <c r="A8" s="28">
        <v>44200</v>
      </c>
      <c r="B8" s="38"/>
      <c r="C8" s="29">
        <v>0</v>
      </c>
      <c r="D8" s="30">
        <v>4670</v>
      </c>
      <c r="E8" s="29">
        <v>0</v>
      </c>
      <c r="F8" s="30">
        <v>256.89999999999998</v>
      </c>
      <c r="G8" s="29">
        <v>0</v>
      </c>
      <c r="H8" s="30">
        <f t="shared" si="0"/>
        <v>0</v>
      </c>
      <c r="I8" s="29">
        <v>0</v>
      </c>
      <c r="J8" s="30">
        <v>60</v>
      </c>
      <c r="K8" s="12">
        <v>5</v>
      </c>
      <c r="L8" s="12">
        <v>110</v>
      </c>
      <c r="M8" s="12"/>
    </row>
    <row r="9" spans="1:13" ht="45" customHeight="1" x14ac:dyDescent="0.25">
      <c r="A9" s="28">
        <v>44201</v>
      </c>
      <c r="B9" s="38"/>
      <c r="C9" s="29">
        <v>0</v>
      </c>
      <c r="D9" s="30">
        <v>4446</v>
      </c>
      <c r="E9" s="29">
        <v>0</v>
      </c>
      <c r="F9" s="30">
        <v>262.39999999999998</v>
      </c>
      <c r="G9" s="29">
        <v>0</v>
      </c>
      <c r="H9" s="30">
        <f t="shared" si="0"/>
        <v>0</v>
      </c>
      <c r="I9" s="29">
        <v>0</v>
      </c>
      <c r="J9" s="30">
        <v>43</v>
      </c>
      <c r="K9" s="12">
        <v>5</v>
      </c>
      <c r="L9" s="12">
        <v>43</v>
      </c>
      <c r="M9" s="12"/>
    </row>
    <row r="10" spans="1:13" ht="45" customHeight="1" x14ac:dyDescent="0.25">
      <c r="A10" s="28">
        <v>44202</v>
      </c>
      <c r="B10" s="38"/>
      <c r="C10" s="29">
        <v>0</v>
      </c>
      <c r="D10" s="30">
        <v>4322</v>
      </c>
      <c r="E10" s="29">
        <v>0</v>
      </c>
      <c r="F10" s="30">
        <v>259.14</v>
      </c>
      <c r="G10" s="29">
        <v>0</v>
      </c>
      <c r="H10" s="30">
        <f t="shared" si="0"/>
        <v>0</v>
      </c>
      <c r="I10" s="29">
        <v>0</v>
      </c>
      <c r="J10" s="30">
        <v>45</v>
      </c>
      <c r="K10" s="12">
        <v>2</v>
      </c>
      <c r="L10" s="12">
        <v>55</v>
      </c>
      <c r="M10" s="12"/>
    </row>
    <row r="11" spans="1:13" ht="45" customHeight="1" x14ac:dyDescent="0.25">
      <c r="A11" s="28">
        <v>44203</v>
      </c>
      <c r="B11" s="38"/>
      <c r="C11" s="29">
        <v>0</v>
      </c>
      <c r="D11" s="30">
        <v>4289</v>
      </c>
      <c r="E11" s="29">
        <v>0</v>
      </c>
      <c r="F11" s="30">
        <v>256.8</v>
      </c>
      <c r="G11" s="29">
        <v>0</v>
      </c>
      <c r="H11" s="30">
        <f t="shared" si="0"/>
        <v>0</v>
      </c>
      <c r="I11" s="29">
        <v>0</v>
      </c>
      <c r="J11" s="30">
        <v>41</v>
      </c>
      <c r="K11" s="12">
        <v>3</v>
      </c>
      <c r="L11" s="12">
        <v>62</v>
      </c>
      <c r="M11" s="12"/>
    </row>
    <row r="12" spans="1:13" ht="45" customHeight="1" x14ac:dyDescent="0.25">
      <c r="A12" s="28">
        <v>44204</v>
      </c>
      <c r="B12" s="38"/>
      <c r="C12" s="29">
        <v>0</v>
      </c>
      <c r="D12" s="30">
        <v>4465</v>
      </c>
      <c r="E12" s="29">
        <v>0</v>
      </c>
      <c r="F12" s="30">
        <v>261.12</v>
      </c>
      <c r="G12" s="29">
        <v>0</v>
      </c>
      <c r="H12" s="30">
        <f t="shared" si="0"/>
        <v>0</v>
      </c>
      <c r="I12" s="29">
        <v>0</v>
      </c>
      <c r="J12" s="30">
        <v>43</v>
      </c>
      <c r="K12" s="12">
        <v>7</v>
      </c>
      <c r="L12" s="12">
        <v>65</v>
      </c>
      <c r="M12" s="12"/>
    </row>
    <row r="13" spans="1:13" ht="45" customHeight="1" x14ac:dyDescent="0.25">
      <c r="A13" s="28">
        <v>44205</v>
      </c>
      <c r="B13" s="38"/>
      <c r="C13" s="29">
        <v>0</v>
      </c>
      <c r="D13" s="30">
        <v>4491</v>
      </c>
      <c r="E13" s="29">
        <v>0</v>
      </c>
      <c r="F13" s="30">
        <v>247.14</v>
      </c>
      <c r="G13" s="29">
        <v>0</v>
      </c>
      <c r="H13" s="30">
        <f t="shared" si="0"/>
        <v>0</v>
      </c>
      <c r="I13" s="29">
        <v>0</v>
      </c>
      <c r="J13" s="30">
        <v>47</v>
      </c>
      <c r="K13" s="12">
        <v>7</v>
      </c>
      <c r="L13" s="12">
        <v>73</v>
      </c>
      <c r="M13" s="12"/>
    </row>
    <row r="14" spans="1:13" ht="45" customHeight="1" x14ac:dyDescent="0.25">
      <c r="A14" s="28">
        <v>44206</v>
      </c>
      <c r="B14" s="38"/>
      <c r="C14" s="29">
        <v>0</v>
      </c>
      <c r="D14" s="30">
        <v>4550</v>
      </c>
      <c r="E14" s="29">
        <v>0</v>
      </c>
      <c r="F14" s="30">
        <v>248.15</v>
      </c>
      <c r="G14" s="29">
        <v>0</v>
      </c>
      <c r="H14" s="30">
        <f t="shared" si="0"/>
        <v>0</v>
      </c>
      <c r="I14" s="29">
        <v>0</v>
      </c>
      <c r="J14" s="30">
        <v>57</v>
      </c>
      <c r="K14" s="12">
        <v>11</v>
      </c>
      <c r="L14" s="12">
        <v>93</v>
      </c>
      <c r="M14" s="12"/>
    </row>
    <row r="15" spans="1:13" ht="45" customHeight="1" x14ac:dyDescent="0.25">
      <c r="A15" s="28">
        <v>44207</v>
      </c>
      <c r="B15" s="38"/>
      <c r="C15" s="29">
        <v>0</v>
      </c>
      <c r="D15" s="30">
        <f t="shared" ref="D15:D22" si="1">IF((C15-C14&lt;0), "0",C15-C14)</f>
        <v>0</v>
      </c>
      <c r="E15" s="29">
        <v>0</v>
      </c>
      <c r="F15" s="30">
        <f t="shared" ref="F15:F35" si="2">IF((E15-E14&lt;0), "0",E15-E14)</f>
        <v>0</v>
      </c>
      <c r="G15" s="29">
        <v>0</v>
      </c>
      <c r="H15" s="30">
        <f t="shared" si="0"/>
        <v>0</v>
      </c>
      <c r="I15" s="29">
        <v>0</v>
      </c>
      <c r="J15" s="30">
        <f t="shared" ref="J15:J35" si="3">IF((I15-I14&lt;0), "0",I15-I14)</f>
        <v>0</v>
      </c>
      <c r="K15" s="12"/>
      <c r="L15" s="12"/>
      <c r="M15" s="12"/>
    </row>
    <row r="16" spans="1:13" ht="45" customHeight="1" x14ac:dyDescent="0.25">
      <c r="A16" s="28">
        <v>44208</v>
      </c>
      <c r="B16" s="38"/>
      <c r="C16" s="29">
        <v>0</v>
      </c>
      <c r="D16" s="30">
        <f t="shared" si="1"/>
        <v>0</v>
      </c>
      <c r="E16" s="29">
        <v>0</v>
      </c>
      <c r="F16" s="30">
        <f t="shared" si="2"/>
        <v>0</v>
      </c>
      <c r="G16" s="29">
        <v>0</v>
      </c>
      <c r="H16" s="30">
        <f t="shared" si="0"/>
        <v>0</v>
      </c>
      <c r="I16" s="29">
        <v>0</v>
      </c>
      <c r="J16" s="30">
        <f t="shared" si="3"/>
        <v>0</v>
      </c>
      <c r="K16" s="12"/>
      <c r="L16" s="12"/>
      <c r="M16" s="12"/>
    </row>
    <row r="17" spans="1:13" ht="45" customHeight="1" x14ac:dyDescent="0.25">
      <c r="A17" s="28">
        <v>44209</v>
      </c>
      <c r="B17" s="38"/>
      <c r="C17" s="29">
        <v>0</v>
      </c>
      <c r="D17" s="30">
        <f t="shared" si="1"/>
        <v>0</v>
      </c>
      <c r="E17" s="29">
        <v>0</v>
      </c>
      <c r="F17" s="30">
        <f t="shared" si="2"/>
        <v>0</v>
      </c>
      <c r="G17" s="29">
        <v>0</v>
      </c>
      <c r="H17" s="30">
        <f t="shared" si="0"/>
        <v>0</v>
      </c>
      <c r="I17" s="29">
        <v>0</v>
      </c>
      <c r="J17" s="30">
        <f t="shared" si="3"/>
        <v>0</v>
      </c>
      <c r="K17" s="12"/>
      <c r="L17" s="12"/>
      <c r="M17" s="12"/>
    </row>
    <row r="18" spans="1:13" ht="45" customHeight="1" x14ac:dyDescent="0.25">
      <c r="A18" s="28">
        <v>44210</v>
      </c>
      <c r="B18" s="38"/>
      <c r="C18" s="29">
        <v>0</v>
      </c>
      <c r="D18" s="30">
        <f t="shared" si="1"/>
        <v>0</v>
      </c>
      <c r="E18" s="29">
        <v>0</v>
      </c>
      <c r="F18" s="30">
        <f t="shared" si="2"/>
        <v>0</v>
      </c>
      <c r="G18" s="29">
        <v>0</v>
      </c>
      <c r="H18" s="30">
        <f t="shared" si="0"/>
        <v>0</v>
      </c>
      <c r="I18" s="29">
        <v>0</v>
      </c>
      <c r="J18" s="30">
        <f t="shared" si="3"/>
        <v>0</v>
      </c>
      <c r="K18" s="12"/>
      <c r="L18" s="12"/>
      <c r="M18" s="12"/>
    </row>
    <row r="19" spans="1:13" ht="45" customHeight="1" x14ac:dyDescent="0.25">
      <c r="A19" s="28">
        <v>44211</v>
      </c>
      <c r="B19" s="38"/>
      <c r="C19" s="29">
        <v>0</v>
      </c>
      <c r="D19" s="30">
        <f t="shared" si="1"/>
        <v>0</v>
      </c>
      <c r="E19" s="29">
        <v>0</v>
      </c>
      <c r="F19" s="30">
        <f t="shared" si="2"/>
        <v>0</v>
      </c>
      <c r="G19" s="29">
        <v>0</v>
      </c>
      <c r="H19" s="30">
        <f t="shared" si="0"/>
        <v>0</v>
      </c>
      <c r="I19" s="29">
        <v>0</v>
      </c>
      <c r="J19" s="30">
        <f t="shared" si="3"/>
        <v>0</v>
      </c>
      <c r="K19" s="12"/>
      <c r="L19" s="12"/>
      <c r="M19" s="12"/>
    </row>
    <row r="20" spans="1:13" ht="45" customHeight="1" x14ac:dyDescent="0.25">
      <c r="A20" s="28">
        <v>44212</v>
      </c>
      <c r="B20" s="38"/>
      <c r="C20" s="29">
        <v>0</v>
      </c>
      <c r="D20" s="30">
        <f t="shared" si="1"/>
        <v>0</v>
      </c>
      <c r="E20" s="29">
        <v>0</v>
      </c>
      <c r="F20" s="30">
        <f t="shared" si="2"/>
        <v>0</v>
      </c>
      <c r="G20" s="29">
        <v>0</v>
      </c>
      <c r="H20" s="30">
        <f t="shared" si="0"/>
        <v>0</v>
      </c>
      <c r="I20" s="29">
        <v>0</v>
      </c>
      <c r="J20" s="30">
        <f t="shared" si="3"/>
        <v>0</v>
      </c>
      <c r="K20" s="12"/>
      <c r="L20" s="12"/>
      <c r="M20" s="12"/>
    </row>
    <row r="21" spans="1:13" ht="45" customHeight="1" x14ac:dyDescent="0.25">
      <c r="A21" s="28">
        <v>44213</v>
      </c>
      <c r="B21" s="38"/>
      <c r="C21" s="29">
        <v>0</v>
      </c>
      <c r="D21" s="30">
        <f t="shared" si="1"/>
        <v>0</v>
      </c>
      <c r="E21" s="29">
        <v>0</v>
      </c>
      <c r="F21" s="30">
        <f t="shared" si="2"/>
        <v>0</v>
      </c>
      <c r="G21" s="29">
        <v>0</v>
      </c>
      <c r="H21" s="30">
        <f t="shared" si="0"/>
        <v>0</v>
      </c>
      <c r="I21" s="29">
        <v>0</v>
      </c>
      <c r="J21" s="30">
        <f t="shared" si="3"/>
        <v>0</v>
      </c>
      <c r="K21" s="12"/>
      <c r="L21" s="12"/>
      <c r="M21" s="12"/>
    </row>
    <row r="22" spans="1:13" ht="45" customHeight="1" x14ac:dyDescent="0.25">
      <c r="A22" s="28">
        <v>44214</v>
      </c>
      <c r="B22" s="38"/>
      <c r="C22" s="29">
        <v>0</v>
      </c>
      <c r="D22" s="30">
        <f t="shared" si="1"/>
        <v>0</v>
      </c>
      <c r="E22" s="29">
        <v>0</v>
      </c>
      <c r="F22" s="30">
        <f t="shared" si="2"/>
        <v>0</v>
      </c>
      <c r="G22" s="29">
        <v>0</v>
      </c>
      <c r="H22" s="30">
        <f t="shared" si="0"/>
        <v>0</v>
      </c>
      <c r="I22" s="29">
        <v>0</v>
      </c>
      <c r="J22" s="30">
        <f t="shared" si="3"/>
        <v>0</v>
      </c>
      <c r="K22" s="12"/>
      <c r="L22" s="12"/>
      <c r="M22" s="12"/>
    </row>
    <row r="23" spans="1:13" ht="45" customHeight="1" x14ac:dyDescent="0.25">
      <c r="A23" s="28">
        <v>44215</v>
      </c>
      <c r="B23" s="38"/>
      <c r="C23" s="29">
        <v>0</v>
      </c>
      <c r="D23" s="30">
        <f>IF((C23-C22&lt;0), "0",C23-C22)</f>
        <v>0</v>
      </c>
      <c r="E23" s="29">
        <v>0</v>
      </c>
      <c r="F23" s="30">
        <f t="shared" si="2"/>
        <v>0</v>
      </c>
      <c r="G23" s="29">
        <v>0</v>
      </c>
      <c r="H23" s="30">
        <f t="shared" si="0"/>
        <v>0</v>
      </c>
      <c r="I23" s="29">
        <v>0</v>
      </c>
      <c r="J23" s="30">
        <f t="shared" si="3"/>
        <v>0</v>
      </c>
      <c r="K23" s="12"/>
      <c r="L23" s="12"/>
      <c r="M23" s="12"/>
    </row>
    <row r="24" spans="1:13" ht="45" customHeight="1" x14ac:dyDescent="0.25">
      <c r="A24" s="28">
        <v>44216</v>
      </c>
      <c r="B24" s="38"/>
      <c r="C24" s="29">
        <v>0</v>
      </c>
      <c r="D24" s="30">
        <f t="shared" ref="D24:D35" si="4">IF((C24-C23&lt;0), "0",C24-C23)</f>
        <v>0</v>
      </c>
      <c r="E24" s="29">
        <v>0</v>
      </c>
      <c r="F24" s="30">
        <f t="shared" si="2"/>
        <v>0</v>
      </c>
      <c r="G24" s="29">
        <v>0</v>
      </c>
      <c r="H24" s="30">
        <f t="shared" si="0"/>
        <v>0</v>
      </c>
      <c r="I24" s="29">
        <v>0</v>
      </c>
      <c r="J24" s="30">
        <f t="shared" si="3"/>
        <v>0</v>
      </c>
      <c r="K24" s="12"/>
      <c r="L24" s="12"/>
      <c r="M24" s="12"/>
    </row>
    <row r="25" spans="1:13" ht="45" customHeight="1" x14ac:dyDescent="0.25">
      <c r="A25" s="28">
        <v>44217</v>
      </c>
      <c r="B25" s="38"/>
      <c r="C25" s="29">
        <v>0</v>
      </c>
      <c r="D25" s="30">
        <f t="shared" si="4"/>
        <v>0</v>
      </c>
      <c r="E25" s="29">
        <v>0</v>
      </c>
      <c r="F25" s="30">
        <f t="shared" si="2"/>
        <v>0</v>
      </c>
      <c r="G25" s="29">
        <v>0</v>
      </c>
      <c r="H25" s="30">
        <f t="shared" si="0"/>
        <v>0</v>
      </c>
      <c r="I25" s="29">
        <v>0</v>
      </c>
      <c r="J25" s="30">
        <f t="shared" si="3"/>
        <v>0</v>
      </c>
      <c r="K25" s="12"/>
      <c r="L25" s="12"/>
      <c r="M25" s="12"/>
    </row>
    <row r="26" spans="1:13" ht="45" customHeight="1" x14ac:dyDescent="0.25">
      <c r="A26" s="28">
        <v>44218</v>
      </c>
      <c r="B26" s="38"/>
      <c r="C26" s="29">
        <v>0</v>
      </c>
      <c r="D26" s="30">
        <f t="shared" si="4"/>
        <v>0</v>
      </c>
      <c r="E26" s="29">
        <v>0</v>
      </c>
      <c r="F26" s="30">
        <f t="shared" si="2"/>
        <v>0</v>
      </c>
      <c r="G26" s="29">
        <v>0</v>
      </c>
      <c r="H26" s="30">
        <f t="shared" si="0"/>
        <v>0</v>
      </c>
      <c r="I26" s="29">
        <v>0</v>
      </c>
      <c r="J26" s="30">
        <f t="shared" si="3"/>
        <v>0</v>
      </c>
      <c r="K26" s="12"/>
      <c r="L26" s="12"/>
      <c r="M26" s="12"/>
    </row>
    <row r="27" spans="1:13" ht="45" customHeight="1" x14ac:dyDescent="0.25">
      <c r="A27" s="28">
        <v>44219</v>
      </c>
      <c r="B27" s="38"/>
      <c r="C27" s="29">
        <v>0</v>
      </c>
      <c r="D27" s="30">
        <f t="shared" si="4"/>
        <v>0</v>
      </c>
      <c r="E27" s="29">
        <v>0</v>
      </c>
      <c r="F27" s="30">
        <f t="shared" si="2"/>
        <v>0</v>
      </c>
      <c r="G27" s="29">
        <v>0</v>
      </c>
      <c r="H27" s="30">
        <f t="shared" si="0"/>
        <v>0</v>
      </c>
      <c r="I27" s="29">
        <v>0</v>
      </c>
      <c r="J27" s="30">
        <f t="shared" si="3"/>
        <v>0</v>
      </c>
      <c r="K27" s="12"/>
      <c r="L27" s="12"/>
      <c r="M27" s="12"/>
    </row>
    <row r="28" spans="1:13" ht="45" customHeight="1" x14ac:dyDescent="0.25">
      <c r="A28" s="28">
        <v>44220</v>
      </c>
      <c r="B28" s="38"/>
      <c r="C28" s="29">
        <v>0</v>
      </c>
      <c r="D28" s="30">
        <f t="shared" si="4"/>
        <v>0</v>
      </c>
      <c r="E28" s="29">
        <v>0</v>
      </c>
      <c r="F28" s="30">
        <f t="shared" si="2"/>
        <v>0</v>
      </c>
      <c r="G28" s="29">
        <v>0</v>
      </c>
      <c r="H28" s="30">
        <f t="shared" si="0"/>
        <v>0</v>
      </c>
      <c r="I28" s="29">
        <v>0</v>
      </c>
      <c r="J28" s="30">
        <f t="shared" si="3"/>
        <v>0</v>
      </c>
      <c r="K28" s="12"/>
      <c r="L28" s="12"/>
      <c r="M28" s="12"/>
    </row>
    <row r="29" spans="1:13" ht="45" customHeight="1" x14ac:dyDescent="0.25">
      <c r="A29" s="28">
        <v>44221</v>
      </c>
      <c r="B29" s="38"/>
      <c r="C29" s="29">
        <v>0</v>
      </c>
      <c r="D29" s="30">
        <f t="shared" si="4"/>
        <v>0</v>
      </c>
      <c r="E29" s="29">
        <v>0</v>
      </c>
      <c r="F29" s="30">
        <f t="shared" si="2"/>
        <v>0</v>
      </c>
      <c r="G29" s="29">
        <v>0</v>
      </c>
      <c r="H29" s="30">
        <f t="shared" si="0"/>
        <v>0</v>
      </c>
      <c r="I29" s="29">
        <v>0</v>
      </c>
      <c r="J29" s="30">
        <f t="shared" si="3"/>
        <v>0</v>
      </c>
      <c r="K29" s="12"/>
      <c r="L29" s="12"/>
      <c r="M29" s="12"/>
    </row>
    <row r="30" spans="1:13" ht="45" customHeight="1" x14ac:dyDescent="0.25">
      <c r="A30" s="28">
        <v>44222</v>
      </c>
      <c r="B30" s="38"/>
      <c r="C30" s="29">
        <v>0</v>
      </c>
      <c r="D30" s="30">
        <f t="shared" si="4"/>
        <v>0</v>
      </c>
      <c r="E30" s="29">
        <v>0</v>
      </c>
      <c r="F30" s="30">
        <f t="shared" si="2"/>
        <v>0</v>
      </c>
      <c r="G30" s="29">
        <v>0</v>
      </c>
      <c r="H30" s="30">
        <f t="shared" si="0"/>
        <v>0</v>
      </c>
      <c r="I30" s="29">
        <v>0</v>
      </c>
      <c r="J30" s="30">
        <f t="shared" si="3"/>
        <v>0</v>
      </c>
      <c r="K30" s="12"/>
      <c r="L30" s="12"/>
      <c r="M30" s="12"/>
    </row>
    <row r="31" spans="1:13" ht="45" customHeight="1" x14ac:dyDescent="0.25">
      <c r="A31" s="28">
        <v>44223</v>
      </c>
      <c r="B31" s="38"/>
      <c r="C31" s="29">
        <v>0</v>
      </c>
      <c r="D31" s="30">
        <f t="shared" si="4"/>
        <v>0</v>
      </c>
      <c r="E31" s="29">
        <v>0</v>
      </c>
      <c r="F31" s="30">
        <f t="shared" si="2"/>
        <v>0</v>
      </c>
      <c r="G31" s="29">
        <v>0</v>
      </c>
      <c r="H31" s="30">
        <f t="shared" si="0"/>
        <v>0</v>
      </c>
      <c r="I31" s="29">
        <v>0</v>
      </c>
      <c r="J31" s="30">
        <f t="shared" si="3"/>
        <v>0</v>
      </c>
      <c r="K31" s="12"/>
      <c r="L31" s="12"/>
      <c r="M31" s="12"/>
    </row>
    <row r="32" spans="1:13" ht="45" customHeight="1" x14ac:dyDescent="0.25">
      <c r="A32" s="28">
        <v>44224</v>
      </c>
      <c r="B32" s="38"/>
      <c r="C32" s="29">
        <v>0</v>
      </c>
      <c r="D32" s="30">
        <f t="shared" si="4"/>
        <v>0</v>
      </c>
      <c r="E32" s="29">
        <v>0</v>
      </c>
      <c r="F32" s="30">
        <f t="shared" si="2"/>
        <v>0</v>
      </c>
      <c r="G32" s="29">
        <v>0</v>
      </c>
      <c r="H32" s="30">
        <f t="shared" si="0"/>
        <v>0</v>
      </c>
      <c r="I32" s="29">
        <v>0</v>
      </c>
      <c r="J32" s="30">
        <f t="shared" si="3"/>
        <v>0</v>
      </c>
      <c r="K32" s="12"/>
      <c r="L32" s="12"/>
      <c r="M32" s="12"/>
    </row>
    <row r="33" spans="1:13" ht="36" customHeight="1" x14ac:dyDescent="0.25">
      <c r="A33" s="28">
        <v>44225</v>
      </c>
      <c r="C33" s="29">
        <v>0</v>
      </c>
      <c r="D33" s="30">
        <f t="shared" si="4"/>
        <v>0</v>
      </c>
      <c r="E33" s="29">
        <v>0</v>
      </c>
      <c r="F33" s="30">
        <f t="shared" si="2"/>
        <v>0</v>
      </c>
      <c r="G33" s="29">
        <v>0</v>
      </c>
      <c r="H33" s="30">
        <f t="shared" si="0"/>
        <v>0</v>
      </c>
      <c r="I33" s="29">
        <v>0</v>
      </c>
      <c r="J33" s="30">
        <f t="shared" si="3"/>
        <v>0</v>
      </c>
      <c r="K33" s="12"/>
      <c r="L33" s="12"/>
      <c r="M33" s="12"/>
    </row>
    <row r="34" spans="1:13" ht="45.6" customHeight="1" x14ac:dyDescent="0.25">
      <c r="A34" s="28">
        <v>44226</v>
      </c>
      <c r="C34" s="29">
        <v>0</v>
      </c>
      <c r="D34" s="30">
        <f t="shared" si="4"/>
        <v>0</v>
      </c>
      <c r="E34" s="29">
        <v>0</v>
      </c>
      <c r="F34" s="30">
        <f t="shared" si="2"/>
        <v>0</v>
      </c>
      <c r="G34" s="29">
        <v>0</v>
      </c>
      <c r="H34" s="30">
        <f t="shared" si="0"/>
        <v>0</v>
      </c>
      <c r="I34" s="29">
        <v>0</v>
      </c>
      <c r="J34" s="30">
        <f t="shared" si="3"/>
        <v>0</v>
      </c>
      <c r="K34" s="12"/>
      <c r="L34" s="12"/>
      <c r="M34" s="12"/>
    </row>
    <row r="35" spans="1:13" ht="47.45" customHeight="1" x14ac:dyDescent="0.25">
      <c r="A35" s="28">
        <v>44227</v>
      </c>
      <c r="C35" s="29">
        <v>0</v>
      </c>
      <c r="D35" s="30">
        <f t="shared" si="4"/>
        <v>0</v>
      </c>
      <c r="E35" s="29">
        <v>0</v>
      </c>
      <c r="F35" s="30">
        <f t="shared" si="2"/>
        <v>0</v>
      </c>
      <c r="G35" s="29">
        <v>0</v>
      </c>
      <c r="H35" s="30">
        <f t="shared" si="0"/>
        <v>0</v>
      </c>
      <c r="I35" s="29">
        <v>0</v>
      </c>
      <c r="J35" s="30">
        <f t="shared" si="3"/>
        <v>0</v>
      </c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J. El Khoury</cp:lastModifiedBy>
  <cp:lastPrinted>2020-10-01T03:34:29Z</cp:lastPrinted>
  <dcterms:created xsi:type="dcterms:W3CDTF">2009-02-11T09:03:59Z</dcterms:created>
  <dcterms:modified xsi:type="dcterms:W3CDTF">2021-01-19T10:15:01Z</dcterms:modified>
</cp:coreProperties>
</file>