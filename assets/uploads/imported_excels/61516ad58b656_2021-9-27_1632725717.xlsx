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I:\FSENG\HEP\"/>
    </mc:Choice>
  </mc:AlternateContent>
  <bookViews>
    <workbookView xWindow="-105" yWindow="-105" windowWidth="19425" windowHeight="10425" activeTab="2"/>
  </bookViews>
  <sheets>
    <sheet name="TOTAL" sheetId="1" r:id="rId1"/>
    <sheet name="Submetering" sheetId="3" r:id="rId2"/>
    <sheet name="FS-AD Daily " sheetId="2" r:id="rId3"/>
  </sheets>
  <calcPr calcId="162913"/>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I33" i="1" l="1"/>
  <c r="G33" i="1" l="1"/>
  <c r="E33" i="1"/>
  <c r="AH36" i="2" l="1"/>
  <c r="AG36" i="2"/>
  <c r="AF36" i="2"/>
  <c r="V36" i="2"/>
  <c r="Q36" i="2" l="1"/>
  <c r="P36" i="2"/>
  <c r="O36" i="2"/>
  <c r="N36" i="2"/>
  <c r="M36" i="2"/>
  <c r="B36" i="2"/>
  <c r="J36" i="2"/>
  <c r="I36" i="2"/>
  <c r="H36" i="2"/>
  <c r="G36" i="2"/>
  <c r="F36" i="2"/>
  <c r="E36" i="2"/>
  <c r="D36" i="2"/>
  <c r="C36" i="2"/>
  <c r="AH35" i="2" l="1"/>
  <c r="AG35" i="2"/>
  <c r="AF35" i="2"/>
  <c r="AH34" i="2"/>
  <c r="AG34" i="2"/>
  <c r="AF34" i="2"/>
  <c r="V35" i="2"/>
  <c r="V34" i="2"/>
  <c r="Q35" i="2"/>
  <c r="P35" i="2"/>
  <c r="Q34" i="2"/>
  <c r="P34" i="2"/>
  <c r="O35" i="2"/>
  <c r="N35" i="2"/>
  <c r="M35" i="2"/>
  <c r="O34" i="2"/>
  <c r="N34" i="2"/>
  <c r="M34" i="2"/>
  <c r="J35" i="2" l="1"/>
  <c r="I35" i="2"/>
  <c r="H35" i="2"/>
  <c r="G35" i="2"/>
  <c r="F35" i="2"/>
  <c r="E35" i="2"/>
  <c r="D35" i="2"/>
  <c r="C35" i="2"/>
  <c r="B35" i="2"/>
  <c r="J34" i="2"/>
  <c r="I34" i="2"/>
  <c r="H34" i="2"/>
  <c r="G34" i="2"/>
  <c r="F34" i="2"/>
  <c r="E34" i="2"/>
  <c r="D34" i="2"/>
  <c r="C34" i="2"/>
  <c r="B34" i="2"/>
  <c r="AH33" i="2" l="1"/>
  <c r="AG33" i="2"/>
  <c r="AF33" i="2"/>
  <c r="V33" i="2"/>
  <c r="Q33" i="2" l="1"/>
  <c r="P33" i="2"/>
  <c r="O33" i="2"/>
  <c r="N33" i="2"/>
  <c r="M33" i="2"/>
  <c r="J33" i="2"/>
  <c r="I33" i="2"/>
  <c r="H33" i="2"/>
  <c r="G33" i="2"/>
  <c r="F33" i="2"/>
  <c r="E33" i="2"/>
  <c r="D33" i="2"/>
  <c r="C33" i="2"/>
  <c r="B33" i="2"/>
  <c r="AG32" i="2" l="1"/>
  <c r="AH32" i="2"/>
  <c r="AF32" i="2"/>
  <c r="V32" i="2"/>
  <c r="Q32" i="2" l="1"/>
  <c r="P32" i="2"/>
  <c r="O32" i="2"/>
  <c r="N32" i="2"/>
  <c r="M32" i="2"/>
  <c r="J32" i="2" l="1"/>
  <c r="I32" i="2"/>
  <c r="H32" i="2"/>
  <c r="G32" i="2"/>
  <c r="F32" i="2"/>
  <c r="E32" i="2"/>
  <c r="D32" i="2"/>
  <c r="C32" i="2"/>
  <c r="B32" i="2"/>
  <c r="AH31" i="2" l="1"/>
  <c r="AG31" i="2"/>
  <c r="AF31" i="2"/>
  <c r="V31" i="2"/>
  <c r="Q31" i="2" l="1"/>
  <c r="P31" i="2"/>
  <c r="O31" i="2"/>
  <c r="N31" i="2"/>
  <c r="M31" i="2"/>
  <c r="J31" i="2" l="1"/>
  <c r="I31" i="2"/>
  <c r="H31" i="2"/>
  <c r="G31" i="2"/>
  <c r="F31" i="2"/>
  <c r="E31" i="2"/>
  <c r="D31" i="2"/>
  <c r="C31" i="2"/>
  <c r="B31" i="2"/>
  <c r="AH30" i="2" l="1"/>
  <c r="AG30" i="2"/>
  <c r="AF30" i="2"/>
  <c r="V30" i="2"/>
  <c r="Q30" i="2" l="1"/>
  <c r="P30" i="2"/>
  <c r="O30" i="2"/>
  <c r="N30" i="2"/>
  <c r="M30" i="2"/>
  <c r="J30" i="2" l="1"/>
  <c r="I30" i="2"/>
  <c r="H30" i="2"/>
  <c r="G30" i="2"/>
  <c r="F30" i="2"/>
  <c r="E30" i="2"/>
  <c r="D30" i="2"/>
  <c r="C30" i="2"/>
  <c r="B30" i="2"/>
  <c r="AH29" i="2" l="1"/>
  <c r="AG29" i="2"/>
  <c r="AF29" i="2"/>
  <c r="AH28" i="2"/>
  <c r="AG28" i="2"/>
  <c r="AF28" i="2"/>
  <c r="AH27" i="2"/>
  <c r="AG27" i="2"/>
  <c r="AF27" i="2"/>
  <c r="AH26" i="2"/>
  <c r="AG26" i="2"/>
  <c r="AF26" i="2"/>
  <c r="V29" i="2"/>
  <c r="V28" i="2"/>
  <c r="V27" i="2"/>
  <c r="V26" i="2"/>
  <c r="Q29" i="2"/>
  <c r="P29" i="2"/>
  <c r="Q28" i="2"/>
  <c r="P28" i="2"/>
  <c r="Q27" i="2"/>
  <c r="P27" i="2"/>
  <c r="Q26" i="2"/>
  <c r="P26" i="2"/>
  <c r="O29" i="2"/>
  <c r="N29" i="2"/>
  <c r="M29" i="2"/>
  <c r="O28" i="2"/>
  <c r="N28" i="2"/>
  <c r="M28" i="2"/>
  <c r="O27" i="2"/>
  <c r="N27" i="2"/>
  <c r="M27" i="2"/>
  <c r="O26" i="2"/>
  <c r="N26" i="2"/>
  <c r="M26" i="2"/>
  <c r="J29" i="2" l="1"/>
  <c r="I29" i="2"/>
  <c r="H29" i="2"/>
  <c r="G29" i="2"/>
  <c r="F29" i="2"/>
  <c r="E29" i="2"/>
  <c r="D29" i="2"/>
  <c r="C29" i="2"/>
  <c r="B29" i="2"/>
  <c r="J28" i="2"/>
  <c r="I28" i="2"/>
  <c r="H28" i="2"/>
  <c r="G28" i="2"/>
  <c r="F28" i="2"/>
  <c r="E28" i="2"/>
  <c r="D28" i="2"/>
  <c r="C28" i="2"/>
  <c r="B28" i="2"/>
  <c r="J27" i="2"/>
  <c r="I27" i="2"/>
  <c r="H27" i="2"/>
  <c r="G27" i="2"/>
  <c r="F27" i="2"/>
  <c r="E27" i="2"/>
  <c r="D27" i="2"/>
  <c r="C27" i="2"/>
  <c r="B27" i="2"/>
  <c r="J26" i="2"/>
  <c r="I26" i="2"/>
  <c r="H26" i="2"/>
  <c r="G26" i="2"/>
  <c r="F26" i="2"/>
  <c r="E26" i="2"/>
  <c r="D26" i="2"/>
  <c r="C26" i="2"/>
  <c r="B26" i="2"/>
  <c r="AH25" i="2" l="1"/>
  <c r="AG25" i="2"/>
  <c r="AF25" i="2"/>
  <c r="V25" i="2"/>
  <c r="Q25" i="2" l="1"/>
  <c r="P25" i="2"/>
  <c r="O25" i="2"/>
  <c r="N25" i="2"/>
  <c r="M25" i="2"/>
  <c r="J25" i="2" l="1"/>
  <c r="I25" i="2"/>
  <c r="H25" i="2"/>
  <c r="G25" i="2"/>
  <c r="F25" i="2"/>
  <c r="E25" i="2"/>
  <c r="D25" i="2"/>
  <c r="C25" i="2"/>
  <c r="B25" i="2"/>
  <c r="AH24" i="2" l="1"/>
  <c r="AG24" i="2"/>
  <c r="AF24" i="2"/>
  <c r="V24" i="2"/>
  <c r="Q24" i="2" l="1"/>
  <c r="P24" i="2"/>
  <c r="O24" i="2"/>
  <c r="N24" i="2"/>
  <c r="M24" i="2"/>
  <c r="J24" i="2"/>
  <c r="I24" i="2"/>
  <c r="H24" i="2"/>
  <c r="G24" i="2"/>
  <c r="F24" i="2"/>
  <c r="E24" i="2"/>
  <c r="D24" i="2"/>
  <c r="C24" i="2"/>
  <c r="B24" i="2"/>
  <c r="AH23" i="2" l="1"/>
  <c r="AG23" i="2"/>
  <c r="AF23" i="2"/>
  <c r="V23" i="2"/>
  <c r="Q23" i="2" l="1"/>
  <c r="P23" i="2"/>
  <c r="O23" i="2"/>
  <c r="N23" i="2"/>
  <c r="M23" i="2"/>
  <c r="J23" i="2"/>
  <c r="I23" i="2"/>
  <c r="H23" i="2"/>
  <c r="G23" i="2"/>
  <c r="F23" i="2"/>
  <c r="E23" i="2"/>
  <c r="D23" i="2"/>
  <c r="C23" i="2"/>
  <c r="B23" i="2"/>
  <c r="AH22" i="2" l="1"/>
  <c r="AG22" i="2"/>
  <c r="AF22" i="2"/>
  <c r="AH21" i="2"/>
  <c r="AG21" i="2"/>
  <c r="AF21" i="2"/>
  <c r="AH20" i="2"/>
  <c r="AG20" i="2"/>
  <c r="AF20" i="2"/>
  <c r="V22" i="2"/>
  <c r="V21" i="2"/>
  <c r="V20" i="2"/>
  <c r="Q22" i="2" l="1"/>
  <c r="P22" i="2"/>
  <c r="Q21" i="2"/>
  <c r="P21" i="2"/>
  <c r="Q20" i="2"/>
  <c r="P20" i="2"/>
  <c r="O22" i="2"/>
  <c r="N22" i="2"/>
  <c r="M22" i="2"/>
  <c r="O21" i="2"/>
  <c r="N21" i="2"/>
  <c r="M21" i="2"/>
  <c r="O20" i="2"/>
  <c r="N20" i="2"/>
  <c r="M20" i="2"/>
  <c r="J22" i="2" l="1"/>
  <c r="I22" i="2"/>
  <c r="H22" i="2"/>
  <c r="G22" i="2"/>
  <c r="F22" i="2"/>
  <c r="E22" i="2"/>
  <c r="D22" i="2"/>
  <c r="C22" i="2"/>
  <c r="B22" i="2"/>
  <c r="J21" i="2"/>
  <c r="I21" i="2"/>
  <c r="H21" i="2"/>
  <c r="G21" i="2"/>
  <c r="F21" i="2"/>
  <c r="E21" i="2"/>
  <c r="D21" i="2"/>
  <c r="C21" i="2"/>
  <c r="B21" i="2"/>
  <c r="J20" i="2"/>
  <c r="I20" i="2"/>
  <c r="H20" i="2"/>
  <c r="G20" i="2"/>
  <c r="F20" i="2"/>
  <c r="E20" i="2"/>
  <c r="D20" i="2"/>
  <c r="C20" i="2"/>
  <c r="B20" i="2"/>
  <c r="AH19" i="2" l="1"/>
  <c r="AG19" i="2"/>
  <c r="AF19" i="2"/>
  <c r="V19" i="2"/>
  <c r="Q19" i="2" l="1"/>
  <c r="P19" i="2"/>
  <c r="O19" i="2"/>
  <c r="N19" i="2"/>
  <c r="M19" i="2"/>
  <c r="J19" i="2" l="1"/>
  <c r="I19" i="2"/>
  <c r="H19" i="2"/>
  <c r="G19" i="2"/>
  <c r="F19" i="2"/>
  <c r="E19" i="2"/>
  <c r="D19" i="2"/>
  <c r="C19" i="2"/>
  <c r="B19" i="2"/>
  <c r="AH18" i="2" l="1"/>
  <c r="AG18" i="2"/>
  <c r="AF18" i="2"/>
  <c r="V18" i="2"/>
  <c r="Q18" i="2" l="1"/>
  <c r="P18" i="2"/>
  <c r="O18" i="2"/>
  <c r="N18" i="2"/>
  <c r="M18" i="2"/>
  <c r="J18" i="2" l="1"/>
  <c r="I18" i="2"/>
  <c r="H18" i="2"/>
  <c r="G18" i="2"/>
  <c r="F18" i="2"/>
  <c r="E18" i="2"/>
  <c r="D18" i="2"/>
  <c r="C18" i="2"/>
  <c r="B18" i="2"/>
  <c r="AH17" i="2" l="1"/>
  <c r="AG17" i="2"/>
  <c r="AF17" i="2"/>
  <c r="V17" i="2"/>
  <c r="Q17" i="2" l="1"/>
  <c r="P17" i="2"/>
  <c r="O17" i="2"/>
  <c r="N17" i="2"/>
  <c r="M17" i="2"/>
  <c r="J17" i="2" l="1"/>
  <c r="I17" i="2"/>
  <c r="H17" i="2"/>
  <c r="G17" i="2"/>
  <c r="F17" i="2"/>
  <c r="E17" i="2"/>
  <c r="D17" i="2"/>
  <c r="C17" i="2"/>
  <c r="B17" i="2"/>
  <c r="AH16" i="2" l="1"/>
  <c r="AG16" i="2"/>
  <c r="AF16" i="2"/>
  <c r="V16" i="2"/>
  <c r="Q16" i="2" l="1"/>
  <c r="P16" i="2"/>
  <c r="O16" i="2"/>
  <c r="N16" i="2"/>
  <c r="M16" i="2"/>
  <c r="J16" i="2" l="1"/>
  <c r="I16" i="2"/>
  <c r="H16" i="2"/>
  <c r="G16" i="2"/>
  <c r="F16" i="2"/>
  <c r="E16" i="2"/>
  <c r="D16" i="2"/>
  <c r="C16" i="2"/>
  <c r="B16" i="2"/>
  <c r="AH15" i="2" l="1"/>
  <c r="AG15" i="2"/>
  <c r="AF15" i="2"/>
  <c r="V15" i="2"/>
  <c r="Q15" i="2" l="1"/>
  <c r="P15" i="2"/>
  <c r="O15" i="2"/>
  <c r="N15" i="2"/>
  <c r="M15" i="2"/>
  <c r="J15" i="2" l="1"/>
  <c r="I15" i="2"/>
  <c r="H15" i="2"/>
  <c r="G15" i="2"/>
  <c r="F15" i="2"/>
  <c r="E15" i="2"/>
  <c r="D15" i="2"/>
  <c r="C15" i="2"/>
  <c r="B15" i="2"/>
  <c r="AH14" i="2" l="1"/>
  <c r="AG14" i="2"/>
  <c r="AF14" i="2"/>
  <c r="AH13" i="2"/>
  <c r="AG13" i="2"/>
  <c r="AF13" i="2"/>
  <c r="V14" i="2"/>
  <c r="V13" i="2"/>
  <c r="Q14" i="2" l="1"/>
  <c r="P14" i="2"/>
  <c r="Q13" i="2"/>
  <c r="P13" i="2"/>
  <c r="O14" i="2"/>
  <c r="N14" i="2"/>
  <c r="M14" i="2"/>
  <c r="O13" i="2"/>
  <c r="N13" i="2"/>
  <c r="M13" i="2"/>
  <c r="J14" i="2" l="1"/>
  <c r="I14" i="2"/>
  <c r="H14" i="2"/>
  <c r="G14" i="2"/>
  <c r="F14" i="2"/>
  <c r="E14" i="2"/>
  <c r="D14" i="2"/>
  <c r="C14" i="2"/>
  <c r="B14" i="2"/>
  <c r="J13" i="2"/>
  <c r="I13" i="2"/>
  <c r="H13" i="2"/>
  <c r="G13" i="2"/>
  <c r="F13" i="2"/>
  <c r="E13" i="2"/>
  <c r="D13" i="2"/>
  <c r="C13" i="2"/>
  <c r="B13" i="2"/>
  <c r="AH12" i="2" l="1"/>
  <c r="AG12" i="2"/>
  <c r="AF12" i="2"/>
  <c r="V12" i="2"/>
  <c r="Q12" i="2" l="1"/>
  <c r="P12" i="2"/>
  <c r="O12" i="2"/>
  <c r="N12" i="2"/>
  <c r="M12" i="2"/>
  <c r="J12" i="2" l="1"/>
  <c r="I12" i="2"/>
  <c r="H12" i="2"/>
  <c r="G12" i="2"/>
  <c r="F12" i="2"/>
  <c r="E12" i="2"/>
  <c r="D12" i="2"/>
  <c r="C12" i="2"/>
  <c r="B12" i="2"/>
  <c r="AH11" i="2" l="1"/>
  <c r="AG11" i="2"/>
  <c r="AF11" i="2"/>
  <c r="AH10" i="2"/>
  <c r="AG10" i="2"/>
  <c r="AF10" i="2"/>
  <c r="AH9" i="2"/>
  <c r="AG9" i="2"/>
  <c r="AF9" i="2"/>
  <c r="AH8" i="2"/>
  <c r="AG8" i="2"/>
  <c r="AF8" i="2"/>
  <c r="AH7" i="2"/>
  <c r="AG7" i="2"/>
  <c r="AF7" i="2"/>
  <c r="AH6" i="2"/>
  <c r="AG6" i="2"/>
  <c r="AF6" i="2"/>
  <c r="AE8" i="2"/>
  <c r="AE9" i="2"/>
  <c r="AE10" i="2"/>
  <c r="AE11" i="2"/>
  <c r="AE7" i="2"/>
  <c r="AE6" i="2"/>
  <c r="W36" i="2" l="1"/>
  <c r="W35" i="2"/>
  <c r="W34" i="2"/>
  <c r="W33" i="2"/>
  <c r="W32" i="2"/>
  <c r="W31" i="2"/>
  <c r="W30" i="2"/>
  <c r="W29" i="2"/>
  <c r="W28" i="2"/>
  <c r="W27" i="2"/>
  <c r="W26" i="2"/>
  <c r="W25" i="2"/>
  <c r="W24" i="2"/>
  <c r="W23" i="2"/>
  <c r="W22" i="2"/>
  <c r="W21" i="2"/>
  <c r="W20" i="2"/>
  <c r="W19" i="2"/>
  <c r="W18" i="2"/>
  <c r="W17" i="2"/>
  <c r="W16" i="2"/>
  <c r="W15" i="2"/>
  <c r="W14" i="2"/>
  <c r="W13" i="2"/>
  <c r="W12" i="2"/>
  <c r="W11" i="2"/>
  <c r="V11" i="2"/>
  <c r="W10" i="2"/>
  <c r="V10" i="2"/>
  <c r="W9" i="2"/>
  <c r="V9" i="2"/>
  <c r="W8" i="2"/>
  <c r="V8" i="2"/>
  <c r="W7" i="2"/>
  <c r="V7" i="2"/>
  <c r="W6" i="2"/>
  <c r="V6" i="2"/>
  <c r="Q11" i="2" l="1"/>
  <c r="P11" i="2"/>
  <c r="Q10" i="2"/>
  <c r="P10" i="2"/>
  <c r="Q9" i="2"/>
  <c r="P9" i="2"/>
  <c r="Q8" i="2"/>
  <c r="P8" i="2"/>
  <c r="Q7" i="2"/>
  <c r="P7" i="2"/>
  <c r="Q6" i="2"/>
  <c r="P6" i="2"/>
  <c r="O11" i="2"/>
  <c r="N11" i="2"/>
  <c r="M11" i="2"/>
  <c r="O10" i="2"/>
  <c r="N10" i="2"/>
  <c r="M10" i="2"/>
  <c r="O9" i="2"/>
  <c r="N9" i="2"/>
  <c r="M9" i="2"/>
  <c r="O8" i="2"/>
  <c r="N8" i="2"/>
  <c r="M8" i="2"/>
  <c r="O7" i="2"/>
  <c r="N7" i="2"/>
  <c r="M7" i="2"/>
  <c r="O6" i="2"/>
  <c r="N6" i="2"/>
  <c r="M6" i="2"/>
  <c r="J11" i="2" l="1"/>
  <c r="I11" i="2"/>
  <c r="H11" i="2"/>
  <c r="G11" i="2"/>
  <c r="F11" i="2"/>
  <c r="E11" i="2"/>
  <c r="D11" i="2"/>
  <c r="C11" i="2"/>
  <c r="B11" i="2"/>
  <c r="J10" i="2"/>
  <c r="I10" i="2"/>
  <c r="H10" i="2"/>
  <c r="G10" i="2"/>
  <c r="F10" i="2"/>
  <c r="E10" i="2"/>
  <c r="D10" i="2"/>
  <c r="C10" i="2"/>
  <c r="B10" i="2"/>
  <c r="J9" i="2"/>
  <c r="I9" i="2"/>
  <c r="H9" i="2"/>
  <c r="G9" i="2"/>
  <c r="F9" i="2"/>
  <c r="E9" i="2"/>
  <c r="D9" i="2"/>
  <c r="C9" i="2"/>
  <c r="B9" i="2"/>
  <c r="J8" i="2"/>
  <c r="I8" i="2"/>
  <c r="H8" i="2"/>
  <c r="G8" i="2"/>
  <c r="F8" i="2"/>
  <c r="E8" i="2"/>
  <c r="D8" i="2"/>
  <c r="C8" i="2"/>
  <c r="B8" i="2"/>
  <c r="J7" i="2"/>
  <c r="I7" i="2"/>
  <c r="H7" i="2"/>
  <c r="G7" i="2"/>
  <c r="F7" i="2"/>
  <c r="E7" i="2"/>
  <c r="D7" i="2"/>
  <c r="C7" i="2"/>
  <c r="B7" i="2"/>
  <c r="J6" i="2"/>
  <c r="I6" i="2"/>
  <c r="H6" i="2"/>
  <c r="G6" i="2"/>
  <c r="F6" i="2"/>
  <c r="E6" i="2"/>
  <c r="D6" i="2"/>
  <c r="C6" i="2"/>
  <c r="B6" i="2"/>
  <c r="AI8" i="2" l="1"/>
  <c r="AI9" i="2"/>
  <c r="AI10" i="2"/>
  <c r="AI11" i="2"/>
  <c r="AI12" i="2"/>
  <c r="AI13" i="2"/>
  <c r="AI14" i="2"/>
  <c r="AI15" i="2"/>
  <c r="AI16" i="2"/>
  <c r="AI17" i="2"/>
  <c r="AI18" i="2"/>
  <c r="AI19" i="2"/>
  <c r="AI20" i="2"/>
  <c r="AI21" i="2"/>
  <c r="AI22" i="2"/>
  <c r="AI23" i="2"/>
  <c r="AI24" i="2"/>
  <c r="AI25" i="2"/>
  <c r="AI26" i="2"/>
  <c r="AI27" i="2"/>
  <c r="AI28" i="2"/>
  <c r="AI29" i="2"/>
  <c r="AI30" i="2"/>
  <c r="AI31" i="2"/>
  <c r="AI32" i="2"/>
  <c r="AI33" i="2"/>
  <c r="AI34" i="2"/>
  <c r="AI35" i="2"/>
  <c r="AI36" i="2"/>
  <c r="AI7" i="2"/>
  <c r="AC8" i="2"/>
  <c r="AC9" i="2"/>
  <c r="AC10" i="2"/>
  <c r="AC11" i="2"/>
  <c r="AC12" i="2"/>
  <c r="AC13" i="2"/>
  <c r="AC14" i="2"/>
  <c r="AC15" i="2"/>
  <c r="AC16" i="2"/>
  <c r="AC17" i="2"/>
  <c r="AC18" i="2"/>
  <c r="AC19" i="2"/>
  <c r="AC20" i="2"/>
  <c r="AC21" i="2"/>
  <c r="AC22" i="2"/>
  <c r="AC23" i="2"/>
  <c r="AC24" i="2"/>
  <c r="AC25" i="2"/>
  <c r="AC26" i="2"/>
  <c r="AC27" i="2"/>
  <c r="AC28" i="2"/>
  <c r="AC29" i="2"/>
  <c r="AC30" i="2"/>
  <c r="AC31" i="2"/>
  <c r="AC32" i="2"/>
  <c r="AC33" i="2"/>
  <c r="AC34" i="2"/>
  <c r="AC35" i="2"/>
  <c r="AC36" i="2"/>
  <c r="AC7" i="2"/>
  <c r="AI6" i="2" l="1"/>
  <c r="AC6" i="2"/>
  <c r="AN37" i="2" l="1"/>
  <c r="AH37" i="2"/>
  <c r="AG37" i="2"/>
  <c r="AF37" i="2"/>
  <c r="J37" i="2"/>
  <c r="I37" i="2"/>
  <c r="H37" i="2"/>
  <c r="G37" i="2"/>
  <c r="D37" i="2"/>
  <c r="Z33" i="3"/>
  <c r="B32" i="1"/>
  <c r="E32" i="1"/>
  <c r="N32" i="1"/>
  <c r="E31" i="3"/>
  <c r="F31" i="3"/>
  <c r="G31" i="3"/>
  <c r="H31" i="3"/>
  <c r="E32" i="3"/>
  <c r="F32" i="3"/>
  <c r="G32" i="3"/>
  <c r="H32" i="3"/>
  <c r="I32" i="3"/>
  <c r="J32" i="3"/>
  <c r="K32" i="3"/>
  <c r="L32" i="3"/>
  <c r="M32" i="3"/>
  <c r="Q32" i="3"/>
  <c r="R32" i="3"/>
  <c r="U32" i="3"/>
  <c r="V32" i="3"/>
  <c r="W32" i="3"/>
  <c r="Y32" i="3"/>
  <c r="M32" i="1" s="1"/>
  <c r="B32" i="3"/>
  <c r="Z7" i="2"/>
  <c r="K6" i="2" l="1"/>
  <c r="L6" i="2" l="1"/>
  <c r="AK35" i="2"/>
  <c r="AL35" i="2" s="1"/>
  <c r="AM35" i="2" s="1"/>
  <c r="AK36" i="2"/>
  <c r="AD35" i="2"/>
  <c r="AE35" i="2" s="1"/>
  <c r="AD36" i="2"/>
  <c r="Z35" i="2"/>
  <c r="AA35" i="2" s="1"/>
  <c r="Z36" i="2"/>
  <c r="P32" i="3" s="1"/>
  <c r="T35" i="2"/>
  <c r="U35" i="2"/>
  <c r="T36" i="2"/>
  <c r="N32" i="3" s="1"/>
  <c r="U36" i="2"/>
  <c r="R35" i="2"/>
  <c r="S35" i="2"/>
  <c r="R36" i="2"/>
  <c r="O32" i="3" s="1"/>
  <c r="S36" i="2"/>
  <c r="K35" i="2"/>
  <c r="L35" i="2" s="1"/>
  <c r="K36" i="2"/>
  <c r="L36" i="2"/>
  <c r="Y4" i="3"/>
  <c r="M4" i="1" s="1"/>
  <c r="Y5" i="3"/>
  <c r="M5" i="1" s="1"/>
  <c r="Y6" i="3"/>
  <c r="M6" i="1" s="1"/>
  <c r="Y7" i="3"/>
  <c r="Y8" i="3"/>
  <c r="M8" i="1" s="1"/>
  <c r="Y9" i="3"/>
  <c r="M9" i="1" s="1"/>
  <c r="Y10" i="3"/>
  <c r="M10" i="1" s="1"/>
  <c r="Y11" i="3"/>
  <c r="Y12" i="3"/>
  <c r="M12" i="1" s="1"/>
  <c r="Y13" i="3"/>
  <c r="M13" i="1" s="1"/>
  <c r="Y14" i="3"/>
  <c r="M14" i="1" s="1"/>
  <c r="Y15" i="3"/>
  <c r="Y16" i="3"/>
  <c r="M16" i="1" s="1"/>
  <c r="Y17" i="3"/>
  <c r="M17" i="1" s="1"/>
  <c r="Y18" i="3"/>
  <c r="M18" i="1" s="1"/>
  <c r="Y19" i="3"/>
  <c r="M19" i="1" s="1"/>
  <c r="Y20" i="3"/>
  <c r="M20" i="1" s="1"/>
  <c r="Y21" i="3"/>
  <c r="M21" i="1" s="1"/>
  <c r="Y22" i="3"/>
  <c r="M22" i="1" s="1"/>
  <c r="Y23" i="3"/>
  <c r="M23" i="1" s="1"/>
  <c r="Y24" i="3"/>
  <c r="M24" i="1" s="1"/>
  <c r="Y25" i="3"/>
  <c r="M25" i="1" s="1"/>
  <c r="Y26" i="3"/>
  <c r="M26" i="1" s="1"/>
  <c r="Y27" i="3"/>
  <c r="Y28" i="3"/>
  <c r="M28" i="1" s="1"/>
  <c r="Y29" i="3"/>
  <c r="M29" i="1" s="1"/>
  <c r="Y30" i="3"/>
  <c r="M30" i="1" s="1"/>
  <c r="Y31" i="3"/>
  <c r="Y3" i="3"/>
  <c r="M3" i="1" s="1"/>
  <c r="N31" i="1"/>
  <c r="N4" i="1"/>
  <c r="N5" i="1"/>
  <c r="N6" i="1"/>
  <c r="N7" i="1"/>
  <c r="N8" i="1"/>
  <c r="N9" i="1"/>
  <c r="N10" i="1"/>
  <c r="N11" i="1"/>
  <c r="N12" i="1"/>
  <c r="N13" i="1"/>
  <c r="N14" i="1"/>
  <c r="N15" i="1"/>
  <c r="N16" i="1"/>
  <c r="N17" i="1"/>
  <c r="N18" i="1"/>
  <c r="N19" i="1"/>
  <c r="N20" i="1"/>
  <c r="N21" i="1"/>
  <c r="N22" i="1"/>
  <c r="N23" i="1"/>
  <c r="N24" i="1"/>
  <c r="N25" i="1"/>
  <c r="N26" i="1"/>
  <c r="N27" i="1"/>
  <c r="N28" i="1"/>
  <c r="N29" i="1"/>
  <c r="N30" i="1"/>
  <c r="N3" i="1"/>
  <c r="N2" i="1"/>
  <c r="M7" i="1"/>
  <c r="M11" i="1"/>
  <c r="M15" i="1"/>
  <c r="M27" i="1"/>
  <c r="M31" i="1"/>
  <c r="K32" i="1" l="1"/>
  <c r="T32" i="3"/>
  <c r="AE36" i="2"/>
  <c r="AA36" i="2"/>
  <c r="S32" i="3"/>
  <c r="G32" i="1"/>
  <c r="AO35" i="2"/>
  <c r="N33" i="1"/>
  <c r="AL36" i="2"/>
  <c r="AM36" i="2" s="1"/>
  <c r="X32" i="3"/>
  <c r="I32" i="1" s="1"/>
  <c r="Z9" i="2"/>
  <c r="P5" i="3" s="1"/>
  <c r="G5" i="1" s="1"/>
  <c r="Z10" i="2"/>
  <c r="AA10" i="2" s="1"/>
  <c r="Z11" i="2"/>
  <c r="AA11" i="2" s="1"/>
  <c r="Z12" i="2"/>
  <c r="Z13" i="2"/>
  <c r="AA13" i="2" s="1"/>
  <c r="Z14" i="2"/>
  <c r="AA14" i="2" s="1"/>
  <c r="Z15" i="2"/>
  <c r="AA15" i="2" s="1"/>
  <c r="Z16" i="2"/>
  <c r="AA16" i="2" s="1"/>
  <c r="AD17" i="2"/>
  <c r="W31" i="3"/>
  <c r="V31" i="3"/>
  <c r="U31" i="3"/>
  <c r="R31" i="3"/>
  <c r="Q31" i="3"/>
  <c r="M31" i="3"/>
  <c r="L31" i="3"/>
  <c r="K31" i="3"/>
  <c r="J31" i="3"/>
  <c r="I31" i="3"/>
  <c r="P31" i="3"/>
  <c r="R15" i="2"/>
  <c r="O11" i="3" s="1"/>
  <c r="R16" i="2"/>
  <c r="O12" i="3" s="1"/>
  <c r="R17" i="2"/>
  <c r="O13" i="3" s="1"/>
  <c r="R18" i="2"/>
  <c r="O14" i="3" s="1"/>
  <c r="R19" i="2"/>
  <c r="O15" i="3" s="1"/>
  <c r="R20" i="2"/>
  <c r="O16" i="3" s="1"/>
  <c r="R21" i="2"/>
  <c r="O17" i="3" s="1"/>
  <c r="R22" i="2"/>
  <c r="R23" i="2"/>
  <c r="O19" i="3" s="1"/>
  <c r="R24" i="2"/>
  <c r="O20" i="3" s="1"/>
  <c r="R25" i="2"/>
  <c r="O21" i="3" s="1"/>
  <c r="R26" i="2"/>
  <c r="O22" i="3" s="1"/>
  <c r="R27" i="2"/>
  <c r="O23" i="3" s="1"/>
  <c r="R28" i="2"/>
  <c r="O24" i="3" s="1"/>
  <c r="R29" i="2"/>
  <c r="O25" i="3" s="1"/>
  <c r="R30" i="2"/>
  <c r="O26" i="3" s="1"/>
  <c r="R31" i="2"/>
  <c r="O27" i="3" s="1"/>
  <c r="R32" i="2"/>
  <c r="O28" i="3" s="1"/>
  <c r="R33" i="2"/>
  <c r="R34" i="2"/>
  <c r="O31" i="3"/>
  <c r="R6" i="2"/>
  <c r="R7" i="2"/>
  <c r="O3" i="3" s="1"/>
  <c r="R8" i="2"/>
  <c r="O4" i="3" s="1"/>
  <c r="R9" i="2"/>
  <c r="O5" i="3" s="1"/>
  <c r="R10" i="2"/>
  <c r="O6" i="3" s="1"/>
  <c r="R11" i="2"/>
  <c r="R12" i="2"/>
  <c r="O8" i="3" s="1"/>
  <c r="R13" i="2"/>
  <c r="O9" i="3" s="1"/>
  <c r="R14" i="2"/>
  <c r="O10" i="3" s="1"/>
  <c r="T31" i="3"/>
  <c r="AK11" i="2"/>
  <c r="X7" i="3" s="1"/>
  <c r="AK12" i="2"/>
  <c r="X8" i="3" s="1"/>
  <c r="AK15" i="2"/>
  <c r="AK16" i="2"/>
  <c r="AL16" i="2" s="1"/>
  <c r="AM16" i="2" s="1"/>
  <c r="AK20" i="2"/>
  <c r="AK24" i="2"/>
  <c r="X20" i="3" s="1"/>
  <c r="AK28" i="2"/>
  <c r="AK31" i="2"/>
  <c r="AL31" i="2" s="1"/>
  <c r="AM31" i="2" s="1"/>
  <c r="AK32" i="2"/>
  <c r="AK34" i="2"/>
  <c r="AD10" i="2"/>
  <c r="AD13" i="2"/>
  <c r="AE13" i="2" s="1"/>
  <c r="AD14" i="2"/>
  <c r="AE14" i="2" s="1"/>
  <c r="AD19" i="2"/>
  <c r="AE19" i="2" s="1"/>
  <c r="AD22" i="2"/>
  <c r="AE22" i="2" s="1"/>
  <c r="AD26" i="2"/>
  <c r="AE26" i="2" s="1"/>
  <c r="AD27" i="2"/>
  <c r="AE27" i="2" s="1"/>
  <c r="AD28" i="2"/>
  <c r="AE28" i="2" s="1"/>
  <c r="AD29" i="2"/>
  <c r="AE29" i="2" s="1"/>
  <c r="AD31" i="2"/>
  <c r="AE31" i="2" s="1"/>
  <c r="AD33" i="2"/>
  <c r="AE33" i="2" s="1"/>
  <c r="AK7" i="2"/>
  <c r="AL7" i="2" s="1"/>
  <c r="AM7" i="2" s="1"/>
  <c r="AD8" i="2"/>
  <c r="AD7" i="2"/>
  <c r="AD6" i="2"/>
  <c r="T8" i="2"/>
  <c r="N4" i="3" s="1"/>
  <c r="T7" i="2"/>
  <c r="U7" i="2" s="1"/>
  <c r="S8" i="2"/>
  <c r="S7" i="2"/>
  <c r="K8" i="2"/>
  <c r="L8" i="2" s="1"/>
  <c r="K7" i="2"/>
  <c r="Z6" i="2"/>
  <c r="AK8" i="2"/>
  <c r="AL8" i="2" s="1"/>
  <c r="AM8" i="2" s="1"/>
  <c r="AK9" i="2"/>
  <c r="X5" i="3" s="1"/>
  <c r="AK10" i="2"/>
  <c r="AL10" i="2" s="1"/>
  <c r="AM10" i="2" s="1"/>
  <c r="AD9" i="2"/>
  <c r="AD11" i="2"/>
  <c r="AD12" i="2"/>
  <c r="AE12" i="2" s="1"/>
  <c r="AD15" i="2"/>
  <c r="AE15" i="2" s="1"/>
  <c r="AD16" i="2"/>
  <c r="AE16" i="2" s="1"/>
  <c r="AD18" i="2"/>
  <c r="AE18" i="2" s="1"/>
  <c r="AD20" i="2"/>
  <c r="AE20" i="2" s="1"/>
  <c r="AD21" i="2"/>
  <c r="AE21" i="2" s="1"/>
  <c r="AD23" i="2"/>
  <c r="AE23" i="2" s="1"/>
  <c r="AD24" i="2"/>
  <c r="AE24" i="2" s="1"/>
  <c r="AD25" i="2"/>
  <c r="AD30" i="2"/>
  <c r="AE30" i="2" s="1"/>
  <c r="AD32" i="2"/>
  <c r="AD34" i="2"/>
  <c r="AE34" i="2" s="1"/>
  <c r="AD42" i="2"/>
  <c r="D38" i="2"/>
  <c r="D39" i="2" s="1"/>
  <c r="K9" i="2"/>
  <c r="L9" i="2" s="1"/>
  <c r="K10" i="2"/>
  <c r="L10" i="2" s="1"/>
  <c r="K11" i="2"/>
  <c r="L11" i="2" s="1"/>
  <c r="K12" i="2"/>
  <c r="L12" i="2" s="1"/>
  <c r="K13" i="2"/>
  <c r="L13" i="2" s="1"/>
  <c r="K14" i="2"/>
  <c r="L14" i="2" s="1"/>
  <c r="K15" i="2"/>
  <c r="L15" i="2" s="1"/>
  <c r="K16" i="2"/>
  <c r="L16" i="2" s="1"/>
  <c r="K17" i="2"/>
  <c r="L17" i="2" s="1"/>
  <c r="K18" i="2"/>
  <c r="L18" i="2" s="1"/>
  <c r="K19" i="2"/>
  <c r="L19" i="2" s="1"/>
  <c r="K20" i="2"/>
  <c r="L20" i="2" s="1"/>
  <c r="K21" i="2"/>
  <c r="L21" i="2" s="1"/>
  <c r="K22" i="2"/>
  <c r="L22" i="2" s="1"/>
  <c r="K23" i="2"/>
  <c r="L23" i="2" s="1"/>
  <c r="K24" i="2"/>
  <c r="L24" i="2" s="1"/>
  <c r="K25" i="2"/>
  <c r="L25" i="2" s="1"/>
  <c r="K26" i="2"/>
  <c r="L26" i="2" s="1"/>
  <c r="K27" i="2"/>
  <c r="L27" i="2" s="1"/>
  <c r="K28" i="2"/>
  <c r="L28" i="2" s="1"/>
  <c r="K29" i="2"/>
  <c r="L29" i="2" s="1"/>
  <c r="K30" i="2"/>
  <c r="L30" i="2" s="1"/>
  <c r="K31" i="2"/>
  <c r="L31" i="2" s="1"/>
  <c r="K32" i="2"/>
  <c r="L32" i="2" s="1"/>
  <c r="K33" i="2"/>
  <c r="L33" i="2"/>
  <c r="K34" i="2"/>
  <c r="L34" i="2" s="1"/>
  <c r="T9" i="2"/>
  <c r="N5" i="3" s="1"/>
  <c r="T10" i="2"/>
  <c r="N6" i="3" s="1"/>
  <c r="T11" i="2"/>
  <c r="N7" i="3"/>
  <c r="T12" i="2"/>
  <c r="N8" i="3" s="1"/>
  <c r="T13" i="2"/>
  <c r="U13" i="2" s="1"/>
  <c r="T14" i="2"/>
  <c r="U14" i="2" s="1"/>
  <c r="T15" i="2"/>
  <c r="N11" i="3" s="1"/>
  <c r="T16" i="2"/>
  <c r="N12" i="3" s="1"/>
  <c r="T17" i="2"/>
  <c r="N13" i="3" s="1"/>
  <c r="T18" i="2"/>
  <c r="U18" i="2" s="1"/>
  <c r="T19" i="2"/>
  <c r="N15" i="3" s="1"/>
  <c r="T20" i="2"/>
  <c r="U20" i="2" s="1"/>
  <c r="T21" i="2"/>
  <c r="U21" i="2" s="1"/>
  <c r="T22" i="2"/>
  <c r="U22" i="2" s="1"/>
  <c r="T23" i="2"/>
  <c r="U23" i="2" s="1"/>
  <c r="T24" i="2"/>
  <c r="U24" i="2" s="1"/>
  <c r="T25" i="2"/>
  <c r="N21" i="3" s="1"/>
  <c r="T26" i="2"/>
  <c r="U26" i="2" s="1"/>
  <c r="T27" i="2"/>
  <c r="U27" i="2" s="1"/>
  <c r="T28" i="2"/>
  <c r="U28" i="2" s="1"/>
  <c r="T29" i="2"/>
  <c r="N25" i="3" s="1"/>
  <c r="T30" i="2"/>
  <c r="N26" i="3" s="1"/>
  <c r="T31" i="2"/>
  <c r="U31" i="2" s="1"/>
  <c r="T32" i="2"/>
  <c r="N28" i="3" s="1"/>
  <c r="T33" i="2"/>
  <c r="U33" i="2" s="1"/>
  <c r="T34" i="2"/>
  <c r="N30" i="3" s="1"/>
  <c r="T6" i="2"/>
  <c r="Z20" i="2"/>
  <c r="AA20" i="2" s="1"/>
  <c r="Z21" i="2"/>
  <c r="AA21" i="2" s="1"/>
  <c r="Z22" i="2"/>
  <c r="AA22" i="2" s="1"/>
  <c r="Z23" i="2"/>
  <c r="AA23" i="2" s="1"/>
  <c r="Z24" i="2"/>
  <c r="Z25" i="2"/>
  <c r="P21" i="3" s="1"/>
  <c r="Z26" i="2"/>
  <c r="P22" i="3" s="1"/>
  <c r="G22" i="1" s="1"/>
  <c r="Z27" i="2"/>
  <c r="P23" i="3" s="1"/>
  <c r="G23" i="1" s="1"/>
  <c r="Z28" i="2"/>
  <c r="AA28" i="2" s="1"/>
  <c r="Z29" i="2"/>
  <c r="AA29" i="2" s="1"/>
  <c r="Z30" i="2"/>
  <c r="AA30" i="2" s="1"/>
  <c r="Z31" i="2"/>
  <c r="AA31" i="2" s="1"/>
  <c r="Z32" i="2"/>
  <c r="AA32" i="2" s="1"/>
  <c r="Z33" i="2"/>
  <c r="AA33" i="2" s="1"/>
  <c r="Z34" i="2"/>
  <c r="P30" i="3" s="1"/>
  <c r="G30" i="1" s="1"/>
  <c r="P3" i="3"/>
  <c r="Z8" i="2"/>
  <c r="AA8" i="2" s="1"/>
  <c r="P9" i="3"/>
  <c r="G9" i="1" s="1"/>
  <c r="Z17" i="2"/>
  <c r="P13" i="3" s="1"/>
  <c r="Z18" i="2"/>
  <c r="P14" i="3" s="1"/>
  <c r="G14" i="1" s="1"/>
  <c r="Z19" i="2"/>
  <c r="AA19" i="2" s="1"/>
  <c r="U3" i="3"/>
  <c r="U4" i="3"/>
  <c r="U5" i="3"/>
  <c r="U6" i="3"/>
  <c r="U7" i="3"/>
  <c r="U8" i="3"/>
  <c r="U9" i="3"/>
  <c r="U10" i="3"/>
  <c r="U11" i="3"/>
  <c r="U12" i="3"/>
  <c r="U13" i="3"/>
  <c r="U14" i="3"/>
  <c r="U15" i="3"/>
  <c r="U16" i="3"/>
  <c r="U17" i="3"/>
  <c r="U18" i="3"/>
  <c r="U19" i="3"/>
  <c r="U20" i="3"/>
  <c r="U21" i="3"/>
  <c r="U22" i="3"/>
  <c r="U23" i="3"/>
  <c r="U24" i="3"/>
  <c r="U25" i="3"/>
  <c r="U26" i="3"/>
  <c r="U27" i="3"/>
  <c r="U28" i="3"/>
  <c r="U29" i="3"/>
  <c r="U30" i="3"/>
  <c r="U2" i="3"/>
  <c r="V3" i="3"/>
  <c r="V4" i="3"/>
  <c r="V5" i="3"/>
  <c r="V6" i="3"/>
  <c r="V7" i="3"/>
  <c r="V8" i="3"/>
  <c r="V9" i="3"/>
  <c r="V10" i="3"/>
  <c r="V11" i="3"/>
  <c r="V12" i="3"/>
  <c r="V13" i="3"/>
  <c r="V14" i="3"/>
  <c r="V15" i="3"/>
  <c r="V16" i="3"/>
  <c r="V17" i="3"/>
  <c r="V18" i="3"/>
  <c r="V19" i="3"/>
  <c r="V20" i="3"/>
  <c r="V21" i="3"/>
  <c r="V22" i="3"/>
  <c r="V23" i="3"/>
  <c r="V24" i="3"/>
  <c r="V25" i="3"/>
  <c r="V26" i="3"/>
  <c r="V27" i="3"/>
  <c r="V28" i="3"/>
  <c r="V29" i="3"/>
  <c r="V30" i="3"/>
  <c r="V2" i="3"/>
  <c r="W3" i="3"/>
  <c r="W4" i="3"/>
  <c r="W5" i="3"/>
  <c r="W6" i="3"/>
  <c r="W7" i="3"/>
  <c r="W8" i="3"/>
  <c r="W9" i="3"/>
  <c r="W10" i="3"/>
  <c r="W11" i="3"/>
  <c r="W12" i="3"/>
  <c r="W13" i="3"/>
  <c r="W14" i="3"/>
  <c r="W15" i="3"/>
  <c r="W16" i="3"/>
  <c r="W17" i="3"/>
  <c r="W18" i="3"/>
  <c r="W19" i="3"/>
  <c r="W20" i="3"/>
  <c r="W21" i="3"/>
  <c r="W22" i="3"/>
  <c r="W23" i="3"/>
  <c r="W24" i="3"/>
  <c r="W25" i="3"/>
  <c r="W26" i="3"/>
  <c r="W27" i="3"/>
  <c r="W28" i="3"/>
  <c r="W29" i="3"/>
  <c r="W30" i="3"/>
  <c r="W2" i="3"/>
  <c r="AK13" i="2"/>
  <c r="AL13" i="2" s="1"/>
  <c r="AM13" i="2" s="1"/>
  <c r="AK14" i="2"/>
  <c r="AL14" i="2" s="1"/>
  <c r="AM14" i="2" s="1"/>
  <c r="AK17" i="2"/>
  <c r="AL17" i="2" s="1"/>
  <c r="AM17" i="2" s="1"/>
  <c r="AK19" i="2"/>
  <c r="AL19" i="2" s="1"/>
  <c r="AM19" i="2" s="1"/>
  <c r="AK21" i="2"/>
  <c r="X17" i="3" s="1"/>
  <c r="AK22" i="2"/>
  <c r="AL22" i="2" s="1"/>
  <c r="AM22" i="2" s="1"/>
  <c r="AK23" i="2"/>
  <c r="AL23" i="2" s="1"/>
  <c r="AM23" i="2" s="1"/>
  <c r="AK25" i="2"/>
  <c r="X21" i="3" s="1"/>
  <c r="AK26" i="2"/>
  <c r="X22" i="3" s="1"/>
  <c r="AK27" i="2"/>
  <c r="AL27" i="2" s="1"/>
  <c r="AM27" i="2" s="1"/>
  <c r="AK29" i="2"/>
  <c r="X25" i="3" s="1"/>
  <c r="AK30" i="2"/>
  <c r="AL30" i="2" s="1"/>
  <c r="AM30" i="2" s="1"/>
  <c r="AK33" i="2"/>
  <c r="X29" i="3" s="1"/>
  <c r="AK6" i="2"/>
  <c r="S6" i="2"/>
  <c r="S9" i="2"/>
  <c r="S10" i="2"/>
  <c r="O7" i="3"/>
  <c r="S11" i="2"/>
  <c r="S12" i="2"/>
  <c r="S13" i="2"/>
  <c r="S14" i="2"/>
  <c r="S15" i="2"/>
  <c r="S16" i="2"/>
  <c r="S17" i="2"/>
  <c r="AA5" i="2"/>
  <c r="AE5" i="2"/>
  <c r="AK5" i="2"/>
  <c r="AO5" i="2"/>
  <c r="Q3" i="3"/>
  <c r="R3" i="3"/>
  <c r="Q4" i="3"/>
  <c r="R4" i="3"/>
  <c r="Q5" i="3"/>
  <c r="R5" i="3"/>
  <c r="Q6" i="3"/>
  <c r="R6" i="3"/>
  <c r="Q7" i="3"/>
  <c r="R7" i="3"/>
  <c r="Q8" i="3"/>
  <c r="R8" i="3"/>
  <c r="Q9" i="3"/>
  <c r="R9" i="3"/>
  <c r="Q10" i="3"/>
  <c r="R10" i="3"/>
  <c r="Q11" i="3"/>
  <c r="R11" i="3"/>
  <c r="Q12" i="3"/>
  <c r="R12" i="3"/>
  <c r="Q13" i="3"/>
  <c r="R13" i="3"/>
  <c r="Q14" i="3"/>
  <c r="R14" i="3"/>
  <c r="Q15" i="3"/>
  <c r="R15" i="3"/>
  <c r="Q16" i="3"/>
  <c r="R16" i="3"/>
  <c r="Q17" i="3"/>
  <c r="R17" i="3"/>
  <c r="Q18" i="3"/>
  <c r="R18" i="3"/>
  <c r="Q19" i="3"/>
  <c r="R19" i="3"/>
  <c r="Q20" i="3"/>
  <c r="R20" i="3"/>
  <c r="Q21" i="3"/>
  <c r="R21" i="3"/>
  <c r="Q22" i="3"/>
  <c r="R22" i="3"/>
  <c r="Q23" i="3"/>
  <c r="R23" i="3"/>
  <c r="Q24" i="3"/>
  <c r="R24" i="3"/>
  <c r="Q25" i="3"/>
  <c r="R25" i="3"/>
  <c r="Q26" i="3"/>
  <c r="R26" i="3"/>
  <c r="Q27" i="3"/>
  <c r="R27" i="3"/>
  <c r="Q28" i="3"/>
  <c r="R28" i="3"/>
  <c r="Q29" i="3"/>
  <c r="R29" i="3"/>
  <c r="Q30" i="3"/>
  <c r="R30" i="3"/>
  <c r="E3" i="3"/>
  <c r="F3" i="3"/>
  <c r="G3" i="3"/>
  <c r="H3" i="3"/>
  <c r="I3" i="3"/>
  <c r="J3" i="3"/>
  <c r="K3" i="3"/>
  <c r="L3" i="3"/>
  <c r="M3" i="3"/>
  <c r="E4" i="3"/>
  <c r="F4" i="3"/>
  <c r="G4" i="3"/>
  <c r="H4" i="3"/>
  <c r="I4" i="3"/>
  <c r="J4" i="3"/>
  <c r="K4" i="3"/>
  <c r="L4" i="3"/>
  <c r="M4" i="3"/>
  <c r="E5" i="3"/>
  <c r="F5" i="3"/>
  <c r="G5" i="3"/>
  <c r="H5" i="3"/>
  <c r="I5" i="3"/>
  <c r="J5" i="3"/>
  <c r="K5" i="3"/>
  <c r="L5" i="3"/>
  <c r="M5" i="3"/>
  <c r="E6" i="3"/>
  <c r="F6" i="3"/>
  <c r="G6" i="3"/>
  <c r="H6" i="3"/>
  <c r="I6" i="3"/>
  <c r="J6" i="3"/>
  <c r="K6" i="3"/>
  <c r="L6" i="3"/>
  <c r="M6" i="3"/>
  <c r="E7" i="3"/>
  <c r="F7" i="3"/>
  <c r="G7" i="3"/>
  <c r="H7" i="3"/>
  <c r="I7" i="3"/>
  <c r="J7" i="3"/>
  <c r="K7" i="3"/>
  <c r="L7" i="3"/>
  <c r="M7" i="3"/>
  <c r="E8" i="3"/>
  <c r="F8" i="3"/>
  <c r="G8" i="3"/>
  <c r="H8" i="3"/>
  <c r="I8" i="3"/>
  <c r="J8" i="3"/>
  <c r="K8" i="3"/>
  <c r="L8" i="3"/>
  <c r="M8" i="3"/>
  <c r="E9" i="3"/>
  <c r="F9" i="3"/>
  <c r="G9" i="3"/>
  <c r="H9" i="3"/>
  <c r="I9" i="3"/>
  <c r="J9" i="3"/>
  <c r="K9" i="3"/>
  <c r="L9" i="3"/>
  <c r="M9" i="3"/>
  <c r="E10" i="3"/>
  <c r="F10" i="3"/>
  <c r="G10" i="3"/>
  <c r="H10" i="3"/>
  <c r="I10" i="3"/>
  <c r="J10" i="3"/>
  <c r="K10" i="3"/>
  <c r="L10" i="3"/>
  <c r="M10" i="3"/>
  <c r="E11" i="3"/>
  <c r="F11" i="3"/>
  <c r="G11" i="3"/>
  <c r="H11" i="3"/>
  <c r="I11" i="3"/>
  <c r="J11" i="3"/>
  <c r="K11" i="3"/>
  <c r="L11" i="3"/>
  <c r="M11" i="3"/>
  <c r="E12" i="3"/>
  <c r="F12" i="3"/>
  <c r="G12" i="3"/>
  <c r="H12" i="3"/>
  <c r="I12" i="3"/>
  <c r="J12" i="3"/>
  <c r="K12" i="3"/>
  <c r="L12" i="3"/>
  <c r="M12" i="3"/>
  <c r="E13" i="3"/>
  <c r="F13" i="3"/>
  <c r="G13" i="3"/>
  <c r="H13" i="3"/>
  <c r="I13" i="3"/>
  <c r="J13" i="3"/>
  <c r="K13" i="3"/>
  <c r="L13" i="3"/>
  <c r="M13" i="3"/>
  <c r="E14" i="3"/>
  <c r="F14" i="3"/>
  <c r="G14" i="3"/>
  <c r="H14" i="3"/>
  <c r="I14" i="3"/>
  <c r="J14" i="3"/>
  <c r="K14" i="3"/>
  <c r="L14" i="3"/>
  <c r="M14" i="3"/>
  <c r="E15" i="3"/>
  <c r="F15" i="3"/>
  <c r="G15" i="3"/>
  <c r="H15" i="3"/>
  <c r="I15" i="3"/>
  <c r="J15" i="3"/>
  <c r="K15" i="3"/>
  <c r="L15" i="3"/>
  <c r="M15" i="3"/>
  <c r="E16" i="3"/>
  <c r="F16" i="3"/>
  <c r="G16" i="3"/>
  <c r="H16" i="3"/>
  <c r="I16" i="3"/>
  <c r="J16" i="3"/>
  <c r="K16" i="3"/>
  <c r="L16" i="3"/>
  <c r="M16" i="3"/>
  <c r="E17" i="3"/>
  <c r="F17" i="3"/>
  <c r="G17" i="3"/>
  <c r="H17" i="3"/>
  <c r="I17" i="3"/>
  <c r="J17" i="3"/>
  <c r="K17" i="3"/>
  <c r="L17" i="3"/>
  <c r="M17" i="3"/>
  <c r="E18" i="3"/>
  <c r="F18" i="3"/>
  <c r="G18" i="3"/>
  <c r="H18" i="3"/>
  <c r="I18" i="3"/>
  <c r="J18" i="3"/>
  <c r="K18" i="3"/>
  <c r="L18" i="3"/>
  <c r="M18" i="3"/>
  <c r="E19" i="3"/>
  <c r="F19" i="3"/>
  <c r="G19" i="3"/>
  <c r="H19" i="3"/>
  <c r="I19" i="3"/>
  <c r="J19" i="3"/>
  <c r="K19" i="3"/>
  <c r="L19" i="3"/>
  <c r="M19" i="3"/>
  <c r="E20" i="3"/>
  <c r="F20" i="3"/>
  <c r="G20" i="3"/>
  <c r="H20" i="3"/>
  <c r="I20" i="3"/>
  <c r="J20" i="3"/>
  <c r="K20" i="3"/>
  <c r="L20" i="3"/>
  <c r="M20" i="3"/>
  <c r="E21" i="3"/>
  <c r="F21" i="3"/>
  <c r="G21" i="3"/>
  <c r="H21" i="3"/>
  <c r="I21" i="3"/>
  <c r="J21" i="3"/>
  <c r="K21" i="3"/>
  <c r="L21" i="3"/>
  <c r="M21" i="3"/>
  <c r="E22" i="3"/>
  <c r="F22" i="3"/>
  <c r="G22" i="3"/>
  <c r="H22" i="3"/>
  <c r="I22" i="3"/>
  <c r="J22" i="3"/>
  <c r="K22" i="3"/>
  <c r="L22" i="3"/>
  <c r="M22" i="3"/>
  <c r="E23" i="3"/>
  <c r="F23" i="3"/>
  <c r="G23" i="3"/>
  <c r="H23" i="3"/>
  <c r="I23" i="3"/>
  <c r="J23" i="3"/>
  <c r="K23" i="3"/>
  <c r="L23" i="3"/>
  <c r="M23" i="3"/>
  <c r="E24" i="3"/>
  <c r="F24" i="3"/>
  <c r="G24" i="3"/>
  <c r="H24" i="3"/>
  <c r="I24" i="3"/>
  <c r="J24" i="3"/>
  <c r="K24" i="3"/>
  <c r="L24" i="3"/>
  <c r="M24" i="3"/>
  <c r="E25" i="3"/>
  <c r="F25" i="3"/>
  <c r="G25" i="3"/>
  <c r="H25" i="3"/>
  <c r="I25" i="3"/>
  <c r="J25" i="3"/>
  <c r="K25" i="3"/>
  <c r="L25" i="3"/>
  <c r="M25" i="3"/>
  <c r="E26" i="3"/>
  <c r="F26" i="3"/>
  <c r="G26" i="3"/>
  <c r="H26" i="3"/>
  <c r="I26" i="3"/>
  <c r="J26" i="3"/>
  <c r="K26" i="3"/>
  <c r="L26" i="3"/>
  <c r="M26" i="3"/>
  <c r="E27" i="3"/>
  <c r="F27" i="3"/>
  <c r="G27" i="3"/>
  <c r="H27" i="3"/>
  <c r="I27" i="3"/>
  <c r="J27" i="3"/>
  <c r="K27" i="3"/>
  <c r="L27" i="3"/>
  <c r="M27" i="3"/>
  <c r="E28" i="3"/>
  <c r="F28" i="3"/>
  <c r="G28" i="3"/>
  <c r="H28" i="3"/>
  <c r="I28" i="3"/>
  <c r="J28" i="3"/>
  <c r="K28" i="3"/>
  <c r="L28" i="3"/>
  <c r="M28" i="3"/>
  <c r="E29" i="3"/>
  <c r="F29" i="3"/>
  <c r="G29" i="3"/>
  <c r="H29" i="3"/>
  <c r="I29" i="3"/>
  <c r="J29" i="3"/>
  <c r="K29" i="3"/>
  <c r="L29" i="3"/>
  <c r="M29" i="3"/>
  <c r="E30" i="3"/>
  <c r="F30" i="3"/>
  <c r="G30" i="3"/>
  <c r="H30" i="3"/>
  <c r="I30" i="3"/>
  <c r="J30" i="3"/>
  <c r="K30" i="3"/>
  <c r="L30" i="3"/>
  <c r="M30" i="3"/>
  <c r="R2" i="3"/>
  <c r="Q2" i="3"/>
  <c r="G2" i="3"/>
  <c r="H2" i="3"/>
  <c r="I2" i="3"/>
  <c r="J2" i="3"/>
  <c r="K2" i="3"/>
  <c r="L2" i="3"/>
  <c r="M2" i="3"/>
  <c r="F2" i="3"/>
  <c r="E2" i="3"/>
  <c r="S34" i="2"/>
  <c r="O30" i="3"/>
  <c r="S33" i="2"/>
  <c r="O29" i="3"/>
  <c r="S32" i="2"/>
  <c r="S31" i="2"/>
  <c r="S30" i="2"/>
  <c r="S29" i="2"/>
  <c r="S28" i="2"/>
  <c r="S27" i="2"/>
  <c r="S26" i="2"/>
  <c r="S25" i="2"/>
  <c r="S24" i="2"/>
  <c r="S23" i="2"/>
  <c r="S22" i="2"/>
  <c r="O18" i="3"/>
  <c r="S21" i="2"/>
  <c r="S20" i="2"/>
  <c r="S19" i="2"/>
  <c r="S18" i="2"/>
  <c r="B3" i="3"/>
  <c r="B4" i="3"/>
  <c r="B5" i="3" s="1"/>
  <c r="B6" i="3"/>
  <c r="B7" i="3" s="1"/>
  <c r="B8" i="3" s="1"/>
  <c r="B9" i="3" s="1"/>
  <c r="B10" i="3" s="1"/>
  <c r="B11" i="3" s="1"/>
  <c r="B12" i="3" s="1"/>
  <c r="B13" i="3" s="1"/>
  <c r="B14" i="3" s="1"/>
  <c r="B15" i="3" s="1"/>
  <c r="B16" i="3" s="1"/>
  <c r="B17" i="3" s="1"/>
  <c r="B18" i="3" s="1"/>
  <c r="B19" i="3" s="1"/>
  <c r="B20" i="3" s="1"/>
  <c r="B21" i="3" s="1"/>
  <c r="B22" i="3" s="1"/>
  <c r="B23" i="3" s="1"/>
  <c r="B24" i="3" s="1"/>
  <c r="B25" i="3" s="1"/>
  <c r="B26" i="3" s="1"/>
  <c r="B27" i="3" s="1"/>
  <c r="B28" i="3" s="1"/>
  <c r="B29" i="3" s="1"/>
  <c r="B30" i="3" s="1"/>
  <c r="B31" i="3" s="1"/>
  <c r="B3" i="1"/>
  <c r="B4" i="1" s="1"/>
  <c r="B5" i="1" s="1"/>
  <c r="B6" i="1" s="1"/>
  <c r="B7" i="1" s="1"/>
  <c r="B8" i="1" s="1"/>
  <c r="B9" i="1" s="1"/>
  <c r="B10" i="1" s="1"/>
  <c r="B11" i="1" s="1"/>
  <c r="B12" i="1" s="1"/>
  <c r="B13" i="1" s="1"/>
  <c r="B14" i="1" s="1"/>
  <c r="B15" i="1" s="1"/>
  <c r="B16" i="1" s="1"/>
  <c r="B17" i="1" s="1"/>
  <c r="B18" i="1" s="1"/>
  <c r="B19" i="1" s="1"/>
  <c r="B20" i="1" s="1"/>
  <c r="B21" i="1" s="1"/>
  <c r="B22" i="1" s="1"/>
  <c r="B23" i="1" s="1"/>
  <c r="B24" i="1" s="1"/>
  <c r="B25" i="1" s="1"/>
  <c r="B26" i="1" s="1"/>
  <c r="B27" i="1" s="1"/>
  <c r="B28" i="1" s="1"/>
  <c r="B29" i="1" s="1"/>
  <c r="B30" i="1" s="1"/>
  <c r="B31" i="1" s="1"/>
  <c r="AK18" i="2"/>
  <c r="X14" i="3" s="1"/>
  <c r="U17" i="2"/>
  <c r="U32" i="2"/>
  <c r="D40" i="2"/>
  <c r="G39" i="2"/>
  <c r="T27" i="3"/>
  <c r="U16" i="2"/>
  <c r="P26" i="3"/>
  <c r="G26" i="1" s="1"/>
  <c r="X18" i="3"/>
  <c r="U11" i="2"/>
  <c r="T30" i="3"/>
  <c r="N29" i="3"/>
  <c r="T12" i="3"/>
  <c r="T3" i="3"/>
  <c r="T17" i="3"/>
  <c r="N24" i="3"/>
  <c r="N3" i="3"/>
  <c r="AO36" i="2" l="1"/>
  <c r="K28" i="1"/>
  <c r="T28" i="3"/>
  <c r="AE32" i="2"/>
  <c r="AO32" i="2" s="1"/>
  <c r="P28" i="3"/>
  <c r="G28" i="1" s="1"/>
  <c r="P27" i="3"/>
  <c r="S27" i="3" s="1"/>
  <c r="U30" i="2"/>
  <c r="T23" i="3"/>
  <c r="P24" i="3"/>
  <c r="G24" i="1" s="1"/>
  <c r="AL25" i="2"/>
  <c r="AM25" i="2" s="1"/>
  <c r="T22" i="3"/>
  <c r="T21" i="3"/>
  <c r="I21" i="1" s="1"/>
  <c r="AE25" i="2"/>
  <c r="N19" i="3"/>
  <c r="P19" i="3"/>
  <c r="G19" i="1" s="1"/>
  <c r="P17" i="3"/>
  <c r="G17" i="1" s="1"/>
  <c r="U19" i="2"/>
  <c r="AO19" i="2" s="1"/>
  <c r="P15" i="3"/>
  <c r="S15" i="3" s="1"/>
  <c r="T13" i="3"/>
  <c r="AE17" i="2"/>
  <c r="U15" i="2"/>
  <c r="P11" i="3"/>
  <c r="G11" i="1" s="1"/>
  <c r="N10" i="3"/>
  <c r="X9" i="3"/>
  <c r="M33" i="3"/>
  <c r="V33" i="3"/>
  <c r="I33" i="3"/>
  <c r="T7" i="3"/>
  <c r="I7" i="1" s="1"/>
  <c r="U9" i="2"/>
  <c r="K33" i="3"/>
  <c r="J33" i="3"/>
  <c r="W33" i="3"/>
  <c r="U33" i="3"/>
  <c r="T5" i="3"/>
  <c r="Q33" i="3"/>
  <c r="U8" i="2"/>
  <c r="T37" i="2"/>
  <c r="U37" i="2" s="1"/>
  <c r="L33" i="3"/>
  <c r="X27" i="3"/>
  <c r="AL11" i="2"/>
  <c r="AM11" i="2" s="1"/>
  <c r="X10" i="3"/>
  <c r="T20" i="3"/>
  <c r="I20" i="1" s="1"/>
  <c r="P4" i="3"/>
  <c r="G4" i="1" s="1"/>
  <c r="R33" i="3"/>
  <c r="L7" i="2"/>
  <c r="L37" i="2" s="1"/>
  <c r="K37" i="2"/>
  <c r="X2" i="3"/>
  <c r="AK37" i="2"/>
  <c r="AD37" i="2"/>
  <c r="AE37" i="2" s="1"/>
  <c r="AA6" i="2"/>
  <c r="Z37" i="2"/>
  <c r="O2" i="3"/>
  <c r="O33" i="3" s="1"/>
  <c r="R37" i="2"/>
  <c r="R39" i="2" s="1"/>
  <c r="S11" i="3"/>
  <c r="S5" i="3"/>
  <c r="E30" i="1"/>
  <c r="E17" i="1"/>
  <c r="N2" i="3"/>
  <c r="U6" i="2"/>
  <c r="AL6" i="2"/>
  <c r="AM6" i="2" s="1"/>
  <c r="G3" i="1"/>
  <c r="S3" i="3"/>
  <c r="P2" i="3"/>
  <c r="AA7" i="2"/>
  <c r="AO7" i="2" s="1"/>
  <c r="U25" i="2"/>
  <c r="N18" i="3"/>
  <c r="K18" i="1" s="1"/>
  <c r="S23" i="3"/>
  <c r="K30" i="1"/>
  <c r="K24" i="1"/>
  <c r="E29" i="1"/>
  <c r="K7" i="1"/>
  <c r="S30" i="3"/>
  <c r="X31" i="3"/>
  <c r="I31" i="1" s="1"/>
  <c r="X26" i="3"/>
  <c r="X13" i="3"/>
  <c r="AL21" i="2"/>
  <c r="AM21" i="2" s="1"/>
  <c r="T25" i="3"/>
  <c r="I25" i="1" s="1"/>
  <c r="I5" i="1"/>
  <c r="T11" i="3"/>
  <c r="T16" i="3"/>
  <c r="I17" i="1"/>
  <c r="S19" i="3"/>
  <c r="S26" i="3"/>
  <c r="S4" i="3"/>
  <c r="AA17" i="2"/>
  <c r="AO17" i="2" s="1"/>
  <c r="K15" i="1"/>
  <c r="K11" i="1"/>
  <c r="K8" i="1"/>
  <c r="K4" i="1"/>
  <c r="N31" i="3"/>
  <c r="K31" i="1" s="1"/>
  <c r="K25" i="1"/>
  <c r="K29" i="1"/>
  <c r="E24" i="1"/>
  <c r="E13" i="1"/>
  <c r="E6" i="1"/>
  <c r="X30" i="3"/>
  <c r="I30" i="1" s="1"/>
  <c r="AL34" i="2"/>
  <c r="AM34" i="2" s="1"/>
  <c r="I27" i="1"/>
  <c r="AL24" i="2"/>
  <c r="AM24" i="2" s="1"/>
  <c r="AL9" i="2"/>
  <c r="AM9" i="2" s="1"/>
  <c r="X4" i="3"/>
  <c r="X19" i="3"/>
  <c r="T8" i="3"/>
  <c r="I8" i="1" s="1"/>
  <c r="T24" i="3"/>
  <c r="I22" i="1"/>
  <c r="G13" i="1"/>
  <c r="S13" i="3"/>
  <c r="AO33" i="2"/>
  <c r="S14" i="3"/>
  <c r="G15" i="1"/>
  <c r="P29" i="3"/>
  <c r="AA9" i="2"/>
  <c r="AO9" i="2" s="1"/>
  <c r="S17" i="3"/>
  <c r="P10" i="3"/>
  <c r="P25" i="3"/>
  <c r="G25" i="1" s="1"/>
  <c r="N9" i="3"/>
  <c r="K9" i="1" s="1"/>
  <c r="N16" i="3"/>
  <c r="K16" i="1" s="1"/>
  <c r="AO15" i="2"/>
  <c r="K3" i="1"/>
  <c r="N27" i="3"/>
  <c r="K27" i="1" s="1"/>
  <c r="K26" i="1"/>
  <c r="K10" i="1"/>
  <c r="K13" i="1"/>
  <c r="N23" i="3"/>
  <c r="K23" i="1" s="1"/>
  <c r="K19" i="1"/>
  <c r="AO28" i="2"/>
  <c r="K5" i="1"/>
  <c r="K12" i="1"/>
  <c r="N20" i="3"/>
  <c r="K20" i="1" s="1"/>
  <c r="AO31" i="2"/>
  <c r="K21" i="1"/>
  <c r="U12" i="2"/>
  <c r="K6" i="1"/>
  <c r="AO20" i="2"/>
  <c r="E12" i="1"/>
  <c r="E9" i="1"/>
  <c r="E7" i="1"/>
  <c r="E4" i="1"/>
  <c r="E3" i="1"/>
  <c r="E23" i="1"/>
  <c r="E18" i="1"/>
  <c r="E16" i="1"/>
  <c r="E15" i="1"/>
  <c r="E14" i="1"/>
  <c r="E25" i="1"/>
  <c r="AO21" i="2"/>
  <c r="AO16" i="2"/>
  <c r="AO11" i="2"/>
  <c r="E28" i="1"/>
  <c r="E27" i="1"/>
  <c r="E26" i="1"/>
  <c r="E22" i="1"/>
  <c r="E21" i="1"/>
  <c r="E20" i="1"/>
  <c r="E19" i="1"/>
  <c r="E11" i="1"/>
  <c r="E10" i="1"/>
  <c r="E8" i="1"/>
  <c r="E5" i="1"/>
  <c r="E2" i="1"/>
  <c r="AO30" i="2"/>
  <c r="T4" i="3"/>
  <c r="T15" i="3"/>
  <c r="AO13" i="2"/>
  <c r="T9" i="3"/>
  <c r="AL15" i="2"/>
  <c r="AM15" i="2" s="1"/>
  <c r="X11" i="3"/>
  <c r="T18" i="3"/>
  <c r="I18" i="1" s="1"/>
  <c r="S22" i="3"/>
  <c r="S21" i="3"/>
  <c r="G21" i="1"/>
  <c r="AO23" i="2"/>
  <c r="T10" i="3"/>
  <c r="I10" i="1" s="1"/>
  <c r="AO14" i="2"/>
  <c r="AL32" i="2"/>
  <c r="AM32" i="2" s="1"/>
  <c r="X28" i="3"/>
  <c r="AL28" i="2"/>
  <c r="AM28" i="2" s="1"/>
  <c r="X24" i="3"/>
  <c r="X16" i="3"/>
  <c r="AL20" i="2"/>
  <c r="AM20" i="2" s="1"/>
  <c r="T6" i="3"/>
  <c r="AO22" i="2"/>
  <c r="X3" i="3"/>
  <c r="I3" i="1" s="1"/>
  <c r="S24" i="3"/>
  <c r="X12" i="3"/>
  <c r="I12" i="1" s="1"/>
  <c r="AA26" i="2"/>
  <c r="AO26" i="2" s="1"/>
  <c r="N22" i="3"/>
  <c r="K22" i="1" s="1"/>
  <c r="N17" i="3"/>
  <c r="K17" i="1" s="1"/>
  <c r="T19" i="3"/>
  <c r="P18" i="3"/>
  <c r="P7" i="3"/>
  <c r="AA25" i="2"/>
  <c r="P12" i="3"/>
  <c r="S9" i="3"/>
  <c r="T26" i="3"/>
  <c r="AL26" i="2"/>
  <c r="AM26" i="2" s="1"/>
  <c r="T29" i="3"/>
  <c r="I29" i="1" s="1"/>
  <c r="AL29" i="2"/>
  <c r="AM29" i="2" s="1"/>
  <c r="AA24" i="2"/>
  <c r="AO24" i="2" s="1"/>
  <c r="P20" i="3"/>
  <c r="S31" i="3"/>
  <c r="G31" i="1"/>
  <c r="AA34" i="2"/>
  <c r="AA18" i="2"/>
  <c r="AO18" i="2" s="1"/>
  <c r="AA12" i="2"/>
  <c r="P8" i="3"/>
  <c r="E31" i="1"/>
  <c r="AL33" i="2"/>
  <c r="AM33" i="2" s="1"/>
  <c r="AL12" i="2"/>
  <c r="AM12" i="2" s="1"/>
  <c r="T2" i="3"/>
  <c r="G27" i="1"/>
  <c r="N14" i="3"/>
  <c r="K14" i="1" s="1"/>
  <c r="X23" i="3"/>
  <c r="I23" i="1" s="1"/>
  <c r="T14" i="3"/>
  <c r="I14" i="1" s="1"/>
  <c r="U34" i="2"/>
  <c r="U29" i="2"/>
  <c r="AO29" i="2" s="1"/>
  <c r="X6" i="3"/>
  <c r="X15" i="3"/>
  <c r="U10" i="2"/>
  <c r="AO10" i="2" s="1"/>
  <c r="AL18" i="2"/>
  <c r="AM18" i="2" s="1"/>
  <c r="P6" i="3"/>
  <c r="P16" i="3"/>
  <c r="AA27" i="2"/>
  <c r="AO27" i="2" s="1"/>
  <c r="I28" i="1" l="1"/>
  <c r="S28" i="3"/>
  <c r="I24" i="1"/>
  <c r="I13" i="1"/>
  <c r="I9" i="1"/>
  <c r="AO8" i="2"/>
  <c r="T33" i="3"/>
  <c r="AO25" i="2"/>
  <c r="AM37" i="2"/>
  <c r="AL37" i="2"/>
  <c r="AO6" i="2"/>
  <c r="AA37" i="2"/>
  <c r="G2" i="1"/>
  <c r="P33" i="3"/>
  <c r="K2" i="1"/>
  <c r="N33" i="3"/>
  <c r="S25" i="3"/>
  <c r="I16" i="1"/>
  <c r="S2" i="3"/>
  <c r="I4" i="1"/>
  <c r="I26" i="1"/>
  <c r="I19" i="1"/>
  <c r="I11" i="1"/>
  <c r="AO34" i="2"/>
  <c r="S29" i="3"/>
  <c r="G29" i="1"/>
  <c r="G10" i="1"/>
  <c r="S10" i="3"/>
  <c r="U38" i="2"/>
  <c r="X33" i="3" s="1"/>
  <c r="AO12" i="2"/>
  <c r="G20" i="1"/>
  <c r="S20" i="3"/>
  <c r="G18" i="1"/>
  <c r="S18" i="3"/>
  <c r="S12" i="3"/>
  <c r="G12" i="1"/>
  <c r="S16" i="3"/>
  <c r="G16" i="1"/>
  <c r="I2" i="1"/>
  <c r="S8" i="3"/>
  <c r="G8" i="1"/>
  <c r="I15" i="1"/>
  <c r="G6" i="1"/>
  <c r="S6" i="3"/>
  <c r="S7" i="3"/>
  <c r="G7" i="1"/>
  <c r="I6" i="1"/>
  <c r="S33" i="3" l="1"/>
  <c r="AO37" i="2"/>
  <c r="U39" i="2"/>
  <c r="Y2" i="3" l="1"/>
  <c r="M2" i="1" l="1"/>
  <c r="M33" i="1" s="1"/>
  <c r="Y33" i="3"/>
</calcChain>
</file>

<file path=xl/comments1.xml><?xml version="1.0" encoding="utf-8"?>
<comments xmlns="http://schemas.openxmlformats.org/spreadsheetml/2006/main">
  <authors>
    <author>Marian Chitian</author>
  </authors>
  <commentList>
    <comment ref="P1" authorId="0" shapeId="0">
      <text>
        <r>
          <rPr>
            <b/>
            <sz val="9"/>
            <color indexed="81"/>
            <rFont val="Tahoma"/>
            <family val="2"/>
          </rPr>
          <t>Marian Chitian:</t>
        </r>
        <r>
          <rPr>
            <sz val="9"/>
            <color indexed="81"/>
            <rFont val="Tahoma"/>
            <family val="2"/>
          </rPr>
          <t xml:space="preserve">
This particular meter shouldn't be considered as a main meter is subdivision meter not in ADDC consumption bill.</t>
        </r>
      </text>
    </comment>
    <comment ref="AA2" authorId="0" shapeId="0">
      <text>
        <r>
          <rPr>
            <b/>
            <sz val="9"/>
            <color indexed="81"/>
            <rFont val="Tahoma"/>
            <family val="2"/>
          </rPr>
          <t>Marian Chitian:</t>
        </r>
        <r>
          <rPr>
            <sz val="9"/>
            <color indexed="81"/>
            <rFont val="Tahoma"/>
            <family val="2"/>
          </rPr>
          <t xml:space="preserve">
01/04/2020 - Natural gas price has been changed from 10.70 - 6.47 AED without fee on service charge due to Covid 19 application (subject to changes upon supplier notification).</t>
        </r>
      </text>
    </comment>
    <comment ref="AE2" authorId="0" shapeId="0">
      <text>
        <r>
          <rPr>
            <b/>
            <sz val="9"/>
            <color indexed="81"/>
            <rFont val="Tahoma"/>
            <family val="2"/>
          </rPr>
          <t>Marian Chitian:</t>
        </r>
        <r>
          <rPr>
            <sz val="9"/>
            <color indexed="81"/>
            <rFont val="Tahoma"/>
            <family val="2"/>
          </rPr>
          <t xml:space="preserve">
Cost/ unit updated based on current Invoice 25/03/2020</t>
        </r>
      </text>
    </comment>
    <comment ref="AM2" authorId="0" shapeId="0">
      <text>
        <r>
          <rPr>
            <b/>
            <sz val="9"/>
            <color indexed="81"/>
            <rFont val="Tahoma"/>
            <family val="2"/>
          </rPr>
          <t>Marian Chitian:</t>
        </r>
        <r>
          <rPr>
            <sz val="9"/>
            <color indexed="81"/>
            <rFont val="Tahoma"/>
            <family val="2"/>
          </rPr>
          <t xml:space="preserve">
Cost/ unit updated based on current Invoice 25/03/2020</t>
        </r>
      </text>
    </comment>
    <comment ref="G4" authorId="0" shapeId="0">
      <text>
        <r>
          <rPr>
            <b/>
            <sz val="9"/>
            <color indexed="81"/>
            <rFont val="Tahoma"/>
            <family val="2"/>
          </rPr>
          <t>Marian Chitian:</t>
        </r>
        <r>
          <rPr>
            <sz val="9"/>
            <color indexed="81"/>
            <rFont val="Tahoma"/>
            <family val="2"/>
          </rPr>
          <t xml:space="preserve">
Residence Apartments chilled water pump feeder 30 kwh running 24/7/365 supply from Hotel common area.</t>
        </r>
      </text>
    </comment>
    <comment ref="I4" authorId="0" shapeId="0">
      <text>
        <r>
          <rPr>
            <b/>
            <sz val="9"/>
            <color indexed="81"/>
            <rFont val="Tahoma"/>
            <family val="2"/>
          </rPr>
          <t>Marian Chitian:</t>
        </r>
        <r>
          <rPr>
            <sz val="9"/>
            <color indexed="81"/>
            <rFont val="Tahoma"/>
            <family val="2"/>
          </rPr>
          <t xml:space="preserve">
Based on ELV Distribution load this transformer feeds Residence Apartments Public area shouldn't be considered on Hotel expenses.</t>
        </r>
      </text>
    </comment>
    <comment ref="E5" authorId="0" shapeId="0">
      <text>
        <r>
          <rPr>
            <b/>
            <sz val="9"/>
            <color indexed="81"/>
            <rFont val="Tahoma"/>
            <family val="2"/>
          </rPr>
          <t>Marian Chitian:</t>
        </r>
        <r>
          <rPr>
            <sz val="9"/>
            <color indexed="81"/>
            <rFont val="Tahoma"/>
            <family val="2"/>
          </rPr>
          <t xml:space="preserve">
Residence Apartment hot water calorifier 2</t>
        </r>
        <r>
          <rPr>
            <b/>
            <sz val="9"/>
            <color indexed="81"/>
            <rFont val="Tahoma"/>
            <family val="2"/>
          </rPr>
          <t xml:space="preserve">0 KW/H </t>
        </r>
        <r>
          <rPr>
            <sz val="9"/>
            <color indexed="81"/>
            <rFont val="Tahoma"/>
            <family val="2"/>
          </rPr>
          <t>feeding share section from Hotel section , the conclusion is based on single line digram distribution. Monthly basis we minus the total amount of the outlet from the total amount of the transformer and we charge back to Residence Apartment HOA.</t>
        </r>
      </text>
    </comment>
    <comment ref="H5" authorId="0" shapeId="0">
      <text>
        <r>
          <rPr>
            <b/>
            <sz val="9"/>
            <color indexed="81"/>
            <rFont val="Tahoma"/>
            <family val="2"/>
          </rPr>
          <t>Marian Chitian:</t>
        </r>
        <r>
          <rPr>
            <sz val="9"/>
            <color indexed="81"/>
            <rFont val="Tahoma"/>
            <family val="2"/>
          </rPr>
          <t xml:space="preserve">
Residence Apartment section all public areas Electric DB FROM 15 34 floor supply from this outlet the conclusion is based on single line digram distribution.</t>
        </r>
      </text>
    </comment>
  </commentList>
</comments>
</file>

<file path=xl/sharedStrings.xml><?xml version="1.0" encoding="utf-8"?>
<sst xmlns="http://schemas.openxmlformats.org/spreadsheetml/2006/main" count="220" uniqueCount="105">
  <si>
    <t>Site Name</t>
  </si>
  <si>
    <t>Day</t>
  </si>
  <si>
    <t>Month</t>
  </si>
  <si>
    <t>Year</t>
  </si>
  <si>
    <t>Total Electricity Kwh</t>
  </si>
  <si>
    <t>Electricity Tariff ($/Kwh)</t>
  </si>
  <si>
    <t>Water Utility Supply (m3) m3</t>
  </si>
  <si>
    <t>Water Utility Supply (m3) $/m3</t>
  </si>
  <si>
    <t xml:space="preserve">Room Nights </t>
  </si>
  <si>
    <t xml:space="preserve">Total Guests </t>
  </si>
  <si>
    <t>Natual Gas (m3)</t>
  </si>
  <si>
    <t>Natural Gas $/m3</t>
  </si>
  <si>
    <t xml:space="preserve"> </t>
  </si>
  <si>
    <t>DATE</t>
  </si>
  <si>
    <t>ELECTRICAL METERS</t>
  </si>
  <si>
    <t>TOTAL CONSUMPTION (kWh)</t>
  </si>
  <si>
    <t>ELECTRICITY - TOTAL (AED)</t>
  </si>
  <si>
    <t>Concrete Tank Meter (Daily Consumption)</t>
  </si>
  <si>
    <t xml:space="preserve">Fiber tank Meter Cold Water Podium &amp; Galleria Staff Toilet Section 2 </t>
  </si>
  <si>
    <t xml:space="preserve">Galleria Hot water Public Area </t>
  </si>
  <si>
    <t>Water Bulk 3 Meter Galleria (Daily Consumption) section 1</t>
  </si>
  <si>
    <t>Irrigation Tank Meter  (Daily Consumption)</t>
  </si>
  <si>
    <t>Galleria Consumption m3</t>
  </si>
  <si>
    <t>GALLERIA WATER TOTAL COST (AED)</t>
  </si>
  <si>
    <r>
      <t xml:space="preserve">WATER METER </t>
    </r>
    <r>
      <rPr>
        <b/>
        <sz val="12"/>
        <color indexed="8"/>
        <rFont val="Calibri"/>
        <family val="2"/>
      </rPr>
      <t>(Daily Consumption) m3</t>
    </r>
  </si>
  <si>
    <t>FSH WATER (AED)</t>
  </si>
  <si>
    <r>
      <t xml:space="preserve">Hot Water Boiler       </t>
    </r>
    <r>
      <rPr>
        <b/>
        <sz val="12"/>
        <color indexed="8"/>
        <rFont val="Calibri"/>
        <family val="2"/>
      </rPr>
      <t>(Daily Gas  Consumption m 3)</t>
    </r>
  </si>
  <si>
    <r>
      <t xml:space="preserve">Steam Boiler </t>
    </r>
    <r>
      <rPr>
        <b/>
        <sz val="12"/>
        <color indexed="8"/>
        <rFont val="Calibri"/>
        <family val="2"/>
      </rPr>
      <t>(Daily Gas  Consumption m 3)</t>
    </r>
  </si>
  <si>
    <r>
      <t>GAS METERS</t>
    </r>
    <r>
      <rPr>
        <b/>
        <sz val="12"/>
        <color indexed="8"/>
        <rFont val="Calibri"/>
        <family val="2"/>
      </rPr>
      <t xml:space="preserve">           (Daily Reading)</t>
    </r>
  </si>
  <si>
    <r>
      <t xml:space="preserve">GAS </t>
    </r>
    <r>
      <rPr>
        <b/>
        <sz val="12"/>
        <color indexed="8"/>
        <rFont val="Calibri"/>
        <family val="2"/>
      </rPr>
      <t>(Daily Consumption m 3)</t>
    </r>
  </si>
  <si>
    <r>
      <t xml:space="preserve">CHILLED WATER </t>
    </r>
    <r>
      <rPr>
        <b/>
        <sz val="12"/>
        <color indexed="8"/>
        <rFont val="Calibri"/>
        <family val="2"/>
      </rPr>
      <t>(Daily Reading) Present HT</t>
    </r>
  </si>
  <si>
    <r>
      <t xml:space="preserve">CHILLED WATER </t>
    </r>
    <r>
      <rPr>
        <b/>
        <sz val="12"/>
        <color indexed="8"/>
        <rFont val="Calibri"/>
        <family val="2"/>
      </rPr>
      <t>(Daily Reading) Previous HT</t>
    </r>
  </si>
  <si>
    <r>
      <t xml:space="preserve">CHILLED WATER </t>
    </r>
    <r>
      <rPr>
        <b/>
        <sz val="12"/>
        <color indexed="8"/>
        <rFont val="Calibri"/>
        <family val="2"/>
      </rPr>
      <t>(Daily Consumption)  HT</t>
    </r>
  </si>
  <si>
    <t>CHILLED WATER (AED)</t>
  </si>
  <si>
    <t>Galleria chilled water MWH Previous</t>
  </si>
  <si>
    <t xml:space="preserve">Galleria chilled water MWH Present </t>
  </si>
  <si>
    <t>Galleria Chilled Water Total MWH</t>
  </si>
  <si>
    <t>Galleria Chilled Water Total HT</t>
  </si>
  <si>
    <t>TOTAL (AED)</t>
  </si>
  <si>
    <t>THR AED   (0.334529)</t>
  </si>
  <si>
    <t>MWH = H.TON (1 = 284.34)</t>
  </si>
  <si>
    <t>TOTAL CONSUMPTION (KWH)</t>
  </si>
  <si>
    <t>TOTAL AMOUNT (AED)</t>
  </si>
  <si>
    <t>(K21B2419000)</t>
  </si>
  <si>
    <t>4626096222-E</t>
  </si>
  <si>
    <t>6572482789-E</t>
  </si>
  <si>
    <t>3190048503-E</t>
  </si>
  <si>
    <t>3732963488-E</t>
  </si>
  <si>
    <t>4626096253-E</t>
  </si>
  <si>
    <t>7651356710-E</t>
  </si>
  <si>
    <t>5076351256-E</t>
  </si>
  <si>
    <t>8990986529-E</t>
  </si>
  <si>
    <t>6057081392-E</t>
  </si>
  <si>
    <t>LVS-1 SECTION A</t>
  </si>
  <si>
    <t>LVS-1 SECTION B</t>
  </si>
  <si>
    <t>LVS-2 (CAFÉ MILANO)</t>
  </si>
  <si>
    <t>LVS-3 SECTION A</t>
  </si>
  <si>
    <t>LVS-3 SECTION B</t>
  </si>
  <si>
    <t>LVS-4 SECTION A</t>
  </si>
  <si>
    <t>LVS-4 SECTION B</t>
  </si>
  <si>
    <t>LVS-5 (FLOOR 15-32)</t>
  </si>
  <si>
    <t>LVS-LRLV (RETAIL)</t>
  </si>
  <si>
    <t>TOTAL</t>
  </si>
  <si>
    <t>0001523.20</t>
  </si>
  <si>
    <t>LVS-1 SECTION A - KWh</t>
  </si>
  <si>
    <t>LVS-3 SECTION A- KWh</t>
  </si>
  <si>
    <t>LVS-3 SECTION B- KWh</t>
  </si>
  <si>
    <t>LVS-4 SECTION A- KWh</t>
  </si>
  <si>
    <t>LVS-4 SECTION B- KWh</t>
  </si>
  <si>
    <t>LVS-5 (FLOOR 15-32) KWh</t>
  </si>
  <si>
    <t>LVS-LRLV (RETAIL)KWh</t>
  </si>
  <si>
    <r>
      <t>Total Water-  m</t>
    </r>
    <r>
      <rPr>
        <b/>
        <vertAlign val="superscript"/>
        <sz val="11"/>
        <color indexed="8"/>
        <rFont val="Calibri"/>
        <family val="2"/>
      </rPr>
      <t>3</t>
    </r>
  </si>
  <si>
    <r>
      <t>Galleria Water  m</t>
    </r>
    <r>
      <rPr>
        <b/>
        <vertAlign val="superscript"/>
        <sz val="11"/>
        <color indexed="8"/>
        <rFont val="Calibri"/>
        <family val="2"/>
      </rPr>
      <t>3</t>
    </r>
  </si>
  <si>
    <r>
      <t>Main Gas  m</t>
    </r>
    <r>
      <rPr>
        <b/>
        <vertAlign val="superscript"/>
        <sz val="11"/>
        <color indexed="8"/>
        <rFont val="Calibri"/>
        <family val="2"/>
      </rPr>
      <t>3</t>
    </r>
  </si>
  <si>
    <r>
      <t>HW Boiler Gas -  m</t>
    </r>
    <r>
      <rPr>
        <b/>
        <vertAlign val="superscript"/>
        <sz val="11"/>
        <color indexed="8"/>
        <rFont val="Calibri"/>
        <family val="2"/>
      </rPr>
      <t>3</t>
    </r>
  </si>
  <si>
    <r>
      <t>Steam Boiler Gas- m</t>
    </r>
    <r>
      <rPr>
        <b/>
        <vertAlign val="superscript"/>
        <sz val="11"/>
        <color indexed="8"/>
        <rFont val="Calibri"/>
        <family val="2"/>
      </rPr>
      <t>3</t>
    </r>
  </si>
  <si>
    <t>Guest Room Chilled Water MWh</t>
  </si>
  <si>
    <t>Podium Chilled Water - MWh</t>
  </si>
  <si>
    <t>Residence Chilled Water MWh</t>
  </si>
  <si>
    <t>OCCUPANCY (Room Night)</t>
  </si>
  <si>
    <t>Abu Dhabi</t>
  </si>
  <si>
    <t>LVS-1 SECTION B - KWh</t>
  </si>
  <si>
    <t>District Energy Cooling Kwh</t>
  </si>
  <si>
    <t>District Energy Cooling $/Kwh</t>
  </si>
  <si>
    <t>LVS-2 (CAFE MILANO)- KWh</t>
  </si>
  <si>
    <t>Galleria independent supply</t>
  </si>
  <si>
    <t>Main District Cooling- KWh</t>
  </si>
  <si>
    <t>Podium District Cooling- KWh</t>
  </si>
  <si>
    <t>Guest Rooms District Cooling- KWh</t>
  </si>
  <si>
    <t>Residence District Cooling- KWh</t>
  </si>
  <si>
    <t>Galleria District Cooling  KWh</t>
  </si>
  <si>
    <t>Total Kitchen- m3</t>
  </si>
  <si>
    <t>Hot water calorifiers L 14 feed 15 - 19 floor</t>
  </si>
  <si>
    <t xml:space="preserve">KW/H </t>
  </si>
  <si>
    <t>AED</t>
  </si>
  <si>
    <t>Residence Apartment chilled water pump share feeder</t>
  </si>
  <si>
    <t xml:space="preserve">Residence Public Area Electric DB share feeder </t>
  </si>
  <si>
    <t>Residence apartments Electric DB (individual apartment  feeder)</t>
  </si>
  <si>
    <t>20KWH</t>
  </si>
  <si>
    <t>Total / budget</t>
  </si>
  <si>
    <t>(AED. 6.47/m3 + AED. 0.00 Service)</t>
  </si>
  <si>
    <t>Natural GAS (AED)</t>
  </si>
  <si>
    <t>0001523.21</t>
  </si>
  <si>
    <t>0001523.22</t>
  </si>
  <si>
    <t>AED. 0.332195/Ton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</si>
</sst>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0.0"/>
    <numFmt numFmtId="165" formatCode="[$-409]d\-mmm\-yy;@"/>
    <numFmt numFmtId="166" formatCode="0.0000"/>
  </numFmts>
  <fonts count="17" x14ac:knownFonts="1">
    <font>
      <sz val="11"/>
      <color theme="1"/>
      <name val="Calibri"/>
      <family val="2"/>
      <scheme val="minor"/>
    </font>
    <font>
      <sz val="11"/>
      <color indexed="8"/>
      <name val="Calibri"/>
      <family val="2"/>
    </font>
    <font>
      <b/>
      <vertAlign val="superscript"/>
      <sz val="11"/>
      <color indexed="8"/>
      <name val="Calibri"/>
      <family val="2"/>
    </font>
    <font>
      <b/>
      <sz val="12"/>
      <name val="Century Gothic"/>
      <family val="2"/>
    </font>
    <font>
      <b/>
      <sz val="12"/>
      <color indexed="8"/>
      <name val="Calibri"/>
      <family val="2"/>
    </font>
    <font>
      <b/>
      <sz val="11"/>
      <color indexed="8"/>
      <name val="Calibri"/>
      <family val="2"/>
    </font>
    <font>
      <sz val="8"/>
      <name val="Calibri"/>
      <family val="2"/>
    </font>
    <font>
      <sz val="9"/>
      <color indexed="81"/>
      <name val="Tahoma"/>
      <family val="2"/>
    </font>
    <font>
      <b/>
      <sz val="9"/>
      <color indexed="81"/>
      <name val="Tahoma"/>
      <family val="2"/>
    </font>
    <font>
      <b/>
      <sz val="11"/>
      <color theme="1"/>
      <name val="Calibri"/>
      <family val="2"/>
      <scheme val="minor"/>
    </font>
    <font>
      <sz val="11"/>
      <color rgb="FFFF0000"/>
      <name val="Calibri"/>
      <family val="2"/>
      <scheme val="minor"/>
    </font>
    <font>
      <b/>
      <sz val="16"/>
      <color theme="1"/>
      <name val="Calibri"/>
      <family val="2"/>
      <scheme val="minor"/>
    </font>
    <font>
      <b/>
      <sz val="14"/>
      <color theme="1"/>
      <name val="Calibri"/>
      <family val="2"/>
      <scheme val="minor"/>
    </font>
    <font>
      <b/>
      <sz val="10"/>
      <color theme="1"/>
      <name val="Calibri"/>
      <family val="2"/>
      <scheme val="minor"/>
    </font>
    <font>
      <b/>
      <sz val="11"/>
      <color rgb="FFFF0000"/>
      <name val="Calibri"/>
      <family val="2"/>
      <scheme val="minor"/>
    </font>
    <font>
      <sz val="11"/>
      <color theme="1"/>
      <name val="Californian FB"/>
      <family val="1"/>
    </font>
    <font>
      <sz val="10"/>
      <name val="Arial"/>
      <family val="2"/>
    </font>
  </fonts>
  <fills count="9">
    <fill>
      <patternFill patternType="none"/>
    </fill>
    <fill>
      <patternFill patternType="gray125"/>
    </fill>
    <fill>
      <patternFill patternType="solid">
        <fgColor theme="8" tint="0.39997558519241921"/>
        <bgColor indexed="64"/>
      </patternFill>
    </fill>
    <fill>
      <patternFill patternType="solid">
        <fgColor rgb="FFFFC000"/>
        <bgColor indexed="64"/>
      </patternFill>
    </fill>
    <fill>
      <patternFill patternType="solid">
        <fgColor theme="7"/>
        <bgColor indexed="64"/>
      </patternFill>
    </fill>
    <fill>
      <patternFill patternType="solid">
        <fgColor rgb="FFFFFF00"/>
        <bgColor indexed="64"/>
      </patternFill>
    </fill>
    <fill>
      <patternFill patternType="solid">
        <fgColor rgb="FF92D050"/>
        <bgColor indexed="64"/>
      </patternFill>
    </fill>
    <fill>
      <patternFill patternType="solid">
        <fgColor theme="7" tint="0.79998168889431442"/>
        <bgColor indexed="64"/>
      </patternFill>
    </fill>
    <fill>
      <patternFill patternType="solid">
        <fgColor theme="0"/>
        <bgColor indexed="64"/>
      </patternFill>
    </fill>
  </fills>
  <borders count="24">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right/>
      <top style="medium">
        <color indexed="64"/>
      </top>
      <bottom style="medium">
        <color indexed="64"/>
      </bottom>
      <diagonal/>
    </border>
    <border>
      <left style="thin">
        <color indexed="64"/>
      </left>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thin">
        <color indexed="64"/>
      </right>
      <top style="medium">
        <color indexed="64"/>
      </top>
      <bottom/>
      <diagonal/>
    </border>
    <border>
      <left style="thin">
        <color indexed="64"/>
      </left>
      <right style="medium">
        <color indexed="64"/>
      </right>
      <top/>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medium">
        <color indexed="64"/>
      </top>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thin">
        <color indexed="64"/>
      </top>
      <bottom/>
      <diagonal/>
    </border>
  </borders>
  <cellStyleXfs count="2">
    <xf numFmtId="0" fontId="0" fillId="0" borderId="0"/>
    <xf numFmtId="0" fontId="16" fillId="0" borderId="0"/>
  </cellStyleXfs>
  <cellXfs count="158">
    <xf numFmtId="0" fontId="0" fillId="0" borderId="0" xfId="0"/>
    <xf numFmtId="0" fontId="0" fillId="0" borderId="0" xfId="0" applyAlignment="1">
      <alignment horizontal="center"/>
    </xf>
    <xf numFmtId="0" fontId="9" fillId="0" borderId="0" xfId="0" applyFont="1" applyAlignment="1">
      <alignment horizontal="center"/>
    </xf>
    <xf numFmtId="0" fontId="9" fillId="0" borderId="0" xfId="0" applyFont="1"/>
    <xf numFmtId="1" fontId="0" fillId="0" borderId="0" xfId="0" applyNumberFormat="1" applyAlignment="1">
      <alignment horizontal="center"/>
    </xf>
    <xf numFmtId="1" fontId="0" fillId="0" borderId="1" xfId="0" applyNumberFormat="1" applyBorder="1" applyAlignment="1">
      <alignment horizontal="center" vertical="center"/>
    </xf>
    <xf numFmtId="0" fontId="0" fillId="0" borderId="0" xfId="0" applyAlignment="1">
      <alignment horizontal="center" vertical="center"/>
    </xf>
    <xf numFmtId="0" fontId="11" fillId="0" borderId="0" xfId="0" applyFont="1" applyAlignment="1">
      <alignment horizontal="center" vertical="center"/>
    </xf>
    <xf numFmtId="0" fontId="0" fillId="0" borderId="0" xfId="0" applyAlignment="1">
      <alignment vertical="center"/>
    </xf>
    <xf numFmtId="0" fontId="0" fillId="0" borderId="2" xfId="0" applyBorder="1" applyAlignment="1">
      <alignment horizontal="center" vertical="center"/>
    </xf>
    <xf numFmtId="4" fontId="9" fillId="0" borderId="3" xfId="0" applyNumberFormat="1" applyFont="1" applyBorder="1" applyAlignment="1">
      <alignment vertical="center" wrapText="1"/>
    </xf>
    <xf numFmtId="0" fontId="0" fillId="0" borderId="1" xfId="0" applyBorder="1" applyAlignment="1">
      <alignment horizontal="center" vertical="center"/>
    </xf>
    <xf numFmtId="0" fontId="0" fillId="0" borderId="3" xfId="0" applyBorder="1" applyAlignment="1">
      <alignment horizontal="center" vertical="center"/>
    </xf>
    <xf numFmtId="0" fontId="12" fillId="0" borderId="4" xfId="0" applyFont="1" applyBorder="1" applyAlignment="1">
      <alignment horizontal="center" vertical="center" wrapText="1"/>
    </xf>
    <xf numFmtId="3" fontId="0" fillId="0" borderId="1" xfId="0" applyNumberFormat="1" applyBorder="1" applyAlignment="1">
      <alignment horizontal="center" vertical="center"/>
    </xf>
    <xf numFmtId="3" fontId="0" fillId="0" borderId="0" xfId="0" applyNumberFormat="1" applyAlignment="1">
      <alignment horizontal="center" vertical="center"/>
    </xf>
    <xf numFmtId="4" fontId="0" fillId="0" borderId="0" xfId="0" applyNumberFormat="1" applyAlignment="1">
      <alignment horizontal="center" vertical="center"/>
    </xf>
    <xf numFmtId="1" fontId="0" fillId="0" borderId="0" xfId="0" applyNumberFormat="1" applyAlignment="1">
      <alignment horizontal="center" vertical="center"/>
    </xf>
    <xf numFmtId="0" fontId="9" fillId="0" borderId="0" xfId="0" applyFont="1" applyAlignment="1">
      <alignment horizontal="center" vertical="center"/>
    </xf>
    <xf numFmtId="2" fontId="10" fillId="0" borderId="0" xfId="0" applyNumberFormat="1" applyFont="1" applyAlignment="1">
      <alignment horizontal="center"/>
    </xf>
    <xf numFmtId="0" fontId="10" fillId="0" borderId="0" xfId="0" applyFont="1" applyAlignment="1">
      <alignment horizontal="center"/>
    </xf>
    <xf numFmtId="0" fontId="0" fillId="0" borderId="6" xfId="0" applyBorder="1" applyAlignment="1">
      <alignment horizontal="center" vertical="center"/>
    </xf>
    <xf numFmtId="0" fontId="9" fillId="0" borderId="4" xfId="0" applyFont="1" applyBorder="1" applyAlignment="1">
      <alignment horizontal="center" vertical="center"/>
    </xf>
    <xf numFmtId="0" fontId="9" fillId="0" borderId="3" xfId="0" applyFont="1" applyBorder="1" applyAlignment="1">
      <alignment horizontal="center" vertical="center"/>
    </xf>
    <xf numFmtId="0" fontId="12" fillId="0" borderId="7" xfId="0" applyFont="1" applyBorder="1" applyAlignment="1">
      <alignment horizontal="center" vertical="center"/>
    </xf>
    <xf numFmtId="0" fontId="12" fillId="2" borderId="8" xfId="0" applyFont="1" applyFill="1" applyBorder="1" applyAlignment="1">
      <alignment horizontal="center" vertical="center" wrapText="1"/>
    </xf>
    <xf numFmtId="3" fontId="12" fillId="3" borderId="8" xfId="0" applyNumberFormat="1" applyFont="1" applyFill="1" applyBorder="1" applyAlignment="1">
      <alignment horizontal="center" vertical="center" wrapText="1"/>
    </xf>
    <xf numFmtId="4" fontId="3" fillId="2" borderId="8" xfId="0" applyNumberFormat="1" applyFont="1" applyFill="1" applyBorder="1" applyAlignment="1">
      <alignment horizontal="center" vertical="center" wrapText="1"/>
    </xf>
    <xf numFmtId="4" fontId="3" fillId="4" borderId="8" xfId="0" applyNumberFormat="1" applyFont="1" applyFill="1" applyBorder="1" applyAlignment="1">
      <alignment horizontal="center" vertical="center" wrapText="1"/>
    </xf>
    <xf numFmtId="4" fontId="12" fillId="4" borderId="8" xfId="0" applyNumberFormat="1" applyFont="1" applyFill="1" applyBorder="1" applyAlignment="1">
      <alignment horizontal="center" vertical="center" wrapText="1"/>
    </xf>
    <xf numFmtId="4" fontId="12" fillId="2" borderId="9" xfId="0" applyNumberFormat="1" applyFont="1" applyFill="1" applyBorder="1" applyAlignment="1">
      <alignment horizontal="center" vertical="center" wrapText="1"/>
    </xf>
    <xf numFmtId="4" fontId="12" fillId="4" borderId="9" xfId="0" applyNumberFormat="1" applyFont="1" applyFill="1" applyBorder="1" applyAlignment="1">
      <alignment horizontal="center" vertical="center" wrapText="1"/>
    </xf>
    <xf numFmtId="4" fontId="12" fillId="2" borderId="8" xfId="0" applyNumberFormat="1" applyFont="1" applyFill="1" applyBorder="1" applyAlignment="1">
      <alignment horizontal="center" vertical="center" wrapText="1"/>
    </xf>
    <xf numFmtId="4" fontId="12" fillId="3" borderId="8" xfId="0" applyNumberFormat="1" applyFont="1" applyFill="1" applyBorder="1" applyAlignment="1">
      <alignment horizontal="center" vertical="center" wrapText="1"/>
    </xf>
    <xf numFmtId="0" fontId="12" fillId="2" borderId="10" xfId="0" applyFont="1" applyFill="1" applyBorder="1" applyAlignment="1">
      <alignment horizontal="center" vertical="center" wrapText="1"/>
    </xf>
    <xf numFmtId="3" fontId="12" fillId="3" borderId="10" xfId="0" applyNumberFormat="1" applyFont="1" applyFill="1" applyBorder="1" applyAlignment="1">
      <alignment horizontal="center" vertical="center" wrapText="1"/>
    </xf>
    <xf numFmtId="0" fontId="12" fillId="0" borderId="10" xfId="0" applyFont="1" applyBorder="1" applyAlignment="1">
      <alignment horizontal="center" vertical="center" wrapText="1"/>
    </xf>
    <xf numFmtId="0" fontId="12" fillId="4" borderId="8" xfId="0" applyFont="1" applyFill="1" applyBorder="1" applyAlignment="1">
      <alignment horizontal="center" vertical="center" wrapText="1"/>
    </xf>
    <xf numFmtId="3" fontId="12" fillId="3" borderId="11" xfId="0" applyNumberFormat="1" applyFont="1" applyFill="1" applyBorder="1" applyAlignment="1">
      <alignment horizontal="center" vertical="center" wrapText="1"/>
    </xf>
    <xf numFmtId="1" fontId="9" fillId="5" borderId="8" xfId="0" applyNumberFormat="1" applyFont="1" applyFill="1" applyBorder="1" applyAlignment="1">
      <alignment horizontal="center" vertical="center" wrapText="1"/>
    </xf>
    <xf numFmtId="3" fontId="0" fillId="0" borderId="5" xfId="0" applyNumberFormat="1" applyBorder="1" applyAlignment="1">
      <alignment horizontal="center" vertical="center"/>
    </xf>
    <xf numFmtId="1" fontId="0" fillId="0" borderId="5" xfId="0" applyNumberFormat="1" applyBorder="1" applyAlignment="1">
      <alignment horizontal="center" vertical="center"/>
    </xf>
    <xf numFmtId="2" fontId="0" fillId="0" borderId="0" xfId="0" applyNumberFormat="1" applyAlignment="1">
      <alignment horizontal="center" vertical="center"/>
    </xf>
    <xf numFmtId="0" fontId="9" fillId="0" borderId="3" xfId="0" applyFont="1" applyBorder="1" applyAlignment="1">
      <alignment horizontal="center" vertical="center" wrapText="1"/>
    </xf>
    <xf numFmtId="0" fontId="12" fillId="0" borderId="3" xfId="0" applyFont="1" applyBorder="1" applyAlignment="1">
      <alignment horizontal="center" vertical="center" wrapText="1"/>
    </xf>
    <xf numFmtId="4" fontId="12" fillId="0" borderId="3" xfId="0" applyNumberFormat="1" applyFont="1" applyBorder="1" applyAlignment="1">
      <alignment horizontal="center" vertical="center" wrapText="1"/>
    </xf>
    <xf numFmtId="0" fontId="12" fillId="0" borderId="8" xfId="0" applyFont="1" applyBorder="1" applyAlignment="1">
      <alignment horizontal="center" vertical="center" wrapText="1"/>
    </xf>
    <xf numFmtId="4" fontId="0" fillId="0" borderId="3" xfId="0" applyNumberFormat="1" applyBorder="1" applyAlignment="1">
      <alignment horizontal="center" vertical="center"/>
    </xf>
    <xf numFmtId="2" fontId="0" fillId="0" borderId="1" xfId="0" applyNumberFormat="1" applyBorder="1" applyAlignment="1">
      <alignment horizontal="center" vertical="center"/>
    </xf>
    <xf numFmtId="0" fontId="0" fillId="0" borderId="12" xfId="0" applyBorder="1" applyAlignment="1">
      <alignment horizontal="center" vertical="center"/>
    </xf>
    <xf numFmtId="0" fontId="0" fillId="0" borderId="13" xfId="0" applyBorder="1" applyAlignment="1">
      <alignment horizontal="center" vertical="center" wrapText="1"/>
    </xf>
    <xf numFmtId="3" fontId="0" fillId="0" borderId="13" xfId="0" applyNumberFormat="1" applyBorder="1" applyAlignment="1">
      <alignment horizontal="center" vertical="center" wrapText="1"/>
    </xf>
    <xf numFmtId="0" fontId="0" fillId="0" borderId="13" xfId="0" applyBorder="1" applyAlignment="1">
      <alignment horizontal="center" vertical="center"/>
    </xf>
    <xf numFmtId="0" fontId="9" fillId="6" borderId="7" xfId="0" applyFont="1" applyFill="1" applyBorder="1" applyAlignment="1">
      <alignment horizontal="center" vertical="center"/>
    </xf>
    <xf numFmtId="0" fontId="0" fillId="6" borderId="8" xfId="0" applyFill="1" applyBorder="1" applyAlignment="1">
      <alignment horizontal="center" vertical="center"/>
    </xf>
    <xf numFmtId="3" fontId="0" fillId="6" borderId="8" xfId="0" applyNumberFormat="1" applyFill="1" applyBorder="1" applyAlignment="1">
      <alignment horizontal="center" vertical="center"/>
    </xf>
    <xf numFmtId="0" fontId="0" fillId="6" borderId="8" xfId="0" applyFill="1" applyBorder="1" applyAlignment="1">
      <alignment horizontal="center" vertical="center" wrapText="1"/>
    </xf>
    <xf numFmtId="4" fontId="0" fillId="6" borderId="8" xfId="0" applyNumberFormat="1" applyFill="1" applyBorder="1" applyAlignment="1">
      <alignment horizontal="center" vertical="center"/>
    </xf>
    <xf numFmtId="1" fontId="0" fillId="6" borderId="8" xfId="0" applyNumberFormat="1" applyFill="1" applyBorder="1" applyAlignment="1">
      <alignment horizontal="center" vertical="center"/>
    </xf>
    <xf numFmtId="2" fontId="0" fillId="0" borderId="5" xfId="0" applyNumberFormat="1" applyBorder="1" applyAlignment="1">
      <alignment horizontal="center" vertical="center"/>
    </xf>
    <xf numFmtId="0" fontId="14" fillId="0" borderId="0" xfId="0" applyFont="1" applyAlignment="1">
      <alignment horizontal="center"/>
    </xf>
    <xf numFmtId="1" fontId="0" fillId="0" borderId="14" xfId="0" applyNumberFormat="1" applyBorder="1" applyAlignment="1">
      <alignment horizontal="center" vertical="center"/>
    </xf>
    <xf numFmtId="0" fontId="0" fillId="5" borderId="13" xfId="0" applyFill="1" applyBorder="1" applyAlignment="1">
      <alignment horizontal="center" vertical="center" wrapText="1"/>
    </xf>
    <xf numFmtId="0" fontId="0" fillId="0" borderId="14" xfId="0" applyBorder="1" applyAlignment="1">
      <alignment horizontal="center" vertical="center"/>
    </xf>
    <xf numFmtId="4" fontId="0" fillId="0" borderId="14" xfId="0" applyNumberFormat="1" applyBorder="1" applyAlignment="1">
      <alignment horizontal="center" vertical="center"/>
    </xf>
    <xf numFmtId="4" fontId="12" fillId="7" borderId="8" xfId="0" applyNumberFormat="1" applyFont="1" applyFill="1" applyBorder="1" applyAlignment="1">
      <alignment horizontal="center" vertical="center" wrapText="1"/>
    </xf>
    <xf numFmtId="0" fontId="15" fillId="5" borderId="8" xfId="0" applyFont="1" applyFill="1" applyBorder="1" applyAlignment="1">
      <alignment horizontal="center" vertical="center" wrapText="1"/>
    </xf>
    <xf numFmtId="0" fontId="0" fillId="5" borderId="8" xfId="0" applyFill="1" applyBorder="1" applyAlignment="1">
      <alignment horizontal="center" vertical="center" wrapText="1"/>
    </xf>
    <xf numFmtId="0" fontId="0" fillId="5" borderId="1" xfId="0" applyFill="1" applyBorder="1" applyAlignment="1">
      <alignment horizontal="center" vertical="center"/>
    </xf>
    <xf numFmtId="0" fontId="0" fillId="0" borderId="1" xfId="0" applyBorder="1" applyAlignment="1">
      <alignment horizontal="center"/>
    </xf>
    <xf numFmtId="0" fontId="10" fillId="0" borderId="1" xfId="0" applyFont="1" applyBorder="1" applyAlignment="1">
      <alignment horizontal="center"/>
    </xf>
    <xf numFmtId="1" fontId="0" fillId="0" borderId="1" xfId="0" applyNumberFormat="1" applyBorder="1" applyAlignment="1">
      <alignment horizontal="center"/>
    </xf>
    <xf numFmtId="0" fontId="9" fillId="0" borderId="1" xfId="0" applyFont="1" applyBorder="1" applyAlignment="1">
      <alignment horizontal="center"/>
    </xf>
    <xf numFmtId="0" fontId="14" fillId="0" borderId="1" xfId="0" applyFont="1" applyBorder="1" applyAlignment="1">
      <alignment horizontal="center"/>
    </xf>
    <xf numFmtId="2" fontId="10" fillId="0" borderId="1" xfId="0" applyNumberFormat="1" applyFont="1" applyBorder="1" applyAlignment="1">
      <alignment horizontal="center"/>
    </xf>
    <xf numFmtId="164" fontId="0" fillId="0" borderId="5" xfId="0" applyNumberFormat="1" applyBorder="1" applyAlignment="1">
      <alignment horizontal="center" vertical="center"/>
    </xf>
    <xf numFmtId="165" fontId="9" fillId="0" borderId="0" xfId="0" applyNumberFormat="1" applyFont="1" applyBorder="1" applyAlignment="1">
      <alignment horizontal="center" vertical="center"/>
    </xf>
    <xf numFmtId="3" fontId="0" fillId="0" borderId="16" xfId="0" applyNumberFormat="1" applyBorder="1" applyAlignment="1">
      <alignment horizontal="center" vertical="center"/>
    </xf>
    <xf numFmtId="3" fontId="0" fillId="0" borderId="17" xfId="0" applyNumberFormat="1" applyBorder="1" applyAlignment="1">
      <alignment horizontal="center" vertical="center"/>
    </xf>
    <xf numFmtId="165" fontId="9" fillId="0" borderId="2" xfId="0" applyNumberFormat="1" applyFont="1" applyBorder="1" applyAlignment="1">
      <alignment horizontal="center" vertical="center"/>
    </xf>
    <xf numFmtId="165" fontId="9" fillId="0" borderId="18" xfId="0" applyNumberFormat="1" applyFont="1" applyBorder="1" applyAlignment="1">
      <alignment horizontal="center" vertical="center"/>
    </xf>
    <xf numFmtId="1" fontId="0" fillId="8" borderId="1" xfId="0" applyNumberFormat="1" applyFill="1" applyBorder="1" applyAlignment="1">
      <alignment horizontal="center"/>
    </xf>
    <xf numFmtId="4" fontId="0" fillId="8" borderId="1" xfId="0" applyNumberFormat="1" applyFill="1" applyBorder="1" applyAlignment="1">
      <alignment horizontal="center" vertical="center"/>
    </xf>
    <xf numFmtId="4" fontId="0" fillId="0" borderId="1" xfId="0" applyNumberFormat="1" applyBorder="1" applyAlignment="1">
      <alignment horizontal="center" vertical="center"/>
    </xf>
    <xf numFmtId="4" fontId="0" fillId="0" borderId="5" xfId="0" applyNumberFormat="1" applyBorder="1" applyAlignment="1">
      <alignment horizontal="center" vertical="center"/>
    </xf>
    <xf numFmtId="0" fontId="0" fillId="0" borderId="5" xfId="0" applyBorder="1" applyAlignment="1">
      <alignment horizontal="center" vertical="center"/>
    </xf>
    <xf numFmtId="0" fontId="0" fillId="0" borderId="1" xfId="0" applyBorder="1" applyAlignment="1">
      <alignment horizontal="center" vertical="center"/>
    </xf>
    <xf numFmtId="164" fontId="0" fillId="0" borderId="1" xfId="0" applyNumberFormat="1" applyBorder="1" applyAlignment="1">
      <alignment horizontal="center" vertical="center"/>
    </xf>
    <xf numFmtId="3" fontId="0" fillId="0" borderId="17" xfId="0" applyNumberFormat="1" applyFill="1" applyBorder="1" applyAlignment="1">
      <alignment horizontal="center" vertical="center"/>
    </xf>
    <xf numFmtId="166" fontId="0" fillId="0" borderId="1" xfId="0" applyNumberFormat="1" applyBorder="1" applyAlignment="1">
      <alignment horizontal="center" vertical="center"/>
    </xf>
    <xf numFmtId="3" fontId="0" fillId="0" borderId="14" xfId="0" applyNumberFormat="1" applyBorder="1" applyAlignment="1">
      <alignment horizontal="center" vertical="center"/>
    </xf>
    <xf numFmtId="0" fontId="0" fillId="0" borderId="20" xfId="0" applyBorder="1" applyAlignment="1">
      <alignment horizontal="center" vertical="center"/>
    </xf>
    <xf numFmtId="3" fontId="0" fillId="0" borderId="20" xfId="0" applyNumberFormat="1" applyBorder="1" applyAlignment="1">
      <alignment horizontal="center" vertical="center"/>
    </xf>
    <xf numFmtId="4" fontId="0" fillId="0" borderId="20" xfId="0" applyNumberFormat="1" applyBorder="1" applyAlignment="1">
      <alignment horizontal="center" vertical="center"/>
    </xf>
    <xf numFmtId="4" fontId="0" fillId="8" borderId="20" xfId="0" applyNumberFormat="1" applyFill="1" applyBorder="1" applyAlignment="1">
      <alignment horizontal="center" vertical="center"/>
    </xf>
    <xf numFmtId="1" fontId="0" fillId="0" borderId="20" xfId="0" applyNumberFormat="1" applyBorder="1" applyAlignment="1">
      <alignment horizontal="center" vertical="center"/>
    </xf>
    <xf numFmtId="164" fontId="0" fillId="0" borderId="20" xfId="0" applyNumberFormat="1" applyBorder="1" applyAlignment="1">
      <alignment horizontal="center" vertical="center"/>
    </xf>
    <xf numFmtId="2" fontId="0" fillId="0" borderId="20" xfId="0" applyNumberFormat="1" applyBorder="1" applyAlignment="1">
      <alignment horizontal="center" vertical="center"/>
    </xf>
    <xf numFmtId="166" fontId="0" fillId="0" borderId="20" xfId="0" applyNumberFormat="1" applyBorder="1" applyAlignment="1">
      <alignment horizontal="center" vertical="center"/>
    </xf>
    <xf numFmtId="3" fontId="0" fillId="0" borderId="21" xfId="0" applyNumberFormat="1" applyBorder="1" applyAlignment="1">
      <alignment horizontal="center" vertical="center"/>
    </xf>
    <xf numFmtId="3" fontId="0" fillId="6" borderId="11" xfId="0" applyNumberFormat="1" applyFill="1" applyBorder="1" applyAlignment="1">
      <alignment horizontal="center" vertical="center"/>
    </xf>
    <xf numFmtId="0" fontId="9" fillId="0" borderId="0" xfId="0" applyFont="1" applyBorder="1" applyAlignment="1">
      <alignment horizontal="center" vertical="center"/>
    </xf>
    <xf numFmtId="0" fontId="9" fillId="0" borderId="0" xfId="0" applyFont="1" applyBorder="1" applyAlignment="1">
      <alignment horizontal="center"/>
    </xf>
    <xf numFmtId="0" fontId="14" fillId="0" borderId="0" xfId="0" applyFont="1" applyBorder="1" applyAlignment="1">
      <alignment horizontal="center"/>
    </xf>
    <xf numFmtId="1" fontId="13" fillId="0" borderId="0" xfId="0" applyNumberFormat="1" applyFont="1" applyBorder="1" applyAlignment="1">
      <alignment horizontal="center" wrapText="1"/>
    </xf>
    <xf numFmtId="1" fontId="9" fillId="0" borderId="0" xfId="0" applyNumberFormat="1" applyFont="1" applyBorder="1" applyAlignment="1">
      <alignment horizontal="center" wrapText="1"/>
    </xf>
    <xf numFmtId="0" fontId="9" fillId="0" borderId="0" xfId="0" applyFont="1" applyBorder="1" applyAlignment="1">
      <alignment horizontal="center" wrapText="1"/>
    </xf>
    <xf numFmtId="0" fontId="5" fillId="0" borderId="22" xfId="0" applyFont="1" applyBorder="1" applyAlignment="1">
      <alignment horizontal="center"/>
    </xf>
    <xf numFmtId="0" fontId="0" fillId="0" borderId="5" xfId="0" applyBorder="1" applyAlignment="1">
      <alignment horizontal="center"/>
    </xf>
    <xf numFmtId="0" fontId="10" fillId="0" borderId="5" xfId="0" applyFont="1" applyBorder="1" applyAlignment="1">
      <alignment horizontal="center"/>
    </xf>
    <xf numFmtId="1" fontId="0" fillId="0" borderId="5" xfId="0" applyNumberFormat="1" applyBorder="1" applyAlignment="1">
      <alignment horizontal="center"/>
    </xf>
    <xf numFmtId="1" fontId="0" fillId="0" borderId="16" xfId="0" applyNumberFormat="1" applyBorder="1" applyAlignment="1">
      <alignment horizontal="center"/>
    </xf>
    <xf numFmtId="0" fontId="5" fillId="0" borderId="2" xfId="0" applyFont="1" applyBorder="1" applyAlignment="1">
      <alignment horizontal="center"/>
    </xf>
    <xf numFmtId="1" fontId="0" fillId="0" borderId="17" xfId="0" applyNumberFormat="1" applyBorder="1" applyAlignment="1">
      <alignment horizontal="center"/>
    </xf>
    <xf numFmtId="0" fontId="5" fillId="0" borderId="19" xfId="0" applyFont="1" applyBorder="1" applyAlignment="1">
      <alignment horizontal="center"/>
    </xf>
    <xf numFmtId="0" fontId="0" fillId="0" borderId="20" xfId="0" applyBorder="1" applyAlignment="1">
      <alignment horizontal="center"/>
    </xf>
    <xf numFmtId="0" fontId="10" fillId="0" borderId="20" xfId="0" applyFont="1" applyBorder="1" applyAlignment="1">
      <alignment horizontal="center"/>
    </xf>
    <xf numFmtId="1" fontId="0" fillId="0" borderId="20" xfId="0" applyNumberFormat="1" applyBorder="1" applyAlignment="1">
      <alignment horizontal="center"/>
    </xf>
    <xf numFmtId="1" fontId="0" fillId="0" borderId="21" xfId="0" applyNumberFormat="1" applyBorder="1" applyAlignment="1">
      <alignment horizontal="center"/>
    </xf>
    <xf numFmtId="0" fontId="1" fillId="0" borderId="22" xfId="0" applyFont="1" applyBorder="1" applyAlignment="1">
      <alignment horizontal="center"/>
    </xf>
    <xf numFmtId="0" fontId="9" fillId="0" borderId="5" xfId="0" applyFont="1" applyBorder="1" applyAlignment="1">
      <alignment horizontal="center"/>
    </xf>
    <xf numFmtId="0" fontId="14" fillId="0" borderId="5" xfId="0" applyFont="1" applyBorder="1" applyAlignment="1">
      <alignment horizontal="center"/>
    </xf>
    <xf numFmtId="2" fontId="10" fillId="0" borderId="5" xfId="0" applyNumberFormat="1" applyFont="1" applyBorder="1" applyAlignment="1">
      <alignment horizontal="center"/>
    </xf>
    <xf numFmtId="0" fontId="1" fillId="0" borderId="2" xfId="0" applyFont="1" applyBorder="1" applyAlignment="1">
      <alignment horizontal="center"/>
    </xf>
    <xf numFmtId="0" fontId="1" fillId="0" borderId="19" xfId="0" applyFont="1" applyBorder="1" applyAlignment="1">
      <alignment horizontal="center"/>
    </xf>
    <xf numFmtId="0" fontId="9" fillId="0" borderId="20" xfId="0" applyFont="1" applyBorder="1" applyAlignment="1">
      <alignment horizontal="center"/>
    </xf>
    <xf numFmtId="0" fontId="14" fillId="0" borderId="20" xfId="0" applyFont="1" applyBorder="1" applyAlignment="1">
      <alignment horizontal="center"/>
    </xf>
    <xf numFmtId="2" fontId="10" fillId="0" borderId="20" xfId="0" applyNumberFormat="1" applyFont="1" applyBorder="1" applyAlignment="1">
      <alignment horizontal="center"/>
    </xf>
    <xf numFmtId="0" fontId="9" fillId="0" borderId="7" xfId="0" applyFont="1" applyBorder="1" applyAlignment="1">
      <alignment horizontal="center" vertical="center"/>
    </xf>
    <xf numFmtId="0" fontId="9" fillId="0" borderId="8" xfId="0" applyFont="1" applyBorder="1" applyAlignment="1">
      <alignment horizontal="center" vertical="center"/>
    </xf>
    <xf numFmtId="0" fontId="14" fillId="0" borderId="8" xfId="0" applyFont="1" applyBorder="1" applyAlignment="1">
      <alignment horizontal="center" vertical="center"/>
    </xf>
    <xf numFmtId="0" fontId="9" fillId="0" borderId="8" xfId="0" applyFont="1" applyBorder="1" applyAlignment="1">
      <alignment horizontal="center" vertical="center" wrapText="1"/>
    </xf>
    <xf numFmtId="2" fontId="14" fillId="0" borderId="8" xfId="0" applyNumberFormat="1" applyFont="1" applyBorder="1" applyAlignment="1">
      <alignment horizontal="center" vertical="center" wrapText="1"/>
    </xf>
    <xf numFmtId="1" fontId="9" fillId="0" borderId="8" xfId="0" applyNumberFormat="1" applyFont="1" applyBorder="1" applyAlignment="1">
      <alignment horizontal="center" wrapText="1"/>
    </xf>
    <xf numFmtId="0" fontId="14" fillId="0" borderId="8" xfId="0" applyFont="1" applyBorder="1" applyAlignment="1">
      <alignment horizontal="center" wrapText="1"/>
    </xf>
    <xf numFmtId="0" fontId="14" fillId="0" borderId="8" xfId="0" applyFont="1" applyBorder="1" applyAlignment="1">
      <alignment horizontal="center" vertical="center" wrapText="1"/>
    </xf>
    <xf numFmtId="0" fontId="9" fillId="0" borderId="11" xfId="0" applyFont="1" applyBorder="1" applyAlignment="1">
      <alignment horizontal="center" vertical="center" wrapText="1"/>
    </xf>
    <xf numFmtId="166" fontId="0" fillId="0" borderId="5" xfId="0" applyNumberFormat="1" applyBorder="1" applyAlignment="1">
      <alignment horizontal="center" vertical="center"/>
    </xf>
    <xf numFmtId="0" fontId="5" fillId="0" borderId="12" xfId="0" applyFont="1" applyBorder="1" applyAlignment="1">
      <alignment horizontal="center"/>
    </xf>
    <xf numFmtId="0" fontId="0" fillId="0" borderId="13" xfId="0" applyBorder="1" applyAlignment="1">
      <alignment horizontal="center"/>
    </xf>
    <xf numFmtId="0" fontId="10" fillId="0" borderId="13" xfId="0" applyFont="1" applyBorder="1" applyAlignment="1">
      <alignment horizontal="center"/>
    </xf>
    <xf numFmtId="1" fontId="0" fillId="0" borderId="13" xfId="0" applyNumberFormat="1" applyBorder="1" applyAlignment="1">
      <alignment horizontal="center"/>
    </xf>
    <xf numFmtId="1" fontId="0" fillId="0" borderId="23" xfId="0" applyNumberFormat="1" applyBorder="1" applyAlignment="1">
      <alignment horizontal="center"/>
    </xf>
    <xf numFmtId="0" fontId="1" fillId="0" borderId="12" xfId="0" applyFont="1" applyBorder="1" applyAlignment="1">
      <alignment horizontal="center"/>
    </xf>
    <xf numFmtId="0" fontId="9" fillId="0" borderId="13" xfId="0" applyFont="1" applyBorder="1" applyAlignment="1">
      <alignment horizontal="center"/>
    </xf>
    <xf numFmtId="2" fontId="10" fillId="0" borderId="13" xfId="0" applyNumberFormat="1" applyFont="1" applyBorder="1" applyAlignment="1">
      <alignment horizontal="center"/>
    </xf>
    <xf numFmtId="165" fontId="9" fillId="0" borderId="19" xfId="0" applyNumberFormat="1" applyFont="1" applyBorder="1" applyAlignment="1">
      <alignment horizontal="center" vertical="center"/>
    </xf>
    <xf numFmtId="0" fontId="12" fillId="0" borderId="8" xfId="0" applyFont="1" applyBorder="1" applyAlignment="1">
      <alignment horizontal="center" vertical="center"/>
    </xf>
    <xf numFmtId="0" fontId="12" fillId="0" borderId="8" xfId="0" applyFont="1" applyBorder="1" applyAlignment="1">
      <alignment horizontal="center" vertical="center" wrapText="1"/>
    </xf>
    <xf numFmtId="0" fontId="9" fillId="0" borderId="3" xfId="0" applyFont="1" applyBorder="1" applyAlignment="1">
      <alignment horizontal="center" vertical="center" wrapText="1"/>
    </xf>
    <xf numFmtId="0" fontId="9" fillId="0" borderId="4" xfId="0" applyFont="1" applyBorder="1" applyAlignment="1">
      <alignment horizontal="center" vertical="center" wrapText="1"/>
    </xf>
    <xf numFmtId="3" fontId="9" fillId="0" borderId="3" xfId="0" applyNumberFormat="1" applyFont="1" applyBorder="1" applyAlignment="1">
      <alignment horizontal="center" vertical="center" wrapText="1"/>
    </xf>
    <xf numFmtId="3" fontId="9" fillId="0" borderId="4" xfId="0" applyNumberFormat="1" applyFont="1" applyBorder="1" applyAlignment="1">
      <alignment horizontal="center" vertical="center" wrapText="1"/>
    </xf>
    <xf numFmtId="4" fontId="0" fillId="0" borderId="3" xfId="0" applyNumberFormat="1" applyBorder="1" applyAlignment="1">
      <alignment horizontal="center" vertical="center"/>
    </xf>
    <xf numFmtId="4" fontId="12" fillId="0" borderId="3" xfId="0" applyNumberFormat="1" applyFont="1" applyBorder="1" applyAlignment="1">
      <alignment horizontal="center" vertical="center" wrapText="1"/>
    </xf>
    <xf numFmtId="3" fontId="9" fillId="0" borderId="15" xfId="0" applyNumberFormat="1" applyFont="1" applyBorder="1" applyAlignment="1">
      <alignment horizontal="center" vertical="center" wrapText="1"/>
    </xf>
    <xf numFmtId="0" fontId="12" fillId="0" borderId="3" xfId="0" applyFont="1" applyBorder="1" applyAlignment="1">
      <alignment horizontal="center" vertical="center" wrapText="1"/>
    </xf>
    <xf numFmtId="1" fontId="9" fillId="0" borderId="3" xfId="0" applyNumberFormat="1" applyFont="1" applyBorder="1" applyAlignment="1">
      <alignment horizontal="center" vertical="center" wrapText="1"/>
    </xf>
  </cellXfs>
  <cellStyles count="2">
    <cellStyle name="Normal" xfId="0" builtinId="0"/>
    <cellStyle name="Normal 2"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70C0"/>
  </sheetPr>
  <dimension ref="A1:Z33"/>
  <sheetViews>
    <sheetView workbookViewId="0">
      <selection activeCell="M18" sqref="M18"/>
    </sheetView>
  </sheetViews>
  <sheetFormatPr defaultColWidth="11.5703125" defaultRowHeight="15" x14ac:dyDescent="0.25"/>
  <cols>
    <col min="1" max="1" width="18.42578125" style="3" customWidth="1"/>
    <col min="2" max="2" width="11.5703125" style="2"/>
    <col min="3" max="3" width="11.5703125" style="60"/>
    <col min="4" max="4" width="13.42578125" style="2" customWidth="1"/>
    <col min="5" max="5" width="12.5703125" style="1" customWidth="1"/>
    <col min="6" max="6" width="12.5703125" style="19" customWidth="1"/>
    <col min="7" max="7" width="11.5703125" style="1"/>
    <col min="8" max="8" width="11.5703125" style="19"/>
    <col min="9" max="9" width="11.5703125" style="4"/>
    <col min="10" max="10" width="11.5703125" style="20"/>
    <col min="11" max="11" width="11.5703125" style="1"/>
    <col min="12" max="12" width="11.5703125" style="20"/>
    <col min="13" max="26" width="11.5703125" style="1"/>
  </cols>
  <sheetData>
    <row r="1" spans="1:15" s="18" customFormat="1" ht="60.75" thickBot="1" x14ac:dyDescent="0.3">
      <c r="A1" s="128" t="s">
        <v>0</v>
      </c>
      <c r="B1" s="129" t="s">
        <v>1</v>
      </c>
      <c r="C1" s="130" t="s">
        <v>2</v>
      </c>
      <c r="D1" s="129" t="s">
        <v>3</v>
      </c>
      <c r="E1" s="131" t="s">
        <v>4</v>
      </c>
      <c r="F1" s="132" t="s">
        <v>5</v>
      </c>
      <c r="G1" s="131" t="s">
        <v>10</v>
      </c>
      <c r="H1" s="132" t="s">
        <v>11</v>
      </c>
      <c r="I1" s="133" t="s">
        <v>82</v>
      </c>
      <c r="J1" s="134" t="s">
        <v>83</v>
      </c>
      <c r="K1" s="131" t="s">
        <v>6</v>
      </c>
      <c r="L1" s="135" t="s">
        <v>7</v>
      </c>
      <c r="M1" s="131" t="s">
        <v>8</v>
      </c>
      <c r="N1" s="136" t="s">
        <v>9</v>
      </c>
    </row>
    <row r="2" spans="1:15" x14ac:dyDescent="0.25">
      <c r="A2" s="119" t="s">
        <v>80</v>
      </c>
      <c r="B2" s="120">
        <v>1</v>
      </c>
      <c r="C2" s="121">
        <v>7</v>
      </c>
      <c r="D2" s="120">
        <v>2021</v>
      </c>
      <c r="E2" s="110">
        <f>Submetering!E2+Submetering!F2+Submetering!G2+Submetering!H2+Submetering!I2+Submetering!J2+Submetering!K2</f>
        <v>31746</v>
      </c>
      <c r="F2" s="122">
        <v>0.2</v>
      </c>
      <c r="G2" s="110">
        <f>Submetering!P2</f>
        <v>488</v>
      </c>
      <c r="H2" s="122">
        <v>6.47</v>
      </c>
      <c r="I2" s="110">
        <f>Submetering!T2-Submetering!T2*15%-Submetering!X2</f>
        <v>51318.617779999448</v>
      </c>
      <c r="J2" s="109">
        <v>0.21</v>
      </c>
      <c r="K2" s="110">
        <f>Submetering!N2-Submetering!O2</f>
        <v>92.356000000011591</v>
      </c>
      <c r="L2" s="122">
        <v>7.84</v>
      </c>
      <c r="M2" s="110">
        <f>Submetering!Y2</f>
        <v>88</v>
      </c>
      <c r="N2" s="111">
        <f>Submetering!Z2</f>
        <v>148</v>
      </c>
    </row>
    <row r="3" spans="1:15" x14ac:dyDescent="0.25">
      <c r="A3" s="123" t="s">
        <v>80</v>
      </c>
      <c r="B3" s="72">
        <f>B2+1</f>
        <v>2</v>
      </c>
      <c r="C3" s="73">
        <v>7</v>
      </c>
      <c r="D3" s="72">
        <v>2021</v>
      </c>
      <c r="E3" s="71">
        <f>Submetering!E3+Submetering!F3+Submetering!G3+Submetering!H3+Submetering!I3+Submetering!J3+Submetering!K3</f>
        <v>31301</v>
      </c>
      <c r="F3" s="74">
        <v>0.2</v>
      </c>
      <c r="G3" s="71">
        <f>Submetering!P3</f>
        <v>430</v>
      </c>
      <c r="H3" s="74">
        <v>6.47</v>
      </c>
      <c r="I3" s="71">
        <f>Submetering!T3-Submetering!T3*15%-Submetering!X3</f>
        <v>54338.034139998199</v>
      </c>
      <c r="J3" s="70">
        <v>0.21</v>
      </c>
      <c r="K3" s="71">
        <f>Submetering!N3-Submetering!O3</f>
        <v>77.973999999991065</v>
      </c>
      <c r="L3" s="74">
        <v>7.84</v>
      </c>
      <c r="M3" s="71">
        <f>Submetering!Y3</f>
        <v>78</v>
      </c>
      <c r="N3" s="113">
        <f>Submetering!Z3</f>
        <v>137</v>
      </c>
    </row>
    <row r="4" spans="1:15" x14ac:dyDescent="0.25">
      <c r="A4" s="123" t="s">
        <v>80</v>
      </c>
      <c r="B4" s="72">
        <f t="shared" ref="B4:B32" si="0">B3+1</f>
        <v>3</v>
      </c>
      <c r="C4" s="73">
        <v>7</v>
      </c>
      <c r="D4" s="72">
        <v>2021</v>
      </c>
      <c r="E4" s="71">
        <f>Submetering!E4+Submetering!F4+Submetering!G4+Submetering!H4+Submetering!I4+Submetering!J4+Submetering!K4</f>
        <v>31059</v>
      </c>
      <c r="F4" s="74">
        <v>0.2</v>
      </c>
      <c r="G4" s="71">
        <f>Submetering!P4</f>
        <v>366</v>
      </c>
      <c r="H4" s="74">
        <v>6.47</v>
      </c>
      <c r="I4" s="71">
        <f>Submetering!T4-Submetering!T4*15%-Submetering!X4</f>
        <v>61357.518060001807</v>
      </c>
      <c r="J4" s="70">
        <v>0.21</v>
      </c>
      <c r="K4" s="71">
        <f>Submetering!N4-Submetering!O4</f>
        <v>72.730999999997039</v>
      </c>
      <c r="L4" s="74">
        <v>7.84</v>
      </c>
      <c r="M4" s="71">
        <f>Submetering!Y4</f>
        <v>53</v>
      </c>
      <c r="N4" s="113">
        <f>Submetering!Z4</f>
        <v>84</v>
      </c>
    </row>
    <row r="5" spans="1:15" x14ac:dyDescent="0.25">
      <c r="A5" s="123" t="s">
        <v>80</v>
      </c>
      <c r="B5" s="72">
        <f t="shared" si="0"/>
        <v>4</v>
      </c>
      <c r="C5" s="73">
        <v>7</v>
      </c>
      <c r="D5" s="72">
        <v>2021</v>
      </c>
      <c r="E5" s="71">
        <f>Submetering!E5+Submetering!F5+Submetering!G5+Submetering!H5+Submetering!I5+Submetering!J5+Submetering!K5</f>
        <v>30915</v>
      </c>
      <c r="F5" s="74">
        <v>0.2</v>
      </c>
      <c r="G5" s="71">
        <f>Submetering!P5</f>
        <v>424</v>
      </c>
      <c r="H5" s="74">
        <v>6.47</v>
      </c>
      <c r="I5" s="71">
        <f>Submetering!T5-Submetering!T5*15%-Submetering!X5</f>
        <v>58515.255799994178</v>
      </c>
      <c r="J5" s="70">
        <v>0.21</v>
      </c>
      <c r="K5" s="81">
        <f>Submetering!N5-Submetering!O5</f>
        <v>75.970000000006621</v>
      </c>
      <c r="L5" s="74">
        <v>7.84</v>
      </c>
      <c r="M5" s="71">
        <f>Submetering!Y5</f>
        <v>63</v>
      </c>
      <c r="N5" s="113">
        <f>Submetering!Z5</f>
        <v>88</v>
      </c>
    </row>
    <row r="6" spans="1:15" x14ac:dyDescent="0.25">
      <c r="A6" s="123" t="s">
        <v>80</v>
      </c>
      <c r="B6" s="72">
        <f t="shared" si="0"/>
        <v>5</v>
      </c>
      <c r="C6" s="73">
        <v>7</v>
      </c>
      <c r="D6" s="72">
        <v>2021</v>
      </c>
      <c r="E6" s="71">
        <f>Submetering!E6+Submetering!F6+Submetering!G6+Submetering!H6+Submetering!I6+Submetering!J6+Submetering!K6</f>
        <v>31535</v>
      </c>
      <c r="F6" s="74">
        <v>0.2</v>
      </c>
      <c r="G6" s="71">
        <f>Submetering!P6</f>
        <v>462</v>
      </c>
      <c r="H6" s="74">
        <v>6.47</v>
      </c>
      <c r="I6" s="71">
        <f>Submetering!T6-Submetering!T6*15%-Submetering!X6</f>
        <v>58055.247600004368</v>
      </c>
      <c r="J6" s="70">
        <v>0.21</v>
      </c>
      <c r="K6" s="71">
        <f>Submetering!N6-Submetering!O6</f>
        <v>60.998000000002321</v>
      </c>
      <c r="L6" s="74">
        <v>7.84</v>
      </c>
      <c r="M6" s="71">
        <f>Submetering!Y6</f>
        <v>66</v>
      </c>
      <c r="N6" s="113">
        <f>Submetering!Z6</f>
        <v>87</v>
      </c>
    </row>
    <row r="7" spans="1:15" x14ac:dyDescent="0.25">
      <c r="A7" s="123" t="s">
        <v>80</v>
      </c>
      <c r="B7" s="72">
        <f t="shared" si="0"/>
        <v>6</v>
      </c>
      <c r="C7" s="73">
        <v>7</v>
      </c>
      <c r="D7" s="72">
        <v>2021</v>
      </c>
      <c r="E7" s="71">
        <f>Submetering!E7+Submetering!F7+Submetering!G7+Submetering!H7+Submetering!I7+Submetering!J7+Submetering!K7</f>
        <v>31159</v>
      </c>
      <c r="F7" s="74">
        <v>0.2</v>
      </c>
      <c r="G7" s="71">
        <f>Submetering!P7</f>
        <v>465</v>
      </c>
      <c r="H7" s="74">
        <v>6.47</v>
      </c>
      <c r="I7" s="71">
        <f>Submetering!T7-Submetering!T7*15%-Submetering!X7</f>
        <v>59009.334039999652</v>
      </c>
      <c r="J7" s="70">
        <v>0.21</v>
      </c>
      <c r="K7" s="71">
        <f>Submetering!N7-Submetering!O7</f>
        <v>78.00099999998838</v>
      </c>
      <c r="L7" s="74">
        <v>7.84</v>
      </c>
      <c r="M7" s="71">
        <f>Submetering!Y7</f>
        <v>80</v>
      </c>
      <c r="N7" s="113">
        <f>Submetering!Z7</f>
        <v>101</v>
      </c>
    </row>
    <row r="8" spans="1:15" x14ac:dyDescent="0.25">
      <c r="A8" s="123" t="s">
        <v>80</v>
      </c>
      <c r="B8" s="72">
        <f t="shared" si="0"/>
        <v>7</v>
      </c>
      <c r="C8" s="73">
        <v>7</v>
      </c>
      <c r="D8" s="72">
        <v>2021</v>
      </c>
      <c r="E8" s="71">
        <f>Submetering!E8+Submetering!F8+Submetering!G8+Submetering!H8+Submetering!I8+Submetering!J8+Submetering!K8</f>
        <v>30228</v>
      </c>
      <c r="F8" s="74">
        <v>0.2</v>
      </c>
      <c r="G8" s="71">
        <f>Submetering!P8</f>
        <v>502</v>
      </c>
      <c r="H8" s="74">
        <v>6.47</v>
      </c>
      <c r="I8" s="71">
        <f>Submetering!T8-Submetering!T8*15%-Submetering!X8</f>
        <v>54661.477760000344</v>
      </c>
      <c r="J8" s="70">
        <v>0.21</v>
      </c>
      <c r="K8" s="71">
        <f>Submetering!N8-Submetering!O8</f>
        <v>76.038000000015927</v>
      </c>
      <c r="L8" s="74">
        <v>7.84</v>
      </c>
      <c r="M8" s="71">
        <f>Submetering!Y8</f>
        <v>91</v>
      </c>
      <c r="N8" s="113">
        <f>Submetering!Z8</f>
        <v>127</v>
      </c>
    </row>
    <row r="9" spans="1:15" x14ac:dyDescent="0.25">
      <c r="A9" s="123" t="s">
        <v>80</v>
      </c>
      <c r="B9" s="72">
        <f t="shared" si="0"/>
        <v>8</v>
      </c>
      <c r="C9" s="73">
        <v>7</v>
      </c>
      <c r="D9" s="72">
        <v>2021</v>
      </c>
      <c r="E9" s="71">
        <f>Submetering!E9+Submetering!F9+Submetering!G9+Submetering!H9+Submetering!I9+Submetering!J9+Submetering!K9</f>
        <v>29551</v>
      </c>
      <c r="F9" s="74">
        <v>0.2</v>
      </c>
      <c r="G9" s="71">
        <f>Submetering!P9</f>
        <v>518</v>
      </c>
      <c r="H9" s="74">
        <v>6.47</v>
      </c>
      <c r="I9" s="71">
        <f>Submetering!T9-Submetering!T9*15%-Submetering!X9</f>
        <v>54021.131659997307</v>
      </c>
      <c r="J9" s="70">
        <v>0.21</v>
      </c>
      <c r="K9" s="71">
        <f>Submetering!N9-Submetering!O9</f>
        <v>63.647999999982858</v>
      </c>
      <c r="L9" s="74">
        <v>7.84</v>
      </c>
      <c r="M9" s="71">
        <f>Submetering!Y9</f>
        <v>79</v>
      </c>
      <c r="N9" s="113">
        <f>Submetering!Z9</f>
        <v>123</v>
      </c>
      <c r="O9" s="1" t="s">
        <v>12</v>
      </c>
    </row>
    <row r="10" spans="1:15" x14ac:dyDescent="0.25">
      <c r="A10" s="123" t="s">
        <v>80</v>
      </c>
      <c r="B10" s="72">
        <f t="shared" si="0"/>
        <v>9</v>
      </c>
      <c r="C10" s="73">
        <v>7</v>
      </c>
      <c r="D10" s="72">
        <v>2021</v>
      </c>
      <c r="E10" s="71">
        <f>Submetering!E10+Submetering!F10+Submetering!G10+Submetering!H10+Submetering!I10+Submetering!J10+Submetering!K10</f>
        <v>30299</v>
      </c>
      <c r="F10" s="74">
        <v>0.2</v>
      </c>
      <c r="G10" s="71">
        <f>Submetering!P10</f>
        <v>485</v>
      </c>
      <c r="H10" s="74">
        <v>6.47</v>
      </c>
      <c r="I10" s="71">
        <f>Submetering!T10-Submetering!T10*15%-Submetering!X10</f>
        <v>56535.640940004159</v>
      </c>
      <c r="J10" s="70">
        <v>0.21</v>
      </c>
      <c r="K10" s="71">
        <f>Submetering!N10-Submetering!O10</f>
        <v>64.939000000016676</v>
      </c>
      <c r="L10" s="74">
        <v>7.84</v>
      </c>
      <c r="M10" s="71">
        <f>Submetering!Y10</f>
        <v>72</v>
      </c>
      <c r="N10" s="113">
        <f>Submetering!Z10</f>
        <v>122</v>
      </c>
    </row>
    <row r="11" spans="1:15" x14ac:dyDescent="0.25">
      <c r="A11" s="123" t="s">
        <v>80</v>
      </c>
      <c r="B11" s="72">
        <f t="shared" si="0"/>
        <v>10</v>
      </c>
      <c r="C11" s="73">
        <v>7</v>
      </c>
      <c r="D11" s="72">
        <v>2021</v>
      </c>
      <c r="E11" s="71">
        <f>Submetering!E11+Submetering!F11+Submetering!G11+Submetering!H11+Submetering!I11+Submetering!J11+Submetering!K11</f>
        <v>29189</v>
      </c>
      <c r="F11" s="74">
        <v>0.2</v>
      </c>
      <c r="G11" s="71">
        <f>Submetering!P11</f>
        <v>440</v>
      </c>
      <c r="H11" s="74">
        <v>6.47</v>
      </c>
      <c r="I11" s="71">
        <f>Submetering!T11-Submetering!T11*15%-Submetering!X11</f>
        <v>53291.467419994733</v>
      </c>
      <c r="J11" s="70">
        <v>0.21</v>
      </c>
      <c r="K11" s="71">
        <f>Submetering!N11-Submetering!O11</f>
        <v>64.331999999988511</v>
      </c>
      <c r="L11" s="74">
        <v>7.84</v>
      </c>
      <c r="M11" s="71">
        <f>Submetering!Y11</f>
        <v>55</v>
      </c>
      <c r="N11" s="113">
        <f>Submetering!Z11</f>
        <v>84</v>
      </c>
    </row>
    <row r="12" spans="1:15" x14ac:dyDescent="0.25">
      <c r="A12" s="123" t="s">
        <v>80</v>
      </c>
      <c r="B12" s="72">
        <f t="shared" si="0"/>
        <v>11</v>
      </c>
      <c r="C12" s="73">
        <v>7</v>
      </c>
      <c r="D12" s="72">
        <v>2021</v>
      </c>
      <c r="E12" s="71">
        <f>Submetering!E12+Submetering!F12+Submetering!G12+Submetering!H12+Submetering!I12+Submetering!J12+Submetering!K12</f>
        <v>28798</v>
      </c>
      <c r="F12" s="74">
        <v>0.2</v>
      </c>
      <c r="G12" s="71">
        <f>Submetering!P12</f>
        <v>443</v>
      </c>
      <c r="H12" s="74">
        <v>6.47</v>
      </c>
      <c r="I12" s="71">
        <f>Submetering!T12-Submetering!T12*15%-Submetering!X12</f>
        <v>51418.039400002919</v>
      </c>
      <c r="J12" s="70">
        <v>0.21</v>
      </c>
      <c r="K12" s="71">
        <f>Submetering!N12-Submetering!O12</f>
        <v>72.732000000009066</v>
      </c>
      <c r="L12" s="74">
        <v>7.84</v>
      </c>
      <c r="M12" s="71">
        <f>Submetering!Y12</f>
        <v>89</v>
      </c>
      <c r="N12" s="113">
        <f>Submetering!Z12</f>
        <v>139</v>
      </c>
    </row>
    <row r="13" spans="1:15" x14ac:dyDescent="0.25">
      <c r="A13" s="123" t="s">
        <v>80</v>
      </c>
      <c r="B13" s="72">
        <f t="shared" si="0"/>
        <v>12</v>
      </c>
      <c r="C13" s="73">
        <v>7</v>
      </c>
      <c r="D13" s="72">
        <v>2021</v>
      </c>
      <c r="E13" s="71">
        <f>Submetering!E13+Submetering!F13+Submetering!G13+Submetering!H13+Submetering!I13+Submetering!J13+Submetering!K13</f>
        <v>28633</v>
      </c>
      <c r="F13" s="74">
        <v>0.2</v>
      </c>
      <c r="G13" s="71">
        <f>Submetering!P13</f>
        <v>453</v>
      </c>
      <c r="H13" s="74">
        <v>6.47</v>
      </c>
      <c r="I13" s="71">
        <f>Submetering!T13-Submetering!T13*15%-Submetering!X13</f>
        <v>67856.296319997637</v>
      </c>
      <c r="J13" s="70">
        <v>0.21</v>
      </c>
      <c r="K13" s="71">
        <f>Submetering!N13-Submetering!O13</f>
        <v>52.303000000003522</v>
      </c>
      <c r="L13" s="74">
        <v>7.84</v>
      </c>
      <c r="M13" s="71">
        <f>Submetering!Y13</f>
        <v>81</v>
      </c>
      <c r="N13" s="113">
        <f>Submetering!Z13</f>
        <v>115</v>
      </c>
    </row>
    <row r="14" spans="1:15" x14ac:dyDescent="0.25">
      <c r="A14" s="123" t="s">
        <v>80</v>
      </c>
      <c r="B14" s="72">
        <f t="shared" si="0"/>
        <v>13</v>
      </c>
      <c r="C14" s="73">
        <v>7</v>
      </c>
      <c r="D14" s="72">
        <v>2021</v>
      </c>
      <c r="E14" s="71">
        <f>Submetering!E14+Submetering!F14+Submetering!G14+Submetering!H14+Submetering!I14+Submetering!J14+Submetering!K14</f>
        <v>28788</v>
      </c>
      <c r="F14" s="74">
        <v>0.2</v>
      </c>
      <c r="G14" s="71">
        <f>Submetering!P14</f>
        <v>454</v>
      </c>
      <c r="H14" s="74">
        <v>6.47</v>
      </c>
      <c r="I14" s="71">
        <f>Submetering!T14-Submetering!T14*15%-Submetering!X14</f>
        <v>66533.320200001443</v>
      </c>
      <c r="J14" s="70">
        <v>0.21</v>
      </c>
      <c r="K14" s="71">
        <f>Submetering!N14-Submetering!O14</f>
        <v>78.932999999994536</v>
      </c>
      <c r="L14" s="74">
        <v>7.84</v>
      </c>
      <c r="M14" s="71">
        <f>Submetering!Y14</f>
        <v>88</v>
      </c>
      <c r="N14" s="113">
        <f>Submetering!Z14</f>
        <v>129</v>
      </c>
    </row>
    <row r="15" spans="1:15" x14ac:dyDescent="0.25">
      <c r="A15" s="123" t="s">
        <v>80</v>
      </c>
      <c r="B15" s="72">
        <f t="shared" si="0"/>
        <v>14</v>
      </c>
      <c r="C15" s="73">
        <v>7</v>
      </c>
      <c r="D15" s="72">
        <v>2021</v>
      </c>
      <c r="E15" s="71">
        <f>Submetering!E15+Submetering!F15+Submetering!G15+Submetering!H15+Submetering!I15+Submetering!J15+Submetering!K15</f>
        <v>29589</v>
      </c>
      <c r="F15" s="74">
        <v>0.2</v>
      </c>
      <c r="G15" s="71">
        <f>Submetering!P15</f>
        <v>492</v>
      </c>
      <c r="H15" s="74">
        <v>6.47</v>
      </c>
      <c r="I15" s="71">
        <f>Submetering!T15-Submetering!T15*15%-Submetering!X15</f>
        <v>63074.329000001453</v>
      </c>
      <c r="J15" s="70">
        <v>0.21</v>
      </c>
      <c r="K15" s="81">
        <f>Submetering!N15-Submetering!O15</f>
        <v>67.238999999990483</v>
      </c>
      <c r="L15" s="74">
        <v>7.84</v>
      </c>
      <c r="M15" s="71">
        <f>Submetering!Y15</f>
        <v>69</v>
      </c>
      <c r="N15" s="113">
        <f>Submetering!Z15</f>
        <v>106</v>
      </c>
    </row>
    <row r="16" spans="1:15" x14ac:dyDescent="0.25">
      <c r="A16" s="123" t="s">
        <v>80</v>
      </c>
      <c r="B16" s="72">
        <f t="shared" si="0"/>
        <v>15</v>
      </c>
      <c r="C16" s="73">
        <v>7</v>
      </c>
      <c r="D16" s="72">
        <v>2021</v>
      </c>
      <c r="E16" s="71">
        <f>Submetering!E16+Submetering!F16+Submetering!G16+Submetering!H16+Submetering!I16+Submetering!J16+Submetering!K16</f>
        <v>28528</v>
      </c>
      <c r="F16" s="74">
        <v>0.2</v>
      </c>
      <c r="G16" s="71">
        <f>Submetering!P16</f>
        <v>443</v>
      </c>
      <c r="H16" s="74">
        <v>6.47</v>
      </c>
      <c r="I16" s="71">
        <f>Submetering!T16-Submetering!T16*15%-Submetering!X16</f>
        <v>60426.901799999992</v>
      </c>
      <c r="J16" s="70">
        <v>0.21</v>
      </c>
      <c r="K16" s="71">
        <f>Submetering!N16-Submetering!O16</f>
        <v>64.816000000005261</v>
      </c>
      <c r="L16" s="74">
        <v>7.84</v>
      </c>
      <c r="M16" s="71">
        <f>Submetering!Y16</f>
        <v>75</v>
      </c>
      <c r="N16" s="113">
        <f>Submetering!Z16</f>
        <v>124</v>
      </c>
    </row>
    <row r="17" spans="1:14" x14ac:dyDescent="0.25">
      <c r="A17" s="123" t="s">
        <v>80</v>
      </c>
      <c r="B17" s="72">
        <f t="shared" si="0"/>
        <v>16</v>
      </c>
      <c r="C17" s="73">
        <v>7</v>
      </c>
      <c r="D17" s="72">
        <v>2021</v>
      </c>
      <c r="E17" s="71">
        <f>Submetering!E17+Submetering!F17+Submetering!G17+Submetering!H17+Submetering!I17+Submetering!J17+Submetering!K17</f>
        <v>28977</v>
      </c>
      <c r="F17" s="74">
        <v>0.2</v>
      </c>
      <c r="G17" s="71">
        <f>Submetering!P17</f>
        <v>490</v>
      </c>
      <c r="H17" s="74">
        <v>6.47</v>
      </c>
      <c r="I17" s="71">
        <f>Submetering!T17-Submetering!T17*15%-Submetering!X17</f>
        <v>55450.564600002908</v>
      </c>
      <c r="J17" s="70">
        <v>0.21</v>
      </c>
      <c r="K17" s="71">
        <f>Submetering!N17-Submetering!O17</f>
        <v>57.47500000000764</v>
      </c>
      <c r="L17" s="74">
        <v>7.84</v>
      </c>
      <c r="M17" s="71">
        <f>Submetering!Y17</f>
        <v>77</v>
      </c>
      <c r="N17" s="113">
        <f>Submetering!Z17</f>
        <v>129</v>
      </c>
    </row>
    <row r="18" spans="1:14" x14ac:dyDescent="0.25">
      <c r="A18" s="123" t="s">
        <v>80</v>
      </c>
      <c r="B18" s="72">
        <f t="shared" si="0"/>
        <v>17</v>
      </c>
      <c r="C18" s="73">
        <v>7</v>
      </c>
      <c r="D18" s="72">
        <v>2021</v>
      </c>
      <c r="E18" s="71">
        <f>Submetering!E18+Submetering!F18+Submetering!G18+Submetering!H18+Submetering!I18+Submetering!J18+Submetering!K18</f>
        <v>28288</v>
      </c>
      <c r="F18" s="74">
        <v>0.2</v>
      </c>
      <c r="G18" s="71">
        <f>Submetering!P18</f>
        <v>450</v>
      </c>
      <c r="H18" s="74">
        <v>6.47</v>
      </c>
      <c r="I18" s="71">
        <f>Submetering!T18-Submetering!T18*15%-Submetering!X18</f>
        <v>55699.367999994181</v>
      </c>
      <c r="J18" s="70">
        <v>0.21</v>
      </c>
      <c r="K18" s="71">
        <f>Submetering!N18-Submetering!O18</f>
        <v>75.873999999986154</v>
      </c>
      <c r="L18" s="74">
        <v>7.84</v>
      </c>
      <c r="M18" s="71">
        <f>Submetering!Y18</f>
        <v>52</v>
      </c>
      <c r="N18" s="113">
        <f>Submetering!Z18</f>
        <v>85</v>
      </c>
    </row>
    <row r="19" spans="1:14" x14ac:dyDescent="0.25">
      <c r="A19" s="123" t="s">
        <v>80</v>
      </c>
      <c r="B19" s="72">
        <f t="shared" si="0"/>
        <v>18</v>
      </c>
      <c r="C19" s="73">
        <v>7</v>
      </c>
      <c r="D19" s="72">
        <v>2021</v>
      </c>
      <c r="E19" s="71">
        <f>Submetering!E19+Submetering!F19+Submetering!G19+Submetering!H19+Submetering!I19+Submetering!J19+Submetering!K19</f>
        <v>26863</v>
      </c>
      <c r="F19" s="74">
        <v>0.2</v>
      </c>
      <c r="G19" s="71">
        <f>Submetering!P19</f>
        <v>418</v>
      </c>
      <c r="H19" s="74">
        <v>6.47</v>
      </c>
      <c r="I19" s="71">
        <f>Submetering!T19-Submetering!T19*15%-Submetering!X19</f>
        <v>52356.459800002907</v>
      </c>
      <c r="J19" s="70">
        <v>0.21</v>
      </c>
      <c r="K19" s="71">
        <f>Submetering!N19-Submetering!O19</f>
        <v>47.756000000010317</v>
      </c>
      <c r="L19" s="74">
        <v>7.84</v>
      </c>
      <c r="M19" s="71">
        <f>Submetering!Y19</f>
        <v>35</v>
      </c>
      <c r="N19" s="113">
        <f>Submetering!Z19</f>
        <v>66</v>
      </c>
    </row>
    <row r="20" spans="1:14" x14ac:dyDescent="0.25">
      <c r="A20" s="123" t="s">
        <v>80</v>
      </c>
      <c r="B20" s="72">
        <f t="shared" si="0"/>
        <v>19</v>
      </c>
      <c r="C20" s="73">
        <v>7</v>
      </c>
      <c r="D20" s="72">
        <v>2021</v>
      </c>
      <c r="E20" s="71">
        <f>Submetering!E20+Submetering!F20+Submetering!G20+Submetering!H20+Submetering!I20+Submetering!J20+Submetering!K20</f>
        <v>29328</v>
      </c>
      <c r="F20" s="74">
        <v>0.2</v>
      </c>
      <c r="G20" s="71">
        <f>Submetering!P20</f>
        <v>406</v>
      </c>
      <c r="H20" s="74">
        <v>6.47</v>
      </c>
      <c r="I20" s="71">
        <f>Submetering!T20-Submetering!T20*15%-Submetering!X20</f>
        <v>58609.750999998549</v>
      </c>
      <c r="J20" s="70">
        <v>0.21</v>
      </c>
      <c r="K20" s="71">
        <f>Submetering!N20-Submetering!O20</f>
        <v>57.694999999996071</v>
      </c>
      <c r="L20" s="74">
        <v>7.84</v>
      </c>
      <c r="M20" s="71">
        <f>Submetering!Y20</f>
        <v>24</v>
      </c>
      <c r="N20" s="113">
        <f>Submetering!Z20</f>
        <v>43</v>
      </c>
    </row>
    <row r="21" spans="1:14" x14ac:dyDescent="0.25">
      <c r="A21" s="123" t="s">
        <v>80</v>
      </c>
      <c r="B21" s="72">
        <f t="shared" si="0"/>
        <v>20</v>
      </c>
      <c r="C21" s="73">
        <v>7</v>
      </c>
      <c r="D21" s="72">
        <v>2021</v>
      </c>
      <c r="E21" s="71">
        <f>Submetering!E21+Submetering!F21+Submetering!G21+Submetering!H21+Submetering!I21+Submetering!J21+Submetering!K21</f>
        <v>31924</v>
      </c>
      <c r="F21" s="74">
        <v>0.2</v>
      </c>
      <c r="G21" s="71">
        <f>Submetering!P21</f>
        <v>407</v>
      </c>
      <c r="H21" s="74">
        <v>6.47</v>
      </c>
      <c r="I21" s="71">
        <f>Submetering!T21-Submetering!T21*15%-Submetering!X21</f>
        <v>68393.800799998542</v>
      </c>
      <c r="J21" s="70">
        <v>0.21</v>
      </c>
      <c r="K21" s="71">
        <f>Submetering!N21-Submetering!O21</f>
        <v>44.541000000000167</v>
      </c>
      <c r="L21" s="74">
        <v>7.84</v>
      </c>
      <c r="M21" s="71">
        <f>Submetering!Y21</f>
        <v>57</v>
      </c>
      <c r="N21" s="113">
        <f>Submetering!Z21</f>
        <v>114</v>
      </c>
    </row>
    <row r="22" spans="1:14" x14ac:dyDescent="0.25">
      <c r="A22" s="123" t="s">
        <v>80</v>
      </c>
      <c r="B22" s="72">
        <f t="shared" si="0"/>
        <v>21</v>
      </c>
      <c r="C22" s="73">
        <v>7</v>
      </c>
      <c r="D22" s="72">
        <v>2021</v>
      </c>
      <c r="E22" s="71">
        <f>Submetering!E22+Submetering!F22+Submetering!G22+Submetering!H22+Submetering!I22+Submetering!J22+Submetering!K22</f>
        <v>33628</v>
      </c>
      <c r="F22" s="74">
        <v>0.2</v>
      </c>
      <c r="G22" s="71">
        <f>Submetering!P22</f>
        <v>428</v>
      </c>
      <c r="H22" s="74">
        <v>6.47</v>
      </c>
      <c r="I22" s="71">
        <f>Submetering!T22-Submetering!T22*15%-Submetering!X22</f>
        <v>66474.215800005826</v>
      </c>
      <c r="J22" s="70">
        <v>0.21</v>
      </c>
      <c r="K22" s="71">
        <f>Submetering!N22-Submetering!O22</f>
        <v>75.822999999993954</v>
      </c>
      <c r="L22" s="74">
        <v>7.84</v>
      </c>
      <c r="M22" s="71">
        <f>Submetering!Y22</f>
        <v>108</v>
      </c>
      <c r="N22" s="113">
        <f>Submetering!Z22</f>
        <v>210</v>
      </c>
    </row>
    <row r="23" spans="1:14" x14ac:dyDescent="0.25">
      <c r="A23" s="123" t="s">
        <v>80</v>
      </c>
      <c r="B23" s="72">
        <f t="shared" si="0"/>
        <v>22</v>
      </c>
      <c r="C23" s="73">
        <v>7</v>
      </c>
      <c r="D23" s="72">
        <v>2021</v>
      </c>
      <c r="E23" s="71">
        <f>Submetering!E23+Submetering!F23+Submetering!G23+Submetering!H23+Submetering!I23+Submetering!J23+Submetering!K23</f>
        <v>31906</v>
      </c>
      <c r="F23" s="74">
        <v>0.2</v>
      </c>
      <c r="G23" s="71">
        <f>Submetering!P23</f>
        <v>441</v>
      </c>
      <c r="H23" s="74">
        <v>6.47</v>
      </c>
      <c r="I23" s="71">
        <f>Submetering!T23-Submetering!T23*15%-Submetering!X23</f>
        <v>57635.89880000001</v>
      </c>
      <c r="J23" s="70">
        <v>0.21</v>
      </c>
      <c r="K23" s="71">
        <f>Submetering!N23-Submetering!O23</f>
        <v>59.247000000005755</v>
      </c>
      <c r="L23" s="74">
        <v>7.84</v>
      </c>
      <c r="M23" s="71">
        <f>Submetering!Y23</f>
        <v>113</v>
      </c>
      <c r="N23" s="113">
        <f>Submetering!Z23</f>
        <v>229</v>
      </c>
    </row>
    <row r="24" spans="1:14" x14ac:dyDescent="0.25">
      <c r="A24" s="123" t="s">
        <v>80</v>
      </c>
      <c r="B24" s="72">
        <f t="shared" si="0"/>
        <v>23</v>
      </c>
      <c r="C24" s="73">
        <v>7</v>
      </c>
      <c r="D24" s="72">
        <v>2021</v>
      </c>
      <c r="E24" s="71">
        <f>Submetering!E24+Submetering!F24+Submetering!G24+Submetering!H24+Submetering!I24+Submetering!J24+Submetering!K24</f>
        <v>33423</v>
      </c>
      <c r="F24" s="74">
        <v>0.2</v>
      </c>
      <c r="G24" s="71">
        <f>Submetering!P24</f>
        <v>493</v>
      </c>
      <c r="H24" s="74">
        <v>6.47</v>
      </c>
      <c r="I24" s="71">
        <f>Submetering!T24-Submetering!T24*15%-Submetering!X24</f>
        <v>61834.2552</v>
      </c>
      <c r="J24" s="70">
        <v>0.21</v>
      </c>
      <c r="K24" s="71">
        <f>Submetering!N24-Submetering!O24</f>
        <v>74.629999999991924</v>
      </c>
      <c r="L24" s="74">
        <v>7.84</v>
      </c>
      <c r="M24" s="71">
        <f>Submetering!Y24</f>
        <v>64</v>
      </c>
      <c r="N24" s="113">
        <f>Submetering!Z24</f>
        <v>130</v>
      </c>
    </row>
    <row r="25" spans="1:14" x14ac:dyDescent="0.25">
      <c r="A25" s="123" t="s">
        <v>80</v>
      </c>
      <c r="B25" s="72">
        <f t="shared" si="0"/>
        <v>24</v>
      </c>
      <c r="C25" s="73">
        <v>7</v>
      </c>
      <c r="D25" s="72">
        <v>2021</v>
      </c>
      <c r="E25" s="71">
        <f>Submetering!E25+Submetering!F25+Submetering!G25+Submetering!H25+Submetering!I25+Submetering!J25+Submetering!K25</f>
        <v>31172</v>
      </c>
      <c r="F25" s="74">
        <v>0.2</v>
      </c>
      <c r="G25" s="71">
        <f>Submetering!P25</f>
        <v>438</v>
      </c>
      <c r="H25" s="74">
        <v>6.47</v>
      </c>
      <c r="I25" s="71">
        <f>Submetering!T25-Submetering!T25*15%-Submetering!X25</f>
        <v>60079.905999995637</v>
      </c>
      <c r="J25" s="70">
        <v>0.21</v>
      </c>
      <c r="K25" s="71">
        <f>Submetering!N25-Submetering!O25</f>
        <v>78.77800000001298</v>
      </c>
      <c r="L25" s="74">
        <v>7.84</v>
      </c>
      <c r="M25" s="71">
        <f>Submetering!Y25</f>
        <v>33</v>
      </c>
      <c r="N25" s="113">
        <f>Submetering!Z25</f>
        <v>53</v>
      </c>
    </row>
    <row r="26" spans="1:14" x14ac:dyDescent="0.25">
      <c r="A26" s="123" t="s">
        <v>80</v>
      </c>
      <c r="B26" s="72">
        <f>B25+1</f>
        <v>25</v>
      </c>
      <c r="C26" s="73">
        <v>7</v>
      </c>
      <c r="D26" s="72">
        <v>2021</v>
      </c>
      <c r="E26" s="71">
        <f>Submetering!E26+Submetering!F26+Submetering!G26+Submetering!H26+Submetering!I26+Submetering!J26+Submetering!K26</f>
        <v>32423</v>
      </c>
      <c r="F26" s="74">
        <v>0.2</v>
      </c>
      <c r="G26" s="71">
        <f>Submetering!P26</f>
        <v>408</v>
      </c>
      <c r="H26" s="74">
        <v>6.47</v>
      </c>
      <c r="I26" s="71">
        <f>Submetering!T26-Submetering!T26*15%-Submetering!X26</f>
        <v>67388.095900001455</v>
      </c>
      <c r="J26" s="70">
        <v>0.21</v>
      </c>
      <c r="K26" s="71">
        <f>Submetering!N26-Submetering!O26</f>
        <v>88.341999999997824</v>
      </c>
      <c r="L26" s="74">
        <v>7.84</v>
      </c>
      <c r="M26" s="71">
        <f>Submetering!Y26</f>
        <v>48</v>
      </c>
      <c r="N26" s="113">
        <f>Submetering!Z26</f>
        <v>94</v>
      </c>
    </row>
    <row r="27" spans="1:14" x14ac:dyDescent="0.25">
      <c r="A27" s="123" t="s">
        <v>80</v>
      </c>
      <c r="B27" s="72">
        <f t="shared" si="0"/>
        <v>26</v>
      </c>
      <c r="C27" s="73">
        <v>7</v>
      </c>
      <c r="D27" s="72">
        <v>2021</v>
      </c>
      <c r="E27" s="71">
        <f>Submetering!E27+Submetering!F27+Submetering!G27+Submetering!H27+Submetering!I27+Submetering!J27+Submetering!K27</f>
        <v>33946</v>
      </c>
      <c r="F27" s="74">
        <v>0.2</v>
      </c>
      <c r="G27" s="71">
        <f>Submetering!P27</f>
        <v>432</v>
      </c>
      <c r="H27" s="74">
        <v>6.47</v>
      </c>
      <c r="I27" s="71">
        <f>Submetering!T27-Submetering!T27*15%-Submetering!X27</f>
        <v>69838.907000000007</v>
      </c>
      <c r="J27" s="70">
        <v>0.21</v>
      </c>
      <c r="K27" s="71">
        <f>Submetering!N27-Submetering!O27</f>
        <v>38.423000000001593</v>
      </c>
      <c r="L27" s="74">
        <v>7.84</v>
      </c>
      <c r="M27" s="71">
        <f>Submetering!Y27</f>
        <v>51</v>
      </c>
      <c r="N27" s="113">
        <f>Submetering!Z27</f>
        <v>87</v>
      </c>
    </row>
    <row r="28" spans="1:14" x14ac:dyDescent="0.25">
      <c r="A28" s="123" t="s">
        <v>80</v>
      </c>
      <c r="B28" s="72">
        <f t="shared" si="0"/>
        <v>27</v>
      </c>
      <c r="C28" s="73">
        <v>7</v>
      </c>
      <c r="D28" s="72">
        <v>2021</v>
      </c>
      <c r="E28" s="71">
        <f>Submetering!E28+Submetering!F28+Submetering!G28+Submetering!H28+Submetering!I28+Submetering!J28+Submetering!K28</f>
        <v>31564</v>
      </c>
      <c r="F28" s="74">
        <v>0.2</v>
      </c>
      <c r="G28" s="71">
        <f>Submetering!P28</f>
        <v>410</v>
      </c>
      <c r="H28" s="74">
        <v>6.47</v>
      </c>
      <c r="I28" s="71">
        <f>Submetering!T28-Submetering!T28*15%-Submetering!X28</f>
        <v>64828.068360000354</v>
      </c>
      <c r="J28" s="70">
        <v>0.21</v>
      </c>
      <c r="K28" s="71">
        <f>Submetering!N28-Submetering!O28</f>
        <v>85.992999999989479</v>
      </c>
      <c r="L28" s="74">
        <v>7.84</v>
      </c>
      <c r="M28" s="71">
        <f>Submetering!Y28</f>
        <v>58</v>
      </c>
      <c r="N28" s="113">
        <f>Submetering!Z28</f>
        <v>97</v>
      </c>
    </row>
    <row r="29" spans="1:14" x14ac:dyDescent="0.25">
      <c r="A29" s="123" t="s">
        <v>80</v>
      </c>
      <c r="B29" s="72">
        <f t="shared" si="0"/>
        <v>28</v>
      </c>
      <c r="C29" s="73">
        <v>7</v>
      </c>
      <c r="D29" s="72">
        <v>2021</v>
      </c>
      <c r="E29" s="71">
        <f>Submetering!E29+Submetering!F29+Submetering!G29+Submetering!H29+Submetering!I29+Submetering!J29+Submetering!K29</f>
        <v>32418</v>
      </c>
      <c r="F29" s="74">
        <v>0.2</v>
      </c>
      <c r="G29" s="71">
        <f>Submetering!P29</f>
        <v>438</v>
      </c>
      <c r="H29" s="74">
        <v>6.47</v>
      </c>
      <c r="I29" s="71">
        <f>Submetering!T29-Submetering!T29*15%-Submetering!X29</f>
        <v>65294.762360001681</v>
      </c>
      <c r="J29" s="70">
        <v>0.21</v>
      </c>
      <c r="K29" s="71">
        <f>Submetering!N29-Submetering!O29</f>
        <v>104.2320000000027</v>
      </c>
      <c r="L29" s="74">
        <v>7.84</v>
      </c>
      <c r="M29" s="71">
        <f>Submetering!Y29</f>
        <v>45</v>
      </c>
      <c r="N29" s="113">
        <f>Submetering!Z29</f>
        <v>80</v>
      </c>
    </row>
    <row r="30" spans="1:14" x14ac:dyDescent="0.25">
      <c r="A30" s="123" t="s">
        <v>80</v>
      </c>
      <c r="B30" s="72">
        <f t="shared" si="0"/>
        <v>29</v>
      </c>
      <c r="C30" s="73">
        <v>7</v>
      </c>
      <c r="D30" s="72">
        <v>2021</v>
      </c>
      <c r="E30" s="71">
        <f>Submetering!E30+Submetering!F30+Submetering!G30+Submetering!H30+Submetering!I30+Submetering!J30+Submetering!K30</f>
        <v>33750</v>
      </c>
      <c r="F30" s="74">
        <v>0.2</v>
      </c>
      <c r="G30" s="71">
        <f>Submetering!P30</f>
        <v>422</v>
      </c>
      <c r="H30" s="74">
        <v>6.47</v>
      </c>
      <c r="I30" s="71">
        <f>Submetering!T30-Submetering!T30*15%-Submetering!X30</f>
        <v>66652.447239998335</v>
      </c>
      <c r="J30" s="70">
        <v>0.21</v>
      </c>
      <c r="K30" s="71">
        <f>Submetering!N30-Submetering!O30</f>
        <v>47.135000000008404</v>
      </c>
      <c r="L30" s="74">
        <v>7.84</v>
      </c>
      <c r="M30" s="71">
        <f>Submetering!Y30</f>
        <v>51</v>
      </c>
      <c r="N30" s="113">
        <f>Submetering!Z30</f>
        <v>97</v>
      </c>
    </row>
    <row r="31" spans="1:14" x14ac:dyDescent="0.25">
      <c r="A31" s="143" t="s">
        <v>80</v>
      </c>
      <c r="B31" s="144">
        <f t="shared" si="0"/>
        <v>30</v>
      </c>
      <c r="C31" s="73">
        <v>7</v>
      </c>
      <c r="D31" s="72">
        <v>2021</v>
      </c>
      <c r="E31" s="141">
        <f>Submetering!E31+Submetering!F31+Submetering!G31+Submetering!H31+Submetering!I31+Submetering!J31+Submetering!K31</f>
        <v>32207</v>
      </c>
      <c r="F31" s="145">
        <v>0.2</v>
      </c>
      <c r="G31" s="141">
        <f>Submetering!P31</f>
        <v>459</v>
      </c>
      <c r="H31" s="145">
        <v>6.47</v>
      </c>
      <c r="I31" s="141">
        <f>Submetering!T31-Submetering!T31*15%-Submetering!X31</f>
        <v>78544.751920002018</v>
      </c>
      <c r="J31" s="140">
        <v>0.21</v>
      </c>
      <c r="K31" s="141">
        <f>Submetering!N31-Submetering!O31</f>
        <v>54.304999999998472</v>
      </c>
      <c r="L31" s="145">
        <v>7.84</v>
      </c>
      <c r="M31" s="141">
        <f>Submetering!Y31</f>
        <v>71</v>
      </c>
      <c r="N31" s="142">
        <f>Submetering!Z31</f>
        <v>151</v>
      </c>
    </row>
    <row r="32" spans="1:14" ht="15.75" thickBot="1" x14ac:dyDescent="0.3">
      <c r="A32" s="124" t="s">
        <v>80</v>
      </c>
      <c r="B32" s="125">
        <f t="shared" si="0"/>
        <v>31</v>
      </c>
      <c r="C32" s="126">
        <v>7</v>
      </c>
      <c r="D32" s="125">
        <v>2021</v>
      </c>
      <c r="E32" s="117">
        <f>Submetering!E32+Submetering!F32+Submetering!G32+Submetering!H32+Submetering!I32+Submetering!J32+Submetering!K32</f>
        <v>33419</v>
      </c>
      <c r="F32" s="127">
        <v>0.2</v>
      </c>
      <c r="G32" s="117">
        <f>Submetering!P32</f>
        <v>437</v>
      </c>
      <c r="H32" s="127">
        <v>6.47</v>
      </c>
      <c r="I32" s="117">
        <f>Submetering!T32-Submetering!T32*15%-Submetering!X32</f>
        <v>74389.180719999116</v>
      </c>
      <c r="J32" s="116">
        <v>0.21</v>
      </c>
      <c r="K32" s="117">
        <f>Submetering!N32-Submetering!O32</f>
        <v>82.468999999996413</v>
      </c>
      <c r="L32" s="127">
        <v>7.84</v>
      </c>
      <c r="M32" s="117">
        <f>Submetering!Y32</f>
        <v>55</v>
      </c>
      <c r="N32" s="118">
        <f>Submetering!Z32</f>
        <v>86</v>
      </c>
    </row>
    <row r="33" spans="5:14" x14ac:dyDescent="0.25">
      <c r="E33" s="4">
        <f>SUM(E2:E32)</f>
        <v>956554</v>
      </c>
      <c r="G33" s="4">
        <f>SUM(G2:G32)</f>
        <v>13842</v>
      </c>
      <c r="I33" s="4">
        <f>SUM(I2:I32)</f>
        <v>1893883.0454199992</v>
      </c>
      <c r="K33" s="4"/>
      <c r="M33" s="4">
        <f>SUM(M2:M32)</f>
        <v>2069</v>
      </c>
      <c r="N33" s="4">
        <f>SUM(N2:N32)</f>
        <v>3465</v>
      </c>
    </row>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70C0"/>
  </sheetPr>
  <dimension ref="A1:Z34"/>
  <sheetViews>
    <sheetView workbookViewId="0">
      <pane xSplit="2" ySplit="1" topLeftCell="Q2" activePane="bottomRight" state="frozen"/>
      <selection pane="topRight" activeCell="C1" sqref="C1"/>
      <selection pane="bottomLeft" activeCell="A2" sqref="A2"/>
      <selection pane="bottomRight" activeCell="Y33" sqref="Y33"/>
    </sheetView>
  </sheetViews>
  <sheetFormatPr defaultColWidth="11.5703125" defaultRowHeight="15" x14ac:dyDescent="0.25"/>
  <cols>
    <col min="1" max="1" width="18.42578125" style="3" customWidth="1"/>
    <col min="2" max="2" width="11.5703125" style="1" customWidth="1"/>
    <col min="3" max="3" width="11.5703125" style="20" customWidth="1"/>
    <col min="4" max="4" width="13.42578125" style="1" customWidth="1"/>
    <col min="5" max="19" width="12.5703125" style="4" customWidth="1"/>
    <col min="20" max="24" width="11.5703125" style="4"/>
    <col min="25" max="25" width="11.5703125" style="1"/>
    <col min="26" max="26" width="11.5703125" style="4"/>
  </cols>
  <sheetData>
    <row r="1" spans="1:26" s="3" customFormat="1" ht="75.75" thickBot="1" x14ac:dyDescent="0.3">
      <c r="A1" s="101" t="s">
        <v>0</v>
      </c>
      <c r="B1" s="102" t="s">
        <v>1</v>
      </c>
      <c r="C1" s="103" t="s">
        <v>2</v>
      </c>
      <c r="D1" s="102" t="s">
        <v>3</v>
      </c>
      <c r="E1" s="104" t="s">
        <v>64</v>
      </c>
      <c r="F1" s="104" t="s">
        <v>81</v>
      </c>
      <c r="G1" s="104" t="s">
        <v>84</v>
      </c>
      <c r="H1" s="104" t="s">
        <v>65</v>
      </c>
      <c r="I1" s="104" t="s">
        <v>66</v>
      </c>
      <c r="J1" s="104" t="s">
        <v>67</v>
      </c>
      <c r="K1" s="104" t="s">
        <v>68</v>
      </c>
      <c r="L1" s="105" t="s">
        <v>69</v>
      </c>
      <c r="M1" s="105" t="s">
        <v>70</v>
      </c>
      <c r="N1" s="105" t="s">
        <v>71</v>
      </c>
      <c r="O1" s="105" t="s">
        <v>72</v>
      </c>
      <c r="P1" s="105" t="s">
        <v>73</v>
      </c>
      <c r="Q1" s="105" t="s">
        <v>74</v>
      </c>
      <c r="R1" s="105" t="s">
        <v>75</v>
      </c>
      <c r="S1" s="105" t="s">
        <v>91</v>
      </c>
      <c r="T1" s="105" t="s">
        <v>86</v>
      </c>
      <c r="U1" s="105" t="s">
        <v>87</v>
      </c>
      <c r="V1" s="105" t="s">
        <v>88</v>
      </c>
      <c r="W1" s="105" t="s">
        <v>89</v>
      </c>
      <c r="X1" s="105" t="s">
        <v>90</v>
      </c>
      <c r="Y1" s="106" t="s">
        <v>8</v>
      </c>
      <c r="Z1" s="105" t="s">
        <v>9</v>
      </c>
    </row>
    <row r="2" spans="1:26" x14ac:dyDescent="0.25">
      <c r="A2" s="107" t="s">
        <v>80</v>
      </c>
      <c r="B2" s="108">
        <v>1</v>
      </c>
      <c r="C2" s="109">
        <v>7</v>
      </c>
      <c r="D2" s="108">
        <v>2021</v>
      </c>
      <c r="E2" s="110">
        <f>'FS-AD Daily '!B6</f>
        <v>5432</v>
      </c>
      <c r="F2" s="110">
        <f>'FS-AD Daily '!C6</f>
        <v>4073</v>
      </c>
      <c r="G2" s="110">
        <f>'FS-AD Daily '!D6</f>
        <v>858</v>
      </c>
      <c r="H2" s="110">
        <f>'FS-AD Daily '!E6</f>
        <v>5406</v>
      </c>
      <c r="I2" s="110">
        <f>'FS-AD Daily '!F6</f>
        <v>6111</v>
      </c>
      <c r="J2" s="110">
        <f>'FS-AD Daily '!G6</f>
        <v>3340</v>
      </c>
      <c r="K2" s="110">
        <f>'FS-AD Daily '!H6</f>
        <v>6526</v>
      </c>
      <c r="L2" s="110">
        <f>'FS-AD Daily '!I6</f>
        <v>2496</v>
      </c>
      <c r="M2" s="110">
        <f>'FS-AD Daily '!J6</f>
        <v>7335</v>
      </c>
      <c r="N2" s="110">
        <f>'FS-AD Daily '!T6</f>
        <v>173.16899999999805</v>
      </c>
      <c r="O2" s="110">
        <f>'FS-AD Daily '!R6</f>
        <v>80.812999999986459</v>
      </c>
      <c r="P2" s="110">
        <f>'FS-AD Daily '!Z6</f>
        <v>488</v>
      </c>
      <c r="Q2" s="110">
        <f>'FS-AD Daily '!V6</f>
        <v>201.40000000002328</v>
      </c>
      <c r="R2" s="110">
        <f>'FS-AD Daily '!W6</f>
        <v>0</v>
      </c>
      <c r="S2" s="110">
        <f>P2-Q2-R2</f>
        <v>286.59999999997672</v>
      </c>
      <c r="T2" s="110">
        <f>'FS-AD Daily '!AD6*3.516</f>
        <v>95080.726799999349</v>
      </c>
      <c r="U2" s="110">
        <f>('FS-AD Daily '!AF6)*1000</f>
        <v>46399.999999994179</v>
      </c>
      <c r="V2" s="110">
        <f>('FS-AD Daily '!AG6)*1000</f>
        <v>29699.99999999709</v>
      </c>
      <c r="W2" s="110">
        <f>'FS-AD Daily '!AH6*1000</f>
        <v>17000</v>
      </c>
      <c r="X2" s="110">
        <f>('FS-AD Daily '!AK6)*1000</f>
        <v>29500</v>
      </c>
      <c r="Y2" s="110">
        <f>'FS-AD Daily '!AN6</f>
        <v>88</v>
      </c>
      <c r="Z2" s="111">
        <v>148</v>
      </c>
    </row>
    <row r="3" spans="1:26" x14ac:dyDescent="0.25">
      <c r="A3" s="112" t="s">
        <v>80</v>
      </c>
      <c r="B3" s="69">
        <f>B2+1</f>
        <v>2</v>
      </c>
      <c r="C3" s="70">
        <v>7</v>
      </c>
      <c r="D3" s="69">
        <v>2021</v>
      </c>
      <c r="E3" s="71">
        <f>'FS-AD Daily '!B7</f>
        <v>5205</v>
      </c>
      <c r="F3" s="71">
        <f>'FS-AD Daily '!C7</f>
        <v>4025</v>
      </c>
      <c r="G3" s="71">
        <f>'FS-AD Daily '!D7</f>
        <v>748</v>
      </c>
      <c r="H3" s="71">
        <f>'FS-AD Daily '!E7</f>
        <v>5373</v>
      </c>
      <c r="I3" s="71">
        <f>'FS-AD Daily '!F7</f>
        <v>6097</v>
      </c>
      <c r="J3" s="71">
        <f>'FS-AD Daily '!G7</f>
        <v>3362</v>
      </c>
      <c r="K3" s="71">
        <f>'FS-AD Daily '!H7</f>
        <v>6491</v>
      </c>
      <c r="L3" s="71">
        <f>'FS-AD Daily '!I7</f>
        <v>2438</v>
      </c>
      <c r="M3" s="71">
        <f>'FS-AD Daily '!J7</f>
        <v>7307</v>
      </c>
      <c r="N3" s="71">
        <f>'FS-AD Daily '!T7</f>
        <v>167.49599999999191</v>
      </c>
      <c r="O3" s="71">
        <f>'FS-AD Daily '!R7</f>
        <v>89.522000000000844</v>
      </c>
      <c r="P3" s="71">
        <f>'FS-AD Daily '!Z7</f>
        <v>430</v>
      </c>
      <c r="Q3" s="71">
        <f>'FS-AD Daily '!V7</f>
        <v>168.29999999998836</v>
      </c>
      <c r="R3" s="71">
        <f>'FS-AD Daily '!W7</f>
        <v>0</v>
      </c>
      <c r="S3" s="71">
        <f t="shared" ref="S3:S31" si="0">P3-Q3-R3</f>
        <v>261.70000000001164</v>
      </c>
      <c r="T3" s="71">
        <f>'FS-AD Daily '!AD7*3.516</f>
        <v>100750.62840000131</v>
      </c>
      <c r="U3" s="71">
        <f>('FS-AD Daily '!AF7)*1000</f>
        <v>49199.99999999709</v>
      </c>
      <c r="V3" s="71">
        <f>('FS-AD Daily '!AG7)*1000</f>
        <v>30900.000000001455</v>
      </c>
      <c r="W3" s="71">
        <f>'FS-AD Daily '!AH7*1000</f>
        <v>17000</v>
      </c>
      <c r="X3" s="71">
        <f>('FS-AD Daily '!AK7)*1000</f>
        <v>31300.00000000291</v>
      </c>
      <c r="Y3" s="71">
        <f>'FS-AD Daily '!AN7</f>
        <v>78</v>
      </c>
      <c r="Z3" s="113">
        <v>137</v>
      </c>
    </row>
    <row r="4" spans="1:26" x14ac:dyDescent="0.25">
      <c r="A4" s="112" t="s">
        <v>80</v>
      </c>
      <c r="B4" s="69">
        <f t="shared" ref="B4:B32" si="1">B3+1</f>
        <v>3</v>
      </c>
      <c r="C4" s="70">
        <v>7</v>
      </c>
      <c r="D4" s="69">
        <v>2021</v>
      </c>
      <c r="E4" s="71">
        <f>'FS-AD Daily '!B8</f>
        <v>5256</v>
      </c>
      <c r="F4" s="71">
        <f>'FS-AD Daily '!C8</f>
        <v>3822</v>
      </c>
      <c r="G4" s="71">
        <f>'FS-AD Daily '!D8</f>
        <v>806</v>
      </c>
      <c r="H4" s="71">
        <f>'FS-AD Daily '!E8</f>
        <v>5418</v>
      </c>
      <c r="I4" s="71">
        <f>'FS-AD Daily '!F8</f>
        <v>5874</v>
      </c>
      <c r="J4" s="71">
        <f>'FS-AD Daily '!G8</f>
        <v>3324</v>
      </c>
      <c r="K4" s="71">
        <f>'FS-AD Daily '!H8</f>
        <v>6559</v>
      </c>
      <c r="L4" s="71">
        <f>'FS-AD Daily '!I8</f>
        <v>2477</v>
      </c>
      <c r="M4" s="71">
        <f>'FS-AD Daily '!J8</f>
        <v>7383</v>
      </c>
      <c r="N4" s="71">
        <f>'FS-AD Daily '!T8</f>
        <v>148.84700000000157</v>
      </c>
      <c r="O4" s="71">
        <f>'FS-AD Daily '!R8</f>
        <v>76.116000000004533</v>
      </c>
      <c r="P4" s="71">
        <f>'FS-AD Daily '!Z8</f>
        <v>366</v>
      </c>
      <c r="Q4" s="71">
        <f>'FS-AD Daily '!V8</f>
        <v>124.10000000003492</v>
      </c>
      <c r="R4" s="71">
        <f>'FS-AD Daily '!W8</f>
        <v>0</v>
      </c>
      <c r="S4" s="71">
        <f t="shared" si="0"/>
        <v>241.89999999996508</v>
      </c>
      <c r="T4" s="71">
        <f>'FS-AD Daily '!AD8*3.516</f>
        <v>110655.9035999987</v>
      </c>
      <c r="U4" s="71">
        <f>('FS-AD Daily '!AF8)*1000</f>
        <v>55200.000000011642</v>
      </c>
      <c r="V4" s="71">
        <f>('FS-AD Daily '!AG8)*1000</f>
        <v>32699.99999999709</v>
      </c>
      <c r="W4" s="71">
        <f>'FS-AD Daily '!AH8*1000</f>
        <v>17099.999999998545</v>
      </c>
      <c r="X4" s="71">
        <f>('FS-AD Daily '!AK8)*1000</f>
        <v>32699.99999999709</v>
      </c>
      <c r="Y4" s="71">
        <f>'FS-AD Daily '!AN8</f>
        <v>53</v>
      </c>
      <c r="Z4" s="113">
        <v>84</v>
      </c>
    </row>
    <row r="5" spans="1:26" x14ac:dyDescent="0.25">
      <c r="A5" s="112" t="s">
        <v>80</v>
      </c>
      <c r="B5" s="69">
        <f t="shared" si="1"/>
        <v>4</v>
      </c>
      <c r="C5" s="70">
        <v>7</v>
      </c>
      <c r="D5" s="69">
        <v>2021</v>
      </c>
      <c r="E5" s="71">
        <f>'FS-AD Daily '!B9</f>
        <v>4952</v>
      </c>
      <c r="F5" s="71">
        <f>'FS-AD Daily '!C9</f>
        <v>3888</v>
      </c>
      <c r="G5" s="71">
        <f>'FS-AD Daily '!D9</f>
        <v>807</v>
      </c>
      <c r="H5" s="71">
        <f>'FS-AD Daily '!E9</f>
        <v>5224</v>
      </c>
      <c r="I5" s="71">
        <f>'FS-AD Daily '!F9</f>
        <v>5844</v>
      </c>
      <c r="J5" s="71">
        <f>'FS-AD Daily '!G9</f>
        <v>3206</v>
      </c>
      <c r="K5" s="71">
        <f>'FS-AD Daily '!H9</f>
        <v>6994</v>
      </c>
      <c r="L5" s="71">
        <f>'FS-AD Daily '!I9</f>
        <v>2462</v>
      </c>
      <c r="M5" s="71">
        <f>'FS-AD Daily '!J9</f>
        <v>7155</v>
      </c>
      <c r="N5" s="71">
        <f>'FS-AD Daily '!T9</f>
        <v>144.89400000000751</v>
      </c>
      <c r="O5" s="71">
        <f>'FS-AD Daily '!R9</f>
        <v>68.924000000000888</v>
      </c>
      <c r="P5" s="71">
        <f>'FS-AD Daily '!Z9</f>
        <v>424</v>
      </c>
      <c r="Q5" s="71">
        <f>'FS-AD Daily '!V9</f>
        <v>173.39999999996508</v>
      </c>
      <c r="R5" s="71">
        <f>'FS-AD Daily '!W9</f>
        <v>6.9900000000052387</v>
      </c>
      <c r="S5" s="71">
        <f t="shared" si="0"/>
        <v>243.61000000002969</v>
      </c>
      <c r="T5" s="71">
        <f>'FS-AD Daily '!AD9*3.516</f>
        <v>106017.948</v>
      </c>
      <c r="U5" s="71">
        <f>('FS-AD Daily '!AF9)*1000</f>
        <v>51399.999999994179</v>
      </c>
      <c r="V5" s="71">
        <f>('FS-AD Daily '!AG9)*1000</f>
        <v>33900.000000001455</v>
      </c>
      <c r="W5" s="71">
        <f>'FS-AD Daily '!AH9*1000</f>
        <v>17100.000000002183</v>
      </c>
      <c r="X5" s="71">
        <f>('FS-AD Daily '!AK9)*1000</f>
        <v>31600.000000005821</v>
      </c>
      <c r="Y5" s="71">
        <f>'FS-AD Daily '!AN9</f>
        <v>63</v>
      </c>
      <c r="Z5" s="113">
        <v>88</v>
      </c>
    </row>
    <row r="6" spans="1:26" x14ac:dyDescent="0.25">
      <c r="A6" s="112" t="s">
        <v>80</v>
      </c>
      <c r="B6" s="69">
        <f t="shared" si="1"/>
        <v>5</v>
      </c>
      <c r="C6" s="70">
        <v>7</v>
      </c>
      <c r="D6" s="69">
        <v>2021</v>
      </c>
      <c r="E6" s="71">
        <f>'FS-AD Daily '!B10</f>
        <v>5341</v>
      </c>
      <c r="F6" s="71">
        <f>'FS-AD Daily '!C10</f>
        <v>4020</v>
      </c>
      <c r="G6" s="71">
        <f>'FS-AD Daily '!D10</f>
        <v>868</v>
      </c>
      <c r="H6" s="71">
        <f>'FS-AD Daily '!E10</f>
        <v>5396</v>
      </c>
      <c r="I6" s="71">
        <f>'FS-AD Daily '!F10</f>
        <v>5933</v>
      </c>
      <c r="J6" s="71">
        <f>'FS-AD Daily '!G10</f>
        <v>3202</v>
      </c>
      <c r="K6" s="71">
        <f>'FS-AD Daily '!H10</f>
        <v>6775</v>
      </c>
      <c r="L6" s="71">
        <f>'FS-AD Daily '!I10</f>
        <v>2454</v>
      </c>
      <c r="M6" s="71">
        <f>'FS-AD Daily '!J10</f>
        <v>7296</v>
      </c>
      <c r="N6" s="71">
        <f>'FS-AD Daily '!T10</f>
        <v>129.71099999999933</v>
      </c>
      <c r="O6" s="71">
        <f>'FS-AD Daily '!R10</f>
        <v>68.71299999999701</v>
      </c>
      <c r="P6" s="71">
        <f>'FS-AD Daily '!Z10</f>
        <v>462</v>
      </c>
      <c r="Q6" s="71">
        <f>'FS-AD Daily '!V10</f>
        <v>172.29999999998836</v>
      </c>
      <c r="R6" s="71">
        <f>'FS-AD Daily '!W10</f>
        <v>0</v>
      </c>
      <c r="S6" s="71">
        <f t="shared" si="0"/>
        <v>289.70000000001164</v>
      </c>
      <c r="T6" s="71">
        <f>'FS-AD Daily '!AD10*3.516</f>
        <v>105712.056</v>
      </c>
      <c r="U6" s="71">
        <f>('FS-AD Daily '!AF10)*1000</f>
        <v>52000</v>
      </c>
      <c r="V6" s="71">
        <f>('FS-AD Daily '!AG10)*1000</f>
        <v>32800.00000000291</v>
      </c>
      <c r="W6" s="71">
        <f>'FS-AD Daily '!AH10*1000</f>
        <v>16899.999999997817</v>
      </c>
      <c r="X6" s="71">
        <f>('FS-AD Daily '!AK10)*1000</f>
        <v>31799.999999995634</v>
      </c>
      <c r="Y6" s="71">
        <f>'FS-AD Daily '!AN10</f>
        <v>66</v>
      </c>
      <c r="Z6" s="113">
        <v>87</v>
      </c>
    </row>
    <row r="7" spans="1:26" x14ac:dyDescent="0.25">
      <c r="A7" s="112" t="s">
        <v>80</v>
      </c>
      <c r="B7" s="69">
        <f t="shared" si="1"/>
        <v>6</v>
      </c>
      <c r="C7" s="70">
        <v>7</v>
      </c>
      <c r="D7" s="69">
        <v>2021</v>
      </c>
      <c r="E7" s="71">
        <f>'FS-AD Daily '!B11</f>
        <v>5654</v>
      </c>
      <c r="F7" s="71">
        <f>'FS-AD Daily '!C11</f>
        <v>3973</v>
      </c>
      <c r="G7" s="71">
        <f>'FS-AD Daily '!D11</f>
        <v>826</v>
      </c>
      <c r="H7" s="71">
        <f>'FS-AD Daily '!E11</f>
        <v>5640</v>
      </c>
      <c r="I7" s="71">
        <f>'FS-AD Daily '!F11</f>
        <v>5901</v>
      </c>
      <c r="J7" s="71">
        <f>'FS-AD Daily '!G11</f>
        <v>3218</v>
      </c>
      <c r="K7" s="71">
        <f>'FS-AD Daily '!H11</f>
        <v>5947</v>
      </c>
      <c r="L7" s="71">
        <f>'FS-AD Daily '!I11</f>
        <v>2431</v>
      </c>
      <c r="M7" s="71">
        <f>'FS-AD Daily '!J11</f>
        <v>7147</v>
      </c>
      <c r="N7" s="71">
        <f>'FS-AD Daily '!T11</f>
        <v>150.68199999999342</v>
      </c>
      <c r="O7" s="71">
        <f>'FS-AD Daily '!R11</f>
        <v>72.681000000005042</v>
      </c>
      <c r="P7" s="71">
        <f>'FS-AD Daily '!Z11</f>
        <v>465</v>
      </c>
      <c r="Q7" s="71">
        <f>'FS-AD Daily '!V11</f>
        <v>182.30000000004657</v>
      </c>
      <c r="R7" s="71">
        <f>'FS-AD Daily '!W11</f>
        <v>0</v>
      </c>
      <c r="S7" s="71">
        <f t="shared" si="0"/>
        <v>282.69999999995343</v>
      </c>
      <c r="T7" s="71">
        <f>'FS-AD Daily '!AD11*3.516</f>
        <v>106363.92240000131</v>
      </c>
      <c r="U7" s="71">
        <f>('FS-AD Daily '!AF11)*1000</f>
        <v>54000</v>
      </c>
      <c r="V7" s="71">
        <f>('FS-AD Daily '!AG11)*1000</f>
        <v>29799.999999995634</v>
      </c>
      <c r="W7" s="71">
        <f>'FS-AD Daily '!AH11*1000</f>
        <v>17799.999999999272</v>
      </c>
      <c r="X7" s="71">
        <f>('FS-AD Daily '!AK11)*1000</f>
        <v>31400.000000001455</v>
      </c>
      <c r="Y7" s="71">
        <f>'FS-AD Daily '!AN11</f>
        <v>80</v>
      </c>
      <c r="Z7" s="113">
        <v>101</v>
      </c>
    </row>
    <row r="8" spans="1:26" x14ac:dyDescent="0.25">
      <c r="A8" s="112" t="s">
        <v>80</v>
      </c>
      <c r="B8" s="69">
        <f t="shared" si="1"/>
        <v>7</v>
      </c>
      <c r="C8" s="70">
        <v>7</v>
      </c>
      <c r="D8" s="69">
        <v>2021</v>
      </c>
      <c r="E8" s="71">
        <f>'FS-AD Daily '!B12</f>
        <v>5497</v>
      </c>
      <c r="F8" s="71">
        <f>'FS-AD Daily '!C12</f>
        <v>3820</v>
      </c>
      <c r="G8" s="71">
        <f>'FS-AD Daily '!D12</f>
        <v>843</v>
      </c>
      <c r="H8" s="71">
        <f>'FS-AD Daily '!E12</f>
        <v>5489</v>
      </c>
      <c r="I8" s="71">
        <f>'FS-AD Daily '!F12</f>
        <v>5972</v>
      </c>
      <c r="J8" s="71">
        <f>'FS-AD Daily '!G12</f>
        <v>3257</v>
      </c>
      <c r="K8" s="71">
        <f>'FS-AD Daily '!H12</f>
        <v>5350</v>
      </c>
      <c r="L8" s="71">
        <f>'FS-AD Daily '!I12</f>
        <v>2424</v>
      </c>
      <c r="M8" s="71">
        <f>'FS-AD Daily '!J12</f>
        <v>7331</v>
      </c>
      <c r="N8" s="71">
        <f>'FS-AD Daily '!T12</f>
        <v>149.62800000001153</v>
      </c>
      <c r="O8" s="71">
        <f>'FS-AD Daily '!R12</f>
        <v>73.589999999995598</v>
      </c>
      <c r="P8" s="71">
        <f>'FS-AD Daily '!Z12</f>
        <v>502</v>
      </c>
      <c r="Q8" s="71">
        <f>'FS-AD Daily '!V12</f>
        <v>210.5</v>
      </c>
      <c r="R8" s="71">
        <f>'FS-AD Daily '!W12</f>
        <v>0</v>
      </c>
      <c r="S8" s="71">
        <f t="shared" si="0"/>
        <v>291.5</v>
      </c>
      <c r="T8" s="71">
        <f>'FS-AD Daily '!AD12*3.516</f>
        <v>99719.385599998684</v>
      </c>
      <c r="U8" s="71">
        <f>('FS-AD Daily '!AF12)*1000</f>
        <v>51699.99999999709</v>
      </c>
      <c r="V8" s="71">
        <f>('FS-AD Daily '!AG12)*1000</f>
        <v>26000</v>
      </c>
      <c r="W8" s="71">
        <f>'FS-AD Daily '!AH12*1000</f>
        <v>17500</v>
      </c>
      <c r="X8" s="71">
        <f>('FS-AD Daily '!AK12)*1000</f>
        <v>30099.999999998545</v>
      </c>
      <c r="Y8" s="71">
        <f>'FS-AD Daily '!AN12</f>
        <v>91</v>
      </c>
      <c r="Z8" s="113">
        <v>127</v>
      </c>
    </row>
    <row r="9" spans="1:26" x14ac:dyDescent="0.25">
      <c r="A9" s="112" t="s">
        <v>80</v>
      </c>
      <c r="B9" s="69">
        <f t="shared" si="1"/>
        <v>8</v>
      </c>
      <c r="C9" s="70">
        <v>7</v>
      </c>
      <c r="D9" s="69">
        <v>2021</v>
      </c>
      <c r="E9" s="71">
        <f>'FS-AD Daily '!B13</f>
        <v>5411</v>
      </c>
      <c r="F9" s="71">
        <f>'FS-AD Daily '!C13</f>
        <v>3679</v>
      </c>
      <c r="G9" s="71">
        <f>'FS-AD Daily '!D13</f>
        <v>808</v>
      </c>
      <c r="H9" s="71">
        <f>'FS-AD Daily '!E13</f>
        <v>5098</v>
      </c>
      <c r="I9" s="71">
        <f>'FS-AD Daily '!F13</f>
        <v>6079</v>
      </c>
      <c r="J9" s="71">
        <f>'FS-AD Daily '!G13</f>
        <v>3362</v>
      </c>
      <c r="K9" s="71">
        <f>'FS-AD Daily '!H13</f>
        <v>5114</v>
      </c>
      <c r="L9" s="71">
        <f>'FS-AD Daily '!I13</f>
        <v>2410</v>
      </c>
      <c r="M9" s="71">
        <f>'FS-AD Daily '!J13</f>
        <v>7226</v>
      </c>
      <c r="N9" s="71">
        <f>'FS-AD Daily '!T13</f>
        <v>139.60599999998885</v>
      </c>
      <c r="O9" s="71">
        <f>'FS-AD Daily '!R13</f>
        <v>75.958000000005995</v>
      </c>
      <c r="P9" s="71">
        <f>'FS-AD Daily '!Z13</f>
        <v>518</v>
      </c>
      <c r="Q9" s="71">
        <f>'FS-AD Daily '!V13</f>
        <v>235.19999999995343</v>
      </c>
      <c r="R9" s="71">
        <f>'FS-AD Daily '!W13</f>
        <v>0</v>
      </c>
      <c r="S9" s="71">
        <f t="shared" si="0"/>
        <v>282.80000000004657</v>
      </c>
      <c r="T9" s="71">
        <f>'FS-AD Daily '!AD13*3.516</f>
        <v>99671.919600001958</v>
      </c>
      <c r="U9" s="71">
        <f>('FS-AD Daily '!AF13)*1000</f>
        <v>51800.00000000291</v>
      </c>
      <c r="V9" s="71">
        <f>('FS-AD Daily '!AG13)*1000</f>
        <v>25000</v>
      </c>
      <c r="W9" s="71">
        <f>'FS-AD Daily '!AH13*1000</f>
        <v>17400.000000001455</v>
      </c>
      <c r="X9" s="71">
        <f>('FS-AD Daily '!AK13)*1000</f>
        <v>30700.000000004366</v>
      </c>
      <c r="Y9" s="71">
        <f>'FS-AD Daily '!AN13</f>
        <v>79</v>
      </c>
      <c r="Z9" s="113">
        <v>123</v>
      </c>
    </row>
    <row r="10" spans="1:26" x14ac:dyDescent="0.25">
      <c r="A10" s="112" t="s">
        <v>80</v>
      </c>
      <c r="B10" s="69">
        <f t="shared" si="1"/>
        <v>9</v>
      </c>
      <c r="C10" s="70">
        <v>7</v>
      </c>
      <c r="D10" s="69">
        <v>2021</v>
      </c>
      <c r="E10" s="71">
        <f>'FS-AD Daily '!B14</f>
        <v>5390</v>
      </c>
      <c r="F10" s="71">
        <f>'FS-AD Daily '!C14</f>
        <v>3820</v>
      </c>
      <c r="G10" s="71">
        <f>'FS-AD Daily '!D14</f>
        <v>770</v>
      </c>
      <c r="H10" s="71">
        <f>'FS-AD Daily '!E14</f>
        <v>5590</v>
      </c>
      <c r="I10" s="71">
        <f>'FS-AD Daily '!F14</f>
        <v>6232</v>
      </c>
      <c r="J10" s="71">
        <f>'FS-AD Daily '!G14</f>
        <v>3291</v>
      </c>
      <c r="K10" s="71">
        <f>'FS-AD Daily '!H14</f>
        <v>5206</v>
      </c>
      <c r="L10" s="71">
        <f>'FS-AD Daily '!I14</f>
        <v>2346</v>
      </c>
      <c r="M10" s="71">
        <f>'FS-AD Daily '!J14</f>
        <v>7357</v>
      </c>
      <c r="N10" s="71">
        <f>'FS-AD Daily '!T14</f>
        <v>142.99400000000969</v>
      </c>
      <c r="O10" s="71">
        <f>'FS-AD Daily '!R14</f>
        <v>78.054999999993015</v>
      </c>
      <c r="P10" s="71">
        <f>'FS-AD Daily '!Z14</f>
        <v>485</v>
      </c>
      <c r="Q10" s="71">
        <f>'FS-AD Daily '!V14</f>
        <v>172.30000000004657</v>
      </c>
      <c r="R10" s="71">
        <f>'FS-AD Daily '!W14</f>
        <v>0</v>
      </c>
      <c r="S10" s="71">
        <f t="shared" si="0"/>
        <v>312.69999999995343</v>
      </c>
      <c r="T10" s="71">
        <f>'FS-AD Daily '!AD14*3.516</f>
        <v>105806.63639999804</v>
      </c>
      <c r="U10" s="71">
        <f>('FS-AD Daily '!AF14)*1000</f>
        <v>53000</v>
      </c>
      <c r="V10" s="71">
        <f>('FS-AD Daily '!AG14)*1000</f>
        <v>27000</v>
      </c>
      <c r="W10" s="71">
        <f>'FS-AD Daily '!AH14*1000</f>
        <v>17900.000000001455</v>
      </c>
      <c r="X10" s="71">
        <f>('FS-AD Daily '!AK14)*1000</f>
        <v>33399.999999994179</v>
      </c>
      <c r="Y10" s="71">
        <f>'FS-AD Daily '!AN14</f>
        <v>72</v>
      </c>
      <c r="Z10" s="113">
        <v>122</v>
      </c>
    </row>
    <row r="11" spans="1:26" x14ac:dyDescent="0.25">
      <c r="A11" s="112" t="s">
        <v>80</v>
      </c>
      <c r="B11" s="69">
        <f t="shared" si="1"/>
        <v>10</v>
      </c>
      <c r="C11" s="70">
        <v>7</v>
      </c>
      <c r="D11" s="69">
        <v>2021</v>
      </c>
      <c r="E11" s="71">
        <f>'FS-AD Daily '!B15</f>
        <v>5621</v>
      </c>
      <c r="F11" s="71">
        <f>'FS-AD Daily '!C15</f>
        <v>3772</v>
      </c>
      <c r="G11" s="71">
        <f>'FS-AD Daily '!D15</f>
        <v>778</v>
      </c>
      <c r="H11" s="71">
        <f>'FS-AD Daily '!E15</f>
        <v>5670</v>
      </c>
      <c r="I11" s="71">
        <f>'FS-AD Daily '!F15</f>
        <v>5714</v>
      </c>
      <c r="J11" s="71">
        <f>'FS-AD Daily '!G15</f>
        <v>3057</v>
      </c>
      <c r="K11" s="71">
        <f>'FS-AD Daily '!H15</f>
        <v>4577</v>
      </c>
      <c r="L11" s="71">
        <f>'FS-AD Daily '!I15</f>
        <v>2372</v>
      </c>
      <c r="M11" s="71">
        <f>'FS-AD Daily '!J15</f>
        <v>7140</v>
      </c>
      <c r="N11" s="71">
        <f>'FS-AD Daily '!T15</f>
        <v>134.24199999998746</v>
      </c>
      <c r="O11" s="71">
        <f>'FS-AD Daily '!R15</f>
        <v>69.909999999998945</v>
      </c>
      <c r="P11" s="71">
        <f>'FS-AD Daily '!Z15</f>
        <v>440</v>
      </c>
      <c r="Q11" s="71">
        <f>'FS-AD Daily '!V15</f>
        <v>164.19999999995343</v>
      </c>
      <c r="R11" s="71">
        <f>'FS-AD Daily '!W15</f>
        <v>0</v>
      </c>
      <c r="S11" s="71">
        <f t="shared" si="0"/>
        <v>275.80000000004657</v>
      </c>
      <c r="T11" s="71">
        <f>'FS-AD Daily '!AD15*3.516</f>
        <v>101048.78520000065</v>
      </c>
      <c r="U11" s="71">
        <f>('FS-AD Daily '!AF15)*1000</f>
        <v>51300.00000000291</v>
      </c>
      <c r="V11" s="71">
        <f>('FS-AD Daily '!AG15)*1000</f>
        <v>24900.000000001455</v>
      </c>
      <c r="W11" s="71">
        <f>'FS-AD Daily '!AH15*1000</f>
        <v>17599.999999998545</v>
      </c>
      <c r="X11" s="71">
        <f>('FS-AD Daily '!AK15)*1000</f>
        <v>32600.000000005821</v>
      </c>
      <c r="Y11" s="71">
        <f>'FS-AD Daily '!AN15</f>
        <v>55</v>
      </c>
      <c r="Z11" s="113">
        <v>84</v>
      </c>
    </row>
    <row r="12" spans="1:26" x14ac:dyDescent="0.25">
      <c r="A12" s="112" t="s">
        <v>80</v>
      </c>
      <c r="B12" s="69">
        <f t="shared" si="1"/>
        <v>11</v>
      </c>
      <c r="C12" s="70">
        <v>7</v>
      </c>
      <c r="D12" s="69">
        <v>2021</v>
      </c>
      <c r="E12" s="71">
        <f>'FS-AD Daily '!B16</f>
        <v>5706</v>
      </c>
      <c r="F12" s="71">
        <f>'FS-AD Daily '!C16</f>
        <v>3584</v>
      </c>
      <c r="G12" s="71">
        <f>'FS-AD Daily '!D16</f>
        <v>769</v>
      </c>
      <c r="H12" s="71">
        <f>'FS-AD Daily '!E16</f>
        <v>5751</v>
      </c>
      <c r="I12" s="71">
        <f>'FS-AD Daily '!F16</f>
        <v>5997</v>
      </c>
      <c r="J12" s="71">
        <f>'FS-AD Daily '!G16</f>
        <v>3196</v>
      </c>
      <c r="K12" s="71">
        <f>'FS-AD Daily '!H16</f>
        <v>3795</v>
      </c>
      <c r="L12" s="71">
        <f>'FS-AD Daily '!I16</f>
        <v>2460</v>
      </c>
      <c r="M12" s="71">
        <f>'FS-AD Daily '!J16</f>
        <v>7131</v>
      </c>
      <c r="N12" s="71">
        <f>'FS-AD Daily '!T16</f>
        <v>140.48500000000786</v>
      </c>
      <c r="O12" s="71">
        <f>'FS-AD Daily '!R16</f>
        <v>67.752999999998792</v>
      </c>
      <c r="P12" s="71">
        <f>'FS-AD Daily '!Z16</f>
        <v>443</v>
      </c>
      <c r="Q12" s="71">
        <f>'FS-AD Daily '!V16</f>
        <v>163</v>
      </c>
      <c r="R12" s="71">
        <f>'FS-AD Daily '!W16</f>
        <v>0</v>
      </c>
      <c r="S12" s="71">
        <f t="shared" si="0"/>
        <v>280</v>
      </c>
      <c r="T12" s="71">
        <f>'FS-AD Daily '!AD16*3.516</f>
        <v>98374.164000000004</v>
      </c>
      <c r="U12" s="71">
        <f>('FS-AD Daily '!AF16)*1000</f>
        <v>51899.999999994179</v>
      </c>
      <c r="V12" s="71">
        <f>('FS-AD Daily '!AG16)*1000</f>
        <v>20000</v>
      </c>
      <c r="W12" s="71">
        <f>'FS-AD Daily '!AH16*1000</f>
        <v>17900.000000001455</v>
      </c>
      <c r="X12" s="71">
        <f>('FS-AD Daily '!AK16)*1000</f>
        <v>32199.99999999709</v>
      </c>
      <c r="Y12" s="71">
        <f>'FS-AD Daily '!AN16</f>
        <v>89</v>
      </c>
      <c r="Z12" s="113">
        <v>139</v>
      </c>
    </row>
    <row r="13" spans="1:26" x14ac:dyDescent="0.25">
      <c r="A13" s="112" t="s">
        <v>80</v>
      </c>
      <c r="B13" s="69">
        <f t="shared" si="1"/>
        <v>12</v>
      </c>
      <c r="C13" s="70">
        <v>7</v>
      </c>
      <c r="D13" s="69">
        <v>2021</v>
      </c>
      <c r="E13" s="71">
        <f>'FS-AD Daily '!B17</f>
        <v>5460</v>
      </c>
      <c r="F13" s="71">
        <f>'FS-AD Daily '!C17</f>
        <v>3305</v>
      </c>
      <c r="G13" s="71">
        <f>'FS-AD Daily '!D17</f>
        <v>843</v>
      </c>
      <c r="H13" s="71">
        <f>'FS-AD Daily '!E17</f>
        <v>6030</v>
      </c>
      <c r="I13" s="71">
        <f>'FS-AD Daily '!F17</f>
        <v>6047</v>
      </c>
      <c r="J13" s="71">
        <f>'FS-AD Daily '!G17</f>
        <v>3318</v>
      </c>
      <c r="K13" s="71">
        <f>'FS-AD Daily '!H17</f>
        <v>3630</v>
      </c>
      <c r="L13" s="71">
        <f>'FS-AD Daily '!I17</f>
        <v>2378</v>
      </c>
      <c r="M13" s="71">
        <f>'FS-AD Daily '!J17</f>
        <v>7157</v>
      </c>
      <c r="N13" s="71">
        <f>'FS-AD Daily '!T17</f>
        <v>122.41400000000431</v>
      </c>
      <c r="O13" s="71">
        <f>'FS-AD Daily '!R17</f>
        <v>70.111000000000786</v>
      </c>
      <c r="P13" s="71">
        <f>'FS-AD Daily '!Z17</f>
        <v>453</v>
      </c>
      <c r="Q13" s="71">
        <f>'FS-AD Daily '!V17</f>
        <v>167.70000000001164</v>
      </c>
      <c r="R13" s="71">
        <f>'FS-AD Daily '!W17</f>
        <v>0</v>
      </c>
      <c r="S13" s="71">
        <f t="shared" si="0"/>
        <v>285.29999999998836</v>
      </c>
      <c r="T13" s="71">
        <f>'FS-AD Daily '!AD17*3.516</f>
        <v>122536.81920000065</v>
      </c>
      <c r="U13" s="71">
        <f>('FS-AD Daily '!AF17)*1000</f>
        <v>64000</v>
      </c>
      <c r="V13" s="71">
        <f>('FS-AD Daily '!AG17)*1000</f>
        <v>26200.000000004366</v>
      </c>
      <c r="W13" s="71">
        <f>'FS-AD Daily '!AH17*1000</f>
        <v>19699.99999999709</v>
      </c>
      <c r="X13" s="71">
        <f>('FS-AD Daily '!AK17)*1000</f>
        <v>36300.00000000291</v>
      </c>
      <c r="Y13" s="71">
        <f>'FS-AD Daily '!AN17</f>
        <v>81</v>
      </c>
      <c r="Z13" s="113">
        <v>115</v>
      </c>
    </row>
    <row r="14" spans="1:26" x14ac:dyDescent="0.25">
      <c r="A14" s="112" t="s">
        <v>80</v>
      </c>
      <c r="B14" s="69">
        <f t="shared" si="1"/>
        <v>13</v>
      </c>
      <c r="C14" s="70">
        <v>7</v>
      </c>
      <c r="D14" s="69">
        <v>2021</v>
      </c>
      <c r="E14" s="71">
        <f>'FS-AD Daily '!B18</f>
        <v>5276</v>
      </c>
      <c r="F14" s="71">
        <f>'FS-AD Daily '!C18</f>
        <v>3827</v>
      </c>
      <c r="G14" s="71">
        <f>'FS-AD Daily '!D18</f>
        <v>775</v>
      </c>
      <c r="H14" s="71">
        <f>'FS-AD Daily '!E18</f>
        <v>5934</v>
      </c>
      <c r="I14" s="71">
        <f>'FS-AD Daily '!F18</f>
        <v>6007</v>
      </c>
      <c r="J14" s="71">
        <f>'FS-AD Daily '!G18</f>
        <v>3285</v>
      </c>
      <c r="K14" s="71">
        <f>'FS-AD Daily '!H18</f>
        <v>3684</v>
      </c>
      <c r="L14" s="71">
        <f>'FS-AD Daily '!I18</f>
        <v>2378</v>
      </c>
      <c r="M14" s="71">
        <f>'FS-AD Daily '!J18</f>
        <v>7092</v>
      </c>
      <c r="N14" s="71">
        <f>'FS-AD Daily '!T18</f>
        <v>141.72000000000116</v>
      </c>
      <c r="O14" s="71">
        <f>'FS-AD Daily '!R18</f>
        <v>62.787000000006628</v>
      </c>
      <c r="P14" s="71">
        <f>'FS-AD Daily '!Z18</f>
        <v>454</v>
      </c>
      <c r="Q14" s="71">
        <f>'FS-AD Daily '!V18</f>
        <v>162.20000000001164</v>
      </c>
      <c r="R14" s="71">
        <f>'FS-AD Daily '!W18</f>
        <v>0</v>
      </c>
      <c r="S14" s="71">
        <f t="shared" si="0"/>
        <v>291.79999999998836</v>
      </c>
      <c r="T14" s="71">
        <f>'FS-AD Daily '!AD18*3.516</f>
        <v>119568.61199999999</v>
      </c>
      <c r="U14" s="71">
        <f>('FS-AD Daily '!AF18)*1000</f>
        <v>61300.00000000291</v>
      </c>
      <c r="V14" s="71">
        <f>('FS-AD Daily '!AG18)*1000</f>
        <v>26799.999999995634</v>
      </c>
      <c r="W14" s="71">
        <f>'FS-AD Daily '!AH18*1000</f>
        <v>18900.000000001455</v>
      </c>
      <c r="X14" s="71">
        <f>('FS-AD Daily '!AK18)*1000</f>
        <v>35099.999999998545</v>
      </c>
      <c r="Y14" s="71">
        <f>'FS-AD Daily '!AN18</f>
        <v>88</v>
      </c>
      <c r="Z14" s="113">
        <v>129</v>
      </c>
    </row>
    <row r="15" spans="1:26" x14ac:dyDescent="0.25">
      <c r="A15" s="112" t="s">
        <v>80</v>
      </c>
      <c r="B15" s="69">
        <f t="shared" si="1"/>
        <v>14</v>
      </c>
      <c r="C15" s="70">
        <v>7</v>
      </c>
      <c r="D15" s="69">
        <v>2021</v>
      </c>
      <c r="E15" s="71">
        <f>'FS-AD Daily '!B19</f>
        <v>5402</v>
      </c>
      <c r="F15" s="71">
        <f>'FS-AD Daily '!C19</f>
        <v>4263</v>
      </c>
      <c r="G15" s="71">
        <f>'FS-AD Daily '!D19</f>
        <v>851</v>
      </c>
      <c r="H15" s="71">
        <f>'FS-AD Daily '!E19</f>
        <v>5966</v>
      </c>
      <c r="I15" s="71">
        <f>'FS-AD Daily '!F19</f>
        <v>6100</v>
      </c>
      <c r="J15" s="71">
        <f>'FS-AD Daily '!G19</f>
        <v>3276</v>
      </c>
      <c r="K15" s="71">
        <f>'FS-AD Daily '!H19</f>
        <v>3731</v>
      </c>
      <c r="L15" s="71">
        <f>'FS-AD Daily '!I19</f>
        <v>2434</v>
      </c>
      <c r="M15" s="71">
        <f>'FS-AD Daily '!J19</f>
        <v>7433</v>
      </c>
      <c r="N15" s="71">
        <f>'FS-AD Daily '!T19</f>
        <v>141.59599999998682</v>
      </c>
      <c r="O15" s="71">
        <f>'FS-AD Daily '!R19</f>
        <v>74.356999999996333</v>
      </c>
      <c r="P15" s="71">
        <f>'FS-AD Daily '!Z19</f>
        <v>492</v>
      </c>
      <c r="Q15" s="71">
        <f>'FS-AD Daily '!V19</f>
        <v>166.5</v>
      </c>
      <c r="R15" s="71">
        <f>'FS-AD Daily '!W19</f>
        <v>0</v>
      </c>
      <c r="S15" s="71">
        <f t="shared" si="0"/>
        <v>325.5</v>
      </c>
      <c r="T15" s="71">
        <f>'FS-AD Daily '!AD19*3.516</f>
        <v>114322.74</v>
      </c>
      <c r="U15" s="71">
        <f>('FS-AD Daily '!AF19)*1000</f>
        <v>59000</v>
      </c>
      <c r="V15" s="71">
        <f>('FS-AD Daily '!AG19)*1000</f>
        <v>22900.000000001455</v>
      </c>
      <c r="W15" s="71">
        <f>'FS-AD Daily '!AH19*1000</f>
        <v>18700.000000000728</v>
      </c>
      <c r="X15" s="71">
        <f>('FS-AD Daily '!AK19)*1000</f>
        <v>34099.999999998545</v>
      </c>
      <c r="Y15" s="71">
        <f>'FS-AD Daily '!AN19</f>
        <v>69</v>
      </c>
      <c r="Z15" s="113">
        <v>106</v>
      </c>
    </row>
    <row r="16" spans="1:26" x14ac:dyDescent="0.25">
      <c r="A16" s="112" t="s">
        <v>80</v>
      </c>
      <c r="B16" s="69">
        <f t="shared" si="1"/>
        <v>15</v>
      </c>
      <c r="C16" s="70">
        <v>7</v>
      </c>
      <c r="D16" s="69">
        <v>2021</v>
      </c>
      <c r="E16" s="71">
        <f>'FS-AD Daily '!B20</f>
        <v>4924</v>
      </c>
      <c r="F16" s="71">
        <f>'FS-AD Daily '!C20</f>
        <v>3926</v>
      </c>
      <c r="G16" s="71">
        <f>'FS-AD Daily '!D20</f>
        <v>827</v>
      </c>
      <c r="H16" s="71">
        <f>'FS-AD Daily '!E20</f>
        <v>5817</v>
      </c>
      <c r="I16" s="71">
        <f>'FS-AD Daily '!F20</f>
        <v>6148</v>
      </c>
      <c r="J16" s="71">
        <f>'FS-AD Daily '!G20</f>
        <v>3182</v>
      </c>
      <c r="K16" s="71">
        <f>'FS-AD Daily '!H20</f>
        <v>3704</v>
      </c>
      <c r="L16" s="71">
        <f>'FS-AD Daily '!I20</f>
        <v>2420</v>
      </c>
      <c r="M16" s="71">
        <f>'FS-AD Daily '!J20</f>
        <v>7314</v>
      </c>
      <c r="N16" s="71">
        <f>'FS-AD Daily '!T20</f>
        <v>142.75600000000486</v>
      </c>
      <c r="O16" s="71">
        <f>'FS-AD Daily '!R20</f>
        <v>77.9399999999996</v>
      </c>
      <c r="P16" s="71">
        <f>'FS-AD Daily '!Z20</f>
        <v>443</v>
      </c>
      <c r="Q16" s="71">
        <f>'FS-AD Daily '!V20</f>
        <v>183.5</v>
      </c>
      <c r="R16" s="71">
        <f>'FS-AD Daily '!W20</f>
        <v>0</v>
      </c>
      <c r="S16" s="71">
        <f t="shared" si="0"/>
        <v>259.5</v>
      </c>
      <c r="T16" s="71">
        <f>'FS-AD Daily '!AD20*3.516</f>
        <v>111678.708</v>
      </c>
      <c r="U16" s="71">
        <f>('FS-AD Daily '!AF20)*1000</f>
        <v>57199.99999999709</v>
      </c>
      <c r="V16" s="71">
        <f>('FS-AD Daily '!AG20)*1000</f>
        <v>25199.99999999709</v>
      </c>
      <c r="W16" s="71">
        <f>'FS-AD Daily '!AH20*1000</f>
        <v>19399.999999997817</v>
      </c>
      <c r="X16" s="71">
        <f>('FS-AD Daily '!AK20)*1000</f>
        <v>34500</v>
      </c>
      <c r="Y16" s="71">
        <f>'FS-AD Daily '!AN20</f>
        <v>75</v>
      </c>
      <c r="Z16" s="113">
        <v>124</v>
      </c>
    </row>
    <row r="17" spans="1:26" x14ac:dyDescent="0.25">
      <c r="A17" s="112" t="s">
        <v>80</v>
      </c>
      <c r="B17" s="69">
        <f t="shared" si="1"/>
        <v>16</v>
      </c>
      <c r="C17" s="70">
        <v>7</v>
      </c>
      <c r="D17" s="69">
        <v>2021</v>
      </c>
      <c r="E17" s="71">
        <f>'FS-AD Daily '!B21</f>
        <v>4838</v>
      </c>
      <c r="F17" s="71">
        <f>'FS-AD Daily '!C21</f>
        <v>3977</v>
      </c>
      <c r="G17" s="71">
        <f>'FS-AD Daily '!D21</f>
        <v>821</v>
      </c>
      <c r="H17" s="71">
        <f>'FS-AD Daily '!E21</f>
        <v>5960</v>
      </c>
      <c r="I17" s="71">
        <f>'FS-AD Daily '!F21</f>
        <v>6463</v>
      </c>
      <c r="J17" s="71">
        <f>'FS-AD Daily '!G21</f>
        <v>3184</v>
      </c>
      <c r="K17" s="71">
        <f>'FS-AD Daily '!H21</f>
        <v>3734</v>
      </c>
      <c r="L17" s="71">
        <f>'FS-AD Daily '!I21</f>
        <v>2378</v>
      </c>
      <c r="M17" s="71">
        <f>'FS-AD Daily '!J21</f>
        <v>7393</v>
      </c>
      <c r="N17" s="71">
        <f>'FS-AD Daily '!T21</f>
        <v>124.30200000000332</v>
      </c>
      <c r="O17" s="71">
        <f>'FS-AD Daily '!R21</f>
        <v>66.826999999995678</v>
      </c>
      <c r="P17" s="71">
        <f>'FS-AD Daily '!Z21</f>
        <v>490</v>
      </c>
      <c r="Q17" s="71">
        <f>'FS-AD Daily '!V21</f>
        <v>153.59999999997672</v>
      </c>
      <c r="R17" s="71">
        <f>'FS-AD Daily '!W21</f>
        <v>0</v>
      </c>
      <c r="S17" s="71">
        <f t="shared" si="0"/>
        <v>336.40000000002328</v>
      </c>
      <c r="T17" s="71">
        <f>'FS-AD Daily '!AD21*3.516</f>
        <v>102530.076</v>
      </c>
      <c r="U17" s="71">
        <f>('FS-AD Daily '!AF21)*1000</f>
        <v>53100.000000005821</v>
      </c>
      <c r="V17" s="71">
        <f>('FS-AD Daily '!AG21)*1000</f>
        <v>21900.000000001455</v>
      </c>
      <c r="W17" s="71">
        <f>'FS-AD Daily '!AH21*1000</f>
        <v>16900.000000001455</v>
      </c>
      <c r="X17" s="71">
        <f>('FS-AD Daily '!AK21)*1000</f>
        <v>31699.99999999709</v>
      </c>
      <c r="Y17" s="71">
        <f>'FS-AD Daily '!AN21</f>
        <v>77</v>
      </c>
      <c r="Z17" s="113">
        <v>129</v>
      </c>
    </row>
    <row r="18" spans="1:26" x14ac:dyDescent="0.25">
      <c r="A18" s="112" t="s">
        <v>80</v>
      </c>
      <c r="B18" s="69">
        <f t="shared" si="1"/>
        <v>17</v>
      </c>
      <c r="C18" s="70">
        <v>7</v>
      </c>
      <c r="D18" s="69">
        <v>2021</v>
      </c>
      <c r="E18" s="71">
        <f>'FS-AD Daily '!B22</f>
        <v>4711</v>
      </c>
      <c r="F18" s="71">
        <f>'FS-AD Daily '!C22</f>
        <v>3973</v>
      </c>
      <c r="G18" s="71">
        <f>'FS-AD Daily '!D22</f>
        <v>821</v>
      </c>
      <c r="H18" s="71">
        <f>'FS-AD Daily '!E22</f>
        <v>5962</v>
      </c>
      <c r="I18" s="71">
        <f>'FS-AD Daily '!F22</f>
        <v>6052</v>
      </c>
      <c r="J18" s="71">
        <f>'FS-AD Daily '!G22</f>
        <v>3131</v>
      </c>
      <c r="K18" s="71">
        <f>'FS-AD Daily '!H22</f>
        <v>3638</v>
      </c>
      <c r="L18" s="71">
        <f>'FS-AD Daily '!I22</f>
        <v>2323</v>
      </c>
      <c r="M18" s="71">
        <f>'FS-AD Daily '!J22</f>
        <v>7231</v>
      </c>
      <c r="N18" s="71">
        <f>'FS-AD Daily '!T22</f>
        <v>145.72499999999854</v>
      </c>
      <c r="O18" s="71">
        <f>'FS-AD Daily '!R22</f>
        <v>69.851000000012391</v>
      </c>
      <c r="P18" s="71">
        <f>'FS-AD Daily '!Z22</f>
        <v>450</v>
      </c>
      <c r="Q18" s="71">
        <f>'FS-AD Daily '!V22</f>
        <v>167.90000000002328</v>
      </c>
      <c r="R18" s="71">
        <f>'FS-AD Daily '!W22</f>
        <v>0</v>
      </c>
      <c r="S18" s="71">
        <f t="shared" si="0"/>
        <v>282.09999999997672</v>
      </c>
      <c r="T18" s="71">
        <f>'FS-AD Daily '!AD22*3.516</f>
        <v>105058.08</v>
      </c>
      <c r="U18" s="71">
        <f>('FS-AD Daily '!AF22)*1000</f>
        <v>53099.999999991269</v>
      </c>
      <c r="V18" s="71">
        <f>('FS-AD Daily '!AG22)*1000</f>
        <v>23300.00000000291</v>
      </c>
      <c r="W18" s="71">
        <f>'FS-AD Daily '!AH22*1000</f>
        <v>17299.999999999272</v>
      </c>
      <c r="X18" s="71">
        <f>('FS-AD Daily '!AK22)*1000</f>
        <v>33600.000000005821</v>
      </c>
      <c r="Y18" s="71">
        <f>'FS-AD Daily '!AN22</f>
        <v>52</v>
      </c>
      <c r="Z18" s="113">
        <v>85</v>
      </c>
    </row>
    <row r="19" spans="1:26" x14ac:dyDescent="0.25">
      <c r="A19" s="112" t="s">
        <v>80</v>
      </c>
      <c r="B19" s="69">
        <f t="shared" si="1"/>
        <v>18</v>
      </c>
      <c r="C19" s="70">
        <v>7</v>
      </c>
      <c r="D19" s="69">
        <v>2021</v>
      </c>
      <c r="E19" s="71">
        <f>'FS-AD Daily '!B23</f>
        <v>4553</v>
      </c>
      <c r="F19" s="71">
        <f>'FS-AD Daily '!C23</f>
        <v>3876</v>
      </c>
      <c r="G19" s="71">
        <f>'FS-AD Daily '!D23</f>
        <v>782</v>
      </c>
      <c r="H19" s="71">
        <f>'FS-AD Daily '!E23</f>
        <v>5600</v>
      </c>
      <c r="I19" s="71">
        <f>'FS-AD Daily '!F23</f>
        <v>5704</v>
      </c>
      <c r="J19" s="71">
        <f>'FS-AD Daily '!G23</f>
        <v>2901</v>
      </c>
      <c r="K19" s="71">
        <f>'FS-AD Daily '!H23</f>
        <v>3447</v>
      </c>
      <c r="L19" s="71">
        <f>'FS-AD Daily '!I23</f>
        <v>2185</v>
      </c>
      <c r="M19" s="71">
        <f>'FS-AD Daily '!J23</f>
        <v>6674</v>
      </c>
      <c r="N19" s="71">
        <f>'FS-AD Daily '!T23</f>
        <v>114.57099999999991</v>
      </c>
      <c r="O19" s="71">
        <f>'FS-AD Daily '!R23</f>
        <v>66.814999999989595</v>
      </c>
      <c r="P19" s="71">
        <f>'FS-AD Daily '!Z23</f>
        <v>418</v>
      </c>
      <c r="Q19" s="71">
        <f>'FS-AD Daily '!V23</f>
        <v>154.20000000001164</v>
      </c>
      <c r="R19" s="71">
        <f>'FS-AD Daily '!W23</f>
        <v>0</v>
      </c>
      <c r="S19" s="71">
        <f t="shared" si="0"/>
        <v>263.79999999998836</v>
      </c>
      <c r="T19" s="71">
        <f>'FS-AD Daily '!AD23*3.516</f>
        <v>99478.187999999995</v>
      </c>
      <c r="U19" s="71">
        <f>('FS-AD Daily '!AF23)*1000</f>
        <v>50200.000000011642</v>
      </c>
      <c r="V19" s="71">
        <f>('FS-AD Daily '!AG23)*1000</f>
        <v>22699.99999999709</v>
      </c>
      <c r="W19" s="71">
        <f>'FS-AD Daily '!AH23*1000</f>
        <v>16600.000000002183</v>
      </c>
      <c r="X19" s="71">
        <f>('FS-AD Daily '!AK23)*1000</f>
        <v>32199.99999999709</v>
      </c>
      <c r="Y19" s="71">
        <f>'FS-AD Daily '!AN23</f>
        <v>35</v>
      </c>
      <c r="Z19" s="113">
        <v>66</v>
      </c>
    </row>
    <row r="20" spans="1:26" x14ac:dyDescent="0.25">
      <c r="A20" s="112" t="s">
        <v>80</v>
      </c>
      <c r="B20" s="69">
        <f t="shared" si="1"/>
        <v>19</v>
      </c>
      <c r="C20" s="70">
        <v>7</v>
      </c>
      <c r="D20" s="69">
        <v>2021</v>
      </c>
      <c r="E20" s="71">
        <f>'FS-AD Daily '!B24</f>
        <v>4686</v>
      </c>
      <c r="F20" s="71">
        <f>'FS-AD Daily '!C24</f>
        <v>3927</v>
      </c>
      <c r="G20" s="71">
        <f>'FS-AD Daily '!D24</f>
        <v>746</v>
      </c>
      <c r="H20" s="71">
        <f>'FS-AD Daily '!E24</f>
        <v>5676</v>
      </c>
      <c r="I20" s="71">
        <f>'FS-AD Daily '!F24</f>
        <v>5672</v>
      </c>
      <c r="J20" s="71">
        <f>'FS-AD Daily '!G24</f>
        <v>3015</v>
      </c>
      <c r="K20" s="71">
        <f>'FS-AD Daily '!H24</f>
        <v>5606</v>
      </c>
      <c r="L20" s="71">
        <f>'FS-AD Daily '!I24</f>
        <v>2187</v>
      </c>
      <c r="M20" s="71">
        <f>'FS-AD Daily '!J24</f>
        <v>6610</v>
      </c>
      <c r="N20" s="71">
        <f>'FS-AD Daily '!T24</f>
        <v>118.95399999999427</v>
      </c>
      <c r="O20" s="71">
        <f>'FS-AD Daily '!R24</f>
        <v>61.258999999998196</v>
      </c>
      <c r="P20" s="71">
        <f>'FS-AD Daily '!Z24</f>
        <v>406</v>
      </c>
      <c r="Q20" s="71">
        <f>'FS-AD Daily '!V24</f>
        <v>151</v>
      </c>
      <c r="R20" s="71">
        <f>'FS-AD Daily '!W24</f>
        <v>0</v>
      </c>
      <c r="S20" s="71">
        <f t="shared" si="0"/>
        <v>255</v>
      </c>
      <c r="T20" s="71">
        <f>'FS-AD Daily '!AD24*3.516</f>
        <v>106482.06</v>
      </c>
      <c r="U20" s="71">
        <f>('FS-AD Daily '!AF24)*1000</f>
        <v>53000</v>
      </c>
      <c r="V20" s="71">
        <f>('FS-AD Daily '!AG24)*1000</f>
        <v>30500</v>
      </c>
      <c r="W20" s="71">
        <f>'FS-AD Daily '!AH24*1000</f>
        <v>15899.999999997817</v>
      </c>
      <c r="X20" s="71">
        <f>('FS-AD Daily '!AK24)*1000</f>
        <v>31900.000000001455</v>
      </c>
      <c r="Y20" s="71">
        <f>'FS-AD Daily '!AN24</f>
        <v>24</v>
      </c>
      <c r="Z20" s="113">
        <v>43</v>
      </c>
    </row>
    <row r="21" spans="1:26" x14ac:dyDescent="0.25">
      <c r="A21" s="112" t="s">
        <v>80</v>
      </c>
      <c r="B21" s="69">
        <f t="shared" si="1"/>
        <v>20</v>
      </c>
      <c r="C21" s="70">
        <v>7</v>
      </c>
      <c r="D21" s="69">
        <v>2021</v>
      </c>
      <c r="E21" s="71">
        <f>'FS-AD Daily '!B25</f>
        <v>4731</v>
      </c>
      <c r="F21" s="71">
        <f>'FS-AD Daily '!C25</f>
        <v>3954</v>
      </c>
      <c r="G21" s="71">
        <f>'FS-AD Daily '!D25</f>
        <v>728</v>
      </c>
      <c r="H21" s="71">
        <f>'FS-AD Daily '!E25</f>
        <v>5683</v>
      </c>
      <c r="I21" s="71">
        <f>'FS-AD Daily '!F25</f>
        <v>5675</v>
      </c>
      <c r="J21" s="71">
        <f>'FS-AD Daily '!G25</f>
        <v>3099</v>
      </c>
      <c r="K21" s="71">
        <f>'FS-AD Daily '!H25</f>
        <v>8054</v>
      </c>
      <c r="L21" s="71">
        <f>'FS-AD Daily '!I25</f>
        <v>2184</v>
      </c>
      <c r="M21" s="71">
        <f>'FS-AD Daily '!J25</f>
        <v>6776</v>
      </c>
      <c r="N21" s="71">
        <f>'FS-AD Daily '!T25</f>
        <v>111.95300000000134</v>
      </c>
      <c r="O21" s="71">
        <f>'FS-AD Daily '!R25</f>
        <v>67.412000000001171</v>
      </c>
      <c r="P21" s="71">
        <f>'FS-AD Daily '!Z25</f>
        <v>407</v>
      </c>
      <c r="Q21" s="71">
        <f>'FS-AD Daily '!V25</f>
        <v>153.89999999996508</v>
      </c>
      <c r="R21" s="71">
        <f>'FS-AD Daily '!W25</f>
        <v>0</v>
      </c>
      <c r="S21" s="71">
        <f t="shared" si="0"/>
        <v>253.10000000003492</v>
      </c>
      <c r="T21" s="71">
        <f>'FS-AD Daily '!AD25*3.516</f>
        <v>120345.648</v>
      </c>
      <c r="U21" s="71">
        <f>('FS-AD Daily '!AF25)*1000</f>
        <v>57899.999999994179</v>
      </c>
      <c r="V21" s="71">
        <f>('FS-AD Daily '!AG25)*1000</f>
        <v>41200.000000004366</v>
      </c>
      <c r="W21" s="71">
        <f>'FS-AD Daily '!AH25*1000</f>
        <v>15600.000000002183</v>
      </c>
      <c r="X21" s="71">
        <f>('FS-AD Daily '!AK25)*1000</f>
        <v>33900.000000001455</v>
      </c>
      <c r="Y21" s="71">
        <f>'FS-AD Daily '!AN25</f>
        <v>57</v>
      </c>
      <c r="Z21" s="113">
        <v>114</v>
      </c>
    </row>
    <row r="22" spans="1:26" x14ac:dyDescent="0.25">
      <c r="A22" s="112" t="s">
        <v>80</v>
      </c>
      <c r="B22" s="69">
        <f t="shared" si="1"/>
        <v>21</v>
      </c>
      <c r="C22" s="70">
        <v>7</v>
      </c>
      <c r="D22" s="69">
        <v>2021</v>
      </c>
      <c r="E22" s="71">
        <f>'FS-AD Daily '!B26</f>
        <v>4948</v>
      </c>
      <c r="F22" s="71">
        <f>'FS-AD Daily '!C26</f>
        <v>3843</v>
      </c>
      <c r="G22" s="71">
        <f>'FS-AD Daily '!D26</f>
        <v>874</v>
      </c>
      <c r="H22" s="71">
        <f>'FS-AD Daily '!E26</f>
        <v>6105</v>
      </c>
      <c r="I22" s="71">
        <f>'FS-AD Daily '!F26</f>
        <v>5962</v>
      </c>
      <c r="J22" s="71">
        <f>'FS-AD Daily '!G26</f>
        <v>3328</v>
      </c>
      <c r="K22" s="71">
        <f>'FS-AD Daily '!H26</f>
        <v>8568</v>
      </c>
      <c r="L22" s="71">
        <f>'FS-AD Daily '!I26</f>
        <v>2224</v>
      </c>
      <c r="M22" s="71">
        <f>'FS-AD Daily '!J26</f>
        <v>7010</v>
      </c>
      <c r="N22" s="71">
        <f>'FS-AD Daily '!T26</f>
        <v>149.70900000000256</v>
      </c>
      <c r="O22" s="71">
        <f>'FS-AD Daily '!R26</f>
        <v>73.886000000008607</v>
      </c>
      <c r="P22" s="71">
        <f>'FS-AD Daily '!Z26</f>
        <v>428</v>
      </c>
      <c r="Q22" s="71">
        <f>'FS-AD Daily '!V26</f>
        <v>178.10000000003492</v>
      </c>
      <c r="R22" s="71">
        <f>'FS-AD Daily '!W26</f>
        <v>0</v>
      </c>
      <c r="S22" s="71">
        <f t="shared" si="0"/>
        <v>249.89999999996508</v>
      </c>
      <c r="T22" s="71">
        <f>'FS-AD Daily '!AD26*3.516</f>
        <v>118675.548</v>
      </c>
      <c r="U22" s="71">
        <f>('FS-AD Daily '!AF26)*1000</f>
        <v>56800.00000000291</v>
      </c>
      <c r="V22" s="71">
        <f>('FS-AD Daily '!AG26)*1000</f>
        <v>42199.99999999709</v>
      </c>
      <c r="W22" s="71">
        <f>'FS-AD Daily '!AH26*1000</f>
        <v>16099.999999998545</v>
      </c>
      <c r="X22" s="71">
        <f>('FS-AD Daily '!AK26)*1000</f>
        <v>34399.999999994179</v>
      </c>
      <c r="Y22" s="71">
        <f>'FS-AD Daily '!AN26</f>
        <v>108</v>
      </c>
      <c r="Z22" s="113">
        <v>210</v>
      </c>
    </row>
    <row r="23" spans="1:26" x14ac:dyDescent="0.25">
      <c r="A23" s="112" t="s">
        <v>80</v>
      </c>
      <c r="B23" s="69">
        <f t="shared" si="1"/>
        <v>22</v>
      </c>
      <c r="C23" s="70">
        <v>7</v>
      </c>
      <c r="D23" s="69">
        <v>2021</v>
      </c>
      <c r="E23" s="71">
        <f>'FS-AD Daily '!B27</f>
        <v>4754</v>
      </c>
      <c r="F23" s="71">
        <f>'FS-AD Daily '!C27</f>
        <v>3586</v>
      </c>
      <c r="G23" s="71">
        <f>'FS-AD Daily '!D27</f>
        <v>667</v>
      </c>
      <c r="H23" s="71">
        <f>'FS-AD Daily '!E27</f>
        <v>5694</v>
      </c>
      <c r="I23" s="71">
        <f>'FS-AD Daily '!F27</f>
        <v>5700</v>
      </c>
      <c r="J23" s="71">
        <f>'FS-AD Daily '!G27</f>
        <v>3304</v>
      </c>
      <c r="K23" s="71">
        <f>'FS-AD Daily '!H27</f>
        <v>8201</v>
      </c>
      <c r="L23" s="71">
        <f>'FS-AD Daily '!I27</f>
        <v>2171</v>
      </c>
      <c r="M23" s="71">
        <f>'FS-AD Daily '!J27</f>
        <v>6756</v>
      </c>
      <c r="N23" s="71">
        <f>'FS-AD Daily '!T27</f>
        <v>130.34999999999854</v>
      </c>
      <c r="O23" s="71">
        <f>'FS-AD Daily '!R27</f>
        <v>71.10299999999279</v>
      </c>
      <c r="P23" s="71">
        <f>'FS-AD Daily '!Z27</f>
        <v>441</v>
      </c>
      <c r="Q23" s="71">
        <f>'FS-AD Daily '!V27</f>
        <v>172.20000000001164</v>
      </c>
      <c r="R23" s="71">
        <f>'FS-AD Daily '!W27</f>
        <v>0</v>
      </c>
      <c r="S23" s="71">
        <f t="shared" si="0"/>
        <v>268.79999999998836</v>
      </c>
      <c r="T23" s="71">
        <f>'FS-AD Daily '!AD27*3.516</f>
        <v>104277.52800000001</v>
      </c>
      <c r="U23" s="71">
        <f>('FS-AD Daily '!AF27)*1000</f>
        <v>48500</v>
      </c>
      <c r="V23" s="71">
        <f>('FS-AD Daily '!AG27)*1000</f>
        <v>38900.000000001455</v>
      </c>
      <c r="W23" s="71">
        <f>'FS-AD Daily '!AH27*1000</f>
        <v>15299.999999999272</v>
      </c>
      <c r="X23" s="71">
        <f>('FS-AD Daily '!AK27)*1000</f>
        <v>31000</v>
      </c>
      <c r="Y23" s="71">
        <f>'FS-AD Daily '!AN27</f>
        <v>113</v>
      </c>
      <c r="Z23" s="113">
        <v>229</v>
      </c>
    </row>
    <row r="24" spans="1:26" x14ac:dyDescent="0.25">
      <c r="A24" s="112" t="s">
        <v>80</v>
      </c>
      <c r="B24" s="69">
        <f t="shared" si="1"/>
        <v>23</v>
      </c>
      <c r="C24" s="70">
        <v>7</v>
      </c>
      <c r="D24" s="69">
        <v>2021</v>
      </c>
      <c r="E24" s="71">
        <f>'FS-AD Daily '!B28</f>
        <v>5054</v>
      </c>
      <c r="F24" s="71">
        <f>'FS-AD Daily '!C28</f>
        <v>3679</v>
      </c>
      <c r="G24" s="71">
        <f>'FS-AD Daily '!D28</f>
        <v>794</v>
      </c>
      <c r="H24" s="71">
        <f>'FS-AD Daily '!E28</f>
        <v>5952</v>
      </c>
      <c r="I24" s="71">
        <f>'FS-AD Daily '!F28</f>
        <v>6186</v>
      </c>
      <c r="J24" s="71">
        <f>'FS-AD Daily '!G28</f>
        <v>3439</v>
      </c>
      <c r="K24" s="71">
        <f>'FS-AD Daily '!H28</f>
        <v>8319</v>
      </c>
      <c r="L24" s="71">
        <f>'FS-AD Daily '!I28</f>
        <v>2268</v>
      </c>
      <c r="M24" s="71">
        <f>'FS-AD Daily '!J28</f>
        <v>6989</v>
      </c>
      <c r="N24" s="71">
        <f>'FS-AD Daily '!T28</f>
        <v>152.31500000000233</v>
      </c>
      <c r="O24" s="71">
        <f>'FS-AD Daily '!R28</f>
        <v>77.685000000010405</v>
      </c>
      <c r="P24" s="71">
        <f>'FS-AD Daily '!Z28</f>
        <v>493</v>
      </c>
      <c r="Q24" s="71">
        <f>'FS-AD Daily '!V28</f>
        <v>191.89999999996508</v>
      </c>
      <c r="R24" s="71">
        <f>'FS-AD Daily '!W28</f>
        <v>0</v>
      </c>
      <c r="S24" s="71">
        <f t="shared" si="0"/>
        <v>301.10000000003492</v>
      </c>
      <c r="T24" s="71">
        <f>'FS-AD Daily '!AD28*3.516</f>
        <v>111569.712</v>
      </c>
      <c r="U24" s="71">
        <f>('FS-AD Daily '!AF28)*1000</f>
        <v>52199.99999999709</v>
      </c>
      <c r="V24" s="71">
        <f>('FS-AD Daily '!AG28)*1000</f>
        <v>39000</v>
      </c>
      <c r="W24" s="71">
        <f>'FS-AD Daily '!AH28*1000</f>
        <v>17000</v>
      </c>
      <c r="X24" s="71">
        <f>('FS-AD Daily '!AK28)*1000</f>
        <v>33000</v>
      </c>
      <c r="Y24" s="71">
        <f>'FS-AD Daily '!AN28</f>
        <v>64</v>
      </c>
      <c r="Z24" s="113">
        <v>130</v>
      </c>
    </row>
    <row r="25" spans="1:26" x14ac:dyDescent="0.25">
      <c r="A25" s="112" t="s">
        <v>80</v>
      </c>
      <c r="B25" s="69">
        <f t="shared" si="1"/>
        <v>24</v>
      </c>
      <c r="C25" s="70">
        <v>7</v>
      </c>
      <c r="D25" s="69">
        <v>2021</v>
      </c>
      <c r="E25" s="71">
        <f>'FS-AD Daily '!B29</f>
        <v>4731</v>
      </c>
      <c r="F25" s="71">
        <f>'FS-AD Daily '!C29</f>
        <v>3603</v>
      </c>
      <c r="G25" s="71">
        <f>'FS-AD Daily '!D29</f>
        <v>755</v>
      </c>
      <c r="H25" s="71">
        <f>'FS-AD Daily '!E29</f>
        <v>5829</v>
      </c>
      <c r="I25" s="71">
        <f>'FS-AD Daily '!F29</f>
        <v>5757</v>
      </c>
      <c r="J25" s="71">
        <f>'FS-AD Daily '!G29</f>
        <v>3076</v>
      </c>
      <c r="K25" s="71">
        <f>'FS-AD Daily '!H29</f>
        <v>7421</v>
      </c>
      <c r="L25" s="71">
        <f>'FS-AD Daily '!I29</f>
        <v>2228</v>
      </c>
      <c r="M25" s="71">
        <f>'FS-AD Daily '!J29</f>
        <v>6675</v>
      </c>
      <c r="N25" s="71">
        <f>'FS-AD Daily '!T29</f>
        <v>156.10200000000623</v>
      </c>
      <c r="O25" s="71">
        <f>'FS-AD Daily '!R29</f>
        <v>77.323999999993248</v>
      </c>
      <c r="P25" s="71">
        <f>'FS-AD Daily '!Z29</f>
        <v>438</v>
      </c>
      <c r="Q25" s="71">
        <f>'FS-AD Daily '!V29</f>
        <v>157.10000000003492</v>
      </c>
      <c r="R25" s="71">
        <f>'FS-AD Daily '!W29</f>
        <v>0</v>
      </c>
      <c r="S25" s="71">
        <f t="shared" si="0"/>
        <v>280.89999999996508</v>
      </c>
      <c r="T25" s="71">
        <f>'FS-AD Daily '!AD29*3.516</f>
        <v>107976.36</v>
      </c>
      <c r="U25" s="71">
        <f>('FS-AD Daily '!AF29)*1000</f>
        <v>51399.999999994179</v>
      </c>
      <c r="V25" s="71">
        <f>('FS-AD Daily '!AG29)*1000</f>
        <v>33500</v>
      </c>
      <c r="W25" s="71">
        <f>'FS-AD Daily '!AH29*1000</f>
        <v>17100.000000002183</v>
      </c>
      <c r="X25" s="71">
        <f>('FS-AD Daily '!AK29)*1000</f>
        <v>31700.000000004366</v>
      </c>
      <c r="Y25" s="71">
        <f>'FS-AD Daily '!AN29</f>
        <v>33</v>
      </c>
      <c r="Z25" s="113">
        <v>53</v>
      </c>
    </row>
    <row r="26" spans="1:26" x14ac:dyDescent="0.25">
      <c r="A26" s="112" t="s">
        <v>80</v>
      </c>
      <c r="B26" s="69">
        <f>B25+1</f>
        <v>25</v>
      </c>
      <c r="C26" s="70">
        <v>7</v>
      </c>
      <c r="D26" s="69">
        <v>2021</v>
      </c>
      <c r="E26" s="71">
        <f>'FS-AD Daily '!B30</f>
        <v>4881</v>
      </c>
      <c r="F26" s="71">
        <f>'FS-AD Daily '!C30</f>
        <v>3931</v>
      </c>
      <c r="G26" s="71">
        <f>'FS-AD Daily '!D30</f>
        <v>738</v>
      </c>
      <c r="H26" s="71">
        <f>'FS-AD Daily '!E30</f>
        <v>6008</v>
      </c>
      <c r="I26" s="71">
        <f>'FS-AD Daily '!F30</f>
        <v>5805</v>
      </c>
      <c r="J26" s="71">
        <f>'FS-AD Daily '!G30</f>
        <v>3096</v>
      </c>
      <c r="K26" s="71">
        <f>'FS-AD Daily '!H30</f>
        <v>7964</v>
      </c>
      <c r="L26" s="71">
        <f>'FS-AD Daily '!I30</f>
        <v>2304</v>
      </c>
      <c r="M26" s="71">
        <f>'FS-AD Daily '!J30</f>
        <v>6726</v>
      </c>
      <c r="N26" s="71">
        <f>'FS-AD Daily '!T30</f>
        <v>157.63199999998687</v>
      </c>
      <c r="O26" s="71">
        <f>'FS-AD Daily '!R30</f>
        <v>69.28999999998905</v>
      </c>
      <c r="P26" s="71">
        <f>'FS-AD Daily '!Z30</f>
        <v>408</v>
      </c>
      <c r="Q26" s="71">
        <f>'FS-AD Daily '!V30</f>
        <v>169.5</v>
      </c>
      <c r="R26" s="71">
        <f>'FS-AD Daily '!W30</f>
        <v>0</v>
      </c>
      <c r="S26" s="71">
        <f t="shared" si="0"/>
        <v>238.5</v>
      </c>
      <c r="T26" s="71">
        <f>'FS-AD Daily '!AD30*3.516</f>
        <v>117633.054</v>
      </c>
      <c r="U26" s="71">
        <f>('FS-AD Daily '!AF30)*1000</f>
        <v>56200.000000011642</v>
      </c>
      <c r="V26" s="71">
        <f>('FS-AD Daily '!AG30)*1000</f>
        <v>38199.99999999709</v>
      </c>
      <c r="W26" s="71">
        <f>'FS-AD Daily '!AH30*1000</f>
        <v>17699.99999999709</v>
      </c>
      <c r="X26" s="71">
        <f>('FS-AD Daily '!AK30)*1000</f>
        <v>32599.999999998545</v>
      </c>
      <c r="Y26" s="71">
        <f>'FS-AD Daily '!AN30</f>
        <v>48</v>
      </c>
      <c r="Z26" s="113">
        <v>94</v>
      </c>
    </row>
    <row r="27" spans="1:26" x14ac:dyDescent="0.25">
      <c r="A27" s="112" t="s">
        <v>80</v>
      </c>
      <c r="B27" s="69">
        <f t="shared" si="1"/>
        <v>26</v>
      </c>
      <c r="C27" s="70">
        <v>7</v>
      </c>
      <c r="D27" s="69">
        <v>2021</v>
      </c>
      <c r="E27" s="71">
        <f>'FS-AD Daily '!B31</f>
        <v>4828</v>
      </c>
      <c r="F27" s="71">
        <f>'FS-AD Daily '!C31</f>
        <v>4269</v>
      </c>
      <c r="G27" s="71">
        <f>'FS-AD Daily '!D31</f>
        <v>755</v>
      </c>
      <c r="H27" s="71">
        <f>'FS-AD Daily '!E31</f>
        <v>6199</v>
      </c>
      <c r="I27" s="71">
        <f>'FS-AD Daily '!F31</f>
        <v>5997</v>
      </c>
      <c r="J27" s="71">
        <f>'FS-AD Daily '!G31</f>
        <v>3318</v>
      </c>
      <c r="K27" s="71">
        <f>'FS-AD Daily '!H31</f>
        <v>8580</v>
      </c>
      <c r="L27" s="71">
        <f>'FS-AD Daily '!I31</f>
        <v>2377</v>
      </c>
      <c r="M27" s="71">
        <f>'FS-AD Daily '!J31</f>
        <v>6933</v>
      </c>
      <c r="N27" s="71">
        <f>'FS-AD Daily '!T31</f>
        <v>109.59100000000399</v>
      </c>
      <c r="O27" s="71">
        <f>'FS-AD Daily '!R31</f>
        <v>71.168000000002394</v>
      </c>
      <c r="P27" s="71">
        <f>'FS-AD Daily '!Z31</f>
        <v>432</v>
      </c>
      <c r="Q27" s="71">
        <f>'FS-AD Daily '!V31</f>
        <v>167</v>
      </c>
      <c r="R27" s="71">
        <f>'FS-AD Daily '!W31</f>
        <v>0</v>
      </c>
      <c r="S27" s="71">
        <f t="shared" si="0"/>
        <v>265</v>
      </c>
      <c r="T27" s="71">
        <f>'FS-AD Daily '!AD31*3.516</f>
        <v>122163.42</v>
      </c>
      <c r="U27" s="71">
        <f>('FS-AD Daily '!AF31)*1000</f>
        <v>58399.999999994179</v>
      </c>
      <c r="V27" s="71">
        <f>('FS-AD Daily '!AG31)*1000</f>
        <v>42900.000000001455</v>
      </c>
      <c r="W27" s="71">
        <f>'FS-AD Daily '!AH31*1000</f>
        <v>17600.000000002183</v>
      </c>
      <c r="X27" s="71">
        <f>('FS-AD Daily '!AK31)*1000</f>
        <v>34000</v>
      </c>
      <c r="Y27" s="71">
        <f>'FS-AD Daily '!AN31</f>
        <v>51</v>
      </c>
      <c r="Z27" s="113">
        <v>87</v>
      </c>
    </row>
    <row r="28" spans="1:26" x14ac:dyDescent="0.25">
      <c r="A28" s="112" t="s">
        <v>80</v>
      </c>
      <c r="B28" s="69">
        <f t="shared" si="1"/>
        <v>27</v>
      </c>
      <c r="C28" s="70">
        <v>7</v>
      </c>
      <c r="D28" s="69">
        <v>2021</v>
      </c>
      <c r="E28" s="71">
        <f>'FS-AD Daily '!B32</f>
        <v>4436</v>
      </c>
      <c r="F28" s="71">
        <f>'FS-AD Daily '!C32</f>
        <v>3921</v>
      </c>
      <c r="G28" s="71">
        <f>'FS-AD Daily '!D32</f>
        <v>739</v>
      </c>
      <c r="H28" s="71">
        <f>'FS-AD Daily '!E32</f>
        <v>5385</v>
      </c>
      <c r="I28" s="71">
        <f>'FS-AD Daily '!F32</f>
        <v>5810</v>
      </c>
      <c r="J28" s="71">
        <f>'FS-AD Daily '!G32</f>
        <v>3138</v>
      </c>
      <c r="K28" s="71">
        <f>'FS-AD Daily '!H32</f>
        <v>8135</v>
      </c>
      <c r="L28" s="71">
        <f>'FS-AD Daily '!I32</f>
        <v>2325</v>
      </c>
      <c r="M28" s="71">
        <f>'FS-AD Daily '!J32</f>
        <v>6658</v>
      </c>
      <c r="N28" s="71">
        <f>'FS-AD Daily '!T32</f>
        <v>162.26699999999983</v>
      </c>
      <c r="O28" s="71">
        <f>'FS-AD Daily '!R32</f>
        <v>76.274000000010346</v>
      </c>
      <c r="P28" s="71">
        <f>'FS-AD Daily '!Z32</f>
        <v>410</v>
      </c>
      <c r="Q28" s="71">
        <f>'FS-AD Daily '!V32</f>
        <v>177.19999999995343</v>
      </c>
      <c r="R28" s="71">
        <f>'FS-AD Daily '!W32</f>
        <v>0</v>
      </c>
      <c r="S28" s="71">
        <f t="shared" si="0"/>
        <v>232.80000000004657</v>
      </c>
      <c r="T28" s="71">
        <f>'FS-AD Daily '!AD32*3.516</f>
        <v>114033.0215999987</v>
      </c>
      <c r="U28" s="71">
        <f>('FS-AD Daily '!AF32)*1000</f>
        <v>53800.00000000291</v>
      </c>
      <c r="V28" s="71">
        <f>('FS-AD Daily '!AG32)*1000</f>
        <v>40400.000000001455</v>
      </c>
      <c r="W28" s="71">
        <f>'FS-AD Daily '!AH32*1000</f>
        <v>17399.999999997817</v>
      </c>
      <c r="X28" s="71">
        <f>('FS-AD Daily '!AK32)*1000</f>
        <v>32099.999999998545</v>
      </c>
      <c r="Y28" s="71">
        <f>'FS-AD Daily '!AN32</f>
        <v>58</v>
      </c>
      <c r="Z28" s="113">
        <v>97</v>
      </c>
    </row>
    <row r="29" spans="1:26" x14ac:dyDescent="0.25">
      <c r="A29" s="112" t="s">
        <v>80</v>
      </c>
      <c r="B29" s="69">
        <f t="shared" si="1"/>
        <v>28</v>
      </c>
      <c r="C29" s="70">
        <v>7</v>
      </c>
      <c r="D29" s="69">
        <v>2021</v>
      </c>
      <c r="E29" s="71">
        <f>'FS-AD Daily '!B33</f>
        <v>4510</v>
      </c>
      <c r="F29" s="71">
        <f>'FS-AD Daily '!C33</f>
        <v>4340</v>
      </c>
      <c r="G29" s="71">
        <f>'FS-AD Daily '!D33</f>
        <v>692</v>
      </c>
      <c r="H29" s="71">
        <f>'FS-AD Daily '!E33</f>
        <v>5603</v>
      </c>
      <c r="I29" s="71">
        <f>'FS-AD Daily '!F33</f>
        <v>5990</v>
      </c>
      <c r="J29" s="71">
        <f>'FS-AD Daily '!G33</f>
        <v>3140</v>
      </c>
      <c r="K29" s="71">
        <f>'FS-AD Daily '!H33</f>
        <v>8143</v>
      </c>
      <c r="L29" s="71">
        <f>'FS-AD Daily '!I33</f>
        <v>2340</v>
      </c>
      <c r="M29" s="71">
        <f>'FS-AD Daily '!J33</f>
        <v>6560</v>
      </c>
      <c r="N29" s="71">
        <f>'FS-AD Daily '!T33</f>
        <v>182.21700000000055</v>
      </c>
      <c r="O29" s="71">
        <f>'FS-AD Daily '!R33</f>
        <v>77.984999999997854</v>
      </c>
      <c r="P29" s="71">
        <f>'FS-AD Daily '!Z33</f>
        <v>438</v>
      </c>
      <c r="Q29" s="71">
        <f>'FS-AD Daily '!V33</f>
        <v>168.70000000001164</v>
      </c>
      <c r="R29" s="71">
        <f>'FS-AD Daily '!W33</f>
        <v>0</v>
      </c>
      <c r="S29" s="71">
        <f t="shared" si="0"/>
        <v>269.29999999998836</v>
      </c>
      <c r="T29" s="71">
        <f>'FS-AD Daily '!AD33*3.516</f>
        <v>115052.66160000197</v>
      </c>
      <c r="U29" s="71">
        <f>('FS-AD Daily '!AF33)*1000</f>
        <v>53399.999999994179</v>
      </c>
      <c r="V29" s="71">
        <f>('FS-AD Daily '!AG33)*1000</f>
        <v>39299.999999995634</v>
      </c>
      <c r="W29" s="71">
        <f>'FS-AD Daily '!AH33*1000</f>
        <v>17800.00000000291</v>
      </c>
      <c r="X29" s="71">
        <f>('FS-AD Daily '!AK33)*1000</f>
        <v>32500</v>
      </c>
      <c r="Y29" s="71">
        <f>'FS-AD Daily '!AN33</f>
        <v>45</v>
      </c>
      <c r="Z29" s="113">
        <v>80</v>
      </c>
    </row>
    <row r="30" spans="1:26" x14ac:dyDescent="0.25">
      <c r="A30" s="112" t="s">
        <v>80</v>
      </c>
      <c r="B30" s="69">
        <f t="shared" si="1"/>
        <v>29</v>
      </c>
      <c r="C30" s="70">
        <v>7</v>
      </c>
      <c r="D30" s="69">
        <v>2021</v>
      </c>
      <c r="E30" s="71">
        <f>'FS-AD Daily '!B34</f>
        <v>4785</v>
      </c>
      <c r="F30" s="71">
        <f>'FS-AD Daily '!C34</f>
        <v>4469</v>
      </c>
      <c r="G30" s="71">
        <f>'FS-AD Daily '!D34</f>
        <v>775</v>
      </c>
      <c r="H30" s="71">
        <f>'FS-AD Daily '!E34</f>
        <v>5868</v>
      </c>
      <c r="I30" s="71">
        <f>'FS-AD Daily '!F34</f>
        <v>6253</v>
      </c>
      <c r="J30" s="71">
        <f>'FS-AD Daily '!G34</f>
        <v>3193</v>
      </c>
      <c r="K30" s="71">
        <f>'FS-AD Daily '!H34</f>
        <v>8407</v>
      </c>
      <c r="L30" s="71">
        <f>'FS-AD Daily '!I34</f>
        <v>2414</v>
      </c>
      <c r="M30" s="71">
        <f>'FS-AD Daily '!J34</f>
        <v>7282</v>
      </c>
      <c r="N30" s="71">
        <f>'FS-AD Daily '!T34</f>
        <v>124.35600000000704</v>
      </c>
      <c r="O30" s="71">
        <f>'FS-AD Daily '!R34</f>
        <v>77.220999999998639</v>
      </c>
      <c r="P30" s="71">
        <f>'FS-AD Daily '!Z34</f>
        <v>422</v>
      </c>
      <c r="Q30" s="71">
        <f>'FS-AD Daily '!V34</f>
        <v>171.70000000001164</v>
      </c>
      <c r="R30" s="71">
        <f>'FS-AD Daily '!W34</f>
        <v>0</v>
      </c>
      <c r="S30" s="71">
        <f t="shared" si="0"/>
        <v>250.29999999998836</v>
      </c>
      <c r="T30" s="71">
        <f>'FS-AD Daily '!AD34*3.516</f>
        <v>119591.11439999804</v>
      </c>
      <c r="U30" s="71">
        <f>('FS-AD Daily '!AF34)*1000</f>
        <v>56600.000000005821</v>
      </c>
      <c r="V30" s="71">
        <f>('FS-AD Daily '!AG34)*1000</f>
        <v>39500</v>
      </c>
      <c r="W30" s="71">
        <f>'FS-AD Daily '!AH34*1000</f>
        <v>17299.999999999272</v>
      </c>
      <c r="X30" s="71">
        <f>('FS-AD Daily '!AK34)*1000</f>
        <v>35000</v>
      </c>
      <c r="Y30" s="71">
        <f>'FS-AD Daily '!AN34</f>
        <v>51</v>
      </c>
      <c r="Z30" s="113">
        <v>97</v>
      </c>
    </row>
    <row r="31" spans="1:26" x14ac:dyDescent="0.25">
      <c r="A31" s="138" t="s">
        <v>80</v>
      </c>
      <c r="B31" s="139">
        <f t="shared" si="1"/>
        <v>30</v>
      </c>
      <c r="C31" s="70">
        <v>7</v>
      </c>
      <c r="D31" s="69">
        <v>2021</v>
      </c>
      <c r="E31" s="71">
        <f>'FS-AD Daily '!B35</f>
        <v>4596</v>
      </c>
      <c r="F31" s="71">
        <f>'FS-AD Daily '!C35</f>
        <v>4317</v>
      </c>
      <c r="G31" s="71">
        <f>'FS-AD Daily '!D35</f>
        <v>743</v>
      </c>
      <c r="H31" s="71">
        <f>'FS-AD Daily '!E35</f>
        <v>5590</v>
      </c>
      <c r="I31" s="141">
        <f>'FS-AD Daily '!F35</f>
        <v>6047</v>
      </c>
      <c r="J31" s="141">
        <f>'FS-AD Daily '!G35</f>
        <v>3110</v>
      </c>
      <c r="K31" s="141">
        <f>'FS-AD Daily '!H35</f>
        <v>7804</v>
      </c>
      <c r="L31" s="141">
        <f>'FS-AD Daily '!I35</f>
        <v>2299</v>
      </c>
      <c r="M31" s="141">
        <f>'FS-AD Daily '!J35</f>
        <v>6832</v>
      </c>
      <c r="N31" s="141">
        <f>'FS-AD Daily '!T35</f>
        <v>134.47199999999793</v>
      </c>
      <c r="O31" s="141">
        <f>'FS-AD Daily '!R35</f>
        <v>80.166999999999462</v>
      </c>
      <c r="P31" s="141">
        <f>'FS-AD Daily '!Z35</f>
        <v>459</v>
      </c>
      <c r="Q31" s="141">
        <f>'FS-AD Daily '!V35</f>
        <v>180.29999999998836</v>
      </c>
      <c r="R31" s="141">
        <f>'FS-AD Daily '!W35</f>
        <v>0</v>
      </c>
      <c r="S31" s="141">
        <f t="shared" si="0"/>
        <v>278.70000000001164</v>
      </c>
      <c r="T31" s="141">
        <f>'FS-AD Daily '!AD35*3.516</f>
        <v>137817.35520000066</v>
      </c>
      <c r="U31" s="141">
        <f>('FS-AD Daily '!AF35)*1000</f>
        <v>68399.999999994179</v>
      </c>
      <c r="V31" s="141">
        <f>('FS-AD Daily '!AG35)*1000</f>
        <v>42100.000000005821</v>
      </c>
      <c r="W31" s="141">
        <f>'FS-AD Daily '!AH35*1000</f>
        <v>18399.999999997817</v>
      </c>
      <c r="X31" s="141">
        <f>('FS-AD Daily '!AK35)*1000</f>
        <v>38599.999999998545</v>
      </c>
      <c r="Y31" s="141">
        <f>'FS-AD Daily '!AN35</f>
        <v>71</v>
      </c>
      <c r="Z31" s="142">
        <v>151</v>
      </c>
    </row>
    <row r="32" spans="1:26" ht="15.75" thickBot="1" x14ac:dyDescent="0.3">
      <c r="A32" s="114" t="s">
        <v>80</v>
      </c>
      <c r="B32" s="115">
        <f t="shared" si="1"/>
        <v>31</v>
      </c>
      <c r="C32" s="116">
        <v>7</v>
      </c>
      <c r="D32" s="115">
        <v>2021</v>
      </c>
      <c r="E32" s="117">
        <f>'FS-AD Daily '!B36</f>
        <v>4985</v>
      </c>
      <c r="F32" s="117">
        <f>'FS-AD Daily '!C36</f>
        <v>4395</v>
      </c>
      <c r="G32" s="117">
        <f>'FS-AD Daily '!D36</f>
        <v>797</v>
      </c>
      <c r="H32" s="117">
        <f>'FS-AD Daily '!E36</f>
        <v>5881</v>
      </c>
      <c r="I32" s="117">
        <f>'FS-AD Daily '!F36</f>
        <v>5932</v>
      </c>
      <c r="J32" s="117">
        <f>'FS-AD Daily '!G36</f>
        <v>3178</v>
      </c>
      <c r="K32" s="117">
        <f>'FS-AD Daily '!H36</f>
        <v>8251</v>
      </c>
      <c r="L32" s="117">
        <f>'FS-AD Daily '!I36</f>
        <v>2379</v>
      </c>
      <c r="M32" s="117">
        <f>'FS-AD Daily '!J36</f>
        <v>6948</v>
      </c>
      <c r="N32" s="117">
        <f>'FS-AD Daily '!T36</f>
        <v>151.99799999999595</v>
      </c>
      <c r="O32" s="117">
        <f>'FS-AD Daily '!R36</f>
        <v>69.528999999999542</v>
      </c>
      <c r="P32" s="117">
        <f>'FS-AD Daily '!Z36</f>
        <v>437</v>
      </c>
      <c r="Q32" s="117">
        <f>'FS-AD Daily '!V36</f>
        <v>169.20000000001164</v>
      </c>
      <c r="R32" s="117">
        <f>'FS-AD Daily '!W36</f>
        <v>0</v>
      </c>
      <c r="S32" s="117">
        <f t="shared" ref="S32" si="2">P32-Q32-R32</f>
        <v>267.79999999998836</v>
      </c>
      <c r="T32" s="117">
        <f>'FS-AD Daily '!AD36*3.516</f>
        <v>131516.68320000067</v>
      </c>
      <c r="U32" s="117">
        <f>('FS-AD Daily '!AF36)*1000</f>
        <v>63300.00000000291</v>
      </c>
      <c r="V32" s="117">
        <f>('FS-AD Daily '!AG36)*1000</f>
        <v>42399.999999994179</v>
      </c>
      <c r="W32" s="117">
        <f>'FS-AD Daily '!AH36*1000</f>
        <v>17700.000000000728</v>
      </c>
      <c r="X32" s="117">
        <f>('FS-AD Daily '!AK36)*1000</f>
        <v>37400.000000001455</v>
      </c>
      <c r="Y32" s="117">
        <f>'FS-AD Daily '!AN36</f>
        <v>55</v>
      </c>
      <c r="Z32" s="118">
        <v>86</v>
      </c>
    </row>
    <row r="33" spans="9:26" x14ac:dyDescent="0.25">
      <c r="I33" s="4">
        <f t="shared" ref="I33:W33" si="3">SUM(I2:I32)</f>
        <v>185061</v>
      </c>
      <c r="J33" s="4">
        <f t="shared" si="3"/>
        <v>99526</v>
      </c>
      <c r="K33" s="4">
        <f t="shared" si="3"/>
        <v>192355</v>
      </c>
      <c r="L33" s="4">
        <f t="shared" si="3"/>
        <v>72966</v>
      </c>
      <c r="M33" s="4">
        <f t="shared" si="3"/>
        <v>218857</v>
      </c>
      <c r="N33" s="4">
        <f t="shared" si="3"/>
        <v>4396.7539999999935</v>
      </c>
      <c r="O33" s="4">
        <f t="shared" si="3"/>
        <v>2261.0259999999898</v>
      </c>
      <c r="P33" s="4">
        <f t="shared" si="3"/>
        <v>13842</v>
      </c>
      <c r="Q33" s="4">
        <f t="shared" si="3"/>
        <v>5330.4000000000233</v>
      </c>
      <c r="R33" s="4">
        <f t="shared" si="3"/>
        <v>6.9900000000052387</v>
      </c>
      <c r="S33" s="4">
        <f t="shared" si="3"/>
        <v>8504.6099999999715</v>
      </c>
      <c r="T33" s="4">
        <f t="shared" si="3"/>
        <v>3431509.4652000004</v>
      </c>
      <c r="U33" s="4">
        <f t="shared" si="3"/>
        <v>1695699.9999999972</v>
      </c>
      <c r="V33" s="4">
        <f t="shared" si="3"/>
        <v>991799.99999999558</v>
      </c>
      <c r="W33" s="4">
        <f t="shared" si="3"/>
        <v>539599.99999999849</v>
      </c>
      <c r="X33" s="4">
        <f>'FS-AD Daily '!U38</f>
        <v>16744.107520000027</v>
      </c>
      <c r="Y33" s="4">
        <f>SUM(Y2:Y32)</f>
        <v>2069</v>
      </c>
      <c r="Z33" s="4">
        <f>SUM(Z2:Z32)</f>
        <v>3465</v>
      </c>
    </row>
    <row r="34" spans="9:26" x14ac:dyDescent="0.25">
      <c r="Y34" s="4"/>
    </row>
  </sheetData>
  <phoneticPr fontId="6" type="noConversion"/>
  <pageMargins left="0.7" right="0.7" top="0.75" bottom="0.75" header="0.3" footer="0.3"/>
  <pageSetup paperSize="9" orientation="portrait" verticalDpi="300"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FF0000"/>
  </sheetPr>
  <dimension ref="A1:AS42"/>
  <sheetViews>
    <sheetView tabSelected="1" zoomScaleNormal="100" workbookViewId="0">
      <pane xSplit="7" ySplit="4" topLeftCell="AF23" activePane="bottomRight" state="frozen"/>
      <selection pane="topRight" activeCell="H1" sqref="H1"/>
      <selection pane="bottomLeft" activeCell="A5" sqref="A5"/>
      <selection pane="bottomRight" activeCell="AN37" sqref="AN37"/>
    </sheetView>
  </sheetViews>
  <sheetFormatPr defaultColWidth="9.42578125" defaultRowHeight="21" x14ac:dyDescent="0.25"/>
  <cols>
    <col min="1" max="1" width="15.5703125" style="6" customWidth="1"/>
    <col min="2" max="2" width="15.42578125" style="6" customWidth="1"/>
    <col min="3" max="3" width="14.42578125" style="6" customWidth="1"/>
    <col min="4" max="4" width="15" style="6" customWidth="1"/>
    <col min="5" max="5" width="15.42578125" style="6" customWidth="1"/>
    <col min="6" max="6" width="15.5703125" style="6" customWidth="1"/>
    <col min="7" max="7" width="15" style="6" customWidth="1"/>
    <col min="8" max="8" width="14.5703125" style="6" customWidth="1"/>
    <col min="9" max="9" width="14.42578125" style="6" customWidth="1"/>
    <col min="10" max="10" width="14.5703125" style="6" customWidth="1"/>
    <col min="11" max="11" width="19.42578125" style="6" customWidth="1"/>
    <col min="12" max="12" width="16.42578125" style="15" customWidth="1"/>
    <col min="13" max="15" width="17.42578125" style="16" customWidth="1"/>
    <col min="16" max="18" width="16.5703125" style="16" customWidth="1"/>
    <col min="19" max="19" width="18.5703125" style="16" customWidth="1"/>
    <col min="20" max="20" width="15.42578125" style="16" customWidth="1"/>
    <col min="21" max="21" width="14" style="16" customWidth="1"/>
    <col min="22" max="23" width="15.42578125" style="16" customWidth="1"/>
    <col min="24" max="25" width="12.5703125" style="6" customWidth="1"/>
    <col min="26" max="26" width="15" style="6" customWidth="1"/>
    <col min="27" max="27" width="12.5703125" style="15" customWidth="1"/>
    <col min="28" max="28" width="15.42578125" style="6" customWidth="1"/>
    <col min="29" max="29" width="15.42578125" style="6" bestFit="1" customWidth="1"/>
    <col min="30" max="30" width="15.42578125" style="6" customWidth="1"/>
    <col min="31" max="34" width="13.42578125" style="16" customWidth="1"/>
    <col min="35" max="35" width="13.5703125" style="6" customWidth="1"/>
    <col min="36" max="36" width="13.42578125" style="6" customWidth="1"/>
    <col min="37" max="38" width="13.5703125" style="6" customWidth="1"/>
    <col min="39" max="39" width="15.140625" style="16" customWidth="1"/>
    <col min="40" max="40" width="12.42578125" style="17" customWidth="1"/>
    <col min="41" max="41" width="16.5703125" style="15" customWidth="1"/>
    <col min="42" max="43" width="14.42578125" style="6" customWidth="1"/>
    <col min="44" max="44" width="17.5703125" style="6" customWidth="1"/>
    <col min="45" max="45" width="17.42578125" style="7" customWidth="1"/>
    <col min="46" max="47" width="9.42578125" style="8"/>
    <col min="48" max="48" width="14.42578125" style="8" customWidth="1"/>
    <col min="49" max="49" width="18.42578125" style="8" customWidth="1"/>
    <col min="50" max="50" width="9.42578125" style="8"/>
    <col min="51" max="51" width="12.42578125" style="8" bestFit="1" customWidth="1"/>
    <col min="52" max="52" width="9.42578125" style="8"/>
    <col min="53" max="53" width="12.42578125" style="8" bestFit="1" customWidth="1"/>
    <col min="54" max="16384" width="9.42578125" style="8"/>
  </cols>
  <sheetData>
    <row r="1" spans="1:44" ht="120" customHeight="1" thickBot="1" x14ac:dyDescent="0.3">
      <c r="A1" s="24" t="s">
        <v>13</v>
      </c>
      <c r="B1" s="147" t="s">
        <v>14</v>
      </c>
      <c r="C1" s="147"/>
      <c r="D1" s="147"/>
      <c r="E1" s="147"/>
      <c r="F1" s="147"/>
      <c r="G1" s="147"/>
      <c r="H1" s="147"/>
      <c r="I1" s="147"/>
      <c r="J1" s="147"/>
      <c r="K1" s="25" t="s">
        <v>15</v>
      </c>
      <c r="L1" s="26" t="s">
        <v>16</v>
      </c>
      <c r="M1" s="27" t="s">
        <v>17</v>
      </c>
      <c r="N1" s="28" t="s">
        <v>18</v>
      </c>
      <c r="O1" s="28" t="s">
        <v>19</v>
      </c>
      <c r="P1" s="65" t="s">
        <v>20</v>
      </c>
      <c r="Q1" s="30" t="s">
        <v>21</v>
      </c>
      <c r="R1" s="31" t="s">
        <v>22</v>
      </c>
      <c r="S1" s="29" t="s">
        <v>23</v>
      </c>
      <c r="T1" s="32" t="s">
        <v>24</v>
      </c>
      <c r="U1" s="33" t="s">
        <v>25</v>
      </c>
      <c r="V1" s="32" t="s">
        <v>26</v>
      </c>
      <c r="W1" s="32" t="s">
        <v>27</v>
      </c>
      <c r="X1" s="148" t="s">
        <v>28</v>
      </c>
      <c r="Y1" s="148"/>
      <c r="Z1" s="34" t="s">
        <v>29</v>
      </c>
      <c r="AA1" s="35" t="s">
        <v>101</v>
      </c>
      <c r="AB1" s="36" t="s">
        <v>30</v>
      </c>
      <c r="AC1" s="36" t="s">
        <v>31</v>
      </c>
      <c r="AD1" s="25" t="s">
        <v>32</v>
      </c>
      <c r="AE1" s="33" t="s">
        <v>33</v>
      </c>
      <c r="AF1" s="25" t="s">
        <v>77</v>
      </c>
      <c r="AG1" s="25" t="s">
        <v>76</v>
      </c>
      <c r="AH1" s="25" t="s">
        <v>78</v>
      </c>
      <c r="AI1" s="46" t="s">
        <v>34</v>
      </c>
      <c r="AJ1" s="46" t="s">
        <v>35</v>
      </c>
      <c r="AK1" s="37" t="s">
        <v>36</v>
      </c>
      <c r="AL1" s="37" t="s">
        <v>37</v>
      </c>
      <c r="AM1" s="33" t="s">
        <v>33</v>
      </c>
      <c r="AN1" s="39" t="s">
        <v>79</v>
      </c>
      <c r="AO1" s="38" t="s">
        <v>38</v>
      </c>
      <c r="AQ1" s="6" t="s">
        <v>39</v>
      </c>
      <c r="AR1" s="6" t="s">
        <v>40</v>
      </c>
    </row>
    <row r="2" spans="1:44" ht="15" customHeight="1" x14ac:dyDescent="0.25">
      <c r="A2" s="21">
        <v>2021</v>
      </c>
      <c r="B2" s="22">
        <v>1</v>
      </c>
      <c r="C2" s="22">
        <v>2</v>
      </c>
      <c r="D2" s="22">
        <v>3</v>
      </c>
      <c r="E2" s="22">
        <v>4</v>
      </c>
      <c r="F2" s="22">
        <v>5</v>
      </c>
      <c r="G2" s="22">
        <v>6</v>
      </c>
      <c r="H2" s="22">
        <v>7</v>
      </c>
      <c r="I2" s="22">
        <v>8</v>
      </c>
      <c r="J2" s="22">
        <v>9</v>
      </c>
      <c r="K2" s="149" t="s">
        <v>41</v>
      </c>
      <c r="L2" s="151" t="s">
        <v>42</v>
      </c>
      <c r="M2" s="10"/>
      <c r="N2" s="10"/>
      <c r="O2" s="10"/>
      <c r="P2" s="10"/>
      <c r="Q2" s="10"/>
      <c r="R2" s="10"/>
      <c r="S2" s="153"/>
      <c r="T2" s="47"/>
      <c r="U2" s="154"/>
      <c r="V2" s="45"/>
      <c r="W2" s="45"/>
      <c r="X2" s="22">
        <v>1</v>
      </c>
      <c r="Y2" s="22">
        <v>2</v>
      </c>
      <c r="Z2" s="23"/>
      <c r="AA2" s="151" t="s">
        <v>100</v>
      </c>
      <c r="AB2" s="43"/>
      <c r="AC2" s="149" t="s">
        <v>43</v>
      </c>
      <c r="AD2" s="156"/>
      <c r="AE2" s="154" t="s">
        <v>104</v>
      </c>
      <c r="AF2" s="45"/>
      <c r="AG2" s="45"/>
      <c r="AH2" s="45"/>
      <c r="AI2" s="44"/>
      <c r="AJ2" s="44"/>
      <c r="AK2" s="44"/>
      <c r="AL2" s="44"/>
      <c r="AM2" s="154" t="s">
        <v>104</v>
      </c>
      <c r="AN2" s="157"/>
      <c r="AO2" s="155"/>
    </row>
    <row r="3" spans="1:44" ht="15" customHeight="1" x14ac:dyDescent="0.25">
      <c r="A3" s="9"/>
      <c r="B3" s="11" t="s">
        <v>44</v>
      </c>
      <c r="C3" s="11" t="s">
        <v>45</v>
      </c>
      <c r="D3" s="11" t="s">
        <v>46</v>
      </c>
      <c r="E3" s="11" t="s">
        <v>47</v>
      </c>
      <c r="F3" s="11" t="s">
        <v>48</v>
      </c>
      <c r="G3" s="11" t="s">
        <v>49</v>
      </c>
      <c r="H3" s="11" t="s">
        <v>50</v>
      </c>
      <c r="I3" s="11" t="s">
        <v>51</v>
      </c>
      <c r="J3" s="11" t="s">
        <v>52</v>
      </c>
      <c r="K3" s="150"/>
      <c r="L3" s="152"/>
      <c r="M3" s="10"/>
      <c r="N3" s="10"/>
      <c r="O3" s="10"/>
      <c r="P3" s="10"/>
      <c r="Q3" s="10"/>
      <c r="R3" s="10"/>
      <c r="S3" s="153"/>
      <c r="T3" s="47"/>
      <c r="U3" s="154"/>
      <c r="V3" s="45"/>
      <c r="W3" s="45"/>
      <c r="X3" s="11"/>
      <c r="Y3" s="11"/>
      <c r="Z3" s="12"/>
      <c r="AA3" s="151"/>
      <c r="AB3" s="43"/>
      <c r="AC3" s="149"/>
      <c r="AD3" s="156"/>
      <c r="AE3" s="154"/>
      <c r="AF3" s="45"/>
      <c r="AG3" s="45"/>
      <c r="AH3" s="45"/>
      <c r="AI3" s="13"/>
      <c r="AJ3" s="44"/>
      <c r="AK3" s="44"/>
      <c r="AL3" s="44"/>
      <c r="AM3" s="154"/>
      <c r="AN3" s="157"/>
      <c r="AO3" s="155"/>
    </row>
    <row r="4" spans="1:44" ht="30.75" thickBot="1" x14ac:dyDescent="0.3">
      <c r="A4" s="49"/>
      <c r="B4" s="50" t="s">
        <v>53</v>
      </c>
      <c r="C4" s="50" t="s">
        <v>54</v>
      </c>
      <c r="D4" s="50" t="s">
        <v>55</v>
      </c>
      <c r="E4" s="62" t="s">
        <v>56</v>
      </c>
      <c r="F4" s="50" t="s">
        <v>57</v>
      </c>
      <c r="G4" s="62" t="s">
        <v>58</v>
      </c>
      <c r="H4" s="62" t="s">
        <v>59</v>
      </c>
      <c r="I4" s="62" t="s">
        <v>60</v>
      </c>
      <c r="J4" s="62" t="s">
        <v>61</v>
      </c>
      <c r="K4" s="50"/>
      <c r="L4" s="51"/>
      <c r="M4" s="10"/>
      <c r="N4" s="10"/>
      <c r="O4" s="10"/>
      <c r="P4" s="10"/>
      <c r="Q4" s="10"/>
      <c r="R4" s="10"/>
      <c r="S4" s="153"/>
      <c r="T4" s="47"/>
      <c r="U4" s="154"/>
      <c r="V4" s="45"/>
      <c r="W4" s="45"/>
      <c r="X4" s="52"/>
      <c r="Y4" s="87">
        <v>857958</v>
      </c>
      <c r="Z4" s="12"/>
      <c r="AA4" s="151"/>
      <c r="AB4" s="86">
        <v>5672209.7999999998</v>
      </c>
      <c r="AC4" s="149"/>
      <c r="AD4" s="156"/>
      <c r="AE4" s="154"/>
      <c r="AF4" s="45"/>
      <c r="AG4" s="45"/>
      <c r="AH4" s="45"/>
      <c r="AI4" s="43">
        <v>44242.2</v>
      </c>
      <c r="AJ4" s="43"/>
      <c r="AK4" s="43"/>
      <c r="AL4" s="43"/>
      <c r="AM4" s="154"/>
      <c r="AN4" s="157"/>
      <c r="AO4" s="155"/>
      <c r="AP4" s="6">
        <v>0.33341500000000002</v>
      </c>
    </row>
    <row r="5" spans="1:44" ht="90.75" thickBot="1" x14ac:dyDescent="0.3">
      <c r="A5" s="53" t="s">
        <v>62</v>
      </c>
      <c r="B5" s="54"/>
      <c r="C5" s="54"/>
      <c r="D5" s="54"/>
      <c r="E5" s="66" t="s">
        <v>92</v>
      </c>
      <c r="F5" s="54"/>
      <c r="G5" s="67" t="s">
        <v>95</v>
      </c>
      <c r="H5" s="66" t="s">
        <v>96</v>
      </c>
      <c r="I5" s="66" t="s">
        <v>97</v>
      </c>
      <c r="J5" s="67"/>
      <c r="K5" s="55" t="s">
        <v>12</v>
      </c>
      <c r="L5" s="55" t="s">
        <v>12</v>
      </c>
      <c r="M5" s="55" t="s">
        <v>12</v>
      </c>
      <c r="N5" s="55" t="s">
        <v>12</v>
      </c>
      <c r="O5" s="55" t="s">
        <v>12</v>
      </c>
      <c r="P5" s="55" t="s">
        <v>12</v>
      </c>
      <c r="Q5" s="55" t="s">
        <v>12</v>
      </c>
      <c r="R5" s="55" t="s">
        <v>12</v>
      </c>
      <c r="S5" s="55" t="s">
        <v>12</v>
      </c>
      <c r="T5" s="55" t="s">
        <v>12</v>
      </c>
      <c r="U5" s="55" t="s">
        <v>12</v>
      </c>
      <c r="V5" s="55" t="s">
        <v>12</v>
      </c>
      <c r="W5" s="55" t="s">
        <v>12</v>
      </c>
      <c r="X5" s="56" t="s">
        <v>85</v>
      </c>
      <c r="Y5" s="54"/>
      <c r="Z5" s="54" t="s">
        <v>12</v>
      </c>
      <c r="AA5" s="55" t="e">
        <f>SUM(#REF!)</f>
        <v>#REF!</v>
      </c>
      <c r="AB5" s="54"/>
      <c r="AC5" s="54" t="s">
        <v>12</v>
      </c>
      <c r="AD5" s="54" t="s">
        <v>12</v>
      </c>
      <c r="AE5" s="57" t="e">
        <f>SUM(#REF!)</f>
        <v>#REF!</v>
      </c>
      <c r="AF5" s="57"/>
      <c r="AG5" s="57"/>
      <c r="AH5" s="57"/>
      <c r="AI5" s="54"/>
      <c r="AJ5" s="54"/>
      <c r="AK5" s="54" t="e">
        <f>SUM(#REF!)</f>
        <v>#REF!</v>
      </c>
      <c r="AL5" s="54"/>
      <c r="AM5" s="57"/>
      <c r="AN5" s="58"/>
      <c r="AO5" s="100" t="e">
        <f>SUM(#REF!)</f>
        <v>#REF!</v>
      </c>
    </row>
    <row r="6" spans="1:44" x14ac:dyDescent="0.25">
      <c r="A6" s="80">
        <v>44378</v>
      </c>
      <c r="B6" s="86">
        <f>12087430-12081998</f>
        <v>5432</v>
      </c>
      <c r="C6" s="86">
        <f>7703598-7699525</f>
        <v>4073</v>
      </c>
      <c r="D6" s="86">
        <f>1516919-1516061</f>
        <v>858</v>
      </c>
      <c r="E6" s="86">
        <f>11510631-11505225</f>
        <v>5406</v>
      </c>
      <c r="F6" s="86">
        <f>11423133-11417022</f>
        <v>6111</v>
      </c>
      <c r="G6" s="86">
        <f>8287360-8284020</f>
        <v>3340</v>
      </c>
      <c r="H6" s="86">
        <f>8510852-8504326</f>
        <v>6526</v>
      </c>
      <c r="I6" s="86">
        <f>5180815-5178319</f>
        <v>2496</v>
      </c>
      <c r="J6" s="86">
        <f>11493608-11486273</f>
        <v>7335</v>
      </c>
      <c r="K6" s="63">
        <f>SUM(B6:H6)</f>
        <v>31746</v>
      </c>
      <c r="L6" s="40">
        <f>K6*0.2</f>
        <v>6349.2000000000007</v>
      </c>
      <c r="M6" s="83">
        <f>78654.122-78506.603</f>
        <v>147.51900000000023</v>
      </c>
      <c r="N6" s="83">
        <f>4314.996-4310.465</f>
        <v>4.5309999999999491</v>
      </c>
      <c r="O6" s="83">
        <f>9492.833-9491.271</f>
        <v>1.5619999999998981</v>
      </c>
      <c r="P6" s="82">
        <f>90340.112-90265.392</f>
        <v>74.719999999986612</v>
      </c>
      <c r="Q6" s="83">
        <f>24224.423-24198.773</f>
        <v>25.649999999997817</v>
      </c>
      <c r="R6" s="84">
        <f t="shared" ref="R6:R34" si="0">N6+O6+P6</f>
        <v>80.812999999986459</v>
      </c>
      <c r="S6" s="84">
        <f t="shared" ref="S6:S34" si="1">(N6+O6+P6)*7.84</f>
        <v>633.57391999989386</v>
      </c>
      <c r="T6" s="64">
        <f t="shared" ref="T6:T34" si="2">M6+Q6</f>
        <v>173.16899999999805</v>
      </c>
      <c r="U6" s="84">
        <f>T6*7.84</f>
        <v>1357.6449599999846</v>
      </c>
      <c r="V6" s="84">
        <f>354938.5-354737.1</f>
        <v>201.40000000002328</v>
      </c>
      <c r="W6" s="64">
        <f>129959.4-129959.4</f>
        <v>0</v>
      </c>
      <c r="X6" s="85" t="s">
        <v>63</v>
      </c>
      <c r="Y6" s="75">
        <v>858446</v>
      </c>
      <c r="Z6" s="61">
        <f>IF((Y6-Y5&lt;0), "0",Y6-Y4)</f>
        <v>488</v>
      </c>
      <c r="AA6" s="90">
        <f>Z6*6.47</f>
        <v>3157.3599999999997</v>
      </c>
      <c r="AB6" s="75">
        <v>5699252.0999999996</v>
      </c>
      <c r="AC6" s="75">
        <f>AB4</f>
        <v>5672209.7999999998</v>
      </c>
      <c r="AD6" s="41">
        <f t="shared" ref="AD6:AD36" si="3">IF((AB6-AC6&lt;0), "0",AB6-AC6)</f>
        <v>27042.299999999814</v>
      </c>
      <c r="AE6" s="84">
        <f>AD6*0.332195</f>
        <v>8983.3168484999387</v>
      </c>
      <c r="AF6" s="84">
        <f>87337.7-87291.3</f>
        <v>46.399999999994179</v>
      </c>
      <c r="AG6" s="84">
        <f>45951.1-45921.4</f>
        <v>29.69999999999709</v>
      </c>
      <c r="AH6" s="84">
        <f>27587.7-27570.7</f>
        <v>17</v>
      </c>
      <c r="AI6" s="75">
        <f>AI4</f>
        <v>44242.2</v>
      </c>
      <c r="AJ6" s="75">
        <v>44271.7</v>
      </c>
      <c r="AK6" s="59">
        <f>IF((AJ6-AI6)&lt;0, "0",AJ6-AI6)</f>
        <v>29.5</v>
      </c>
      <c r="AL6" s="137">
        <f t="shared" ref="AL6:AL34" si="4">AK6*(284.34513609)</f>
        <v>8388.1815146549998</v>
      </c>
      <c r="AM6" s="84">
        <f>AL6*0.332195</f>
        <v>2786.5119582608177</v>
      </c>
      <c r="AN6" s="41">
        <v>88</v>
      </c>
      <c r="AO6" s="77">
        <f t="shared" ref="AO6:AO34" si="5">L6+U6+AA6+AE6</f>
        <v>19847.521808499921</v>
      </c>
    </row>
    <row r="7" spans="1:44" x14ac:dyDescent="0.25">
      <c r="A7" s="79">
        <v>44379</v>
      </c>
      <c r="B7" s="86">
        <f>12092635-12087430</f>
        <v>5205</v>
      </c>
      <c r="C7" s="86">
        <f>7707623-7703598</f>
        <v>4025</v>
      </c>
      <c r="D7" s="86">
        <f>1517667-1516919</f>
        <v>748</v>
      </c>
      <c r="E7" s="86">
        <f>11516004-11510631</f>
        <v>5373</v>
      </c>
      <c r="F7" s="86">
        <f>11429230-11423133</f>
        <v>6097</v>
      </c>
      <c r="G7" s="86">
        <f>8290722-8287360</f>
        <v>3362</v>
      </c>
      <c r="H7" s="86">
        <f>8517343-8510852</f>
        <v>6491</v>
      </c>
      <c r="I7" s="86">
        <f>5183253-5180815</f>
        <v>2438</v>
      </c>
      <c r="J7" s="86">
        <f>11500915-11493608</f>
        <v>7307</v>
      </c>
      <c r="K7" s="86">
        <f>SUM(B7:H7)</f>
        <v>31301</v>
      </c>
      <c r="L7" s="14">
        <f>K7*0.2</f>
        <v>6260.2000000000007</v>
      </c>
      <c r="M7" s="83">
        <f>78793.786-78654.122</f>
        <v>139.66399999998976</v>
      </c>
      <c r="N7" s="83">
        <f>4319.683-4314.996</f>
        <v>4.6869999999998981</v>
      </c>
      <c r="O7" s="83">
        <f>9494.164-9492.833</f>
        <v>1.331000000000131</v>
      </c>
      <c r="P7" s="82">
        <f>90423.616-90340.112</f>
        <v>83.504000000000815</v>
      </c>
      <c r="Q7" s="83">
        <f>24252.255-24224.423</f>
        <v>27.832000000002154</v>
      </c>
      <c r="R7" s="83">
        <f t="shared" si="0"/>
        <v>89.522000000000844</v>
      </c>
      <c r="S7" s="83">
        <f>(N7+O7+P7)*7.84</f>
        <v>701.85248000000661</v>
      </c>
      <c r="T7" s="83">
        <f>M7+Q7</f>
        <v>167.49599999999191</v>
      </c>
      <c r="U7" s="83">
        <f>T7*7.84</f>
        <v>1313.1686399999364</v>
      </c>
      <c r="V7" s="83">
        <f>355106.8-354938.5</f>
        <v>168.29999999998836</v>
      </c>
      <c r="W7" s="83">
        <f>129959.4-129959.4</f>
        <v>0</v>
      </c>
      <c r="X7" s="86" t="s">
        <v>63</v>
      </c>
      <c r="Y7" s="87">
        <v>858876</v>
      </c>
      <c r="Z7" s="5">
        <f>IF((Y7-Y6&lt;0), "0",Y7-Y6)</f>
        <v>430</v>
      </c>
      <c r="AA7" s="14">
        <f t="shared" ref="AA7:AA34" si="6">Z7*6.47</f>
        <v>2782.1</v>
      </c>
      <c r="AB7" s="87">
        <v>5727907</v>
      </c>
      <c r="AC7" s="87">
        <f>AB6</f>
        <v>5699252.0999999996</v>
      </c>
      <c r="AD7" s="5">
        <f t="shared" si="3"/>
        <v>28654.900000000373</v>
      </c>
      <c r="AE7" s="83">
        <f>AD7*0.332195</f>
        <v>9519.0145055001249</v>
      </c>
      <c r="AF7" s="83">
        <f>87386.9-87337.7</f>
        <v>49.19999999999709</v>
      </c>
      <c r="AG7" s="83">
        <f>45982-45951.1</f>
        <v>30.900000000001455</v>
      </c>
      <c r="AH7" s="83">
        <f>27604.7-27587.7</f>
        <v>17</v>
      </c>
      <c r="AI7" s="87">
        <f>AJ6</f>
        <v>44271.7</v>
      </c>
      <c r="AJ7" s="86">
        <v>44303</v>
      </c>
      <c r="AK7" s="48">
        <f t="shared" ref="AK7:AK34" si="7">IF((AJ7-AI7)&lt;0, "0",AJ7-AI7)</f>
        <v>31.30000000000291</v>
      </c>
      <c r="AL7" s="89">
        <f t="shared" si="4"/>
        <v>8900.0027596178279</v>
      </c>
      <c r="AM7" s="83">
        <f>AL7*0.332195</f>
        <v>2956.5364167312446</v>
      </c>
      <c r="AN7" s="5">
        <v>78</v>
      </c>
      <c r="AO7" s="78">
        <f t="shared" si="5"/>
        <v>19874.48314550006</v>
      </c>
    </row>
    <row r="8" spans="1:44" x14ac:dyDescent="0.25">
      <c r="A8" s="79">
        <v>44380</v>
      </c>
      <c r="B8" s="86">
        <f>12097891-12092635</f>
        <v>5256</v>
      </c>
      <c r="C8" s="86">
        <f>7711445-7707623</f>
        <v>3822</v>
      </c>
      <c r="D8" s="86">
        <f>1518473-1517667</f>
        <v>806</v>
      </c>
      <c r="E8" s="86">
        <f>11521422-11516004</f>
        <v>5418</v>
      </c>
      <c r="F8" s="86">
        <f>11435104-11429230</f>
        <v>5874</v>
      </c>
      <c r="G8" s="86">
        <f>8294046-8290722</f>
        <v>3324</v>
      </c>
      <c r="H8" s="86">
        <f>8523902-8517343</f>
        <v>6559</v>
      </c>
      <c r="I8" s="86">
        <f>5185730-5183253</f>
        <v>2477</v>
      </c>
      <c r="J8" s="86">
        <f>11508298-11500915</f>
        <v>7383</v>
      </c>
      <c r="K8" s="86">
        <f>SUM(B8:H8)</f>
        <v>31059</v>
      </c>
      <c r="L8" s="14">
        <f t="shared" ref="L8:L34" si="8">K8*0.2</f>
        <v>6211.8</v>
      </c>
      <c r="M8" s="83">
        <f>78919.264-78793.786</f>
        <v>125.47800000000279</v>
      </c>
      <c r="N8" s="83">
        <f>4323.766-4319.683</f>
        <v>4.0829999999996289</v>
      </c>
      <c r="O8" s="83">
        <f>9495.934-9494.164</f>
        <v>1.7699999999986176</v>
      </c>
      <c r="P8" s="82">
        <f>90493.879-90423.616</f>
        <v>70.263000000006286</v>
      </c>
      <c r="Q8" s="83">
        <f>24275.624-24252.255</f>
        <v>23.368999999998778</v>
      </c>
      <c r="R8" s="83">
        <f t="shared" si="0"/>
        <v>76.116000000004533</v>
      </c>
      <c r="S8" s="83">
        <f>(N8+O8+P8)*7.84</f>
        <v>596.74944000003552</v>
      </c>
      <c r="T8" s="83">
        <f>M8+Q8</f>
        <v>148.84700000000157</v>
      </c>
      <c r="U8" s="83">
        <f>T8*7.84</f>
        <v>1166.9604800000122</v>
      </c>
      <c r="V8" s="83">
        <f>355230.9-355106.8</f>
        <v>124.10000000003492</v>
      </c>
      <c r="W8" s="83">
        <f>129959.4-129959.4</f>
        <v>0</v>
      </c>
      <c r="X8" s="86" t="s">
        <v>63</v>
      </c>
      <c r="Y8" s="87">
        <v>859242</v>
      </c>
      <c r="Z8" s="5">
        <f t="shared" ref="Z8:Z34" si="9">IF((Y8-Y7&lt;0), "0",Y8-Y7)</f>
        <v>366</v>
      </c>
      <c r="AA8" s="14">
        <f t="shared" si="6"/>
        <v>2368.02</v>
      </c>
      <c r="AB8" s="87">
        <v>5759379.0999999996</v>
      </c>
      <c r="AC8" s="87">
        <f t="shared" ref="AC8:AC36" si="10">AB7</f>
        <v>5727907</v>
      </c>
      <c r="AD8" s="5">
        <f t="shared" si="3"/>
        <v>31472.099999999627</v>
      </c>
      <c r="AE8" s="83">
        <f t="shared" ref="AE8:AE36" si="11">AD8*0.332195</f>
        <v>10454.874259499877</v>
      </c>
      <c r="AF8" s="83">
        <f>87442.1-87386.9</f>
        <v>55.200000000011642</v>
      </c>
      <c r="AG8" s="83">
        <f>46014.7-45982</f>
        <v>32.69999999999709</v>
      </c>
      <c r="AH8" s="83">
        <f>27621.8-27604.7</f>
        <v>17.099999999998545</v>
      </c>
      <c r="AI8" s="87">
        <f t="shared" ref="AI8:AI36" si="12">AJ7</f>
        <v>44303</v>
      </c>
      <c r="AJ8" s="86">
        <v>44335.7</v>
      </c>
      <c r="AK8" s="48">
        <f t="shared" si="7"/>
        <v>32.69999999999709</v>
      </c>
      <c r="AL8" s="89">
        <f t="shared" si="4"/>
        <v>9298.085950142171</v>
      </c>
      <c r="AM8" s="83">
        <f t="shared" ref="AM8:AM36" si="13">AL8*0.332195</f>
        <v>3088.7776622074784</v>
      </c>
      <c r="AN8" s="5">
        <v>53</v>
      </c>
      <c r="AO8" s="78">
        <f t="shared" si="5"/>
        <v>20201.654739499889</v>
      </c>
    </row>
    <row r="9" spans="1:44" x14ac:dyDescent="0.25">
      <c r="A9" s="79">
        <v>44381</v>
      </c>
      <c r="B9" s="86">
        <f>12102843-12097891</f>
        <v>4952</v>
      </c>
      <c r="C9" s="86">
        <f>7715333-7711445</f>
        <v>3888</v>
      </c>
      <c r="D9" s="86">
        <f>1519280-1518473</f>
        <v>807</v>
      </c>
      <c r="E9" s="86">
        <f>11526646-11521422</f>
        <v>5224</v>
      </c>
      <c r="F9" s="86">
        <f>11440948-11435104</f>
        <v>5844</v>
      </c>
      <c r="G9" s="86">
        <f>8297252-8294046</f>
        <v>3206</v>
      </c>
      <c r="H9" s="86">
        <f>8530896-8523902</f>
        <v>6994</v>
      </c>
      <c r="I9" s="86">
        <f>5188192-5185730</f>
        <v>2462</v>
      </c>
      <c r="J9" s="86">
        <f>11515453-11508298</f>
        <v>7155</v>
      </c>
      <c r="K9" s="86">
        <f t="shared" ref="K9:K34" si="14">SUM(B9:H9)</f>
        <v>30915</v>
      </c>
      <c r="L9" s="14">
        <f t="shared" si="8"/>
        <v>6183</v>
      </c>
      <c r="M9" s="83">
        <f>79048.417-78919.264</f>
        <v>129.1530000000057</v>
      </c>
      <c r="N9" s="83">
        <f>4324.939-4323.766</f>
        <v>1.1730000000006839</v>
      </c>
      <c r="O9" s="83">
        <f>9496.689-9495.934</f>
        <v>0.75500000000101863</v>
      </c>
      <c r="P9" s="82">
        <f>90560.875-90493.879</f>
        <v>66.995999999999185</v>
      </c>
      <c r="Q9" s="83">
        <f>24291.365-24275.624</f>
        <v>15.741000000001804</v>
      </c>
      <c r="R9" s="83">
        <f t="shared" si="0"/>
        <v>68.924000000000888</v>
      </c>
      <c r="S9" s="83">
        <f t="shared" si="1"/>
        <v>540.3641600000069</v>
      </c>
      <c r="T9" s="83">
        <f t="shared" si="2"/>
        <v>144.89400000000751</v>
      </c>
      <c r="U9" s="83">
        <f t="shared" ref="U9:U37" si="15">T9*7.84</f>
        <v>1135.9689600000588</v>
      </c>
      <c r="V9" s="83">
        <f>355404.3-355230.9</f>
        <v>173.39999999996508</v>
      </c>
      <c r="W9" s="83">
        <f>129966.39-129959.4</f>
        <v>6.9900000000052387</v>
      </c>
      <c r="X9" s="86" t="s">
        <v>63</v>
      </c>
      <c r="Y9" s="87">
        <v>859666</v>
      </c>
      <c r="Z9" s="5">
        <f t="shared" si="9"/>
        <v>424</v>
      </c>
      <c r="AA9" s="14">
        <f t="shared" si="6"/>
        <v>2743.2799999999997</v>
      </c>
      <c r="AB9" s="87">
        <v>5789532.0999999996</v>
      </c>
      <c r="AC9" s="87">
        <f t="shared" si="10"/>
        <v>5759379.0999999996</v>
      </c>
      <c r="AD9" s="5">
        <f t="shared" si="3"/>
        <v>30153</v>
      </c>
      <c r="AE9" s="83">
        <f t="shared" si="11"/>
        <v>10016.675835</v>
      </c>
      <c r="AF9" s="83">
        <f>87493.5-87442.1</f>
        <v>51.399999999994179</v>
      </c>
      <c r="AG9" s="83">
        <f>46048.6-46014.7</f>
        <v>33.900000000001455</v>
      </c>
      <c r="AH9" s="83">
        <f>27638.9-27621.8</f>
        <v>17.100000000002183</v>
      </c>
      <c r="AI9" s="87">
        <f t="shared" si="12"/>
        <v>44335.7</v>
      </c>
      <c r="AJ9" s="86">
        <v>44367.3</v>
      </c>
      <c r="AK9" s="48">
        <f t="shared" si="7"/>
        <v>31.600000000005821</v>
      </c>
      <c r="AL9" s="89">
        <f t="shared" si="4"/>
        <v>8985.3063004456544</v>
      </c>
      <c r="AM9" s="83">
        <f t="shared" si="13"/>
        <v>2984.8738264765443</v>
      </c>
      <c r="AN9" s="5">
        <v>63</v>
      </c>
      <c r="AO9" s="78">
        <f t="shared" si="5"/>
        <v>20078.924795000057</v>
      </c>
    </row>
    <row r="10" spans="1:44" x14ac:dyDescent="0.25">
      <c r="A10" s="79">
        <v>44382</v>
      </c>
      <c r="B10" s="86">
        <f>12108184-12102843</f>
        <v>5341</v>
      </c>
      <c r="C10" s="86">
        <f>7719353-7715333</f>
        <v>4020</v>
      </c>
      <c r="D10" s="86">
        <f>1520148-1519280</f>
        <v>868</v>
      </c>
      <c r="E10" s="86">
        <f>11532042-11526646</f>
        <v>5396</v>
      </c>
      <c r="F10" s="86">
        <f>11446881-11440948</f>
        <v>5933</v>
      </c>
      <c r="G10" s="86">
        <f>8300454-8297252</f>
        <v>3202</v>
      </c>
      <c r="H10" s="86">
        <f>8537671-8530896</f>
        <v>6775</v>
      </c>
      <c r="I10" s="86">
        <f>5190646-5188192</f>
        <v>2454</v>
      </c>
      <c r="J10" s="86">
        <f>11522749-11515453</f>
        <v>7296</v>
      </c>
      <c r="K10" s="86">
        <f t="shared" si="14"/>
        <v>31535</v>
      </c>
      <c r="L10" s="14">
        <f t="shared" si="8"/>
        <v>6307</v>
      </c>
      <c r="M10" s="83">
        <f>79164.849-79048.417</f>
        <v>116.4320000000007</v>
      </c>
      <c r="N10" s="83">
        <f>4327.092-4324.939</f>
        <v>2.1529999999993379</v>
      </c>
      <c r="O10" s="83">
        <f>9497.579-9496.689</f>
        <v>0.88999999999941792</v>
      </c>
      <c r="P10" s="82">
        <f>90626.545-90560.875</f>
        <v>65.669999999998254</v>
      </c>
      <c r="Q10" s="83">
        <f>24304.644-24291.365</f>
        <v>13.278999999998632</v>
      </c>
      <c r="R10" s="83">
        <f t="shared" si="0"/>
        <v>68.71299999999701</v>
      </c>
      <c r="S10" s="83">
        <f t="shared" si="1"/>
        <v>538.70991999997659</v>
      </c>
      <c r="T10" s="83">
        <f t="shared" si="2"/>
        <v>129.71099999999933</v>
      </c>
      <c r="U10" s="83">
        <f t="shared" si="15"/>
        <v>1016.9342399999947</v>
      </c>
      <c r="V10" s="83">
        <f>355576.6-355404.3</f>
        <v>172.29999999998836</v>
      </c>
      <c r="W10" s="83">
        <f>129966.39-129966.39</f>
        <v>0</v>
      </c>
      <c r="X10" s="86" t="s">
        <v>63</v>
      </c>
      <c r="Y10" s="87">
        <v>860128</v>
      </c>
      <c r="Z10" s="5">
        <f t="shared" si="9"/>
        <v>462</v>
      </c>
      <c r="AA10" s="14">
        <f t="shared" si="6"/>
        <v>2989.14</v>
      </c>
      <c r="AB10" s="87">
        <v>5819598.0999999996</v>
      </c>
      <c r="AC10" s="87">
        <f t="shared" si="10"/>
        <v>5789532.0999999996</v>
      </c>
      <c r="AD10" s="5">
        <f t="shared" si="3"/>
        <v>30066</v>
      </c>
      <c r="AE10" s="83">
        <f t="shared" si="11"/>
        <v>9987.7748700000011</v>
      </c>
      <c r="AF10" s="83">
        <f>87545.5-87493.5</f>
        <v>52</v>
      </c>
      <c r="AG10" s="83">
        <f>46081.4-46048.6</f>
        <v>32.80000000000291</v>
      </c>
      <c r="AH10" s="83">
        <f>27655.8-27638.9</f>
        <v>16.899999999997817</v>
      </c>
      <c r="AI10" s="87">
        <f t="shared" si="12"/>
        <v>44367.3</v>
      </c>
      <c r="AJ10" s="87">
        <v>44399.1</v>
      </c>
      <c r="AK10" s="48">
        <f t="shared" si="7"/>
        <v>31.799999999995634</v>
      </c>
      <c r="AL10" s="89">
        <f t="shared" si="4"/>
        <v>9042.1753276607578</v>
      </c>
      <c r="AM10" s="83">
        <f t="shared" si="13"/>
        <v>3003.7654329722654</v>
      </c>
      <c r="AN10" s="5">
        <v>66</v>
      </c>
      <c r="AO10" s="78">
        <f t="shared" si="5"/>
        <v>20300.849109999996</v>
      </c>
    </row>
    <row r="11" spans="1:44" x14ac:dyDescent="0.25">
      <c r="A11" s="79">
        <v>44383</v>
      </c>
      <c r="B11" s="86">
        <f>12113838-12108184</f>
        <v>5654</v>
      </c>
      <c r="C11" s="86">
        <f>7723326-7719353</f>
        <v>3973</v>
      </c>
      <c r="D11" s="86">
        <f>1520974-1520148</f>
        <v>826</v>
      </c>
      <c r="E11" s="86">
        <f>11537682-11532042</f>
        <v>5640</v>
      </c>
      <c r="F11" s="86">
        <f>11452782-11446881</f>
        <v>5901</v>
      </c>
      <c r="G11" s="86">
        <f>8303672-8300454</f>
        <v>3218</v>
      </c>
      <c r="H11" s="86">
        <f>8543618-8537671</f>
        <v>5947</v>
      </c>
      <c r="I11" s="86">
        <f>5193077-5190646</f>
        <v>2431</v>
      </c>
      <c r="J11" s="86">
        <f>11529896-11522749</f>
        <v>7147</v>
      </c>
      <c r="K11" s="86">
        <f t="shared" si="14"/>
        <v>31159</v>
      </c>
      <c r="L11" s="14">
        <f t="shared" si="8"/>
        <v>6231.8</v>
      </c>
      <c r="M11" s="83">
        <f>79299.351-79164.849</f>
        <v>134.50199999999313</v>
      </c>
      <c r="N11" s="83">
        <f>4328.963-4327.092</f>
        <v>1.8710000000000946</v>
      </c>
      <c r="O11" s="83">
        <f>9498.884-9497.579</f>
        <v>1.305000000000291</v>
      </c>
      <c r="P11" s="82">
        <f>90696.05-90626.545</f>
        <v>69.505000000004657</v>
      </c>
      <c r="Q11" s="83">
        <f>24320.824-24304.644</f>
        <v>16.180000000000291</v>
      </c>
      <c r="R11" s="83">
        <f t="shared" si="0"/>
        <v>72.681000000005042</v>
      </c>
      <c r="S11" s="83">
        <f t="shared" si="1"/>
        <v>569.81904000003954</v>
      </c>
      <c r="T11" s="83">
        <f t="shared" si="2"/>
        <v>150.68199999999342</v>
      </c>
      <c r="U11" s="83">
        <f t="shared" si="15"/>
        <v>1181.3468799999484</v>
      </c>
      <c r="V11" s="83">
        <f>355758.9-355576.6</f>
        <v>182.30000000004657</v>
      </c>
      <c r="W11" s="83">
        <f>129966.39-129966.39</f>
        <v>0</v>
      </c>
      <c r="X11" s="86" t="s">
        <v>63</v>
      </c>
      <c r="Y11" s="87">
        <v>860593</v>
      </c>
      <c r="Z11" s="5">
        <f t="shared" si="9"/>
        <v>465</v>
      </c>
      <c r="AA11" s="14">
        <f t="shared" si="6"/>
        <v>3008.5499999999997</v>
      </c>
      <c r="AB11" s="87">
        <v>5849849.5</v>
      </c>
      <c r="AC11" s="86">
        <f t="shared" si="10"/>
        <v>5819598.0999999996</v>
      </c>
      <c r="AD11" s="5">
        <f t="shared" si="3"/>
        <v>30251.400000000373</v>
      </c>
      <c r="AE11" s="83">
        <f t="shared" si="11"/>
        <v>10049.363823000125</v>
      </c>
      <c r="AF11" s="83">
        <f>87599.5-87545.5</f>
        <v>54</v>
      </c>
      <c r="AG11" s="83">
        <f>46111.2-46081.4</f>
        <v>29.799999999995634</v>
      </c>
      <c r="AH11" s="83">
        <f>27673.6-27655.8</f>
        <v>17.799999999999272</v>
      </c>
      <c r="AI11" s="87">
        <f t="shared" si="12"/>
        <v>44399.1</v>
      </c>
      <c r="AJ11" s="87">
        <v>44430.5</v>
      </c>
      <c r="AK11" s="48">
        <f t="shared" si="7"/>
        <v>31.400000000001455</v>
      </c>
      <c r="AL11" s="89">
        <f t="shared" si="4"/>
        <v>8928.4372732264128</v>
      </c>
      <c r="AM11" s="83">
        <f t="shared" si="13"/>
        <v>2965.9822199794485</v>
      </c>
      <c r="AN11" s="5">
        <v>80</v>
      </c>
      <c r="AO11" s="78">
        <f t="shared" si="5"/>
        <v>20471.060703000076</v>
      </c>
    </row>
    <row r="12" spans="1:44" x14ac:dyDescent="0.25">
      <c r="A12" s="79">
        <v>44384</v>
      </c>
      <c r="B12" s="86">
        <f>12119335-12113838</f>
        <v>5497</v>
      </c>
      <c r="C12" s="86">
        <f>7727146-7723326</f>
        <v>3820</v>
      </c>
      <c r="D12" s="86">
        <f>1521817-1520974</f>
        <v>843</v>
      </c>
      <c r="E12" s="86">
        <f>11543171-11537682</f>
        <v>5489</v>
      </c>
      <c r="F12" s="86">
        <f>11458754-11452782</f>
        <v>5972</v>
      </c>
      <c r="G12" s="86">
        <f>8306929-8303672</f>
        <v>3257</v>
      </c>
      <c r="H12" s="86">
        <f>8548968-8543618</f>
        <v>5350</v>
      </c>
      <c r="I12" s="86">
        <f>5195501-5193077</f>
        <v>2424</v>
      </c>
      <c r="J12" s="86">
        <f>11537227-11529896</f>
        <v>7331</v>
      </c>
      <c r="K12" s="86">
        <f t="shared" si="14"/>
        <v>30228</v>
      </c>
      <c r="L12" s="14">
        <f t="shared" si="8"/>
        <v>6045.6</v>
      </c>
      <c r="M12" s="83">
        <f>79436.604-79299.351</f>
        <v>137.25300000001153</v>
      </c>
      <c r="N12" s="83">
        <f>4330.469-4328.963</f>
        <v>1.5060000000003129</v>
      </c>
      <c r="O12" s="83">
        <f>9499.833-9498.884</f>
        <v>0.94900000000052387</v>
      </c>
      <c r="P12" s="82">
        <f>90767.185-90696.05</f>
        <v>71.134999999994761</v>
      </c>
      <c r="Q12" s="83">
        <f>24333.199-24320.824</f>
        <v>12.375</v>
      </c>
      <c r="R12" s="83">
        <f t="shared" si="0"/>
        <v>73.589999999995598</v>
      </c>
      <c r="S12" s="83">
        <f t="shared" si="1"/>
        <v>576.94559999996545</v>
      </c>
      <c r="T12" s="83">
        <f t="shared" si="2"/>
        <v>149.62800000001153</v>
      </c>
      <c r="U12" s="83">
        <f t="shared" si="15"/>
        <v>1173.0835200000904</v>
      </c>
      <c r="V12" s="83">
        <f>355969.4-355758.9</f>
        <v>210.5</v>
      </c>
      <c r="W12" s="83">
        <f t="shared" ref="W12:W36" si="16">129966.39-129966.39</f>
        <v>0</v>
      </c>
      <c r="X12" s="86" t="s">
        <v>63</v>
      </c>
      <c r="Y12" s="87">
        <v>861095</v>
      </c>
      <c r="Z12" s="5">
        <f t="shared" si="9"/>
        <v>502</v>
      </c>
      <c r="AA12" s="14">
        <f t="shared" si="6"/>
        <v>3247.94</v>
      </c>
      <c r="AB12" s="87">
        <v>5878211.0999999996</v>
      </c>
      <c r="AC12" s="86">
        <f t="shared" si="10"/>
        <v>5849849.5</v>
      </c>
      <c r="AD12" s="5">
        <f t="shared" si="3"/>
        <v>28361.599999999627</v>
      </c>
      <c r="AE12" s="83">
        <f t="shared" si="11"/>
        <v>9421.5817119998774</v>
      </c>
      <c r="AF12" s="83">
        <f>87651.2-87599.5</f>
        <v>51.69999999999709</v>
      </c>
      <c r="AG12" s="83">
        <f>46137.2-46111.2</f>
        <v>26</v>
      </c>
      <c r="AH12" s="83">
        <f>27691.1-27673.6</f>
        <v>17.5</v>
      </c>
      <c r="AI12" s="87">
        <f t="shared" si="12"/>
        <v>44430.5</v>
      </c>
      <c r="AJ12" s="87">
        <v>44460.6</v>
      </c>
      <c r="AK12" s="48">
        <f t="shared" si="7"/>
        <v>30.099999999998545</v>
      </c>
      <c r="AL12" s="89">
        <f t="shared" si="4"/>
        <v>8558.7885963085864</v>
      </c>
      <c r="AM12" s="83">
        <f t="shared" si="13"/>
        <v>2843.1867777507309</v>
      </c>
      <c r="AN12" s="5">
        <v>91</v>
      </c>
      <c r="AO12" s="78">
        <f t="shared" si="5"/>
        <v>19888.205231999968</v>
      </c>
    </row>
    <row r="13" spans="1:44" x14ac:dyDescent="0.25">
      <c r="A13" s="79">
        <v>44385</v>
      </c>
      <c r="B13" s="86">
        <f>12124746-12119335</f>
        <v>5411</v>
      </c>
      <c r="C13" s="86">
        <f>7730825-7727146</f>
        <v>3679</v>
      </c>
      <c r="D13" s="86">
        <f>1522625-1521817</f>
        <v>808</v>
      </c>
      <c r="E13" s="86">
        <f>11548269-11543171</f>
        <v>5098</v>
      </c>
      <c r="F13" s="86">
        <f>11464833-11458754</f>
        <v>6079</v>
      </c>
      <c r="G13" s="86">
        <f>8310291-8306929</f>
        <v>3362</v>
      </c>
      <c r="H13" s="86">
        <f>8554082-8548968</f>
        <v>5114</v>
      </c>
      <c r="I13" s="86">
        <f>5197911-5195501</f>
        <v>2410</v>
      </c>
      <c r="J13" s="86">
        <f>11544453-11537227</f>
        <v>7226</v>
      </c>
      <c r="K13" s="86">
        <f t="shared" si="14"/>
        <v>29551</v>
      </c>
      <c r="L13" s="14">
        <f t="shared" si="8"/>
        <v>5910.2000000000007</v>
      </c>
      <c r="M13" s="83">
        <f>79558.885-79436.604</f>
        <v>122.28099999998813</v>
      </c>
      <c r="N13" s="83">
        <f>4332.203-4330.469</f>
        <v>1.7340000000003783</v>
      </c>
      <c r="O13" s="83">
        <f>9501.351-9499.833</f>
        <v>1.5180000000000291</v>
      </c>
      <c r="P13" s="82">
        <f>90839.891-90767.185</f>
        <v>72.706000000005588</v>
      </c>
      <c r="Q13" s="83">
        <f>24350.524-24333.199</f>
        <v>17.325000000000728</v>
      </c>
      <c r="R13" s="83">
        <f t="shared" si="0"/>
        <v>75.958000000005995</v>
      </c>
      <c r="S13" s="83">
        <f t="shared" si="1"/>
        <v>595.51072000004694</v>
      </c>
      <c r="T13" s="83">
        <f t="shared" si="2"/>
        <v>139.60599999998885</v>
      </c>
      <c r="U13" s="83">
        <f t="shared" si="15"/>
        <v>1094.5110399999126</v>
      </c>
      <c r="V13" s="83">
        <f>356204.6-355969.4</f>
        <v>235.19999999995343</v>
      </c>
      <c r="W13" s="83">
        <f t="shared" si="16"/>
        <v>0</v>
      </c>
      <c r="X13" s="86" t="s">
        <v>63</v>
      </c>
      <c r="Y13" s="87">
        <v>861613</v>
      </c>
      <c r="Z13" s="5">
        <f t="shared" si="9"/>
        <v>518</v>
      </c>
      <c r="AA13" s="14">
        <f t="shared" si="6"/>
        <v>3351.46</v>
      </c>
      <c r="AB13" s="87">
        <v>5906559.2000000002</v>
      </c>
      <c r="AC13" s="86">
        <f t="shared" si="10"/>
        <v>5878211.0999999996</v>
      </c>
      <c r="AD13" s="5">
        <f t="shared" si="3"/>
        <v>28348.100000000559</v>
      </c>
      <c r="AE13" s="83">
        <f t="shared" si="11"/>
        <v>9417.0970795001867</v>
      </c>
      <c r="AF13" s="83">
        <f>87703-87651.2</f>
        <v>51.80000000000291</v>
      </c>
      <c r="AG13" s="83">
        <f>46162.2-46137.2</f>
        <v>25</v>
      </c>
      <c r="AH13" s="83">
        <f>27708.5-27691.1</f>
        <v>17.400000000001455</v>
      </c>
      <c r="AI13" s="87">
        <f t="shared" si="12"/>
        <v>44460.6</v>
      </c>
      <c r="AJ13" s="87">
        <v>44491.3</v>
      </c>
      <c r="AK13" s="48">
        <f t="shared" si="7"/>
        <v>30.700000000004366</v>
      </c>
      <c r="AL13" s="89">
        <f t="shared" si="4"/>
        <v>8729.3956779642413</v>
      </c>
      <c r="AM13" s="83">
        <f t="shared" si="13"/>
        <v>2899.8615972413313</v>
      </c>
      <c r="AN13" s="5">
        <v>79</v>
      </c>
      <c r="AO13" s="78">
        <f t="shared" si="5"/>
        <v>19773.268119500099</v>
      </c>
    </row>
    <row r="14" spans="1:44" x14ac:dyDescent="0.25">
      <c r="A14" s="79">
        <v>44386</v>
      </c>
      <c r="B14" s="86">
        <f>12130136-12124746</f>
        <v>5390</v>
      </c>
      <c r="C14" s="86">
        <f>7734645-7730825</f>
        <v>3820</v>
      </c>
      <c r="D14" s="86">
        <f>1523395-1522625</f>
        <v>770</v>
      </c>
      <c r="E14" s="86">
        <f>11553859-11548269</f>
        <v>5590</v>
      </c>
      <c r="F14" s="86">
        <f>11471065-11464833</f>
        <v>6232</v>
      </c>
      <c r="G14" s="86">
        <f>8313582-8310291</f>
        <v>3291</v>
      </c>
      <c r="H14" s="86">
        <f>8559288-8554082</f>
        <v>5206</v>
      </c>
      <c r="I14" s="86">
        <f>5200257-5197911</f>
        <v>2346</v>
      </c>
      <c r="J14" s="86">
        <f>11551810-11544453</f>
        <v>7357</v>
      </c>
      <c r="K14" s="86">
        <f t="shared" si="14"/>
        <v>30299</v>
      </c>
      <c r="L14" s="14">
        <f t="shared" si="8"/>
        <v>6059.8</v>
      </c>
      <c r="M14" s="83">
        <f>79693.024-79558.885</f>
        <v>134.13900000001013</v>
      </c>
      <c r="N14" s="83">
        <f>4333.263-4332.203</f>
        <v>1.0599999999994907</v>
      </c>
      <c r="O14" s="83">
        <f>9502.302-9501.351</f>
        <v>0.95099999999911233</v>
      </c>
      <c r="P14" s="82">
        <f>90915.935-90839.891</f>
        <v>76.043999999994412</v>
      </c>
      <c r="Q14" s="83">
        <f>24359.379-24350.524</f>
        <v>8.8549999999995634</v>
      </c>
      <c r="R14" s="83">
        <f>N14+O14+P14</f>
        <v>78.054999999993015</v>
      </c>
      <c r="S14" s="83">
        <f t="shared" si="1"/>
        <v>611.95119999994517</v>
      </c>
      <c r="T14" s="83">
        <f t="shared" si="2"/>
        <v>142.99400000000969</v>
      </c>
      <c r="U14" s="83">
        <f t="shared" si="15"/>
        <v>1121.0729600000759</v>
      </c>
      <c r="V14" s="83">
        <f>356376.9-356204.6</f>
        <v>172.30000000004657</v>
      </c>
      <c r="W14" s="83">
        <f t="shared" si="16"/>
        <v>0</v>
      </c>
      <c r="X14" s="86" t="s">
        <v>63</v>
      </c>
      <c r="Y14" s="87">
        <v>862098</v>
      </c>
      <c r="Z14" s="5">
        <f>IF((Y14-Y13&lt;0), "0",Y14-Y13)</f>
        <v>485</v>
      </c>
      <c r="AA14" s="14">
        <f t="shared" si="6"/>
        <v>3137.95</v>
      </c>
      <c r="AB14" s="87">
        <v>5936652.0999999996</v>
      </c>
      <c r="AC14" s="86">
        <f t="shared" si="10"/>
        <v>5906559.2000000002</v>
      </c>
      <c r="AD14" s="5">
        <f t="shared" si="3"/>
        <v>30092.899999999441</v>
      </c>
      <c r="AE14" s="83">
        <f t="shared" si="11"/>
        <v>9996.7109154998143</v>
      </c>
      <c r="AF14" s="83">
        <f>87756-87703</f>
        <v>53</v>
      </c>
      <c r="AG14" s="83">
        <f>46189.2-46162.2</f>
        <v>27</v>
      </c>
      <c r="AH14" s="83">
        <f>27726.4-27708.5</f>
        <v>17.900000000001455</v>
      </c>
      <c r="AI14" s="87">
        <f t="shared" si="12"/>
        <v>44491.3</v>
      </c>
      <c r="AJ14" s="87">
        <v>44524.7</v>
      </c>
      <c r="AK14" s="48">
        <f t="shared" si="7"/>
        <v>33.399999999994179</v>
      </c>
      <c r="AL14" s="89">
        <f t="shared" si="4"/>
        <v>9497.1275454043443</v>
      </c>
      <c r="AM14" s="83">
        <f t="shared" si="13"/>
        <v>3154.8982849455965</v>
      </c>
      <c r="AN14" s="5">
        <v>72</v>
      </c>
      <c r="AO14" s="78">
        <f t="shared" si="5"/>
        <v>20315.533875499888</v>
      </c>
    </row>
    <row r="15" spans="1:44" x14ac:dyDescent="0.25">
      <c r="A15" s="79">
        <v>44387</v>
      </c>
      <c r="B15" s="86">
        <f>12135757-12130136</f>
        <v>5621</v>
      </c>
      <c r="C15" s="86">
        <f>7738417-7734645</f>
        <v>3772</v>
      </c>
      <c r="D15" s="86">
        <f>1524173-1523395</f>
        <v>778</v>
      </c>
      <c r="E15" s="86">
        <f>11559529-11553859</f>
        <v>5670</v>
      </c>
      <c r="F15" s="86">
        <f>11476779-11471065</f>
        <v>5714</v>
      </c>
      <c r="G15" s="86">
        <f>8316639-8313582</f>
        <v>3057</v>
      </c>
      <c r="H15" s="86">
        <f>8563865-8559288</f>
        <v>4577</v>
      </c>
      <c r="I15" s="86">
        <f>5202629-5200257</f>
        <v>2372</v>
      </c>
      <c r="J15" s="86">
        <f>11558950-11551810</f>
        <v>7140</v>
      </c>
      <c r="K15" s="86">
        <f t="shared" si="14"/>
        <v>29189</v>
      </c>
      <c r="L15" s="14">
        <f t="shared" si="8"/>
        <v>5837.8</v>
      </c>
      <c r="M15" s="83">
        <f>79811.703-79693.024</f>
        <v>118.67899999998917</v>
      </c>
      <c r="N15" s="83">
        <f>4334.918-4333.263</f>
        <v>1.6549999999997453</v>
      </c>
      <c r="O15" s="83">
        <f>9503.281-9502.302</f>
        <v>0.97900000000117871</v>
      </c>
      <c r="P15" s="82">
        <f>90983.211-90915.935</f>
        <v>67.275999999998021</v>
      </c>
      <c r="Q15" s="83">
        <f>24374.942-24359.379</f>
        <v>15.562999999998283</v>
      </c>
      <c r="R15" s="83">
        <f t="shared" si="0"/>
        <v>69.909999999998945</v>
      </c>
      <c r="S15" s="83">
        <f t="shared" si="1"/>
        <v>548.09439999999177</v>
      </c>
      <c r="T15" s="83">
        <f t="shared" si="2"/>
        <v>134.24199999998746</v>
      </c>
      <c r="U15" s="83">
        <f t="shared" si="15"/>
        <v>1052.4572799999016</v>
      </c>
      <c r="V15" s="83">
        <f>356541.1-356376.9</f>
        <v>164.19999999995343</v>
      </c>
      <c r="W15" s="83">
        <f t="shared" si="16"/>
        <v>0</v>
      </c>
      <c r="X15" s="86" t="s">
        <v>63</v>
      </c>
      <c r="Y15" s="87">
        <v>862538</v>
      </c>
      <c r="Z15" s="5">
        <f t="shared" si="9"/>
        <v>440</v>
      </c>
      <c r="AA15" s="14">
        <f t="shared" si="6"/>
        <v>2846.7999999999997</v>
      </c>
      <c r="AB15" s="87">
        <v>5965391.7999999998</v>
      </c>
      <c r="AC15" s="86">
        <f t="shared" si="10"/>
        <v>5936652.0999999996</v>
      </c>
      <c r="AD15" s="5">
        <f t="shared" si="3"/>
        <v>28739.700000000186</v>
      </c>
      <c r="AE15" s="83">
        <f t="shared" si="11"/>
        <v>9547.1846415000618</v>
      </c>
      <c r="AF15" s="83">
        <f>87807.3-87756</f>
        <v>51.30000000000291</v>
      </c>
      <c r="AG15" s="83">
        <f>46214.1-46189.2</f>
        <v>24.900000000001455</v>
      </c>
      <c r="AH15" s="83">
        <f>27744-27726.4</f>
        <v>17.599999999998545</v>
      </c>
      <c r="AI15" s="87">
        <f t="shared" si="12"/>
        <v>44524.7</v>
      </c>
      <c r="AJ15" s="87">
        <v>44557.3</v>
      </c>
      <c r="AK15" s="48">
        <f t="shared" si="7"/>
        <v>32.600000000005821</v>
      </c>
      <c r="AL15" s="89">
        <f t="shared" si="4"/>
        <v>9269.6514365356543</v>
      </c>
      <c r="AM15" s="83">
        <f t="shared" si="13"/>
        <v>3079.3318589599617</v>
      </c>
      <c r="AN15" s="5">
        <v>55</v>
      </c>
      <c r="AO15" s="88">
        <f t="shared" si="5"/>
        <v>19284.241921499961</v>
      </c>
    </row>
    <row r="16" spans="1:44" x14ac:dyDescent="0.25">
      <c r="A16" s="79">
        <v>44388</v>
      </c>
      <c r="B16" s="86">
        <f>12141463-12135757</f>
        <v>5706</v>
      </c>
      <c r="C16" s="86">
        <f>7742001-7738417</f>
        <v>3584</v>
      </c>
      <c r="D16" s="86">
        <f>1524942-1524173</f>
        <v>769</v>
      </c>
      <c r="E16" s="86">
        <f>11565280-11559529</f>
        <v>5751</v>
      </c>
      <c r="F16" s="86">
        <f>11482776-11476779</f>
        <v>5997</v>
      </c>
      <c r="G16" s="86">
        <f>8319835-8316639</f>
        <v>3196</v>
      </c>
      <c r="H16" s="86">
        <f>8567660-8563865</f>
        <v>3795</v>
      </c>
      <c r="I16" s="86">
        <f>5205089-5202629</f>
        <v>2460</v>
      </c>
      <c r="J16" s="86">
        <f>11566081-11558950</f>
        <v>7131</v>
      </c>
      <c r="K16" s="86">
        <f t="shared" si="14"/>
        <v>28798</v>
      </c>
      <c r="L16" s="14">
        <f t="shared" si="8"/>
        <v>5759.6</v>
      </c>
      <c r="M16" s="83">
        <f>79936.031-79811.703</f>
        <v>124.32800000000861</v>
      </c>
      <c r="N16" s="83">
        <f>4335.919-4334.918</f>
        <v>1.0010000000002037</v>
      </c>
      <c r="O16" s="83">
        <f>9504.325-9503.281</f>
        <v>1.043999999999869</v>
      </c>
      <c r="P16" s="82">
        <f>91048.919-90983.211</f>
        <v>65.707999999998719</v>
      </c>
      <c r="Q16" s="83">
        <f>24391.099-24374.942</f>
        <v>16.156999999999243</v>
      </c>
      <c r="R16" s="83">
        <f t="shared" si="0"/>
        <v>67.752999999998792</v>
      </c>
      <c r="S16" s="83">
        <f t="shared" si="1"/>
        <v>531.18351999999049</v>
      </c>
      <c r="T16" s="83">
        <f t="shared" si="2"/>
        <v>140.48500000000786</v>
      </c>
      <c r="U16" s="83">
        <f t="shared" si="15"/>
        <v>1101.4024000000616</v>
      </c>
      <c r="V16" s="83">
        <f>356704.1-356541.1</f>
        <v>163</v>
      </c>
      <c r="W16" s="83">
        <f t="shared" si="16"/>
        <v>0</v>
      </c>
      <c r="X16" s="86" t="s">
        <v>63</v>
      </c>
      <c r="Y16" s="87">
        <v>862981</v>
      </c>
      <c r="Z16" s="5">
        <f t="shared" si="9"/>
        <v>443</v>
      </c>
      <c r="AA16" s="14">
        <f t="shared" si="6"/>
        <v>2866.21</v>
      </c>
      <c r="AB16" s="87">
        <v>5993370.7999999998</v>
      </c>
      <c r="AC16" s="86">
        <f t="shared" si="10"/>
        <v>5965391.7999999998</v>
      </c>
      <c r="AD16" s="5">
        <f t="shared" si="3"/>
        <v>27979</v>
      </c>
      <c r="AE16" s="83">
        <f t="shared" si="11"/>
        <v>9294.483905000001</v>
      </c>
      <c r="AF16" s="83">
        <f>87859.2-87807.3</f>
        <v>51.899999999994179</v>
      </c>
      <c r="AG16" s="83">
        <f>46234.1-46214.1</f>
        <v>20</v>
      </c>
      <c r="AH16" s="83">
        <f>27761.9-27744</f>
        <v>17.900000000001455</v>
      </c>
      <c r="AI16" s="87">
        <f t="shared" si="12"/>
        <v>44557.3</v>
      </c>
      <c r="AJ16" s="87">
        <v>44589.5</v>
      </c>
      <c r="AK16" s="48">
        <f t="shared" si="7"/>
        <v>32.19999999999709</v>
      </c>
      <c r="AL16" s="89">
        <f t="shared" si="4"/>
        <v>9155.9133820971711</v>
      </c>
      <c r="AM16" s="83">
        <f t="shared" si="13"/>
        <v>3041.54864596577</v>
      </c>
      <c r="AN16" s="5">
        <v>89</v>
      </c>
      <c r="AO16" s="78">
        <f t="shared" si="5"/>
        <v>19021.696305000063</v>
      </c>
    </row>
    <row r="17" spans="1:41" x14ac:dyDescent="0.25">
      <c r="A17" s="79">
        <v>44389</v>
      </c>
      <c r="B17" s="86">
        <f>12146923-12141463</f>
        <v>5460</v>
      </c>
      <c r="C17" s="86">
        <f>7745306-7742001</f>
        <v>3305</v>
      </c>
      <c r="D17" s="86">
        <f>1525785-1524942</f>
        <v>843</v>
      </c>
      <c r="E17" s="86">
        <f>11571310-11565280</f>
        <v>6030</v>
      </c>
      <c r="F17" s="86">
        <f>11488823-11482776</f>
        <v>6047</v>
      </c>
      <c r="G17" s="86">
        <f>8323153-8319835</f>
        <v>3318</v>
      </c>
      <c r="H17" s="86">
        <f>8571290-8567660</f>
        <v>3630</v>
      </c>
      <c r="I17" s="86">
        <f>5207467-5205089</f>
        <v>2378</v>
      </c>
      <c r="J17" s="86">
        <f>11573238-11566081</f>
        <v>7157</v>
      </c>
      <c r="K17" s="86">
        <f t="shared" si="14"/>
        <v>28633</v>
      </c>
      <c r="L17" s="14">
        <f t="shared" si="8"/>
        <v>5726.6</v>
      </c>
      <c r="M17" s="83">
        <f>80040.539-79936.031</f>
        <v>104.50800000000163</v>
      </c>
      <c r="N17" s="83">
        <f>4336.857-4335.919</f>
        <v>0.93800000000010186</v>
      </c>
      <c r="O17" s="83">
        <f>9505.172-9504.325</f>
        <v>0.84699999999975262</v>
      </c>
      <c r="P17" s="82">
        <f>91117.245-91048.919</f>
        <v>68.326000000000931</v>
      </c>
      <c r="Q17" s="83">
        <f>24409.005-24391.099</f>
        <v>17.906000000002678</v>
      </c>
      <c r="R17" s="83">
        <f t="shared" si="0"/>
        <v>70.111000000000786</v>
      </c>
      <c r="S17" s="83">
        <f t="shared" si="1"/>
        <v>549.67024000000617</v>
      </c>
      <c r="T17" s="83">
        <f t="shared" si="2"/>
        <v>122.41400000000431</v>
      </c>
      <c r="U17" s="83">
        <f t="shared" si="15"/>
        <v>959.7257600000338</v>
      </c>
      <c r="V17" s="83">
        <f>356871.8-356704.1</f>
        <v>167.70000000001164</v>
      </c>
      <c r="W17" s="83">
        <f t="shared" si="16"/>
        <v>0</v>
      </c>
      <c r="X17" s="86" t="s">
        <v>63</v>
      </c>
      <c r="Y17" s="87">
        <v>863434</v>
      </c>
      <c r="Z17" s="5">
        <f t="shared" si="9"/>
        <v>453</v>
      </c>
      <c r="AA17" s="14">
        <f t="shared" si="6"/>
        <v>2930.91</v>
      </c>
      <c r="AB17" s="87">
        <v>6028222</v>
      </c>
      <c r="AC17" s="86">
        <f t="shared" si="10"/>
        <v>5993370.7999999998</v>
      </c>
      <c r="AD17" s="5">
        <f t="shared" si="3"/>
        <v>34851.200000000186</v>
      </c>
      <c r="AE17" s="83">
        <f t="shared" si="11"/>
        <v>11577.394384000063</v>
      </c>
      <c r="AF17" s="83">
        <f>87923.2-87859.2</f>
        <v>64</v>
      </c>
      <c r="AG17" s="83">
        <f>46260.3-46234.1</f>
        <v>26.200000000004366</v>
      </c>
      <c r="AH17" s="83">
        <f>27781.6-27761.9</f>
        <v>19.69999999999709</v>
      </c>
      <c r="AI17" s="87">
        <f t="shared" si="12"/>
        <v>44589.5</v>
      </c>
      <c r="AJ17" s="87">
        <v>44625.8</v>
      </c>
      <c r="AK17" s="48">
        <f t="shared" si="7"/>
        <v>36.30000000000291</v>
      </c>
      <c r="AL17" s="89">
        <f t="shared" si="4"/>
        <v>10321.728440067827</v>
      </c>
      <c r="AM17" s="83">
        <f t="shared" si="13"/>
        <v>3428.8265791483323</v>
      </c>
      <c r="AN17" s="5">
        <v>81</v>
      </c>
      <c r="AO17" s="78">
        <f t="shared" si="5"/>
        <v>21194.630144000097</v>
      </c>
    </row>
    <row r="18" spans="1:41" x14ac:dyDescent="0.25">
      <c r="A18" s="79">
        <v>44390</v>
      </c>
      <c r="B18" s="86">
        <f>12152199-12146923</f>
        <v>5276</v>
      </c>
      <c r="C18" s="86">
        <f>7749133-7745306</f>
        <v>3827</v>
      </c>
      <c r="D18" s="86">
        <f>1526560-1525785</f>
        <v>775</v>
      </c>
      <c r="E18" s="86">
        <f>11577244-11571310</f>
        <v>5934</v>
      </c>
      <c r="F18" s="86">
        <f>11494830-11488823</f>
        <v>6007</v>
      </c>
      <c r="G18" s="86">
        <f>8326438-8323153</f>
        <v>3285</v>
      </c>
      <c r="H18" s="86">
        <f>8574974-8571290</f>
        <v>3684</v>
      </c>
      <c r="I18" s="86">
        <f>5209845-5207467</f>
        <v>2378</v>
      </c>
      <c r="J18" s="86">
        <f>11580330-11573238</f>
        <v>7092</v>
      </c>
      <c r="K18" s="86">
        <f t="shared" si="14"/>
        <v>28788</v>
      </c>
      <c r="L18" s="14">
        <f t="shared" si="8"/>
        <v>5757.6</v>
      </c>
      <c r="M18" s="83">
        <f>80166.903-80040.539</f>
        <v>126.3640000000014</v>
      </c>
      <c r="N18" s="83">
        <f>4337.944-4336.857</f>
        <v>1.0870000000004438</v>
      </c>
      <c r="O18" s="83">
        <f>9506.234-9505.172</f>
        <v>1.0619999999998981</v>
      </c>
      <c r="P18" s="82">
        <f>91177.883-91117.245</f>
        <v>60.638000000006286</v>
      </c>
      <c r="Q18" s="83">
        <f>24424.361-24409.005</f>
        <v>15.355999999999767</v>
      </c>
      <c r="R18" s="83">
        <f t="shared" si="0"/>
        <v>62.787000000006628</v>
      </c>
      <c r="S18" s="83">
        <f t="shared" si="1"/>
        <v>492.25008000005198</v>
      </c>
      <c r="T18" s="83">
        <f t="shared" si="2"/>
        <v>141.72000000000116</v>
      </c>
      <c r="U18" s="83">
        <f t="shared" si="15"/>
        <v>1111.0848000000092</v>
      </c>
      <c r="V18" s="83">
        <f>357034-356871.8</f>
        <v>162.20000000001164</v>
      </c>
      <c r="W18" s="83">
        <f t="shared" si="16"/>
        <v>0</v>
      </c>
      <c r="X18" s="86" t="s">
        <v>63</v>
      </c>
      <c r="Y18" s="87">
        <v>863888</v>
      </c>
      <c r="Z18" s="5">
        <f t="shared" si="9"/>
        <v>454</v>
      </c>
      <c r="AA18" s="14">
        <f t="shared" si="6"/>
        <v>2937.38</v>
      </c>
      <c r="AB18" s="87">
        <v>6062229</v>
      </c>
      <c r="AC18" s="86">
        <f t="shared" si="10"/>
        <v>6028222</v>
      </c>
      <c r="AD18" s="5">
        <f t="shared" si="3"/>
        <v>34007</v>
      </c>
      <c r="AE18" s="83">
        <f t="shared" si="11"/>
        <v>11296.955365</v>
      </c>
      <c r="AF18" s="82">
        <f>87984.5-87923.2</f>
        <v>61.30000000000291</v>
      </c>
      <c r="AG18" s="82">
        <f>46287.1-46260.3</f>
        <v>26.799999999995634</v>
      </c>
      <c r="AH18" s="82">
        <f>27800.5-27781.6</f>
        <v>18.900000000001455</v>
      </c>
      <c r="AI18" s="87">
        <f t="shared" si="12"/>
        <v>44625.8</v>
      </c>
      <c r="AJ18" s="87">
        <v>44660.9</v>
      </c>
      <c r="AK18" s="48">
        <f t="shared" si="7"/>
        <v>35.099999999998545</v>
      </c>
      <c r="AL18" s="89">
        <f t="shared" si="4"/>
        <v>9980.5142767585858</v>
      </c>
      <c r="AM18" s="83">
        <f t="shared" si="13"/>
        <v>3315.4769401678186</v>
      </c>
      <c r="AN18" s="5">
        <v>88</v>
      </c>
      <c r="AO18" s="78">
        <f t="shared" si="5"/>
        <v>21103.020165000009</v>
      </c>
    </row>
    <row r="19" spans="1:41" x14ac:dyDescent="0.25">
      <c r="A19" s="79">
        <v>44391</v>
      </c>
      <c r="B19" s="86">
        <f>12157601-12152199</f>
        <v>5402</v>
      </c>
      <c r="C19" s="86">
        <f>7753396-7749133</f>
        <v>4263</v>
      </c>
      <c r="D19" s="86">
        <f>1527411-1526560</f>
        <v>851</v>
      </c>
      <c r="E19" s="86">
        <f>11583210-11577244</f>
        <v>5966</v>
      </c>
      <c r="F19" s="86">
        <f>11500930-11494830</f>
        <v>6100</v>
      </c>
      <c r="G19" s="86">
        <f>8329714-8326438</f>
        <v>3276</v>
      </c>
      <c r="H19" s="86">
        <f>8578705-8574974</f>
        <v>3731</v>
      </c>
      <c r="I19" s="86">
        <f>5212279-5209845</f>
        <v>2434</v>
      </c>
      <c r="J19" s="86">
        <f>11587763-11580330</f>
        <v>7433</v>
      </c>
      <c r="K19" s="86">
        <f t="shared" si="14"/>
        <v>29589</v>
      </c>
      <c r="L19" s="14">
        <f t="shared" si="8"/>
        <v>5917.8</v>
      </c>
      <c r="M19" s="83">
        <f>80292.343-80166.903</f>
        <v>125.43999999998778</v>
      </c>
      <c r="N19" s="83">
        <f>4339.263-4337.944</f>
        <v>1.3189999999995052</v>
      </c>
      <c r="O19" s="83">
        <f>9507.587-9506.234</f>
        <v>1.352999999999156</v>
      </c>
      <c r="P19" s="82">
        <f>91249.568-91177.883</f>
        <v>71.684999999997672</v>
      </c>
      <c r="Q19" s="83">
        <f>24440.517-24424.361</f>
        <v>16.15599999999904</v>
      </c>
      <c r="R19" s="83">
        <f t="shared" si="0"/>
        <v>74.356999999996333</v>
      </c>
      <c r="S19" s="83">
        <f t="shared" si="1"/>
        <v>582.95887999997126</v>
      </c>
      <c r="T19" s="83">
        <f t="shared" si="2"/>
        <v>141.59599999998682</v>
      </c>
      <c r="U19" s="83">
        <f t="shared" si="15"/>
        <v>1110.1126399998966</v>
      </c>
      <c r="V19" s="83">
        <f>357200.5-357034</f>
        <v>166.5</v>
      </c>
      <c r="W19" s="83">
        <f t="shared" si="16"/>
        <v>0</v>
      </c>
      <c r="X19" s="86" t="s">
        <v>63</v>
      </c>
      <c r="Y19" s="87">
        <v>864380</v>
      </c>
      <c r="Z19" s="5">
        <f t="shared" si="9"/>
        <v>492</v>
      </c>
      <c r="AA19" s="14">
        <f t="shared" si="6"/>
        <v>3183.24</v>
      </c>
      <c r="AB19" s="87">
        <v>6094744</v>
      </c>
      <c r="AC19" s="86">
        <f t="shared" si="10"/>
        <v>6062229</v>
      </c>
      <c r="AD19" s="5">
        <f t="shared" si="3"/>
        <v>32515</v>
      </c>
      <c r="AE19" s="83">
        <f t="shared" si="11"/>
        <v>10801.320425</v>
      </c>
      <c r="AF19" s="83">
        <f>88043.5-87984.5</f>
        <v>59</v>
      </c>
      <c r="AG19" s="83">
        <f>46310-46287.1</f>
        <v>22.900000000001455</v>
      </c>
      <c r="AH19" s="83">
        <f>27819.2-27800.5</f>
        <v>18.700000000000728</v>
      </c>
      <c r="AI19" s="87">
        <f t="shared" si="12"/>
        <v>44660.9</v>
      </c>
      <c r="AJ19" s="87">
        <v>44695</v>
      </c>
      <c r="AK19" s="48">
        <f t="shared" si="7"/>
        <v>34.099999999998545</v>
      </c>
      <c r="AL19" s="89">
        <f t="shared" si="4"/>
        <v>9696.1691406685859</v>
      </c>
      <c r="AM19" s="83">
        <f t="shared" si="13"/>
        <v>3221.0189076844013</v>
      </c>
      <c r="AN19" s="5">
        <v>69</v>
      </c>
      <c r="AO19" s="78">
        <f t="shared" si="5"/>
        <v>21012.473064999896</v>
      </c>
    </row>
    <row r="20" spans="1:41" x14ac:dyDescent="0.25">
      <c r="A20" s="79">
        <v>44392</v>
      </c>
      <c r="B20" s="86">
        <f>12162525-12157601</f>
        <v>4924</v>
      </c>
      <c r="C20" s="86">
        <f>7757322-7753396</f>
        <v>3926</v>
      </c>
      <c r="D20" s="86">
        <f>1528238-1527411</f>
        <v>827</v>
      </c>
      <c r="E20" s="86">
        <f>11589027-11583210</f>
        <v>5817</v>
      </c>
      <c r="F20" s="86">
        <f>11507078-11500930</f>
        <v>6148</v>
      </c>
      <c r="G20" s="86">
        <f>8332896-8329714</f>
        <v>3182</v>
      </c>
      <c r="H20" s="86">
        <f>8582409-8578705</f>
        <v>3704</v>
      </c>
      <c r="I20" s="86">
        <f>5214699-5212279</f>
        <v>2420</v>
      </c>
      <c r="J20" s="86">
        <f>11595077-11587763</f>
        <v>7314</v>
      </c>
      <c r="K20" s="86">
        <f t="shared" si="14"/>
        <v>28528</v>
      </c>
      <c r="L20" s="14">
        <f t="shared" si="8"/>
        <v>5705.6</v>
      </c>
      <c r="M20" s="83">
        <f>80417.367-80292.343</f>
        <v>125.02400000000489</v>
      </c>
      <c r="N20" s="83">
        <f>4340.509-4339.263</f>
        <v>1.2460000000000946</v>
      </c>
      <c r="O20" s="83">
        <f>9508.603-9507.587</f>
        <v>1.0159999999996217</v>
      </c>
      <c r="P20" s="82">
        <f>91325.246-91249.568</f>
        <v>75.677999999999884</v>
      </c>
      <c r="Q20" s="83">
        <f>24458.249-24440.517</f>
        <v>17.731999999999971</v>
      </c>
      <c r="R20" s="83">
        <f t="shared" si="0"/>
        <v>77.9399999999996</v>
      </c>
      <c r="S20" s="83">
        <f t="shared" si="1"/>
        <v>611.04959999999687</v>
      </c>
      <c r="T20" s="83">
        <f t="shared" si="2"/>
        <v>142.75600000000486</v>
      </c>
      <c r="U20" s="83">
        <f t="shared" si="15"/>
        <v>1119.207040000038</v>
      </c>
      <c r="V20" s="83">
        <f>357384-357200.5</f>
        <v>183.5</v>
      </c>
      <c r="W20" s="83">
        <f t="shared" si="16"/>
        <v>0</v>
      </c>
      <c r="X20" s="86" t="s">
        <v>63</v>
      </c>
      <c r="Y20" s="87">
        <v>864823</v>
      </c>
      <c r="Z20" s="5">
        <f t="shared" si="9"/>
        <v>443</v>
      </c>
      <c r="AA20" s="14">
        <f t="shared" si="6"/>
        <v>2866.21</v>
      </c>
      <c r="AB20" s="87">
        <v>6126507</v>
      </c>
      <c r="AC20" s="86">
        <f t="shared" si="10"/>
        <v>6094744</v>
      </c>
      <c r="AD20" s="5">
        <f t="shared" si="3"/>
        <v>31763</v>
      </c>
      <c r="AE20" s="83">
        <f t="shared" si="11"/>
        <v>10551.509785</v>
      </c>
      <c r="AF20" s="83">
        <f>88100.7-88043.5</f>
        <v>57.19999999999709</v>
      </c>
      <c r="AG20" s="83">
        <f>46335.2-46310</f>
        <v>25.19999999999709</v>
      </c>
      <c r="AH20" s="83">
        <f>27838.6-27819.2</f>
        <v>19.399999999997817</v>
      </c>
      <c r="AI20" s="87">
        <f t="shared" si="12"/>
        <v>44695</v>
      </c>
      <c r="AJ20" s="87">
        <v>44729.5</v>
      </c>
      <c r="AK20" s="48">
        <f t="shared" si="7"/>
        <v>34.5</v>
      </c>
      <c r="AL20" s="89">
        <f t="shared" si="4"/>
        <v>9809.9071951049991</v>
      </c>
      <c r="AM20" s="83">
        <f t="shared" si="13"/>
        <v>3258.8021206779054</v>
      </c>
      <c r="AN20" s="5">
        <v>75</v>
      </c>
      <c r="AO20" s="78">
        <f t="shared" si="5"/>
        <v>20242.526825000037</v>
      </c>
    </row>
    <row r="21" spans="1:41" x14ac:dyDescent="0.25">
      <c r="A21" s="79">
        <v>44393</v>
      </c>
      <c r="B21" s="86">
        <f>12167363-12162525</f>
        <v>4838</v>
      </c>
      <c r="C21" s="86">
        <f>7761299-7757322</f>
        <v>3977</v>
      </c>
      <c r="D21" s="86">
        <f>1529059-1528238</f>
        <v>821</v>
      </c>
      <c r="E21" s="86">
        <f>11594987-11589027</f>
        <v>5960</v>
      </c>
      <c r="F21" s="86">
        <f>11513541-11507078</f>
        <v>6463</v>
      </c>
      <c r="G21" s="86">
        <f>8336080-8332896</f>
        <v>3184</v>
      </c>
      <c r="H21" s="86">
        <f>8586143-8582409</f>
        <v>3734</v>
      </c>
      <c r="I21" s="86">
        <f>5217077-5214699</f>
        <v>2378</v>
      </c>
      <c r="J21" s="86">
        <f>11602470-11595077</f>
        <v>7393</v>
      </c>
      <c r="K21" s="86">
        <f t="shared" si="14"/>
        <v>28977</v>
      </c>
      <c r="L21" s="14">
        <f t="shared" si="8"/>
        <v>5795.4000000000005</v>
      </c>
      <c r="M21" s="83">
        <f>80531.618-80417.367</f>
        <v>114.25100000000384</v>
      </c>
      <c r="N21" s="83">
        <f>4341.23-4340.509</f>
        <v>0.72099999999954889</v>
      </c>
      <c r="O21" s="83">
        <f>9509.415-9508.603</f>
        <v>0.81200000000171713</v>
      </c>
      <c r="P21" s="82">
        <f>91390.54-91325.246</f>
        <v>65.293999999994412</v>
      </c>
      <c r="Q21" s="83">
        <f>24468.3-24458.249</f>
        <v>10.050999999999476</v>
      </c>
      <c r="R21" s="83">
        <f t="shared" si="0"/>
        <v>66.826999999995678</v>
      </c>
      <c r="S21" s="83">
        <f t="shared" si="1"/>
        <v>523.92367999996611</v>
      </c>
      <c r="T21" s="83">
        <f t="shared" si="2"/>
        <v>124.30200000000332</v>
      </c>
      <c r="U21" s="83">
        <f t="shared" si="15"/>
        <v>974.52768000002595</v>
      </c>
      <c r="V21" s="83">
        <f>357537.6-357384</f>
        <v>153.59999999997672</v>
      </c>
      <c r="W21" s="83">
        <f t="shared" si="16"/>
        <v>0</v>
      </c>
      <c r="X21" s="86" t="s">
        <v>63</v>
      </c>
      <c r="Y21" s="87">
        <v>865313</v>
      </c>
      <c r="Z21" s="5">
        <f t="shared" si="9"/>
        <v>490</v>
      </c>
      <c r="AA21" s="14">
        <f t="shared" si="6"/>
        <v>3170.2999999999997</v>
      </c>
      <c r="AB21" s="87">
        <v>6155668</v>
      </c>
      <c r="AC21" s="86">
        <f t="shared" si="10"/>
        <v>6126507</v>
      </c>
      <c r="AD21" s="5">
        <f t="shared" si="3"/>
        <v>29161</v>
      </c>
      <c r="AE21" s="83">
        <f t="shared" si="11"/>
        <v>9687.1383949999999</v>
      </c>
      <c r="AF21" s="83">
        <f>88153.8-88100.7</f>
        <v>53.100000000005821</v>
      </c>
      <c r="AG21" s="83">
        <f>46357.1-46335.2</f>
        <v>21.900000000001455</v>
      </c>
      <c r="AH21" s="83">
        <f>27855.5-27838.6</f>
        <v>16.900000000001455</v>
      </c>
      <c r="AI21" s="87">
        <f t="shared" si="12"/>
        <v>44729.5</v>
      </c>
      <c r="AJ21" s="87">
        <v>44761.2</v>
      </c>
      <c r="AK21" s="48">
        <f t="shared" si="7"/>
        <v>31.69999999999709</v>
      </c>
      <c r="AL21" s="89">
        <f t="shared" si="4"/>
        <v>9013.7408140521711</v>
      </c>
      <c r="AM21" s="83">
        <f t="shared" si="13"/>
        <v>2994.3196297240611</v>
      </c>
      <c r="AN21" s="5">
        <v>77</v>
      </c>
      <c r="AO21" s="78">
        <f t="shared" si="5"/>
        <v>19627.366075000027</v>
      </c>
    </row>
    <row r="22" spans="1:41" x14ac:dyDescent="0.25">
      <c r="A22" s="79">
        <v>44394</v>
      </c>
      <c r="B22" s="86">
        <f>12172074-12167363</f>
        <v>4711</v>
      </c>
      <c r="C22" s="86">
        <f>7765272-7761299</f>
        <v>3973</v>
      </c>
      <c r="D22" s="86">
        <f>1529880-1529059</f>
        <v>821</v>
      </c>
      <c r="E22" s="86">
        <f>11600949-11594987</f>
        <v>5962</v>
      </c>
      <c r="F22" s="86">
        <f>11519593-11513541</f>
        <v>6052</v>
      </c>
      <c r="G22" s="86">
        <f>8339211-8336080</f>
        <v>3131</v>
      </c>
      <c r="H22" s="86">
        <f>8589781-8586143</f>
        <v>3638</v>
      </c>
      <c r="I22" s="86">
        <f>5219400-5217077</f>
        <v>2323</v>
      </c>
      <c r="J22" s="86">
        <f>11609701-11602470</f>
        <v>7231</v>
      </c>
      <c r="K22" s="86">
        <f t="shared" si="14"/>
        <v>28288</v>
      </c>
      <c r="L22" s="14">
        <f t="shared" si="8"/>
        <v>5657.6</v>
      </c>
      <c r="M22" s="83">
        <f>80670.341-80531.618</f>
        <v>138.72299999999814</v>
      </c>
      <c r="N22" s="83">
        <f>4342.942-4341.23</f>
        <v>1.7120000000004438</v>
      </c>
      <c r="O22" s="83">
        <f>9510.581-9509.415</f>
        <v>1.1659999999992579</v>
      </c>
      <c r="P22" s="82">
        <f>91457.513-91390.54</f>
        <v>66.973000000012689</v>
      </c>
      <c r="Q22" s="83">
        <f>24475.302-24468.3</f>
        <v>7.0020000000004075</v>
      </c>
      <c r="R22" s="83">
        <f t="shared" si="0"/>
        <v>69.851000000012391</v>
      </c>
      <c r="S22" s="83">
        <f t="shared" si="1"/>
        <v>547.6318400000971</v>
      </c>
      <c r="T22" s="83">
        <f t="shared" si="2"/>
        <v>145.72499999999854</v>
      </c>
      <c r="U22" s="83">
        <f t="shared" si="15"/>
        <v>1142.4839999999886</v>
      </c>
      <c r="V22" s="83">
        <f>357705.5-357537.6</f>
        <v>167.90000000002328</v>
      </c>
      <c r="W22" s="83">
        <f t="shared" si="16"/>
        <v>0</v>
      </c>
      <c r="X22" s="86" t="s">
        <v>63</v>
      </c>
      <c r="Y22" s="87">
        <v>865763</v>
      </c>
      <c r="Z22" s="5">
        <f t="shared" si="9"/>
        <v>450</v>
      </c>
      <c r="AA22" s="14">
        <f t="shared" si="6"/>
        <v>2911.5</v>
      </c>
      <c r="AB22" s="87">
        <v>6185548</v>
      </c>
      <c r="AC22" s="86">
        <f t="shared" si="10"/>
        <v>6155668</v>
      </c>
      <c r="AD22" s="5">
        <f t="shared" si="3"/>
        <v>29880</v>
      </c>
      <c r="AE22" s="83">
        <f t="shared" si="11"/>
        <v>9925.9866000000002</v>
      </c>
      <c r="AF22" s="83">
        <f>88206.9-88153.8</f>
        <v>53.099999999991269</v>
      </c>
      <c r="AG22" s="83">
        <f>46380.4-46357.1</f>
        <v>23.30000000000291</v>
      </c>
      <c r="AH22" s="83">
        <f>27872.8-27855.5</f>
        <v>17.299999999999272</v>
      </c>
      <c r="AI22" s="87">
        <f t="shared" si="12"/>
        <v>44761.2</v>
      </c>
      <c r="AJ22" s="87">
        <v>44794.8</v>
      </c>
      <c r="AK22" s="48">
        <f t="shared" si="7"/>
        <v>33.600000000005821</v>
      </c>
      <c r="AL22" s="89">
        <f t="shared" si="4"/>
        <v>9553.9965726256542</v>
      </c>
      <c r="AM22" s="83">
        <f t="shared" si="13"/>
        <v>3173.7898914433795</v>
      </c>
      <c r="AN22" s="5">
        <v>52</v>
      </c>
      <c r="AO22" s="78">
        <f t="shared" si="5"/>
        <v>19637.570599999988</v>
      </c>
    </row>
    <row r="23" spans="1:41" x14ac:dyDescent="0.25">
      <c r="A23" s="79">
        <v>44395</v>
      </c>
      <c r="B23" s="86">
        <f>12176627-12172074</f>
        <v>4553</v>
      </c>
      <c r="C23" s="86">
        <f>7769148-7765272</f>
        <v>3876</v>
      </c>
      <c r="D23" s="86">
        <f>1530662-1529880</f>
        <v>782</v>
      </c>
      <c r="E23" s="86">
        <f>11606549-11600949</f>
        <v>5600</v>
      </c>
      <c r="F23" s="86">
        <f>11525297-11519593</f>
        <v>5704</v>
      </c>
      <c r="G23" s="86">
        <f>8342112-8339211</f>
        <v>2901</v>
      </c>
      <c r="H23" s="86">
        <f>8593228-8589781</f>
        <v>3447</v>
      </c>
      <c r="I23" s="86">
        <f>5221585-5219400</f>
        <v>2185</v>
      </c>
      <c r="J23" s="86">
        <f>11616375-11609701</f>
        <v>6674</v>
      </c>
      <c r="K23" s="86">
        <f t="shared" si="14"/>
        <v>26863</v>
      </c>
      <c r="L23" s="14">
        <f t="shared" si="8"/>
        <v>5372.6</v>
      </c>
      <c r="M23" s="83">
        <f>80773.129-80670.341</f>
        <v>102.78800000000047</v>
      </c>
      <c r="N23" s="83">
        <f>4344.137-4342.942</f>
        <v>1.194999999999709</v>
      </c>
      <c r="O23" s="83">
        <f>9511.73-9510.581</f>
        <v>1.1489999999994325</v>
      </c>
      <c r="P23" s="82">
        <f>91521.984-91457.513</f>
        <v>64.470999999990454</v>
      </c>
      <c r="Q23" s="83">
        <f>24487.085-24475.302</f>
        <v>11.782999999999447</v>
      </c>
      <c r="R23" s="83">
        <f t="shared" si="0"/>
        <v>66.814999999989595</v>
      </c>
      <c r="S23" s="83">
        <f t="shared" si="1"/>
        <v>523.8295999999184</v>
      </c>
      <c r="T23" s="83">
        <f t="shared" si="2"/>
        <v>114.57099999999991</v>
      </c>
      <c r="U23" s="83">
        <f t="shared" si="15"/>
        <v>898.23663999999928</v>
      </c>
      <c r="V23" s="83">
        <f>357859.7-357705.5</f>
        <v>154.20000000001164</v>
      </c>
      <c r="W23" s="83">
        <f t="shared" si="16"/>
        <v>0</v>
      </c>
      <c r="X23" s="86" t="s">
        <v>63</v>
      </c>
      <c r="Y23" s="87">
        <v>866181</v>
      </c>
      <c r="Z23" s="5">
        <f t="shared" si="9"/>
        <v>418</v>
      </c>
      <c r="AA23" s="14">
        <f t="shared" si="6"/>
        <v>2704.46</v>
      </c>
      <c r="AB23" s="87">
        <v>6213841</v>
      </c>
      <c r="AC23" s="86">
        <f t="shared" si="10"/>
        <v>6185548</v>
      </c>
      <c r="AD23" s="5">
        <f t="shared" si="3"/>
        <v>28293</v>
      </c>
      <c r="AE23" s="83">
        <f t="shared" si="11"/>
        <v>9398.7931349999999</v>
      </c>
      <c r="AF23" s="83">
        <f>88257.1-88206.9</f>
        <v>50.200000000011642</v>
      </c>
      <c r="AG23" s="83">
        <f>46403.1-46380.4</f>
        <v>22.69999999999709</v>
      </c>
      <c r="AH23" s="83">
        <f>27889.4-27872.8</f>
        <v>16.600000000002183</v>
      </c>
      <c r="AI23" s="87">
        <f t="shared" si="12"/>
        <v>44794.8</v>
      </c>
      <c r="AJ23" s="87">
        <v>44827</v>
      </c>
      <c r="AK23" s="48">
        <f t="shared" si="7"/>
        <v>32.19999999999709</v>
      </c>
      <c r="AL23" s="89">
        <f t="shared" si="4"/>
        <v>9155.9133820971711</v>
      </c>
      <c r="AM23" s="83">
        <f t="shared" si="13"/>
        <v>3041.54864596577</v>
      </c>
      <c r="AN23" s="5">
        <v>35</v>
      </c>
      <c r="AO23" s="78">
        <f t="shared" si="5"/>
        <v>18374.089775</v>
      </c>
    </row>
    <row r="24" spans="1:41" x14ac:dyDescent="0.25">
      <c r="A24" s="79">
        <v>44396</v>
      </c>
      <c r="B24" s="86">
        <f>12181313-12176627</f>
        <v>4686</v>
      </c>
      <c r="C24" s="86">
        <f>7773075-7769148</f>
        <v>3927</v>
      </c>
      <c r="D24" s="86">
        <f>1531408-1530662</f>
        <v>746</v>
      </c>
      <c r="E24" s="86">
        <f>11612225-11606549</f>
        <v>5676</v>
      </c>
      <c r="F24" s="86">
        <f>11530969-11525297</f>
        <v>5672</v>
      </c>
      <c r="G24" s="86">
        <f>8345127-8342112</f>
        <v>3015</v>
      </c>
      <c r="H24" s="86">
        <f>8598834-8593228</f>
        <v>5606</v>
      </c>
      <c r="I24" s="86">
        <f>5223772-5221585</f>
        <v>2187</v>
      </c>
      <c r="J24" s="86">
        <f>11622985-11616375</f>
        <v>6610</v>
      </c>
      <c r="K24" s="86">
        <f t="shared" si="14"/>
        <v>29328</v>
      </c>
      <c r="L24" s="14">
        <f t="shared" si="8"/>
        <v>5865.6</v>
      </c>
      <c r="M24" s="83">
        <f>80876.718-80773.129</f>
        <v>103.58899999999267</v>
      </c>
      <c r="N24" s="83">
        <f>4346.083-4344.137</f>
        <v>1.9459999999999127</v>
      </c>
      <c r="O24" s="83">
        <f>9513.142-9511.73</f>
        <v>1.4120000000002619</v>
      </c>
      <c r="P24" s="82">
        <f>91579.885-91521.984</f>
        <v>57.900999999998021</v>
      </c>
      <c r="Q24" s="83">
        <f>24502.45-24487.085</f>
        <v>15.365000000001601</v>
      </c>
      <c r="R24" s="83">
        <f t="shared" si="0"/>
        <v>61.258999999998196</v>
      </c>
      <c r="S24" s="83">
        <f t="shared" si="1"/>
        <v>480.27055999998584</v>
      </c>
      <c r="T24" s="83">
        <f t="shared" si="2"/>
        <v>118.95399999999427</v>
      </c>
      <c r="U24" s="83">
        <f t="shared" si="15"/>
        <v>932.59935999995503</v>
      </c>
      <c r="V24" s="83">
        <f>358010.7-357859.7</f>
        <v>151</v>
      </c>
      <c r="W24" s="83">
        <f t="shared" si="16"/>
        <v>0</v>
      </c>
      <c r="X24" s="86" t="s">
        <v>63</v>
      </c>
      <c r="Y24" s="87">
        <v>866587</v>
      </c>
      <c r="Z24" s="5">
        <f t="shared" si="9"/>
        <v>406</v>
      </c>
      <c r="AA24" s="14">
        <f t="shared" si="6"/>
        <v>2626.8199999999997</v>
      </c>
      <c r="AB24" s="87">
        <v>6244126</v>
      </c>
      <c r="AC24" s="86">
        <f t="shared" si="10"/>
        <v>6213841</v>
      </c>
      <c r="AD24" s="5">
        <f t="shared" si="3"/>
        <v>30285</v>
      </c>
      <c r="AE24" s="83">
        <f t="shared" si="11"/>
        <v>10060.525575</v>
      </c>
      <c r="AF24" s="83">
        <f>88310.1-88257.1</f>
        <v>53</v>
      </c>
      <c r="AG24" s="83">
        <f>46433.6-46403.1</f>
        <v>30.5</v>
      </c>
      <c r="AH24" s="83">
        <f>27905.3-27889.4</f>
        <v>15.899999999997817</v>
      </c>
      <c r="AI24" s="87">
        <f t="shared" si="12"/>
        <v>44827</v>
      </c>
      <c r="AJ24" s="87">
        <v>44858.9</v>
      </c>
      <c r="AK24" s="48">
        <f t="shared" si="7"/>
        <v>31.900000000001455</v>
      </c>
      <c r="AL24" s="89">
        <f t="shared" si="4"/>
        <v>9070.6098412714127</v>
      </c>
      <c r="AM24" s="83">
        <f t="shared" si="13"/>
        <v>3013.2112362211569</v>
      </c>
      <c r="AN24" s="5">
        <v>24</v>
      </c>
      <c r="AO24" s="78">
        <f t="shared" si="5"/>
        <v>19485.544934999954</v>
      </c>
    </row>
    <row r="25" spans="1:41" x14ac:dyDescent="0.25">
      <c r="A25" s="79">
        <v>44397</v>
      </c>
      <c r="B25" s="86">
        <f>12186044-12181313</f>
        <v>4731</v>
      </c>
      <c r="C25" s="86">
        <f>7777029-7773075</f>
        <v>3954</v>
      </c>
      <c r="D25" s="86">
        <f>1532136-1531408</f>
        <v>728</v>
      </c>
      <c r="E25" s="86">
        <f>11617908-11612225</f>
        <v>5683</v>
      </c>
      <c r="F25" s="86">
        <f>11536644-11530969</f>
        <v>5675</v>
      </c>
      <c r="G25" s="86">
        <f>8348226-8345127</f>
        <v>3099</v>
      </c>
      <c r="H25" s="86">
        <f>8606888-8598834</f>
        <v>8054</v>
      </c>
      <c r="I25" s="86">
        <f>5225956-5223772</f>
        <v>2184</v>
      </c>
      <c r="J25" s="86">
        <f>11629761-11622985</f>
        <v>6776</v>
      </c>
      <c r="K25" s="86">
        <f t="shared" si="14"/>
        <v>31924</v>
      </c>
      <c r="L25" s="14">
        <f t="shared" si="8"/>
        <v>6384.8</v>
      </c>
      <c r="M25" s="83">
        <f>80978.647-80876.718</f>
        <v>101.92900000000373</v>
      </c>
      <c r="N25" s="83">
        <f>4348.071-4346.083</f>
        <v>1.9880000000002838</v>
      </c>
      <c r="O25" s="83">
        <f>9514.63-9513.142</f>
        <v>1.4879999999993743</v>
      </c>
      <c r="P25" s="82">
        <f>91643.821-91579.885</f>
        <v>63.936000000001513</v>
      </c>
      <c r="Q25" s="83">
        <f>24512.474-24502.45</f>
        <v>10.023999999997613</v>
      </c>
      <c r="R25" s="83">
        <f t="shared" si="0"/>
        <v>67.412000000001171</v>
      </c>
      <c r="S25" s="83">
        <f t="shared" si="1"/>
        <v>528.51008000000922</v>
      </c>
      <c r="T25" s="83">
        <f t="shared" si="2"/>
        <v>111.95300000000134</v>
      </c>
      <c r="U25" s="83">
        <f t="shared" si="15"/>
        <v>877.71152000001052</v>
      </c>
      <c r="V25" s="83">
        <f>358164.6-358010.7</f>
        <v>153.89999999996508</v>
      </c>
      <c r="W25" s="83">
        <f t="shared" si="16"/>
        <v>0</v>
      </c>
      <c r="X25" s="86" t="s">
        <v>63</v>
      </c>
      <c r="Y25" s="87">
        <v>866994</v>
      </c>
      <c r="Z25" s="5">
        <f t="shared" si="9"/>
        <v>407</v>
      </c>
      <c r="AA25" s="14">
        <f t="shared" si="6"/>
        <v>2633.29</v>
      </c>
      <c r="AB25" s="87">
        <v>6278354</v>
      </c>
      <c r="AC25" s="86">
        <f t="shared" si="10"/>
        <v>6244126</v>
      </c>
      <c r="AD25" s="5">
        <f t="shared" si="3"/>
        <v>34228</v>
      </c>
      <c r="AE25" s="83">
        <f t="shared" si="11"/>
        <v>11370.37046</v>
      </c>
      <c r="AF25" s="83">
        <f>88368-88310.1</f>
        <v>57.899999999994179</v>
      </c>
      <c r="AG25" s="83">
        <f>46474.8-46433.6</f>
        <v>41.200000000004366</v>
      </c>
      <c r="AH25" s="83">
        <f>27920.9-27905.3</f>
        <v>15.600000000002183</v>
      </c>
      <c r="AI25" s="87">
        <f t="shared" si="12"/>
        <v>44858.9</v>
      </c>
      <c r="AJ25" s="87">
        <v>44892.800000000003</v>
      </c>
      <c r="AK25" s="48">
        <f t="shared" si="7"/>
        <v>33.900000000001455</v>
      </c>
      <c r="AL25" s="89">
        <f t="shared" si="4"/>
        <v>9639.3001134514125</v>
      </c>
      <c r="AM25" s="83">
        <f t="shared" si="13"/>
        <v>3202.1273011879921</v>
      </c>
      <c r="AN25" s="5">
        <v>57</v>
      </c>
      <c r="AO25" s="78">
        <f t="shared" si="5"/>
        <v>21266.171980000014</v>
      </c>
    </row>
    <row r="26" spans="1:41" x14ac:dyDescent="0.25">
      <c r="A26" s="79">
        <v>44398</v>
      </c>
      <c r="B26" s="86">
        <f>12190992-12186044</f>
        <v>4948</v>
      </c>
      <c r="C26" s="86">
        <f>7780872-7777029</f>
        <v>3843</v>
      </c>
      <c r="D26" s="86">
        <f>1533010-1532136</f>
        <v>874</v>
      </c>
      <c r="E26" s="86">
        <f>11624013-11617908</f>
        <v>6105</v>
      </c>
      <c r="F26" s="86">
        <f>11542606-11536644</f>
        <v>5962</v>
      </c>
      <c r="G26" s="86">
        <f>8351554-8348226</f>
        <v>3328</v>
      </c>
      <c r="H26" s="86">
        <f>8615456-8606888</f>
        <v>8568</v>
      </c>
      <c r="I26" s="86">
        <f>5228180-5225956</f>
        <v>2224</v>
      </c>
      <c r="J26" s="86">
        <f>11636771-11629761</f>
        <v>7010</v>
      </c>
      <c r="K26" s="86">
        <f t="shared" si="14"/>
        <v>33628</v>
      </c>
      <c r="L26" s="14">
        <f t="shared" si="8"/>
        <v>6725.6</v>
      </c>
      <c r="M26" s="83">
        <f>81111.905-80978.647</f>
        <v>133.25800000000163</v>
      </c>
      <c r="N26" s="83">
        <f>4349.539-4348.071</f>
        <v>1.4679999999998472</v>
      </c>
      <c r="O26" s="83">
        <f>9515.883-9514.63</f>
        <v>1.2530000000006112</v>
      </c>
      <c r="P26" s="82">
        <f>91714.986-91643.821</f>
        <v>71.165000000008149</v>
      </c>
      <c r="Q26" s="83">
        <f>24528.925-24512.474</f>
        <v>16.451000000000931</v>
      </c>
      <c r="R26" s="83">
        <f t="shared" si="0"/>
        <v>73.886000000008607</v>
      </c>
      <c r="S26" s="83">
        <f t="shared" si="1"/>
        <v>579.26624000006746</v>
      </c>
      <c r="T26" s="83">
        <f t="shared" si="2"/>
        <v>149.70900000000256</v>
      </c>
      <c r="U26" s="83">
        <f t="shared" si="15"/>
        <v>1173.71856000002</v>
      </c>
      <c r="V26" s="83">
        <f>358342.7-358164.6</f>
        <v>178.10000000003492</v>
      </c>
      <c r="W26" s="83">
        <f t="shared" si="16"/>
        <v>0</v>
      </c>
      <c r="X26" s="86" t="s">
        <v>63</v>
      </c>
      <c r="Y26" s="87">
        <v>867422</v>
      </c>
      <c r="Z26" s="5">
        <f t="shared" si="9"/>
        <v>428</v>
      </c>
      <c r="AA26" s="14">
        <f t="shared" si="6"/>
        <v>2769.16</v>
      </c>
      <c r="AB26" s="87">
        <v>6312107</v>
      </c>
      <c r="AC26" s="86">
        <f t="shared" si="10"/>
        <v>6278354</v>
      </c>
      <c r="AD26" s="5">
        <f t="shared" si="3"/>
        <v>33753</v>
      </c>
      <c r="AE26" s="83">
        <f t="shared" si="11"/>
        <v>11212.577835</v>
      </c>
      <c r="AF26" s="83">
        <f>88424.8-88368</f>
        <v>56.80000000000291</v>
      </c>
      <c r="AG26" s="83">
        <f>46517-46474.8</f>
        <v>42.19999999999709</v>
      </c>
      <c r="AH26" s="83">
        <f>27937-27920.9</f>
        <v>16.099999999998545</v>
      </c>
      <c r="AI26" s="87">
        <f t="shared" si="12"/>
        <v>44892.800000000003</v>
      </c>
      <c r="AJ26" s="87">
        <v>44927.199999999997</v>
      </c>
      <c r="AK26" s="48">
        <f t="shared" si="7"/>
        <v>34.399999999994179</v>
      </c>
      <c r="AL26" s="89">
        <f t="shared" si="4"/>
        <v>9781.4726814943442</v>
      </c>
      <c r="AM26" s="83">
        <f t="shared" si="13"/>
        <v>3249.3563174290139</v>
      </c>
      <c r="AN26" s="5">
        <v>108</v>
      </c>
      <c r="AO26" s="78">
        <f t="shared" si="5"/>
        <v>21881.056395000021</v>
      </c>
    </row>
    <row r="27" spans="1:41" x14ac:dyDescent="0.25">
      <c r="A27" s="79">
        <v>44399</v>
      </c>
      <c r="B27" s="86">
        <f>12195746-12190992</f>
        <v>4754</v>
      </c>
      <c r="C27" s="86">
        <f>7784458-7780872</f>
        <v>3586</v>
      </c>
      <c r="D27" s="86">
        <f>1533677-1533010</f>
        <v>667</v>
      </c>
      <c r="E27" s="86">
        <f>11629707-11624013</f>
        <v>5694</v>
      </c>
      <c r="F27" s="86">
        <f>11548306-11542606</f>
        <v>5700</v>
      </c>
      <c r="G27" s="86">
        <f>8354858-8351554</f>
        <v>3304</v>
      </c>
      <c r="H27" s="86">
        <f>8623657-8615456</f>
        <v>8201</v>
      </c>
      <c r="I27" s="86">
        <f>5230351-5228180</f>
        <v>2171</v>
      </c>
      <c r="J27" s="86">
        <f>11643527-11636771</f>
        <v>6756</v>
      </c>
      <c r="K27" s="86">
        <f t="shared" si="14"/>
        <v>31906</v>
      </c>
      <c r="L27" s="14">
        <f t="shared" si="8"/>
        <v>6381.2000000000007</v>
      </c>
      <c r="M27" s="83">
        <f>81232.302-81111.905</f>
        <v>120.39699999999721</v>
      </c>
      <c r="N27" s="83">
        <f>4351.127-4349.539</f>
        <v>1.5880000000006476</v>
      </c>
      <c r="O27" s="83">
        <f>9516.934-9515.883</f>
        <v>1.0509999999994761</v>
      </c>
      <c r="P27" s="82">
        <f>91783.45-91714.986</f>
        <v>68.463999999992666</v>
      </c>
      <c r="Q27" s="83">
        <f>24538.878-24528.925</f>
        <v>9.9530000000013388</v>
      </c>
      <c r="R27" s="83">
        <f t="shared" si="0"/>
        <v>71.10299999999279</v>
      </c>
      <c r="S27" s="83">
        <f t="shared" si="1"/>
        <v>557.44751999994344</v>
      </c>
      <c r="T27" s="83">
        <f t="shared" si="2"/>
        <v>130.34999999999854</v>
      </c>
      <c r="U27" s="83">
        <f t="shared" si="15"/>
        <v>1021.9439999999886</v>
      </c>
      <c r="V27" s="83">
        <f>358514.9-358342.7</f>
        <v>172.20000000001164</v>
      </c>
      <c r="W27" s="83">
        <f t="shared" si="16"/>
        <v>0</v>
      </c>
      <c r="X27" s="86" t="s">
        <v>63</v>
      </c>
      <c r="Y27" s="87">
        <v>867863</v>
      </c>
      <c r="Z27" s="5">
        <f t="shared" si="9"/>
        <v>441</v>
      </c>
      <c r="AA27" s="14">
        <f t="shared" si="6"/>
        <v>2853.27</v>
      </c>
      <c r="AB27" s="87">
        <v>6341765</v>
      </c>
      <c r="AC27" s="86">
        <f t="shared" si="10"/>
        <v>6312107</v>
      </c>
      <c r="AD27" s="5">
        <f t="shared" si="3"/>
        <v>29658</v>
      </c>
      <c r="AE27" s="83">
        <f t="shared" si="11"/>
        <v>9852.2393100000008</v>
      </c>
      <c r="AF27" s="83">
        <f>88473.3-88424.8</f>
        <v>48.5</v>
      </c>
      <c r="AG27" s="83">
        <f>46555.9-46517</f>
        <v>38.900000000001455</v>
      </c>
      <c r="AH27" s="83">
        <f>27952.3-27937</f>
        <v>15.299999999999272</v>
      </c>
      <c r="AI27" s="87">
        <f t="shared" si="12"/>
        <v>44927.199999999997</v>
      </c>
      <c r="AJ27" s="87">
        <v>44958.2</v>
      </c>
      <c r="AK27" s="48">
        <f t="shared" si="7"/>
        <v>31</v>
      </c>
      <c r="AL27" s="89">
        <f t="shared" si="4"/>
        <v>8814.6992187899996</v>
      </c>
      <c r="AM27" s="83">
        <f t="shared" si="13"/>
        <v>2928.1990069859439</v>
      </c>
      <c r="AN27" s="5">
        <v>113</v>
      </c>
      <c r="AO27" s="78">
        <f t="shared" si="5"/>
        <v>20108.653309999991</v>
      </c>
    </row>
    <row r="28" spans="1:41" x14ac:dyDescent="0.25">
      <c r="A28" s="79">
        <v>44400</v>
      </c>
      <c r="B28" s="86">
        <f>12200800-12195746</f>
        <v>5054</v>
      </c>
      <c r="C28" s="86">
        <f>7788137-7784458</f>
        <v>3679</v>
      </c>
      <c r="D28" s="86">
        <f>1534471-1533677</f>
        <v>794</v>
      </c>
      <c r="E28" s="86">
        <f>11635659-11629707</f>
        <v>5952</v>
      </c>
      <c r="F28" s="86">
        <f>11554492-11548306</f>
        <v>6186</v>
      </c>
      <c r="G28" s="86">
        <f>8358297-8354858</f>
        <v>3439</v>
      </c>
      <c r="H28" s="86">
        <f>8631976-8623657</f>
        <v>8319</v>
      </c>
      <c r="I28" s="86">
        <f>5232619-5230351</f>
        <v>2268</v>
      </c>
      <c r="J28" s="86">
        <f>11650516-11643527</f>
        <v>6989</v>
      </c>
      <c r="K28" s="86">
        <f t="shared" si="14"/>
        <v>33423</v>
      </c>
      <c r="L28" s="14">
        <f t="shared" si="8"/>
        <v>6684.6</v>
      </c>
      <c r="M28" s="83">
        <f>81370.75-81232.302</f>
        <v>138.44800000000396</v>
      </c>
      <c r="N28" s="83">
        <f>4353.67-4351.127</f>
        <v>2.5429999999996653</v>
      </c>
      <c r="O28" s="83">
        <f>9519.437-9516.934</f>
        <v>2.5030000000006112</v>
      </c>
      <c r="P28" s="82">
        <f>91856.089-91783.45</f>
        <v>72.639000000010128</v>
      </c>
      <c r="Q28" s="83">
        <f>24552.745-24538.878</f>
        <v>13.86699999999837</v>
      </c>
      <c r="R28" s="83">
        <f t="shared" si="0"/>
        <v>77.685000000010405</v>
      </c>
      <c r="S28" s="83">
        <f t="shared" si="1"/>
        <v>609.05040000008159</v>
      </c>
      <c r="T28" s="83">
        <f t="shared" si="2"/>
        <v>152.31500000000233</v>
      </c>
      <c r="U28" s="83">
        <f t="shared" si="15"/>
        <v>1194.1496000000182</v>
      </c>
      <c r="V28" s="83">
        <f>358706.8-358514.9</f>
        <v>191.89999999996508</v>
      </c>
      <c r="W28" s="83">
        <f t="shared" si="16"/>
        <v>0</v>
      </c>
      <c r="X28" s="86" t="s">
        <v>63</v>
      </c>
      <c r="Y28" s="87">
        <v>868356</v>
      </c>
      <c r="Z28" s="5">
        <f t="shared" si="9"/>
        <v>493</v>
      </c>
      <c r="AA28" s="14">
        <f t="shared" si="6"/>
        <v>3189.71</v>
      </c>
      <c r="AB28" s="87">
        <v>6373497</v>
      </c>
      <c r="AC28" s="86">
        <f t="shared" si="10"/>
        <v>6341765</v>
      </c>
      <c r="AD28" s="5">
        <f t="shared" si="3"/>
        <v>31732</v>
      </c>
      <c r="AE28" s="83">
        <f t="shared" si="11"/>
        <v>10541.211740000001</v>
      </c>
      <c r="AF28" s="83">
        <f>88525.5-88473.3</f>
        <v>52.19999999999709</v>
      </c>
      <c r="AG28" s="83">
        <f>46594.9-46555.9</f>
        <v>39</v>
      </c>
      <c r="AH28" s="83">
        <f>27969.3-27952.3</f>
        <v>17</v>
      </c>
      <c r="AI28" s="87">
        <f t="shared" si="12"/>
        <v>44958.2</v>
      </c>
      <c r="AJ28" s="87">
        <v>44991.199999999997</v>
      </c>
      <c r="AK28" s="48">
        <f t="shared" si="7"/>
        <v>33</v>
      </c>
      <c r="AL28" s="89">
        <f t="shared" si="4"/>
        <v>9383.3894909699993</v>
      </c>
      <c r="AM28" s="83">
        <f t="shared" si="13"/>
        <v>3117.1150719527791</v>
      </c>
      <c r="AN28" s="5">
        <v>64</v>
      </c>
      <c r="AO28" s="78">
        <f t="shared" si="5"/>
        <v>21609.671340000019</v>
      </c>
    </row>
    <row r="29" spans="1:41" x14ac:dyDescent="0.25">
      <c r="A29" s="79">
        <v>44401</v>
      </c>
      <c r="B29" s="86">
        <f>12205531-12200800</f>
        <v>4731</v>
      </c>
      <c r="C29" s="86">
        <f>7791740-7788137</f>
        <v>3603</v>
      </c>
      <c r="D29" s="86">
        <f>1535226-1534471</f>
        <v>755</v>
      </c>
      <c r="E29" s="86">
        <f>11641488-11635659</f>
        <v>5829</v>
      </c>
      <c r="F29" s="86">
        <f>11560249-11554492</f>
        <v>5757</v>
      </c>
      <c r="G29" s="86">
        <f>8361373-8358297</f>
        <v>3076</v>
      </c>
      <c r="H29" s="86">
        <f>8639397-8631976</f>
        <v>7421</v>
      </c>
      <c r="I29" s="86">
        <f>5234847-5232619</f>
        <v>2228</v>
      </c>
      <c r="J29" s="86">
        <f>11657191-11650516</f>
        <v>6675</v>
      </c>
      <c r="K29" s="86">
        <f t="shared" si="14"/>
        <v>31172</v>
      </c>
      <c r="L29" s="14">
        <f t="shared" si="8"/>
        <v>6234.4000000000005</v>
      </c>
      <c r="M29" s="83">
        <f>81516.899-81370.75</f>
        <v>146.14900000000489</v>
      </c>
      <c r="N29" s="83">
        <f>4359.188-4353.67</f>
        <v>5.5180000000000291</v>
      </c>
      <c r="O29" s="83">
        <f>9522.779-9519.437</f>
        <v>3.342000000000553</v>
      </c>
      <c r="P29" s="82">
        <f>91783.45-91714.986</f>
        <v>68.463999999992666</v>
      </c>
      <c r="Q29" s="83">
        <f>24538.878-24528.925</f>
        <v>9.9530000000013388</v>
      </c>
      <c r="R29" s="83">
        <f t="shared" si="0"/>
        <v>77.323999999993248</v>
      </c>
      <c r="S29" s="83">
        <f t="shared" si="1"/>
        <v>606.2201599999471</v>
      </c>
      <c r="T29" s="83">
        <f t="shared" si="2"/>
        <v>156.10200000000623</v>
      </c>
      <c r="U29" s="83">
        <f t="shared" si="15"/>
        <v>1223.8396800000487</v>
      </c>
      <c r="V29" s="83">
        <f>358863.9-358706.8</f>
        <v>157.10000000003492</v>
      </c>
      <c r="W29" s="83">
        <f t="shared" si="16"/>
        <v>0</v>
      </c>
      <c r="X29" s="86" t="s">
        <v>63</v>
      </c>
      <c r="Y29" s="87">
        <v>868794</v>
      </c>
      <c r="Z29" s="5">
        <f t="shared" si="9"/>
        <v>438</v>
      </c>
      <c r="AA29" s="14">
        <f t="shared" si="6"/>
        <v>2833.8599999999997</v>
      </c>
      <c r="AB29" s="87">
        <v>6404207</v>
      </c>
      <c r="AC29" s="86">
        <f t="shared" si="10"/>
        <v>6373497</v>
      </c>
      <c r="AD29" s="5">
        <f t="shared" si="3"/>
        <v>30710</v>
      </c>
      <c r="AE29" s="83">
        <f t="shared" si="11"/>
        <v>10201.70845</v>
      </c>
      <c r="AF29" s="83">
        <f>88576.9-88525.5</f>
        <v>51.399999999994179</v>
      </c>
      <c r="AG29" s="83">
        <f>46628.4-46594.9</f>
        <v>33.5</v>
      </c>
      <c r="AH29" s="83">
        <f>27986.4-27969.3</f>
        <v>17.100000000002183</v>
      </c>
      <c r="AI29" s="87">
        <f t="shared" si="12"/>
        <v>44991.199999999997</v>
      </c>
      <c r="AJ29" s="87">
        <v>45022.9</v>
      </c>
      <c r="AK29" s="48">
        <f t="shared" si="7"/>
        <v>31.700000000004366</v>
      </c>
      <c r="AL29" s="89">
        <f t="shared" si="4"/>
        <v>9013.7408140542411</v>
      </c>
      <c r="AM29" s="83">
        <f t="shared" si="13"/>
        <v>2994.3196297247487</v>
      </c>
      <c r="AN29" s="5">
        <v>33</v>
      </c>
      <c r="AO29" s="78">
        <f t="shared" si="5"/>
        <v>20493.808130000049</v>
      </c>
    </row>
    <row r="30" spans="1:41" x14ac:dyDescent="0.25">
      <c r="A30" s="79">
        <v>44402</v>
      </c>
      <c r="B30" s="86">
        <f>12210412-12205531</f>
        <v>4881</v>
      </c>
      <c r="C30" s="86">
        <f>7795671-7791740</f>
        <v>3931</v>
      </c>
      <c r="D30" s="86">
        <f>1535964-1535226</f>
        <v>738</v>
      </c>
      <c r="E30" s="86">
        <f>11647496-11641488</f>
        <v>6008</v>
      </c>
      <c r="F30" s="86">
        <f>11566054-11560249</f>
        <v>5805</v>
      </c>
      <c r="G30" s="86">
        <f>8364469-8361373</f>
        <v>3096</v>
      </c>
      <c r="H30" s="86">
        <f>8647361-8639397</f>
        <v>7964</v>
      </c>
      <c r="I30" s="86">
        <f>5237151-5234847</f>
        <v>2304</v>
      </c>
      <c r="J30" s="86">
        <f>11663917-11657191</f>
        <v>6726</v>
      </c>
      <c r="K30" s="86">
        <f t="shared" si="14"/>
        <v>32423</v>
      </c>
      <c r="L30" s="14">
        <f t="shared" si="8"/>
        <v>6484.6</v>
      </c>
      <c r="M30" s="83">
        <f>81662.411-81516.899</f>
        <v>145.51199999998789</v>
      </c>
      <c r="N30" s="83">
        <f>4365.817-4359.189</f>
        <v>6.6279999999997017</v>
      </c>
      <c r="O30" s="83">
        <f>9527.618-9522.779</f>
        <v>4.8389999999999418</v>
      </c>
      <c r="P30" s="82">
        <f>91975.665-91917.842</f>
        <v>57.822999999989406</v>
      </c>
      <c r="Q30" s="83">
        <f>24586.21-24574.09</f>
        <v>12.119999999998981</v>
      </c>
      <c r="R30" s="83">
        <f t="shared" si="0"/>
        <v>69.28999999998905</v>
      </c>
      <c r="S30" s="83">
        <f t="shared" si="1"/>
        <v>543.23359999991419</v>
      </c>
      <c r="T30" s="83">
        <f t="shared" si="2"/>
        <v>157.63199999998687</v>
      </c>
      <c r="U30" s="83">
        <f t="shared" si="15"/>
        <v>1235.8348799998971</v>
      </c>
      <c r="V30" s="83">
        <f>359033.4-358863.9</f>
        <v>169.5</v>
      </c>
      <c r="W30" s="83">
        <f t="shared" si="16"/>
        <v>0</v>
      </c>
      <c r="X30" s="86" t="s">
        <v>63</v>
      </c>
      <c r="Y30" s="87">
        <v>869202</v>
      </c>
      <c r="Z30" s="5">
        <f t="shared" si="9"/>
        <v>408</v>
      </c>
      <c r="AA30" s="14">
        <f t="shared" si="6"/>
        <v>2639.7599999999998</v>
      </c>
      <c r="AB30" s="87">
        <v>6437663.5</v>
      </c>
      <c r="AC30" s="86">
        <f t="shared" si="10"/>
        <v>6404207</v>
      </c>
      <c r="AD30" s="5">
        <f t="shared" si="3"/>
        <v>33456.5</v>
      </c>
      <c r="AE30" s="83">
        <f t="shared" si="11"/>
        <v>11114.082017500001</v>
      </c>
      <c r="AF30" s="83">
        <f>88633.1-88576.9</f>
        <v>56.200000000011642</v>
      </c>
      <c r="AG30" s="83">
        <f>46666.6-46628.4</f>
        <v>38.19999999999709</v>
      </c>
      <c r="AH30" s="83">
        <f>28004.1-27986.4</f>
        <v>17.69999999999709</v>
      </c>
      <c r="AI30" s="87">
        <f t="shared" si="12"/>
        <v>45022.9</v>
      </c>
      <c r="AJ30" s="87">
        <v>45055.5</v>
      </c>
      <c r="AK30" s="48">
        <f t="shared" si="7"/>
        <v>32.599999999998545</v>
      </c>
      <c r="AL30" s="89">
        <f t="shared" si="4"/>
        <v>9269.6514365335861</v>
      </c>
      <c r="AM30" s="83">
        <f t="shared" si="13"/>
        <v>3079.331858959275</v>
      </c>
      <c r="AN30" s="5">
        <v>48</v>
      </c>
      <c r="AO30" s="78">
        <f t="shared" si="5"/>
        <v>21474.276897499898</v>
      </c>
    </row>
    <row r="31" spans="1:41" x14ac:dyDescent="0.25">
      <c r="A31" s="79">
        <v>44403</v>
      </c>
      <c r="B31" s="86">
        <f>12215240-12210412</f>
        <v>4828</v>
      </c>
      <c r="C31" s="86">
        <f>7799940-7795671</f>
        <v>4269</v>
      </c>
      <c r="D31" s="86">
        <f>1536719-1535964</f>
        <v>755</v>
      </c>
      <c r="E31" s="86">
        <f>11653695-11647496</f>
        <v>6199</v>
      </c>
      <c r="F31" s="86">
        <f>11572051-11566054</f>
        <v>5997</v>
      </c>
      <c r="G31" s="86">
        <f>8367787-8364469</f>
        <v>3318</v>
      </c>
      <c r="H31" s="86">
        <f>8655941-8647361</f>
        <v>8580</v>
      </c>
      <c r="I31" s="86">
        <f>5239528-5237151</f>
        <v>2377</v>
      </c>
      <c r="J31" s="86">
        <f>11670850-11663917</f>
        <v>6933</v>
      </c>
      <c r="K31" s="86">
        <f t="shared" si="14"/>
        <v>33946</v>
      </c>
      <c r="L31" s="14">
        <f t="shared" si="8"/>
        <v>6789.2000000000007</v>
      </c>
      <c r="M31" s="83">
        <f>81755.313-81662.411</f>
        <v>92.902000000001863</v>
      </c>
      <c r="N31" s="83">
        <f>4373.213-4365.817</f>
        <v>7.3959999999997308</v>
      </c>
      <c r="O31" s="83">
        <f>9532.128-9527.618</f>
        <v>4.5100000000002183</v>
      </c>
      <c r="P31" s="82">
        <f>92034.927-91975.665</f>
        <v>59.262000000002445</v>
      </c>
      <c r="Q31" s="83">
        <f>24602.899-24586.21</f>
        <v>16.689000000002125</v>
      </c>
      <c r="R31" s="83">
        <f t="shared" si="0"/>
        <v>71.168000000002394</v>
      </c>
      <c r="S31" s="83">
        <f t="shared" si="1"/>
        <v>557.95712000001879</v>
      </c>
      <c r="T31" s="83">
        <f t="shared" si="2"/>
        <v>109.59100000000399</v>
      </c>
      <c r="U31" s="83">
        <f t="shared" si="15"/>
        <v>859.19344000003127</v>
      </c>
      <c r="V31" s="83">
        <f>359200.4-359033.4</f>
        <v>167</v>
      </c>
      <c r="W31" s="83">
        <f t="shared" si="16"/>
        <v>0</v>
      </c>
      <c r="X31" s="86" t="s">
        <v>63</v>
      </c>
      <c r="Y31" s="87">
        <v>869634</v>
      </c>
      <c r="Z31" s="5">
        <f t="shared" si="9"/>
        <v>432</v>
      </c>
      <c r="AA31" s="14">
        <f t="shared" si="6"/>
        <v>2795.04</v>
      </c>
      <c r="AB31" s="87">
        <v>6472408.5</v>
      </c>
      <c r="AC31" s="86">
        <f t="shared" si="10"/>
        <v>6437663.5</v>
      </c>
      <c r="AD31" s="5">
        <f t="shared" si="3"/>
        <v>34745</v>
      </c>
      <c r="AE31" s="83">
        <f t="shared" si="11"/>
        <v>11542.115275</v>
      </c>
      <c r="AF31" s="83">
        <f>88691.5-88633.1</f>
        <v>58.399999999994179</v>
      </c>
      <c r="AG31" s="83">
        <f>46709.5-46666.6</f>
        <v>42.900000000001455</v>
      </c>
      <c r="AH31" s="83">
        <f>28021.7-28004.1</f>
        <v>17.600000000002183</v>
      </c>
      <c r="AI31" s="87">
        <f t="shared" si="12"/>
        <v>45055.5</v>
      </c>
      <c r="AJ31" s="87">
        <v>45089.5</v>
      </c>
      <c r="AK31" s="48">
        <f t="shared" si="7"/>
        <v>34</v>
      </c>
      <c r="AL31" s="89">
        <f t="shared" si="4"/>
        <v>9667.7346270599992</v>
      </c>
      <c r="AM31" s="83">
        <f t="shared" si="13"/>
        <v>3211.5731044361964</v>
      </c>
      <c r="AN31" s="5">
        <v>51</v>
      </c>
      <c r="AO31" s="78">
        <f t="shared" si="5"/>
        <v>21985.548715000034</v>
      </c>
    </row>
    <row r="32" spans="1:41" x14ac:dyDescent="0.25">
      <c r="A32" s="79">
        <v>44404</v>
      </c>
      <c r="B32" s="86">
        <f>12219676-12215240</f>
        <v>4436</v>
      </c>
      <c r="C32" s="86">
        <f>7803861-7799940</f>
        <v>3921</v>
      </c>
      <c r="D32" s="86">
        <f>1537458-1536719</f>
        <v>739</v>
      </c>
      <c r="E32" s="86">
        <f>11659080-11653695</f>
        <v>5385</v>
      </c>
      <c r="F32" s="86">
        <f>11577861-11572051</f>
        <v>5810</v>
      </c>
      <c r="G32" s="86">
        <f>8370925-8367787</f>
        <v>3138</v>
      </c>
      <c r="H32" s="86">
        <f>8664076-8655941</f>
        <v>8135</v>
      </c>
      <c r="I32" s="86">
        <f>5241853-5239528</f>
        <v>2325</v>
      </c>
      <c r="J32" s="86">
        <f>11677508-11670850</f>
        <v>6658</v>
      </c>
      <c r="K32" s="86">
        <f t="shared" si="14"/>
        <v>31564</v>
      </c>
      <c r="L32" s="14">
        <f t="shared" si="8"/>
        <v>6312.8</v>
      </c>
      <c r="M32" s="83">
        <f>81901.022-81755.313</f>
        <v>145.70900000000256</v>
      </c>
      <c r="N32" s="83">
        <f>4383.11-4373.21</f>
        <v>9.8999999999996362</v>
      </c>
      <c r="O32" s="83">
        <f>9537.196-9532.128</f>
        <v>5.0679999999993015</v>
      </c>
      <c r="P32" s="82">
        <f>92096.236-92034.93</f>
        <v>61.306000000011409</v>
      </c>
      <c r="Q32" s="83">
        <f>24619.458-24602.9</f>
        <v>16.557999999997264</v>
      </c>
      <c r="R32" s="83">
        <f t="shared" si="0"/>
        <v>76.274000000010346</v>
      </c>
      <c r="S32" s="83">
        <f t="shared" si="1"/>
        <v>597.98816000008105</v>
      </c>
      <c r="T32" s="83">
        <f t="shared" si="2"/>
        <v>162.26699999999983</v>
      </c>
      <c r="U32" s="83">
        <f t="shared" si="15"/>
        <v>1272.1732799999986</v>
      </c>
      <c r="V32" s="83">
        <f>359377.6-359200.4</f>
        <v>177.19999999995343</v>
      </c>
      <c r="W32" s="83">
        <f t="shared" si="16"/>
        <v>0</v>
      </c>
      <c r="X32" s="86" t="s">
        <v>63</v>
      </c>
      <c r="Y32" s="87">
        <v>870044</v>
      </c>
      <c r="Z32" s="5">
        <f t="shared" si="9"/>
        <v>410</v>
      </c>
      <c r="AA32" s="14">
        <f t="shared" si="6"/>
        <v>2652.7</v>
      </c>
      <c r="AB32" s="87">
        <v>6504841.0999999996</v>
      </c>
      <c r="AC32" s="86">
        <f t="shared" si="10"/>
        <v>6472408.5</v>
      </c>
      <c r="AD32" s="5">
        <f t="shared" si="3"/>
        <v>32432.599999999627</v>
      </c>
      <c r="AE32" s="83">
        <f t="shared" si="11"/>
        <v>10773.947556999878</v>
      </c>
      <c r="AF32" s="83">
        <f>88745.3-88691.5</f>
        <v>53.80000000000291</v>
      </c>
      <c r="AG32" s="83">
        <f>46749.9-46709.5</f>
        <v>40.400000000001455</v>
      </c>
      <c r="AH32" s="83">
        <f>28039.1-28021.7</f>
        <v>17.399999999997817</v>
      </c>
      <c r="AI32" s="87">
        <f t="shared" si="12"/>
        <v>45089.5</v>
      </c>
      <c r="AJ32" s="86">
        <v>45121.599999999999</v>
      </c>
      <c r="AK32" s="48">
        <f t="shared" si="7"/>
        <v>32.099999999998545</v>
      </c>
      <c r="AL32" s="89">
        <f t="shared" si="4"/>
        <v>9127.4788684885862</v>
      </c>
      <c r="AM32" s="83">
        <f t="shared" si="13"/>
        <v>3032.1028427175661</v>
      </c>
      <c r="AN32" s="5">
        <v>58</v>
      </c>
      <c r="AO32" s="78">
        <f t="shared" si="5"/>
        <v>21011.620836999879</v>
      </c>
    </row>
    <row r="33" spans="1:41" x14ac:dyDescent="0.25">
      <c r="A33" s="79">
        <v>44405</v>
      </c>
      <c r="B33" s="86">
        <f>12224186-12219676</f>
        <v>4510</v>
      </c>
      <c r="C33" s="86">
        <f>7808201-7803861</f>
        <v>4340</v>
      </c>
      <c r="D33" s="86">
        <f>1538150-1537458</f>
        <v>692</v>
      </c>
      <c r="E33" s="86">
        <f>11664683-11659080</f>
        <v>5603</v>
      </c>
      <c r="F33" s="86">
        <f>11583851-11577861</f>
        <v>5990</v>
      </c>
      <c r="G33" s="86">
        <f>8374065-8370925</f>
        <v>3140</v>
      </c>
      <c r="H33" s="86">
        <f>8672219-8664076</f>
        <v>8143</v>
      </c>
      <c r="I33" s="86">
        <f>5244193-5241853</f>
        <v>2340</v>
      </c>
      <c r="J33" s="86">
        <f>11684068-11677508</f>
        <v>6560</v>
      </c>
      <c r="K33" s="86">
        <f t="shared" si="14"/>
        <v>32418</v>
      </c>
      <c r="L33" s="14">
        <f t="shared" si="8"/>
        <v>6483.6</v>
      </c>
      <c r="M33" s="83">
        <f>82070.295-81901.022</f>
        <v>169.27300000000105</v>
      </c>
      <c r="N33" s="83">
        <f>4390.257-4383.11</f>
        <v>7.1469999999999345</v>
      </c>
      <c r="O33" s="83">
        <f>9542.267-9537.156</f>
        <v>5.1109999999989668</v>
      </c>
      <c r="P33" s="82">
        <f>92161.963-92096.236</f>
        <v>65.726999999998952</v>
      </c>
      <c r="Q33" s="83">
        <f>24632.402-24619.458</f>
        <v>12.943999999999505</v>
      </c>
      <c r="R33" s="83">
        <f t="shared" si="0"/>
        <v>77.984999999997854</v>
      </c>
      <c r="S33" s="83">
        <f t="shared" si="1"/>
        <v>611.40239999998312</v>
      </c>
      <c r="T33" s="83">
        <f t="shared" si="2"/>
        <v>182.21700000000055</v>
      </c>
      <c r="U33" s="83">
        <f t="shared" si="15"/>
        <v>1428.5812800000042</v>
      </c>
      <c r="V33" s="83">
        <f>359546.3-359377.6</f>
        <v>168.70000000001164</v>
      </c>
      <c r="W33" s="83">
        <f t="shared" si="16"/>
        <v>0</v>
      </c>
      <c r="X33" s="86" t="s">
        <v>63</v>
      </c>
      <c r="Y33" s="87">
        <v>870482</v>
      </c>
      <c r="Z33" s="5">
        <f t="shared" si="9"/>
        <v>438</v>
      </c>
      <c r="AA33" s="14">
        <f t="shared" si="6"/>
        <v>2833.8599999999997</v>
      </c>
      <c r="AB33" s="87">
        <v>6537563.7000000002</v>
      </c>
      <c r="AC33" s="86">
        <f t="shared" si="10"/>
        <v>6504841.0999999996</v>
      </c>
      <c r="AD33" s="5">
        <f t="shared" si="3"/>
        <v>32722.600000000559</v>
      </c>
      <c r="AE33" s="83">
        <f t="shared" si="11"/>
        <v>10870.284107000187</v>
      </c>
      <c r="AF33" s="83">
        <f>88798.7-88745.3</f>
        <v>53.399999999994179</v>
      </c>
      <c r="AG33" s="83">
        <f>46789.2-46749.9</f>
        <v>39.299999999995634</v>
      </c>
      <c r="AH33" s="83">
        <f>28056.9-28039.1</f>
        <v>17.80000000000291</v>
      </c>
      <c r="AI33" s="87">
        <f t="shared" si="12"/>
        <v>45121.599999999999</v>
      </c>
      <c r="AJ33" s="86">
        <v>45154.1</v>
      </c>
      <c r="AK33" s="48">
        <f t="shared" si="7"/>
        <v>32.5</v>
      </c>
      <c r="AL33" s="89">
        <f t="shared" si="4"/>
        <v>9241.2169229249994</v>
      </c>
      <c r="AM33" s="83">
        <f t="shared" si="13"/>
        <v>3069.8860557110702</v>
      </c>
      <c r="AN33" s="5">
        <v>45</v>
      </c>
      <c r="AO33" s="78">
        <f t="shared" si="5"/>
        <v>21616.325387000194</v>
      </c>
    </row>
    <row r="34" spans="1:41" x14ac:dyDescent="0.25">
      <c r="A34" s="79">
        <v>44406</v>
      </c>
      <c r="B34" s="86">
        <f>12228971-12224186</f>
        <v>4785</v>
      </c>
      <c r="C34" s="86">
        <f>7812670-7808201</f>
        <v>4469</v>
      </c>
      <c r="D34" s="86">
        <f>1538925-1538150</f>
        <v>775</v>
      </c>
      <c r="E34" s="86">
        <f>11670551-11664683</f>
        <v>5868</v>
      </c>
      <c r="F34" s="86">
        <f>11590104-11583851</f>
        <v>6253</v>
      </c>
      <c r="G34" s="86">
        <f>8377258-8374065</f>
        <v>3193</v>
      </c>
      <c r="H34" s="86">
        <f>8680626-8672219</f>
        <v>8407</v>
      </c>
      <c r="I34" s="86">
        <f>5246607-5244193</f>
        <v>2414</v>
      </c>
      <c r="J34" s="86">
        <f>11691350-11684068</f>
        <v>7282</v>
      </c>
      <c r="K34" s="86">
        <f t="shared" si="14"/>
        <v>33750</v>
      </c>
      <c r="L34" s="14">
        <f t="shared" si="8"/>
        <v>6750</v>
      </c>
      <c r="M34" s="83">
        <f>82176.955-82070.295</f>
        <v>106.66000000000349</v>
      </c>
      <c r="N34" s="83">
        <f>4398.459-4390.257</f>
        <v>8.2020000000002256</v>
      </c>
      <c r="O34" s="83">
        <f>9546.745-9542.267</f>
        <v>4.478000000000975</v>
      </c>
      <c r="P34" s="82">
        <f>92226.504-92161.963</f>
        <v>64.540999999997439</v>
      </c>
      <c r="Q34" s="83">
        <f>24650.098-24632.402</f>
        <v>17.696000000003551</v>
      </c>
      <c r="R34" s="83">
        <f t="shared" si="0"/>
        <v>77.220999999998639</v>
      </c>
      <c r="S34" s="83">
        <f t="shared" si="1"/>
        <v>605.41263999998932</v>
      </c>
      <c r="T34" s="83">
        <f t="shared" si="2"/>
        <v>124.35600000000704</v>
      </c>
      <c r="U34" s="83">
        <f t="shared" si="15"/>
        <v>974.95104000005517</v>
      </c>
      <c r="V34" s="83">
        <f>359718-359546.3</f>
        <v>171.70000000001164</v>
      </c>
      <c r="W34" s="83">
        <f t="shared" si="16"/>
        <v>0</v>
      </c>
      <c r="X34" s="86" t="s">
        <v>63</v>
      </c>
      <c r="Y34" s="87">
        <v>870904</v>
      </c>
      <c r="Z34" s="5">
        <f t="shared" si="9"/>
        <v>422</v>
      </c>
      <c r="AA34" s="14">
        <f t="shared" si="6"/>
        <v>2730.3399999999997</v>
      </c>
      <c r="AB34" s="87">
        <v>6571577.0999999996</v>
      </c>
      <c r="AC34" s="86">
        <f t="shared" si="10"/>
        <v>6537563.7000000002</v>
      </c>
      <c r="AD34" s="5">
        <f t="shared" si="3"/>
        <v>34013.399999999441</v>
      </c>
      <c r="AE34" s="83">
        <f t="shared" si="11"/>
        <v>11299.081412999814</v>
      </c>
      <c r="AF34" s="83">
        <f>88855.3-88798.7</f>
        <v>56.600000000005821</v>
      </c>
      <c r="AG34" s="83">
        <f>46828.7-46789.2</f>
        <v>39.5</v>
      </c>
      <c r="AH34" s="83">
        <f>28074.2-28056.9</f>
        <v>17.299999999999272</v>
      </c>
      <c r="AI34" s="87">
        <f t="shared" si="12"/>
        <v>45154.1</v>
      </c>
      <c r="AJ34" s="87">
        <v>45189.1</v>
      </c>
      <c r="AK34" s="48">
        <f t="shared" si="7"/>
        <v>35</v>
      </c>
      <c r="AL34" s="89">
        <f t="shared" si="4"/>
        <v>9952.0797631499991</v>
      </c>
      <c r="AM34" s="83">
        <f t="shared" si="13"/>
        <v>3306.0311369196143</v>
      </c>
      <c r="AN34" s="5">
        <v>51</v>
      </c>
      <c r="AO34" s="78">
        <f t="shared" si="5"/>
        <v>21754.372452999869</v>
      </c>
    </row>
    <row r="35" spans="1:41" x14ac:dyDescent="0.25">
      <c r="A35" s="79">
        <v>44407</v>
      </c>
      <c r="B35" s="86">
        <f>12233567-12228971</f>
        <v>4596</v>
      </c>
      <c r="C35" s="86">
        <f>7816987-7812670</f>
        <v>4317</v>
      </c>
      <c r="D35" s="86">
        <f>1539668-1538925</f>
        <v>743</v>
      </c>
      <c r="E35" s="86">
        <f>11676141-11670551</f>
        <v>5590</v>
      </c>
      <c r="F35" s="86">
        <f>11596151-11590104</f>
        <v>6047</v>
      </c>
      <c r="G35" s="86">
        <f>8380368-8377258</f>
        <v>3110</v>
      </c>
      <c r="H35" s="86">
        <f>8688430-8680626</f>
        <v>7804</v>
      </c>
      <c r="I35" s="86">
        <f>5248906-5246607</f>
        <v>2299</v>
      </c>
      <c r="J35" s="86">
        <f>11698182-11691350</f>
        <v>6832</v>
      </c>
      <c r="K35" s="86">
        <f t="shared" ref="K35:K36" si="17">SUM(B35:H35)</f>
        <v>32207</v>
      </c>
      <c r="L35" s="14">
        <f t="shared" ref="L35:L36" si="18">K35*0.2</f>
        <v>6441.4000000000005</v>
      </c>
      <c r="M35" s="83">
        <f>82301.519-82176.955</f>
        <v>124.56399999999849</v>
      </c>
      <c r="N35" s="83">
        <f>4407.863-4398.459</f>
        <v>9.4040000000004511</v>
      </c>
      <c r="O35" s="83">
        <f>9551.281-9546.745</f>
        <v>4.5360000000000582</v>
      </c>
      <c r="P35" s="82">
        <f>92292.731-92226.504</f>
        <v>66.226999999998952</v>
      </c>
      <c r="Q35" s="83">
        <f>24660.006-24650.098</f>
        <v>9.907999999999447</v>
      </c>
      <c r="R35" s="83">
        <f t="shared" ref="R35:R36" si="19">N35+O35+P35</f>
        <v>80.166999999999462</v>
      </c>
      <c r="S35" s="83">
        <f t="shared" ref="S35:S36" si="20">(N35+O35+P35)*7.84</f>
        <v>628.50927999999578</v>
      </c>
      <c r="T35" s="83">
        <f t="shared" ref="T35:T36" si="21">M35+Q35</f>
        <v>134.47199999999793</v>
      </c>
      <c r="U35" s="83">
        <f t="shared" ref="U35:U36" si="22">T35*7.84</f>
        <v>1054.2604799999838</v>
      </c>
      <c r="V35" s="83">
        <f>359898.3-359718</f>
        <v>180.29999999998836</v>
      </c>
      <c r="W35" s="83">
        <f t="shared" si="16"/>
        <v>0</v>
      </c>
      <c r="X35" s="86" t="s">
        <v>102</v>
      </c>
      <c r="Y35" s="87">
        <v>871363</v>
      </c>
      <c r="Z35" s="5">
        <f t="shared" ref="Z35:Z36" si="23">IF((Y35-Y34&lt;0), "0",Y35-Y34)</f>
        <v>459</v>
      </c>
      <c r="AA35" s="14">
        <f t="shared" ref="AA35:AA36" si="24">Z35*6.47</f>
        <v>2969.73</v>
      </c>
      <c r="AB35" s="87">
        <v>6610774.2999999998</v>
      </c>
      <c r="AC35" s="86">
        <f t="shared" si="10"/>
        <v>6571577.0999999996</v>
      </c>
      <c r="AD35" s="5">
        <f t="shared" si="3"/>
        <v>39197.200000000186</v>
      </c>
      <c r="AE35" s="83">
        <f t="shared" si="11"/>
        <v>13021.113854000063</v>
      </c>
      <c r="AF35" s="83">
        <f>88923.7-88855.3</f>
        <v>68.399999999994179</v>
      </c>
      <c r="AG35" s="83">
        <f>46870.8-46828.7</f>
        <v>42.100000000005821</v>
      </c>
      <c r="AH35" s="83">
        <f>28092.6-28074.2</f>
        <v>18.399999999997817</v>
      </c>
      <c r="AI35" s="87">
        <f t="shared" si="12"/>
        <v>45189.1</v>
      </c>
      <c r="AJ35" s="87">
        <v>45227.7</v>
      </c>
      <c r="AK35" s="48">
        <f t="shared" ref="AK35:AK36" si="25">IF((AJ35-AI35)&lt;0, "0",AJ35-AI35)</f>
        <v>38.599999999998545</v>
      </c>
      <c r="AL35" s="89">
        <f t="shared" ref="AL35:AL36" si="26">AK35*(284.34513609)</f>
        <v>10975.722253073585</v>
      </c>
      <c r="AM35" s="83">
        <f t="shared" si="13"/>
        <v>3646.08005385978</v>
      </c>
      <c r="AN35" s="5">
        <v>71</v>
      </c>
      <c r="AO35" s="78">
        <f t="shared" ref="AO35" si="27">L35+U35+AA35+AE35</f>
        <v>23486.504334000048</v>
      </c>
    </row>
    <row r="36" spans="1:41" ht="21.75" thickBot="1" x14ac:dyDescent="0.3">
      <c r="A36" s="146">
        <v>44408</v>
      </c>
      <c r="B36" s="91">
        <f>12238552-12233567</f>
        <v>4985</v>
      </c>
      <c r="C36" s="91">
        <f>7821382-7816987</f>
        <v>4395</v>
      </c>
      <c r="D36" s="91">
        <f>1540465-1539668</f>
        <v>797</v>
      </c>
      <c r="E36" s="91">
        <f>11682022-11676141</f>
        <v>5881</v>
      </c>
      <c r="F36" s="91">
        <f>11602083-11596151</f>
        <v>5932</v>
      </c>
      <c r="G36" s="91">
        <f>8383546-8380368</f>
        <v>3178</v>
      </c>
      <c r="H36" s="91">
        <f>8696681-8688430</f>
        <v>8251</v>
      </c>
      <c r="I36" s="91">
        <f>5251285-5248906</f>
        <v>2379</v>
      </c>
      <c r="J36" s="91">
        <f>11705130-11698182</f>
        <v>6948</v>
      </c>
      <c r="K36" s="91">
        <f t="shared" si="17"/>
        <v>33419</v>
      </c>
      <c r="L36" s="92">
        <f t="shared" si="18"/>
        <v>6683.8</v>
      </c>
      <c r="M36" s="93">
        <f>82432.253-82301.519</f>
        <v>130.73399999999674</v>
      </c>
      <c r="N36" s="93">
        <f>4415.84-4407.863</f>
        <v>7.9769999999998618</v>
      </c>
      <c r="O36" s="93">
        <f>9555.757-9551.281</f>
        <v>4.4759999999987485</v>
      </c>
      <c r="P36" s="94">
        <f>92349.807-92292.731</f>
        <v>57.076000000000931</v>
      </c>
      <c r="Q36" s="93">
        <f>24681.27-24660.006</f>
        <v>21.263999999999214</v>
      </c>
      <c r="R36" s="93">
        <f t="shared" si="19"/>
        <v>69.528999999999542</v>
      </c>
      <c r="S36" s="93">
        <f t="shared" si="20"/>
        <v>545.10735999999645</v>
      </c>
      <c r="T36" s="93">
        <f t="shared" si="21"/>
        <v>151.99799999999595</v>
      </c>
      <c r="U36" s="93">
        <f t="shared" si="22"/>
        <v>1191.6643199999683</v>
      </c>
      <c r="V36" s="93">
        <f>360067.5-359898.3</f>
        <v>169.20000000001164</v>
      </c>
      <c r="W36" s="93">
        <f t="shared" si="16"/>
        <v>0</v>
      </c>
      <c r="X36" s="91" t="s">
        <v>103</v>
      </c>
      <c r="Y36" s="96">
        <v>871800</v>
      </c>
      <c r="Z36" s="95">
        <f t="shared" si="23"/>
        <v>437</v>
      </c>
      <c r="AA36" s="92">
        <f t="shared" si="24"/>
        <v>2827.39</v>
      </c>
      <c r="AB36" s="96">
        <v>6648179.5</v>
      </c>
      <c r="AC36" s="86">
        <f t="shared" si="10"/>
        <v>6610774.2999999998</v>
      </c>
      <c r="AD36" s="95">
        <f t="shared" si="3"/>
        <v>37405.200000000186</v>
      </c>
      <c r="AE36" s="93">
        <f t="shared" si="11"/>
        <v>12425.820414000062</v>
      </c>
      <c r="AF36" s="93">
        <f>88987-88923.7</f>
        <v>63.30000000000291</v>
      </c>
      <c r="AG36" s="93">
        <f>46913.2-46870.8</f>
        <v>42.399999999994179</v>
      </c>
      <c r="AH36" s="93">
        <f>28110.3-28092.6</f>
        <v>17.700000000000728</v>
      </c>
      <c r="AI36" s="87">
        <f t="shared" si="12"/>
        <v>45227.7</v>
      </c>
      <c r="AJ36" s="96">
        <v>45265.1</v>
      </c>
      <c r="AK36" s="97">
        <f t="shared" si="25"/>
        <v>37.400000000001455</v>
      </c>
      <c r="AL36" s="98">
        <f t="shared" si="26"/>
        <v>10634.508089766414</v>
      </c>
      <c r="AM36" s="93">
        <f t="shared" si="13"/>
        <v>3532.730414879954</v>
      </c>
      <c r="AN36" s="95">
        <v>55</v>
      </c>
      <c r="AO36" s="99">
        <f>L36+U36+AA36+AE36</f>
        <v>23128.674734000029</v>
      </c>
    </row>
    <row r="37" spans="1:41" x14ac:dyDescent="0.25">
      <c r="A37" s="76"/>
      <c r="D37" s="6">
        <f>SUM(D6:D36)</f>
        <v>24404</v>
      </c>
      <c r="E37" s="6" t="s">
        <v>93</v>
      </c>
      <c r="G37" s="6">
        <f t="shared" ref="G37:L37" si="28">SUM(G6:G36)</f>
        <v>99526</v>
      </c>
      <c r="H37" s="6">
        <f t="shared" si="28"/>
        <v>192355</v>
      </c>
      <c r="I37" s="6">
        <f t="shared" si="28"/>
        <v>72966</v>
      </c>
      <c r="J37" s="6">
        <f t="shared" si="28"/>
        <v>218857</v>
      </c>
      <c r="K37" s="6">
        <f t="shared" si="28"/>
        <v>956554</v>
      </c>
      <c r="L37" s="15">
        <f t="shared" si="28"/>
        <v>191310.80000000005</v>
      </c>
      <c r="R37" s="16">
        <f>SUM(R6:R36)</f>
        <v>2261.0259999999898</v>
      </c>
      <c r="T37" s="16">
        <f>SUM(T6:T36)</f>
        <v>4396.7539999999935</v>
      </c>
      <c r="U37" s="16">
        <f t="shared" si="15"/>
        <v>34470.551359999947</v>
      </c>
      <c r="Z37" s="17">
        <f>SUM(Z6:Z36)</f>
        <v>13842</v>
      </c>
      <c r="AA37" s="17">
        <f>SUM(AA6:AA36)</f>
        <v>89557.739999999962</v>
      </c>
      <c r="AD37" s="17">
        <f>SUM(AD6:AD36)</f>
        <v>975969.70000000019</v>
      </c>
      <c r="AE37" s="16">
        <f>AD37*0.334569</f>
        <v>326529.20655930007</v>
      </c>
      <c r="AF37" s="16">
        <f>SUM(AF6:AF36)</f>
        <v>1695.6999999999971</v>
      </c>
      <c r="AG37" s="16">
        <f>SUM(AG6:AG36)</f>
        <v>991.79999999999563</v>
      </c>
      <c r="AH37" s="16">
        <f>SUM(AH6:AH36)</f>
        <v>539.59999999999854</v>
      </c>
      <c r="AK37" s="42">
        <f>SUM(AK6:AK36)</f>
        <v>1022.9000000000015</v>
      </c>
      <c r="AL37" s="42">
        <f>SUM(AL6:AL36)</f>
        <v>290856.63970646146</v>
      </c>
      <c r="AM37" s="42">
        <f>SUM(AM6:AM36)</f>
        <v>96621.121427287959</v>
      </c>
      <c r="AN37" s="42">
        <f>SUM(AN6:AN36)</f>
        <v>2069</v>
      </c>
      <c r="AO37" s="42">
        <f>SUM(AO6:AO36)</f>
        <v>639551.34585150005</v>
      </c>
    </row>
    <row r="38" spans="1:41" x14ac:dyDescent="0.25">
      <c r="D38" s="6" t="e">
        <f>#REF!*24</f>
        <v>#REF!</v>
      </c>
      <c r="E38" s="6" t="s">
        <v>1</v>
      </c>
      <c r="R38" s="16">
        <v>7.84</v>
      </c>
      <c r="T38" s="16" t="s">
        <v>99</v>
      </c>
      <c r="U38" s="16">
        <f>U37-R39</f>
        <v>16744.107520000027</v>
      </c>
    </row>
    <row r="39" spans="1:41" x14ac:dyDescent="0.25">
      <c r="D39" s="6" t="e">
        <f>D38*31</f>
        <v>#REF!</v>
      </c>
      <c r="E39" s="6" t="s">
        <v>2</v>
      </c>
      <c r="F39" s="6" t="s">
        <v>94</v>
      </c>
      <c r="G39" s="6" t="e">
        <f>D39*0.2</f>
        <v>#REF!</v>
      </c>
      <c r="R39" s="16">
        <f>R37*R38</f>
        <v>17726.44383999992</v>
      </c>
      <c r="U39" s="16">
        <f>U38/R38</f>
        <v>2135.7280000000032</v>
      </c>
    </row>
    <row r="40" spans="1:41" x14ac:dyDescent="0.25">
      <c r="D40" s="15" t="e">
        <f>D39*0.2</f>
        <v>#REF!</v>
      </c>
    </row>
    <row r="41" spans="1:41" x14ac:dyDescent="0.25">
      <c r="E41" s="68" t="s">
        <v>98</v>
      </c>
    </row>
    <row r="42" spans="1:41" x14ac:dyDescent="0.25">
      <c r="AD42" s="6">
        <f>G42*0.2</f>
        <v>0</v>
      </c>
    </row>
  </sheetData>
  <mergeCells count="13">
    <mergeCell ref="AO2:AO4"/>
    <mergeCell ref="AA2:AA4"/>
    <mergeCell ref="AC2:AC4"/>
    <mergeCell ref="AD2:AD4"/>
    <mergeCell ref="AE2:AE4"/>
    <mergeCell ref="AM2:AM4"/>
    <mergeCell ref="AN2:AN4"/>
    <mergeCell ref="B1:J1"/>
    <mergeCell ref="X1:Y1"/>
    <mergeCell ref="K2:K3"/>
    <mergeCell ref="L2:L3"/>
    <mergeCell ref="S2:S4"/>
    <mergeCell ref="U2:U4"/>
  </mergeCells>
  <pageMargins left="0.7" right="0.7" top="0.75" bottom="0.75" header="0.3" footer="0.3"/>
  <pageSetup paperSize="9" orientation="portrait"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TOTAL</vt:lpstr>
      <vt:lpstr>Submetering</vt:lpstr>
      <vt:lpstr>FS-AD Daily </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Ronald Diab</dc:creator>
  <cp:lastModifiedBy>Janet Perona</cp:lastModifiedBy>
  <dcterms:created xsi:type="dcterms:W3CDTF">2017-05-03T09:23:30Z</dcterms:created>
  <dcterms:modified xsi:type="dcterms:W3CDTF">2021-08-02T06:13:33Z</dcterms:modified>
</cp:coreProperties>
</file>