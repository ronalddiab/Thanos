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<sst xmlns="http://schemas.openxmlformats.org/spreadsheetml/2006/main" count="82" uniqueCount="43">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</sst>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11490</v>
      </c>
      <c r="F3" s="38">
        <f>F2</f>
        <v>11.359820004894488</v>
      </c>
      <c r="G3" s="39">
        <f>'FS Desroches'!G10*0.51</f>
        <v>26.52</v>
      </c>
      <c r="H3" s="38">
        <f>H2</f>
        <v>232.87671232876713</v>
      </c>
      <c r="I3" s="39">
        <f>'FS Desroches'!E10</f>
        <v>102</v>
      </c>
      <c r="J3" s="38">
        <f>J2</f>
        <v>117.8082191780822</v>
      </c>
      <c r="K3" s="40">
        <f>'FS Desroches'!C10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11810</v>
      </c>
      <c r="F4" s="38">
        <f t="shared" ref="F4:F32" si="1">F3</f>
        <v>11.359820004894488</v>
      </c>
      <c r="G4" s="39">
        <f>'FS Desroches'!G11*0.51</f>
        <v>28.560000000000002</v>
      </c>
      <c r="H4" s="38">
        <f t="shared" ref="H4:H32" si="2">H3</f>
        <v>232.87671232876713</v>
      </c>
      <c r="I4" s="39">
        <f>'FS Desroches'!E11</f>
        <v>97.6</v>
      </c>
      <c r="J4" s="38">
        <f t="shared" ref="J4:J32" si="3">J3</f>
        <v>117.8082191780822</v>
      </c>
      <c r="K4" s="40">
        <f>'FS Desroches'!C11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0</v>
      </c>
      <c r="F5" s="38">
        <f t="shared" si="1"/>
        <v>11.359820004894488</v>
      </c>
      <c r="G5" s="39">
        <f>'FS Desroches'!G12*0.51</f>
        <v>0</v>
      </c>
      <c r="H5" s="38">
        <f t="shared" si="2"/>
        <v>232.87671232876713</v>
      </c>
      <c r="I5" s="39">
        <f>'FS Desroches'!E12</f>
        <v>0</v>
      </c>
      <c r="J5" s="38">
        <f t="shared" si="3"/>
        <v>117.8082191780822</v>
      </c>
      <c r="K5" s="40">
        <f>'FS Desroches'!C12</f>
        <v>0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0</v>
      </c>
      <c r="F6" s="38">
        <f t="shared" si="1"/>
        <v>11.359820004894488</v>
      </c>
      <c r="G6" s="39">
        <f>'FS Desroches'!G13*0.51</f>
        <v>0</v>
      </c>
      <c r="H6" s="38">
        <f t="shared" si="2"/>
        <v>232.87671232876713</v>
      </c>
      <c r="I6" s="39">
        <f>'FS Desroches'!E13</f>
        <v>0</v>
      </c>
      <c r="J6" s="38">
        <f t="shared" si="3"/>
        <v>117.8082191780822</v>
      </c>
      <c r="K6" s="40">
        <f>'FS Desroches'!C13</f>
        <v>0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0</v>
      </c>
      <c r="F7" s="38">
        <f t="shared" si="1"/>
        <v>11.359820004894488</v>
      </c>
      <c r="G7" s="39">
        <f>'FS Desroches'!G14*0.51</f>
        <v>0</v>
      </c>
      <c r="H7" s="38">
        <f t="shared" si="2"/>
        <v>232.87671232876713</v>
      </c>
      <c r="I7" s="39">
        <f>'FS Desroches'!E14</f>
        <v>0</v>
      </c>
      <c r="J7" s="38">
        <f t="shared" si="3"/>
        <v>117.8082191780822</v>
      </c>
      <c r="K7" s="40">
        <f>'FS Desroches'!C14</f>
        <v>0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0</v>
      </c>
      <c r="F8" s="38">
        <f t="shared" si="1"/>
        <v>11.359820004894488</v>
      </c>
      <c r="G8" s="39">
        <f>'FS Desroches'!G15*0.51</f>
        <v>0</v>
      </c>
      <c r="H8" s="38">
        <f t="shared" si="2"/>
        <v>232.87671232876713</v>
      </c>
      <c r="I8" s="39">
        <f>'FS Desroches'!E15</f>
        <v>0</v>
      </c>
      <c r="J8" s="38">
        <f t="shared" si="3"/>
        <v>117.8082191780822</v>
      </c>
      <c r="K8" s="40">
        <f>'FS Desroches'!C15</f>
        <v>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0</v>
      </c>
      <c r="F9" s="38">
        <f t="shared" si="1"/>
        <v>11.359820004894488</v>
      </c>
      <c r="G9" s="39">
        <f>'FS Desroches'!G16*0.51</f>
        <v>0</v>
      </c>
      <c r="H9" s="38">
        <f t="shared" si="2"/>
        <v>232.87671232876713</v>
      </c>
      <c r="I9" s="39">
        <f>'FS Desroches'!E16</f>
        <v>0</v>
      </c>
      <c r="J9" s="38">
        <f t="shared" si="3"/>
        <v>117.8082191780822</v>
      </c>
      <c r="K9" s="40">
        <f>'FS Desroches'!C16</f>
        <v>0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0</v>
      </c>
      <c r="F10" s="38">
        <f t="shared" si="1"/>
        <v>11.359820004894488</v>
      </c>
      <c r="G10" s="39">
        <f>'FS Desroches'!G17*0.51</f>
        <v>0</v>
      </c>
      <c r="H10" s="38">
        <f t="shared" si="2"/>
        <v>232.87671232876713</v>
      </c>
      <c r="I10" s="39">
        <f>'FS Desroches'!E17</f>
        <v>0</v>
      </c>
      <c r="J10" s="38">
        <f t="shared" si="3"/>
        <v>117.8082191780822</v>
      </c>
      <c r="K10" s="40">
        <f>'FS Desroches'!C17</f>
        <v>0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0</v>
      </c>
      <c r="F11" s="38">
        <f t="shared" si="1"/>
        <v>11.359820004894488</v>
      </c>
      <c r="G11" s="39">
        <f>'FS Desroches'!G18*0.51</f>
        <v>0</v>
      </c>
      <c r="H11" s="38">
        <f t="shared" si="2"/>
        <v>232.87671232876713</v>
      </c>
      <c r="I11" s="39">
        <f>'FS Desroches'!E18</f>
        <v>0</v>
      </c>
      <c r="J11" s="38">
        <f t="shared" si="3"/>
        <v>117.8082191780822</v>
      </c>
      <c r="K11" s="40">
        <f>'FS Desroches'!C18</f>
        <v>0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0</v>
      </c>
      <c r="F12" s="38">
        <f t="shared" si="1"/>
        <v>11.359820004894488</v>
      </c>
      <c r="G12" s="39">
        <f>'FS Desroches'!G19*0.51</f>
        <v>0</v>
      </c>
      <c r="H12" s="38">
        <f t="shared" si="2"/>
        <v>232.87671232876713</v>
      </c>
      <c r="I12" s="39">
        <f>'FS Desroches'!E19</f>
        <v>0</v>
      </c>
      <c r="J12" s="38">
        <f t="shared" si="3"/>
        <v>117.8082191780822</v>
      </c>
      <c r="K12" s="40">
        <f>'FS Desroches'!C19</f>
        <v>0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0</v>
      </c>
      <c r="F13" s="38">
        <f t="shared" si="1"/>
        <v>11.359820004894488</v>
      </c>
      <c r="G13" s="39">
        <f>'FS Desroches'!G20*0.51</f>
        <v>0</v>
      </c>
      <c r="H13" s="38">
        <f t="shared" si="2"/>
        <v>232.87671232876713</v>
      </c>
      <c r="I13" s="39">
        <f>'FS Desroches'!E20</f>
        <v>0</v>
      </c>
      <c r="J13" s="38">
        <f t="shared" si="3"/>
        <v>117.8082191780822</v>
      </c>
      <c r="K13" s="40">
        <f>'FS Desroches'!C20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0</v>
      </c>
      <c r="F14" s="38">
        <f t="shared" si="1"/>
        <v>11.359820004894488</v>
      </c>
      <c r="G14" s="39">
        <f>'FS Desroches'!G21*0.51</f>
        <v>0</v>
      </c>
      <c r="H14" s="38">
        <f t="shared" si="2"/>
        <v>232.87671232876713</v>
      </c>
      <c r="I14" s="39">
        <f>'FS Desroches'!E21</f>
        <v>0</v>
      </c>
      <c r="J14" s="38">
        <f t="shared" si="3"/>
        <v>117.8082191780822</v>
      </c>
      <c r="K14" s="40">
        <f>'FS Desroches'!C21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0</v>
      </c>
      <c r="F15" s="38">
        <f t="shared" si="1"/>
        <v>11.359820004894488</v>
      </c>
      <c r="G15" s="39">
        <f>'FS Desroches'!G22*0.51</f>
        <v>0</v>
      </c>
      <c r="H15" s="38">
        <f t="shared" si="2"/>
        <v>232.87671232876713</v>
      </c>
      <c r="I15" s="39">
        <f>'FS Desroches'!E22</f>
        <v>0</v>
      </c>
      <c r="J15" s="38">
        <f t="shared" si="3"/>
        <v>117.8082191780822</v>
      </c>
      <c r="K15" s="40">
        <f>'FS Desroches'!C22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0</v>
      </c>
      <c r="F16" s="38">
        <f t="shared" si="1"/>
        <v>11.359820004894488</v>
      </c>
      <c r="G16" s="39">
        <f>'FS Desroches'!G23*0.51</f>
        <v>0</v>
      </c>
      <c r="H16" s="38">
        <f t="shared" si="2"/>
        <v>232.87671232876713</v>
      </c>
      <c r="I16" s="39">
        <f>'FS Desroches'!E23</f>
        <v>0</v>
      </c>
      <c r="J16" s="38">
        <f t="shared" si="3"/>
        <v>117.8082191780822</v>
      </c>
      <c r="K16" s="40">
        <f>'FS Desroches'!C23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zoomScale="102" zoomScaleNormal="102" workbookViewId="0">
      <selection activeCell="R11" sqref="R11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/>
      <c r="C12" s="22"/>
      <c r="D12" s="22"/>
      <c r="E12" s="23"/>
      <c r="F12" s="24"/>
      <c r="G12" s="25"/>
      <c r="H12" s="26" t="e">
        <f t="shared" si="3"/>
        <v>#DIV/0!</v>
      </c>
      <c r="I12" s="27" t="e">
        <f t="shared" si="4"/>
        <v>#DIV/0!</v>
      </c>
      <c r="J12" s="28" t="e">
        <f t="shared" si="5"/>
        <v>#DIV/0!</v>
      </c>
      <c r="K12" s="26">
        <f t="shared" si="0"/>
        <v>0</v>
      </c>
      <c r="L12" s="24">
        <f t="shared" si="1"/>
        <v>0</v>
      </c>
      <c r="M12" s="28">
        <f t="shared" si="2"/>
        <v>0</v>
      </c>
      <c r="N12" s="26" t="e">
        <f t="shared" si="6"/>
        <v>#DIV/0!</v>
      </c>
      <c r="O12" s="27" t="e">
        <f t="shared" si="7"/>
        <v>#DIV/0!</v>
      </c>
      <c r="P12" s="28" t="e">
        <f t="shared" si="8"/>
        <v>#DIV/0!</v>
      </c>
      <c r="Q12" s="22"/>
      <c r="R12" s="22"/>
      <c r="S12" s="22"/>
    </row>
    <row r="13" spans="1:19" x14ac:dyDescent="0.25">
      <c r="A13" s="20">
        <v>43774</v>
      </c>
      <c r="B13" s="21"/>
      <c r="C13" s="22"/>
      <c r="D13" s="22"/>
      <c r="E13" s="23"/>
      <c r="F13" s="24"/>
      <c r="G13" s="25"/>
      <c r="H13" s="26" t="e">
        <f t="shared" si="3"/>
        <v>#DIV/0!</v>
      </c>
      <c r="I13" s="27" t="e">
        <f t="shared" si="4"/>
        <v>#DIV/0!</v>
      </c>
      <c r="J13" s="28" t="e">
        <f t="shared" si="5"/>
        <v>#DIV/0!</v>
      </c>
      <c r="K13" s="26">
        <f t="shared" si="0"/>
        <v>0</v>
      </c>
      <c r="L13" s="24">
        <f t="shared" si="1"/>
        <v>0</v>
      </c>
      <c r="M13" s="28">
        <f t="shared" si="2"/>
        <v>0</v>
      </c>
      <c r="N13" s="26" t="e">
        <f t="shared" si="6"/>
        <v>#DIV/0!</v>
      </c>
      <c r="O13" s="27" t="e">
        <f t="shared" si="7"/>
        <v>#DIV/0!</v>
      </c>
      <c r="P13" s="28" t="e">
        <f t="shared" si="8"/>
        <v>#DIV/0!</v>
      </c>
      <c r="Q13" s="22"/>
      <c r="R13" s="22"/>
      <c r="S13" s="22"/>
    </row>
    <row r="14" spans="1:19" x14ac:dyDescent="0.25">
      <c r="A14" s="20">
        <v>43775</v>
      </c>
      <c r="B14" s="21"/>
      <c r="C14" s="22"/>
      <c r="D14" s="22"/>
      <c r="E14" s="23"/>
      <c r="F14" s="24"/>
      <c r="G14" s="25"/>
      <c r="H14" s="26" t="e">
        <f t="shared" si="3"/>
        <v>#DIV/0!</v>
      </c>
      <c r="I14" s="27" t="e">
        <f t="shared" si="4"/>
        <v>#DIV/0!</v>
      </c>
      <c r="J14" s="28" t="e">
        <f t="shared" si="5"/>
        <v>#DIV/0!</v>
      </c>
      <c r="K14" s="26">
        <f t="shared" si="0"/>
        <v>0</v>
      </c>
      <c r="L14" s="24">
        <f t="shared" si="1"/>
        <v>0</v>
      </c>
      <c r="M14" s="28">
        <f t="shared" si="2"/>
        <v>0</v>
      </c>
      <c r="N14" s="26" t="e">
        <f t="shared" si="6"/>
        <v>#DIV/0!</v>
      </c>
      <c r="O14" s="27" t="e">
        <f t="shared" si="7"/>
        <v>#DIV/0!</v>
      </c>
      <c r="P14" s="28" t="e">
        <f t="shared" si="8"/>
        <v>#DIV/0!</v>
      </c>
      <c r="Q14" s="22"/>
      <c r="R14" s="22"/>
      <c r="S14" s="22"/>
    </row>
    <row r="15" spans="1:19" x14ac:dyDescent="0.25">
      <c r="A15" s="20">
        <v>43776</v>
      </c>
      <c r="B15" s="21"/>
      <c r="C15" s="22"/>
      <c r="D15" s="22"/>
      <c r="E15" s="23"/>
      <c r="F15" s="24"/>
      <c r="G15" s="25"/>
      <c r="H15" s="26" t="e">
        <f t="shared" si="3"/>
        <v>#DIV/0!</v>
      </c>
      <c r="I15" s="27" t="e">
        <f t="shared" si="4"/>
        <v>#DIV/0!</v>
      </c>
      <c r="J15" s="28" t="e">
        <f t="shared" si="5"/>
        <v>#DIV/0!</v>
      </c>
      <c r="K15" s="26">
        <f t="shared" si="0"/>
        <v>0</v>
      </c>
      <c r="L15" s="24">
        <f t="shared" si="1"/>
        <v>0</v>
      </c>
      <c r="M15" s="28">
        <f t="shared" si="2"/>
        <v>0</v>
      </c>
      <c r="N15" s="26" t="e">
        <f t="shared" si="6"/>
        <v>#DIV/0!</v>
      </c>
      <c r="O15" s="27" t="e">
        <f t="shared" si="7"/>
        <v>#DIV/0!</v>
      </c>
      <c r="P15" s="28" t="e">
        <f t="shared" si="8"/>
        <v>#DIV/0!</v>
      </c>
      <c r="Q15" s="22"/>
      <c r="R15" s="22"/>
      <c r="S15" s="22"/>
    </row>
    <row r="16" spans="1:19" x14ac:dyDescent="0.25">
      <c r="A16" s="20">
        <v>43777</v>
      </c>
      <c r="B16" s="21"/>
      <c r="C16" s="22"/>
      <c r="D16" s="22"/>
      <c r="E16" s="23"/>
      <c r="F16" s="24"/>
      <c r="G16" s="25"/>
      <c r="H16" s="26" t="e">
        <f t="shared" si="3"/>
        <v>#DIV/0!</v>
      </c>
      <c r="I16" s="27" t="e">
        <f t="shared" si="4"/>
        <v>#DIV/0!</v>
      </c>
      <c r="J16" s="28" t="e">
        <f t="shared" si="5"/>
        <v>#DIV/0!</v>
      </c>
      <c r="K16" s="26">
        <f t="shared" si="0"/>
        <v>0</v>
      </c>
      <c r="L16" s="24">
        <f t="shared" si="1"/>
        <v>0</v>
      </c>
      <c r="M16" s="28">
        <f t="shared" si="2"/>
        <v>0</v>
      </c>
      <c r="N16" s="26" t="e">
        <f t="shared" si="6"/>
        <v>#DIV/0!</v>
      </c>
      <c r="O16" s="27" t="e">
        <f t="shared" si="7"/>
        <v>#DIV/0!</v>
      </c>
      <c r="P16" s="28" t="e">
        <f t="shared" si="8"/>
        <v>#DIV/0!</v>
      </c>
      <c r="Q16" s="22"/>
      <c r="R16" s="22"/>
      <c r="S16" s="22"/>
    </row>
    <row r="17" spans="1:19" x14ac:dyDescent="0.25">
      <c r="A17" s="20">
        <v>43778</v>
      </c>
      <c r="B17" s="21"/>
      <c r="C17" s="22"/>
      <c r="D17" s="22"/>
      <c r="E17" s="23"/>
      <c r="F17" s="24"/>
      <c r="G17" s="25"/>
      <c r="H17" s="26" t="e">
        <f t="shared" si="3"/>
        <v>#DIV/0!</v>
      </c>
      <c r="I17" s="27" t="e">
        <f t="shared" si="4"/>
        <v>#DIV/0!</v>
      </c>
      <c r="J17" s="28" t="e">
        <f t="shared" si="5"/>
        <v>#DIV/0!</v>
      </c>
      <c r="K17" s="26">
        <f t="shared" si="0"/>
        <v>0</v>
      </c>
      <c r="L17" s="24">
        <f t="shared" si="1"/>
        <v>0</v>
      </c>
      <c r="M17" s="28">
        <f t="shared" si="2"/>
        <v>0</v>
      </c>
      <c r="N17" s="26" t="e">
        <f t="shared" si="6"/>
        <v>#DIV/0!</v>
      </c>
      <c r="O17" s="27" t="e">
        <f t="shared" si="7"/>
        <v>#DIV/0!</v>
      </c>
      <c r="P17" s="28" t="e">
        <f t="shared" si="8"/>
        <v>#DIV/0!</v>
      </c>
      <c r="Q17" s="22"/>
      <c r="R17" s="22"/>
      <c r="S17" s="22"/>
    </row>
    <row r="18" spans="1:19" x14ac:dyDescent="0.25">
      <c r="A18" s="20">
        <v>43779</v>
      </c>
      <c r="B18" s="21"/>
      <c r="C18" s="22"/>
      <c r="D18" s="22"/>
      <c r="E18" s="23"/>
      <c r="F18" s="24"/>
      <c r="G18" s="25"/>
      <c r="H18" s="26" t="e">
        <f t="shared" si="3"/>
        <v>#DIV/0!</v>
      </c>
      <c r="I18" s="27" t="e">
        <f t="shared" si="4"/>
        <v>#DIV/0!</v>
      </c>
      <c r="J18" s="28" t="e">
        <f t="shared" si="5"/>
        <v>#DIV/0!</v>
      </c>
      <c r="K18" s="26">
        <f t="shared" si="0"/>
        <v>0</v>
      </c>
      <c r="L18" s="24">
        <f t="shared" si="1"/>
        <v>0</v>
      </c>
      <c r="M18" s="28">
        <f t="shared" si="2"/>
        <v>0</v>
      </c>
      <c r="N18" s="26" t="e">
        <f t="shared" si="6"/>
        <v>#DIV/0!</v>
      </c>
      <c r="O18" s="27" t="e">
        <f t="shared" si="7"/>
        <v>#DIV/0!</v>
      </c>
      <c r="P18" s="28" t="e">
        <f t="shared" si="8"/>
        <v>#DIV/0!</v>
      </c>
      <c r="Q18" s="22"/>
      <c r="R18" s="22"/>
      <c r="S18" s="22"/>
    </row>
    <row r="19" spans="1:19" x14ac:dyDescent="0.25">
      <c r="A19" s="20">
        <v>43780</v>
      </c>
      <c r="B19" s="21"/>
      <c r="C19" s="22"/>
      <c r="D19" s="22"/>
      <c r="E19" s="23"/>
      <c r="F19" s="24"/>
      <c r="G19" s="25"/>
      <c r="H19" s="26" t="e">
        <f t="shared" si="3"/>
        <v>#DIV/0!</v>
      </c>
      <c r="I19" s="27" t="e">
        <f t="shared" si="4"/>
        <v>#DIV/0!</v>
      </c>
      <c r="J19" s="28" t="e">
        <f t="shared" si="5"/>
        <v>#DIV/0!</v>
      </c>
      <c r="K19" s="26">
        <f t="shared" si="0"/>
        <v>0</v>
      </c>
      <c r="L19" s="24">
        <f t="shared" si="1"/>
        <v>0</v>
      </c>
      <c r="M19" s="28">
        <f t="shared" si="2"/>
        <v>0</v>
      </c>
      <c r="N19" s="26" t="e">
        <f t="shared" si="6"/>
        <v>#DIV/0!</v>
      </c>
      <c r="O19" s="27" t="e">
        <f t="shared" si="7"/>
        <v>#DIV/0!</v>
      </c>
      <c r="P19" s="28" t="e">
        <f t="shared" si="8"/>
        <v>#DIV/0!</v>
      </c>
      <c r="Q19" s="22"/>
      <c r="R19" s="22"/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2019-11-03T23:50:45Z</dcterms:modified>
</cp:coreProperties>
</file>