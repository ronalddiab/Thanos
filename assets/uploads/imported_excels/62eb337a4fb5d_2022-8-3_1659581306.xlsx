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3980" tabRatio="599" activeTab="2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2" l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<sst xmlns="http://schemas.openxmlformats.org/spreadsheetml/2006/main" count="514" uniqueCount="151">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</sst>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N9" sqref="N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38">
        <v>1.27</v>
      </c>
      <c r="G5" s="36">
        <f>Gas!C6*0.9147</f>
        <v>0</v>
      </c>
      <c r="H5" s="139">
        <v>3.65</v>
      </c>
      <c r="I5" s="141">
        <f>Submetering!H5+Submetering!AD5+Submetering!AE5</f>
        <v>-194</v>
      </c>
      <c r="J5" s="141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38">
        <v>1.27</v>
      </c>
      <c r="G6" s="36">
        <f>Gas!C7*0.9147</f>
        <v>0</v>
      </c>
      <c r="H6" s="139">
        <v>3.65</v>
      </c>
      <c r="I6" s="141">
        <f>Submetering!H6+Submetering!AD6+Submetering!AE6</f>
        <v>-194</v>
      </c>
      <c r="J6" s="141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8">
        <v>1.27</v>
      </c>
      <c r="G7" s="36">
        <f>Gas!C8*0.9147</f>
        <v>0</v>
      </c>
      <c r="H7" s="139">
        <v>3.65</v>
      </c>
      <c r="I7" s="141">
        <f>Submetering!H7+Submetering!AD7+Submetering!AE7</f>
        <v>-194</v>
      </c>
      <c r="J7" s="141">
        <v>10.029999999999999</v>
      </c>
      <c r="K7" s="36">
        <f>ELECT.!B8</f>
        <v>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B26" sqref="AB26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 t="str">
        <f>ELECT.!F6</f>
        <v>0</v>
      </c>
      <c r="J5" s="36" t="str">
        <f>ELECT.!H6</f>
        <v>0</v>
      </c>
      <c r="K5" s="36">
        <f>ELECT.!K6</f>
        <v>0</v>
      </c>
      <c r="L5" s="36" t="str">
        <f>ELECT.!M6</f>
        <v>0</v>
      </c>
      <c r="M5" s="36">
        <f>ELECT.!O6</f>
        <v>0</v>
      </c>
      <c r="N5" s="36" t="str">
        <f>ELECT.!Q6</f>
        <v>0</v>
      </c>
      <c r="O5" s="36" t="str">
        <f>ELECT.!S6</f>
        <v>0</v>
      </c>
      <c r="P5" s="36">
        <f>ELECT.!W6*2</f>
        <v>0</v>
      </c>
      <c r="Q5" s="36">
        <f>ELECT.!D6</f>
        <v>0</v>
      </c>
      <c r="R5" s="141" t="str">
        <f>BTU!C6</f>
        <v>0</v>
      </c>
      <c r="S5" s="141" t="str">
        <f>BTU!F6</f>
        <v>0</v>
      </c>
      <c r="T5" s="141" t="str">
        <f>BTU!I6</f>
        <v>0</v>
      </c>
      <c r="U5" s="141" t="str">
        <f>BTU!O6</f>
        <v>0</v>
      </c>
      <c r="V5" s="141" t="str">
        <f>BTU!L6</f>
        <v>0</v>
      </c>
      <c r="W5" s="141" t="str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41">
        <f>BTU!C7</f>
        <v>0</v>
      </c>
      <c r="S6" s="141">
        <f>BTU!F7</f>
        <v>0</v>
      </c>
      <c r="T6" s="141">
        <f>BTU!I7</f>
        <v>0</v>
      </c>
      <c r="U6" s="141">
        <f>BTU!O7</f>
        <v>0</v>
      </c>
      <c r="V6" s="141">
        <f>BTU!L7</f>
        <v>0</v>
      </c>
      <c r="W6" s="141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41">
        <f>BTU!C8</f>
        <v>0</v>
      </c>
      <c r="S7" s="141">
        <f>BTU!F8</f>
        <v>0</v>
      </c>
      <c r="T7" s="141">
        <f>BTU!I8</f>
        <v>0</v>
      </c>
      <c r="U7" s="141">
        <f>BTU!O8</f>
        <v>0</v>
      </c>
      <c r="V7" s="141">
        <f>BTU!L8</f>
        <v>0</v>
      </c>
      <c r="W7" s="141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tabSelected="1" zoomScale="110" zoomScaleNormal="110" workbookViewId="0">
      <pane ySplit="1" topLeftCell="A2" activePane="bottomLeft" state="frozen"/>
      <selection pane="bottomLeft" activeCell="T5" sqref="T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4039</v>
      </c>
      <c r="U3" s="14">
        <f>(T3-T2)*800/5</f>
        <v>1600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-1440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f t="shared" ref="B6:B33" si="12">B5</f>
        <v>47383</v>
      </c>
      <c r="C6" s="14">
        <f t="shared" si="3"/>
        <v>0</v>
      </c>
      <c r="D6" s="32">
        <f t="shared" ref="D6:D33" si="13">D5</f>
        <v>40840</v>
      </c>
      <c r="E6" s="14">
        <f t="shared" si="4"/>
        <v>0</v>
      </c>
      <c r="F6" s="32">
        <f t="shared" ref="F6:F33" si="14">F5</f>
        <v>21913</v>
      </c>
      <c r="G6" s="14">
        <f t="shared" si="5"/>
        <v>0</v>
      </c>
      <c r="H6" s="32">
        <f t="shared" ref="H6:H33" si="15">H5</f>
        <v>257135</v>
      </c>
      <c r="I6" s="14">
        <f t="shared" si="6"/>
        <v>0</v>
      </c>
      <c r="J6" s="32">
        <f t="shared" ref="J6:J33" si="16">J5</f>
        <v>326240</v>
      </c>
      <c r="K6" s="14">
        <f t="shared" si="7"/>
        <v>0</v>
      </c>
      <c r="L6" s="32">
        <f t="shared" ref="L6:L33" si="17">L5</f>
        <v>26365</v>
      </c>
      <c r="M6" s="14">
        <f t="shared" si="8"/>
        <v>0</v>
      </c>
      <c r="N6" s="32">
        <f t="shared" ref="N6:N33" si="18">N5</f>
        <v>226240</v>
      </c>
      <c r="O6" s="14">
        <f t="shared" si="9"/>
        <v>0</v>
      </c>
      <c r="P6" s="32">
        <f t="shared" ref="P6:P33" si="19">P5</f>
        <v>162970</v>
      </c>
      <c r="Q6" s="14">
        <f t="shared" si="2"/>
        <v>0</v>
      </c>
      <c r="R6" s="1">
        <f t="shared" ref="R6:R33" si="20">R5</f>
        <v>55047</v>
      </c>
      <c r="S6" s="14">
        <v>0</v>
      </c>
      <c r="T6" s="32">
        <f t="shared" ref="T6:T33" si="21">T5</f>
        <v>4030</v>
      </c>
      <c r="U6" s="14">
        <f t="shared" si="10"/>
        <v>0</v>
      </c>
    </row>
    <row r="7" spans="1:24" ht="13.5" thickBot="1" x14ac:dyDescent="0.25">
      <c r="A7" s="9">
        <v>44778</v>
      </c>
      <c r="B7" s="32">
        <f t="shared" si="12"/>
        <v>47383</v>
      </c>
      <c r="C7" s="14">
        <f t="shared" si="3"/>
        <v>0</v>
      </c>
      <c r="D7" s="32">
        <f t="shared" si="13"/>
        <v>40840</v>
      </c>
      <c r="E7" s="14">
        <f t="shared" si="4"/>
        <v>0</v>
      </c>
      <c r="F7" s="32">
        <f t="shared" si="14"/>
        <v>21913</v>
      </c>
      <c r="G7" s="14">
        <f t="shared" si="5"/>
        <v>0</v>
      </c>
      <c r="H7" s="32">
        <f t="shared" si="15"/>
        <v>257135</v>
      </c>
      <c r="I7" s="14">
        <f t="shared" si="6"/>
        <v>0</v>
      </c>
      <c r="J7" s="32">
        <f t="shared" si="16"/>
        <v>326240</v>
      </c>
      <c r="K7" s="14">
        <f t="shared" si="7"/>
        <v>0</v>
      </c>
      <c r="L7" s="32">
        <f t="shared" si="17"/>
        <v>26365</v>
      </c>
      <c r="M7" s="14">
        <f t="shared" si="8"/>
        <v>0</v>
      </c>
      <c r="N7" s="32">
        <f t="shared" si="18"/>
        <v>226240</v>
      </c>
      <c r="O7" s="14">
        <f t="shared" si="9"/>
        <v>0</v>
      </c>
      <c r="P7" s="32">
        <f t="shared" si="19"/>
        <v>162970</v>
      </c>
      <c r="Q7" s="14">
        <f t="shared" si="2"/>
        <v>0</v>
      </c>
      <c r="R7" s="1">
        <f t="shared" si="20"/>
        <v>55047</v>
      </c>
      <c r="S7" s="14">
        <v>0</v>
      </c>
      <c r="T7" s="32">
        <f t="shared" si="21"/>
        <v>4030</v>
      </c>
      <c r="U7" s="14">
        <f t="shared" si="10"/>
        <v>0</v>
      </c>
    </row>
    <row r="8" spans="1:24" ht="13.5" thickBot="1" x14ac:dyDescent="0.25">
      <c r="A8" s="9">
        <v>44779</v>
      </c>
      <c r="B8" s="32">
        <f t="shared" si="12"/>
        <v>47383</v>
      </c>
      <c r="C8" s="14">
        <f t="shared" si="3"/>
        <v>0</v>
      </c>
      <c r="D8" s="32">
        <f t="shared" si="13"/>
        <v>40840</v>
      </c>
      <c r="E8" s="14">
        <f t="shared" si="4"/>
        <v>0</v>
      </c>
      <c r="F8" s="32">
        <f t="shared" si="14"/>
        <v>21913</v>
      </c>
      <c r="G8" s="14">
        <f t="shared" si="5"/>
        <v>0</v>
      </c>
      <c r="H8" s="32">
        <f t="shared" si="15"/>
        <v>257135</v>
      </c>
      <c r="I8" s="14">
        <f t="shared" si="6"/>
        <v>0</v>
      </c>
      <c r="J8" s="32">
        <f t="shared" si="16"/>
        <v>326240</v>
      </c>
      <c r="K8" s="14">
        <f t="shared" si="7"/>
        <v>0</v>
      </c>
      <c r="L8" s="32">
        <f t="shared" si="17"/>
        <v>26365</v>
      </c>
      <c r="M8" s="14">
        <f t="shared" si="8"/>
        <v>0</v>
      </c>
      <c r="N8" s="32">
        <f t="shared" si="18"/>
        <v>226240</v>
      </c>
      <c r="O8" s="14">
        <f t="shared" si="9"/>
        <v>0</v>
      </c>
      <c r="P8" s="32">
        <f t="shared" si="19"/>
        <v>162970</v>
      </c>
      <c r="Q8" s="14">
        <f t="shared" si="2"/>
        <v>0</v>
      </c>
      <c r="R8" s="1">
        <f t="shared" si="20"/>
        <v>55047</v>
      </c>
      <c r="S8" s="14">
        <f>R8-R7</f>
        <v>0</v>
      </c>
      <c r="T8" s="32">
        <f t="shared" si="21"/>
        <v>4030</v>
      </c>
      <c r="U8" s="14">
        <f t="shared" si="10"/>
        <v>0</v>
      </c>
    </row>
    <row r="9" spans="1:24" ht="13.5" thickBot="1" x14ac:dyDescent="0.25">
      <c r="A9" s="9">
        <v>44780</v>
      </c>
      <c r="B9" s="32">
        <f t="shared" si="12"/>
        <v>47383</v>
      </c>
      <c r="C9" s="14">
        <f t="shared" si="3"/>
        <v>0</v>
      </c>
      <c r="D9" s="32">
        <f t="shared" si="13"/>
        <v>40840</v>
      </c>
      <c r="E9" s="14">
        <f t="shared" si="4"/>
        <v>0</v>
      </c>
      <c r="F9" s="32">
        <f t="shared" si="14"/>
        <v>21913</v>
      </c>
      <c r="G9" s="14">
        <f t="shared" si="5"/>
        <v>0</v>
      </c>
      <c r="H9" s="32">
        <f t="shared" si="15"/>
        <v>257135</v>
      </c>
      <c r="I9" s="14">
        <f t="shared" si="6"/>
        <v>0</v>
      </c>
      <c r="J9" s="32">
        <f t="shared" si="16"/>
        <v>326240</v>
      </c>
      <c r="K9" s="14">
        <f t="shared" si="7"/>
        <v>0</v>
      </c>
      <c r="L9" s="32">
        <f t="shared" si="17"/>
        <v>26365</v>
      </c>
      <c r="M9" s="14">
        <f t="shared" si="8"/>
        <v>0</v>
      </c>
      <c r="N9" s="32">
        <f t="shared" si="18"/>
        <v>226240</v>
      </c>
      <c r="O9" s="14">
        <f t="shared" si="9"/>
        <v>0</v>
      </c>
      <c r="P9" s="32">
        <f t="shared" si="19"/>
        <v>162970</v>
      </c>
      <c r="Q9" s="14">
        <f t="shared" si="2"/>
        <v>0</v>
      </c>
      <c r="R9" s="1">
        <f t="shared" si="20"/>
        <v>55047</v>
      </c>
      <c r="S9" s="14">
        <f>R9-R8</f>
        <v>0</v>
      </c>
      <c r="T9" s="32">
        <f t="shared" si="21"/>
        <v>4030</v>
      </c>
      <c r="U9" s="14">
        <f t="shared" si="10"/>
        <v>0</v>
      </c>
    </row>
    <row r="10" spans="1:24" ht="13.5" thickBot="1" x14ac:dyDescent="0.25">
      <c r="A10" s="9">
        <v>44781</v>
      </c>
      <c r="B10" s="32">
        <f t="shared" si="12"/>
        <v>47383</v>
      </c>
      <c r="C10" s="14">
        <f t="shared" si="3"/>
        <v>0</v>
      </c>
      <c r="D10" s="32">
        <f t="shared" si="13"/>
        <v>40840</v>
      </c>
      <c r="E10" s="14">
        <f t="shared" si="4"/>
        <v>0</v>
      </c>
      <c r="F10" s="32">
        <f t="shared" si="14"/>
        <v>21913</v>
      </c>
      <c r="G10" s="14">
        <f t="shared" si="5"/>
        <v>0</v>
      </c>
      <c r="H10" s="32">
        <f t="shared" si="15"/>
        <v>257135</v>
      </c>
      <c r="I10" s="14">
        <f t="shared" si="6"/>
        <v>0</v>
      </c>
      <c r="J10" s="32">
        <f t="shared" si="16"/>
        <v>326240</v>
      </c>
      <c r="K10" s="14">
        <f t="shared" si="7"/>
        <v>0</v>
      </c>
      <c r="L10" s="32">
        <f t="shared" si="17"/>
        <v>26365</v>
      </c>
      <c r="M10" s="14">
        <f t="shared" si="8"/>
        <v>0</v>
      </c>
      <c r="N10" s="32">
        <f t="shared" si="18"/>
        <v>226240</v>
      </c>
      <c r="O10" s="14">
        <f t="shared" si="9"/>
        <v>0</v>
      </c>
      <c r="P10" s="32">
        <f t="shared" si="19"/>
        <v>162970</v>
      </c>
      <c r="Q10" s="14">
        <f t="shared" si="2"/>
        <v>0</v>
      </c>
      <c r="R10" s="1">
        <f t="shared" si="20"/>
        <v>55047</v>
      </c>
      <c r="S10" s="14">
        <f>R10-R9</f>
        <v>0</v>
      </c>
      <c r="T10" s="32">
        <f t="shared" si="21"/>
        <v>4030</v>
      </c>
      <c r="U10" s="14">
        <f t="shared" si="10"/>
        <v>0</v>
      </c>
    </row>
    <row r="11" spans="1:24" ht="13.5" thickBot="1" x14ac:dyDescent="0.25">
      <c r="A11" s="9">
        <v>44782</v>
      </c>
      <c r="B11" s="32">
        <f t="shared" si="12"/>
        <v>47383</v>
      </c>
      <c r="C11" s="14">
        <f t="shared" si="3"/>
        <v>0</v>
      </c>
      <c r="D11" s="32">
        <f t="shared" si="13"/>
        <v>40840</v>
      </c>
      <c r="E11" s="14">
        <f t="shared" si="4"/>
        <v>0</v>
      </c>
      <c r="F11" s="32">
        <f t="shared" si="14"/>
        <v>21913</v>
      </c>
      <c r="G11" s="14">
        <f t="shared" si="5"/>
        <v>0</v>
      </c>
      <c r="H11" s="32">
        <f t="shared" si="15"/>
        <v>257135</v>
      </c>
      <c r="I11" s="14">
        <f t="shared" si="6"/>
        <v>0</v>
      </c>
      <c r="J11" s="32">
        <f t="shared" si="16"/>
        <v>326240</v>
      </c>
      <c r="K11" s="14">
        <f t="shared" si="7"/>
        <v>0</v>
      </c>
      <c r="L11" s="32">
        <f t="shared" si="17"/>
        <v>26365</v>
      </c>
      <c r="M11" s="14">
        <f t="shared" si="8"/>
        <v>0</v>
      </c>
      <c r="N11" s="32">
        <f t="shared" si="18"/>
        <v>226240</v>
      </c>
      <c r="O11" s="14">
        <f t="shared" si="9"/>
        <v>0</v>
      </c>
      <c r="P11" s="32">
        <f t="shared" si="19"/>
        <v>162970</v>
      </c>
      <c r="Q11" s="14">
        <f t="shared" si="2"/>
        <v>0</v>
      </c>
      <c r="R11" s="1">
        <f t="shared" si="20"/>
        <v>55047</v>
      </c>
      <c r="S11" s="14">
        <f t="shared" si="11"/>
        <v>0</v>
      </c>
      <c r="T11" s="32">
        <f t="shared" si="21"/>
        <v>4030</v>
      </c>
      <c r="U11" s="14">
        <f t="shared" si="10"/>
        <v>0</v>
      </c>
    </row>
    <row r="12" spans="1:24" ht="13.5" thickBot="1" x14ac:dyDescent="0.25">
      <c r="A12" s="9">
        <v>44783</v>
      </c>
      <c r="B12" s="32">
        <f t="shared" si="12"/>
        <v>47383</v>
      </c>
      <c r="C12" s="14">
        <f t="shared" si="3"/>
        <v>0</v>
      </c>
      <c r="D12" s="32">
        <f t="shared" si="13"/>
        <v>40840</v>
      </c>
      <c r="E12" s="14">
        <f t="shared" si="4"/>
        <v>0</v>
      </c>
      <c r="F12" s="32">
        <f t="shared" si="14"/>
        <v>21913</v>
      </c>
      <c r="G12" s="14">
        <f t="shared" si="5"/>
        <v>0</v>
      </c>
      <c r="H12" s="32">
        <f t="shared" si="15"/>
        <v>257135</v>
      </c>
      <c r="I12" s="14">
        <f t="shared" si="6"/>
        <v>0</v>
      </c>
      <c r="J12" s="32">
        <f t="shared" si="16"/>
        <v>326240</v>
      </c>
      <c r="K12" s="14">
        <f t="shared" si="7"/>
        <v>0</v>
      </c>
      <c r="L12" s="32">
        <f t="shared" si="17"/>
        <v>26365</v>
      </c>
      <c r="M12" s="14">
        <f t="shared" si="8"/>
        <v>0</v>
      </c>
      <c r="N12" s="32">
        <f t="shared" si="18"/>
        <v>226240</v>
      </c>
      <c r="O12" s="14">
        <f t="shared" si="9"/>
        <v>0</v>
      </c>
      <c r="P12" s="32">
        <f t="shared" si="19"/>
        <v>162970</v>
      </c>
      <c r="Q12" s="14">
        <f t="shared" si="2"/>
        <v>0</v>
      </c>
      <c r="R12" s="1">
        <f t="shared" si="20"/>
        <v>55047</v>
      </c>
      <c r="S12" s="14">
        <f t="shared" si="11"/>
        <v>0</v>
      </c>
      <c r="T12" s="32">
        <f t="shared" si="21"/>
        <v>4030</v>
      </c>
      <c r="U12" s="14">
        <f t="shared" si="10"/>
        <v>0</v>
      </c>
    </row>
    <row r="13" spans="1:24" ht="13.5" thickBot="1" x14ac:dyDescent="0.25">
      <c r="A13" s="9">
        <v>44784</v>
      </c>
      <c r="B13" s="32">
        <f t="shared" si="12"/>
        <v>47383</v>
      </c>
      <c r="C13" s="14">
        <f t="shared" si="3"/>
        <v>0</v>
      </c>
      <c r="D13" s="32">
        <f t="shared" si="13"/>
        <v>40840</v>
      </c>
      <c r="E13" s="14">
        <f t="shared" si="4"/>
        <v>0</v>
      </c>
      <c r="F13" s="32">
        <f t="shared" si="14"/>
        <v>21913</v>
      </c>
      <c r="G13" s="14">
        <f t="shared" si="5"/>
        <v>0</v>
      </c>
      <c r="H13" s="32">
        <f t="shared" si="15"/>
        <v>257135</v>
      </c>
      <c r="I13" s="14">
        <f t="shared" si="6"/>
        <v>0</v>
      </c>
      <c r="J13" s="32">
        <f t="shared" si="16"/>
        <v>326240</v>
      </c>
      <c r="K13" s="14">
        <f t="shared" si="7"/>
        <v>0</v>
      </c>
      <c r="L13" s="32">
        <f t="shared" si="17"/>
        <v>26365</v>
      </c>
      <c r="M13" s="14">
        <f t="shared" si="8"/>
        <v>0</v>
      </c>
      <c r="N13" s="32">
        <f t="shared" si="18"/>
        <v>226240</v>
      </c>
      <c r="O13" s="14">
        <f t="shared" si="9"/>
        <v>0</v>
      </c>
      <c r="P13" s="32">
        <f t="shared" si="19"/>
        <v>162970</v>
      </c>
      <c r="Q13" s="14">
        <f t="shared" si="2"/>
        <v>0</v>
      </c>
      <c r="R13" s="1">
        <f t="shared" si="20"/>
        <v>55047</v>
      </c>
      <c r="S13" s="14">
        <f t="shared" si="11"/>
        <v>0</v>
      </c>
      <c r="T13" s="32">
        <f t="shared" si="21"/>
        <v>4030</v>
      </c>
      <c r="U13" s="14">
        <f t="shared" si="10"/>
        <v>0</v>
      </c>
    </row>
    <row r="14" spans="1:24" ht="13.5" thickBot="1" x14ac:dyDescent="0.25">
      <c r="A14" s="9">
        <v>44785</v>
      </c>
      <c r="B14" s="32">
        <f t="shared" si="12"/>
        <v>47383</v>
      </c>
      <c r="C14" s="14">
        <f t="shared" si="3"/>
        <v>0</v>
      </c>
      <c r="D14" s="32">
        <f t="shared" si="13"/>
        <v>40840</v>
      </c>
      <c r="E14" s="14">
        <f t="shared" si="4"/>
        <v>0</v>
      </c>
      <c r="F14" s="32">
        <f t="shared" si="14"/>
        <v>21913</v>
      </c>
      <c r="G14" s="14">
        <f t="shared" si="5"/>
        <v>0</v>
      </c>
      <c r="H14" s="32">
        <f t="shared" si="15"/>
        <v>257135</v>
      </c>
      <c r="I14" s="14">
        <f t="shared" si="6"/>
        <v>0</v>
      </c>
      <c r="J14" s="32">
        <f t="shared" si="16"/>
        <v>326240</v>
      </c>
      <c r="K14" s="14">
        <f t="shared" si="7"/>
        <v>0</v>
      </c>
      <c r="L14" s="32">
        <f t="shared" si="17"/>
        <v>26365</v>
      </c>
      <c r="M14" s="14">
        <f t="shared" si="8"/>
        <v>0</v>
      </c>
      <c r="N14" s="32">
        <f t="shared" si="18"/>
        <v>226240</v>
      </c>
      <c r="O14" s="14">
        <f t="shared" si="9"/>
        <v>0</v>
      </c>
      <c r="P14" s="32">
        <f t="shared" si="19"/>
        <v>162970</v>
      </c>
      <c r="Q14" s="14">
        <f t="shared" si="2"/>
        <v>0</v>
      </c>
      <c r="R14" s="1">
        <f t="shared" si="20"/>
        <v>55047</v>
      </c>
      <c r="S14" s="14">
        <v>0</v>
      </c>
      <c r="T14" s="32">
        <f t="shared" si="21"/>
        <v>4030</v>
      </c>
      <c r="U14" s="14">
        <f t="shared" si="10"/>
        <v>0</v>
      </c>
    </row>
    <row r="15" spans="1:24" ht="13.5" thickBot="1" x14ac:dyDescent="0.25">
      <c r="A15" s="9">
        <v>44786</v>
      </c>
      <c r="B15" s="32">
        <f t="shared" si="12"/>
        <v>47383</v>
      </c>
      <c r="C15" s="14">
        <f t="shared" si="3"/>
        <v>0</v>
      </c>
      <c r="D15" s="32">
        <f t="shared" si="13"/>
        <v>40840</v>
      </c>
      <c r="E15" s="14">
        <f t="shared" si="4"/>
        <v>0</v>
      </c>
      <c r="F15" s="32">
        <f t="shared" si="14"/>
        <v>21913</v>
      </c>
      <c r="G15" s="14">
        <f t="shared" si="5"/>
        <v>0</v>
      </c>
      <c r="H15" s="32">
        <f t="shared" si="15"/>
        <v>257135</v>
      </c>
      <c r="I15" s="14">
        <f t="shared" si="6"/>
        <v>0</v>
      </c>
      <c r="J15" s="32">
        <f t="shared" si="16"/>
        <v>326240</v>
      </c>
      <c r="K15" s="14">
        <f t="shared" si="7"/>
        <v>0</v>
      </c>
      <c r="L15" s="32">
        <f t="shared" si="17"/>
        <v>26365</v>
      </c>
      <c r="M15" s="14">
        <f t="shared" si="8"/>
        <v>0</v>
      </c>
      <c r="N15" s="32">
        <f t="shared" si="18"/>
        <v>226240</v>
      </c>
      <c r="O15" s="14">
        <f t="shared" si="9"/>
        <v>0</v>
      </c>
      <c r="P15" s="32">
        <f t="shared" si="19"/>
        <v>162970</v>
      </c>
      <c r="Q15" s="14">
        <f t="shared" si="2"/>
        <v>0</v>
      </c>
      <c r="R15" s="1">
        <f t="shared" si="20"/>
        <v>55047</v>
      </c>
      <c r="S15" s="14">
        <v>0</v>
      </c>
      <c r="T15" s="32">
        <f t="shared" si="21"/>
        <v>4030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2"/>
        <v>47383</v>
      </c>
      <c r="C16" s="14">
        <f t="shared" si="3"/>
        <v>0</v>
      </c>
      <c r="D16" s="32">
        <f t="shared" si="13"/>
        <v>40840</v>
      </c>
      <c r="E16" s="14">
        <f t="shared" si="4"/>
        <v>0</v>
      </c>
      <c r="F16" s="32">
        <f t="shared" si="14"/>
        <v>21913</v>
      </c>
      <c r="G16" s="14">
        <f t="shared" si="5"/>
        <v>0</v>
      </c>
      <c r="H16" s="32">
        <f t="shared" si="15"/>
        <v>257135</v>
      </c>
      <c r="I16" s="14">
        <f t="shared" si="6"/>
        <v>0</v>
      </c>
      <c r="J16" s="32">
        <f t="shared" si="16"/>
        <v>326240</v>
      </c>
      <c r="K16" s="14">
        <f t="shared" si="7"/>
        <v>0</v>
      </c>
      <c r="L16" s="32">
        <f t="shared" si="17"/>
        <v>26365</v>
      </c>
      <c r="M16" s="14">
        <f t="shared" si="8"/>
        <v>0</v>
      </c>
      <c r="N16" s="32">
        <f t="shared" si="18"/>
        <v>226240</v>
      </c>
      <c r="O16" s="14">
        <f t="shared" si="9"/>
        <v>0</v>
      </c>
      <c r="P16" s="32">
        <f t="shared" si="19"/>
        <v>162970</v>
      </c>
      <c r="Q16" s="14">
        <f t="shared" si="2"/>
        <v>0</v>
      </c>
      <c r="R16" s="1">
        <f t="shared" si="20"/>
        <v>55047</v>
      </c>
      <c r="S16" s="14">
        <f t="shared" si="11"/>
        <v>0</v>
      </c>
      <c r="T16" s="32">
        <f t="shared" si="21"/>
        <v>4030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f t="shared" si="12"/>
        <v>47383</v>
      </c>
      <c r="C17" s="14">
        <f t="shared" si="3"/>
        <v>0</v>
      </c>
      <c r="D17" s="32">
        <f t="shared" si="13"/>
        <v>40840</v>
      </c>
      <c r="E17" s="14">
        <f t="shared" si="4"/>
        <v>0</v>
      </c>
      <c r="F17" s="32">
        <f t="shared" si="14"/>
        <v>21913</v>
      </c>
      <c r="G17" s="14">
        <f t="shared" si="5"/>
        <v>0</v>
      </c>
      <c r="H17" s="32">
        <f t="shared" si="15"/>
        <v>257135</v>
      </c>
      <c r="I17" s="14">
        <f t="shared" si="6"/>
        <v>0</v>
      </c>
      <c r="J17" s="32">
        <f t="shared" si="16"/>
        <v>326240</v>
      </c>
      <c r="K17" s="14">
        <f t="shared" si="7"/>
        <v>0</v>
      </c>
      <c r="L17" s="32">
        <f t="shared" si="17"/>
        <v>26365</v>
      </c>
      <c r="M17" s="14">
        <f t="shared" si="8"/>
        <v>0</v>
      </c>
      <c r="N17" s="32">
        <f t="shared" si="18"/>
        <v>226240</v>
      </c>
      <c r="O17" s="14">
        <f t="shared" si="9"/>
        <v>0</v>
      </c>
      <c r="P17" s="32">
        <f t="shared" si="19"/>
        <v>162970</v>
      </c>
      <c r="Q17" s="14">
        <f t="shared" si="2"/>
        <v>0</v>
      </c>
      <c r="R17" s="1">
        <f t="shared" si="20"/>
        <v>55047</v>
      </c>
      <c r="S17" s="14">
        <f>S16</f>
        <v>0</v>
      </c>
      <c r="T17" s="32">
        <f t="shared" si="21"/>
        <v>4030</v>
      </c>
      <c r="U17" s="14">
        <f t="shared" si="10"/>
        <v>0</v>
      </c>
    </row>
    <row r="18" spans="1:23" ht="13.5" thickBot="1" x14ac:dyDescent="0.25">
      <c r="A18" s="9">
        <v>44789</v>
      </c>
      <c r="B18" s="32">
        <f t="shared" si="12"/>
        <v>47383</v>
      </c>
      <c r="C18" s="14">
        <f t="shared" si="3"/>
        <v>0</v>
      </c>
      <c r="D18" s="32">
        <f t="shared" si="13"/>
        <v>40840</v>
      </c>
      <c r="E18" s="14">
        <f t="shared" si="4"/>
        <v>0</v>
      </c>
      <c r="F18" s="32">
        <f t="shared" si="14"/>
        <v>21913</v>
      </c>
      <c r="G18" s="14">
        <f t="shared" si="5"/>
        <v>0</v>
      </c>
      <c r="H18" s="32">
        <f t="shared" si="15"/>
        <v>257135</v>
      </c>
      <c r="I18" s="14">
        <f t="shared" si="6"/>
        <v>0</v>
      </c>
      <c r="J18" s="32">
        <f t="shared" si="16"/>
        <v>326240</v>
      </c>
      <c r="K18" s="14">
        <f t="shared" si="7"/>
        <v>0</v>
      </c>
      <c r="L18" s="32">
        <f t="shared" si="17"/>
        <v>26365</v>
      </c>
      <c r="M18" s="14">
        <f t="shared" si="8"/>
        <v>0</v>
      </c>
      <c r="N18" s="32">
        <f t="shared" si="18"/>
        <v>226240</v>
      </c>
      <c r="O18" s="14">
        <f t="shared" si="9"/>
        <v>0</v>
      </c>
      <c r="P18" s="32">
        <f t="shared" si="19"/>
        <v>162970</v>
      </c>
      <c r="Q18" s="14">
        <f t="shared" si="2"/>
        <v>0</v>
      </c>
      <c r="R18" s="1">
        <f t="shared" si="20"/>
        <v>55047</v>
      </c>
      <c r="S18" s="14">
        <f t="shared" si="11"/>
        <v>0</v>
      </c>
      <c r="T18" s="32">
        <f t="shared" si="21"/>
        <v>4030</v>
      </c>
      <c r="U18" s="14">
        <f t="shared" si="10"/>
        <v>0</v>
      </c>
    </row>
    <row r="19" spans="1:23" ht="13.5" thickBot="1" x14ac:dyDescent="0.25">
      <c r="A19" s="9">
        <v>44790</v>
      </c>
      <c r="B19" s="32">
        <f t="shared" si="12"/>
        <v>47383</v>
      </c>
      <c r="C19" s="14">
        <f t="shared" si="3"/>
        <v>0</v>
      </c>
      <c r="D19" s="32">
        <f t="shared" si="13"/>
        <v>40840</v>
      </c>
      <c r="E19" s="14">
        <f t="shared" si="4"/>
        <v>0</v>
      </c>
      <c r="F19" s="32">
        <f t="shared" si="14"/>
        <v>21913</v>
      </c>
      <c r="G19" s="14">
        <f t="shared" si="5"/>
        <v>0</v>
      </c>
      <c r="H19" s="32">
        <f t="shared" si="15"/>
        <v>257135</v>
      </c>
      <c r="I19" s="14">
        <f t="shared" si="6"/>
        <v>0</v>
      </c>
      <c r="J19" s="32">
        <f t="shared" si="16"/>
        <v>326240</v>
      </c>
      <c r="K19" s="14">
        <f t="shared" si="7"/>
        <v>0</v>
      </c>
      <c r="L19" s="32">
        <f t="shared" si="17"/>
        <v>26365</v>
      </c>
      <c r="M19" s="14">
        <f t="shared" si="8"/>
        <v>0</v>
      </c>
      <c r="N19" s="32">
        <f t="shared" si="18"/>
        <v>226240</v>
      </c>
      <c r="O19" s="14">
        <f t="shared" si="9"/>
        <v>0</v>
      </c>
      <c r="P19" s="32">
        <f t="shared" si="19"/>
        <v>162970</v>
      </c>
      <c r="Q19" s="14">
        <v>0</v>
      </c>
      <c r="R19" s="1">
        <f t="shared" si="20"/>
        <v>55047</v>
      </c>
      <c r="S19" s="14">
        <f t="shared" si="11"/>
        <v>0</v>
      </c>
      <c r="T19" s="32">
        <f t="shared" si="21"/>
        <v>4030</v>
      </c>
      <c r="U19" s="14">
        <f t="shared" si="10"/>
        <v>0</v>
      </c>
      <c r="W19" t="s">
        <v>12</v>
      </c>
    </row>
    <row r="20" spans="1:23" ht="13.5" thickBot="1" x14ac:dyDescent="0.25">
      <c r="A20" s="9">
        <v>44791</v>
      </c>
      <c r="B20" s="32">
        <f t="shared" si="12"/>
        <v>47383</v>
      </c>
      <c r="C20" s="14">
        <f t="shared" si="3"/>
        <v>0</v>
      </c>
      <c r="D20" s="32">
        <f t="shared" si="13"/>
        <v>40840</v>
      </c>
      <c r="E20" s="14">
        <f t="shared" si="4"/>
        <v>0</v>
      </c>
      <c r="F20" s="32">
        <f t="shared" si="14"/>
        <v>21913</v>
      </c>
      <c r="G20" s="14">
        <f t="shared" si="5"/>
        <v>0</v>
      </c>
      <c r="H20" s="32">
        <f t="shared" si="15"/>
        <v>257135</v>
      </c>
      <c r="I20" s="14">
        <f t="shared" si="6"/>
        <v>0</v>
      </c>
      <c r="J20" s="32">
        <f t="shared" si="16"/>
        <v>326240</v>
      </c>
      <c r="K20" s="14">
        <f t="shared" si="7"/>
        <v>0</v>
      </c>
      <c r="L20" s="32">
        <f t="shared" si="17"/>
        <v>26365</v>
      </c>
      <c r="M20" s="14">
        <f t="shared" si="8"/>
        <v>0</v>
      </c>
      <c r="N20" s="32">
        <f t="shared" si="18"/>
        <v>226240</v>
      </c>
      <c r="O20" s="14">
        <f t="shared" si="9"/>
        <v>0</v>
      </c>
      <c r="P20" s="32">
        <f t="shared" si="19"/>
        <v>162970</v>
      </c>
      <c r="Q20" s="14">
        <f t="shared" si="2"/>
        <v>0</v>
      </c>
      <c r="R20" s="1">
        <f t="shared" si="20"/>
        <v>55047</v>
      </c>
      <c r="S20" s="14">
        <f t="shared" si="11"/>
        <v>0</v>
      </c>
      <c r="T20" s="32">
        <f t="shared" si="21"/>
        <v>4030</v>
      </c>
      <c r="U20" s="14">
        <f t="shared" si="10"/>
        <v>0</v>
      </c>
    </row>
    <row r="21" spans="1:23" ht="13.5" thickBot="1" x14ac:dyDescent="0.25">
      <c r="A21" s="9">
        <v>44792</v>
      </c>
      <c r="B21" s="32">
        <f t="shared" si="12"/>
        <v>47383</v>
      </c>
      <c r="C21" s="14">
        <f t="shared" si="3"/>
        <v>0</v>
      </c>
      <c r="D21" s="32">
        <f t="shared" si="13"/>
        <v>40840</v>
      </c>
      <c r="E21" s="14">
        <f t="shared" si="4"/>
        <v>0</v>
      </c>
      <c r="F21" s="32">
        <f t="shared" si="14"/>
        <v>21913</v>
      </c>
      <c r="G21" s="14">
        <f t="shared" si="5"/>
        <v>0</v>
      </c>
      <c r="H21" s="32">
        <f t="shared" si="15"/>
        <v>257135</v>
      </c>
      <c r="I21" s="14">
        <f t="shared" si="6"/>
        <v>0</v>
      </c>
      <c r="J21" s="32">
        <f t="shared" si="16"/>
        <v>326240</v>
      </c>
      <c r="K21" s="14">
        <f t="shared" si="7"/>
        <v>0</v>
      </c>
      <c r="L21" s="32">
        <f t="shared" si="17"/>
        <v>26365</v>
      </c>
      <c r="M21" s="14">
        <f t="shared" si="8"/>
        <v>0</v>
      </c>
      <c r="N21" s="32">
        <f t="shared" si="18"/>
        <v>226240</v>
      </c>
      <c r="O21" s="14">
        <f t="shared" si="9"/>
        <v>0</v>
      </c>
      <c r="P21" s="32">
        <f t="shared" si="19"/>
        <v>162970</v>
      </c>
      <c r="Q21" s="14">
        <f t="shared" si="2"/>
        <v>0</v>
      </c>
      <c r="R21" s="1">
        <f t="shared" si="20"/>
        <v>55047</v>
      </c>
      <c r="S21" s="14">
        <f t="shared" si="11"/>
        <v>0</v>
      </c>
      <c r="T21" s="32">
        <f t="shared" si="21"/>
        <v>4030</v>
      </c>
      <c r="U21" s="14">
        <f t="shared" si="10"/>
        <v>0</v>
      </c>
    </row>
    <row r="22" spans="1:23" ht="13.5" thickBot="1" x14ac:dyDescent="0.25">
      <c r="A22" s="9">
        <v>44793</v>
      </c>
      <c r="B22" s="32">
        <f t="shared" si="12"/>
        <v>47383</v>
      </c>
      <c r="C22" s="14">
        <f t="shared" si="3"/>
        <v>0</v>
      </c>
      <c r="D22" s="32">
        <f t="shared" si="13"/>
        <v>40840</v>
      </c>
      <c r="E22" s="14">
        <f t="shared" si="4"/>
        <v>0</v>
      </c>
      <c r="F22" s="32">
        <f t="shared" si="14"/>
        <v>21913</v>
      </c>
      <c r="G22" s="14">
        <f t="shared" si="5"/>
        <v>0</v>
      </c>
      <c r="H22" s="32">
        <f t="shared" si="15"/>
        <v>257135</v>
      </c>
      <c r="I22" s="14">
        <f t="shared" si="6"/>
        <v>0</v>
      </c>
      <c r="J22" s="32">
        <f t="shared" si="16"/>
        <v>326240</v>
      </c>
      <c r="K22" s="14">
        <f t="shared" si="7"/>
        <v>0</v>
      </c>
      <c r="L22" s="32">
        <f t="shared" si="17"/>
        <v>26365</v>
      </c>
      <c r="M22" s="14">
        <f t="shared" si="8"/>
        <v>0</v>
      </c>
      <c r="N22" s="32">
        <f t="shared" si="18"/>
        <v>226240</v>
      </c>
      <c r="O22" s="14">
        <f t="shared" si="9"/>
        <v>0</v>
      </c>
      <c r="P22" s="32">
        <f t="shared" si="19"/>
        <v>162970</v>
      </c>
      <c r="Q22" s="14">
        <f t="shared" si="2"/>
        <v>0</v>
      </c>
      <c r="R22" s="1">
        <f t="shared" si="20"/>
        <v>55047</v>
      </c>
      <c r="S22" s="14">
        <f t="shared" si="11"/>
        <v>0</v>
      </c>
      <c r="T22" s="32">
        <f t="shared" si="21"/>
        <v>4030</v>
      </c>
      <c r="U22" s="14">
        <f t="shared" si="10"/>
        <v>0</v>
      </c>
    </row>
    <row r="23" spans="1:23" ht="13.5" thickBot="1" x14ac:dyDescent="0.25">
      <c r="A23" s="9">
        <v>44794</v>
      </c>
      <c r="B23" s="32">
        <f t="shared" si="12"/>
        <v>47383</v>
      </c>
      <c r="C23" s="14">
        <f t="shared" si="3"/>
        <v>0</v>
      </c>
      <c r="D23" s="32">
        <f t="shared" si="13"/>
        <v>40840</v>
      </c>
      <c r="E23" s="14">
        <f t="shared" si="4"/>
        <v>0</v>
      </c>
      <c r="F23" s="32">
        <f t="shared" si="14"/>
        <v>21913</v>
      </c>
      <c r="G23" s="14">
        <f t="shared" si="5"/>
        <v>0</v>
      </c>
      <c r="H23" s="32">
        <f t="shared" si="15"/>
        <v>257135</v>
      </c>
      <c r="I23" s="14">
        <f t="shared" si="6"/>
        <v>0</v>
      </c>
      <c r="J23" s="32">
        <f t="shared" si="16"/>
        <v>326240</v>
      </c>
      <c r="K23" s="14">
        <f t="shared" si="7"/>
        <v>0</v>
      </c>
      <c r="L23" s="32">
        <f t="shared" si="17"/>
        <v>26365</v>
      </c>
      <c r="M23" s="14">
        <f t="shared" si="8"/>
        <v>0</v>
      </c>
      <c r="N23" s="32">
        <f t="shared" si="18"/>
        <v>226240</v>
      </c>
      <c r="O23" s="14">
        <f t="shared" si="9"/>
        <v>0</v>
      </c>
      <c r="P23" s="32">
        <f t="shared" si="19"/>
        <v>162970</v>
      </c>
      <c r="Q23" s="14">
        <f t="shared" si="2"/>
        <v>0</v>
      </c>
      <c r="R23" s="1">
        <f t="shared" si="20"/>
        <v>55047</v>
      </c>
      <c r="S23" s="14">
        <f t="shared" si="11"/>
        <v>0</v>
      </c>
      <c r="T23" s="32">
        <f t="shared" si="21"/>
        <v>4030</v>
      </c>
      <c r="U23" s="14">
        <f t="shared" si="10"/>
        <v>0</v>
      </c>
    </row>
    <row r="24" spans="1:23" s="131" customFormat="1" ht="13.5" thickBot="1" x14ac:dyDescent="0.25">
      <c r="A24" s="9">
        <v>44795</v>
      </c>
      <c r="B24" s="32">
        <f t="shared" si="12"/>
        <v>47383</v>
      </c>
      <c r="C24" s="14">
        <f t="shared" si="3"/>
        <v>0</v>
      </c>
      <c r="D24" s="32">
        <f t="shared" si="13"/>
        <v>40840</v>
      </c>
      <c r="E24" s="14">
        <f t="shared" si="4"/>
        <v>0</v>
      </c>
      <c r="F24" s="32">
        <f t="shared" si="14"/>
        <v>21913</v>
      </c>
      <c r="G24" s="14">
        <f t="shared" si="5"/>
        <v>0</v>
      </c>
      <c r="H24" s="32">
        <f t="shared" si="15"/>
        <v>257135</v>
      </c>
      <c r="I24" s="14">
        <f t="shared" si="6"/>
        <v>0</v>
      </c>
      <c r="J24" s="32">
        <f t="shared" si="16"/>
        <v>326240</v>
      </c>
      <c r="K24" s="14">
        <f t="shared" si="7"/>
        <v>0</v>
      </c>
      <c r="L24" s="32">
        <f t="shared" si="17"/>
        <v>26365</v>
      </c>
      <c r="M24" s="14">
        <f t="shared" si="8"/>
        <v>0</v>
      </c>
      <c r="N24" s="32">
        <f t="shared" si="18"/>
        <v>226240</v>
      </c>
      <c r="O24" s="14">
        <f t="shared" si="9"/>
        <v>0</v>
      </c>
      <c r="P24" s="32">
        <f t="shared" si="19"/>
        <v>162970</v>
      </c>
      <c r="Q24" s="14">
        <f t="shared" si="2"/>
        <v>0</v>
      </c>
      <c r="R24" s="1">
        <f t="shared" si="20"/>
        <v>55047</v>
      </c>
      <c r="S24" s="14">
        <f t="shared" si="11"/>
        <v>0</v>
      </c>
      <c r="T24" s="32">
        <f t="shared" si="21"/>
        <v>4030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2"/>
        <v>47383</v>
      </c>
      <c r="C25" s="14">
        <f t="shared" si="3"/>
        <v>0</v>
      </c>
      <c r="D25" s="32">
        <f t="shared" si="13"/>
        <v>40840</v>
      </c>
      <c r="E25" s="14">
        <f t="shared" si="4"/>
        <v>0</v>
      </c>
      <c r="F25" s="32">
        <f t="shared" si="14"/>
        <v>21913</v>
      </c>
      <c r="G25" s="14">
        <f t="shared" si="5"/>
        <v>0</v>
      </c>
      <c r="H25" s="32">
        <f t="shared" si="15"/>
        <v>257135</v>
      </c>
      <c r="I25" s="14">
        <f t="shared" si="6"/>
        <v>0</v>
      </c>
      <c r="J25" s="32">
        <f t="shared" si="16"/>
        <v>326240</v>
      </c>
      <c r="K25" s="14">
        <f t="shared" si="7"/>
        <v>0</v>
      </c>
      <c r="L25" s="32">
        <f t="shared" si="17"/>
        <v>26365</v>
      </c>
      <c r="M25" s="14">
        <f t="shared" si="8"/>
        <v>0</v>
      </c>
      <c r="N25" s="32">
        <f t="shared" si="18"/>
        <v>226240</v>
      </c>
      <c r="O25" s="14">
        <f t="shared" si="9"/>
        <v>0</v>
      </c>
      <c r="P25" s="32">
        <f t="shared" si="19"/>
        <v>162970</v>
      </c>
      <c r="Q25" s="14">
        <f t="shared" si="2"/>
        <v>0</v>
      </c>
      <c r="R25" s="1">
        <f t="shared" si="20"/>
        <v>55047</v>
      </c>
      <c r="S25" s="14">
        <f t="shared" si="11"/>
        <v>0</v>
      </c>
      <c r="T25" s="32">
        <f t="shared" si="21"/>
        <v>4030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2"/>
        <v>47383</v>
      </c>
      <c r="C26" s="14">
        <f t="shared" si="3"/>
        <v>0</v>
      </c>
      <c r="D26" s="32">
        <f t="shared" si="13"/>
        <v>40840</v>
      </c>
      <c r="E26" s="14">
        <f t="shared" si="4"/>
        <v>0</v>
      </c>
      <c r="F26" s="32">
        <f t="shared" si="14"/>
        <v>21913</v>
      </c>
      <c r="G26" s="14">
        <f t="shared" si="5"/>
        <v>0</v>
      </c>
      <c r="H26" s="32">
        <f t="shared" si="15"/>
        <v>257135</v>
      </c>
      <c r="I26" s="14">
        <f t="shared" si="6"/>
        <v>0</v>
      </c>
      <c r="J26" s="32">
        <f t="shared" si="16"/>
        <v>326240</v>
      </c>
      <c r="K26" s="14">
        <f t="shared" si="7"/>
        <v>0</v>
      </c>
      <c r="L26" s="32">
        <f t="shared" si="17"/>
        <v>26365</v>
      </c>
      <c r="M26" s="14">
        <f t="shared" si="8"/>
        <v>0</v>
      </c>
      <c r="N26" s="32">
        <f t="shared" si="18"/>
        <v>226240</v>
      </c>
      <c r="O26" s="14">
        <f t="shared" si="9"/>
        <v>0</v>
      </c>
      <c r="P26" s="32">
        <f t="shared" si="19"/>
        <v>162970</v>
      </c>
      <c r="Q26" s="14">
        <f t="shared" si="2"/>
        <v>0</v>
      </c>
      <c r="R26" s="1">
        <f t="shared" si="20"/>
        <v>55047</v>
      </c>
      <c r="S26" s="14">
        <f t="shared" si="11"/>
        <v>0</v>
      </c>
      <c r="T26" s="32">
        <f t="shared" si="21"/>
        <v>4030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2"/>
        <v>47383</v>
      </c>
      <c r="C27" s="14">
        <f t="shared" si="3"/>
        <v>0</v>
      </c>
      <c r="D27" s="32">
        <f t="shared" si="13"/>
        <v>40840</v>
      </c>
      <c r="E27" s="14">
        <f t="shared" si="4"/>
        <v>0</v>
      </c>
      <c r="F27" s="32">
        <f t="shared" si="14"/>
        <v>21913</v>
      </c>
      <c r="G27" s="14">
        <f t="shared" si="5"/>
        <v>0</v>
      </c>
      <c r="H27" s="32">
        <f t="shared" si="15"/>
        <v>257135</v>
      </c>
      <c r="I27" s="14">
        <f t="shared" si="6"/>
        <v>0</v>
      </c>
      <c r="J27" s="32">
        <f t="shared" si="16"/>
        <v>326240</v>
      </c>
      <c r="K27" s="14">
        <f t="shared" si="7"/>
        <v>0</v>
      </c>
      <c r="L27" s="32">
        <f t="shared" si="17"/>
        <v>26365</v>
      </c>
      <c r="M27" s="14">
        <f t="shared" si="8"/>
        <v>0</v>
      </c>
      <c r="N27" s="32">
        <f t="shared" si="18"/>
        <v>226240</v>
      </c>
      <c r="O27" s="14">
        <f t="shared" si="9"/>
        <v>0</v>
      </c>
      <c r="P27" s="32">
        <f t="shared" si="19"/>
        <v>162970</v>
      </c>
      <c r="Q27" s="14">
        <f t="shared" si="2"/>
        <v>0</v>
      </c>
      <c r="R27" s="1">
        <f t="shared" si="20"/>
        <v>55047</v>
      </c>
      <c r="S27" s="14">
        <f t="shared" si="11"/>
        <v>0</v>
      </c>
      <c r="T27" s="32">
        <f t="shared" si="21"/>
        <v>4030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2"/>
        <v>47383</v>
      </c>
      <c r="C28" s="14">
        <f t="shared" si="3"/>
        <v>0</v>
      </c>
      <c r="D28" s="32">
        <f t="shared" si="13"/>
        <v>40840</v>
      </c>
      <c r="E28" s="14">
        <f t="shared" si="4"/>
        <v>0</v>
      </c>
      <c r="F28" s="32">
        <f t="shared" si="14"/>
        <v>21913</v>
      </c>
      <c r="G28" s="14">
        <f t="shared" si="5"/>
        <v>0</v>
      </c>
      <c r="H28" s="32">
        <f t="shared" si="15"/>
        <v>257135</v>
      </c>
      <c r="I28" s="14">
        <f t="shared" si="6"/>
        <v>0</v>
      </c>
      <c r="J28" s="32">
        <f t="shared" si="16"/>
        <v>326240</v>
      </c>
      <c r="K28" s="14">
        <f t="shared" si="7"/>
        <v>0</v>
      </c>
      <c r="L28" s="32">
        <f t="shared" si="17"/>
        <v>26365</v>
      </c>
      <c r="M28" s="14">
        <f t="shared" si="8"/>
        <v>0</v>
      </c>
      <c r="N28" s="32">
        <f t="shared" si="18"/>
        <v>226240</v>
      </c>
      <c r="O28" s="14">
        <f t="shared" si="9"/>
        <v>0</v>
      </c>
      <c r="P28" s="32">
        <f t="shared" si="19"/>
        <v>162970</v>
      </c>
      <c r="Q28" s="14">
        <f t="shared" si="2"/>
        <v>0</v>
      </c>
      <c r="R28" s="1">
        <f t="shared" si="20"/>
        <v>55047</v>
      </c>
      <c r="S28" s="15">
        <f t="shared" si="11"/>
        <v>0</v>
      </c>
      <c r="T28" s="32">
        <f t="shared" si="21"/>
        <v>4030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2"/>
        <v>47383</v>
      </c>
      <c r="C29" s="14">
        <f t="shared" si="3"/>
        <v>0</v>
      </c>
      <c r="D29" s="32">
        <f t="shared" si="13"/>
        <v>40840</v>
      </c>
      <c r="E29" s="14">
        <f t="shared" si="4"/>
        <v>0</v>
      </c>
      <c r="F29" s="32">
        <f t="shared" si="14"/>
        <v>21913</v>
      </c>
      <c r="G29" s="14">
        <f t="shared" si="5"/>
        <v>0</v>
      </c>
      <c r="H29" s="32">
        <f t="shared" si="15"/>
        <v>257135</v>
      </c>
      <c r="I29" s="14">
        <f t="shared" si="6"/>
        <v>0</v>
      </c>
      <c r="J29" s="32">
        <f t="shared" si="16"/>
        <v>326240</v>
      </c>
      <c r="K29" s="14">
        <f t="shared" si="7"/>
        <v>0</v>
      </c>
      <c r="L29" s="32">
        <f t="shared" si="17"/>
        <v>26365</v>
      </c>
      <c r="M29" s="14">
        <f t="shared" si="8"/>
        <v>0</v>
      </c>
      <c r="N29" s="32">
        <f t="shared" si="18"/>
        <v>226240</v>
      </c>
      <c r="O29" s="14">
        <f t="shared" si="9"/>
        <v>0</v>
      </c>
      <c r="P29" s="32">
        <f t="shared" si="19"/>
        <v>162970</v>
      </c>
      <c r="Q29" s="14">
        <f t="shared" si="2"/>
        <v>0</v>
      </c>
      <c r="R29" s="1">
        <f t="shared" si="20"/>
        <v>55047</v>
      </c>
      <c r="S29" s="14">
        <f t="shared" si="11"/>
        <v>0</v>
      </c>
      <c r="T29" s="32">
        <f t="shared" si="21"/>
        <v>4030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2"/>
        <v>47383</v>
      </c>
      <c r="C30" s="14">
        <f t="shared" si="3"/>
        <v>0</v>
      </c>
      <c r="D30" s="32">
        <f t="shared" si="13"/>
        <v>40840</v>
      </c>
      <c r="E30" s="14">
        <f t="shared" si="4"/>
        <v>0</v>
      </c>
      <c r="F30" s="32">
        <f t="shared" si="14"/>
        <v>21913</v>
      </c>
      <c r="G30" s="14">
        <f t="shared" si="5"/>
        <v>0</v>
      </c>
      <c r="H30" s="32">
        <f t="shared" si="15"/>
        <v>257135</v>
      </c>
      <c r="I30" s="14">
        <f t="shared" si="6"/>
        <v>0</v>
      </c>
      <c r="J30" s="32">
        <f t="shared" si="16"/>
        <v>326240</v>
      </c>
      <c r="K30" s="14">
        <f t="shared" si="7"/>
        <v>0</v>
      </c>
      <c r="L30" s="32">
        <f t="shared" si="17"/>
        <v>26365</v>
      </c>
      <c r="M30" s="14">
        <f t="shared" si="8"/>
        <v>0</v>
      </c>
      <c r="N30" s="32">
        <f t="shared" si="18"/>
        <v>226240</v>
      </c>
      <c r="O30" s="14">
        <f t="shared" si="9"/>
        <v>0</v>
      </c>
      <c r="P30" s="32">
        <f t="shared" si="19"/>
        <v>162970</v>
      </c>
      <c r="Q30" s="14">
        <f t="shared" si="2"/>
        <v>0</v>
      </c>
      <c r="R30" s="1">
        <f t="shared" si="20"/>
        <v>55047</v>
      </c>
      <c r="S30" s="14">
        <f t="shared" si="11"/>
        <v>0</v>
      </c>
      <c r="T30" s="32">
        <f t="shared" si="21"/>
        <v>4030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2"/>
        <v>47383</v>
      </c>
      <c r="C31" s="14">
        <f t="shared" si="3"/>
        <v>0</v>
      </c>
      <c r="D31" s="32">
        <f t="shared" si="13"/>
        <v>40840</v>
      </c>
      <c r="E31" s="14">
        <f t="shared" si="4"/>
        <v>0</v>
      </c>
      <c r="F31" s="32">
        <f t="shared" si="14"/>
        <v>21913</v>
      </c>
      <c r="G31" s="14">
        <f t="shared" si="5"/>
        <v>0</v>
      </c>
      <c r="H31" s="32">
        <f t="shared" si="15"/>
        <v>257135</v>
      </c>
      <c r="I31" s="14">
        <f t="shared" si="6"/>
        <v>0</v>
      </c>
      <c r="J31" s="32">
        <f t="shared" si="16"/>
        <v>326240</v>
      </c>
      <c r="K31" s="14">
        <f t="shared" si="7"/>
        <v>0</v>
      </c>
      <c r="L31" s="32">
        <f t="shared" si="17"/>
        <v>26365</v>
      </c>
      <c r="M31" s="14">
        <f t="shared" si="8"/>
        <v>0</v>
      </c>
      <c r="N31" s="32">
        <f t="shared" si="18"/>
        <v>226240</v>
      </c>
      <c r="O31" s="14">
        <f t="shared" si="9"/>
        <v>0</v>
      </c>
      <c r="P31" s="32">
        <f t="shared" si="19"/>
        <v>162970</v>
      </c>
      <c r="Q31" s="14">
        <f t="shared" si="2"/>
        <v>0</v>
      </c>
      <c r="R31" s="1">
        <f t="shared" si="20"/>
        <v>55047</v>
      </c>
      <c r="S31" s="14">
        <v>0</v>
      </c>
      <c r="T31" s="32">
        <f t="shared" si="21"/>
        <v>4030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2"/>
        <v>47383</v>
      </c>
      <c r="C32" s="14">
        <f t="shared" si="3"/>
        <v>0</v>
      </c>
      <c r="D32" s="32">
        <f t="shared" si="13"/>
        <v>40840</v>
      </c>
      <c r="E32" s="14">
        <f t="shared" si="4"/>
        <v>0</v>
      </c>
      <c r="F32" s="32">
        <f t="shared" si="14"/>
        <v>21913</v>
      </c>
      <c r="G32" s="14">
        <f t="shared" si="5"/>
        <v>0</v>
      </c>
      <c r="H32" s="32">
        <f t="shared" si="15"/>
        <v>257135</v>
      </c>
      <c r="I32" s="14">
        <f t="shared" si="6"/>
        <v>0</v>
      </c>
      <c r="J32" s="32">
        <f t="shared" si="16"/>
        <v>326240</v>
      </c>
      <c r="K32" s="14">
        <f t="shared" si="7"/>
        <v>0</v>
      </c>
      <c r="L32" s="32">
        <f t="shared" si="17"/>
        <v>26365</v>
      </c>
      <c r="M32" s="14">
        <f t="shared" si="8"/>
        <v>0</v>
      </c>
      <c r="N32" s="32">
        <f t="shared" si="18"/>
        <v>226240</v>
      </c>
      <c r="O32" s="14">
        <f t="shared" si="9"/>
        <v>0</v>
      </c>
      <c r="P32" s="32">
        <f t="shared" si="19"/>
        <v>162970</v>
      </c>
      <c r="Q32" s="14">
        <f t="shared" si="2"/>
        <v>0</v>
      </c>
      <c r="R32" s="1">
        <f t="shared" si="20"/>
        <v>55047</v>
      </c>
      <c r="S32" s="14">
        <f t="shared" si="11"/>
        <v>0</v>
      </c>
      <c r="T32" s="32">
        <f t="shared" si="21"/>
        <v>4030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2"/>
        <v>47383</v>
      </c>
      <c r="C33" s="14">
        <f t="shared" si="3"/>
        <v>0</v>
      </c>
      <c r="D33" s="32">
        <f t="shared" si="13"/>
        <v>40840</v>
      </c>
      <c r="E33" s="14">
        <f t="shared" si="4"/>
        <v>0</v>
      </c>
      <c r="F33" s="32">
        <f t="shared" si="14"/>
        <v>21913</v>
      </c>
      <c r="G33" s="14">
        <f t="shared" si="5"/>
        <v>0</v>
      </c>
      <c r="H33" s="32">
        <f t="shared" si="15"/>
        <v>257135</v>
      </c>
      <c r="I33" s="14">
        <f t="shared" si="6"/>
        <v>0</v>
      </c>
      <c r="J33" s="32">
        <f t="shared" si="16"/>
        <v>326240</v>
      </c>
      <c r="K33" s="14">
        <f t="shared" si="7"/>
        <v>0</v>
      </c>
      <c r="L33" s="32">
        <f t="shared" si="17"/>
        <v>26365</v>
      </c>
      <c r="M33" s="14">
        <f t="shared" si="8"/>
        <v>0</v>
      </c>
      <c r="N33" s="32">
        <f t="shared" si="18"/>
        <v>226240</v>
      </c>
      <c r="O33" s="14">
        <f t="shared" si="9"/>
        <v>0</v>
      </c>
      <c r="P33" s="32">
        <f t="shared" si="19"/>
        <v>162970</v>
      </c>
      <c r="Q33" s="14">
        <f t="shared" si="2"/>
        <v>0</v>
      </c>
      <c r="R33" s="1">
        <f t="shared" si="20"/>
        <v>55047</v>
      </c>
      <c r="S33" s="14">
        <f>SUM(S3:S32)</f>
        <v>0</v>
      </c>
      <c r="T33" s="32">
        <f t="shared" si="21"/>
        <v>4030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2080</v>
      </c>
      <c r="D34" s="14"/>
      <c r="E34" s="14">
        <f>SUM(E3:E33)</f>
        <v>1280</v>
      </c>
      <c r="F34" s="14"/>
      <c r="G34" s="14">
        <f>SUM(G3:G33)</f>
        <v>220</v>
      </c>
      <c r="H34" s="14"/>
      <c r="I34" s="14">
        <f>SUM(I3:I33)</f>
        <v>99</v>
      </c>
      <c r="J34" s="14"/>
      <c r="K34" s="14">
        <f>SUM(K3:K33)</f>
        <v>525</v>
      </c>
      <c r="L34" s="14"/>
      <c r="M34" s="14">
        <f>SUM(M3:M33)</f>
        <v>660</v>
      </c>
      <c r="N34" s="14"/>
      <c r="O34" s="14">
        <f>SUM(O3:O33)</f>
        <v>10</v>
      </c>
      <c r="P34" s="14"/>
      <c r="Q34" s="14">
        <f>SUM(Q3:Q33)</f>
        <v>359</v>
      </c>
      <c r="R34" s="14"/>
      <c r="S34" s="14">
        <f>SUM(S3:S33)</f>
        <v>0</v>
      </c>
      <c r="T34" s="14"/>
      <c r="U34" s="14">
        <f>SUM(U3:U33)</f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C1" zoomScaleNormal="100" zoomScaleSheetLayoutView="110" workbookViewId="0">
      <pane ySplit="1" topLeftCell="A2" activePane="bottomLeft" state="frozen"/>
      <selection pane="bottomLeft" activeCell="Y5" sqref="Y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3.8554687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50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50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50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50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/>
      <c r="C6" s="144"/>
      <c r="D6" s="38">
        <f t="shared" si="4"/>
        <v>0</v>
      </c>
      <c r="E6" s="145"/>
      <c r="F6" s="38" t="str">
        <f t="shared" si="5"/>
        <v>0</v>
      </c>
      <c r="G6" s="146"/>
      <c r="H6" s="38" t="str">
        <f t="shared" si="6"/>
        <v>0</v>
      </c>
      <c r="I6" s="147">
        <f t="shared" si="7"/>
        <v>0</v>
      </c>
      <c r="J6" s="145"/>
      <c r="K6" s="38">
        <f t="shared" si="15"/>
        <v>0</v>
      </c>
      <c r="L6" s="148"/>
      <c r="M6" s="38" t="str">
        <f t="shared" si="8"/>
        <v>0</v>
      </c>
      <c r="N6" s="145"/>
      <c r="O6" s="38">
        <f t="shared" si="16"/>
        <v>0</v>
      </c>
      <c r="P6" s="148"/>
      <c r="Q6" s="38" t="str">
        <f t="shared" si="9"/>
        <v>0</v>
      </c>
      <c r="R6" s="145"/>
      <c r="S6" s="38" t="str">
        <f t="shared" si="10"/>
        <v>0</v>
      </c>
      <c r="T6" s="145">
        <v>0</v>
      </c>
      <c r="U6" s="149"/>
      <c r="V6" s="145"/>
      <c r="W6" s="38" t="str">
        <f t="shared" si="11"/>
        <v>0</v>
      </c>
      <c r="X6" s="19">
        <f t="shared" si="12"/>
        <v>0</v>
      </c>
      <c r="Y6" s="150">
        <f t="shared" si="13"/>
        <v>0</v>
      </c>
      <c r="Z6" s="3">
        <f t="shared" si="14"/>
        <v>0</v>
      </c>
      <c r="AA6" s="3">
        <f>SUM(Z1:Z6)</f>
        <v>29615.604428799998</v>
      </c>
    </row>
    <row r="7" spans="1:27" ht="16.5" thickBot="1" x14ac:dyDescent="0.3">
      <c r="A7" s="9">
        <v>44778</v>
      </c>
      <c r="B7" s="38"/>
      <c r="C7" s="144"/>
      <c r="D7" s="38">
        <f t="shared" si="4"/>
        <v>0</v>
      </c>
      <c r="E7" s="145"/>
      <c r="F7" s="38">
        <f t="shared" si="5"/>
        <v>0</v>
      </c>
      <c r="G7" s="146"/>
      <c r="H7" s="38">
        <f t="shared" si="6"/>
        <v>0</v>
      </c>
      <c r="I7" s="147">
        <f t="shared" si="7"/>
        <v>0</v>
      </c>
      <c r="J7" s="145"/>
      <c r="K7" s="38">
        <f t="shared" si="15"/>
        <v>0</v>
      </c>
      <c r="L7" s="148"/>
      <c r="M7" s="38">
        <f t="shared" si="8"/>
        <v>0</v>
      </c>
      <c r="N7" s="145"/>
      <c r="O7" s="38">
        <f t="shared" si="16"/>
        <v>0</v>
      </c>
      <c r="P7" s="148"/>
      <c r="Q7" s="38">
        <f t="shared" si="9"/>
        <v>0</v>
      </c>
      <c r="R7" s="145"/>
      <c r="S7" s="38">
        <f t="shared" si="10"/>
        <v>0</v>
      </c>
      <c r="T7" s="145">
        <v>0</v>
      </c>
      <c r="U7" s="149"/>
      <c r="V7" s="145"/>
      <c r="W7" s="38">
        <f t="shared" si="11"/>
        <v>0</v>
      </c>
      <c r="X7" s="19">
        <f t="shared" si="12"/>
        <v>0</v>
      </c>
      <c r="Y7" s="150">
        <f t="shared" si="13"/>
        <v>0</v>
      </c>
      <c r="Z7" s="3">
        <f t="shared" si="14"/>
        <v>0</v>
      </c>
      <c r="AA7" s="3">
        <f>SUM(Z1:Z7)</f>
        <v>29615.604428799998</v>
      </c>
    </row>
    <row r="8" spans="1:27" ht="16.5" thickBot="1" x14ac:dyDescent="0.3">
      <c r="A8" s="9">
        <v>44779</v>
      </c>
      <c r="B8" s="38"/>
      <c r="C8" s="144"/>
      <c r="D8" s="38">
        <f t="shared" si="4"/>
        <v>0</v>
      </c>
      <c r="E8" s="145"/>
      <c r="F8" s="38">
        <f t="shared" si="5"/>
        <v>0</v>
      </c>
      <c r="G8" s="146"/>
      <c r="H8" s="38">
        <f t="shared" si="6"/>
        <v>0</v>
      </c>
      <c r="I8" s="147">
        <f t="shared" si="7"/>
        <v>0</v>
      </c>
      <c r="J8" s="145"/>
      <c r="K8" s="38">
        <f t="shared" si="15"/>
        <v>0</v>
      </c>
      <c r="L8" s="148"/>
      <c r="M8" s="38">
        <f t="shared" si="8"/>
        <v>0</v>
      </c>
      <c r="N8" s="145"/>
      <c r="O8" s="38">
        <f t="shared" si="16"/>
        <v>0</v>
      </c>
      <c r="P8" s="148"/>
      <c r="Q8" s="38">
        <f t="shared" si="9"/>
        <v>0</v>
      </c>
      <c r="R8" s="145"/>
      <c r="S8" s="38">
        <f t="shared" si="10"/>
        <v>0</v>
      </c>
      <c r="T8" s="145">
        <v>0</v>
      </c>
      <c r="U8" s="149"/>
      <c r="V8" s="145"/>
      <c r="W8" s="38">
        <f t="shared" si="11"/>
        <v>0</v>
      </c>
      <c r="X8" s="19">
        <f t="shared" si="12"/>
        <v>0</v>
      </c>
      <c r="Y8" s="150">
        <f t="shared" si="13"/>
        <v>0</v>
      </c>
      <c r="Z8" s="3">
        <f t="shared" si="14"/>
        <v>0</v>
      </c>
      <c r="AA8" s="3">
        <f>SUM(Z1:Z8)</f>
        <v>29615.604428799998</v>
      </c>
    </row>
    <row r="9" spans="1:27" ht="16.5" thickBot="1" x14ac:dyDescent="0.3">
      <c r="A9" s="9">
        <v>44780</v>
      </c>
      <c r="B9" s="38"/>
      <c r="C9" s="144"/>
      <c r="D9" s="38">
        <f t="shared" si="4"/>
        <v>0</v>
      </c>
      <c r="E9" s="145"/>
      <c r="F9" s="38">
        <f t="shared" si="5"/>
        <v>0</v>
      </c>
      <c r="G9" s="146"/>
      <c r="H9" s="38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>
        <f t="shared" si="8"/>
        <v>0</v>
      </c>
      <c r="N9" s="145"/>
      <c r="O9" s="38">
        <f t="shared" si="16"/>
        <v>0</v>
      </c>
      <c r="P9" s="148"/>
      <c r="Q9" s="38">
        <f t="shared" si="9"/>
        <v>0</v>
      </c>
      <c r="R9" s="145"/>
      <c r="S9" s="38">
        <f t="shared" si="10"/>
        <v>0</v>
      </c>
      <c r="T9" s="145">
        <v>0</v>
      </c>
      <c r="U9" s="149"/>
      <c r="V9" s="145"/>
      <c r="W9" s="38">
        <f t="shared" si="11"/>
        <v>0</v>
      </c>
      <c r="X9" s="19">
        <f t="shared" si="12"/>
        <v>0</v>
      </c>
      <c r="Y9" s="150">
        <f t="shared" si="13"/>
        <v>0</v>
      </c>
      <c r="Z9" s="3">
        <f t="shared" si="14"/>
        <v>0</v>
      </c>
      <c r="AA9" s="3">
        <f>SUM(Z1:Z9)</f>
        <v>29615.604428799998</v>
      </c>
    </row>
    <row r="10" spans="1:27" ht="16.5" thickBot="1" x14ac:dyDescent="0.3">
      <c r="A10" s="9">
        <v>44781</v>
      </c>
      <c r="B10" s="38"/>
      <c r="C10" s="144"/>
      <c r="D10" s="38">
        <f t="shared" si="4"/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50">
        <f t="shared" si="13"/>
        <v>0</v>
      </c>
      <c r="Z10" s="3">
        <f t="shared" si="14"/>
        <v>0</v>
      </c>
      <c r="AA10" s="3">
        <f>SUM(Z1:Z10)</f>
        <v>29615.604428799998</v>
      </c>
    </row>
    <row r="11" spans="1:27" ht="15.75" customHeight="1" thickBot="1" x14ac:dyDescent="0.3">
      <c r="A11" s="9">
        <v>44782</v>
      </c>
      <c r="B11" s="38"/>
      <c r="C11" s="144"/>
      <c r="D11" s="38">
        <f t="shared" si="4"/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50">
        <f t="shared" si="13"/>
        <v>0</v>
      </c>
      <c r="Z11" s="3">
        <f t="shared" si="14"/>
        <v>0</v>
      </c>
      <c r="AA11" s="3">
        <f>SUM(Z1:Z11)</f>
        <v>29615.604428799998</v>
      </c>
    </row>
    <row r="12" spans="1:27" ht="16.5" thickBot="1" x14ac:dyDescent="0.3">
      <c r="A12" s="9">
        <v>44783</v>
      </c>
      <c r="B12" s="38"/>
      <c r="C12" s="144"/>
      <c r="D12" s="38">
        <f t="shared" si="4"/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50">
        <f t="shared" si="13"/>
        <v>0</v>
      </c>
      <c r="Z12" s="3">
        <f t="shared" si="14"/>
        <v>0</v>
      </c>
      <c r="AA12" s="3">
        <f>SUM(Z1:Z12)</f>
        <v>29615.604428799998</v>
      </c>
    </row>
    <row r="13" spans="1:27" ht="16.5" thickBot="1" x14ac:dyDescent="0.3">
      <c r="A13" s="9">
        <v>44784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ref="W13" si="25">IF((V13-V12)&lt;0,"0",(V13-V12))</f>
        <v>0</v>
      </c>
      <c r="X13" s="19">
        <f t="shared" ref="X13" si="26">K13+M13+O13+Q13+S13+U13+W13</f>
        <v>0</v>
      </c>
      <c r="Y13" s="150">
        <f t="shared" si="13"/>
        <v>0</v>
      </c>
      <c r="Z13" s="3">
        <f t="shared" ref="Z13" si="27">(0.93352*(W13+S13)+0.5568*(Q13+O13))*0.26</f>
        <v>0</v>
      </c>
      <c r="AA13" s="3">
        <f>SUM(Z1:Z13)</f>
        <v>29615.604428799998</v>
      </c>
    </row>
    <row r="14" spans="1:27" ht="16.5" thickBot="1" x14ac:dyDescent="0.3">
      <c r="A14" s="9">
        <v>44785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50">
        <f t="shared" si="13"/>
        <v>0</v>
      </c>
      <c r="Z14" s="3">
        <f t="shared" si="14"/>
        <v>0</v>
      </c>
      <c r="AA14" s="3">
        <f>SUM(Z1:Z14)</f>
        <v>29615.604428799998</v>
      </c>
    </row>
    <row r="15" spans="1:27" ht="16.5" thickBot="1" x14ac:dyDescent="0.3">
      <c r="A15" s="9">
        <v>44786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50">
        <f t="shared" si="13"/>
        <v>0</v>
      </c>
      <c r="Z15" s="3">
        <f t="shared" si="14"/>
        <v>0</v>
      </c>
      <c r="AA15" s="3">
        <f>SUM(Z1:Z15)</f>
        <v>29615.604428799998</v>
      </c>
    </row>
    <row r="16" spans="1:27" ht="16.5" thickBot="1" x14ac:dyDescent="0.3">
      <c r="A16" s="9">
        <v>44787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50">
        <f t="shared" si="13"/>
        <v>0</v>
      </c>
      <c r="Z16" s="3">
        <f t="shared" si="14"/>
        <v>0</v>
      </c>
      <c r="AA16" s="3">
        <f>SUM(Z1:Z16)</f>
        <v>29615.604428799998</v>
      </c>
    </row>
    <row r="17" spans="1:27" s="130" customFormat="1" ht="16.5" thickBot="1" x14ac:dyDescent="0.3">
      <c r="A17" s="9">
        <v>44788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1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2">
        <v>0</v>
      </c>
      <c r="U17" s="149"/>
      <c r="V17" s="145"/>
      <c r="W17" s="129">
        <f t="shared" si="11"/>
        <v>0</v>
      </c>
      <c r="X17" s="19">
        <f t="shared" si="12"/>
        <v>0</v>
      </c>
      <c r="Y17" s="153">
        <f t="shared" si="13"/>
        <v>0</v>
      </c>
      <c r="Z17" s="154">
        <f t="shared" si="14"/>
        <v>0</v>
      </c>
      <c r="AA17" s="3">
        <f>SUM(Z1:Z17)</f>
        <v>29615.604428799998</v>
      </c>
    </row>
    <row r="18" spans="1:27" s="130" customFormat="1" ht="16.5" thickBot="1" x14ac:dyDescent="0.3">
      <c r="A18" s="9">
        <v>44789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1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2">
        <v>0</v>
      </c>
      <c r="U18" s="149"/>
      <c r="V18" s="145"/>
      <c r="W18" s="129">
        <f t="shared" si="11"/>
        <v>0</v>
      </c>
      <c r="X18" s="19">
        <f t="shared" si="12"/>
        <v>0</v>
      </c>
      <c r="Y18" s="153">
        <f t="shared" si="13"/>
        <v>0</v>
      </c>
      <c r="Z18" s="154">
        <f t="shared" si="14"/>
        <v>0</v>
      </c>
      <c r="AA18" s="3">
        <f>SUM(Z1:Z18)</f>
        <v>29615.604428799998</v>
      </c>
    </row>
    <row r="19" spans="1:27" s="130" customFormat="1" ht="16.5" thickBot="1" x14ac:dyDescent="0.3">
      <c r="A19" s="9">
        <v>44790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1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2">
        <v>0</v>
      </c>
      <c r="U19" s="149"/>
      <c r="V19" s="145"/>
      <c r="W19" s="129">
        <f t="shared" si="11"/>
        <v>0</v>
      </c>
      <c r="X19" s="19">
        <f t="shared" si="12"/>
        <v>0</v>
      </c>
      <c r="Y19" s="153">
        <f t="shared" si="13"/>
        <v>0</v>
      </c>
      <c r="Z19" s="154">
        <f t="shared" si="14"/>
        <v>0</v>
      </c>
      <c r="AA19" s="3">
        <f>SUM(Z1:Z19)</f>
        <v>29615.604428799998</v>
      </c>
    </row>
    <row r="20" spans="1:27" s="130" customFormat="1" ht="16.5" thickBot="1" x14ac:dyDescent="0.3">
      <c r="A20" s="9">
        <v>44791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1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2">
        <v>0</v>
      </c>
      <c r="U20" s="149"/>
      <c r="V20" s="145"/>
      <c r="W20" s="129">
        <f t="shared" si="11"/>
        <v>0</v>
      </c>
      <c r="X20" s="19">
        <f t="shared" si="12"/>
        <v>0</v>
      </c>
      <c r="Y20" s="153">
        <f t="shared" si="13"/>
        <v>0</v>
      </c>
      <c r="Z20" s="154">
        <f t="shared" si="14"/>
        <v>0</v>
      </c>
      <c r="AA20" s="3">
        <f>SUM(Z1:Z20)</f>
        <v>29615.604428799998</v>
      </c>
    </row>
    <row r="21" spans="1:27" s="130" customFormat="1" ht="16.5" thickBot="1" x14ac:dyDescent="0.3">
      <c r="A21" s="9">
        <v>44792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1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2">
        <v>0</v>
      </c>
      <c r="U21" s="149"/>
      <c r="V21" s="145"/>
      <c r="W21" s="129">
        <f t="shared" si="11"/>
        <v>0</v>
      </c>
      <c r="X21" s="19">
        <f t="shared" si="12"/>
        <v>0</v>
      </c>
      <c r="Y21" s="153">
        <f t="shared" si="13"/>
        <v>0</v>
      </c>
      <c r="Z21" s="154">
        <f t="shared" si="14"/>
        <v>0</v>
      </c>
      <c r="AA21" s="3">
        <f>SUM(Z1:Z21)</f>
        <v>29615.604428799998</v>
      </c>
    </row>
    <row r="22" spans="1:27" ht="16.5" thickBot="1" x14ac:dyDescent="0.3">
      <c r="A22" s="9">
        <v>44793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50">
        <f t="shared" si="13"/>
        <v>0</v>
      </c>
      <c r="Z22" s="3">
        <f t="shared" si="14"/>
        <v>0</v>
      </c>
      <c r="AA22" s="3">
        <f>SUM(Z1:Z22)</f>
        <v>29615.604428799998</v>
      </c>
    </row>
    <row r="23" spans="1:27" ht="16.5" thickBot="1" x14ac:dyDescent="0.3">
      <c r="A23" s="9">
        <v>44794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50">
        <f t="shared" si="13"/>
        <v>0</v>
      </c>
      <c r="Z23" s="3">
        <f t="shared" si="14"/>
        <v>0</v>
      </c>
      <c r="AA23" s="3">
        <f>SUM(Z1:Z23)</f>
        <v>29615.604428799998</v>
      </c>
    </row>
    <row r="24" spans="1:27" ht="16.5" thickBot="1" x14ac:dyDescent="0.3">
      <c r="A24" s="9">
        <v>44795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50">
        <f t="shared" si="13"/>
        <v>0</v>
      </c>
      <c r="Z24" s="3">
        <f t="shared" si="14"/>
        <v>0</v>
      </c>
      <c r="AA24" s="3">
        <f>SUM(Z1:Z24)</f>
        <v>29615.604428799998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50">
        <f t="shared" si="13"/>
        <v>0</v>
      </c>
      <c r="Z25" s="3">
        <f t="shared" si="14"/>
        <v>0</v>
      </c>
      <c r="AA25" s="3">
        <f>SUM(Z1:Z25)</f>
        <v>29615.604428799998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50">
        <f t="shared" si="13"/>
        <v>0</v>
      </c>
      <c r="Z26" s="3">
        <f t="shared" si="14"/>
        <v>0</v>
      </c>
      <c r="AA26" s="3">
        <f>SUM(Z1:Z26)</f>
        <v>29615.604428799998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50">
        <f t="shared" si="13"/>
        <v>0</v>
      </c>
      <c r="Z27" s="3">
        <f t="shared" si="14"/>
        <v>0</v>
      </c>
      <c r="AA27" s="3">
        <f>SUM(Z1:Z27)</f>
        <v>29615.604428799998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50">
        <f t="shared" si="13"/>
        <v>0</v>
      </c>
      <c r="Z28" s="3">
        <f t="shared" si="14"/>
        <v>0</v>
      </c>
      <c r="AA28" s="3">
        <f>SUM(Z1:Z28)</f>
        <v>29615.604428799998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50">
        <f t="shared" si="13"/>
        <v>0</v>
      </c>
      <c r="Z29" s="3">
        <f t="shared" si="14"/>
        <v>0</v>
      </c>
      <c r="AA29" s="3">
        <f>SUM(Z1:Z29)</f>
        <v>29615.604428799998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50">
        <f t="shared" si="13"/>
        <v>0</v>
      </c>
      <c r="Z30" s="3">
        <f t="shared" si="14"/>
        <v>0</v>
      </c>
      <c r="AA30" s="3">
        <f>SUM(Z1:Z30)</f>
        <v>29615.604428799998</v>
      </c>
    </row>
    <row r="31" spans="1:27" ht="16.5" thickBot="1" x14ac:dyDescent="0.3">
      <c r="A31" s="9">
        <v>44802</v>
      </c>
      <c r="B31" s="38"/>
      <c r="C31" s="144"/>
      <c r="D31" s="38">
        <f t="shared" ref="D31:D33" si="28">IF((C31-C30)&lt;0,"0",(C31-C30))*160</f>
        <v>0</v>
      </c>
      <c r="E31" s="145"/>
      <c r="F31" s="38">
        <f t="shared" ref="F31:F33" si="29">IF((E31-E30)&lt;0,"0",(E31-E30))</f>
        <v>0</v>
      </c>
      <c r="G31" s="146"/>
      <c r="H31" s="38">
        <f t="shared" si="6"/>
        <v>0</v>
      </c>
      <c r="I31" s="147">
        <f t="shared" ref="I31:I33" si="30">F31+H31</f>
        <v>0</v>
      </c>
      <c r="J31" s="145"/>
      <c r="K31" s="129">
        <f t="shared" si="15"/>
        <v>0</v>
      </c>
      <c r="L31" s="148"/>
      <c r="M31" s="38">
        <f t="shared" ref="M31:M33" si="31">IF((L31-L30)&lt;0,"0",(L31-L30))</f>
        <v>0</v>
      </c>
      <c r="N31" s="145"/>
      <c r="O31" s="38">
        <f t="shared" ref="O31:O33" si="32">(IF((N31-N30)&lt;0,"0",(N31-N30)))*2</f>
        <v>0</v>
      </c>
      <c r="P31" s="148"/>
      <c r="Q31" s="38">
        <f t="shared" ref="Q31:Q33" si="33">IF((P31-P30)&lt;0,"0",(P31-P30))</f>
        <v>0</v>
      </c>
      <c r="R31" s="145"/>
      <c r="S31" s="38">
        <f t="shared" ref="S31:S33" si="34">IF((R31-R30)&lt;0,"0",(R31-R30))</f>
        <v>0</v>
      </c>
      <c r="T31" s="145">
        <v>0</v>
      </c>
      <c r="U31" s="149"/>
      <c r="V31" s="145"/>
      <c r="W31" s="38">
        <f t="shared" ref="W31:W33" si="35">IF((V31-V30)&lt;0,"0",(V31-V30))</f>
        <v>0</v>
      </c>
      <c r="X31" s="19">
        <f t="shared" ref="X31:X33" si="36">K31+M31+O31+Q31+S31+U31+W31</f>
        <v>0</v>
      </c>
      <c r="Y31" s="150">
        <f t="shared" ref="Y31:Y33" si="37">I31-X31</f>
        <v>0</v>
      </c>
      <c r="Z31" s="3">
        <f t="shared" ref="Z31:Z33" si="38">(0.93352*(W31+S31)+0.5568*(Q31+O31))*0.26</f>
        <v>0</v>
      </c>
      <c r="AA31" s="3">
        <f>SUM(Z1:Z31)</f>
        <v>29615.604428799998</v>
      </c>
    </row>
    <row r="32" spans="1:27" ht="16.5" thickBot="1" x14ac:dyDescent="0.3">
      <c r="A32" s="9">
        <v>44803</v>
      </c>
      <c r="B32" s="38"/>
      <c r="C32" s="144"/>
      <c r="D32" s="38">
        <f t="shared" si="28"/>
        <v>0</v>
      </c>
      <c r="E32" s="145"/>
      <c r="F32" s="38">
        <f t="shared" si="29"/>
        <v>0</v>
      </c>
      <c r="G32" s="146"/>
      <c r="H32" s="38">
        <f t="shared" si="6"/>
        <v>0</v>
      </c>
      <c r="I32" s="147">
        <f t="shared" si="30"/>
        <v>0</v>
      </c>
      <c r="J32" s="145"/>
      <c r="K32" s="129">
        <f t="shared" si="15"/>
        <v>0</v>
      </c>
      <c r="L32" s="148"/>
      <c r="M32" s="38">
        <f t="shared" si="31"/>
        <v>0</v>
      </c>
      <c r="N32" s="145"/>
      <c r="O32" s="38">
        <f t="shared" si="32"/>
        <v>0</v>
      </c>
      <c r="P32" s="148"/>
      <c r="Q32" s="38">
        <f t="shared" si="33"/>
        <v>0</v>
      </c>
      <c r="R32" s="145"/>
      <c r="S32" s="38">
        <f t="shared" si="34"/>
        <v>0</v>
      </c>
      <c r="T32" s="145">
        <v>0</v>
      </c>
      <c r="U32" s="149"/>
      <c r="V32" s="145"/>
      <c r="W32" s="38">
        <f t="shared" si="35"/>
        <v>0</v>
      </c>
      <c r="X32" s="19">
        <f t="shared" si="36"/>
        <v>0</v>
      </c>
      <c r="Y32" s="150">
        <f t="shared" si="37"/>
        <v>0</v>
      </c>
      <c r="Z32" s="3">
        <f t="shared" si="38"/>
        <v>0</v>
      </c>
      <c r="AA32" s="3">
        <f>SUM(Z1:Z32)</f>
        <v>29615.604428799998</v>
      </c>
    </row>
    <row r="33" spans="1:27" ht="16.5" thickBot="1" x14ac:dyDescent="0.3">
      <c r="A33" s="9">
        <v>44804</v>
      </c>
      <c r="B33" s="38"/>
      <c r="C33" s="144"/>
      <c r="D33" s="38">
        <f t="shared" si="28"/>
        <v>0</v>
      </c>
      <c r="E33" s="145"/>
      <c r="F33" s="38">
        <f t="shared" si="29"/>
        <v>0</v>
      </c>
      <c r="G33" s="146"/>
      <c r="H33" s="38">
        <f t="shared" si="6"/>
        <v>0</v>
      </c>
      <c r="I33" s="147">
        <f t="shared" si="30"/>
        <v>0</v>
      </c>
      <c r="J33" s="145"/>
      <c r="K33" s="129">
        <f t="shared" si="15"/>
        <v>0</v>
      </c>
      <c r="L33" s="148"/>
      <c r="M33" s="38">
        <f t="shared" si="31"/>
        <v>0</v>
      </c>
      <c r="N33" s="145"/>
      <c r="O33" s="38">
        <f t="shared" si="32"/>
        <v>0</v>
      </c>
      <c r="P33" s="148"/>
      <c r="Q33" s="38">
        <f t="shared" si="33"/>
        <v>0</v>
      </c>
      <c r="R33" s="145"/>
      <c r="S33" s="38">
        <f t="shared" si="34"/>
        <v>0</v>
      </c>
      <c r="T33" s="145">
        <v>0</v>
      </c>
      <c r="U33" s="55"/>
      <c r="V33" s="145"/>
      <c r="W33" s="38">
        <f t="shared" si="35"/>
        <v>0</v>
      </c>
      <c r="X33" s="19">
        <f t="shared" si="36"/>
        <v>0</v>
      </c>
      <c r="Y33" s="150">
        <f t="shared" si="37"/>
        <v>0</v>
      </c>
      <c r="Z33" s="3">
        <f t="shared" si="38"/>
        <v>0</v>
      </c>
      <c r="AA33" s="3">
        <f>SUM(Z2:Z33)</f>
        <v>29615.604428799998</v>
      </c>
    </row>
    <row r="34" spans="1:27" ht="16.5" thickBot="1" x14ac:dyDescent="0.3">
      <c r="A34" s="136" t="s">
        <v>23</v>
      </c>
      <c r="B34" s="136">
        <f>SUM(B3:B33)</f>
        <v>375</v>
      </c>
      <c r="C34" s="136">
        <v>0</v>
      </c>
      <c r="D34" s="136">
        <f>SUM(D3:D33)</f>
        <v>2240</v>
      </c>
      <c r="E34" s="55">
        <v>0</v>
      </c>
      <c r="F34" s="136">
        <f>SUM(F3:F33)</f>
        <v>72596</v>
      </c>
      <c r="G34" s="55">
        <v>0</v>
      </c>
      <c r="H34" s="136">
        <f>SUM(H3:H33)</f>
        <v>163255</v>
      </c>
      <c r="I34" s="55">
        <v>92693</v>
      </c>
      <c r="J34" s="55">
        <v>0</v>
      </c>
      <c r="K34" s="136">
        <f>SUM(K3:K33)</f>
        <v>35502</v>
      </c>
      <c r="L34" s="55">
        <v>0</v>
      </c>
      <c r="M34" s="136">
        <f>SUM(M3:M33)</f>
        <v>19820</v>
      </c>
      <c r="N34" s="55">
        <v>0</v>
      </c>
      <c r="O34" s="136">
        <f>SUM(O3:O33)</f>
        <v>52218</v>
      </c>
      <c r="P34" s="55">
        <v>0</v>
      </c>
      <c r="Q34" s="136">
        <f>SUM(Q3:Q33)</f>
        <v>41325</v>
      </c>
      <c r="R34" s="55">
        <v>0</v>
      </c>
      <c r="S34" s="136">
        <f>SUM(S3:S33)</f>
        <v>30955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35269</v>
      </c>
      <c r="X34" s="136">
        <f>SUM(X3:X33)</f>
        <v>215089</v>
      </c>
      <c r="Y34" s="136">
        <f>SUM(Y3:Y33)</f>
        <v>20762</v>
      </c>
      <c r="Z34" s="136">
        <f>SUM(Z3:Z33)</f>
        <v>29615.604428799998</v>
      </c>
      <c r="AA34" s="136">
        <f>SUM(AA3:AA33)</f>
        <v>889374.26870240062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5" sqref="K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/>
      <c r="C6" s="38">
        <f t="shared" si="2"/>
        <v>0</v>
      </c>
      <c r="D6" s="3"/>
      <c r="E6" s="38">
        <f t="shared" si="2"/>
        <v>0</v>
      </c>
      <c r="F6" s="3"/>
      <c r="G6" s="38">
        <f t="shared" si="5"/>
        <v>0</v>
      </c>
      <c r="H6" s="3"/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44778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44780</v>
      </c>
      <c r="B9" s="3"/>
      <c r="C9" s="38">
        <f t="shared" ref="C9:C33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44781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44782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44783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44784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44785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44786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44787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44788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44790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44791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44792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44793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44795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3430</v>
      </c>
      <c r="D34" s="55"/>
      <c r="E34" s="55">
        <f>SUM(E3:E33)</f>
        <v>1240</v>
      </c>
      <c r="F34" s="55"/>
      <c r="G34" s="55">
        <f>SUM(G3:G33)</f>
        <v>1898.1</v>
      </c>
      <c r="H34" s="55"/>
      <c r="I34" s="55">
        <f>SUM(I3:I33)</f>
        <v>10.449</v>
      </c>
      <c r="J34" s="55">
        <v>0</v>
      </c>
      <c r="K34" s="55">
        <f>SUM(K4:K33)</f>
        <v>24759.630980000002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6" sqref="B6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/>
      <c r="C6" s="44" t="str">
        <f t="shared" si="0"/>
        <v>0</v>
      </c>
    </row>
    <row r="7" spans="1:9" ht="24" thickBot="1" x14ac:dyDescent="0.4">
      <c r="A7" s="9">
        <v>44778</v>
      </c>
      <c r="B7" s="132"/>
      <c r="C7" s="44">
        <f t="shared" si="0"/>
        <v>0</v>
      </c>
    </row>
    <row r="8" spans="1:9" ht="24" thickBot="1" x14ac:dyDescent="0.4">
      <c r="A8" s="9">
        <v>44779</v>
      </c>
      <c r="B8" s="132"/>
      <c r="C8" s="44">
        <f t="shared" si="0"/>
        <v>0</v>
      </c>
    </row>
    <row r="9" spans="1:9" ht="24" thickBot="1" x14ac:dyDescent="0.4">
      <c r="A9" s="9">
        <v>44780</v>
      </c>
      <c r="B9" s="132"/>
      <c r="C9" s="44">
        <f t="shared" si="0"/>
        <v>0</v>
      </c>
    </row>
    <row r="10" spans="1:9" ht="24" thickBot="1" x14ac:dyDescent="0.4">
      <c r="A10" s="9">
        <v>44781</v>
      </c>
      <c r="B10" s="132"/>
      <c r="C10" s="44">
        <f t="shared" si="0"/>
        <v>0</v>
      </c>
    </row>
    <row r="11" spans="1:9" ht="24" thickBot="1" x14ac:dyDescent="0.4">
      <c r="A11" s="9">
        <v>44782</v>
      </c>
      <c r="B11" s="132"/>
      <c r="C11" s="44">
        <f t="shared" si="0"/>
        <v>0</v>
      </c>
    </row>
    <row r="12" spans="1:9" ht="24" thickBot="1" x14ac:dyDescent="0.4">
      <c r="A12" s="9">
        <v>44783</v>
      </c>
      <c r="B12" s="132"/>
      <c r="C12" s="44">
        <f t="shared" si="0"/>
        <v>0</v>
      </c>
    </row>
    <row r="13" spans="1:9" ht="24" thickBot="1" x14ac:dyDescent="0.4">
      <c r="A13" s="9">
        <v>44784</v>
      </c>
      <c r="B13" s="132"/>
      <c r="C13" s="44">
        <f t="shared" si="0"/>
        <v>0</v>
      </c>
    </row>
    <row r="14" spans="1:9" ht="24" thickBot="1" x14ac:dyDescent="0.4">
      <c r="A14" s="9">
        <v>44785</v>
      </c>
      <c r="B14" s="132"/>
      <c r="C14" s="44">
        <f t="shared" si="0"/>
        <v>0</v>
      </c>
    </row>
    <row r="15" spans="1:9" ht="24" thickBot="1" x14ac:dyDescent="0.4">
      <c r="A15" s="9">
        <v>44786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44787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44788</v>
      </c>
      <c r="B17" s="132"/>
      <c r="C17" s="44">
        <f t="shared" si="0"/>
        <v>0</v>
      </c>
    </row>
    <row r="18" spans="1:9" ht="24" thickBot="1" x14ac:dyDescent="0.4">
      <c r="A18" s="9">
        <v>44789</v>
      </c>
      <c r="B18" s="132"/>
      <c r="C18" s="44">
        <f t="shared" si="0"/>
        <v>0</v>
      </c>
      <c r="I18" s="34"/>
    </row>
    <row r="19" spans="1:9" ht="24" thickBot="1" x14ac:dyDescent="0.4">
      <c r="A19" s="9">
        <v>44790</v>
      </c>
      <c r="B19" s="132"/>
      <c r="C19" s="44">
        <f t="shared" si="0"/>
        <v>0</v>
      </c>
    </row>
    <row r="20" spans="1:9" ht="24" thickBot="1" x14ac:dyDescent="0.4">
      <c r="A20" s="9">
        <v>44791</v>
      </c>
      <c r="B20" s="132"/>
      <c r="C20" s="44">
        <f t="shared" si="0"/>
        <v>0</v>
      </c>
    </row>
    <row r="21" spans="1:9" ht="24" thickBot="1" x14ac:dyDescent="0.4">
      <c r="A21" s="9">
        <v>44792</v>
      </c>
      <c r="B21" s="132"/>
      <c r="C21" s="44">
        <f t="shared" si="0"/>
        <v>0</v>
      </c>
    </row>
    <row r="22" spans="1:9" ht="24" thickBot="1" x14ac:dyDescent="0.4">
      <c r="A22" s="9">
        <v>44793</v>
      </c>
      <c r="B22" s="132"/>
      <c r="C22" s="44">
        <f t="shared" si="0"/>
        <v>0</v>
      </c>
    </row>
    <row r="23" spans="1:9" ht="24" thickBot="1" x14ac:dyDescent="0.4">
      <c r="A23" s="9">
        <v>44794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44795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44796</v>
      </c>
      <c r="B25" s="132"/>
      <c r="C25" s="44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4210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I1" zoomScale="90" zoomScaleNormal="90" workbookViewId="0">
      <pane ySplit="1" topLeftCell="A2" activePane="bottomLeft" state="frozen"/>
      <selection pane="bottomLeft" activeCell="AI5" sqref="AI5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9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6">
        <v>44773</v>
      </c>
      <c r="X2" s="157">
        <v>193600</v>
      </c>
      <c r="Y2" s="162"/>
      <c r="Z2" s="157">
        <v>9656</v>
      </c>
      <c r="AA2" s="162"/>
      <c r="AB2" s="157">
        <v>31</v>
      </c>
      <c r="AC2" s="162"/>
      <c r="AD2" s="157">
        <v>651</v>
      </c>
      <c r="AE2" s="162"/>
      <c r="AF2" s="157">
        <v>8426</v>
      </c>
      <c r="AG2" s="162"/>
    </row>
    <row r="3" spans="1:33" ht="16.5" thickBot="1" x14ac:dyDescent="0.25">
      <c r="A3" s="9">
        <v>44774</v>
      </c>
      <c r="B3" s="159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6">
        <v>44774</v>
      </c>
      <c r="X3" s="157">
        <v>193953</v>
      </c>
      <c r="Y3" s="162">
        <f t="shared" ref="Y3:AG31" si="21">IF((X3-X2)&lt;0,"0",(X3-X2))</f>
        <v>353</v>
      </c>
      <c r="Z3" s="157">
        <v>9664</v>
      </c>
      <c r="AA3" s="162">
        <f t="shared" si="21"/>
        <v>8</v>
      </c>
      <c r="AB3" s="157">
        <v>31</v>
      </c>
      <c r="AC3" s="162">
        <f t="shared" si="21"/>
        <v>0</v>
      </c>
      <c r="AD3" s="157">
        <v>651</v>
      </c>
      <c r="AE3" s="162">
        <f t="shared" si="21"/>
        <v>0</v>
      </c>
      <c r="AF3" s="157">
        <v>8439</v>
      </c>
      <c r="AG3" s="162">
        <f t="shared" si="21"/>
        <v>13</v>
      </c>
    </row>
    <row r="4" spans="1:33" ht="16.5" thickBot="1" x14ac:dyDescent="0.25">
      <c r="A4" s="9">
        <v>44775</v>
      </c>
      <c r="B4" s="159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6">
        <v>44775</v>
      </c>
      <c r="X4" s="157">
        <v>194278</v>
      </c>
      <c r="Y4" s="162">
        <f t="shared" si="21"/>
        <v>325</v>
      </c>
      <c r="Z4" s="157">
        <v>9677</v>
      </c>
      <c r="AA4" s="162">
        <f t="shared" si="21"/>
        <v>13</v>
      </c>
      <c r="AB4" s="157">
        <v>31</v>
      </c>
      <c r="AC4" s="162">
        <f t="shared" si="21"/>
        <v>0</v>
      </c>
      <c r="AD4" s="157">
        <v>653</v>
      </c>
      <c r="AE4" s="162">
        <f t="shared" si="21"/>
        <v>2</v>
      </c>
      <c r="AF4" s="157">
        <v>8456</v>
      </c>
      <c r="AG4" s="162">
        <f t="shared" si="21"/>
        <v>17</v>
      </c>
    </row>
    <row r="5" spans="1:33" ht="16.5" thickBot="1" x14ac:dyDescent="0.25">
      <c r="A5" s="9">
        <v>44776</v>
      </c>
      <c r="B5" s="159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6">
        <v>44776</v>
      </c>
      <c r="X5" s="157">
        <v>194727</v>
      </c>
      <c r="Y5" s="162">
        <f t="shared" si="21"/>
        <v>449</v>
      </c>
      <c r="Z5" s="157">
        <v>9689</v>
      </c>
      <c r="AA5" s="162">
        <f t="shared" si="21"/>
        <v>12</v>
      </c>
      <c r="AB5" s="157">
        <v>31</v>
      </c>
      <c r="AC5" s="162">
        <f t="shared" si="21"/>
        <v>0</v>
      </c>
      <c r="AD5" s="157">
        <v>654</v>
      </c>
      <c r="AE5" s="162">
        <f t="shared" si="21"/>
        <v>1</v>
      </c>
      <c r="AF5" s="157">
        <v>8468</v>
      </c>
      <c r="AG5" s="162">
        <f t="shared" si="21"/>
        <v>12</v>
      </c>
    </row>
    <row r="6" spans="1:33" ht="16.5" thickBot="1" x14ac:dyDescent="0.25">
      <c r="A6" s="9">
        <v>44777</v>
      </c>
      <c r="B6" s="159"/>
      <c r="C6" s="43" t="str">
        <f t="shared" si="22"/>
        <v>0</v>
      </c>
      <c r="D6" s="28">
        <f t="shared" si="23"/>
        <v>0</v>
      </c>
      <c r="E6" s="1"/>
      <c r="F6" s="43" t="str">
        <f t="shared" si="24"/>
        <v>0</v>
      </c>
      <c r="G6" s="28">
        <f t="shared" si="25"/>
        <v>0</v>
      </c>
      <c r="H6" s="1"/>
      <c r="I6" s="43" t="str">
        <f t="shared" si="26"/>
        <v>0</v>
      </c>
      <c r="J6" s="28">
        <f t="shared" si="27"/>
        <v>0</v>
      </c>
      <c r="K6" s="7"/>
      <c r="L6" s="43" t="str">
        <f t="shared" si="28"/>
        <v>0</v>
      </c>
      <c r="M6" s="28">
        <f t="shared" si="29"/>
        <v>0</v>
      </c>
      <c r="N6" s="7"/>
      <c r="O6" s="43" t="str">
        <f t="shared" si="30"/>
        <v>0</v>
      </c>
      <c r="P6" s="28">
        <f t="shared" si="31"/>
        <v>0</v>
      </c>
      <c r="Q6" s="7"/>
      <c r="R6" s="43" t="str">
        <f t="shared" si="32"/>
        <v>0</v>
      </c>
      <c r="S6" s="28">
        <f t="shared" si="33"/>
        <v>0</v>
      </c>
      <c r="T6" s="8">
        <f t="shared" ref="T6:T33" si="35">C6+F6+I6+L6+O6+R6</f>
        <v>0</v>
      </c>
      <c r="U6" s="30">
        <f t="shared" si="34"/>
        <v>0</v>
      </c>
      <c r="W6" s="156">
        <v>44777</v>
      </c>
      <c r="X6" s="157"/>
      <c r="Y6" s="162" t="str">
        <f t="shared" si="21"/>
        <v>0</v>
      </c>
      <c r="Z6" s="157"/>
      <c r="AA6" s="162" t="str">
        <f t="shared" si="21"/>
        <v>0</v>
      </c>
      <c r="AB6" s="157"/>
      <c r="AC6" s="162" t="str">
        <f t="shared" si="21"/>
        <v>0</v>
      </c>
      <c r="AD6" s="157"/>
      <c r="AE6" s="162" t="str">
        <f t="shared" si="21"/>
        <v>0</v>
      </c>
      <c r="AF6" s="157"/>
      <c r="AG6" s="162" t="str">
        <f t="shared" si="21"/>
        <v>0</v>
      </c>
    </row>
    <row r="7" spans="1:33" ht="16.5" thickBot="1" x14ac:dyDescent="0.25">
      <c r="A7" s="9">
        <v>44778</v>
      </c>
      <c r="B7" s="159"/>
      <c r="C7" s="43">
        <f t="shared" si="22"/>
        <v>0</v>
      </c>
      <c r="D7" s="28">
        <f t="shared" si="23"/>
        <v>0</v>
      </c>
      <c r="E7" s="1"/>
      <c r="F7" s="43">
        <f t="shared" si="24"/>
        <v>0</v>
      </c>
      <c r="G7" s="28">
        <f t="shared" si="25"/>
        <v>0</v>
      </c>
      <c r="H7" s="1"/>
      <c r="I7" s="43">
        <f t="shared" si="26"/>
        <v>0</v>
      </c>
      <c r="J7" s="28">
        <f t="shared" si="27"/>
        <v>0</v>
      </c>
      <c r="K7" s="7"/>
      <c r="L7" s="43">
        <f t="shared" si="28"/>
        <v>0</v>
      </c>
      <c r="M7" s="28">
        <f t="shared" si="29"/>
        <v>0</v>
      </c>
      <c r="N7" s="7"/>
      <c r="O7" s="43">
        <f t="shared" si="30"/>
        <v>0</v>
      </c>
      <c r="P7" s="28">
        <f t="shared" si="31"/>
        <v>0</v>
      </c>
      <c r="Q7" s="7"/>
      <c r="R7" s="43">
        <f t="shared" si="32"/>
        <v>0</v>
      </c>
      <c r="S7" s="28">
        <f t="shared" si="33"/>
        <v>0</v>
      </c>
      <c r="T7" s="8">
        <f t="shared" si="35"/>
        <v>0</v>
      </c>
      <c r="U7" s="30">
        <f t="shared" si="34"/>
        <v>0</v>
      </c>
      <c r="W7" s="156">
        <v>44778</v>
      </c>
      <c r="X7" s="157"/>
      <c r="Y7" s="162">
        <f t="shared" si="21"/>
        <v>0</v>
      </c>
      <c r="Z7" s="157"/>
      <c r="AA7" s="162">
        <f t="shared" si="21"/>
        <v>0</v>
      </c>
      <c r="AB7" s="157"/>
      <c r="AC7" s="162">
        <f t="shared" si="21"/>
        <v>0</v>
      </c>
      <c r="AD7" s="157"/>
      <c r="AE7" s="162">
        <f t="shared" si="21"/>
        <v>0</v>
      </c>
      <c r="AF7" s="157"/>
      <c r="AG7" s="162">
        <f t="shared" si="21"/>
        <v>0</v>
      </c>
    </row>
    <row r="8" spans="1:33" ht="16.5" thickBot="1" x14ac:dyDescent="0.25">
      <c r="A8" s="9">
        <v>44779</v>
      </c>
      <c r="B8" s="159"/>
      <c r="C8" s="43">
        <f t="shared" si="22"/>
        <v>0</v>
      </c>
      <c r="D8" s="28">
        <f t="shared" si="23"/>
        <v>0</v>
      </c>
      <c r="E8" s="1"/>
      <c r="F8" s="43">
        <f t="shared" si="24"/>
        <v>0</v>
      </c>
      <c r="G8" s="28">
        <f t="shared" si="25"/>
        <v>0</v>
      </c>
      <c r="H8" s="1"/>
      <c r="I8" s="43">
        <f t="shared" si="26"/>
        <v>0</v>
      </c>
      <c r="J8" s="28">
        <f t="shared" si="27"/>
        <v>0</v>
      </c>
      <c r="K8" s="7"/>
      <c r="L8" s="43">
        <f t="shared" si="28"/>
        <v>0</v>
      </c>
      <c r="M8" s="28">
        <f t="shared" si="29"/>
        <v>0</v>
      </c>
      <c r="N8" s="7"/>
      <c r="O8" s="43">
        <f t="shared" si="30"/>
        <v>0</v>
      </c>
      <c r="P8" s="28">
        <f t="shared" si="31"/>
        <v>0</v>
      </c>
      <c r="Q8" s="7"/>
      <c r="R8" s="43">
        <f t="shared" si="32"/>
        <v>0</v>
      </c>
      <c r="S8" s="28">
        <f t="shared" si="33"/>
        <v>0</v>
      </c>
      <c r="T8" s="8">
        <f t="shared" si="35"/>
        <v>0</v>
      </c>
      <c r="U8" s="30">
        <f t="shared" si="34"/>
        <v>0</v>
      </c>
      <c r="W8" s="156">
        <v>44779</v>
      </c>
      <c r="X8" s="157"/>
      <c r="Y8" s="162">
        <f t="shared" si="21"/>
        <v>0</v>
      </c>
      <c r="Z8" s="157"/>
      <c r="AA8" s="162">
        <f t="shared" si="21"/>
        <v>0</v>
      </c>
      <c r="AB8" s="157"/>
      <c r="AC8" s="162">
        <f t="shared" si="21"/>
        <v>0</v>
      </c>
      <c r="AD8" s="157"/>
      <c r="AE8" s="162">
        <f t="shared" si="21"/>
        <v>0</v>
      </c>
      <c r="AF8" s="157"/>
      <c r="AG8" s="162">
        <f t="shared" si="21"/>
        <v>0</v>
      </c>
    </row>
    <row r="9" spans="1:33" ht="16.5" thickBot="1" x14ac:dyDescent="0.25">
      <c r="A9" s="9">
        <v>44780</v>
      </c>
      <c r="B9" s="159"/>
      <c r="C9" s="43">
        <f t="shared" si="22"/>
        <v>0</v>
      </c>
      <c r="D9" s="28">
        <f t="shared" si="23"/>
        <v>0</v>
      </c>
      <c r="E9" s="1"/>
      <c r="F9" s="43">
        <f t="shared" si="24"/>
        <v>0</v>
      </c>
      <c r="G9" s="28">
        <f t="shared" si="25"/>
        <v>0</v>
      </c>
      <c r="H9" s="1"/>
      <c r="I9" s="43">
        <f t="shared" si="26"/>
        <v>0</v>
      </c>
      <c r="J9" s="28">
        <f t="shared" si="27"/>
        <v>0</v>
      </c>
      <c r="K9" s="7"/>
      <c r="L9" s="43">
        <f t="shared" si="28"/>
        <v>0</v>
      </c>
      <c r="M9" s="28">
        <f t="shared" si="29"/>
        <v>0</v>
      </c>
      <c r="N9" s="7"/>
      <c r="O9" s="43">
        <f t="shared" si="30"/>
        <v>0</v>
      </c>
      <c r="P9" s="28">
        <f t="shared" si="31"/>
        <v>0</v>
      </c>
      <c r="Q9" s="7"/>
      <c r="R9" s="43">
        <f t="shared" si="32"/>
        <v>0</v>
      </c>
      <c r="S9" s="28">
        <f t="shared" si="33"/>
        <v>0</v>
      </c>
      <c r="T9" s="8">
        <f t="shared" si="35"/>
        <v>0</v>
      </c>
      <c r="U9" s="30">
        <f t="shared" si="34"/>
        <v>0</v>
      </c>
      <c r="W9" s="156">
        <v>44780</v>
      </c>
      <c r="X9" s="157"/>
      <c r="Y9" s="162">
        <f t="shared" si="21"/>
        <v>0</v>
      </c>
      <c r="Z9" s="157"/>
      <c r="AA9" s="162">
        <f t="shared" si="21"/>
        <v>0</v>
      </c>
      <c r="AB9" s="157"/>
      <c r="AC9" s="162">
        <f t="shared" si="21"/>
        <v>0</v>
      </c>
      <c r="AD9" s="157"/>
      <c r="AE9" s="162">
        <f t="shared" si="21"/>
        <v>0</v>
      </c>
      <c r="AF9" s="157"/>
      <c r="AG9" s="162">
        <f t="shared" si="21"/>
        <v>0</v>
      </c>
    </row>
    <row r="10" spans="1:33" ht="16.5" thickBot="1" x14ac:dyDescent="0.25">
      <c r="A10" s="9">
        <v>44781</v>
      </c>
      <c r="B10" s="159"/>
      <c r="C10" s="43">
        <f t="shared" si="22"/>
        <v>0</v>
      </c>
      <c r="D10" s="28">
        <f t="shared" si="23"/>
        <v>0</v>
      </c>
      <c r="E10" s="1"/>
      <c r="F10" s="43">
        <f t="shared" si="24"/>
        <v>0</v>
      </c>
      <c r="G10" s="28">
        <f t="shared" si="25"/>
        <v>0</v>
      </c>
      <c r="H10" s="1"/>
      <c r="I10" s="43">
        <f t="shared" si="26"/>
        <v>0</v>
      </c>
      <c r="J10" s="28">
        <f t="shared" si="27"/>
        <v>0</v>
      </c>
      <c r="K10" s="7"/>
      <c r="L10" s="43">
        <f t="shared" si="28"/>
        <v>0</v>
      </c>
      <c r="M10" s="28">
        <f t="shared" si="29"/>
        <v>0</v>
      </c>
      <c r="N10" s="7"/>
      <c r="O10" s="43">
        <f>IF((N10-N9)&lt;0,"0",(N10-N9))</f>
        <v>0</v>
      </c>
      <c r="P10" s="28">
        <f t="shared" si="31"/>
        <v>0</v>
      </c>
      <c r="Q10" s="7"/>
      <c r="R10" s="43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6">
        <v>44781</v>
      </c>
      <c r="X10" s="157"/>
      <c r="Y10" s="162">
        <f t="shared" si="21"/>
        <v>0</v>
      </c>
      <c r="Z10" s="157"/>
      <c r="AA10" s="162">
        <f t="shared" si="21"/>
        <v>0</v>
      </c>
      <c r="AB10" s="157"/>
      <c r="AC10" s="162">
        <f t="shared" si="21"/>
        <v>0</v>
      </c>
      <c r="AD10" s="157"/>
      <c r="AE10" s="162">
        <f t="shared" si="21"/>
        <v>0</v>
      </c>
      <c r="AF10" s="157"/>
      <c r="AG10" s="162">
        <f t="shared" si="21"/>
        <v>0</v>
      </c>
    </row>
    <row r="11" spans="1:33" ht="16.5" thickBot="1" x14ac:dyDescent="0.25">
      <c r="A11" s="9">
        <v>44782</v>
      </c>
      <c r="B11" s="159"/>
      <c r="C11" s="43">
        <f t="shared" si="22"/>
        <v>0</v>
      </c>
      <c r="D11" s="28">
        <f t="shared" si="23"/>
        <v>0</v>
      </c>
      <c r="E11" s="1"/>
      <c r="F11" s="43">
        <f t="shared" si="24"/>
        <v>0</v>
      </c>
      <c r="G11" s="28">
        <f t="shared" si="25"/>
        <v>0</v>
      </c>
      <c r="H11" s="1"/>
      <c r="I11" s="43">
        <f t="shared" si="26"/>
        <v>0</v>
      </c>
      <c r="J11" s="28">
        <f t="shared" si="27"/>
        <v>0</v>
      </c>
      <c r="K11" s="7"/>
      <c r="L11" s="43">
        <f t="shared" si="28"/>
        <v>0</v>
      </c>
      <c r="M11" s="28">
        <f t="shared" si="29"/>
        <v>0</v>
      </c>
      <c r="N11" s="7"/>
      <c r="O11" s="43">
        <f t="shared" si="30"/>
        <v>0</v>
      </c>
      <c r="P11" s="28">
        <f t="shared" si="31"/>
        <v>0</v>
      </c>
      <c r="Q11" s="7"/>
      <c r="R11" s="43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6">
        <v>44782</v>
      </c>
      <c r="X11" s="157"/>
      <c r="Y11" s="162">
        <f t="shared" si="21"/>
        <v>0</v>
      </c>
      <c r="Z11" s="157"/>
      <c r="AA11" s="162">
        <f t="shared" si="21"/>
        <v>0</v>
      </c>
      <c r="AB11" s="157"/>
      <c r="AC11" s="162">
        <f t="shared" si="21"/>
        <v>0</v>
      </c>
      <c r="AD11" s="157"/>
      <c r="AE11" s="162">
        <f t="shared" si="21"/>
        <v>0</v>
      </c>
      <c r="AF11" s="157"/>
      <c r="AG11" s="162">
        <f t="shared" si="21"/>
        <v>0</v>
      </c>
    </row>
    <row r="12" spans="1:33" ht="16.5" thickBot="1" x14ac:dyDescent="0.25">
      <c r="A12" s="9">
        <v>44783</v>
      </c>
      <c r="B12" s="159"/>
      <c r="C12" s="43">
        <f t="shared" si="22"/>
        <v>0</v>
      </c>
      <c r="D12" s="28">
        <f t="shared" si="23"/>
        <v>0</v>
      </c>
      <c r="E12" s="1"/>
      <c r="F12" s="43">
        <f t="shared" si="24"/>
        <v>0</v>
      </c>
      <c r="G12" s="28">
        <f t="shared" si="25"/>
        <v>0</v>
      </c>
      <c r="H12" s="1"/>
      <c r="I12" s="43">
        <f t="shared" si="26"/>
        <v>0</v>
      </c>
      <c r="J12" s="28">
        <f t="shared" si="27"/>
        <v>0</v>
      </c>
      <c r="K12" s="7"/>
      <c r="L12" s="43">
        <f t="shared" si="28"/>
        <v>0</v>
      </c>
      <c r="M12" s="28">
        <f t="shared" si="29"/>
        <v>0</v>
      </c>
      <c r="N12" s="7"/>
      <c r="O12" s="43">
        <f t="shared" si="30"/>
        <v>0</v>
      </c>
      <c r="P12" s="28">
        <f t="shared" si="31"/>
        <v>0</v>
      </c>
      <c r="Q12" s="7"/>
      <c r="R12" s="43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6">
        <v>44783</v>
      </c>
      <c r="X12" s="157"/>
      <c r="Y12" s="162">
        <f t="shared" si="21"/>
        <v>0</v>
      </c>
      <c r="Z12" s="157"/>
      <c r="AA12" s="162">
        <f t="shared" si="21"/>
        <v>0</v>
      </c>
      <c r="AB12" s="157"/>
      <c r="AC12" s="162">
        <f t="shared" si="21"/>
        <v>0</v>
      </c>
      <c r="AD12" s="157"/>
      <c r="AE12" s="162">
        <f t="shared" si="21"/>
        <v>0</v>
      </c>
      <c r="AF12" s="157"/>
      <c r="AG12" s="162">
        <f t="shared" si="21"/>
        <v>0</v>
      </c>
    </row>
    <row r="13" spans="1:33" ht="16.5" thickBot="1" x14ac:dyDescent="0.25">
      <c r="A13" s="9">
        <v>44784</v>
      </c>
      <c r="B13" s="159"/>
      <c r="C13" s="43">
        <f t="shared" si="22"/>
        <v>0</v>
      </c>
      <c r="D13" s="28">
        <f t="shared" si="23"/>
        <v>0</v>
      </c>
      <c r="E13" s="1"/>
      <c r="F13" s="43">
        <f t="shared" si="24"/>
        <v>0</v>
      </c>
      <c r="G13" s="28">
        <f t="shared" si="25"/>
        <v>0</v>
      </c>
      <c r="H13" s="1"/>
      <c r="I13" s="43">
        <f t="shared" si="26"/>
        <v>0</v>
      </c>
      <c r="J13" s="28">
        <f t="shared" si="27"/>
        <v>0</v>
      </c>
      <c r="K13" s="7"/>
      <c r="L13" s="43">
        <f t="shared" si="28"/>
        <v>0</v>
      </c>
      <c r="M13" s="28">
        <f t="shared" si="29"/>
        <v>0</v>
      </c>
      <c r="N13" s="7"/>
      <c r="O13" s="43">
        <f t="shared" si="30"/>
        <v>0</v>
      </c>
      <c r="P13" s="28">
        <f t="shared" si="31"/>
        <v>0</v>
      </c>
      <c r="Q13" s="7"/>
      <c r="R13" s="43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6">
        <v>44784</v>
      </c>
      <c r="X13" s="157"/>
      <c r="Y13" s="162">
        <f t="shared" si="21"/>
        <v>0</v>
      </c>
      <c r="Z13" s="157"/>
      <c r="AA13" s="162">
        <f t="shared" si="21"/>
        <v>0</v>
      </c>
      <c r="AB13" s="157"/>
      <c r="AC13" s="162">
        <f t="shared" si="21"/>
        <v>0</v>
      </c>
      <c r="AD13" s="157"/>
      <c r="AE13" s="162">
        <f t="shared" si="21"/>
        <v>0</v>
      </c>
      <c r="AF13" s="157"/>
      <c r="AG13" s="162">
        <f t="shared" si="21"/>
        <v>0</v>
      </c>
    </row>
    <row r="14" spans="1:33" ht="16.5" thickBot="1" x14ac:dyDescent="0.25">
      <c r="A14" s="9">
        <v>44785</v>
      </c>
      <c r="B14" s="159"/>
      <c r="C14" s="43">
        <f t="shared" si="22"/>
        <v>0</v>
      </c>
      <c r="D14" s="28">
        <f t="shared" si="23"/>
        <v>0</v>
      </c>
      <c r="E14" s="1"/>
      <c r="F14" s="43">
        <f t="shared" si="24"/>
        <v>0</v>
      </c>
      <c r="G14" s="28">
        <f t="shared" si="25"/>
        <v>0</v>
      </c>
      <c r="H14" s="1"/>
      <c r="I14" s="43">
        <f t="shared" si="26"/>
        <v>0</v>
      </c>
      <c r="J14" s="28">
        <f t="shared" si="27"/>
        <v>0</v>
      </c>
      <c r="K14" s="7"/>
      <c r="L14" s="43">
        <f t="shared" si="28"/>
        <v>0</v>
      </c>
      <c r="M14" s="28">
        <f t="shared" si="29"/>
        <v>0</v>
      </c>
      <c r="N14" s="7"/>
      <c r="O14" s="43">
        <f>IF((N14-N13)&lt;0,"0",(N14-N13))</f>
        <v>0</v>
      </c>
      <c r="P14" s="28">
        <f t="shared" si="31"/>
        <v>0</v>
      </c>
      <c r="Q14" s="7"/>
      <c r="R14" s="43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6">
        <v>44785</v>
      </c>
      <c r="X14" s="157"/>
      <c r="Y14" s="162">
        <f t="shared" si="21"/>
        <v>0</v>
      </c>
      <c r="Z14" s="157"/>
      <c r="AA14" s="162">
        <f t="shared" si="21"/>
        <v>0</v>
      </c>
      <c r="AB14" s="157"/>
      <c r="AC14" s="162">
        <f t="shared" si="21"/>
        <v>0</v>
      </c>
      <c r="AD14" s="157"/>
      <c r="AE14" s="162">
        <f t="shared" si="21"/>
        <v>0</v>
      </c>
      <c r="AF14" s="157"/>
      <c r="AG14" s="162">
        <f t="shared" si="21"/>
        <v>0</v>
      </c>
    </row>
    <row r="15" spans="1:33" ht="16.5" thickBot="1" x14ac:dyDescent="0.25">
      <c r="A15" s="9">
        <v>44786</v>
      </c>
      <c r="B15" s="159"/>
      <c r="C15" s="43">
        <f t="shared" ref="C15" si="36">IF((B15-B14)&lt;0,"0",(B15-B14))</f>
        <v>0</v>
      </c>
      <c r="D15" s="28">
        <f t="shared" ref="D15" si="37">C15*1.9*1000</f>
        <v>0</v>
      </c>
      <c r="E15" s="1"/>
      <c r="F15" s="43">
        <f t="shared" ref="F15" si="38">IF((E15-E14)&lt;0,"0",(E15-E14))</f>
        <v>0</v>
      </c>
      <c r="G15" s="28">
        <f t="shared" ref="G15" si="39">F15*1.9*1000</f>
        <v>0</v>
      </c>
      <c r="H15" s="1"/>
      <c r="I15" s="43">
        <f t="shared" ref="I15" si="40">IF((H15-H14)&lt;0,"0",(H15-H14))</f>
        <v>0</v>
      </c>
      <c r="J15" s="28">
        <f t="shared" ref="J15" si="41">I15*1.9*1000</f>
        <v>0</v>
      </c>
      <c r="K15" s="7"/>
      <c r="L15" s="43">
        <f t="shared" ref="L15" si="42">IF((K15-K14)&lt;0,"0",(K15-K14))</f>
        <v>0</v>
      </c>
      <c r="M15" s="28">
        <f t="shared" ref="M15" si="43">L15*1.9*1000</f>
        <v>0</v>
      </c>
      <c r="N15" s="7"/>
      <c r="O15" s="43">
        <f>IF((N15-N14)&lt;0,"0",(N15-N14))</f>
        <v>0</v>
      </c>
      <c r="P15" s="28">
        <f t="shared" ref="P15" si="44">O15*1.9*1000</f>
        <v>0</v>
      </c>
      <c r="Q15" s="7"/>
      <c r="R15" s="43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6">
        <v>44786</v>
      </c>
      <c r="X15" s="157"/>
      <c r="Y15" s="162">
        <f t="shared" si="21"/>
        <v>0</v>
      </c>
      <c r="Z15" s="157"/>
      <c r="AA15" s="162">
        <f t="shared" si="21"/>
        <v>0</v>
      </c>
      <c r="AB15" s="157"/>
      <c r="AC15" s="162">
        <f t="shared" si="21"/>
        <v>0</v>
      </c>
      <c r="AD15" s="157"/>
      <c r="AE15" s="162">
        <f t="shared" si="21"/>
        <v>0</v>
      </c>
      <c r="AF15" s="157"/>
      <c r="AG15" s="162">
        <f t="shared" si="21"/>
        <v>0</v>
      </c>
    </row>
    <row r="16" spans="1:33" ht="16.5" thickBot="1" x14ac:dyDescent="0.25">
      <c r="A16" s="9">
        <v>44787</v>
      </c>
      <c r="B16" s="159"/>
      <c r="C16" s="43">
        <f t="shared" si="22"/>
        <v>0</v>
      </c>
      <c r="D16" s="28">
        <f t="shared" si="23"/>
        <v>0</v>
      </c>
      <c r="E16" s="1"/>
      <c r="F16" s="43">
        <f t="shared" si="24"/>
        <v>0</v>
      </c>
      <c r="G16" s="28">
        <f t="shared" si="25"/>
        <v>0</v>
      </c>
      <c r="H16" s="1"/>
      <c r="I16" s="43">
        <f t="shared" si="26"/>
        <v>0</v>
      </c>
      <c r="J16" s="28">
        <f t="shared" si="27"/>
        <v>0</v>
      </c>
      <c r="K16" s="7"/>
      <c r="L16" s="43">
        <f t="shared" si="28"/>
        <v>0</v>
      </c>
      <c r="M16" s="28">
        <f t="shared" si="29"/>
        <v>0</v>
      </c>
      <c r="N16" s="7"/>
      <c r="O16" s="43">
        <f t="shared" si="30"/>
        <v>0</v>
      </c>
      <c r="P16" s="28">
        <f t="shared" si="31"/>
        <v>0</v>
      </c>
      <c r="Q16" s="7"/>
      <c r="R16" s="43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6">
        <v>44787</v>
      </c>
      <c r="X16" s="157"/>
      <c r="Y16" s="162">
        <f t="shared" si="21"/>
        <v>0</v>
      </c>
      <c r="Z16" s="157"/>
      <c r="AA16" s="162">
        <f t="shared" si="21"/>
        <v>0</v>
      </c>
      <c r="AB16" s="157"/>
      <c r="AC16" s="162">
        <f t="shared" si="21"/>
        <v>0</v>
      </c>
      <c r="AD16" s="157"/>
      <c r="AE16" s="162">
        <f t="shared" si="21"/>
        <v>0</v>
      </c>
      <c r="AF16" s="157"/>
      <c r="AG16" s="162">
        <f t="shared" si="21"/>
        <v>0</v>
      </c>
    </row>
    <row r="17" spans="1:33" ht="16.5" thickBot="1" x14ac:dyDescent="0.25">
      <c r="A17" s="9">
        <v>44788</v>
      </c>
      <c r="B17" s="159"/>
      <c r="C17" s="43">
        <f t="shared" si="22"/>
        <v>0</v>
      </c>
      <c r="D17" s="28">
        <f t="shared" si="23"/>
        <v>0</v>
      </c>
      <c r="E17" s="1"/>
      <c r="F17" s="43">
        <f t="shared" si="24"/>
        <v>0</v>
      </c>
      <c r="G17" s="28">
        <f t="shared" si="25"/>
        <v>0</v>
      </c>
      <c r="H17" s="1"/>
      <c r="I17" s="43">
        <f t="shared" si="26"/>
        <v>0</v>
      </c>
      <c r="J17" s="28">
        <f t="shared" si="27"/>
        <v>0</v>
      </c>
      <c r="K17" s="7"/>
      <c r="L17" s="43">
        <f t="shared" si="28"/>
        <v>0</v>
      </c>
      <c r="M17" s="28">
        <f t="shared" si="29"/>
        <v>0</v>
      </c>
      <c r="N17" s="7"/>
      <c r="O17" s="43">
        <f t="shared" si="30"/>
        <v>0</v>
      </c>
      <c r="P17" s="28">
        <f t="shared" si="31"/>
        <v>0</v>
      </c>
      <c r="Q17" s="7"/>
      <c r="R17" s="43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6">
        <v>44788</v>
      </c>
      <c r="X17" s="157"/>
      <c r="Y17" s="162">
        <f t="shared" si="21"/>
        <v>0</v>
      </c>
      <c r="Z17" s="157"/>
      <c r="AA17" s="162">
        <f t="shared" si="21"/>
        <v>0</v>
      </c>
      <c r="AB17" s="157"/>
      <c r="AC17" s="162">
        <f t="shared" si="21"/>
        <v>0</v>
      </c>
      <c r="AD17" s="157"/>
      <c r="AE17" s="162">
        <f t="shared" si="21"/>
        <v>0</v>
      </c>
      <c r="AF17" s="157"/>
      <c r="AG17" s="162">
        <f t="shared" si="21"/>
        <v>0</v>
      </c>
    </row>
    <row r="18" spans="1:33" ht="16.5" thickBot="1" x14ac:dyDescent="0.25">
      <c r="A18" s="9">
        <v>44789</v>
      </c>
      <c r="B18" s="159"/>
      <c r="C18" s="43">
        <f t="shared" si="22"/>
        <v>0</v>
      </c>
      <c r="D18" s="28">
        <f t="shared" si="23"/>
        <v>0</v>
      </c>
      <c r="E18" s="1"/>
      <c r="F18" s="43">
        <f t="shared" si="24"/>
        <v>0</v>
      </c>
      <c r="G18" s="28">
        <f t="shared" si="25"/>
        <v>0</v>
      </c>
      <c r="H18" s="1"/>
      <c r="I18" s="43">
        <f t="shared" si="26"/>
        <v>0</v>
      </c>
      <c r="J18" s="28">
        <f t="shared" si="27"/>
        <v>0</v>
      </c>
      <c r="K18" s="7"/>
      <c r="L18" s="43">
        <f t="shared" si="28"/>
        <v>0</v>
      </c>
      <c r="M18" s="28">
        <f t="shared" si="29"/>
        <v>0</v>
      </c>
      <c r="N18" s="7"/>
      <c r="O18" s="43">
        <f t="shared" si="30"/>
        <v>0</v>
      </c>
      <c r="P18" s="28">
        <f t="shared" si="31"/>
        <v>0</v>
      </c>
      <c r="Q18" s="7"/>
      <c r="R18" s="43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6">
        <v>44789</v>
      </c>
      <c r="X18" s="157"/>
      <c r="Y18" s="162">
        <f t="shared" si="21"/>
        <v>0</v>
      </c>
      <c r="Z18" s="157"/>
      <c r="AA18" s="162">
        <f t="shared" si="21"/>
        <v>0</v>
      </c>
      <c r="AB18" s="157"/>
      <c r="AC18" s="162">
        <f t="shared" si="21"/>
        <v>0</v>
      </c>
      <c r="AD18" s="157"/>
      <c r="AE18" s="162">
        <f t="shared" si="21"/>
        <v>0</v>
      </c>
      <c r="AF18" s="157"/>
      <c r="AG18" s="162">
        <f t="shared" si="21"/>
        <v>0</v>
      </c>
    </row>
    <row r="19" spans="1:33" ht="16.5" thickBot="1" x14ac:dyDescent="0.25">
      <c r="A19" s="9">
        <v>44790</v>
      </c>
      <c r="B19" s="159"/>
      <c r="C19" s="43">
        <f t="shared" si="22"/>
        <v>0</v>
      </c>
      <c r="D19" s="28">
        <f t="shared" si="23"/>
        <v>0</v>
      </c>
      <c r="E19" s="1"/>
      <c r="F19" s="43">
        <f t="shared" si="24"/>
        <v>0</v>
      </c>
      <c r="G19" s="28">
        <f t="shared" si="25"/>
        <v>0</v>
      </c>
      <c r="H19" s="1"/>
      <c r="I19" s="43">
        <f t="shared" si="26"/>
        <v>0</v>
      </c>
      <c r="J19" s="28">
        <f t="shared" si="27"/>
        <v>0</v>
      </c>
      <c r="K19" s="7"/>
      <c r="L19" s="43">
        <f t="shared" si="28"/>
        <v>0</v>
      </c>
      <c r="M19" s="28">
        <f t="shared" si="29"/>
        <v>0</v>
      </c>
      <c r="N19" s="7"/>
      <c r="O19" s="43">
        <f t="shared" si="30"/>
        <v>0</v>
      </c>
      <c r="P19" s="28">
        <f t="shared" si="31"/>
        <v>0</v>
      </c>
      <c r="Q19" s="7"/>
      <c r="R19" s="43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6">
        <v>44790</v>
      </c>
      <c r="X19" s="157"/>
      <c r="Y19" s="162">
        <f t="shared" si="21"/>
        <v>0</v>
      </c>
      <c r="Z19" s="157"/>
      <c r="AA19" s="162">
        <f t="shared" si="21"/>
        <v>0</v>
      </c>
      <c r="AB19" s="157"/>
      <c r="AC19" s="162">
        <f t="shared" si="21"/>
        <v>0</v>
      </c>
      <c r="AD19" s="157"/>
      <c r="AE19" s="162">
        <f t="shared" si="21"/>
        <v>0</v>
      </c>
      <c r="AF19" s="157"/>
      <c r="AG19" s="162">
        <f t="shared" si="21"/>
        <v>0</v>
      </c>
    </row>
    <row r="20" spans="1:33" ht="16.5" thickBot="1" x14ac:dyDescent="0.25">
      <c r="A20" s="9">
        <v>44791</v>
      </c>
      <c r="B20" s="159"/>
      <c r="C20" s="43">
        <f t="shared" si="22"/>
        <v>0</v>
      </c>
      <c r="D20" s="28">
        <f t="shared" si="23"/>
        <v>0</v>
      </c>
      <c r="E20" s="1"/>
      <c r="F20" s="43">
        <f t="shared" si="24"/>
        <v>0</v>
      </c>
      <c r="G20" s="28">
        <f t="shared" si="25"/>
        <v>0</v>
      </c>
      <c r="H20" s="1"/>
      <c r="I20" s="43">
        <f t="shared" si="26"/>
        <v>0</v>
      </c>
      <c r="J20" s="28">
        <f t="shared" si="27"/>
        <v>0</v>
      </c>
      <c r="K20" s="7"/>
      <c r="L20" s="43">
        <f t="shared" si="28"/>
        <v>0</v>
      </c>
      <c r="M20" s="28">
        <f t="shared" si="29"/>
        <v>0</v>
      </c>
      <c r="N20" s="7"/>
      <c r="O20" s="43">
        <f t="shared" si="30"/>
        <v>0</v>
      </c>
      <c r="P20" s="28">
        <f t="shared" si="31"/>
        <v>0</v>
      </c>
      <c r="Q20" s="7"/>
      <c r="R20" s="43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6">
        <v>44791</v>
      </c>
      <c r="X20" s="157"/>
      <c r="Y20" s="162">
        <f t="shared" si="21"/>
        <v>0</v>
      </c>
      <c r="Z20" s="157"/>
      <c r="AA20" s="162">
        <f t="shared" si="21"/>
        <v>0</v>
      </c>
      <c r="AB20" s="157"/>
      <c r="AC20" s="162">
        <f t="shared" si="21"/>
        <v>0</v>
      </c>
      <c r="AD20" s="157"/>
      <c r="AE20" s="162">
        <f t="shared" si="21"/>
        <v>0</v>
      </c>
      <c r="AF20" s="157"/>
      <c r="AG20" s="162">
        <f t="shared" si="21"/>
        <v>0</v>
      </c>
    </row>
    <row r="21" spans="1:33" ht="16.5" thickBot="1" x14ac:dyDescent="0.25">
      <c r="A21" s="9">
        <v>44792</v>
      </c>
      <c r="B21" s="159"/>
      <c r="C21" s="43">
        <f t="shared" si="22"/>
        <v>0</v>
      </c>
      <c r="D21" s="28">
        <f t="shared" si="23"/>
        <v>0</v>
      </c>
      <c r="E21" s="1"/>
      <c r="F21" s="43">
        <f t="shared" si="24"/>
        <v>0</v>
      </c>
      <c r="G21" s="28">
        <f t="shared" si="25"/>
        <v>0</v>
      </c>
      <c r="H21" s="1"/>
      <c r="I21" s="43">
        <f t="shared" si="26"/>
        <v>0</v>
      </c>
      <c r="J21" s="28">
        <f t="shared" si="27"/>
        <v>0</v>
      </c>
      <c r="K21" s="7"/>
      <c r="L21" s="43">
        <f t="shared" si="28"/>
        <v>0</v>
      </c>
      <c r="M21" s="28">
        <f t="shared" si="29"/>
        <v>0</v>
      </c>
      <c r="N21" s="7"/>
      <c r="O21" s="43">
        <f t="shared" si="30"/>
        <v>0</v>
      </c>
      <c r="P21" s="28">
        <f t="shared" si="31"/>
        <v>0</v>
      </c>
      <c r="Q21" s="7"/>
      <c r="R21" s="43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6">
        <v>44792</v>
      </c>
      <c r="X21" s="157"/>
      <c r="Y21" s="162">
        <f t="shared" si="21"/>
        <v>0</v>
      </c>
      <c r="Z21" s="157"/>
      <c r="AA21" s="162">
        <f t="shared" si="21"/>
        <v>0</v>
      </c>
      <c r="AB21" s="157"/>
      <c r="AC21" s="162">
        <f t="shared" si="21"/>
        <v>0</v>
      </c>
      <c r="AD21" s="157"/>
      <c r="AE21" s="162">
        <f t="shared" si="21"/>
        <v>0</v>
      </c>
      <c r="AF21" s="157"/>
      <c r="AG21" s="162">
        <f t="shared" si="21"/>
        <v>0</v>
      </c>
    </row>
    <row r="22" spans="1:33" ht="16.5" thickBot="1" x14ac:dyDescent="0.25">
      <c r="A22" s="9">
        <v>44793</v>
      </c>
      <c r="B22" s="159"/>
      <c r="C22" s="43">
        <f t="shared" si="22"/>
        <v>0</v>
      </c>
      <c r="D22" s="28">
        <f t="shared" si="23"/>
        <v>0</v>
      </c>
      <c r="E22" s="1"/>
      <c r="F22" s="43">
        <f t="shared" si="24"/>
        <v>0</v>
      </c>
      <c r="G22" s="28">
        <f t="shared" si="25"/>
        <v>0</v>
      </c>
      <c r="H22" s="1"/>
      <c r="I22" s="43">
        <f t="shared" si="26"/>
        <v>0</v>
      </c>
      <c r="J22" s="28">
        <f t="shared" si="27"/>
        <v>0</v>
      </c>
      <c r="K22" s="7"/>
      <c r="L22" s="43">
        <f t="shared" si="28"/>
        <v>0</v>
      </c>
      <c r="M22" s="28">
        <f t="shared" si="29"/>
        <v>0</v>
      </c>
      <c r="N22" s="7"/>
      <c r="O22" s="43">
        <f t="shared" si="30"/>
        <v>0</v>
      </c>
      <c r="P22" s="28">
        <f t="shared" si="31"/>
        <v>0</v>
      </c>
      <c r="Q22" s="7"/>
      <c r="R22" s="43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6">
        <v>44793</v>
      </c>
      <c r="X22" s="157"/>
      <c r="Y22" s="162">
        <f t="shared" si="21"/>
        <v>0</v>
      </c>
      <c r="Z22" s="157"/>
      <c r="AA22" s="162">
        <f t="shared" si="21"/>
        <v>0</v>
      </c>
      <c r="AB22" s="157"/>
      <c r="AC22" s="162">
        <f t="shared" si="21"/>
        <v>0</v>
      </c>
      <c r="AD22" s="157"/>
      <c r="AE22" s="162">
        <f t="shared" si="21"/>
        <v>0</v>
      </c>
      <c r="AF22" s="157"/>
      <c r="AG22" s="162">
        <f t="shared" si="21"/>
        <v>0</v>
      </c>
    </row>
    <row r="23" spans="1:33" ht="16.5" thickBot="1" x14ac:dyDescent="0.25">
      <c r="A23" s="9">
        <v>44794</v>
      </c>
      <c r="B23" s="159"/>
      <c r="C23" s="43">
        <f t="shared" si="22"/>
        <v>0</v>
      </c>
      <c r="D23" s="28">
        <f t="shared" si="23"/>
        <v>0</v>
      </c>
      <c r="E23" s="1"/>
      <c r="F23" s="43">
        <f t="shared" si="24"/>
        <v>0</v>
      </c>
      <c r="G23" s="28">
        <f t="shared" si="25"/>
        <v>0</v>
      </c>
      <c r="H23" s="1"/>
      <c r="I23" s="43">
        <f t="shared" si="26"/>
        <v>0</v>
      </c>
      <c r="J23" s="28">
        <f t="shared" si="27"/>
        <v>0</v>
      </c>
      <c r="K23" s="7"/>
      <c r="L23" s="43">
        <f t="shared" si="28"/>
        <v>0</v>
      </c>
      <c r="M23" s="28">
        <f t="shared" si="29"/>
        <v>0</v>
      </c>
      <c r="N23" s="7"/>
      <c r="O23" s="43">
        <f t="shared" si="30"/>
        <v>0</v>
      </c>
      <c r="P23" s="28">
        <f t="shared" si="31"/>
        <v>0</v>
      </c>
      <c r="Q23" s="7"/>
      <c r="R23" s="43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6">
        <v>44794</v>
      </c>
      <c r="X23" s="157"/>
      <c r="Y23" s="162">
        <f t="shared" si="21"/>
        <v>0</v>
      </c>
      <c r="Z23" s="157"/>
      <c r="AA23" s="162">
        <f t="shared" si="21"/>
        <v>0</v>
      </c>
      <c r="AB23" s="157"/>
      <c r="AC23" s="162">
        <f t="shared" si="21"/>
        <v>0</v>
      </c>
      <c r="AD23" s="157"/>
      <c r="AE23" s="162">
        <f t="shared" si="21"/>
        <v>0</v>
      </c>
      <c r="AF23" s="157"/>
      <c r="AG23" s="162">
        <f t="shared" si="21"/>
        <v>0</v>
      </c>
    </row>
    <row r="24" spans="1:33" ht="16.5" thickBot="1" x14ac:dyDescent="0.25">
      <c r="A24" s="9">
        <v>44795</v>
      </c>
      <c r="B24" s="159"/>
      <c r="C24" s="43">
        <f t="shared" si="22"/>
        <v>0</v>
      </c>
      <c r="D24" s="28">
        <f t="shared" si="23"/>
        <v>0</v>
      </c>
      <c r="E24" s="1"/>
      <c r="F24" s="43">
        <f t="shared" si="24"/>
        <v>0</v>
      </c>
      <c r="G24" s="28">
        <f t="shared" si="25"/>
        <v>0</v>
      </c>
      <c r="H24" s="1"/>
      <c r="I24" s="43">
        <f t="shared" si="26"/>
        <v>0</v>
      </c>
      <c r="J24" s="28">
        <f t="shared" si="27"/>
        <v>0</v>
      </c>
      <c r="K24" s="7"/>
      <c r="L24" s="43">
        <f t="shared" si="28"/>
        <v>0</v>
      </c>
      <c r="M24" s="28">
        <f t="shared" si="29"/>
        <v>0</v>
      </c>
      <c r="N24" s="7"/>
      <c r="O24" s="43">
        <f t="shared" si="30"/>
        <v>0</v>
      </c>
      <c r="P24" s="28">
        <f t="shared" si="31"/>
        <v>0</v>
      </c>
      <c r="Q24" s="7"/>
      <c r="R24" s="43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6">
        <v>44795</v>
      </c>
      <c r="X24" s="157"/>
      <c r="Y24" s="162">
        <f t="shared" si="21"/>
        <v>0</v>
      </c>
      <c r="Z24" s="157"/>
      <c r="AA24" s="162">
        <f t="shared" si="21"/>
        <v>0</v>
      </c>
      <c r="AB24" s="157"/>
      <c r="AC24" s="162">
        <f t="shared" si="21"/>
        <v>0</v>
      </c>
      <c r="AD24" s="157"/>
      <c r="AE24" s="162">
        <f t="shared" si="21"/>
        <v>0</v>
      </c>
      <c r="AF24" s="157"/>
      <c r="AG24" s="162">
        <f t="shared" si="21"/>
        <v>0</v>
      </c>
    </row>
    <row r="25" spans="1:33" ht="16.5" thickBot="1" x14ac:dyDescent="0.25">
      <c r="A25" s="9">
        <v>44796</v>
      </c>
      <c r="B25" s="159"/>
      <c r="C25" s="43">
        <f t="shared" si="22"/>
        <v>0</v>
      </c>
      <c r="D25" s="28">
        <f t="shared" si="23"/>
        <v>0</v>
      </c>
      <c r="E25" s="1"/>
      <c r="F25" s="43">
        <f t="shared" si="24"/>
        <v>0</v>
      </c>
      <c r="G25" s="28">
        <f t="shared" si="25"/>
        <v>0</v>
      </c>
      <c r="H25" s="1"/>
      <c r="I25" s="43">
        <f t="shared" si="26"/>
        <v>0</v>
      </c>
      <c r="J25" s="28">
        <f t="shared" si="27"/>
        <v>0</v>
      </c>
      <c r="K25" s="7"/>
      <c r="L25" s="43">
        <f t="shared" si="28"/>
        <v>0</v>
      </c>
      <c r="M25" s="28">
        <f t="shared" si="29"/>
        <v>0</v>
      </c>
      <c r="N25" s="7"/>
      <c r="O25" s="43">
        <f t="shared" si="30"/>
        <v>0</v>
      </c>
      <c r="P25" s="28">
        <f t="shared" si="31"/>
        <v>0</v>
      </c>
      <c r="Q25" s="7"/>
      <c r="R25" s="43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6">
        <v>44796</v>
      </c>
      <c r="X25" s="157"/>
      <c r="Y25" s="162">
        <f t="shared" si="21"/>
        <v>0</v>
      </c>
      <c r="Z25" s="157"/>
      <c r="AA25" s="162">
        <f t="shared" si="21"/>
        <v>0</v>
      </c>
      <c r="AB25" s="157"/>
      <c r="AC25" s="162">
        <f t="shared" si="21"/>
        <v>0</v>
      </c>
      <c r="AD25" s="157"/>
      <c r="AE25" s="162">
        <f t="shared" si="21"/>
        <v>0</v>
      </c>
      <c r="AF25" s="157"/>
      <c r="AG25" s="162">
        <f t="shared" si="21"/>
        <v>0</v>
      </c>
    </row>
    <row r="26" spans="1:33" ht="16.5" thickBot="1" x14ac:dyDescent="0.25">
      <c r="A26" s="9">
        <v>44797</v>
      </c>
      <c r="B26" s="159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6">
        <v>44797</v>
      </c>
      <c r="X26" s="157"/>
      <c r="Y26" s="162">
        <f t="shared" si="21"/>
        <v>0</v>
      </c>
      <c r="Z26" s="157"/>
      <c r="AA26" s="162">
        <f t="shared" si="21"/>
        <v>0</v>
      </c>
      <c r="AB26" s="157"/>
      <c r="AC26" s="162">
        <f t="shared" si="21"/>
        <v>0</v>
      </c>
      <c r="AD26" s="157"/>
      <c r="AE26" s="162">
        <f t="shared" si="21"/>
        <v>0</v>
      </c>
      <c r="AF26" s="157"/>
      <c r="AG26" s="162">
        <f t="shared" si="21"/>
        <v>0</v>
      </c>
    </row>
    <row r="27" spans="1:33" ht="16.5" thickBot="1" x14ac:dyDescent="0.25">
      <c r="A27" s="9">
        <v>44798</v>
      </c>
      <c r="B27" s="159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6">
        <v>44798</v>
      </c>
      <c r="X27" s="157"/>
      <c r="Y27" s="162">
        <f t="shared" si="21"/>
        <v>0</v>
      </c>
      <c r="Z27" s="157"/>
      <c r="AA27" s="162">
        <f t="shared" si="21"/>
        <v>0</v>
      </c>
      <c r="AB27" s="157"/>
      <c r="AC27" s="162">
        <f t="shared" si="21"/>
        <v>0</v>
      </c>
      <c r="AD27" s="157"/>
      <c r="AE27" s="162">
        <f t="shared" si="21"/>
        <v>0</v>
      </c>
      <c r="AF27" s="157"/>
      <c r="AG27" s="162">
        <f t="shared" si="21"/>
        <v>0</v>
      </c>
    </row>
    <row r="28" spans="1:33" ht="16.5" thickBot="1" x14ac:dyDescent="0.25">
      <c r="A28" s="9">
        <v>44799</v>
      </c>
      <c r="B28" s="159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6">
        <v>44799</v>
      </c>
      <c r="X28" s="157"/>
      <c r="Y28" s="162">
        <f t="shared" si="21"/>
        <v>0</v>
      </c>
      <c r="Z28" s="157"/>
      <c r="AA28" s="162">
        <f t="shared" si="21"/>
        <v>0</v>
      </c>
      <c r="AB28" s="157"/>
      <c r="AC28" s="162">
        <f t="shared" si="21"/>
        <v>0</v>
      </c>
      <c r="AD28" s="157"/>
      <c r="AE28" s="162">
        <f t="shared" si="21"/>
        <v>0</v>
      </c>
      <c r="AF28" s="157"/>
      <c r="AG28" s="162">
        <f t="shared" si="21"/>
        <v>0</v>
      </c>
    </row>
    <row r="29" spans="1:33" ht="16.5" thickBot="1" x14ac:dyDescent="0.25">
      <c r="A29" s="9">
        <v>44800</v>
      </c>
      <c r="B29" s="159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6">
        <v>44800</v>
      </c>
      <c r="X29" s="157"/>
      <c r="Y29" s="162">
        <f t="shared" si="21"/>
        <v>0</v>
      </c>
      <c r="Z29" s="157"/>
      <c r="AA29" s="162">
        <f t="shared" si="21"/>
        <v>0</v>
      </c>
      <c r="AB29" s="157"/>
      <c r="AC29" s="162">
        <f t="shared" si="21"/>
        <v>0</v>
      </c>
      <c r="AD29" s="157"/>
      <c r="AE29" s="162">
        <f t="shared" si="21"/>
        <v>0</v>
      </c>
      <c r="AF29" s="157"/>
      <c r="AG29" s="162">
        <f t="shared" si="21"/>
        <v>0</v>
      </c>
    </row>
    <row r="30" spans="1:33" ht="16.5" thickBot="1" x14ac:dyDescent="0.25">
      <c r="A30" s="9">
        <v>44801</v>
      </c>
      <c r="B30" s="159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6">
        <v>44801</v>
      </c>
      <c r="X30" s="157"/>
      <c r="Y30" s="162">
        <f t="shared" si="21"/>
        <v>0</v>
      </c>
      <c r="Z30" s="157"/>
      <c r="AA30" s="162">
        <f t="shared" si="21"/>
        <v>0</v>
      </c>
      <c r="AB30" s="157"/>
      <c r="AC30" s="162">
        <f t="shared" si="21"/>
        <v>0</v>
      </c>
      <c r="AD30" s="157"/>
      <c r="AE30" s="162">
        <f t="shared" si="21"/>
        <v>0</v>
      </c>
      <c r="AF30" s="157"/>
      <c r="AG30" s="162">
        <f t="shared" si="21"/>
        <v>0</v>
      </c>
    </row>
    <row r="31" spans="1:33" ht="16.5" thickBot="1" x14ac:dyDescent="0.25">
      <c r="A31" s="9">
        <v>44802</v>
      </c>
      <c r="B31" s="159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6">
        <v>44802</v>
      </c>
      <c r="X31" s="157"/>
      <c r="Y31" s="162">
        <f t="shared" si="21"/>
        <v>0</v>
      </c>
      <c r="Z31" s="157"/>
      <c r="AA31" s="162">
        <f t="shared" si="21"/>
        <v>0</v>
      </c>
      <c r="AB31" s="157"/>
      <c r="AC31" s="162">
        <f t="shared" si="21"/>
        <v>0</v>
      </c>
      <c r="AD31" s="157"/>
      <c r="AE31" s="162">
        <f t="shared" si="21"/>
        <v>0</v>
      </c>
      <c r="AF31" s="157"/>
      <c r="AG31" s="162">
        <f t="shared" si="21"/>
        <v>0</v>
      </c>
    </row>
    <row r="32" spans="1:33" ht="16.5" thickBot="1" x14ac:dyDescent="0.25">
      <c r="A32" s="9">
        <v>44803</v>
      </c>
      <c r="B32" s="159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6">
        <v>44803</v>
      </c>
      <c r="X32" s="157"/>
      <c r="Y32" s="162">
        <f t="shared" ref="Y32:Y33" si="49">IF((X32-X31)&lt;0,"0",(X32-X31))</f>
        <v>0</v>
      </c>
      <c r="Z32" s="157"/>
      <c r="AA32" s="162">
        <f t="shared" ref="AA32:AA33" si="50">IF((Z32-Z31)&lt;0,"0",(Z32-Z31))</f>
        <v>0</v>
      </c>
      <c r="AB32" s="157"/>
      <c r="AC32" s="162">
        <f t="shared" ref="AC32:AC33" si="51">IF((AB32-AB31)&lt;0,"0",(AB32-AB31))</f>
        <v>0</v>
      </c>
      <c r="AD32" s="157"/>
      <c r="AE32" s="162">
        <f t="shared" ref="AE32:AE33" si="52">IF((AD32-AD31)&lt;0,"0",(AD32-AD31))</f>
        <v>0</v>
      </c>
      <c r="AF32" s="157"/>
      <c r="AG32" s="162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9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6">
        <v>44804</v>
      </c>
      <c r="X33" s="157"/>
      <c r="Y33" s="162">
        <f t="shared" si="49"/>
        <v>0</v>
      </c>
      <c r="Z33" s="157"/>
      <c r="AA33" s="162">
        <f t="shared" si="50"/>
        <v>0</v>
      </c>
      <c r="AB33" s="157"/>
      <c r="AC33" s="162">
        <f t="shared" si="51"/>
        <v>0</v>
      </c>
      <c r="AD33" s="157"/>
      <c r="AE33" s="162">
        <f t="shared" si="52"/>
        <v>0</v>
      </c>
      <c r="AF33" s="157"/>
      <c r="AG33" s="162">
        <f t="shared" si="53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43.958000000002357</v>
      </c>
      <c r="D34" s="136">
        <f>SUM(D4:D33)</f>
        <v>53572.400000006739</v>
      </c>
      <c r="E34" s="136"/>
      <c r="F34" s="136">
        <f>SUM(F3:F33)</f>
        <v>10.378999999999905</v>
      </c>
      <c r="G34" s="136">
        <f>SUM(G4:G33)</f>
        <v>12602.699999999641</v>
      </c>
      <c r="H34" s="136"/>
      <c r="I34" s="136">
        <f>SUM(I3:I33)</f>
        <v>24</v>
      </c>
      <c r="J34" s="136">
        <f>SUM(J4:J33)</f>
        <v>30399.999999999993</v>
      </c>
      <c r="K34" s="136"/>
      <c r="L34" s="136">
        <f>SUM(L3:L33)</f>
        <v>7.6500000000014552</v>
      </c>
      <c r="M34" s="136">
        <f>SUM(M4:M33)</f>
        <v>9253.0000000015207</v>
      </c>
      <c r="N34" s="136"/>
      <c r="O34" s="136">
        <f>SUM(O3:O33)</f>
        <v>5.9520000000002256</v>
      </c>
      <c r="P34" s="136">
        <f>SUM(P4:P33)</f>
        <v>7615.2000000005046</v>
      </c>
      <c r="Q34" s="136"/>
      <c r="R34" s="136">
        <v>2.21</v>
      </c>
      <c r="S34" s="136">
        <f>SUM(S4:S33)</f>
        <v>5757.0000000012442</v>
      </c>
      <c r="T34" s="136">
        <v>22.454999999999998</v>
      </c>
      <c r="U34" s="136">
        <f>SUM(U4:U33)</f>
        <v>119200.30000000965</v>
      </c>
      <c r="V34"/>
      <c r="W34" s="136" t="s">
        <v>141</v>
      </c>
      <c r="X34" s="136"/>
      <c r="Y34" s="136">
        <f>SUM(Y3:Y33)</f>
        <v>1127</v>
      </c>
      <c r="Z34" s="136"/>
      <c r="AA34" s="136">
        <f>SUM(AA3:AA33)</f>
        <v>33</v>
      </c>
      <c r="AB34" s="136"/>
      <c r="AC34" s="136">
        <f>SUM(AC3:AC33)</f>
        <v>0</v>
      </c>
      <c r="AD34" s="136"/>
      <c r="AE34" s="136">
        <f>SUM(AE3:AE33)</f>
        <v>3</v>
      </c>
      <c r="AF34" s="136">
        <v>0</v>
      </c>
      <c r="AG34" s="136">
        <f>SUM(AG3:AG33)</f>
        <v>42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6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6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6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2439626</v>
      </c>
      <c r="D7" s="104">
        <f t="shared" si="0"/>
        <v>3098325.02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6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3159</v>
      </c>
      <c r="D8" s="104">
        <f t="shared" si="0"/>
        <v>4011.93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695</v>
      </c>
      <c r="D9" s="104">
        <f t="shared" si="0"/>
        <v>882.65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1760</v>
      </c>
      <c r="D10" s="104">
        <f t="shared" si="0"/>
        <v>2235.1999999999998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359</v>
      </c>
      <c r="D11" s="104">
        <f t="shared" si="0"/>
        <v>455.93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4030</v>
      </c>
      <c r="K16" s="93">
        <f>(J16-I16)*160</f>
        <v>160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326240</v>
      </c>
      <c r="K17" s="93">
        <f>(J17-I17)</f>
        <v>525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26365</v>
      </c>
      <c r="K18" s="93">
        <f>(J18-I18)*160</f>
        <v>1760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162970</v>
      </c>
      <c r="K19" s="93">
        <f>J19-I19</f>
        <v>359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47383</v>
      </c>
      <c r="K21" s="93">
        <f>(J21-I21)*120</f>
        <v>1560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40840</v>
      </c>
      <c r="K22" s="93">
        <f>(J22-I22)*160</f>
        <v>1280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21913</v>
      </c>
      <c r="K23" s="93">
        <f>(J23-I23)*20</f>
        <v>220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257135</v>
      </c>
      <c r="K24" s="93">
        <f>J24-I24</f>
        <v>99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226240</v>
      </c>
      <c r="K25" s="93">
        <f>J25-I25</f>
        <v>10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2022-08-04T02:47:18Z</dcterms:modified>
</cp:coreProperties>
</file>