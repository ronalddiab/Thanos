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<sst xmlns="http://schemas.openxmlformats.org/spreadsheetml/2006/main" count="313" uniqueCount="148">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</sst>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16599.999999999949</v>
      </c>
      <c r="F33" s="17">
        <f t="shared" ref="F33:BC33" si="1">SUM(F2:F32)</f>
        <v>23099.999999999898</v>
      </c>
      <c r="G33" s="17">
        <f t="shared" si="1"/>
        <v>20900.000000000142</v>
      </c>
      <c r="H33" s="17">
        <f t="shared" si="1"/>
        <v>10800.000000000142</v>
      </c>
      <c r="I33" s="17">
        <f t="shared" si="1"/>
        <v>16599.999999999949</v>
      </c>
      <c r="J33" s="17">
        <f t="shared" si="1"/>
        <v>8199.9999999999854</v>
      </c>
      <c r="K33" s="17">
        <f t="shared" si="1"/>
        <v>37</v>
      </c>
      <c r="L33" s="17">
        <f t="shared" si="1"/>
        <v>19</v>
      </c>
      <c r="M33" s="17">
        <f t="shared" si="1"/>
        <v>5765</v>
      </c>
      <c r="N33" s="17">
        <f t="shared" si="1"/>
        <v>2451.3000000000466</v>
      </c>
      <c r="O33" s="17">
        <f t="shared" si="1"/>
        <v>2240.0000000000091</v>
      </c>
      <c r="P33" s="17">
        <f t="shared" si="1"/>
        <v>20300.000000000207</v>
      </c>
      <c r="Q33" s="17">
        <f t="shared" si="1"/>
        <v>2319.9999999999932</v>
      </c>
      <c r="R33" s="17">
        <f t="shared" si="1"/>
        <v>2109.9999999999568</v>
      </c>
      <c r="S33" s="17">
        <f t="shared" si="1"/>
        <v>2750</v>
      </c>
      <c r="T33" s="17">
        <f t="shared" si="1"/>
        <v>282</v>
      </c>
      <c r="U33" s="35">
        <f t="shared" si="1"/>
        <v>5470.0000000000273</v>
      </c>
      <c r="V33" s="35">
        <f t="shared" si="1"/>
        <v>1570.0000000000216</v>
      </c>
      <c r="W33" s="35">
        <f t="shared" si="1"/>
        <v>1329.9999999999841</v>
      </c>
      <c r="X33" s="35">
        <f t="shared" si="1"/>
        <v>980.00000000001819</v>
      </c>
      <c r="Y33" s="35">
        <f t="shared" si="1"/>
        <v>1420.0000000000159</v>
      </c>
      <c r="Z33" s="35">
        <f t="shared" si="1"/>
        <v>1550.0000000000114</v>
      </c>
      <c r="AA33" s="35">
        <f t="shared" si="1"/>
        <v>1550.0000000000114</v>
      </c>
      <c r="AB33" s="35">
        <f t="shared" si="1"/>
        <v>730.00000000001819</v>
      </c>
      <c r="AC33" s="35">
        <f t="shared" si="1"/>
        <v>409.99999999996817</v>
      </c>
      <c r="AD33" s="35">
        <f t="shared" si="1"/>
        <v>210.00000000003638</v>
      </c>
      <c r="AE33" s="35">
        <f t="shared" si="1"/>
        <v>419.99999999998749</v>
      </c>
      <c r="AF33" s="17">
        <f t="shared" si="1"/>
        <v>267</v>
      </c>
      <c r="AG33" s="32">
        <f t="shared" si="1"/>
        <v>319.99999999999318</v>
      </c>
      <c r="AH33" s="32">
        <f t="shared" si="1"/>
        <v>220.00000000002728</v>
      </c>
      <c r="AI33" s="32">
        <f t="shared" si="1"/>
        <v>260.00000000001933</v>
      </c>
      <c r="AJ33" s="32">
        <f t="shared" si="1"/>
        <v>319.99999999999318</v>
      </c>
      <c r="AK33" s="32">
        <f t="shared" si="1"/>
        <v>339.99999999997499</v>
      </c>
      <c r="AL33" s="32">
        <f t="shared" si="1"/>
        <v>237</v>
      </c>
      <c r="AM33" s="32">
        <f t="shared" si="1"/>
        <v>259.99999999999091</v>
      </c>
      <c r="AN33" s="32">
        <f t="shared" si="1"/>
        <v>364</v>
      </c>
      <c r="AO33" s="32">
        <f t="shared" si="1"/>
        <v>200.00000000001705</v>
      </c>
      <c r="AP33" s="32">
        <f t="shared" si="1"/>
        <v>388</v>
      </c>
      <c r="AQ33" s="17">
        <f t="shared" si="1"/>
        <v>318</v>
      </c>
      <c r="AR33" s="17">
        <f t="shared" si="1"/>
        <v>84.5</v>
      </c>
      <c r="AS33" s="17">
        <f t="shared" si="1"/>
        <v>44.699999999999818</v>
      </c>
      <c r="AT33" s="17">
        <f t="shared" si="1"/>
        <v>292.09999999999854</v>
      </c>
      <c r="AU33" s="17">
        <f t="shared" si="1"/>
        <v>2411</v>
      </c>
      <c r="AV33" s="17">
        <f t="shared" si="1"/>
        <v>5309.9999999999454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58.607999999999997</v>
      </c>
      <c r="BC33" s="17">
        <f t="shared" si="1"/>
        <v>49</v>
      </c>
    </row>
    <row r="35" spans="5:55" x14ac:dyDescent="0.25">
      <c r="E35" s="38">
        <f>E33/E37</f>
        <v>0.23466877774322037</v>
      </c>
      <c r="G35" s="29">
        <f>G33-M36</f>
        <v>12683.700000000095</v>
      </c>
      <c r="AE35" s="35">
        <f>SUM(U33:AE33)</f>
        <v>15640.0000000001</v>
      </c>
      <c r="AG35" s="32">
        <f>SUM(AG33:AP33)</f>
        <v>2909.0000000000164</v>
      </c>
    </row>
    <row r="36" spans="5:55" x14ac:dyDescent="0.25">
      <c r="G36" s="29">
        <f>G35-633*14</f>
        <v>3821.7000000000953</v>
      </c>
      <c r="M36" s="29">
        <f>M33+N33</f>
        <v>8216.3000000000466</v>
      </c>
    </row>
    <row r="37" spans="5:55" x14ac:dyDescent="0.25">
      <c r="E37" s="17">
        <f>E33+F33+G33+H33+J33-633*14</f>
        <v>70738.000000000116</v>
      </c>
      <c r="G37" s="37">
        <f>M36/E37</f>
        <v>0.11615114931154448</v>
      </c>
      <c r="M37" s="35">
        <f>AE35</f>
        <v>15640.0000000001</v>
      </c>
    </row>
    <row r="38" spans="5:55" x14ac:dyDescent="0.25">
      <c r="L38" s="27">
        <f>M38/E37</f>
        <v>4.1123582798496025E-2</v>
      </c>
      <c r="M38" s="29">
        <f>AG35</f>
        <v>2909.0000000000164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CV12" sqref="CV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4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9"/>
        <v/>
      </c>
      <c r="BG13" s="60"/>
      <c r="BH13" s="65" t="str">
        <f t="shared" si="23"/>
        <v/>
      </c>
      <c r="BI13" s="60"/>
      <c r="BJ13" s="65" t="str">
        <f t="shared" si="40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2"/>
        <v/>
      </c>
      <c r="BU13" s="60"/>
      <c r="BV13" s="65" t="str">
        <f t="shared" si="29"/>
        <v/>
      </c>
      <c r="BW13" s="60"/>
      <c r="BX13" s="65" t="str">
        <f t="shared" si="30"/>
        <v/>
      </c>
      <c r="BY13" s="60"/>
      <c r="BZ13" s="67" t="str">
        <f t="shared" si="31"/>
        <v/>
      </c>
      <c r="CA13" s="60"/>
      <c r="CB13" s="67" t="str">
        <f t="shared" si="32"/>
        <v/>
      </c>
      <c r="CC13" s="60"/>
      <c r="CD13" s="67" t="str">
        <f t="shared" si="33"/>
        <v/>
      </c>
      <c r="CE13" s="60"/>
      <c r="CF13" s="67" t="str">
        <f t="shared" si="34"/>
        <v/>
      </c>
      <c r="CG13" s="60"/>
      <c r="CH13" s="67" t="str">
        <f t="shared" si="35"/>
        <v/>
      </c>
      <c r="CI13" s="60"/>
      <c r="CJ13" s="67" t="str">
        <f t="shared" si="36"/>
        <v/>
      </c>
      <c r="CK13" s="60"/>
      <c r="CL13" s="64" t="str">
        <f t="shared" si="37"/>
        <v/>
      </c>
      <c r="CM13" s="65" t="e">
        <f t="shared" si="41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44388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44389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44390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44391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44392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D2" zoomScaleNormal="100" workbookViewId="0">
      <selection activeCell="S20" sqref="S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-198</v>
      </c>
    </row>
    <row r="18" spans="1:20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2021-07-10T18:59:10Z</dcterms:modified>
</cp:coreProperties>
</file>