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<sst xmlns="http://schemas.openxmlformats.org/spreadsheetml/2006/main" count="313" uniqueCount="148">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</sst>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216.11699999999999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IF(LPG!F29-LPG!F28&lt;0,"0",(LPG!F29-LPG!F28)*1.8315)</f>
        <v>194.13899999999998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>0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46399.999999999782</v>
      </c>
      <c r="F33" s="17">
        <f t="shared" ref="F33:BC33" si="1">SUM(F2:F32)</f>
        <v>58799.99999999976</v>
      </c>
      <c r="G33" s="17">
        <f t="shared" si="1"/>
        <v>56999.999999999949</v>
      </c>
      <c r="H33" s="17">
        <f t="shared" si="1"/>
        <v>28100.000000000022</v>
      </c>
      <c r="I33" s="17">
        <f t="shared" si="1"/>
        <v>44100.000000000269</v>
      </c>
      <c r="J33" s="17">
        <f t="shared" si="1"/>
        <v>21199.999999999887</v>
      </c>
      <c r="K33" s="17">
        <f t="shared" si="1"/>
        <v>100</v>
      </c>
      <c r="L33" s="17">
        <f t="shared" si="1"/>
        <v>45</v>
      </c>
      <c r="M33" s="17">
        <f t="shared" si="1"/>
        <v>17464.59999999998</v>
      </c>
      <c r="N33" s="17">
        <f t="shared" si="1"/>
        <v>6874.6000000000349</v>
      </c>
      <c r="O33" s="17">
        <f t="shared" si="1"/>
        <v>5670.0000000000164</v>
      </c>
      <c r="P33" s="17">
        <f t="shared" si="1"/>
        <v>52500.000000000233</v>
      </c>
      <c r="Q33" s="17">
        <f t="shared" si="1"/>
        <v>6180.0000000000073</v>
      </c>
      <c r="R33" s="17">
        <f t="shared" si="1"/>
        <v>5699.9999999999891</v>
      </c>
      <c r="S33" s="17">
        <f t="shared" si="1"/>
        <v>6740.0000000000091</v>
      </c>
      <c r="T33" s="17">
        <f t="shared" si="1"/>
        <v>775</v>
      </c>
      <c r="U33" s="35">
        <f t="shared" si="1"/>
        <v>15899.999999999976</v>
      </c>
      <c r="V33" s="35">
        <f t="shared" si="1"/>
        <v>3480.0000000000177</v>
      </c>
      <c r="W33" s="35">
        <f t="shared" si="1"/>
        <v>3319.9999999999927</v>
      </c>
      <c r="X33" s="35">
        <f t="shared" si="1"/>
        <v>2380.0000000000241</v>
      </c>
      <c r="Y33" s="35">
        <f t="shared" si="1"/>
        <v>3650.0000000000064</v>
      </c>
      <c r="Z33" s="35">
        <f t="shared" si="1"/>
        <v>4256.8800000000274</v>
      </c>
      <c r="AA33" s="35">
        <f t="shared" si="1"/>
        <v>4256.8800000000274</v>
      </c>
      <c r="AB33" s="35">
        <f t="shared" si="1"/>
        <v>2060.0000000000023</v>
      </c>
      <c r="AC33" s="35">
        <f t="shared" si="1"/>
        <v>1019.9999999999818</v>
      </c>
      <c r="AD33" s="35">
        <f t="shared" si="1"/>
        <v>570.00000000005002</v>
      </c>
      <c r="AE33" s="35">
        <f t="shared" si="1"/>
        <v>2430.0000000000068</v>
      </c>
      <c r="AF33" s="17">
        <f t="shared" si="1"/>
        <v>680</v>
      </c>
      <c r="AG33" s="32">
        <f t="shared" si="1"/>
        <v>800.00000000001137</v>
      </c>
      <c r="AH33" s="32">
        <f t="shared" si="1"/>
        <v>610.00000000001364</v>
      </c>
      <c r="AI33" s="32">
        <f t="shared" si="1"/>
        <v>640.00000000001478</v>
      </c>
      <c r="AJ33" s="32">
        <f t="shared" si="1"/>
        <v>840.00000000000341</v>
      </c>
      <c r="AK33" s="32">
        <f t="shared" si="1"/>
        <v>790.00000000002046</v>
      </c>
      <c r="AL33" s="32">
        <f t="shared" si="1"/>
        <v>649</v>
      </c>
      <c r="AM33" s="32">
        <f t="shared" si="1"/>
        <v>659.99999999999659</v>
      </c>
      <c r="AN33" s="32">
        <f t="shared" si="1"/>
        <v>901</v>
      </c>
      <c r="AO33" s="32">
        <f t="shared" si="1"/>
        <v>540.00000000002046</v>
      </c>
      <c r="AP33" s="32">
        <f t="shared" si="1"/>
        <v>999</v>
      </c>
      <c r="AQ33" s="17">
        <f t="shared" si="1"/>
        <v>799.90000000000146</v>
      </c>
      <c r="AR33" s="17">
        <f t="shared" si="1"/>
        <v>203.5</v>
      </c>
      <c r="AS33" s="17">
        <f t="shared" si="1"/>
        <v>123.69999999999982</v>
      </c>
      <c r="AT33" s="17">
        <f t="shared" si="1"/>
        <v>752.40000000000146</v>
      </c>
      <c r="AU33" s="17">
        <f t="shared" si="1"/>
        <v>6217</v>
      </c>
      <c r="AV33" s="17">
        <f t="shared" si="1"/>
        <v>14129.999999999996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159.34049999999999</v>
      </c>
      <c r="BC33" s="17">
        <f t="shared" si="1"/>
        <v>232</v>
      </c>
    </row>
    <row r="35" spans="5:55" x14ac:dyDescent="0.25">
      <c r="E35" s="38">
        <f>E33/E37</f>
        <v>0.22897975700510231</v>
      </c>
      <c r="G35" s="29">
        <f>G33-M36</f>
        <v>32660.799999999934</v>
      </c>
      <c r="AE35" s="35">
        <f>SUM(U33:AE33)</f>
        <v>43323.760000000111</v>
      </c>
      <c r="AG35" s="32">
        <f>SUM(AG33:AP33)</f>
        <v>7429.00000000008</v>
      </c>
    </row>
    <row r="36" spans="5:55" x14ac:dyDescent="0.25">
      <c r="G36" s="29">
        <f>G35-633*14</f>
        <v>23798.799999999934</v>
      </c>
      <c r="M36" s="29">
        <f>M33+N33</f>
        <v>24339.200000000015</v>
      </c>
    </row>
    <row r="37" spans="5:55" x14ac:dyDescent="0.25">
      <c r="E37" s="17">
        <f>E33+F33+G33+H33+J33-633*14</f>
        <v>202637.99999999939</v>
      </c>
      <c r="G37" s="37">
        <f>M36/E37</f>
        <v>0.12011172632971155</v>
      </c>
      <c r="M37" s="35">
        <f>AE35</f>
        <v>43323.760000000111</v>
      </c>
    </row>
    <row r="38" spans="5:55" x14ac:dyDescent="0.25">
      <c r="L38" s="27">
        <f>M38/E37</f>
        <v>3.6661435663597662E-2</v>
      </c>
      <c r="M38" s="29">
        <f>AG35</f>
        <v>7429.00000000008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7" activePane="bottomLeft" state="frozen"/>
      <selection pane="bottomLeft" activeCell="C27" sqref="C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4" t="str">
        <f t="shared" si="45"/>
        <v>0</v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4">
        <f t="shared" si="45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4">
        <f t="shared" si="45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4">
        <f t="shared" si="45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4">
        <f t="shared" si="45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4">
        <f t="shared" si="45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4">
        <f t="shared" si="45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4">
        <f t="shared" si="45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T28" sqref="T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68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68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68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-200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2021-07-24T18:33:05Z</dcterms:modified>
</cp:coreProperties>
</file>