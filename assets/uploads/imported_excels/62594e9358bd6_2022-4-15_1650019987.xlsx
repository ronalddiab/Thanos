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bookViews>
    <workbookView xWindow="0" yWindow="0" windowWidth="20490" windowHeight="775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6" l="1"/>
  <c r="C31" i="116"/>
  <c r="C32" i="116"/>
  <c r="C33" i="116"/>
  <c r="C34" i="116"/>
  <c r="C35" i="116"/>
  <c r="C36" i="116"/>
  <c r="C37" i="116"/>
  <c r="C38" i="116"/>
  <c r="C39" i="116"/>
  <c r="U8" i="109" l="1"/>
  <c r="F24" i="116"/>
  <c r="F10" i="116"/>
  <c r="F11" i="116"/>
  <c r="F12" i="116"/>
  <c r="F13" i="116"/>
  <c r="F14" i="116"/>
  <c r="F15" i="116"/>
  <c r="F16" i="116"/>
  <c r="F17" i="116"/>
  <c r="F18" i="116"/>
  <c r="F19" i="116"/>
  <c r="F20" i="116"/>
  <c r="F21" i="116"/>
  <c r="F22" i="116"/>
  <c r="F23" i="116"/>
  <c r="F25" i="116"/>
  <c r="F26" i="116"/>
  <c r="F27" i="116"/>
  <c r="F28" i="116"/>
  <c r="F29" i="116"/>
  <c r="F30" i="116"/>
  <c r="F31" i="116"/>
  <c r="F32" i="116"/>
  <c r="F33" i="116"/>
  <c r="F34" i="116"/>
  <c r="F35" i="116"/>
  <c r="F36" i="116"/>
  <c r="F37" i="116"/>
  <c r="F38" i="116"/>
  <c r="F39" i="116"/>
  <c r="F9" i="116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I10" i="109"/>
  <c r="F8" i="102" l="1"/>
  <c r="G8" i="102"/>
  <c r="I8" i="102"/>
  <c r="J8" i="102" s="1"/>
  <c r="F9" i="102"/>
  <c r="G9" i="102" s="1"/>
  <c r="I9" i="102"/>
  <c r="J9" i="102" s="1"/>
  <c r="F10" i="102"/>
  <c r="G10" i="102" s="1"/>
  <c r="I10" i="102"/>
  <c r="J10" i="102" s="1"/>
  <c r="F11" i="102"/>
  <c r="G11" i="102" s="1"/>
  <c r="I11" i="102"/>
  <c r="J11" i="102"/>
  <c r="F12" i="102"/>
  <c r="G12" i="102"/>
  <c r="I12" i="102"/>
  <c r="J12" i="102" s="1"/>
  <c r="F13" i="102"/>
  <c r="G13" i="102" s="1"/>
  <c r="I13" i="102"/>
  <c r="J13" i="102" s="1"/>
  <c r="F14" i="102"/>
  <c r="G14" i="102"/>
  <c r="I14" i="102"/>
  <c r="J14" i="102" s="1"/>
  <c r="F15" i="102"/>
  <c r="G15" i="102" s="1"/>
  <c r="I15" i="102"/>
  <c r="J15" i="102" s="1"/>
  <c r="F16" i="102"/>
  <c r="G16" i="102" s="1"/>
  <c r="I16" i="102"/>
  <c r="J16" i="102" s="1"/>
  <c r="F17" i="102"/>
  <c r="G17" i="102" s="1"/>
  <c r="I17" i="102"/>
  <c r="J17" i="102" s="1"/>
  <c r="F18" i="102"/>
  <c r="G18" i="102" s="1"/>
  <c r="I18" i="102"/>
  <c r="J18" i="102"/>
  <c r="F19" i="102"/>
  <c r="G19" i="102" s="1"/>
  <c r="I19" i="102"/>
  <c r="J19" i="102" s="1"/>
  <c r="F20" i="102"/>
  <c r="G20" i="102"/>
  <c r="I20" i="102"/>
  <c r="J20" i="102" s="1"/>
  <c r="F21" i="102"/>
  <c r="G21" i="102"/>
  <c r="I21" i="102"/>
  <c r="J21" i="102" s="1"/>
  <c r="F22" i="102"/>
  <c r="G22" i="102" s="1"/>
  <c r="I22" i="102"/>
  <c r="J22" i="102"/>
  <c r="F23" i="102"/>
  <c r="G23" i="102" s="1"/>
  <c r="I23" i="102"/>
  <c r="J23" i="102" s="1"/>
  <c r="F24" i="102"/>
  <c r="G24" i="102"/>
  <c r="I24" i="102"/>
  <c r="J24" i="102"/>
  <c r="F25" i="102"/>
  <c r="G25" i="102" s="1"/>
  <c r="I25" i="102"/>
  <c r="J25" i="102"/>
  <c r="F26" i="102"/>
  <c r="G26" i="102"/>
  <c r="I26" i="102"/>
  <c r="J26" i="102" s="1"/>
  <c r="F27" i="102"/>
  <c r="G27" i="102"/>
  <c r="I27" i="102"/>
  <c r="J27" i="102" s="1"/>
  <c r="F28" i="102"/>
  <c r="G28" i="102" s="1"/>
  <c r="I28" i="102"/>
  <c r="J28" i="102" s="1"/>
  <c r="F29" i="102"/>
  <c r="G29" i="102" s="1"/>
  <c r="I29" i="102"/>
  <c r="J29" i="102" s="1"/>
  <c r="F30" i="102"/>
  <c r="G30" i="102" s="1"/>
  <c r="I30" i="102"/>
  <c r="J30" i="102"/>
  <c r="F31" i="102"/>
  <c r="G31" i="102"/>
  <c r="I31" i="102"/>
  <c r="J31" i="102" s="1"/>
  <c r="F32" i="102"/>
  <c r="G32" i="102"/>
  <c r="I32" i="102"/>
  <c r="J32" i="102" s="1"/>
  <c r="F33" i="102"/>
  <c r="G33" i="102"/>
  <c r="I33" i="102"/>
  <c r="J33" i="102" s="1"/>
  <c r="F34" i="102"/>
  <c r="G34" i="102" s="1"/>
  <c r="I34" i="102"/>
  <c r="J34" i="102" s="1"/>
  <c r="F35" i="102"/>
  <c r="G35" i="102" s="1"/>
  <c r="I35" i="102"/>
  <c r="J35" i="102" s="1"/>
  <c r="F36" i="102"/>
  <c r="G36" i="102"/>
  <c r="I36" i="102"/>
  <c r="J36" i="102" s="1"/>
  <c r="F37" i="102"/>
  <c r="G37" i="102" s="1"/>
  <c r="I37" i="102"/>
  <c r="J37" i="102"/>
  <c r="F38" i="102"/>
  <c r="G38" i="102" s="1"/>
  <c r="I38" i="102"/>
  <c r="J38" i="102" s="1"/>
  <c r="K29" i="102" l="1"/>
  <c r="L29" i="102" s="1"/>
  <c r="M29" i="102" s="1"/>
  <c r="K36" i="102"/>
  <c r="L36" i="102" s="1"/>
  <c r="M36" i="102" s="1"/>
  <c r="K31" i="102"/>
  <c r="L31" i="102" s="1"/>
  <c r="M31" i="102" s="1"/>
  <c r="K17" i="102"/>
  <c r="L17" i="102" s="1"/>
  <c r="M17" i="102" s="1"/>
  <c r="K24" i="102"/>
  <c r="L24" i="102" s="1"/>
  <c r="M24" i="102" s="1"/>
  <c r="K8" i="102"/>
  <c r="L8" i="102" s="1"/>
  <c r="M8" i="102" s="1"/>
  <c r="K10" i="102"/>
  <c r="L10" i="102" s="1"/>
  <c r="M10" i="102" s="1"/>
  <c r="K16" i="102"/>
  <c r="L16" i="102" s="1"/>
  <c r="M16" i="102" s="1"/>
  <c r="K23" i="102"/>
  <c r="L23" i="102" s="1"/>
  <c r="M23" i="102" s="1"/>
  <c r="K30" i="102"/>
  <c r="L30" i="102" s="1"/>
  <c r="M30" i="102" s="1"/>
  <c r="K11" i="102"/>
  <c r="L11" i="102" s="1"/>
  <c r="M11" i="102" s="1"/>
  <c r="K20" i="102"/>
  <c r="L20" i="102" s="1"/>
  <c r="M20" i="102" s="1"/>
  <c r="K12" i="102"/>
  <c r="L12" i="102" s="1"/>
  <c r="M12" i="102" s="1"/>
  <c r="K34" i="102"/>
  <c r="L34" i="102" s="1"/>
  <c r="M34" i="102" s="1"/>
  <c r="K37" i="102"/>
  <c r="L37" i="102" s="1"/>
  <c r="M37" i="102" s="1"/>
  <c r="K25" i="102"/>
  <c r="L25" i="102" s="1"/>
  <c r="M25" i="102" s="1"/>
  <c r="K22" i="102"/>
  <c r="L22" i="102" s="1"/>
  <c r="M22" i="102" s="1"/>
  <c r="K32" i="102"/>
  <c r="L32" i="102" s="1"/>
  <c r="M32" i="102" s="1"/>
  <c r="K18" i="102"/>
  <c r="L18" i="102" s="1"/>
  <c r="M18" i="102" s="1"/>
  <c r="K13" i="102"/>
  <c r="L13" i="102" s="1"/>
  <c r="M13" i="102" s="1"/>
  <c r="K35" i="102"/>
  <c r="L35" i="102" s="1"/>
  <c r="M35" i="102" s="1"/>
  <c r="K19" i="102"/>
  <c r="L19" i="102" s="1"/>
  <c r="M19" i="102" s="1"/>
  <c r="K38" i="102"/>
  <c r="L38" i="102" s="1"/>
  <c r="M38" i="102" s="1"/>
  <c r="K14" i="102"/>
  <c r="L14" i="102" s="1"/>
  <c r="M14" i="102" s="1"/>
  <c r="K21" i="102"/>
  <c r="L21" i="102" s="1"/>
  <c r="M21" i="102" s="1"/>
  <c r="K27" i="102"/>
  <c r="L27" i="102" s="1"/>
  <c r="M27" i="102" s="1"/>
  <c r="K28" i="102"/>
  <c r="L28" i="102" s="1"/>
  <c r="M28" i="102" s="1"/>
  <c r="K26" i="102"/>
  <c r="L26" i="102" s="1"/>
  <c r="M26" i="102" s="1"/>
  <c r="K33" i="102"/>
  <c r="L33" i="102" s="1"/>
  <c r="M33" i="102" s="1"/>
  <c r="K9" i="102"/>
  <c r="L9" i="102" s="1"/>
  <c r="M9" i="102" s="1"/>
  <c r="K15" i="102"/>
  <c r="L15" i="102" s="1"/>
  <c r="M15" i="102" s="1"/>
  <c r="I40" i="106"/>
  <c r="G40" i="106"/>
  <c r="F40" i="116"/>
  <c r="I39" i="102"/>
  <c r="F39" i="102"/>
  <c r="D39" i="102"/>
  <c r="C39" i="102"/>
  <c r="O40" i="109"/>
  <c r="F40" i="109"/>
  <c r="J40" i="106" l="1"/>
  <c r="M39" i="102"/>
  <c r="L39" i="102"/>
  <c r="E32" i="117"/>
  <c r="F32" i="117" s="1"/>
  <c r="G32" i="117"/>
  <c r="I32" i="117"/>
  <c r="K32" i="117"/>
  <c r="M32" i="117"/>
  <c r="N32" i="117"/>
  <c r="B32" i="117"/>
  <c r="B31" i="117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D39" i="116" l="1"/>
  <c r="G39" i="116"/>
  <c r="C39" i="109"/>
  <c r="D39" i="109"/>
  <c r="G39" i="109"/>
  <c r="C39" i="106"/>
  <c r="D39" i="106"/>
  <c r="H39" i="106"/>
  <c r="J39" i="106"/>
  <c r="K39" i="106" l="1"/>
  <c r="J32" i="117"/>
  <c r="H39" i="116"/>
  <c r="H20" i="106"/>
  <c r="L32" i="117" l="1"/>
  <c r="L39" i="106"/>
  <c r="D10" i="109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C40" i="116" l="1"/>
  <c r="C40" i="106"/>
  <c r="C40" i="109"/>
  <c r="D40" i="116"/>
  <c r="D40" i="109"/>
  <c r="D40" i="10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E19" i="117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Q44" i="109"/>
  <c r="J19" i="109" l="1"/>
  <c r="J39" i="109"/>
  <c r="E24" i="117"/>
  <c r="E23" i="117"/>
  <c r="E22" i="117"/>
  <c r="E21" i="117"/>
  <c r="E20" i="117"/>
  <c r="E31" i="117"/>
  <c r="E30" i="117"/>
  <c r="E29" i="117"/>
  <c r="E28" i="117"/>
  <c r="E27" i="117"/>
  <c r="E26" i="117"/>
  <c r="E25" i="117"/>
  <c r="E17" i="117"/>
  <c r="E6" i="117"/>
  <c r="E4" i="117"/>
  <c r="E16" i="117"/>
  <c r="E13" i="117"/>
  <c r="E12" i="117"/>
  <c r="E10" i="117"/>
  <c r="E3" i="117"/>
  <c r="E2" i="117"/>
  <c r="E9" i="117"/>
  <c r="E8" i="117"/>
  <c r="E7" i="117"/>
  <c r="E15" i="117"/>
  <c r="E5" i="117"/>
  <c r="E11" i="117"/>
  <c r="E18" i="117"/>
  <c r="E14" i="117"/>
  <c r="K30" i="106"/>
  <c r="L30" i="106" s="1"/>
  <c r="K18" i="106"/>
  <c r="L18" i="106" s="1"/>
  <c r="I41" i="106"/>
  <c r="K10" i="106"/>
  <c r="L10" i="106" s="1"/>
  <c r="K15" i="106"/>
  <c r="L15" i="106" s="1"/>
  <c r="K27" i="106"/>
  <c r="L27" i="106" s="1"/>
  <c r="K38" i="106"/>
  <c r="L38" i="106" s="1"/>
  <c r="K31" i="106"/>
  <c r="L31" i="106" s="1"/>
  <c r="K32" i="106"/>
  <c r="L32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J33" i="109"/>
  <c r="J11" i="109"/>
  <c r="J27" i="109"/>
  <c r="J28" i="109"/>
  <c r="J13" i="109"/>
  <c r="M8" i="109"/>
  <c r="J26" i="109"/>
  <c r="J14" i="109"/>
  <c r="J12" i="109"/>
  <c r="K22" i="106"/>
  <c r="L22" i="106" s="1"/>
  <c r="G32" i="116"/>
  <c r="H32" i="116" s="1"/>
  <c r="G36" i="116"/>
  <c r="H36" i="116" s="1"/>
  <c r="K34" i="106"/>
  <c r="L34" i="106" s="1"/>
  <c r="K26" i="106"/>
  <c r="L26" i="106" s="1"/>
  <c r="J20" i="109"/>
  <c r="J24" i="109"/>
  <c r="J16" i="109"/>
  <c r="J31" i="109"/>
  <c r="J9" i="109"/>
  <c r="J38" i="109"/>
  <c r="J32" i="109"/>
  <c r="J37" i="109"/>
  <c r="J10" i="109"/>
  <c r="J17" i="109"/>
  <c r="J30" i="109"/>
  <c r="K19" i="106"/>
  <c r="L19" i="106" s="1"/>
  <c r="K24" i="106"/>
  <c r="L24" i="106" s="1"/>
  <c r="G33" i="116"/>
  <c r="H33" i="116" s="1"/>
  <c r="G37" i="116"/>
  <c r="H37" i="116" s="1"/>
  <c r="P8" i="109"/>
  <c r="P39" i="109" s="1"/>
  <c r="J18" i="109"/>
  <c r="J25" i="109"/>
  <c r="J21" i="109"/>
  <c r="J29" i="109"/>
  <c r="J36" i="109"/>
  <c r="J22" i="109"/>
  <c r="J35" i="109"/>
  <c r="J15" i="109"/>
  <c r="J34" i="109"/>
  <c r="J23" i="109"/>
  <c r="K14" i="106"/>
  <c r="L14" i="106" s="1"/>
  <c r="K20" i="106"/>
  <c r="L20" i="106" s="1"/>
  <c r="G34" i="116"/>
  <c r="H34" i="116" s="1"/>
  <c r="H40" i="116" l="1"/>
  <c r="L40" i="106"/>
  <c r="O40" i="106" s="1"/>
  <c r="M13" i="109"/>
  <c r="M39" i="109"/>
  <c r="Q39" i="109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2" i="117"/>
  <c r="F26" i="117"/>
  <c r="F30" i="117"/>
  <c r="F6" i="117"/>
  <c r="K40" i="102"/>
  <c r="F25" i="117"/>
  <c r="F22" i="117"/>
  <c r="R39" i="109" l="1"/>
  <c r="H32" i="117"/>
  <c r="Q24" i="109"/>
  <c r="R24" i="109" s="1"/>
  <c r="Q13" i="109"/>
  <c r="H6" i="117" s="1"/>
  <c r="F23" i="117"/>
  <c r="F8" i="117"/>
  <c r="F10" i="117"/>
  <c r="F18" i="117"/>
  <c r="F21" i="117"/>
  <c r="F12" i="117"/>
  <c r="F13" i="117"/>
  <c r="F15" i="117"/>
  <c r="Q32" i="109"/>
  <c r="Q29" i="109"/>
  <c r="Q21" i="109"/>
  <c r="Q28" i="109"/>
  <c r="Q9" i="109"/>
  <c r="Q31" i="109"/>
  <c r="Q20" i="109"/>
  <c r="Q17" i="109"/>
  <c r="Q35" i="109"/>
  <c r="Q14" i="109"/>
  <c r="Q38" i="109"/>
  <c r="Q34" i="109"/>
  <c r="Q19" i="109"/>
  <c r="Q26" i="109"/>
  <c r="Q16" i="109"/>
  <c r="Q12" i="109"/>
  <c r="Q36" i="109"/>
  <c r="Q18" i="109"/>
  <c r="Q22" i="109"/>
  <c r="Q33" i="109"/>
  <c r="Q15" i="109"/>
  <c r="Q27" i="109"/>
  <c r="Q25" i="109"/>
  <c r="Q30" i="109"/>
  <c r="Q23" i="109"/>
  <c r="Q11" i="109"/>
  <c r="Q10" i="109"/>
  <c r="Q37" i="109"/>
  <c r="P39" i="102"/>
  <c r="H17" i="117" l="1"/>
  <c r="R13" i="109"/>
  <c r="R32" i="109"/>
  <c r="H25" i="117"/>
  <c r="H27" i="117"/>
  <c r="R34" i="109"/>
  <c r="R38" i="109"/>
  <c r="H31" i="117"/>
  <c r="R14" i="109"/>
  <c r="H7" i="117"/>
  <c r="H26" i="117"/>
  <c r="R33" i="109"/>
  <c r="R20" i="109"/>
  <c r="H13" i="117"/>
  <c r="H2" i="117"/>
  <c r="R9" i="109"/>
  <c r="H12" i="117"/>
  <c r="R19" i="109"/>
  <c r="R30" i="109"/>
  <c r="H23" i="117"/>
  <c r="H18" i="117"/>
  <c r="R25" i="109"/>
  <c r="R15" i="109"/>
  <c r="H8" i="117"/>
  <c r="R18" i="109"/>
  <c r="H11" i="117"/>
  <c r="H5" i="117"/>
  <c r="R12" i="109"/>
  <c r="R28" i="109"/>
  <c r="H21" i="117"/>
  <c r="H28" i="117"/>
  <c r="R35" i="109"/>
  <c r="H15" i="117"/>
  <c r="R22" i="109"/>
  <c r="H29" i="117"/>
  <c r="R36" i="109"/>
  <c r="H3" i="117"/>
  <c r="R10" i="109"/>
  <c r="R16" i="109"/>
  <c r="H9" i="117"/>
  <c r="H14" i="117"/>
  <c r="R21" i="109"/>
  <c r="H16" i="117"/>
  <c r="R23" i="109"/>
  <c r="R27" i="109"/>
  <c r="H20" i="117"/>
  <c r="R17" i="109"/>
  <c r="H10" i="117"/>
  <c r="R31" i="109"/>
  <c r="H24" i="117"/>
  <c r="R37" i="109"/>
  <c r="H30" i="117"/>
  <c r="H4" i="117"/>
  <c r="R11" i="109"/>
  <c r="R26" i="109"/>
  <c r="H19" i="117"/>
  <c r="R29" i="109"/>
  <c r="H22" i="117"/>
  <c r="R40" i="109" l="1"/>
</calcChain>
</file>

<file path=xl/sharedStrings.xml><?xml version="1.0" encoding="utf-8"?>
<sst xmlns="http://schemas.openxmlformats.org/spreadsheetml/2006/main" count="119" uniqueCount="59">
  <si>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</si>
  <si>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</si>
  <si>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</si>
  <si>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</si>
  <si>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</si>
  <si>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</si>
  <si>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</si>
  <si>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</si>
  <si>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</si>
  <si>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</si>
  <si>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</si>
  <si>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</si>
  <si>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</si>
  <si>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</si>
  <si>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</si>
  <si>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</si>
  <si>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</si>
  <si>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</si>
  <si>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</si>
  <si>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</si>
  <si>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</si>
  <si>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</si>
  <si>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</si>
  <si>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</si>
  <si>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</si>
  <si>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</si>
  <si>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</si>
  <si>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</si>
  <si>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</si>
  <si>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</si>
  <si>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</si>
  <si>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</si>
  <si>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</si>
  <si>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</si>
  <si>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</si>
  <si>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</si>
  <si>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</si>
  <si>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</si>
  <si>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</si>
  <si>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</si>
  <si>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</si>
  <si>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</si>
  <si>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</si>
  <si>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</si>
  <si>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</si>
  <si>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</si>
  <si>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</si>
  <si>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</si>
  <si>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</si>
  <si>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</si>
  <si>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</si>
  <si>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</si>
  <si>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</si>
  <si>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</si>
  <si>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</si>
  <si>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</si>
  <si>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</si>
  <si>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</si>
  <si>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Total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</si>
</sst>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43" fontId="4" fillId="0" borderId="1" xfId="1" applyNumberFormat="1" applyFont="1" applyFill="1" applyBorder="1" applyAlignment="1">
      <alignment horizontal="center"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 applyBorder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0" fontId="5" fillId="0" borderId="0" xfId="0" applyFont="1"/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41" fontId="0" fillId="0" borderId="0" xfId="0" applyNumberFormat="1" applyAlignment="1"/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13" workbookViewId="0">
      <selection activeCell="M24" sqref="M2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7</v>
      </c>
      <c r="D2" s="64">
        <v>2021</v>
      </c>
      <c r="E2" s="66">
        <f>Electricity!F8+Electricity!I8</f>
        <v>7919.9999999999018</v>
      </c>
      <c r="F2" s="67">
        <f>Electricity!L8/TOTAL!E2</f>
        <v>1232.5326388888909</v>
      </c>
      <c r="G2" s="66">
        <f>Gas!F9+Gas!I9+Gas!L9+Gas!O9</f>
        <v>72.272760000000289</v>
      </c>
      <c r="H2" s="67">
        <f>Gas!Q9/TOTAL!G2</f>
        <v>12979.999999999998</v>
      </c>
      <c r="I2" s="66">
        <f>'Fuel Diesel'!F9</f>
        <v>68</v>
      </c>
      <c r="J2" s="68">
        <f>'Fuel Diesel'!G9/'Fuel Diesel'!F9</f>
        <v>10700</v>
      </c>
      <c r="K2" s="66">
        <f>Water!E9+Water!G9+Water!I9</f>
        <v>350</v>
      </c>
      <c r="L2" s="67">
        <f>Water!K9/TOTAL!K2</f>
        <v>4000</v>
      </c>
      <c r="M2" s="66">
        <f>Electricity!C8</f>
        <v>13</v>
      </c>
      <c r="N2" s="66">
        <f>Electricity!D8</f>
        <v>68</v>
      </c>
    </row>
    <row r="3" spans="1:14" ht="15" x14ac:dyDescent="0.25">
      <c r="A3" s="63" t="s">
        <v>56</v>
      </c>
      <c r="B3" s="64">
        <f>B2+1</f>
        <v>2</v>
      </c>
      <c r="C3" s="65">
        <v>7</v>
      </c>
      <c r="D3" s="64">
        <v>2021</v>
      </c>
      <c r="E3" s="66">
        <f>Electricity!F9+Electricity!I9</f>
        <v>7920.0000000000164</v>
      </c>
      <c r="F3" s="67">
        <f>Electricity!L9/TOTAL!E3</f>
        <v>1225.3416666666658</v>
      </c>
      <c r="G3" s="66">
        <f>Gas!F10+Gas!I10+Gas!L10+Gas!O10</f>
        <v>65.827960000002477</v>
      </c>
      <c r="H3" s="67">
        <f>Gas!Q10/TOTAL!G3</f>
        <v>12980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375</v>
      </c>
      <c r="L3" s="67">
        <f>Water!K10/TOTAL!K3</f>
        <v>4000</v>
      </c>
      <c r="M3" s="66">
        <f>Electricity!C9</f>
        <v>7</v>
      </c>
      <c r="N3" s="66">
        <f>Electricity!D9</f>
        <v>70</v>
      </c>
    </row>
    <row r="4" spans="1:14" ht="15" x14ac:dyDescent="0.25">
      <c r="A4" s="63" t="s">
        <v>56</v>
      </c>
      <c r="B4" s="64">
        <f t="shared" ref="B4:B30" si="0">B3+1</f>
        <v>3</v>
      </c>
      <c r="C4" s="65">
        <v>7</v>
      </c>
      <c r="D4" s="64">
        <v>2021</v>
      </c>
      <c r="E4" s="66">
        <f>Electricity!F10+Electricity!I10</f>
        <v>7580.0000000000409</v>
      </c>
      <c r="F4" s="67">
        <f>Electricity!L10/TOTAL!E4</f>
        <v>1221.6987467018482</v>
      </c>
      <c r="G4" s="66">
        <f>Gas!F11+Gas!I11+Gas!L11+Gas!O11</f>
        <v>53.09947999999941</v>
      </c>
      <c r="H4" s="67">
        <f>Gas!Q11/TOTAL!G4</f>
        <v>12980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353</v>
      </c>
      <c r="L4" s="67">
        <f>Water!K11/TOTAL!K4</f>
        <v>4000</v>
      </c>
      <c r="M4" s="66">
        <f>Electricity!C10</f>
        <v>8</v>
      </c>
      <c r="N4" s="66">
        <f>Electricity!D10</f>
        <v>34</v>
      </c>
    </row>
    <row r="5" spans="1:14" ht="15" x14ac:dyDescent="0.25">
      <c r="A5" s="63" t="s">
        <v>56</v>
      </c>
      <c r="B5" s="64">
        <f t="shared" si="0"/>
        <v>4</v>
      </c>
      <c r="C5" s="65">
        <v>7</v>
      </c>
      <c r="D5" s="64">
        <v>2021</v>
      </c>
      <c r="E5" s="66">
        <f>Electricity!F11+Electricity!I11</f>
        <v>6900.0000000001473</v>
      </c>
      <c r="F5" s="67">
        <f>Electricity!L11/TOTAL!E5</f>
        <v>1226.5422463768102</v>
      </c>
      <c r="G5" s="66">
        <f>Gas!F12+Gas!I12+Gas!L12+Gas!O12</f>
        <v>56.603839999998968</v>
      </c>
      <c r="H5" s="67">
        <f>Gas!Q12/TOTAL!G5</f>
        <v>12979.999999999998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371</v>
      </c>
      <c r="L5" s="67">
        <f>Water!K12/TOTAL!K5</f>
        <v>4000</v>
      </c>
      <c r="M5" s="66">
        <f>Electricity!C11</f>
        <v>4</v>
      </c>
      <c r="N5" s="66">
        <f>Electricity!D11</f>
        <v>34</v>
      </c>
    </row>
    <row r="6" spans="1:14" ht="15" x14ac:dyDescent="0.25">
      <c r="A6" s="63" t="s">
        <v>56</v>
      </c>
      <c r="B6" s="64">
        <f t="shared" si="0"/>
        <v>5</v>
      </c>
      <c r="C6" s="65">
        <v>7</v>
      </c>
      <c r="D6" s="64">
        <v>2021</v>
      </c>
      <c r="E6" s="66">
        <f>Electricity!F12+Electricity!I12</f>
        <v>6799.9999999997835</v>
      </c>
      <c r="F6" s="67">
        <f>Electricity!L12/TOTAL!E6</f>
        <v>1231.1790441176474</v>
      </c>
      <c r="G6" s="66">
        <f>Gas!F13+Gas!I13+Gas!L13+Gas!O13</f>
        <v>56.523280000000874</v>
      </c>
      <c r="H6" s="67">
        <f>Gas!Q13/TOTAL!G6</f>
        <v>12980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390</v>
      </c>
      <c r="L6" s="67">
        <f>Water!K13/TOTAL!K6</f>
        <v>4000</v>
      </c>
      <c r="M6" s="66">
        <f>Electricity!C12</f>
        <v>4</v>
      </c>
      <c r="N6" s="66">
        <f>Electricity!D12</f>
        <v>12</v>
      </c>
    </row>
    <row r="7" spans="1:14" ht="15" x14ac:dyDescent="0.25">
      <c r="A7" s="63" t="s">
        <v>56</v>
      </c>
      <c r="B7" s="64">
        <f t="shared" si="0"/>
        <v>6</v>
      </c>
      <c r="C7" s="65">
        <v>7</v>
      </c>
      <c r="D7" s="64">
        <v>2021</v>
      </c>
      <c r="E7" s="66">
        <f>Electricity!F13+Electricity!I13</f>
        <v>6400.0000000000346</v>
      </c>
      <c r="F7" s="67">
        <f>Electricity!L13/TOTAL!E7</f>
        <v>1222.6989843749993</v>
      </c>
      <c r="G7" s="66">
        <f>Gas!F14+Gas!I14+Gas!L14+Gas!O14</f>
        <v>48.265880000000145</v>
      </c>
      <c r="H7" s="67">
        <f>Gas!Q14/TOTAL!G7</f>
        <v>12980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357</v>
      </c>
      <c r="L7" s="67">
        <f>Water!K14/TOTAL!K7</f>
        <v>4000</v>
      </c>
      <c r="M7" s="66">
        <f>Electricity!C13</f>
        <v>2</v>
      </c>
      <c r="N7" s="66">
        <f>Electricity!D13</f>
        <v>14</v>
      </c>
    </row>
    <row r="8" spans="1:14" ht="15" x14ac:dyDescent="0.25">
      <c r="A8" s="63" t="s">
        <v>56</v>
      </c>
      <c r="B8" s="64">
        <f t="shared" si="0"/>
        <v>7</v>
      </c>
      <c r="C8" s="65">
        <v>7</v>
      </c>
      <c r="D8" s="64">
        <v>2021</v>
      </c>
      <c r="E8" s="66">
        <f>Electricity!F14+Electricity!I14</f>
        <v>5759.9999999999909</v>
      </c>
      <c r="F8" s="67">
        <f>Electricity!L14/TOTAL!E8</f>
        <v>1233.9708333333372</v>
      </c>
      <c r="G8" s="66">
        <f>Gas!F15+Gas!I15+Gas!L15+Gas!O15</f>
        <v>57.933079999998675</v>
      </c>
      <c r="H8" s="67">
        <f>Gas!Q15/TOTAL!G8</f>
        <v>12979.999999999998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333</v>
      </c>
      <c r="L8" s="67">
        <f>Water!K15/TOTAL!K8</f>
        <v>4000</v>
      </c>
      <c r="M8" s="66">
        <f>Electricity!C14</f>
        <v>2</v>
      </c>
      <c r="N8" s="66">
        <f>Electricity!D14</f>
        <v>22</v>
      </c>
    </row>
    <row r="9" spans="1:14" ht="15" x14ac:dyDescent="0.25">
      <c r="A9" s="63" t="s">
        <v>56</v>
      </c>
      <c r="B9" s="64">
        <f t="shared" si="0"/>
        <v>8</v>
      </c>
      <c r="C9" s="65">
        <v>7</v>
      </c>
      <c r="D9" s="64">
        <v>2021</v>
      </c>
      <c r="E9" s="66">
        <f>Electricity!F15+Electricity!I15</f>
        <v>6000</v>
      </c>
      <c r="F9" s="67">
        <f>Electricity!L15/TOTAL!E9</f>
        <v>1233.9708333333335</v>
      </c>
      <c r="G9" s="66">
        <f>Gas!F16+Gas!I16+Gas!L16+Gas!O16</f>
        <v>49.514560000001758</v>
      </c>
      <c r="H9" s="67">
        <f>Gas!Q16/TOTAL!G9</f>
        <v>12979.999999999998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318</v>
      </c>
      <c r="L9" s="67">
        <f>Water!K16/TOTAL!K9</f>
        <v>4000</v>
      </c>
      <c r="M9" s="66">
        <f>Electricity!C15</f>
        <v>2</v>
      </c>
      <c r="N9" s="66">
        <f>Electricity!D15</f>
        <v>11</v>
      </c>
    </row>
    <row r="10" spans="1:14" ht="15" x14ac:dyDescent="0.25">
      <c r="A10" s="63" t="s">
        <v>56</v>
      </c>
      <c r="B10" s="64">
        <f t="shared" si="0"/>
        <v>9</v>
      </c>
      <c r="C10" s="65">
        <v>7</v>
      </c>
      <c r="D10" s="64">
        <v>2021</v>
      </c>
      <c r="E10" s="66">
        <f>Electricity!F16+Electricity!I16</f>
        <v>6019.9999999999818</v>
      </c>
      <c r="F10" s="67">
        <f>Electricity!L16/TOTAL!E10</f>
        <v>1235.5475913621251</v>
      </c>
      <c r="G10" s="66">
        <f>Gas!F17+Gas!I17+Gas!L17+Gas!O17</f>
        <v>49.957640000000438</v>
      </c>
      <c r="H10" s="67">
        <f>Gas!Q17/TOTAL!G10</f>
        <v>12979.999999999998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372</v>
      </c>
      <c r="L10" s="67">
        <f>Water!K17/TOTAL!K10</f>
        <v>4000</v>
      </c>
      <c r="M10" s="66">
        <f>Electricity!C16</f>
        <v>6</v>
      </c>
      <c r="N10" s="66">
        <f>Electricity!D16</f>
        <v>15</v>
      </c>
    </row>
    <row r="11" spans="1:14" ht="15" x14ac:dyDescent="0.25">
      <c r="A11" s="63" t="s">
        <v>56</v>
      </c>
      <c r="B11" s="64">
        <f t="shared" si="0"/>
        <v>10</v>
      </c>
      <c r="C11" s="65">
        <v>7</v>
      </c>
      <c r="D11" s="64">
        <v>2021</v>
      </c>
      <c r="E11" s="66">
        <f>Electricity!F17+Electricity!I17</f>
        <v>5900.0000000001473</v>
      </c>
      <c r="F11" s="67">
        <f>Electricity!L17/TOTAL!E11</f>
        <v>1239.4408474576269</v>
      </c>
      <c r="G11" s="66">
        <f>Gas!F18+Gas!I18+Gas!L18+Gas!O18</f>
        <v>48.990919999997651</v>
      </c>
      <c r="H11" s="67">
        <f>Gas!Q18/TOTAL!G11</f>
        <v>12980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400</v>
      </c>
      <c r="L11" s="67">
        <f>Water!K18/TOTAL!K11</f>
        <v>4982.1549999999997</v>
      </c>
      <c r="M11" s="66">
        <f>Electricity!C17</f>
        <v>5</v>
      </c>
      <c r="N11" s="66">
        <f>Electricity!D17</f>
        <v>21</v>
      </c>
    </row>
    <row r="12" spans="1:14" ht="15" x14ac:dyDescent="0.25">
      <c r="A12" s="63" t="s">
        <v>56</v>
      </c>
      <c r="B12" s="64">
        <f t="shared" si="0"/>
        <v>11</v>
      </c>
      <c r="C12" s="65">
        <v>7</v>
      </c>
      <c r="D12" s="64">
        <v>2021</v>
      </c>
      <c r="E12" s="66">
        <f>Electricity!F18+Electricity!I18</f>
        <v>6239.9999999999527</v>
      </c>
      <c r="F12" s="67">
        <f>Electricity!L18/TOTAL!E12</f>
        <v>1224.8438301282054</v>
      </c>
      <c r="G12" s="66">
        <f>Gas!F19+Gas!I19+Gas!L19+Gas!O19</f>
        <v>47.863080000002341</v>
      </c>
      <c r="H12" s="67">
        <f>Gas!Q19/TOTAL!G12</f>
        <v>12979.999999999998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340</v>
      </c>
      <c r="L12" s="67">
        <f>Water!K19/TOTAL!K12</f>
        <v>4000</v>
      </c>
      <c r="M12" s="66">
        <f>Electricity!C18</f>
        <v>2</v>
      </c>
      <c r="N12" s="66">
        <f>Electricity!D18</f>
        <v>32</v>
      </c>
    </row>
    <row r="13" spans="1:14" ht="15" x14ac:dyDescent="0.25">
      <c r="A13" s="63" t="s">
        <v>56</v>
      </c>
      <c r="B13" s="64">
        <f t="shared" si="0"/>
        <v>12</v>
      </c>
      <c r="C13" s="65">
        <v>7</v>
      </c>
      <c r="D13" s="64">
        <v>2021</v>
      </c>
      <c r="E13" s="66">
        <f>Electricity!F19+Electricity!I19</f>
        <v>6179.9999999998927</v>
      </c>
      <c r="F13" s="67">
        <f>Electricity!L19/TOTAL!E13</f>
        <v>1236.735517799355</v>
      </c>
      <c r="G13" s="66">
        <f>Gas!F20+Gas!I20+Gas!L20+Gas!O20</f>
        <v>53.54255999999809</v>
      </c>
      <c r="H13" s="67">
        <f>Gas!Q20/TOTAL!G13</f>
        <v>12980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347</v>
      </c>
      <c r="L13" s="67">
        <f>Water!K20/TOTAL!K13</f>
        <v>4000</v>
      </c>
      <c r="M13" s="66">
        <f>Electricity!C19</f>
        <v>1</v>
      </c>
      <c r="N13" s="66">
        <f>Electricity!D19</f>
        <v>4</v>
      </c>
    </row>
    <row r="14" spans="1:14" ht="15" x14ac:dyDescent="0.25">
      <c r="A14" s="63" t="s">
        <v>56</v>
      </c>
      <c r="B14" s="64">
        <f t="shared" si="0"/>
        <v>13</v>
      </c>
      <c r="C14" s="65">
        <v>7</v>
      </c>
      <c r="D14" s="64">
        <v>2021</v>
      </c>
      <c r="E14" s="66">
        <f>Electricity!F20+Electricity!I20</f>
        <v>6000.000000000171</v>
      </c>
      <c r="F14" s="67">
        <f>Electricity!L20/TOTAL!E14</f>
        <v>1230.1739999999954</v>
      </c>
      <c r="G14" s="66">
        <f>Gas!F21+Gas!I21+Gas!L21+Gas!O21</f>
        <v>53.260599999999265</v>
      </c>
      <c r="H14" s="67">
        <f>Gas!Q21/TOTAL!G14</f>
        <v>12980</v>
      </c>
      <c r="I14" s="66">
        <f>'Fuel Diesel'!F21</f>
        <v>12</v>
      </c>
      <c r="J14" s="68">
        <f>'Fuel Diesel'!G21/'Fuel Diesel'!F21</f>
        <v>10700</v>
      </c>
      <c r="K14" s="66">
        <f>Water!E21+Water!G21+Water!I21</f>
        <v>352</v>
      </c>
      <c r="L14" s="67">
        <f>Water!K21/TOTAL!K14</f>
        <v>4000</v>
      </c>
      <c r="M14" s="66">
        <f>Electricity!C20</f>
        <v>2</v>
      </c>
      <c r="N14" s="66">
        <f>Electricity!D20</f>
        <v>22</v>
      </c>
    </row>
    <row r="15" spans="1:14" ht="15" x14ac:dyDescent="0.25">
      <c r="A15" s="63" t="s">
        <v>56</v>
      </c>
      <c r="B15" s="64">
        <f t="shared" si="0"/>
        <v>14</v>
      </c>
      <c r="C15" s="65">
        <v>7</v>
      </c>
      <c r="D15" s="64">
        <v>2021</v>
      </c>
      <c r="E15" s="66">
        <f>Electricity!F21+Electricity!I21</f>
        <v>5959.9999999998654</v>
      </c>
      <c r="F15" s="67">
        <f>Electricity!L21/TOTAL!E15</f>
        <v>1217.407466442954</v>
      </c>
      <c r="G15" s="66">
        <f>Gas!F22+Gas!I22+Gas!L22+Gas!O22</f>
        <v>54.146760000000292</v>
      </c>
      <c r="H15" s="67">
        <f>Gas!Q22/TOTAL!G15</f>
        <v>12980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317</v>
      </c>
      <c r="L15" s="67">
        <f>Water!K22/TOTAL!K15</f>
        <v>4000</v>
      </c>
      <c r="M15" s="66">
        <f>Electricity!C21</f>
        <v>4</v>
      </c>
      <c r="N15" s="66">
        <f>Electricity!D21</f>
        <v>27</v>
      </c>
    </row>
    <row r="16" spans="1:14" ht="15" x14ac:dyDescent="0.25">
      <c r="A16" s="63" t="s">
        <v>56</v>
      </c>
      <c r="B16" s="64">
        <f t="shared" si="0"/>
        <v>15</v>
      </c>
      <c r="C16" s="65">
        <v>7</v>
      </c>
      <c r="D16" s="64">
        <v>2021</v>
      </c>
      <c r="E16" s="66">
        <f>Electricity!F22+Electricity!I22</f>
        <v>5599.9999999999654</v>
      </c>
      <c r="F16" s="67">
        <f>Electricity!L22/TOTAL!E16</f>
        <v>1222.444732142857</v>
      </c>
      <c r="G16" s="66">
        <f>Gas!F23+Gas!I23+Gas!L23+Gas!O23</f>
        <v>60.22904000000117</v>
      </c>
      <c r="H16" s="67">
        <f>Gas!Q23/TOTAL!G16</f>
        <v>12980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460</v>
      </c>
      <c r="L16" s="67">
        <f>Water!K23/TOTAL!K16</f>
        <v>4000</v>
      </c>
      <c r="M16" s="66">
        <f>Electricity!C22</f>
        <v>3</v>
      </c>
      <c r="N16" s="66">
        <f>Electricity!D22</f>
        <v>32</v>
      </c>
    </row>
    <row r="17" spans="1:14" ht="15" x14ac:dyDescent="0.25">
      <c r="A17" s="63" t="s">
        <v>56</v>
      </c>
      <c r="B17" s="64">
        <f t="shared" si="0"/>
        <v>16</v>
      </c>
      <c r="C17" s="65">
        <v>7</v>
      </c>
      <c r="D17" s="64">
        <v>2021</v>
      </c>
      <c r="E17" s="66">
        <f>Electricity!F23+Electricity!I23</f>
        <v>5040.0000000001346</v>
      </c>
      <c r="F17" s="67">
        <f>Electricity!L23/TOTAL!E17</f>
        <v>1240.750892857144</v>
      </c>
      <c r="G17" s="66">
        <f>Gas!F24+Gas!I24+Gas!L24+Gas!O24</f>
        <v>56.442719999999113</v>
      </c>
      <c r="H17" s="67">
        <f>Gas!Q24/TOTAL!G17</f>
        <v>12979.999999999998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334</v>
      </c>
      <c r="L17" s="67">
        <f>Water!K24/TOTAL!K17</f>
        <v>4000</v>
      </c>
      <c r="M17" s="66">
        <f>Electricity!C23</f>
        <v>2</v>
      </c>
      <c r="N17" s="66">
        <f>Electricity!D23</f>
        <v>13</v>
      </c>
    </row>
    <row r="18" spans="1:14" ht="15" x14ac:dyDescent="0.25">
      <c r="A18" s="63" t="s">
        <v>56</v>
      </c>
      <c r="B18" s="64">
        <f t="shared" si="0"/>
        <v>17</v>
      </c>
      <c r="C18" s="65">
        <v>7</v>
      </c>
      <c r="D18" s="64">
        <v>2021</v>
      </c>
      <c r="E18" s="66">
        <f>Electricity!F24+Electricity!I24</f>
        <v>5559.9999999998317</v>
      </c>
      <c r="F18" s="67">
        <f>Electricity!L24/TOTAL!E18</f>
        <v>1233.2879496402866</v>
      </c>
      <c r="G18" s="66">
        <f>Gas!F25+Gas!I25+Gas!L25+Gas!O25</f>
        <v>52.857800000001461</v>
      </c>
      <c r="H18" s="67">
        <f>Gas!Q25/TOTAL!G18</f>
        <v>12980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224</v>
      </c>
      <c r="L18" s="67">
        <f>Water!K25/TOTAL!K18</f>
        <v>4000</v>
      </c>
      <c r="M18" s="66">
        <f>Electricity!C24</f>
        <v>4</v>
      </c>
      <c r="N18" s="66">
        <f>Electricity!D24</f>
        <v>15</v>
      </c>
    </row>
    <row r="19" spans="1:14" ht="15" x14ac:dyDescent="0.25">
      <c r="A19" s="63" t="s">
        <v>56</v>
      </c>
      <c r="B19" s="64">
        <f t="shared" si="0"/>
        <v>18</v>
      </c>
      <c r="C19" s="65">
        <v>7</v>
      </c>
      <c r="D19" s="64">
        <v>2021</v>
      </c>
      <c r="E19" s="66">
        <f>Electricity!F25+Electricity!I25</f>
        <v>5480.0000000001892</v>
      </c>
      <c r="F19" s="67">
        <f>Electricity!L25/TOTAL!E19</f>
        <v>1232.5851277372265</v>
      </c>
      <c r="G19" s="66">
        <f>Gas!F26+Gas!I26+Gas!L26+Gas!O26</f>
        <v>89.794559999998086</v>
      </c>
      <c r="H19" s="67">
        <f>Gas!Q26/TOTAL!G19</f>
        <v>12980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306</v>
      </c>
      <c r="L19" s="67">
        <f>Water!K26/TOTAL!K19</f>
        <v>4000</v>
      </c>
      <c r="M19" s="66">
        <f>Electricity!C25</f>
        <v>3</v>
      </c>
      <c r="N19" s="66">
        <f>Electricity!D25</f>
        <v>19</v>
      </c>
    </row>
    <row r="20" spans="1:14" ht="15" x14ac:dyDescent="0.25">
      <c r="A20" s="63" t="s">
        <v>56</v>
      </c>
      <c r="B20" s="64">
        <f t="shared" si="0"/>
        <v>19</v>
      </c>
      <c r="C20" s="65">
        <v>7</v>
      </c>
      <c r="D20" s="64">
        <v>2021</v>
      </c>
      <c r="E20" s="66">
        <f>Electricity!F26+Electricity!I26</f>
        <v>5939.9999999999982</v>
      </c>
      <c r="F20" s="67">
        <f>Electricity!L26/TOTAL!E20</f>
        <v>1233.0120370370335</v>
      </c>
      <c r="G20" s="66">
        <f>Gas!F27+Gas!I27+Gas!L27+Gas!O27</f>
        <v>55.999640000000433</v>
      </c>
      <c r="H20" s="67">
        <f>Gas!Q27/TOTAL!G20</f>
        <v>12979.999999999998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266</v>
      </c>
      <c r="L20" s="67">
        <f>Water!K27/TOTAL!K20</f>
        <v>4000</v>
      </c>
      <c r="M20" s="66">
        <f>Electricity!C26</f>
        <v>3</v>
      </c>
      <c r="N20" s="66">
        <f>Electricity!D26</f>
        <v>19</v>
      </c>
    </row>
    <row r="21" spans="1:14" ht="15" x14ac:dyDescent="0.25">
      <c r="A21" s="63" t="s">
        <v>56</v>
      </c>
      <c r="B21" s="64">
        <f t="shared" si="0"/>
        <v>20</v>
      </c>
      <c r="C21" s="65">
        <v>7</v>
      </c>
      <c r="D21" s="64">
        <v>2021</v>
      </c>
      <c r="E21" s="66">
        <f>Electricity!F27+Electricity!I27</f>
        <v>5679.9999999998363</v>
      </c>
      <c r="F21" s="67">
        <f>Electricity!L27/TOTAL!E21</f>
        <v>1239.3184859154958</v>
      </c>
      <c r="G21" s="66">
        <f>Gas!F28+Gas!I28+Gas!L28+Gas!O28</f>
        <v>37.873640000000435</v>
      </c>
      <c r="H21" s="67">
        <f>Gas!Q28/TOTAL!G21</f>
        <v>12980.000000000002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274</v>
      </c>
      <c r="L21" s="67">
        <f>Water!K28/TOTAL!K21</f>
        <v>4000</v>
      </c>
      <c r="M21" s="66">
        <f>Electricity!C27</f>
        <v>3</v>
      </c>
      <c r="N21" s="66">
        <f>Electricity!D27</f>
        <v>23</v>
      </c>
    </row>
    <row r="22" spans="1:14" ht="15" x14ac:dyDescent="0.25">
      <c r="A22" s="63" t="s">
        <v>56</v>
      </c>
      <c r="B22" s="64">
        <f t="shared" si="0"/>
        <v>21</v>
      </c>
      <c r="C22" s="65">
        <v>7</v>
      </c>
      <c r="D22" s="64">
        <v>2021</v>
      </c>
      <c r="E22" s="66">
        <f>Electricity!F28+Electricity!I28</f>
        <v>6060.0000000000018</v>
      </c>
      <c r="F22" s="67">
        <f>Electricity!L28/TOTAL!E22</f>
        <v>1234.9106435643603</v>
      </c>
      <c r="G22" s="66">
        <f>Gas!F29+Gas!I29+Gas!L29+Gas!O29</f>
        <v>55.999640000000433</v>
      </c>
      <c r="H22" s="67">
        <f>Gas!Q29/TOTAL!G22</f>
        <v>12979.999999999998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284</v>
      </c>
      <c r="L22" s="67">
        <f>Water!K29/TOTAL!K22</f>
        <v>4000</v>
      </c>
      <c r="M22" s="66">
        <f>Electricity!C28</f>
        <v>4</v>
      </c>
      <c r="N22" s="66">
        <f>Electricity!D28</f>
        <v>15</v>
      </c>
    </row>
    <row r="23" spans="1:14" ht="15" x14ac:dyDescent="0.25">
      <c r="A23" s="63" t="s">
        <v>56</v>
      </c>
      <c r="B23" s="64">
        <f t="shared" si="0"/>
        <v>22</v>
      </c>
      <c r="C23" s="65">
        <v>7</v>
      </c>
      <c r="D23" s="64">
        <v>2021</v>
      </c>
      <c r="E23" s="66">
        <f>Electricity!F29+Electricity!I29</f>
        <v>5740.0000000001801</v>
      </c>
      <c r="F23" s="67">
        <f>Electricity!L29/TOTAL!E23</f>
        <v>1236.2859756097491</v>
      </c>
      <c r="G23" s="66">
        <f>Gas!F30+Gas!I30+Gas!L30+Gas!O30</f>
        <v>66.190479999999411</v>
      </c>
      <c r="H23" s="67">
        <f>Gas!Q30/TOTAL!G23</f>
        <v>12979.999999999998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301</v>
      </c>
      <c r="L23" s="67">
        <f>Water!K30/TOTAL!K23</f>
        <v>4000</v>
      </c>
      <c r="M23" s="66">
        <f>Electricity!C29</f>
        <v>0</v>
      </c>
      <c r="N23" s="66">
        <f>Electricity!D29</f>
        <v>0</v>
      </c>
    </row>
    <row r="24" spans="1:14" ht="15" x14ac:dyDescent="0.25">
      <c r="A24" s="63" t="s">
        <v>56</v>
      </c>
      <c r="B24" s="64">
        <f t="shared" si="0"/>
        <v>23</v>
      </c>
      <c r="C24" s="65">
        <v>7</v>
      </c>
      <c r="D24" s="64">
        <v>2021</v>
      </c>
      <c r="E24" s="66">
        <f>Electricity!F30+Electricity!I30</f>
        <v>5839.9999999999181</v>
      </c>
      <c r="F24" s="67">
        <f>Electricity!L30/TOTAL!E24</f>
        <v>1232.6705479452107</v>
      </c>
      <c r="G24" s="66">
        <f>Gas!F31+Gas!I31+Gas!L31+Gas!O31</f>
        <v>38.840359999999556</v>
      </c>
      <c r="H24" s="67">
        <f>Gas!Q31/TOTAL!G24</f>
        <v>12980</v>
      </c>
      <c r="I24" s="66">
        <f>'Fuel Diesel'!F31</f>
        <v>13</v>
      </c>
      <c r="J24" s="68">
        <f>'Fuel Diesel'!G31/'Fuel Diesel'!F31</f>
        <v>10700</v>
      </c>
      <c r="K24" s="66">
        <f>Water!E31+Water!G31+Water!I31</f>
        <v>283</v>
      </c>
      <c r="L24" s="67">
        <f>Water!K31/TOTAL!K24</f>
        <v>4000</v>
      </c>
      <c r="M24" s="66">
        <f>Electricity!C30</f>
        <v>0</v>
      </c>
      <c r="N24" s="66">
        <f>Electricity!D30</f>
        <v>0</v>
      </c>
    </row>
    <row r="25" spans="1:14" ht="15" x14ac:dyDescent="0.25">
      <c r="A25" s="63" t="s">
        <v>56</v>
      </c>
      <c r="B25" s="64">
        <f t="shared" si="0"/>
        <v>24</v>
      </c>
      <c r="C25" s="65">
        <v>7</v>
      </c>
      <c r="D25" s="64">
        <v>2021</v>
      </c>
      <c r="E25" s="66">
        <f>Electricity!F31+Electricity!I31</f>
        <v>5240.0000000001228</v>
      </c>
      <c r="F25" s="67">
        <f>Electricity!L31/TOTAL!E25</f>
        <v>1232.5216603053429</v>
      </c>
      <c r="G25" s="66">
        <f>Gas!F32+Gas!I32+Gas!L32+Gas!O32</f>
        <v>52.65640000000073</v>
      </c>
      <c r="H25" s="67">
        <f>Gas!Q32/TOTAL!G25</f>
        <v>12980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265</v>
      </c>
      <c r="L25" s="67">
        <f>Water!K32/TOTAL!K25</f>
        <v>4000</v>
      </c>
      <c r="M25" s="66">
        <f>Electricity!C31</f>
        <v>0</v>
      </c>
      <c r="N25" s="66">
        <f>Electricity!D31</f>
        <v>0</v>
      </c>
    </row>
    <row r="26" spans="1:14" ht="15" x14ac:dyDescent="0.25">
      <c r="A26" s="63" t="s">
        <v>56</v>
      </c>
      <c r="B26" s="64">
        <f>B25+1</f>
        <v>25</v>
      </c>
      <c r="C26" s="65">
        <v>7</v>
      </c>
      <c r="D26" s="64">
        <v>2021</v>
      </c>
      <c r="E26" s="66">
        <f>Electricity!F32+Electricity!I32</f>
        <v>5419.9999999999591</v>
      </c>
      <c r="F26" s="67">
        <f>Electricity!L32/TOTAL!E26</f>
        <v>1233.6205719557181</v>
      </c>
      <c r="G26" s="66">
        <f>Gas!F33+Gas!I33+Gas!L33+Gas!O33</f>
        <v>44.519839999998972</v>
      </c>
      <c r="H26" s="67">
        <f>Gas!Q33/TOTAL!G26</f>
        <v>12980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288</v>
      </c>
      <c r="L26" s="67">
        <f>Water!K33/TOTAL!K26</f>
        <v>4000</v>
      </c>
      <c r="M26" s="66">
        <f>Electricity!C32</f>
        <v>0</v>
      </c>
      <c r="N26" s="66">
        <f>Electricity!D32</f>
        <v>0</v>
      </c>
    </row>
    <row r="27" spans="1:14" ht="15" x14ac:dyDescent="0.25">
      <c r="A27" s="63" t="s">
        <v>56</v>
      </c>
      <c r="B27" s="64">
        <f t="shared" si="0"/>
        <v>26</v>
      </c>
      <c r="C27" s="65">
        <v>7</v>
      </c>
      <c r="D27" s="64">
        <v>2021</v>
      </c>
      <c r="E27" s="66">
        <f>Electricity!F33+Electricity!I33</f>
        <v>5239.9999999998954</v>
      </c>
      <c r="F27" s="67">
        <f>Electricity!L33/TOTAL!E27</f>
        <v>1232.521660305347</v>
      </c>
      <c r="G27" s="66">
        <f>Gas!F34+Gas!I34+Gas!L34+Gas!O34</f>
        <v>30.905200000002196</v>
      </c>
      <c r="H27" s="67">
        <f>Gas!Q34/TOTAL!G27</f>
        <v>12980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282</v>
      </c>
      <c r="L27" s="67">
        <f>Water!K34/TOTAL!K27</f>
        <v>4000</v>
      </c>
      <c r="M27" s="66">
        <f>Electricity!C33</f>
        <v>0</v>
      </c>
      <c r="N27" s="66">
        <f>Electricity!D33</f>
        <v>0</v>
      </c>
    </row>
    <row r="28" spans="1:14" ht="15" x14ac:dyDescent="0.25">
      <c r="A28" s="63" t="s">
        <v>56</v>
      </c>
      <c r="B28" s="64">
        <f t="shared" si="0"/>
        <v>27</v>
      </c>
      <c r="C28" s="65">
        <v>7</v>
      </c>
      <c r="D28" s="64">
        <v>2021</v>
      </c>
      <c r="E28" s="66">
        <f>Electricity!F34+Electricity!I34</f>
        <v>5180.0000000001201</v>
      </c>
      <c r="F28" s="67">
        <f>Electricity!L34/TOTAL!E28</f>
        <v>1231.4054054054009</v>
      </c>
      <c r="G28" s="66">
        <f>Gas!F35+Gas!I35+Gas!L35+Gas!O35</f>
        <v>12.900039999997507</v>
      </c>
      <c r="H28" s="67">
        <f>Gas!Q35/TOTAL!G28</f>
        <v>12980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274</v>
      </c>
      <c r="L28" s="67">
        <f>Water!K35/TOTAL!K28</f>
        <v>4000</v>
      </c>
      <c r="M28" s="66">
        <f>Electricity!C34</f>
        <v>0</v>
      </c>
      <c r="N28" s="66">
        <f>Electricity!D34</f>
        <v>0</v>
      </c>
    </row>
    <row r="29" spans="1:14" ht="15" x14ac:dyDescent="0.25">
      <c r="A29" s="63" t="s">
        <v>56</v>
      </c>
      <c r="B29" s="64">
        <f t="shared" si="0"/>
        <v>28</v>
      </c>
      <c r="C29" s="65">
        <v>7</v>
      </c>
      <c r="D29" s="64">
        <v>2021</v>
      </c>
      <c r="E29" s="66">
        <f>Electricity!F35+Electricity!I35</f>
        <v>5359.9999999998436</v>
      </c>
      <c r="F29" s="67">
        <f>Electricity!L35/TOTAL!E29</f>
        <v>1234.6791977612006</v>
      </c>
      <c r="G29" s="66">
        <f>Gas!F36+Gas!I36+Gas!L36+Gas!O36</f>
        <v>37.752800000001464</v>
      </c>
      <c r="H29" s="67">
        <f>Gas!Q36/TOTAL!G29</f>
        <v>12980</v>
      </c>
      <c r="I29" s="66">
        <f>'Fuel Diesel'!F36</f>
        <v>14</v>
      </c>
      <c r="J29" s="68">
        <f>'Fuel Diesel'!G36/'Fuel Diesel'!F36</f>
        <v>10700</v>
      </c>
      <c r="K29" s="66">
        <f>Water!E36+Water!G36+Water!I36</f>
        <v>257</v>
      </c>
      <c r="L29" s="67">
        <f>Water!K36/TOTAL!K29</f>
        <v>4000</v>
      </c>
      <c r="M29" s="66">
        <f>Electricity!C35</f>
        <v>0</v>
      </c>
      <c r="N29" s="66">
        <f>Electricity!D35</f>
        <v>0</v>
      </c>
    </row>
    <row r="30" spans="1:14" ht="15" x14ac:dyDescent="0.25">
      <c r="A30" s="63" t="s">
        <v>56</v>
      </c>
      <c r="B30" s="64">
        <f t="shared" si="0"/>
        <v>29</v>
      </c>
      <c r="C30" s="65">
        <v>7</v>
      </c>
      <c r="D30" s="64">
        <v>2021</v>
      </c>
      <c r="E30" s="66">
        <f>Electricity!F36+Electricity!I36</f>
        <v>4799.9999999999545</v>
      </c>
      <c r="F30" s="67">
        <f>Electricity!L36/TOTAL!E30</f>
        <v>1233.970833333329</v>
      </c>
      <c r="G30" s="66">
        <f>Gas!F37+Gas!I37+Gas!L37+Gas!O37</f>
        <v>26.152160000001025</v>
      </c>
      <c r="H30" s="67">
        <f>Gas!Q37/TOTAL!G30</f>
        <v>12979.999999999998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229</v>
      </c>
      <c r="L30" s="67">
        <f>Water!K37/TOTAL!K30</f>
        <v>4000</v>
      </c>
      <c r="M30" s="66">
        <f>Electricity!C36</f>
        <v>0</v>
      </c>
      <c r="N30" s="66">
        <f>Electricity!D36</f>
        <v>0</v>
      </c>
    </row>
    <row r="31" spans="1:14" ht="15" x14ac:dyDescent="0.25">
      <c r="A31" s="63" t="s">
        <v>56</v>
      </c>
      <c r="B31" s="64">
        <f>B30+1</f>
        <v>30</v>
      </c>
      <c r="C31" s="65">
        <v>7</v>
      </c>
      <c r="D31" s="64">
        <v>2021</v>
      </c>
      <c r="E31" s="66">
        <f>Electricity!F37+Electricity!I37</f>
        <v>5220.000000000141</v>
      </c>
      <c r="F31" s="67">
        <f>Electricity!L37/TOTAL!E31</f>
        <v>1232.8797892720299</v>
      </c>
      <c r="G31" s="66">
        <f>Gas!F38+Gas!I38+Gas!L38+Gas!O38</f>
        <v>35.738799999997795</v>
      </c>
      <c r="H31" s="67">
        <f>Gas!Q38/TOTAL!G31</f>
        <v>12980.000000000002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237</v>
      </c>
      <c r="L31" s="67">
        <f>Water!K38/TOTAL!K31</f>
        <v>4000</v>
      </c>
      <c r="M31" s="66">
        <f>Electricity!C37</f>
        <v>0</v>
      </c>
      <c r="N31" s="66">
        <f>Electricity!D37</f>
        <v>0</v>
      </c>
    </row>
    <row r="32" spans="1:14" ht="15" x14ac:dyDescent="0.25">
      <c r="A32" s="63" t="s">
        <v>56</v>
      </c>
      <c r="B32" s="64">
        <f>B31+1</f>
        <v>31</v>
      </c>
      <c r="C32" s="65">
        <v>7</v>
      </c>
      <c r="D32" s="64">
        <v>2021</v>
      </c>
      <c r="E32" s="66">
        <f>Electricity!F38+Electricity!I38</f>
        <v>5300.0000000000682</v>
      </c>
      <c r="F32" s="67">
        <f>Electricity!L38/TOTAL!E32</f>
        <v>1229.3143396226437</v>
      </c>
      <c r="G32" s="66">
        <f>Gas!F39+Gas!I39+Gas!L39+Gas!O39</f>
        <v>42.546119999999853</v>
      </c>
      <c r="H32" s="67">
        <f>Gas!Q39/TOTAL!G32</f>
        <v>12979.999999999998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268</v>
      </c>
      <c r="L32" s="67">
        <f>Water!K39/TOTAL!K32</f>
        <v>4000</v>
      </c>
      <c r="M32" s="66">
        <f>Electricity!C38</f>
        <v>0</v>
      </c>
      <c r="N32" s="66">
        <f>Electricity!D38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27" activePane="bottomRight" state="frozen"/>
      <selection pane="topRight" activeCell="C1" sqref="C1"/>
      <selection pane="bottomLeft" activeCell="A9" sqref="A9"/>
      <selection pane="bottomRight" activeCell="K29" sqref="K29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8" t="s">
        <v>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56"/>
      <c r="N1" s="57"/>
    </row>
    <row r="2" spans="1:14" ht="15.75" x14ac:dyDescent="0.2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90">
        <v>44378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8"/>
    </row>
    <row r="5" spans="1:14" ht="23.25" customHeight="1" x14ac:dyDescent="0.2">
      <c r="A5" s="79"/>
      <c r="B5" s="86" t="s">
        <v>1</v>
      </c>
      <c r="C5" s="86" t="s">
        <v>38</v>
      </c>
      <c r="D5" s="86" t="s">
        <v>39</v>
      </c>
      <c r="E5" s="87" t="s">
        <v>34</v>
      </c>
      <c r="F5" s="87"/>
      <c r="G5" s="87"/>
      <c r="H5" s="89" t="s">
        <v>35</v>
      </c>
      <c r="I5" s="89"/>
      <c r="J5" s="89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 x14ac:dyDescent="0.2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 x14ac:dyDescent="0.2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 x14ac:dyDescent="0.25">
      <c r="A8" s="80"/>
      <c r="B8" s="77">
        <v>1</v>
      </c>
      <c r="C8" s="37">
        <v>13</v>
      </c>
      <c r="D8" s="37">
        <v>68</v>
      </c>
      <c r="E8" s="11">
        <v>3.3099999999999454</v>
      </c>
      <c r="F8" s="12">
        <f t="shared" ref="F8:F37" si="0">E8*2000</f>
        <v>6619.9999999998909</v>
      </c>
      <c r="G8" s="4">
        <f t="shared" ref="G8:G37" si="1">F8*1035.5</f>
        <v>6855009.9999998873</v>
      </c>
      <c r="H8" s="11">
        <v>0.65000000000000568</v>
      </c>
      <c r="I8" s="12">
        <f t="shared" ref="I8:I15" si="2">H8*2000</f>
        <v>1300.0000000000114</v>
      </c>
      <c r="J8" s="4">
        <f t="shared" ref="J8:J15" si="3">I8*1553.25</f>
        <v>2019225.0000000177</v>
      </c>
      <c r="K8" s="11">
        <f t="shared" ref="K8:K15" si="4">G8+J8</f>
        <v>8874234.999999905</v>
      </c>
      <c r="L8" s="13">
        <f t="shared" ref="L8:L15" si="5">K8*1.1</f>
        <v>9761658.4999998957</v>
      </c>
      <c r="M8" s="85">
        <f>L8/14292</f>
        <v>683.01556815000674</v>
      </c>
      <c r="N8" s="84"/>
    </row>
    <row r="9" spans="1:14" ht="17.100000000000001" customHeight="1" x14ac:dyDescent="0.25">
      <c r="A9" s="80"/>
      <c r="B9" s="77">
        <v>2</v>
      </c>
      <c r="C9" s="37">
        <v>7</v>
      </c>
      <c r="D9" s="37">
        <v>70</v>
      </c>
      <c r="E9" s="11">
        <v>3.3600000000000136</v>
      </c>
      <c r="F9" s="12">
        <f t="shared" si="0"/>
        <v>6720.0000000000273</v>
      </c>
      <c r="G9" s="4">
        <f t="shared" si="1"/>
        <v>6958560.0000000279</v>
      </c>
      <c r="H9" s="11">
        <v>0.59999999999999432</v>
      </c>
      <c r="I9" s="12">
        <f t="shared" si="2"/>
        <v>1199.9999999999886</v>
      </c>
      <c r="J9" s="4">
        <f t="shared" si="3"/>
        <v>1863899.9999999823</v>
      </c>
      <c r="K9" s="11">
        <f t="shared" si="4"/>
        <v>8822460.0000000112</v>
      </c>
      <c r="L9" s="13">
        <f t="shared" si="5"/>
        <v>9704706.000000013</v>
      </c>
      <c r="M9" s="85">
        <f t="shared" ref="M9:M38" si="6">L9/14292</f>
        <v>679.03064651553404</v>
      </c>
      <c r="N9" s="84"/>
    </row>
    <row r="10" spans="1:14" ht="17.100000000000001" customHeight="1" x14ac:dyDescent="0.25">
      <c r="A10" s="80"/>
      <c r="B10" s="77">
        <v>3</v>
      </c>
      <c r="C10" s="37">
        <v>8</v>
      </c>
      <c r="D10" s="37">
        <v>34</v>
      </c>
      <c r="E10" s="11">
        <v>3.2400000000000091</v>
      </c>
      <c r="F10" s="12">
        <f t="shared" si="0"/>
        <v>6480.0000000000182</v>
      </c>
      <c r="G10" s="4">
        <f t="shared" si="1"/>
        <v>6710040.0000000186</v>
      </c>
      <c r="H10" s="11">
        <v>0.55000000000001137</v>
      </c>
      <c r="I10" s="12">
        <f t="shared" si="2"/>
        <v>1100.0000000000227</v>
      </c>
      <c r="J10" s="4">
        <f t="shared" si="3"/>
        <v>1708575.0000000354</v>
      </c>
      <c r="K10" s="11">
        <f t="shared" si="4"/>
        <v>8418615.000000054</v>
      </c>
      <c r="L10" s="13">
        <f t="shared" si="5"/>
        <v>9260476.5000000596</v>
      </c>
      <c r="M10" s="85">
        <f t="shared" si="6"/>
        <v>647.94825776658683</v>
      </c>
      <c r="N10" s="84"/>
    </row>
    <row r="11" spans="1:14" ht="17.100000000000001" customHeight="1" x14ac:dyDescent="0.25">
      <c r="A11" s="80"/>
      <c r="B11" s="77">
        <v>4</v>
      </c>
      <c r="C11" s="37">
        <v>4</v>
      </c>
      <c r="D11" s="37">
        <v>34</v>
      </c>
      <c r="E11" s="11">
        <v>2.9200000000000728</v>
      </c>
      <c r="F11" s="12">
        <f t="shared" si="0"/>
        <v>5840.0000000001455</v>
      </c>
      <c r="G11" s="4">
        <f t="shared" si="1"/>
        <v>6047320.0000001509</v>
      </c>
      <c r="H11" s="11">
        <v>0.53000000000000114</v>
      </c>
      <c r="I11" s="12">
        <f t="shared" si="2"/>
        <v>1060.0000000000023</v>
      </c>
      <c r="J11" s="4">
        <f t="shared" si="3"/>
        <v>1646445.0000000035</v>
      </c>
      <c r="K11" s="11">
        <f t="shared" si="4"/>
        <v>7693765.0000001546</v>
      </c>
      <c r="L11" s="13">
        <f t="shared" si="5"/>
        <v>8463141.5000001714</v>
      </c>
      <c r="M11" s="85">
        <f t="shared" si="6"/>
        <v>592.1593548838631</v>
      </c>
      <c r="N11" s="84"/>
    </row>
    <row r="12" spans="1:14" ht="17.100000000000001" customHeight="1" x14ac:dyDescent="0.25">
      <c r="A12" s="80"/>
      <c r="B12" s="77">
        <v>5</v>
      </c>
      <c r="C12" s="37">
        <v>4</v>
      </c>
      <c r="D12" s="37">
        <v>12</v>
      </c>
      <c r="E12" s="11">
        <v>2.8499999999999091</v>
      </c>
      <c r="F12" s="12">
        <f t="shared" si="0"/>
        <v>5699.9999999998181</v>
      </c>
      <c r="G12" s="4">
        <f t="shared" si="1"/>
        <v>5902349.9999998119</v>
      </c>
      <c r="H12" s="11">
        <v>0.54999999999998295</v>
      </c>
      <c r="I12" s="12">
        <f t="shared" si="2"/>
        <v>1099.9999999999659</v>
      </c>
      <c r="J12" s="4">
        <f t="shared" si="3"/>
        <v>1708574.9999999469</v>
      </c>
      <c r="K12" s="11">
        <f t="shared" si="4"/>
        <v>7610924.9999997588</v>
      </c>
      <c r="L12" s="13">
        <f t="shared" si="5"/>
        <v>8372017.4999997355</v>
      </c>
      <c r="M12" s="85">
        <f t="shared" si="6"/>
        <v>585.78348026866331</v>
      </c>
      <c r="N12" s="84"/>
    </row>
    <row r="13" spans="1:14" ht="17.100000000000001" customHeight="1" x14ac:dyDescent="0.25">
      <c r="A13" s="80"/>
      <c r="B13" s="77">
        <v>6</v>
      </c>
      <c r="C13" s="37">
        <v>2</v>
      </c>
      <c r="D13" s="37">
        <v>14</v>
      </c>
      <c r="E13" s="11">
        <v>2.7300000000000182</v>
      </c>
      <c r="F13" s="12">
        <f t="shared" si="0"/>
        <v>5460.0000000000364</v>
      </c>
      <c r="G13" s="4">
        <f t="shared" si="1"/>
        <v>5653830.0000000373</v>
      </c>
      <c r="H13" s="11">
        <v>0.46999999999999886</v>
      </c>
      <c r="I13" s="12">
        <f t="shared" si="2"/>
        <v>939.99999999999773</v>
      </c>
      <c r="J13" s="4">
        <f t="shared" si="3"/>
        <v>1460054.9999999965</v>
      </c>
      <c r="K13" s="11">
        <f t="shared" si="4"/>
        <v>7113885.0000000335</v>
      </c>
      <c r="L13" s="13">
        <f t="shared" si="5"/>
        <v>7825273.5000000373</v>
      </c>
      <c r="M13" s="85">
        <f t="shared" si="6"/>
        <v>547.5282325776684</v>
      </c>
      <c r="N13" s="84"/>
    </row>
    <row r="14" spans="1:14" ht="17.100000000000001" customHeight="1" x14ac:dyDescent="0.25">
      <c r="A14" s="80"/>
      <c r="B14" s="77">
        <v>7</v>
      </c>
      <c r="C14" s="37">
        <v>2</v>
      </c>
      <c r="D14" s="37">
        <v>22</v>
      </c>
      <c r="E14" s="11">
        <v>2.3999999999999773</v>
      </c>
      <c r="F14" s="12">
        <f t="shared" si="0"/>
        <v>4799.9999999999545</v>
      </c>
      <c r="G14" s="4">
        <f t="shared" si="1"/>
        <v>4970399.9999999525</v>
      </c>
      <c r="H14" s="11">
        <v>0.48000000000001819</v>
      </c>
      <c r="I14" s="12">
        <f t="shared" si="2"/>
        <v>960.00000000003638</v>
      </c>
      <c r="J14" s="4">
        <f t="shared" si="3"/>
        <v>1491120.0000000566</v>
      </c>
      <c r="K14" s="11">
        <f t="shared" si="4"/>
        <v>6461520.0000000093</v>
      </c>
      <c r="L14" s="13">
        <f t="shared" si="5"/>
        <v>7107672.0000000112</v>
      </c>
      <c r="M14" s="85">
        <f t="shared" si="6"/>
        <v>497.31821998320817</v>
      </c>
      <c r="N14" s="84"/>
    </row>
    <row r="15" spans="1:14" ht="17.100000000000001" customHeight="1" x14ac:dyDescent="0.25">
      <c r="A15" s="80"/>
      <c r="B15" s="77">
        <v>8</v>
      </c>
      <c r="C15" s="37">
        <v>2</v>
      </c>
      <c r="D15" s="37">
        <v>11</v>
      </c>
      <c r="E15" s="11">
        <v>2.5</v>
      </c>
      <c r="F15" s="12">
        <f t="shared" si="0"/>
        <v>5000</v>
      </c>
      <c r="G15" s="4">
        <f t="shared" si="1"/>
        <v>5177500</v>
      </c>
      <c r="H15" s="11">
        <v>0.5</v>
      </c>
      <c r="I15" s="12">
        <f t="shared" si="2"/>
        <v>1000</v>
      </c>
      <c r="J15" s="4">
        <f t="shared" si="3"/>
        <v>1553250</v>
      </c>
      <c r="K15" s="11">
        <f t="shared" si="4"/>
        <v>6730750</v>
      </c>
      <c r="L15" s="13">
        <f t="shared" si="5"/>
        <v>7403825.0000000009</v>
      </c>
      <c r="M15" s="85">
        <f t="shared" si="6"/>
        <v>518.03981248250773</v>
      </c>
      <c r="N15" s="84"/>
    </row>
    <row r="16" spans="1:14" ht="17.100000000000001" customHeight="1" x14ac:dyDescent="0.25">
      <c r="A16" s="80"/>
      <c r="B16" s="77">
        <v>9</v>
      </c>
      <c r="C16" s="37">
        <v>6</v>
      </c>
      <c r="D16" s="37">
        <v>15</v>
      </c>
      <c r="E16" s="11">
        <v>2.5</v>
      </c>
      <c r="F16" s="12">
        <f t="shared" si="0"/>
        <v>5000</v>
      </c>
      <c r="G16" s="4">
        <f t="shared" si="1"/>
        <v>5177500</v>
      </c>
      <c r="H16" s="11">
        <v>0.50999999999999091</v>
      </c>
      <c r="I16" s="12">
        <f t="shared" ref="I16:I37" si="7">H16*2000</f>
        <v>1019.9999999999818</v>
      </c>
      <c r="J16" s="4">
        <f t="shared" ref="J16:J37" si="8">I16*1553.25</f>
        <v>1584314.9999999718</v>
      </c>
      <c r="K16" s="11">
        <f t="shared" ref="K16:K37" si="9">G16+J16</f>
        <v>6761814.9999999721</v>
      </c>
      <c r="L16" s="13">
        <f t="shared" ref="L16:L37" si="10">K16*1.1</f>
        <v>7437996.4999999702</v>
      </c>
      <c r="M16" s="85">
        <f t="shared" si="6"/>
        <v>520.43076546319412</v>
      </c>
      <c r="N16" s="84"/>
    </row>
    <row r="17" spans="1:14" ht="17.100000000000001" customHeight="1" x14ac:dyDescent="0.25">
      <c r="A17" s="80"/>
      <c r="B17" s="77">
        <v>10</v>
      </c>
      <c r="C17" s="37">
        <v>5</v>
      </c>
      <c r="D17" s="37">
        <v>21</v>
      </c>
      <c r="E17" s="11">
        <v>2.4300000000000637</v>
      </c>
      <c r="F17" s="12">
        <f t="shared" si="0"/>
        <v>4860.0000000001273</v>
      </c>
      <c r="G17" s="4">
        <f t="shared" si="1"/>
        <v>5032530.0000001322</v>
      </c>
      <c r="H17" s="11">
        <v>0.52000000000001023</v>
      </c>
      <c r="I17" s="12">
        <f t="shared" si="7"/>
        <v>1040.0000000000205</v>
      </c>
      <c r="J17" s="4">
        <f t="shared" si="8"/>
        <v>1615380.0000000319</v>
      </c>
      <c r="K17" s="11">
        <f t="shared" si="9"/>
        <v>6647910.0000001639</v>
      </c>
      <c r="L17" s="13">
        <f t="shared" si="10"/>
        <v>7312701.0000001807</v>
      </c>
      <c r="M17" s="85">
        <f t="shared" si="6"/>
        <v>511.66393786735102</v>
      </c>
      <c r="N17" s="84"/>
    </row>
    <row r="18" spans="1:14" ht="17.100000000000001" customHeight="1" x14ac:dyDescent="0.25">
      <c r="A18" s="80"/>
      <c r="B18" s="77">
        <v>11</v>
      </c>
      <c r="C18" s="37">
        <v>2</v>
      </c>
      <c r="D18" s="37">
        <v>32</v>
      </c>
      <c r="E18" s="11">
        <v>2.6499999999999773</v>
      </c>
      <c r="F18" s="12">
        <f t="shared" si="0"/>
        <v>5299.9999999999545</v>
      </c>
      <c r="G18" s="4">
        <f t="shared" si="1"/>
        <v>5488149.9999999525</v>
      </c>
      <c r="H18" s="11">
        <v>0.46999999999999886</v>
      </c>
      <c r="I18" s="12">
        <f t="shared" si="7"/>
        <v>939.99999999999773</v>
      </c>
      <c r="J18" s="4">
        <f t="shared" si="8"/>
        <v>1460054.9999999965</v>
      </c>
      <c r="K18" s="11">
        <f t="shared" si="9"/>
        <v>6948204.9999999488</v>
      </c>
      <c r="L18" s="13">
        <f t="shared" si="10"/>
        <v>7643025.4999999441</v>
      </c>
      <c r="M18" s="85">
        <f t="shared" si="6"/>
        <v>534.77648334732328</v>
      </c>
      <c r="N18" s="84"/>
    </row>
    <row r="19" spans="1:14" ht="17.100000000000001" customHeight="1" x14ac:dyDescent="0.25">
      <c r="A19" s="80"/>
      <c r="B19" s="77">
        <v>12</v>
      </c>
      <c r="C19" s="37">
        <v>1</v>
      </c>
      <c r="D19" s="37">
        <v>4</v>
      </c>
      <c r="E19" s="11">
        <v>2.5599999999999454</v>
      </c>
      <c r="F19" s="12">
        <f t="shared" si="0"/>
        <v>5119.9999999998909</v>
      </c>
      <c r="G19" s="4">
        <f t="shared" si="1"/>
        <v>5301759.9999998873</v>
      </c>
      <c r="H19" s="11">
        <v>0.53000000000000114</v>
      </c>
      <c r="I19" s="12">
        <f t="shared" si="7"/>
        <v>1060.0000000000023</v>
      </c>
      <c r="J19" s="4">
        <f t="shared" si="8"/>
        <v>1646445.0000000035</v>
      </c>
      <c r="K19" s="11">
        <f t="shared" si="9"/>
        <v>6948204.999999891</v>
      </c>
      <c r="L19" s="13">
        <f t="shared" si="10"/>
        <v>7643025.4999998808</v>
      </c>
      <c r="M19" s="85">
        <f t="shared" si="6"/>
        <v>534.77648334731884</v>
      </c>
      <c r="N19" s="84"/>
    </row>
    <row r="20" spans="1:14" ht="17.100000000000001" customHeight="1" x14ac:dyDescent="0.25">
      <c r="A20" s="80"/>
      <c r="B20" s="77">
        <v>13</v>
      </c>
      <c r="C20" s="37">
        <v>2</v>
      </c>
      <c r="D20" s="37">
        <v>22</v>
      </c>
      <c r="E20" s="11">
        <v>2.5200000000000955</v>
      </c>
      <c r="F20" s="12">
        <f t="shared" si="0"/>
        <v>5040.000000000191</v>
      </c>
      <c r="G20" s="4">
        <f t="shared" si="1"/>
        <v>5218920.0000001974</v>
      </c>
      <c r="H20" s="11">
        <v>0.47999999999998977</v>
      </c>
      <c r="I20" s="12">
        <f t="shared" si="7"/>
        <v>959.99999999997954</v>
      </c>
      <c r="J20" s="4">
        <f t="shared" si="8"/>
        <v>1491119.9999999681</v>
      </c>
      <c r="K20" s="11">
        <f t="shared" si="9"/>
        <v>6710040.0000001658</v>
      </c>
      <c r="L20" s="13">
        <f t="shared" si="10"/>
        <v>7381044.0000001825</v>
      </c>
      <c r="M20" s="85">
        <f t="shared" si="6"/>
        <v>516.44584382872813</v>
      </c>
      <c r="N20" s="84"/>
    </row>
    <row r="21" spans="1:14" ht="17.100000000000001" customHeight="1" x14ac:dyDescent="0.25">
      <c r="A21" s="80"/>
      <c r="B21" s="77">
        <v>14</v>
      </c>
      <c r="C21" s="37">
        <v>4</v>
      </c>
      <c r="D21" s="37">
        <v>27</v>
      </c>
      <c r="E21" s="11">
        <v>2.5699999999999363</v>
      </c>
      <c r="F21" s="12">
        <f t="shared" si="0"/>
        <v>5139.9999999998727</v>
      </c>
      <c r="G21" s="4">
        <f t="shared" si="1"/>
        <v>5322469.9999998678</v>
      </c>
      <c r="H21" s="11">
        <v>0.40999999999999659</v>
      </c>
      <c r="I21" s="12">
        <f t="shared" si="7"/>
        <v>819.99999999999318</v>
      </c>
      <c r="J21" s="4">
        <f t="shared" si="8"/>
        <v>1273664.9999999893</v>
      </c>
      <c r="K21" s="11">
        <f t="shared" si="9"/>
        <v>6596134.9999998566</v>
      </c>
      <c r="L21" s="13">
        <f t="shared" si="10"/>
        <v>7255748.4999998426</v>
      </c>
      <c r="M21" s="85">
        <f t="shared" si="6"/>
        <v>507.67901623284655</v>
      </c>
      <c r="N21" s="84"/>
    </row>
    <row r="22" spans="1:14" ht="17.100000000000001" customHeight="1" x14ac:dyDescent="0.25">
      <c r="A22" s="80"/>
      <c r="B22" s="77">
        <v>15</v>
      </c>
      <c r="C22" s="37">
        <v>3</v>
      </c>
      <c r="D22" s="37">
        <v>32</v>
      </c>
      <c r="E22" s="11">
        <v>2.3899999999999864</v>
      </c>
      <c r="F22" s="12">
        <f t="shared" si="0"/>
        <v>4779.9999999999727</v>
      </c>
      <c r="G22" s="4">
        <f t="shared" si="1"/>
        <v>4949689.9999999721</v>
      </c>
      <c r="H22" s="11">
        <v>0.40999999999999659</v>
      </c>
      <c r="I22" s="12">
        <f t="shared" si="7"/>
        <v>819.99999999999318</v>
      </c>
      <c r="J22" s="4">
        <f t="shared" si="8"/>
        <v>1273664.9999999893</v>
      </c>
      <c r="K22" s="11">
        <f t="shared" si="9"/>
        <v>6223354.9999999609</v>
      </c>
      <c r="L22" s="13">
        <f t="shared" si="10"/>
        <v>6845690.4999999572</v>
      </c>
      <c r="M22" s="85">
        <f t="shared" si="6"/>
        <v>478.98758046459255</v>
      </c>
      <c r="N22" s="84"/>
    </row>
    <row r="23" spans="1:14" ht="17.100000000000001" customHeight="1" x14ac:dyDescent="0.25">
      <c r="A23" s="80"/>
      <c r="B23" s="77">
        <v>16</v>
      </c>
      <c r="C23" s="37">
        <v>2</v>
      </c>
      <c r="D23" s="37">
        <v>13</v>
      </c>
      <c r="E23" s="11">
        <v>2.07000000000005</v>
      </c>
      <c r="F23" s="12">
        <f t="shared" si="0"/>
        <v>4140.0000000001</v>
      </c>
      <c r="G23" s="4">
        <f t="shared" si="1"/>
        <v>4286970.0000001034</v>
      </c>
      <c r="H23" s="11">
        <v>0.45000000000001705</v>
      </c>
      <c r="I23" s="12">
        <f t="shared" si="7"/>
        <v>900.00000000003411</v>
      </c>
      <c r="J23" s="4">
        <f t="shared" si="8"/>
        <v>1397925.0000000531</v>
      </c>
      <c r="K23" s="11">
        <f t="shared" si="9"/>
        <v>5684895.0000001565</v>
      </c>
      <c r="L23" s="13">
        <f t="shared" si="10"/>
        <v>6253384.5000001723</v>
      </c>
      <c r="M23" s="85">
        <f t="shared" si="6"/>
        <v>437.54439546600702</v>
      </c>
      <c r="N23" s="84"/>
    </row>
    <row r="24" spans="1:14" ht="17.100000000000001" customHeight="1" x14ac:dyDescent="0.25">
      <c r="A24" s="80"/>
      <c r="B24" s="77">
        <v>17</v>
      </c>
      <c r="C24" s="37">
        <v>4</v>
      </c>
      <c r="D24" s="37">
        <v>15</v>
      </c>
      <c r="E24" s="11">
        <v>2.3199999999999363</v>
      </c>
      <c r="F24" s="12">
        <f t="shared" si="0"/>
        <v>4639.9999999998727</v>
      </c>
      <c r="G24" s="4">
        <f t="shared" si="1"/>
        <v>4804719.9999998678</v>
      </c>
      <c r="H24" s="11">
        <v>0.45999999999997954</v>
      </c>
      <c r="I24" s="12">
        <f t="shared" si="7"/>
        <v>919.99999999995907</v>
      </c>
      <c r="J24" s="4">
        <f t="shared" si="8"/>
        <v>1428989.9999999364</v>
      </c>
      <c r="K24" s="11">
        <f t="shared" si="9"/>
        <v>6233709.9999998044</v>
      </c>
      <c r="L24" s="13">
        <f t="shared" si="10"/>
        <v>6857080.9999997858</v>
      </c>
      <c r="M24" s="85">
        <f t="shared" si="6"/>
        <v>479.78456479147678</v>
      </c>
      <c r="N24" s="84"/>
    </row>
    <row r="25" spans="1:14" ht="17.100000000000001" customHeight="1" x14ac:dyDescent="0.25">
      <c r="A25" s="80"/>
      <c r="B25" s="77">
        <v>18</v>
      </c>
      <c r="C25" s="37">
        <v>3</v>
      </c>
      <c r="D25" s="37">
        <v>19</v>
      </c>
      <c r="E25" s="11">
        <v>2.2900000000000773</v>
      </c>
      <c r="F25" s="12">
        <f t="shared" si="0"/>
        <v>4580.0000000001546</v>
      </c>
      <c r="G25" s="4">
        <f t="shared" si="1"/>
        <v>4742590.0000001602</v>
      </c>
      <c r="H25" s="11">
        <v>0.45000000000001705</v>
      </c>
      <c r="I25" s="12">
        <f t="shared" si="7"/>
        <v>900.00000000003411</v>
      </c>
      <c r="J25" s="4">
        <f t="shared" si="8"/>
        <v>1397925.0000000531</v>
      </c>
      <c r="K25" s="11">
        <f t="shared" si="9"/>
        <v>6140515.0000002133</v>
      </c>
      <c r="L25" s="13">
        <f t="shared" si="10"/>
        <v>6754566.5000002347</v>
      </c>
      <c r="M25" s="85">
        <f t="shared" si="6"/>
        <v>472.61170584944267</v>
      </c>
      <c r="N25" s="84"/>
    </row>
    <row r="26" spans="1:14" ht="17.100000000000001" customHeight="1" x14ac:dyDescent="0.25">
      <c r="A26" s="80"/>
      <c r="B26" s="77">
        <v>19</v>
      </c>
      <c r="C26" s="37">
        <v>3</v>
      </c>
      <c r="D26" s="37">
        <v>19</v>
      </c>
      <c r="E26" s="11">
        <v>2.4800000000000182</v>
      </c>
      <c r="F26" s="12">
        <f t="shared" si="0"/>
        <v>4960.0000000000364</v>
      </c>
      <c r="G26" s="4">
        <f t="shared" si="1"/>
        <v>5136080.0000000373</v>
      </c>
      <c r="H26" s="11">
        <v>0.48999999999998067</v>
      </c>
      <c r="I26" s="12">
        <f t="shared" si="7"/>
        <v>979.99999999996135</v>
      </c>
      <c r="J26" s="4">
        <f t="shared" si="8"/>
        <v>1522184.9999999399</v>
      </c>
      <c r="K26" s="11">
        <f t="shared" si="9"/>
        <v>6658264.9999999776</v>
      </c>
      <c r="L26" s="13">
        <f t="shared" si="10"/>
        <v>7324091.4999999758</v>
      </c>
      <c r="M26" s="85">
        <f t="shared" si="6"/>
        <v>512.46092219423281</v>
      </c>
      <c r="N26" s="84"/>
    </row>
    <row r="27" spans="1:14" ht="17.100000000000001" customHeight="1" x14ac:dyDescent="0.25">
      <c r="A27" s="80"/>
      <c r="B27" s="77">
        <v>20</v>
      </c>
      <c r="C27" s="37">
        <v>3</v>
      </c>
      <c r="D27" s="37">
        <v>23</v>
      </c>
      <c r="E27" s="11">
        <v>2.3399999999999181</v>
      </c>
      <c r="F27" s="12">
        <f t="shared" si="0"/>
        <v>4679.9999999998363</v>
      </c>
      <c r="G27" s="4">
        <f t="shared" si="1"/>
        <v>4846139.9999998305</v>
      </c>
      <c r="H27" s="11">
        <v>0.5</v>
      </c>
      <c r="I27" s="12">
        <f t="shared" si="7"/>
        <v>1000</v>
      </c>
      <c r="J27" s="4">
        <f t="shared" si="8"/>
        <v>1553250</v>
      </c>
      <c r="K27" s="11">
        <f t="shared" si="9"/>
        <v>6399389.9999998305</v>
      </c>
      <c r="L27" s="13">
        <f t="shared" si="10"/>
        <v>7039328.9999998137</v>
      </c>
      <c r="M27" s="85">
        <f t="shared" si="6"/>
        <v>492.53631402181736</v>
      </c>
      <c r="N27" s="84"/>
    </row>
    <row r="28" spans="1:14" ht="17.100000000000001" customHeight="1" x14ac:dyDescent="0.25">
      <c r="A28" s="80"/>
      <c r="B28" s="77">
        <v>21</v>
      </c>
      <c r="C28" s="37">
        <v>4</v>
      </c>
      <c r="D28" s="37">
        <v>15</v>
      </c>
      <c r="E28" s="11">
        <v>2.5199999999999818</v>
      </c>
      <c r="F28" s="12">
        <f t="shared" si="0"/>
        <v>5039.9999999999636</v>
      </c>
      <c r="G28" s="4">
        <f t="shared" si="1"/>
        <v>5218919.9999999627</v>
      </c>
      <c r="H28" s="11">
        <v>0.51000000000001933</v>
      </c>
      <c r="I28" s="12">
        <f t="shared" si="7"/>
        <v>1020.0000000000387</v>
      </c>
      <c r="J28" s="4">
        <f t="shared" si="8"/>
        <v>1584315.0000000601</v>
      </c>
      <c r="K28" s="11">
        <f t="shared" si="9"/>
        <v>6803235.0000000224</v>
      </c>
      <c r="L28" s="13">
        <f t="shared" si="10"/>
        <v>7483558.5000000251</v>
      </c>
      <c r="M28" s="85">
        <f t="shared" si="6"/>
        <v>523.61870277078265</v>
      </c>
      <c r="N28" s="84"/>
    </row>
    <row r="29" spans="1:14" ht="17.100000000000001" customHeight="1" x14ac:dyDescent="0.25">
      <c r="A29" s="80"/>
      <c r="B29" s="77">
        <v>22</v>
      </c>
      <c r="C29" s="37"/>
      <c r="D29" s="37"/>
      <c r="E29" s="11">
        <v>2.3800000000001091</v>
      </c>
      <c r="F29" s="12">
        <f t="shared" si="0"/>
        <v>4760.0000000002183</v>
      </c>
      <c r="G29" s="4">
        <f t="shared" si="1"/>
        <v>4928980.0000002263</v>
      </c>
      <c r="H29" s="11">
        <v>0.48999999999998067</v>
      </c>
      <c r="I29" s="12">
        <f t="shared" si="7"/>
        <v>979.99999999996135</v>
      </c>
      <c r="J29" s="4">
        <f t="shared" si="8"/>
        <v>1522184.9999999399</v>
      </c>
      <c r="K29" s="11">
        <f t="shared" si="9"/>
        <v>6451165.0000001658</v>
      </c>
      <c r="L29" s="13">
        <f t="shared" si="10"/>
        <v>7096281.5000001825</v>
      </c>
      <c r="M29" s="85">
        <f t="shared" si="6"/>
        <v>496.521235656324</v>
      </c>
      <c r="N29" s="84"/>
    </row>
    <row r="30" spans="1:14" ht="17.100000000000001" customHeight="1" x14ac:dyDescent="0.25">
      <c r="A30" s="80"/>
      <c r="B30" s="77">
        <v>23</v>
      </c>
      <c r="C30" s="37"/>
      <c r="D30" s="37"/>
      <c r="E30" s="11">
        <v>2.4399999999999409</v>
      </c>
      <c r="F30" s="12">
        <f t="shared" si="0"/>
        <v>4879.9999999998818</v>
      </c>
      <c r="G30" s="4">
        <f t="shared" si="1"/>
        <v>5053239.999999878</v>
      </c>
      <c r="H30" s="11">
        <v>0.48000000000001819</v>
      </c>
      <c r="I30" s="12">
        <f t="shared" si="7"/>
        <v>960.00000000003638</v>
      </c>
      <c r="J30" s="4">
        <f t="shared" si="8"/>
        <v>1491120.0000000566</v>
      </c>
      <c r="K30" s="11">
        <f t="shared" si="9"/>
        <v>6544359.9999999348</v>
      </c>
      <c r="L30" s="13">
        <f t="shared" si="10"/>
        <v>7198795.9999999292</v>
      </c>
      <c r="M30" s="85">
        <f t="shared" si="6"/>
        <v>503.69409459837175</v>
      </c>
      <c r="N30" s="84"/>
    </row>
    <row r="31" spans="1:14" ht="17.100000000000001" customHeight="1" x14ac:dyDescent="0.25">
      <c r="A31" s="80"/>
      <c r="B31" s="77">
        <v>24</v>
      </c>
      <c r="C31" s="37"/>
      <c r="D31" s="37"/>
      <c r="E31" s="11">
        <v>2.1900000000000546</v>
      </c>
      <c r="F31" s="12">
        <f t="shared" si="0"/>
        <v>4380.0000000001091</v>
      </c>
      <c r="G31" s="4">
        <f t="shared" si="1"/>
        <v>4535490.0000001127</v>
      </c>
      <c r="H31" s="11">
        <v>0.43000000000000682</v>
      </c>
      <c r="I31" s="12">
        <f t="shared" si="7"/>
        <v>860.00000000001364</v>
      </c>
      <c r="J31" s="4">
        <f t="shared" si="8"/>
        <v>1335795.0000000212</v>
      </c>
      <c r="K31" s="11">
        <f t="shared" si="9"/>
        <v>5871285.0000001341</v>
      </c>
      <c r="L31" s="13">
        <f t="shared" si="10"/>
        <v>6458413.5000001481</v>
      </c>
      <c r="M31" s="85">
        <f t="shared" si="6"/>
        <v>451.89011335013629</v>
      </c>
      <c r="N31" s="84"/>
    </row>
    <row r="32" spans="1:14" ht="17.100000000000001" customHeight="1" x14ac:dyDescent="0.25">
      <c r="A32" s="80"/>
      <c r="B32" s="77">
        <v>25</v>
      </c>
      <c r="C32" s="37"/>
      <c r="D32" s="37"/>
      <c r="E32" s="11">
        <v>2.2599999999999909</v>
      </c>
      <c r="F32" s="12">
        <f t="shared" si="0"/>
        <v>4519.9999999999818</v>
      </c>
      <c r="G32" s="4">
        <f t="shared" si="1"/>
        <v>4680459.9999999814</v>
      </c>
      <c r="H32" s="11">
        <v>0.44999999999998863</v>
      </c>
      <c r="I32" s="12">
        <f t="shared" si="7"/>
        <v>899.99999999997726</v>
      </c>
      <c r="J32" s="4">
        <f t="shared" si="8"/>
        <v>1397924.9999999646</v>
      </c>
      <c r="K32" s="11">
        <f t="shared" si="9"/>
        <v>6078384.999999946</v>
      </c>
      <c r="L32" s="13">
        <f t="shared" si="10"/>
        <v>6686223.4999999413</v>
      </c>
      <c r="M32" s="85">
        <f t="shared" si="6"/>
        <v>467.82979988804516</v>
      </c>
      <c r="N32" s="84"/>
    </row>
    <row r="33" spans="1:16" ht="17.100000000000001" customHeight="1" x14ac:dyDescent="0.25">
      <c r="A33" s="80"/>
      <c r="B33" s="77">
        <v>26</v>
      </c>
      <c r="C33" s="37"/>
      <c r="D33" s="37"/>
      <c r="E33" s="11">
        <v>2.1899999999999409</v>
      </c>
      <c r="F33" s="12">
        <f t="shared" si="0"/>
        <v>4379.9999999998818</v>
      </c>
      <c r="G33" s="4">
        <f t="shared" si="1"/>
        <v>4535489.999999878</v>
      </c>
      <c r="H33" s="11">
        <v>0.43000000000000682</v>
      </c>
      <c r="I33" s="12">
        <f t="shared" si="7"/>
        <v>860.00000000001364</v>
      </c>
      <c r="J33" s="4">
        <f t="shared" si="8"/>
        <v>1335795.0000000212</v>
      </c>
      <c r="K33" s="11">
        <f t="shared" si="9"/>
        <v>5871284.9999998994</v>
      </c>
      <c r="L33" s="13">
        <f t="shared" si="10"/>
        <v>6458413.4999998901</v>
      </c>
      <c r="M33" s="85">
        <f t="shared" si="6"/>
        <v>451.89011335011827</v>
      </c>
      <c r="N33" s="84"/>
    </row>
    <row r="34" spans="1:16" ht="17.100000000000001" customHeight="1" x14ac:dyDescent="0.25">
      <c r="A34" s="80"/>
      <c r="B34" s="77">
        <v>27</v>
      </c>
      <c r="C34" s="37"/>
      <c r="D34" s="37"/>
      <c r="E34" s="11">
        <v>2.1700000000000728</v>
      </c>
      <c r="F34" s="12">
        <f t="shared" si="0"/>
        <v>4340.0000000001455</v>
      </c>
      <c r="G34" s="4">
        <f t="shared" si="1"/>
        <v>4494070.0000001509</v>
      </c>
      <c r="H34" s="11">
        <v>0.41999999999998749</v>
      </c>
      <c r="I34" s="12">
        <f t="shared" si="7"/>
        <v>839.99999999997499</v>
      </c>
      <c r="J34" s="4">
        <f t="shared" si="8"/>
        <v>1304729.9999999611</v>
      </c>
      <c r="K34" s="11">
        <f t="shared" si="9"/>
        <v>5798800.0000001118</v>
      </c>
      <c r="L34" s="13">
        <f t="shared" si="10"/>
        <v>6378680.0000001239</v>
      </c>
      <c r="M34" s="85">
        <f t="shared" si="6"/>
        <v>446.31122306186143</v>
      </c>
      <c r="N34" s="84"/>
    </row>
    <row r="35" spans="1:16" ht="17.100000000000001" customHeight="1" x14ac:dyDescent="0.25">
      <c r="A35" s="80"/>
      <c r="B35" s="77">
        <v>28</v>
      </c>
      <c r="C35" s="37"/>
      <c r="D35" s="37"/>
      <c r="E35" s="11">
        <v>2.2299999999999045</v>
      </c>
      <c r="F35" s="12">
        <f t="shared" si="0"/>
        <v>4459.999999999809</v>
      </c>
      <c r="G35" s="4">
        <f t="shared" si="1"/>
        <v>4618329.9999998026</v>
      </c>
      <c r="H35" s="11">
        <v>0.45000000000001705</v>
      </c>
      <c r="I35" s="12">
        <f t="shared" si="7"/>
        <v>900.00000000003411</v>
      </c>
      <c r="J35" s="4">
        <f t="shared" si="8"/>
        <v>1397925.0000000531</v>
      </c>
      <c r="K35" s="11">
        <f t="shared" si="9"/>
        <v>6016254.9999998556</v>
      </c>
      <c r="L35" s="13">
        <f t="shared" si="10"/>
        <v>6617880.4999998417</v>
      </c>
      <c r="M35" s="85">
        <f t="shared" si="6"/>
        <v>463.04789392666117</v>
      </c>
      <c r="N35" s="84"/>
    </row>
    <row r="36" spans="1:16" ht="17.100000000000001" customHeight="1" x14ac:dyDescent="0.25">
      <c r="A36" s="80"/>
      <c r="B36" s="77">
        <v>29</v>
      </c>
      <c r="C36" s="37"/>
      <c r="D36" s="37"/>
      <c r="E36" s="11">
        <v>2</v>
      </c>
      <c r="F36" s="12">
        <f t="shared" si="0"/>
        <v>4000</v>
      </c>
      <c r="G36" s="4">
        <f t="shared" si="1"/>
        <v>4142000</v>
      </c>
      <c r="H36" s="11">
        <v>0.39999999999997726</v>
      </c>
      <c r="I36" s="12">
        <f t="shared" si="7"/>
        <v>799.99999999995453</v>
      </c>
      <c r="J36" s="4">
        <f t="shared" si="8"/>
        <v>1242599.9999999295</v>
      </c>
      <c r="K36" s="11">
        <f t="shared" si="9"/>
        <v>5384599.9999999292</v>
      </c>
      <c r="L36" s="13">
        <f t="shared" si="10"/>
        <v>5923059.9999999227</v>
      </c>
      <c r="M36" s="85">
        <f t="shared" si="6"/>
        <v>414.43184998600077</v>
      </c>
      <c r="N36" s="84"/>
    </row>
    <row r="37" spans="1:16" ht="17.100000000000001" customHeight="1" x14ac:dyDescent="0.25">
      <c r="A37" s="80"/>
      <c r="B37" s="77">
        <v>30</v>
      </c>
      <c r="C37" s="37"/>
      <c r="D37" s="37"/>
      <c r="E37" s="11">
        <v>2.1800000000000637</v>
      </c>
      <c r="F37" s="12">
        <f t="shared" si="0"/>
        <v>4360.0000000001273</v>
      </c>
      <c r="G37" s="4">
        <f t="shared" si="1"/>
        <v>4514780.0000001322</v>
      </c>
      <c r="H37" s="11">
        <v>0.43000000000000682</v>
      </c>
      <c r="I37" s="12">
        <f t="shared" si="7"/>
        <v>860.00000000001364</v>
      </c>
      <c r="J37" s="4">
        <f t="shared" si="8"/>
        <v>1335795.0000000212</v>
      </c>
      <c r="K37" s="11">
        <f t="shared" si="9"/>
        <v>5850575.0000001537</v>
      </c>
      <c r="L37" s="13">
        <f t="shared" si="10"/>
        <v>6435632.5000001695</v>
      </c>
      <c r="M37" s="85">
        <f t="shared" si="6"/>
        <v>450.29614469634549</v>
      </c>
      <c r="N37" s="84"/>
    </row>
    <row r="38" spans="1:16" ht="17.100000000000001" customHeight="1" x14ac:dyDescent="0.25">
      <c r="B38" s="77">
        <v>31</v>
      </c>
      <c r="C38" s="37"/>
      <c r="D38" s="37"/>
      <c r="E38" s="11">
        <v>2.2300000000000182</v>
      </c>
      <c r="F38" s="12">
        <f t="shared" ref="F38" si="11">E38*2000</f>
        <v>4460.0000000000364</v>
      </c>
      <c r="G38" s="4">
        <f t="shared" ref="G38" si="12">F38*1035.5</f>
        <v>4618330.0000000373</v>
      </c>
      <c r="H38" s="11">
        <v>0.42000000000001592</v>
      </c>
      <c r="I38" s="12">
        <f t="shared" ref="I38" si="13">H38*2000</f>
        <v>840.00000000003183</v>
      </c>
      <c r="J38" s="4">
        <f t="shared" ref="J38" si="14">I38*1553.25</f>
        <v>1304730.0000000494</v>
      </c>
      <c r="K38" s="11">
        <f t="shared" ref="K38" si="15">G38+J38</f>
        <v>5923060.0000000866</v>
      </c>
      <c r="L38" s="13">
        <f t="shared" ref="L38" si="16">K38*1.1</f>
        <v>6515366.0000000959</v>
      </c>
      <c r="M38" s="85">
        <f t="shared" si="6"/>
        <v>455.87503498461348</v>
      </c>
      <c r="N38" s="47"/>
    </row>
    <row r="39" spans="1:16" ht="15" x14ac:dyDescent="0.25">
      <c r="C39" s="19">
        <f>SUM(C8:C38)</f>
        <v>84</v>
      </c>
      <c r="D39" s="19">
        <f>SUM(D8:D38)</f>
        <v>522</v>
      </c>
      <c r="F39" s="19">
        <f>SUM(F8:F38)</f>
        <v>154440</v>
      </c>
      <c r="I39" s="19">
        <f>SUM(I8:I38)</f>
        <v>29840.000000000033</v>
      </c>
      <c r="K39" s="2" t="s">
        <v>42</v>
      </c>
      <c r="L39" s="54">
        <f>SUM(L8:L38)</f>
        <v>226898760.00000012</v>
      </c>
      <c r="M39" s="55">
        <f>SUM(M8:M38)</f>
        <v>15875.92779177163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184280.00000000003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  <mergeCell ref="I6:I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C35" activePane="bottomRight" state="frozen"/>
      <selection activeCell="A3" sqref="A3"/>
      <selection pane="topRight" activeCell="C3" sqref="C3"/>
      <selection pane="bottomLeft" activeCell="A9" sqref="A9"/>
      <selection pane="bottomRight" activeCell="K26" sqref="K26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21" ht="15.75" x14ac:dyDescent="0.25">
      <c r="B1" s="88" t="s">
        <v>17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21" ht="15.75" x14ac:dyDescent="0.2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21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21" x14ac:dyDescent="0.2">
      <c r="A4" s="8"/>
      <c r="B4" s="92">
        <v>44378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8"/>
    </row>
    <row r="5" spans="1:21" ht="23.25" customHeight="1" x14ac:dyDescent="0.2">
      <c r="A5" s="79"/>
      <c r="B5" s="86" t="s">
        <v>1</v>
      </c>
      <c r="C5" s="86" t="s">
        <v>38</v>
      </c>
      <c r="D5" s="86" t="s">
        <v>39</v>
      </c>
      <c r="E5" s="94" t="s">
        <v>19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3" t="s">
        <v>20</v>
      </c>
      <c r="R5" s="93"/>
      <c r="S5" s="69"/>
    </row>
    <row r="6" spans="1:21" s="7" customFormat="1" ht="48" customHeight="1" x14ac:dyDescent="0.2">
      <c r="A6" s="79"/>
      <c r="B6" s="86"/>
      <c r="C6" s="86"/>
      <c r="D6" s="86"/>
      <c r="E6" s="94" t="s">
        <v>21</v>
      </c>
      <c r="F6" s="94"/>
      <c r="G6" s="94"/>
      <c r="H6" s="94" t="s">
        <v>22</v>
      </c>
      <c r="I6" s="94"/>
      <c r="J6" s="94"/>
      <c r="K6" s="94" t="s">
        <v>23</v>
      </c>
      <c r="L6" s="94"/>
      <c r="M6" s="94"/>
      <c r="N6" s="95" t="s">
        <v>24</v>
      </c>
      <c r="O6" s="95"/>
      <c r="P6" s="95"/>
      <c r="Q6" s="93"/>
      <c r="R6" s="93"/>
      <c r="S6" s="69"/>
    </row>
    <row r="7" spans="1:21" ht="36" customHeight="1" x14ac:dyDescent="0.2">
      <c r="A7" s="80"/>
      <c r="B7" s="86"/>
      <c r="C7" s="86"/>
      <c r="D7" s="86"/>
      <c r="E7" s="86" t="s">
        <v>10</v>
      </c>
      <c r="F7" s="96" t="s">
        <v>29</v>
      </c>
      <c r="G7" s="73" t="s">
        <v>57</v>
      </c>
      <c r="H7" s="86" t="s">
        <v>27</v>
      </c>
      <c r="I7" s="86" t="s">
        <v>29</v>
      </c>
      <c r="J7" s="73" t="s">
        <v>57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3"/>
      <c r="R7" s="93"/>
      <c r="S7" s="70"/>
    </row>
    <row r="8" spans="1:21" ht="15.75" customHeight="1" x14ac:dyDescent="0.2">
      <c r="A8" s="80"/>
      <c r="B8" s="86"/>
      <c r="C8" s="86"/>
      <c r="D8" s="86"/>
      <c r="E8" s="86"/>
      <c r="F8" s="97"/>
      <c r="G8" s="82">
        <v>12980</v>
      </c>
      <c r="H8" s="86"/>
      <c r="I8" s="86"/>
      <c r="J8" s="82">
        <f>G8</f>
        <v>12980</v>
      </c>
      <c r="K8" s="86"/>
      <c r="L8" s="86"/>
      <c r="M8" s="82">
        <f>J8</f>
        <v>12980</v>
      </c>
      <c r="N8" s="86"/>
      <c r="O8" s="86"/>
      <c r="P8" s="82">
        <f>J8</f>
        <v>12980</v>
      </c>
      <c r="Q8" s="83" t="s">
        <v>30</v>
      </c>
      <c r="R8" s="73" t="s">
        <v>9</v>
      </c>
      <c r="S8" s="70"/>
      <c r="U8">
        <f>649000/50</f>
        <v>12980</v>
      </c>
    </row>
    <row r="9" spans="1:21" ht="17.100000000000001" customHeight="1" x14ac:dyDescent="0.25">
      <c r="A9" s="80"/>
      <c r="B9" s="77">
        <v>1</v>
      </c>
      <c r="C9" s="16">
        <f>Electricity!C8</f>
        <v>13</v>
      </c>
      <c r="D9" s="16">
        <f>Electricity!D8</f>
        <v>68</v>
      </c>
      <c r="E9" s="3">
        <v>6144.9</v>
      </c>
      <c r="F9" s="11">
        <v>65.132760000000289</v>
      </c>
      <c r="G9" s="25">
        <f>F9*$G$8</f>
        <v>845423.22480000369</v>
      </c>
      <c r="H9" s="3">
        <v>638.79999999999995</v>
      </c>
      <c r="I9" s="25">
        <v>0</v>
      </c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92677.2</v>
      </c>
      <c r="Q9" s="17">
        <f>P9+G9+J9+M9</f>
        <v>938100.42480000365</v>
      </c>
      <c r="R9" s="78">
        <f>Q9/14292</f>
        <v>65.638148950462053</v>
      </c>
      <c r="S9" s="70"/>
    </row>
    <row r="10" spans="1:21" ht="17.100000000000001" customHeight="1" x14ac:dyDescent="0.25">
      <c r="A10" s="80"/>
      <c r="B10" s="77">
        <v>2</v>
      </c>
      <c r="C10" s="16">
        <f>Electricity!C9</f>
        <v>7</v>
      </c>
      <c r="D10" s="16">
        <f>Electricity!D9</f>
        <v>70</v>
      </c>
      <c r="E10" s="3">
        <v>6159.47</v>
      </c>
      <c r="F10" s="11">
        <v>58.687960000002484</v>
      </c>
      <c r="G10" s="25">
        <f>F10*$G$8</f>
        <v>761769.72080003226</v>
      </c>
      <c r="H10" s="3">
        <v>638.79999999999995</v>
      </c>
      <c r="I10" s="25">
        <f>H10-H9</f>
        <v>0</v>
      </c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92677.2</v>
      </c>
      <c r="Q10" s="17">
        <f>J10+M10+G10+P10</f>
        <v>854446.92080003221</v>
      </c>
      <c r="R10" s="78">
        <f t="shared" ref="R10:R39" si="1">Q10/14292</f>
        <v>59.784979065213562</v>
      </c>
      <c r="S10" s="70"/>
    </row>
    <row r="11" spans="1:21" ht="17.100000000000001" customHeight="1" x14ac:dyDescent="0.25">
      <c r="A11" s="80"/>
      <c r="B11" s="77">
        <v>3</v>
      </c>
      <c r="C11" s="16">
        <f>Electricity!C10</f>
        <v>8</v>
      </c>
      <c r="D11" s="16">
        <f>Electricity!D10</f>
        <v>34</v>
      </c>
      <c r="E11" s="3">
        <v>6170.88</v>
      </c>
      <c r="F11" s="11">
        <v>45.959479999999409</v>
      </c>
      <c r="G11" s="25">
        <f t="shared" ref="G11:G38" si="2">F11*$G$8</f>
        <v>596554.05039999238</v>
      </c>
      <c r="H11" s="3">
        <v>638.79999999999995</v>
      </c>
      <c r="I11" s="25">
        <f t="shared" ref="I11:I39" si="3">H11-H10</f>
        <v>0</v>
      </c>
      <c r="J11" s="25">
        <f t="shared" ref="J11:J38" si="4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5">O11*$P$8</f>
        <v>92677.2</v>
      </c>
      <c r="Q11" s="17">
        <f t="shared" ref="Q11:Q38" si="6">J11+M11+G11+P11</f>
        <v>689231.25039999234</v>
      </c>
      <c r="R11" s="78">
        <f t="shared" si="1"/>
        <v>48.224968541841051</v>
      </c>
      <c r="S11" s="70"/>
    </row>
    <row r="12" spans="1:21" ht="17.100000000000001" customHeight="1" x14ac:dyDescent="0.25">
      <c r="A12" s="80"/>
      <c r="B12" s="77">
        <v>4</v>
      </c>
      <c r="C12" s="16">
        <f>Electricity!C11</f>
        <v>4</v>
      </c>
      <c r="D12" s="16">
        <f>Electricity!D11</f>
        <v>34</v>
      </c>
      <c r="E12" s="3">
        <v>6183.16</v>
      </c>
      <c r="F12" s="11">
        <v>49.463839999998967</v>
      </c>
      <c r="G12" s="25">
        <f t="shared" si="2"/>
        <v>642040.64319998655</v>
      </c>
      <c r="H12" s="3">
        <v>638.79999999999995</v>
      </c>
      <c r="I12" s="25">
        <f t="shared" si="3"/>
        <v>0</v>
      </c>
      <c r="J12" s="25">
        <f t="shared" si="4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5"/>
        <v>92677.2</v>
      </c>
      <c r="Q12" s="17">
        <f t="shared" si="6"/>
        <v>734717.8431999865</v>
      </c>
      <c r="R12" s="78">
        <f t="shared" si="1"/>
        <v>51.407629666945596</v>
      </c>
      <c r="S12" s="70"/>
    </row>
    <row r="13" spans="1:21" ht="17.100000000000001" customHeight="1" x14ac:dyDescent="0.25">
      <c r="A13" s="80"/>
      <c r="B13" s="77">
        <v>5</v>
      </c>
      <c r="C13" s="16">
        <f>Electricity!C12</f>
        <v>4</v>
      </c>
      <c r="D13" s="16">
        <f>Electricity!D12</f>
        <v>12</v>
      </c>
      <c r="E13" s="3">
        <v>6195.42</v>
      </c>
      <c r="F13" s="11">
        <v>49.383280000000873</v>
      </c>
      <c r="G13" s="25">
        <f t="shared" si="2"/>
        <v>640994.97440001136</v>
      </c>
      <c r="H13" s="3">
        <v>638.79999999999995</v>
      </c>
      <c r="I13" s="25">
        <f t="shared" si="3"/>
        <v>0</v>
      </c>
      <c r="J13" s="25">
        <f t="shared" si="4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5"/>
        <v>92677.2</v>
      </c>
      <c r="Q13" s="17">
        <f t="shared" si="6"/>
        <v>733672.17440001131</v>
      </c>
      <c r="R13" s="78">
        <f t="shared" si="1"/>
        <v>51.334465043381705</v>
      </c>
      <c r="S13" s="70"/>
    </row>
    <row r="14" spans="1:21" ht="17.100000000000001" customHeight="1" x14ac:dyDescent="0.25">
      <c r="A14" s="80"/>
      <c r="B14" s="77">
        <v>6</v>
      </c>
      <c r="C14" s="16">
        <f>Electricity!C13</f>
        <v>2</v>
      </c>
      <c r="D14" s="16">
        <f>Electricity!D13</f>
        <v>14</v>
      </c>
      <c r="E14" s="3">
        <v>6205.63</v>
      </c>
      <c r="F14" s="11">
        <v>41.125880000000144</v>
      </c>
      <c r="G14" s="25">
        <f t="shared" si="2"/>
        <v>533813.9224000019</v>
      </c>
      <c r="H14" s="3">
        <v>638.79999999999995</v>
      </c>
      <c r="I14" s="25">
        <f t="shared" si="3"/>
        <v>0</v>
      </c>
      <c r="J14" s="25">
        <f t="shared" si="4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5"/>
        <v>92677.2</v>
      </c>
      <c r="Q14" s="17">
        <f t="shared" si="6"/>
        <v>626491.12240000186</v>
      </c>
      <c r="R14" s="78">
        <f t="shared" si="1"/>
        <v>43.835091127903851</v>
      </c>
      <c r="S14" s="70"/>
    </row>
    <row r="15" spans="1:21" ht="17.100000000000001" customHeight="1" x14ac:dyDescent="0.25">
      <c r="A15" s="80"/>
      <c r="B15" s="77">
        <v>7</v>
      </c>
      <c r="C15" s="16">
        <f>Electricity!C14</f>
        <v>2</v>
      </c>
      <c r="D15" s="16">
        <f>Electricity!D14</f>
        <v>22</v>
      </c>
      <c r="E15" s="3">
        <v>6218.24</v>
      </c>
      <c r="F15" s="11">
        <v>50.793079999998675</v>
      </c>
      <c r="G15" s="25">
        <f t="shared" si="2"/>
        <v>659294.17839998275</v>
      </c>
      <c r="H15" s="3">
        <v>638.79999999999995</v>
      </c>
      <c r="I15" s="25">
        <f t="shared" si="3"/>
        <v>0</v>
      </c>
      <c r="J15" s="25">
        <f t="shared" si="4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5"/>
        <v>92677.2</v>
      </c>
      <c r="Q15" s="17">
        <f t="shared" si="6"/>
        <v>751971.3783999827</v>
      </c>
      <c r="R15" s="78">
        <f t="shared" si="1"/>
        <v>52.614845955778243</v>
      </c>
      <c r="S15" s="70"/>
    </row>
    <row r="16" spans="1:21" ht="17.100000000000001" customHeight="1" x14ac:dyDescent="0.25">
      <c r="A16" s="80"/>
      <c r="B16" s="77">
        <v>8</v>
      </c>
      <c r="C16" s="16">
        <f>Electricity!C15</f>
        <v>2</v>
      </c>
      <c r="D16" s="16">
        <f>Electricity!D15</f>
        <v>11</v>
      </c>
      <c r="E16" s="3">
        <v>6228.76</v>
      </c>
      <c r="F16" s="11">
        <v>42.374560000001757</v>
      </c>
      <c r="G16" s="25">
        <f t="shared" si="2"/>
        <v>550021.7888000228</v>
      </c>
      <c r="H16" s="3">
        <v>638.79999999999995</v>
      </c>
      <c r="I16" s="25">
        <f t="shared" si="3"/>
        <v>0</v>
      </c>
      <c r="J16" s="25">
        <f t="shared" si="4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5"/>
        <v>92677.2</v>
      </c>
      <c r="Q16" s="17">
        <f t="shared" si="6"/>
        <v>642698.98880002275</v>
      </c>
      <c r="R16" s="78">
        <f t="shared" si="1"/>
        <v>44.969142793172594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6</v>
      </c>
      <c r="D17" s="16">
        <f>Electricity!D16</f>
        <v>15</v>
      </c>
      <c r="E17" s="3">
        <v>6239.39</v>
      </c>
      <c r="F17" s="11">
        <v>42.817640000000438</v>
      </c>
      <c r="G17" s="25">
        <f t="shared" si="2"/>
        <v>555772.96720000566</v>
      </c>
      <c r="H17" s="3">
        <v>638.79999999999995</v>
      </c>
      <c r="I17" s="25">
        <f t="shared" si="3"/>
        <v>0</v>
      </c>
      <c r="J17" s="25">
        <f t="shared" si="4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5"/>
        <v>92677.2</v>
      </c>
      <c r="Q17" s="17">
        <f t="shared" si="6"/>
        <v>648450.16720000561</v>
      </c>
      <c r="R17" s="78">
        <f t="shared" si="1"/>
        <v>45.371548222782366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5</v>
      </c>
      <c r="D18" s="16">
        <f>Electricity!D17</f>
        <v>21</v>
      </c>
      <c r="E18" s="3">
        <v>6249.78</v>
      </c>
      <c r="F18" s="11">
        <v>41.85091999999765</v>
      </c>
      <c r="G18" s="25">
        <f t="shared" si="2"/>
        <v>543224.94159996952</v>
      </c>
      <c r="H18" s="3">
        <v>638.79999999999995</v>
      </c>
      <c r="I18" s="25">
        <f t="shared" si="3"/>
        <v>0</v>
      </c>
      <c r="J18" s="25">
        <f t="shared" si="4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5"/>
        <v>92677.2</v>
      </c>
      <c r="Q18" s="17">
        <f t="shared" si="6"/>
        <v>635902.14159996947</v>
      </c>
      <c r="R18" s="78">
        <f t="shared" si="1"/>
        <v>44.493572739992267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2</v>
      </c>
      <c r="D19" s="16">
        <f>Electricity!D18</f>
        <v>32</v>
      </c>
      <c r="E19" s="3">
        <v>6259.89</v>
      </c>
      <c r="F19" s="11">
        <v>40.723080000002341</v>
      </c>
      <c r="G19" s="25">
        <f t="shared" si="2"/>
        <v>528585.57840003038</v>
      </c>
      <c r="H19" s="3">
        <v>638.79999999999995</v>
      </c>
      <c r="I19" s="25">
        <f t="shared" si="3"/>
        <v>0</v>
      </c>
      <c r="J19" s="25">
        <f t="shared" si="4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5"/>
        <v>92677.2</v>
      </c>
      <c r="Q19" s="17">
        <f t="shared" si="6"/>
        <v>621262.77840003034</v>
      </c>
      <c r="R19" s="78">
        <f t="shared" si="1"/>
        <v>43.469268010077691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1</v>
      </c>
      <c r="D20" s="16">
        <f>Electricity!D19</f>
        <v>4</v>
      </c>
      <c r="E20" s="3">
        <v>6271.41</v>
      </c>
      <c r="F20" s="11">
        <v>46.40255999999809</v>
      </c>
      <c r="G20" s="25">
        <f t="shared" si="2"/>
        <v>602305.22879997524</v>
      </c>
      <c r="H20" s="3">
        <v>638.79999999999995</v>
      </c>
      <c r="I20" s="25">
        <f t="shared" si="3"/>
        <v>0</v>
      </c>
      <c r="J20" s="25">
        <f t="shared" si="4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5"/>
        <v>92677.2</v>
      </c>
      <c r="Q20" s="17">
        <f t="shared" si="6"/>
        <v>694982.4287999752</v>
      </c>
      <c r="R20" s="78">
        <f t="shared" si="1"/>
        <v>48.627373971450822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2</v>
      </c>
      <c r="D21" s="16">
        <f>Electricity!D20</f>
        <v>22</v>
      </c>
      <c r="E21" s="3">
        <v>6282.86</v>
      </c>
      <c r="F21" s="11">
        <v>46.120599999999264</v>
      </c>
      <c r="G21" s="25">
        <f t="shared" si="2"/>
        <v>598645.38799999049</v>
      </c>
      <c r="H21" s="3">
        <v>638.79999999999995</v>
      </c>
      <c r="I21" s="25">
        <f t="shared" si="3"/>
        <v>0</v>
      </c>
      <c r="J21" s="25">
        <f t="shared" si="4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5"/>
        <v>92677.2</v>
      </c>
      <c r="Q21" s="17">
        <f t="shared" si="6"/>
        <v>691322.58799999044</v>
      </c>
      <c r="R21" s="78">
        <f t="shared" si="1"/>
        <v>48.371297788972186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4</v>
      </c>
      <c r="D22" s="16">
        <f>Electricity!D21</f>
        <v>27</v>
      </c>
      <c r="E22" s="3">
        <v>6294.53</v>
      </c>
      <c r="F22" s="11">
        <v>47.006760000000291</v>
      </c>
      <c r="G22" s="25">
        <f t="shared" si="2"/>
        <v>610147.74480000383</v>
      </c>
      <c r="H22" s="3">
        <v>638.79999999999995</v>
      </c>
      <c r="I22" s="25">
        <f t="shared" si="3"/>
        <v>0</v>
      </c>
      <c r="J22" s="25">
        <f t="shared" si="4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5"/>
        <v>92677.2</v>
      </c>
      <c r="Q22" s="17">
        <f t="shared" si="6"/>
        <v>702824.94480000378</v>
      </c>
      <c r="R22" s="78">
        <f t="shared" si="1"/>
        <v>49.176108648195061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3</v>
      </c>
      <c r="D23" s="16">
        <f>Electricity!D22</f>
        <v>32</v>
      </c>
      <c r="E23" s="3">
        <v>6307.71</v>
      </c>
      <c r="F23" s="11">
        <v>53.08904000000117</v>
      </c>
      <c r="G23" s="25">
        <f t="shared" si="2"/>
        <v>689095.7392000152</v>
      </c>
      <c r="H23" s="3">
        <v>638.79999999999995</v>
      </c>
      <c r="I23" s="25">
        <f t="shared" si="3"/>
        <v>0</v>
      </c>
      <c r="J23" s="25">
        <f t="shared" si="4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5"/>
        <v>92677.2</v>
      </c>
      <c r="Q23" s="17">
        <f t="shared" si="6"/>
        <v>781772.93920001516</v>
      </c>
      <c r="R23" s="78">
        <f t="shared" si="1"/>
        <v>54.700037727401003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2</v>
      </c>
      <c r="D24" s="16">
        <f>Electricity!D23</f>
        <v>13</v>
      </c>
      <c r="E24" s="3">
        <v>6319.95</v>
      </c>
      <c r="F24" s="11">
        <v>49.302719999999113</v>
      </c>
      <c r="G24" s="25">
        <f t="shared" si="2"/>
        <v>639949.30559998844</v>
      </c>
      <c r="H24" s="3">
        <v>638.79999999999995</v>
      </c>
      <c r="I24" s="25">
        <f t="shared" si="3"/>
        <v>0</v>
      </c>
      <c r="J24" s="25">
        <f t="shared" si="4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5"/>
        <v>92677.2</v>
      </c>
      <c r="Q24" s="17">
        <f t="shared" si="6"/>
        <v>732626.50559998839</v>
      </c>
      <c r="R24" s="78">
        <f t="shared" si="1"/>
        <v>51.261300419814468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4</v>
      </c>
      <c r="D25" s="16">
        <f>Electricity!D24</f>
        <v>15</v>
      </c>
      <c r="E25" s="3">
        <v>6331.3</v>
      </c>
      <c r="F25" s="11">
        <v>45.717800000001461</v>
      </c>
      <c r="G25" s="25">
        <f t="shared" si="2"/>
        <v>593417.04400001897</v>
      </c>
      <c r="H25" s="3">
        <v>638.79999999999995</v>
      </c>
      <c r="I25" s="25">
        <f t="shared" si="3"/>
        <v>0</v>
      </c>
      <c r="J25" s="25">
        <f t="shared" si="4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5"/>
        <v>92677.2</v>
      </c>
      <c r="Q25" s="17">
        <f t="shared" si="6"/>
        <v>686094.24400001892</v>
      </c>
      <c r="R25" s="78">
        <f t="shared" si="1"/>
        <v>48.005474671146018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3</v>
      </c>
      <c r="D26" s="16">
        <f>Electricity!D25</f>
        <v>19</v>
      </c>
      <c r="E26" s="3">
        <v>6351.82</v>
      </c>
      <c r="F26" s="11">
        <v>82.654559999998085</v>
      </c>
      <c r="G26" s="25">
        <f t="shared" si="2"/>
        <v>1072856.1887999752</v>
      </c>
      <c r="H26" s="3">
        <v>638.79999999999995</v>
      </c>
      <c r="I26" s="25">
        <f t="shared" si="3"/>
        <v>0</v>
      </c>
      <c r="J26" s="25">
        <f t="shared" si="4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5"/>
        <v>92677.2</v>
      </c>
      <c r="Q26" s="17">
        <f t="shared" si="6"/>
        <v>1165533.3887999752</v>
      </c>
      <c r="R26" s="78">
        <f t="shared" si="1"/>
        <v>81.551454575984835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3</v>
      </c>
      <c r="D27" s="16">
        <f>Electricity!D26</f>
        <v>19</v>
      </c>
      <c r="E27" s="3">
        <v>6363.95</v>
      </c>
      <c r="F27" s="11">
        <v>48.859640000000432</v>
      </c>
      <c r="G27" s="25">
        <f t="shared" si="2"/>
        <v>634198.12720000558</v>
      </c>
      <c r="H27" s="3">
        <v>638.79999999999995</v>
      </c>
      <c r="I27" s="25">
        <f t="shared" si="3"/>
        <v>0</v>
      </c>
      <c r="J27" s="25">
        <f t="shared" si="4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5"/>
        <v>92677.2</v>
      </c>
      <c r="Q27" s="17">
        <f t="shared" si="6"/>
        <v>726875.32720000553</v>
      </c>
      <c r="R27" s="78">
        <f t="shared" si="1"/>
        <v>50.858894990204696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3</v>
      </c>
      <c r="D28" s="16">
        <f>Electricity!D27</f>
        <v>23</v>
      </c>
      <c r="E28" s="3">
        <v>6371.58</v>
      </c>
      <c r="F28" s="11">
        <v>30.733640000000438</v>
      </c>
      <c r="G28" s="25">
        <f t="shared" si="2"/>
        <v>398922.64720000571</v>
      </c>
      <c r="H28" s="3">
        <v>638.79999999999995</v>
      </c>
      <c r="I28" s="25">
        <f t="shared" si="3"/>
        <v>0</v>
      </c>
      <c r="J28" s="25">
        <f t="shared" si="4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5"/>
        <v>92677.2</v>
      </c>
      <c r="Q28" s="17">
        <f t="shared" si="6"/>
        <v>491599.84720000572</v>
      </c>
      <c r="R28" s="78">
        <f t="shared" si="1"/>
        <v>34.396854687937712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4</v>
      </c>
      <c r="D29" s="16">
        <f>Electricity!D28</f>
        <v>15</v>
      </c>
      <c r="E29" s="3">
        <v>6383.71</v>
      </c>
      <c r="F29" s="11">
        <v>48.859640000000432</v>
      </c>
      <c r="G29" s="25">
        <f t="shared" si="2"/>
        <v>634198.12720000558</v>
      </c>
      <c r="H29" s="3">
        <v>638.79999999999995</v>
      </c>
      <c r="I29" s="25">
        <f t="shared" si="3"/>
        <v>0</v>
      </c>
      <c r="J29" s="25">
        <f t="shared" si="4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5"/>
        <v>92677.2</v>
      </c>
      <c r="Q29" s="17">
        <f t="shared" si="6"/>
        <v>726875.32720000553</v>
      </c>
      <c r="R29" s="78">
        <f t="shared" si="1"/>
        <v>50.858894990204696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0</v>
      </c>
      <c r="D30" s="16">
        <f>Electricity!D29</f>
        <v>0</v>
      </c>
      <c r="E30" s="3">
        <v>6398.37</v>
      </c>
      <c r="F30" s="11">
        <v>59.050479999999411</v>
      </c>
      <c r="G30" s="25">
        <f t="shared" si="2"/>
        <v>766475.23039999232</v>
      </c>
      <c r="H30" s="3">
        <v>638.79999999999995</v>
      </c>
      <c r="I30" s="25">
        <f t="shared" si="3"/>
        <v>0</v>
      </c>
      <c r="J30" s="25">
        <f t="shared" si="4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5"/>
        <v>92677.2</v>
      </c>
      <c r="Q30" s="17">
        <f t="shared" si="6"/>
        <v>859152.43039999227</v>
      </c>
      <c r="R30" s="78">
        <f t="shared" si="1"/>
        <v>60.114219871256104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0</v>
      </c>
      <c r="D31" s="16">
        <f>Electricity!D30</f>
        <v>0</v>
      </c>
      <c r="E31" s="3">
        <v>6406.24</v>
      </c>
      <c r="F31" s="11">
        <v>31.700359999999556</v>
      </c>
      <c r="G31" s="25">
        <f t="shared" si="2"/>
        <v>411470.67279999424</v>
      </c>
      <c r="H31" s="3">
        <v>638.79999999999995</v>
      </c>
      <c r="I31" s="25">
        <f t="shared" si="3"/>
        <v>0</v>
      </c>
      <c r="J31" s="25">
        <f t="shared" si="4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5"/>
        <v>92677.2</v>
      </c>
      <c r="Q31" s="17">
        <f t="shared" si="6"/>
        <v>504147.87279999425</v>
      </c>
      <c r="R31" s="78">
        <f t="shared" si="1"/>
        <v>35.274830170724478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0</v>
      </c>
      <c r="D32" s="16">
        <f>Electricity!D31</f>
        <v>0</v>
      </c>
      <c r="E32" s="3">
        <v>6417.54</v>
      </c>
      <c r="F32" s="11">
        <v>45.516400000000729</v>
      </c>
      <c r="G32" s="25">
        <f t="shared" si="2"/>
        <v>590802.87200000952</v>
      </c>
      <c r="H32" s="3">
        <v>638.79999999999995</v>
      </c>
      <c r="I32" s="25">
        <f t="shared" si="3"/>
        <v>0</v>
      </c>
      <c r="J32" s="25">
        <f t="shared" si="4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5"/>
        <v>92677.2</v>
      </c>
      <c r="Q32" s="17">
        <f t="shared" si="6"/>
        <v>683480.07200000947</v>
      </c>
      <c r="R32" s="78">
        <f t="shared" si="1"/>
        <v>47.822563112231279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0</v>
      </c>
      <c r="D33" s="16">
        <f>Electricity!D32</f>
        <v>0</v>
      </c>
      <c r="E33" s="3">
        <v>6426.82</v>
      </c>
      <c r="F33" s="11">
        <v>37.379839999998971</v>
      </c>
      <c r="G33" s="25">
        <f t="shared" si="2"/>
        <v>485190.32319998665</v>
      </c>
      <c r="H33" s="3">
        <v>638.79999999999995</v>
      </c>
      <c r="I33" s="25">
        <f t="shared" si="3"/>
        <v>0</v>
      </c>
      <c r="J33" s="25">
        <f t="shared" si="4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5"/>
        <v>92677.2</v>
      </c>
      <c r="Q33" s="17">
        <f t="shared" si="6"/>
        <v>577867.52319998667</v>
      </c>
      <c r="R33" s="78">
        <f t="shared" si="1"/>
        <v>40.432936132100942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0</v>
      </c>
      <c r="D34" s="16">
        <f>Electricity!D33</f>
        <v>0</v>
      </c>
      <c r="E34" s="3">
        <v>6432.72</v>
      </c>
      <c r="F34" s="11">
        <v>23.765200000002196</v>
      </c>
      <c r="G34" s="25">
        <f t="shared" si="2"/>
        <v>308472.29600002849</v>
      </c>
      <c r="H34" s="3">
        <v>638.79999999999995</v>
      </c>
      <c r="I34" s="25">
        <f t="shared" si="3"/>
        <v>0</v>
      </c>
      <c r="J34" s="25">
        <f t="shared" si="4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5"/>
        <v>92677.2</v>
      </c>
      <c r="Q34" s="17">
        <f t="shared" si="6"/>
        <v>401149.49600002851</v>
      </c>
      <c r="R34" s="78">
        <f t="shared" si="1"/>
        <v>28.068114749512208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0</v>
      </c>
      <c r="D35" s="16">
        <f>Electricity!D34</f>
        <v>0</v>
      </c>
      <c r="E35" s="3">
        <v>6434.15</v>
      </c>
      <c r="F35" s="11">
        <v>5.7600399999975078</v>
      </c>
      <c r="G35" s="25">
        <f t="shared" si="2"/>
        <v>74765.319199967649</v>
      </c>
      <c r="H35" s="3">
        <v>638.79999999999995</v>
      </c>
      <c r="I35" s="25">
        <f t="shared" si="3"/>
        <v>0</v>
      </c>
      <c r="J35" s="25">
        <f t="shared" si="4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5"/>
        <v>92677.2</v>
      </c>
      <c r="Q35" s="17">
        <f t="shared" si="6"/>
        <v>167442.51919996765</v>
      </c>
      <c r="R35" s="78">
        <f t="shared" si="1"/>
        <v>11.715821382589397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0</v>
      </c>
      <c r="D36" s="16">
        <f>Electricity!D35</f>
        <v>0</v>
      </c>
      <c r="E36" s="3">
        <v>6441.75</v>
      </c>
      <c r="F36" s="11">
        <v>30.612800000001464</v>
      </c>
      <c r="G36" s="25">
        <f t="shared" si="2"/>
        <v>397354.14400001901</v>
      </c>
      <c r="H36" s="3">
        <v>638.79999999999995</v>
      </c>
      <c r="I36" s="25">
        <f t="shared" si="3"/>
        <v>0</v>
      </c>
      <c r="J36" s="25">
        <f t="shared" si="4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5"/>
        <v>92677.2</v>
      </c>
      <c r="Q36" s="17">
        <f t="shared" si="6"/>
        <v>490031.34400001902</v>
      </c>
      <c r="R36" s="78">
        <f t="shared" si="1"/>
        <v>34.287107752590188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0</v>
      </c>
      <c r="D37" s="16">
        <f>Electricity!D36</f>
        <v>0</v>
      </c>
      <c r="E37" s="3">
        <v>6446.47</v>
      </c>
      <c r="F37" s="11">
        <v>19.012160000001025</v>
      </c>
      <c r="G37" s="25">
        <f t="shared" si="2"/>
        <v>246777.83680001329</v>
      </c>
      <c r="H37" s="3">
        <v>638.79999999999995</v>
      </c>
      <c r="I37" s="25">
        <f t="shared" si="3"/>
        <v>0</v>
      </c>
      <c r="J37" s="25">
        <f t="shared" si="4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5"/>
        <v>92677.2</v>
      </c>
      <c r="Q37" s="17">
        <f t="shared" si="6"/>
        <v>339455.03680001327</v>
      </c>
      <c r="R37" s="78">
        <f t="shared" si="1"/>
        <v>23.751401959138907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0</v>
      </c>
      <c r="D38" s="16">
        <f>Electricity!D37</f>
        <v>0</v>
      </c>
      <c r="E38" s="3">
        <v>6453.57</v>
      </c>
      <c r="F38" s="11">
        <v>28.598799999997798</v>
      </c>
      <c r="G38" s="25">
        <f t="shared" si="2"/>
        <v>371212.42399997142</v>
      </c>
      <c r="H38" s="3">
        <v>638.79999999999995</v>
      </c>
      <c r="I38" s="25">
        <f t="shared" si="3"/>
        <v>0</v>
      </c>
      <c r="J38" s="25">
        <f t="shared" si="4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5"/>
        <v>92677.2</v>
      </c>
      <c r="Q38" s="17">
        <f t="shared" si="6"/>
        <v>463889.62399997143</v>
      </c>
      <c r="R38" s="78">
        <f t="shared" si="1"/>
        <v>32.457992163446086</v>
      </c>
      <c r="S38" s="70"/>
    </row>
    <row r="39" spans="1:21" ht="17.100000000000001" customHeight="1" x14ac:dyDescent="0.25">
      <c r="B39" s="77">
        <v>31</v>
      </c>
      <c r="C39" s="16">
        <f>Electricity!C38</f>
        <v>0</v>
      </c>
      <c r="D39" s="16">
        <f>Electricity!D38</f>
        <v>0</v>
      </c>
      <c r="E39" s="3">
        <v>6462.36</v>
      </c>
      <c r="F39" s="11">
        <v>35.406119999999852</v>
      </c>
      <c r="G39" s="25">
        <f t="shared" ref="G39" si="7">F39*$G$8</f>
        <v>459571.43759999808</v>
      </c>
      <c r="H39" s="3">
        <v>638.79999999999995</v>
      </c>
      <c r="I39" s="25">
        <f t="shared" si="3"/>
        <v>0</v>
      </c>
      <c r="J39" s="25">
        <f t="shared" ref="J39" si="8">I39*$J$8</f>
        <v>0</v>
      </c>
      <c r="K39" s="3"/>
      <c r="L39" s="11"/>
      <c r="M39" s="12">
        <f t="shared" ref="M39" si="9">L39*$M$8</f>
        <v>0</v>
      </c>
      <c r="N39" s="3"/>
      <c r="O39" s="11">
        <v>7.14</v>
      </c>
      <c r="P39" s="24">
        <f t="shared" ref="P39" si="10">O39*$P$8</f>
        <v>92677.2</v>
      </c>
      <c r="Q39" s="17">
        <f t="shared" ref="Q39" si="11">J39+M39+G39+P39</f>
        <v>552248.63759999804</v>
      </c>
      <c r="R39" s="78">
        <f t="shared" si="1"/>
        <v>38.640402854743776</v>
      </c>
    </row>
    <row r="40" spans="1:21" s="1" customFormat="1" ht="15.75" x14ac:dyDescent="0.25">
      <c r="C40" s="49">
        <f>SUM(C9:C39)</f>
        <v>84</v>
      </c>
      <c r="D40" s="49">
        <f>SUM(D9:D39)</f>
        <v>522</v>
      </c>
      <c r="E40" s="19"/>
      <c r="F40" s="19">
        <f>SUM(F9:F39)</f>
        <v>1343.8616400000005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R40" s="52">
        <f>SUM(R9:R39)</f>
        <v>1421.516742737196</v>
      </c>
      <c r="U40" s="40"/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91" t="s">
        <v>58</v>
      </c>
      <c r="Q43" s="91"/>
      <c r="R43" s="44"/>
    </row>
    <row r="44" spans="1:21" x14ac:dyDescent="0.2">
      <c r="Q44" s="41">
        <f>F40+O40</f>
        <v>1565.2016400000002</v>
      </c>
      <c r="R44" s="44"/>
    </row>
  </sheetData>
  <mergeCells count="21">
    <mergeCell ref="F7:F8"/>
    <mergeCell ref="I7:I8"/>
    <mergeCell ref="E7:E8"/>
    <mergeCell ref="K7:K8"/>
    <mergeCell ref="L7:L8"/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27" activePane="bottomRight" state="frozen"/>
      <selection pane="topRight" activeCell="C1" sqref="C1"/>
      <selection pane="bottomLeft" activeCell="A9" sqref="A9"/>
      <selection pane="bottomRight" activeCell="H28" sqref="H28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8" t="s">
        <v>36</v>
      </c>
      <c r="C1" s="88"/>
      <c r="D1" s="88"/>
      <c r="E1" s="88"/>
      <c r="F1" s="88"/>
      <c r="G1" s="88"/>
      <c r="H1" s="88"/>
    </row>
    <row r="2" spans="1:9" ht="15.75" x14ac:dyDescent="0.25">
      <c r="B2" s="88" t="s">
        <v>2</v>
      </c>
      <c r="C2" s="88"/>
      <c r="D2" s="88"/>
      <c r="E2" s="88"/>
      <c r="F2" s="88"/>
      <c r="G2" s="88"/>
      <c r="H2" s="88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2">
        <v>44378</v>
      </c>
      <c r="C4" s="92"/>
      <c r="D4" s="92"/>
      <c r="E4" s="92"/>
      <c r="F4" s="92"/>
      <c r="G4" s="92"/>
      <c r="H4" s="92"/>
      <c r="I4" s="8"/>
    </row>
    <row r="5" spans="1:9" ht="12.75" customHeight="1" x14ac:dyDescent="0.2">
      <c r="A5" s="72"/>
      <c r="B5" s="86" t="s">
        <v>1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 x14ac:dyDescent="0.2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 x14ac:dyDescent="0.2">
      <c r="A7" s="72"/>
      <c r="B7" s="86"/>
      <c r="C7" s="86"/>
      <c r="D7" s="86"/>
      <c r="E7" s="73" t="s">
        <v>10</v>
      </c>
      <c r="F7" s="98" t="s">
        <v>25</v>
      </c>
      <c r="G7" s="74" t="s">
        <v>26</v>
      </c>
      <c r="H7" s="86"/>
      <c r="I7" s="69"/>
    </row>
    <row r="8" spans="1:9" s="7" customFormat="1" x14ac:dyDescent="0.2">
      <c r="A8" s="72"/>
      <c r="B8" s="86"/>
      <c r="C8" s="86"/>
      <c r="D8" s="86"/>
      <c r="E8" s="75">
        <v>1888</v>
      </c>
      <c r="F8" s="98"/>
      <c r="G8" s="74">
        <v>10700</v>
      </c>
      <c r="H8" s="86"/>
      <c r="I8" s="69"/>
    </row>
    <row r="9" spans="1:9" ht="17.100000000000001" customHeight="1" x14ac:dyDescent="0.25">
      <c r="A9" s="76"/>
      <c r="B9" s="77">
        <v>1</v>
      </c>
      <c r="C9" s="37">
        <f>Electricity!C8</f>
        <v>13</v>
      </c>
      <c r="D9" s="37">
        <f>Electricity!D8</f>
        <v>68</v>
      </c>
      <c r="E9" s="15">
        <v>1956</v>
      </c>
      <c r="F9" s="28">
        <f>E9-E8</f>
        <v>68</v>
      </c>
      <c r="G9" s="28">
        <f t="shared" ref="G9:G38" si="0">F9*$G$8</f>
        <v>727600</v>
      </c>
      <c r="H9" s="78">
        <f>G9/14292</f>
        <v>50.909599776098517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7</v>
      </c>
      <c r="D10" s="37">
        <f>Electricity!D9</f>
        <v>70</v>
      </c>
      <c r="E10" s="15">
        <v>1956</v>
      </c>
      <c r="F10" s="28">
        <f t="shared" ref="F10:F39" si="1">E10-E9</f>
        <v>0</v>
      </c>
      <c r="G10" s="28">
        <f>F10*$G$8</f>
        <v>0</v>
      </c>
      <c r="H10" s="78">
        <f t="shared" ref="H10:H39" si="2">G10/14292</f>
        <v>0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8</v>
      </c>
      <c r="D11" s="37">
        <f>Electricity!D10</f>
        <v>34</v>
      </c>
      <c r="E11" s="15">
        <v>1956</v>
      </c>
      <c r="F11" s="28">
        <f t="shared" si="1"/>
        <v>0</v>
      </c>
      <c r="G11" s="28">
        <f t="shared" si="0"/>
        <v>0</v>
      </c>
      <c r="H11" s="78">
        <f t="shared" si="2"/>
        <v>0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4</v>
      </c>
      <c r="D12" s="37">
        <f>Electricity!D11</f>
        <v>34</v>
      </c>
      <c r="E12" s="15">
        <v>1956</v>
      </c>
      <c r="F12" s="28">
        <f t="shared" si="1"/>
        <v>0</v>
      </c>
      <c r="G12" s="28">
        <f t="shared" si="0"/>
        <v>0</v>
      </c>
      <c r="H12" s="78">
        <f t="shared" si="2"/>
        <v>0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4</v>
      </c>
      <c r="D13" s="37">
        <f>Electricity!D12</f>
        <v>12</v>
      </c>
      <c r="E13" s="15">
        <v>1956</v>
      </c>
      <c r="F13" s="28">
        <f t="shared" si="1"/>
        <v>0</v>
      </c>
      <c r="G13" s="28">
        <f t="shared" si="0"/>
        <v>0</v>
      </c>
      <c r="H13" s="78">
        <f t="shared" si="2"/>
        <v>0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2</v>
      </c>
      <c r="D14" s="37">
        <f>Electricity!D13</f>
        <v>14</v>
      </c>
      <c r="E14" s="15">
        <v>1956</v>
      </c>
      <c r="F14" s="28">
        <f t="shared" si="1"/>
        <v>0</v>
      </c>
      <c r="G14" s="28">
        <f t="shared" si="0"/>
        <v>0</v>
      </c>
      <c r="H14" s="78">
        <f t="shared" si="2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2</v>
      </c>
      <c r="D15" s="37">
        <f>Electricity!D14</f>
        <v>22</v>
      </c>
      <c r="E15" s="15">
        <v>1956</v>
      </c>
      <c r="F15" s="28">
        <f t="shared" si="1"/>
        <v>0</v>
      </c>
      <c r="G15" s="28">
        <f t="shared" si="0"/>
        <v>0</v>
      </c>
      <c r="H15" s="78">
        <f t="shared" si="2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2</v>
      </c>
      <c r="D16" s="37">
        <f>Electricity!D15</f>
        <v>11</v>
      </c>
      <c r="E16" s="15">
        <v>1956</v>
      </c>
      <c r="F16" s="28">
        <f t="shared" si="1"/>
        <v>0</v>
      </c>
      <c r="G16" s="28">
        <f t="shared" si="0"/>
        <v>0</v>
      </c>
      <c r="H16" s="78">
        <f t="shared" si="2"/>
        <v>0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6</v>
      </c>
      <c r="D17" s="37">
        <f>Electricity!D16</f>
        <v>15</v>
      </c>
      <c r="E17" s="15">
        <v>1956</v>
      </c>
      <c r="F17" s="28">
        <f t="shared" si="1"/>
        <v>0</v>
      </c>
      <c r="G17" s="28">
        <f t="shared" si="0"/>
        <v>0</v>
      </c>
      <c r="H17" s="78">
        <f t="shared" si="2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5</v>
      </c>
      <c r="D18" s="37">
        <f>Electricity!D17</f>
        <v>21</v>
      </c>
      <c r="E18" s="15">
        <v>1956</v>
      </c>
      <c r="F18" s="28">
        <f t="shared" si="1"/>
        <v>0</v>
      </c>
      <c r="G18" s="28">
        <f t="shared" si="0"/>
        <v>0</v>
      </c>
      <c r="H18" s="78">
        <f t="shared" si="2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2</v>
      </c>
      <c r="D19" s="37">
        <f>Electricity!D18</f>
        <v>32</v>
      </c>
      <c r="E19" s="15">
        <v>1956</v>
      </c>
      <c r="F19" s="28">
        <f t="shared" si="1"/>
        <v>0</v>
      </c>
      <c r="G19" s="28">
        <f t="shared" si="0"/>
        <v>0</v>
      </c>
      <c r="H19" s="78">
        <f t="shared" si="2"/>
        <v>0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1</v>
      </c>
      <c r="D20" s="37">
        <f>Electricity!D19</f>
        <v>4</v>
      </c>
      <c r="E20" s="15">
        <v>1956</v>
      </c>
      <c r="F20" s="28">
        <f t="shared" si="1"/>
        <v>0</v>
      </c>
      <c r="G20" s="28">
        <f t="shared" si="0"/>
        <v>0</v>
      </c>
      <c r="H20" s="78">
        <f t="shared" si="2"/>
        <v>0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2</v>
      </c>
      <c r="D21" s="37">
        <f>Electricity!D20</f>
        <v>22</v>
      </c>
      <c r="E21" s="15">
        <v>1968</v>
      </c>
      <c r="F21" s="28">
        <f t="shared" si="1"/>
        <v>12</v>
      </c>
      <c r="G21" s="28">
        <f t="shared" si="0"/>
        <v>128400</v>
      </c>
      <c r="H21" s="78">
        <f t="shared" si="2"/>
        <v>8.9840470193115021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4</v>
      </c>
      <c r="D22" s="37">
        <f>Electricity!D21</f>
        <v>27</v>
      </c>
      <c r="E22" s="15">
        <v>1968</v>
      </c>
      <c r="F22" s="28">
        <f t="shared" si="1"/>
        <v>0</v>
      </c>
      <c r="G22" s="28">
        <f t="shared" si="0"/>
        <v>0</v>
      </c>
      <c r="H22" s="78">
        <f t="shared" si="2"/>
        <v>0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3</v>
      </c>
      <c r="D23" s="37">
        <f>Electricity!D22</f>
        <v>32</v>
      </c>
      <c r="E23" s="15">
        <v>1968</v>
      </c>
      <c r="F23" s="28">
        <f t="shared" si="1"/>
        <v>0</v>
      </c>
      <c r="G23" s="28">
        <f t="shared" si="0"/>
        <v>0</v>
      </c>
      <c r="H23" s="78">
        <f t="shared" si="2"/>
        <v>0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2</v>
      </c>
      <c r="D24" s="37">
        <f>Electricity!D23</f>
        <v>13</v>
      </c>
      <c r="E24" s="15">
        <v>1968</v>
      </c>
      <c r="F24" s="28">
        <f>E24-E23</f>
        <v>0</v>
      </c>
      <c r="G24" s="28">
        <f t="shared" si="0"/>
        <v>0</v>
      </c>
      <c r="H24" s="78">
        <f t="shared" si="2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4</v>
      </c>
      <c r="D25" s="37">
        <f>Electricity!D24</f>
        <v>15</v>
      </c>
      <c r="E25" s="15">
        <v>1968</v>
      </c>
      <c r="F25" s="28">
        <f t="shared" si="1"/>
        <v>0</v>
      </c>
      <c r="G25" s="28">
        <f t="shared" si="0"/>
        <v>0</v>
      </c>
      <c r="H25" s="78">
        <f t="shared" si="2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3</v>
      </c>
      <c r="D26" s="37">
        <f>Electricity!D25</f>
        <v>19</v>
      </c>
      <c r="E26" s="15">
        <v>1968</v>
      </c>
      <c r="F26" s="28">
        <f t="shared" si="1"/>
        <v>0</v>
      </c>
      <c r="G26" s="28">
        <f t="shared" si="0"/>
        <v>0</v>
      </c>
      <c r="H26" s="78">
        <f t="shared" si="2"/>
        <v>0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3</v>
      </c>
      <c r="D27" s="37">
        <f>Electricity!D26</f>
        <v>19</v>
      </c>
      <c r="E27" s="15">
        <v>1968</v>
      </c>
      <c r="F27" s="28">
        <f t="shared" si="1"/>
        <v>0</v>
      </c>
      <c r="G27" s="28">
        <f t="shared" si="0"/>
        <v>0</v>
      </c>
      <c r="H27" s="78">
        <f t="shared" si="2"/>
        <v>0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3</v>
      </c>
      <c r="D28" s="37">
        <f>Electricity!D27</f>
        <v>23</v>
      </c>
      <c r="E28" s="15">
        <v>1968</v>
      </c>
      <c r="F28" s="28">
        <f t="shared" si="1"/>
        <v>0</v>
      </c>
      <c r="G28" s="28">
        <f t="shared" si="0"/>
        <v>0</v>
      </c>
      <c r="H28" s="78">
        <f t="shared" si="2"/>
        <v>0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4</v>
      </c>
      <c r="D29" s="37">
        <f>Electricity!D28</f>
        <v>15</v>
      </c>
      <c r="E29" s="15">
        <v>1968</v>
      </c>
      <c r="F29" s="28">
        <f t="shared" si="1"/>
        <v>0</v>
      </c>
      <c r="G29" s="28">
        <f t="shared" si="0"/>
        <v>0</v>
      </c>
      <c r="H29" s="78">
        <f t="shared" si="2"/>
        <v>0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0</v>
      </c>
      <c r="D30" s="37">
        <f>Electricity!D29</f>
        <v>0</v>
      </c>
      <c r="E30" s="15">
        <v>1968</v>
      </c>
      <c r="F30" s="28">
        <f t="shared" si="1"/>
        <v>0</v>
      </c>
      <c r="G30" s="28">
        <f t="shared" si="0"/>
        <v>0</v>
      </c>
      <c r="H30" s="78">
        <f t="shared" si="2"/>
        <v>0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0</v>
      </c>
      <c r="D31" s="37">
        <f>Electricity!D30</f>
        <v>0</v>
      </c>
      <c r="E31" s="15">
        <v>1981</v>
      </c>
      <c r="F31" s="28">
        <f t="shared" si="1"/>
        <v>13</v>
      </c>
      <c r="G31" s="28">
        <f t="shared" si="0"/>
        <v>139100</v>
      </c>
      <c r="H31" s="78">
        <f t="shared" si="2"/>
        <v>9.7327176042541286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0</v>
      </c>
      <c r="D32" s="37">
        <f>Electricity!D31</f>
        <v>0</v>
      </c>
      <c r="E32" s="15">
        <v>1981</v>
      </c>
      <c r="F32" s="28">
        <f t="shared" si="1"/>
        <v>0</v>
      </c>
      <c r="G32" s="28">
        <f t="shared" si="0"/>
        <v>0</v>
      </c>
      <c r="H32" s="78">
        <f t="shared" si="2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0</v>
      </c>
      <c r="D33" s="37">
        <f>Electricity!D32</f>
        <v>0</v>
      </c>
      <c r="E33" s="15">
        <v>1981</v>
      </c>
      <c r="F33" s="28">
        <f t="shared" si="1"/>
        <v>0</v>
      </c>
      <c r="G33" s="28">
        <f t="shared" si="0"/>
        <v>0</v>
      </c>
      <c r="H33" s="78">
        <f t="shared" si="2"/>
        <v>0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0</v>
      </c>
      <c r="D34" s="37">
        <f>Electricity!D33</f>
        <v>0</v>
      </c>
      <c r="E34" s="15">
        <v>1981</v>
      </c>
      <c r="F34" s="28">
        <f t="shared" si="1"/>
        <v>0</v>
      </c>
      <c r="G34" s="28">
        <f t="shared" si="0"/>
        <v>0</v>
      </c>
      <c r="H34" s="78">
        <f t="shared" si="2"/>
        <v>0</v>
      </c>
      <c r="I34" s="70"/>
    </row>
    <row r="35" spans="1:11" ht="17.100000000000001" customHeight="1" x14ac:dyDescent="0.25">
      <c r="A35" s="76"/>
      <c r="B35" s="77">
        <v>27</v>
      </c>
      <c r="C35" s="37">
        <f>Electricity!C34</f>
        <v>0</v>
      </c>
      <c r="D35" s="37">
        <f>Electricity!D34</f>
        <v>0</v>
      </c>
      <c r="E35" s="15">
        <v>1981</v>
      </c>
      <c r="F35" s="28">
        <f t="shared" si="1"/>
        <v>0</v>
      </c>
      <c r="G35" s="28">
        <f t="shared" si="0"/>
        <v>0</v>
      </c>
      <c r="H35" s="78">
        <f t="shared" si="2"/>
        <v>0</v>
      </c>
      <c r="I35" s="70"/>
    </row>
    <row r="36" spans="1:11" ht="17.100000000000001" customHeight="1" x14ac:dyDescent="0.25">
      <c r="A36" s="76"/>
      <c r="B36" s="77">
        <v>28</v>
      </c>
      <c r="C36" s="37">
        <f>Electricity!C35</f>
        <v>0</v>
      </c>
      <c r="D36" s="37">
        <f>Electricity!D35</f>
        <v>0</v>
      </c>
      <c r="E36" s="15">
        <v>1995</v>
      </c>
      <c r="F36" s="28">
        <f t="shared" si="1"/>
        <v>14</v>
      </c>
      <c r="G36" s="28">
        <f t="shared" si="0"/>
        <v>149800</v>
      </c>
      <c r="H36" s="78">
        <f t="shared" si="2"/>
        <v>10.481388189196753</v>
      </c>
      <c r="I36" s="70"/>
    </row>
    <row r="37" spans="1:11" ht="17.100000000000001" customHeight="1" x14ac:dyDescent="0.25">
      <c r="A37" s="76"/>
      <c r="B37" s="77">
        <v>29</v>
      </c>
      <c r="C37" s="37">
        <f>Electricity!C36</f>
        <v>0</v>
      </c>
      <c r="D37" s="37">
        <f>Electricity!D36</f>
        <v>0</v>
      </c>
      <c r="E37" s="15">
        <v>1995</v>
      </c>
      <c r="F37" s="28">
        <f t="shared" si="1"/>
        <v>0</v>
      </c>
      <c r="G37" s="28">
        <f t="shared" si="0"/>
        <v>0</v>
      </c>
      <c r="H37" s="78">
        <f t="shared" si="2"/>
        <v>0</v>
      </c>
      <c r="I37" s="70"/>
    </row>
    <row r="38" spans="1:11" ht="17.100000000000001" customHeight="1" x14ac:dyDescent="0.25">
      <c r="A38" s="76"/>
      <c r="B38" s="77">
        <v>30</v>
      </c>
      <c r="C38" s="37">
        <f>Electricity!C37</f>
        <v>0</v>
      </c>
      <c r="D38" s="37">
        <f>Electricity!D37</f>
        <v>0</v>
      </c>
      <c r="E38" s="15">
        <v>1995</v>
      </c>
      <c r="F38" s="28">
        <f t="shared" si="1"/>
        <v>0</v>
      </c>
      <c r="G38" s="28">
        <f t="shared" si="0"/>
        <v>0</v>
      </c>
      <c r="H38" s="78">
        <f t="shared" si="2"/>
        <v>0</v>
      </c>
      <c r="I38" s="70"/>
    </row>
    <row r="39" spans="1:11" ht="17.100000000000001" customHeight="1" x14ac:dyDescent="0.25">
      <c r="A39" s="76"/>
      <c r="B39" s="77">
        <v>31</v>
      </c>
      <c r="C39" s="37">
        <f>Electricity!C38</f>
        <v>0</v>
      </c>
      <c r="D39" s="37">
        <f>Electricity!D38</f>
        <v>0</v>
      </c>
      <c r="E39" s="15">
        <v>1995</v>
      </c>
      <c r="F39" s="28">
        <f t="shared" si="1"/>
        <v>0</v>
      </c>
      <c r="G39" s="28">
        <f t="shared" ref="G39" si="3">F39*$G$8</f>
        <v>0</v>
      </c>
      <c r="H39" s="78">
        <f t="shared" si="2"/>
        <v>0</v>
      </c>
    </row>
    <row r="40" spans="1:11" s="1" customFormat="1" ht="21.6" customHeight="1" x14ac:dyDescent="0.2">
      <c r="C40" s="19">
        <f>SUM(C9:C39)</f>
        <v>84</v>
      </c>
      <c r="D40" s="19">
        <f>SUM(D9:D39)</f>
        <v>522</v>
      </c>
      <c r="E40" s="19"/>
      <c r="F40" s="19">
        <f>SUM(F9:F39)</f>
        <v>107</v>
      </c>
      <c r="G40" s="19"/>
      <c r="H40" s="48">
        <f>SUM(H9:H39)</f>
        <v>80.107752588860905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opLeftCell="A3" zoomScaleNormal="100" workbookViewId="0">
      <selection activeCell="J26" sqref="J26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8" t="s">
        <v>16</v>
      </c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3" ht="15.75" x14ac:dyDescent="0.25">
      <c r="B3" s="88" t="s">
        <v>2</v>
      </c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90">
        <v>44378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8"/>
    </row>
    <row r="6" spans="1:13" ht="23.25" customHeight="1" x14ac:dyDescent="0.2">
      <c r="A6" s="79"/>
      <c r="B6" s="86" t="s">
        <v>1</v>
      </c>
      <c r="C6" s="86" t="s">
        <v>5</v>
      </c>
      <c r="D6" s="86" t="s">
        <v>39</v>
      </c>
      <c r="E6" s="94" t="s">
        <v>32</v>
      </c>
      <c r="F6" s="94"/>
      <c r="G6" s="95" t="s">
        <v>33</v>
      </c>
      <c r="H6" s="95"/>
      <c r="I6" s="95"/>
      <c r="J6" s="95"/>
      <c r="K6" s="86" t="s">
        <v>15</v>
      </c>
      <c r="L6" s="86" t="s">
        <v>31</v>
      </c>
      <c r="M6" s="69"/>
    </row>
    <row r="7" spans="1:13" s="7" customFormat="1" ht="48" customHeight="1" x14ac:dyDescent="0.2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 x14ac:dyDescent="0.2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 x14ac:dyDescent="0.25">
      <c r="A9" s="80"/>
      <c r="B9" s="77">
        <v>1</v>
      </c>
      <c r="C9" s="37">
        <f>Electricity!C8</f>
        <v>13</v>
      </c>
      <c r="D9" s="37">
        <f>Electricity!D8</f>
        <v>68</v>
      </c>
      <c r="E9" s="11">
        <v>0</v>
      </c>
      <c r="F9" s="4">
        <f>E9*13582</f>
        <v>0</v>
      </c>
      <c r="G9" s="11">
        <v>140</v>
      </c>
      <c r="H9" s="4">
        <f>G9*4000</f>
        <v>560000</v>
      </c>
      <c r="I9" s="11">
        <v>210</v>
      </c>
      <c r="J9" s="4">
        <f>I9*4000</f>
        <v>840000</v>
      </c>
      <c r="K9" s="11">
        <f t="shared" ref="K9:K38" si="0">F9+H9+J9</f>
        <v>1400000</v>
      </c>
      <c r="L9" s="81">
        <f>K9/14292</f>
        <v>97.956898964455632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7</v>
      </c>
      <c r="D10" s="37">
        <f>Electricity!D9</f>
        <v>70</v>
      </c>
      <c r="E10" s="11">
        <v>0</v>
      </c>
      <c r="F10" s="4">
        <f>E10*13582</f>
        <v>0</v>
      </c>
      <c r="G10" s="11">
        <v>152</v>
      </c>
      <c r="H10" s="4">
        <f>G10*4000</f>
        <v>608000</v>
      </c>
      <c r="I10" s="11">
        <v>223</v>
      </c>
      <c r="J10" s="4">
        <f>I10*4000</f>
        <v>892000</v>
      </c>
      <c r="K10" s="11">
        <f t="shared" si="0"/>
        <v>1500000</v>
      </c>
      <c r="L10" s="81">
        <f t="shared" ref="L10:L39" si="1">K10/14292</f>
        <v>104.95382031905962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8</v>
      </c>
      <c r="D11" s="37">
        <f>Electricity!D10</f>
        <v>34</v>
      </c>
      <c r="E11" s="11">
        <v>0</v>
      </c>
      <c r="F11" s="4">
        <f t="shared" ref="F11:F38" si="2">E11*13582</f>
        <v>0</v>
      </c>
      <c r="G11" s="11">
        <v>142</v>
      </c>
      <c r="H11" s="4">
        <f t="shared" ref="H11:H38" si="3">G11*4000</f>
        <v>568000</v>
      </c>
      <c r="I11" s="11">
        <v>211</v>
      </c>
      <c r="J11" s="4">
        <f t="shared" ref="J11:J38" si="4">I11*4000</f>
        <v>844000</v>
      </c>
      <c r="K11" s="11">
        <f t="shared" si="0"/>
        <v>1412000</v>
      </c>
      <c r="L11" s="81">
        <f t="shared" si="1"/>
        <v>98.796529527008119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4</v>
      </c>
      <c r="D12" s="37">
        <f>Electricity!D11</f>
        <v>34</v>
      </c>
      <c r="E12" s="11">
        <v>0</v>
      </c>
      <c r="F12" s="4">
        <f t="shared" si="2"/>
        <v>0</v>
      </c>
      <c r="G12" s="11">
        <v>152</v>
      </c>
      <c r="H12" s="4">
        <f t="shared" si="3"/>
        <v>608000</v>
      </c>
      <c r="I12" s="11">
        <v>219</v>
      </c>
      <c r="J12" s="4">
        <f t="shared" si="4"/>
        <v>876000</v>
      </c>
      <c r="K12" s="11">
        <f t="shared" si="0"/>
        <v>1484000</v>
      </c>
      <c r="L12" s="81">
        <f t="shared" si="1"/>
        <v>103.83431290232298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4</v>
      </c>
      <c r="D13" s="37">
        <f>Electricity!D12</f>
        <v>12</v>
      </c>
      <c r="E13" s="11">
        <v>0</v>
      </c>
      <c r="F13" s="4">
        <f t="shared" si="2"/>
        <v>0</v>
      </c>
      <c r="G13" s="11">
        <v>157</v>
      </c>
      <c r="H13" s="4">
        <f t="shared" si="3"/>
        <v>628000</v>
      </c>
      <c r="I13" s="11">
        <v>233</v>
      </c>
      <c r="J13" s="4">
        <f t="shared" si="4"/>
        <v>932000</v>
      </c>
      <c r="K13" s="11">
        <f t="shared" si="0"/>
        <v>1560000</v>
      </c>
      <c r="L13" s="81">
        <f t="shared" si="1"/>
        <v>109.151973131822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2</v>
      </c>
      <c r="D14" s="37">
        <f>Electricity!D13</f>
        <v>14</v>
      </c>
      <c r="E14" s="11">
        <v>0</v>
      </c>
      <c r="F14" s="4">
        <f t="shared" si="2"/>
        <v>0</v>
      </c>
      <c r="G14" s="11">
        <v>147</v>
      </c>
      <c r="H14" s="4">
        <f t="shared" si="3"/>
        <v>588000</v>
      </c>
      <c r="I14" s="11">
        <v>210</v>
      </c>
      <c r="J14" s="4">
        <f t="shared" si="4"/>
        <v>840000</v>
      </c>
      <c r="K14" s="11">
        <f t="shared" si="0"/>
        <v>1428000</v>
      </c>
      <c r="L14" s="81">
        <f t="shared" si="1"/>
        <v>99.916036943744757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2</v>
      </c>
      <c r="D15" s="37">
        <f>Electricity!D14</f>
        <v>22</v>
      </c>
      <c r="E15" s="11">
        <v>0</v>
      </c>
      <c r="F15" s="4">
        <f t="shared" si="2"/>
        <v>0</v>
      </c>
      <c r="G15" s="11">
        <v>135</v>
      </c>
      <c r="H15" s="4">
        <f t="shared" si="3"/>
        <v>540000</v>
      </c>
      <c r="I15" s="11">
        <v>198</v>
      </c>
      <c r="J15" s="4">
        <f t="shared" si="4"/>
        <v>792000</v>
      </c>
      <c r="K15" s="11">
        <f t="shared" si="0"/>
        <v>1332000</v>
      </c>
      <c r="L15" s="81">
        <f t="shared" si="1"/>
        <v>93.19899244332494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2</v>
      </c>
      <c r="D16" s="37">
        <f>Electricity!D15</f>
        <v>11</v>
      </c>
      <c r="E16" s="11">
        <v>0</v>
      </c>
      <c r="F16" s="4">
        <f t="shared" si="2"/>
        <v>0</v>
      </c>
      <c r="G16" s="11">
        <v>127</v>
      </c>
      <c r="H16" s="4">
        <f t="shared" si="3"/>
        <v>508000</v>
      </c>
      <c r="I16" s="11">
        <v>191</v>
      </c>
      <c r="J16" s="4">
        <f t="shared" si="4"/>
        <v>764000</v>
      </c>
      <c r="K16" s="11">
        <f t="shared" si="0"/>
        <v>1272000</v>
      </c>
      <c r="L16" s="81">
        <f t="shared" si="1"/>
        <v>89.000839630562552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6</v>
      </c>
      <c r="D17" s="37">
        <f>Electricity!D16</f>
        <v>15</v>
      </c>
      <c r="E17" s="11">
        <v>0</v>
      </c>
      <c r="F17" s="4">
        <f t="shared" si="2"/>
        <v>0</v>
      </c>
      <c r="G17" s="11">
        <v>149</v>
      </c>
      <c r="H17" s="4">
        <f t="shared" si="3"/>
        <v>596000</v>
      </c>
      <c r="I17" s="11">
        <v>223</v>
      </c>
      <c r="J17" s="4">
        <f t="shared" si="4"/>
        <v>892000</v>
      </c>
      <c r="K17" s="11">
        <f t="shared" si="0"/>
        <v>1488000</v>
      </c>
      <c r="L17" s="81">
        <f t="shared" si="1"/>
        <v>104.11418975650713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5</v>
      </c>
      <c r="D18" s="37">
        <f>Electricity!D17</f>
        <v>21</v>
      </c>
      <c r="E18" s="11">
        <v>41</v>
      </c>
      <c r="F18" s="4">
        <f t="shared" si="2"/>
        <v>556862</v>
      </c>
      <c r="G18" s="11">
        <v>150</v>
      </c>
      <c r="H18" s="4">
        <f t="shared" si="3"/>
        <v>600000</v>
      </c>
      <c r="I18" s="11">
        <v>209</v>
      </c>
      <c r="J18" s="4">
        <f t="shared" si="4"/>
        <v>836000</v>
      </c>
      <c r="K18" s="11">
        <f t="shared" si="0"/>
        <v>1992862</v>
      </c>
      <c r="L18" s="81">
        <f t="shared" si="1"/>
        <v>139.43898684578787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2</v>
      </c>
      <c r="D19" s="37">
        <f>Electricity!D18</f>
        <v>32</v>
      </c>
      <c r="E19" s="11">
        <v>0</v>
      </c>
      <c r="F19" s="4">
        <f t="shared" si="2"/>
        <v>0</v>
      </c>
      <c r="G19" s="11">
        <v>138</v>
      </c>
      <c r="H19" s="4">
        <f t="shared" si="3"/>
        <v>552000</v>
      </c>
      <c r="I19" s="11">
        <v>202</v>
      </c>
      <c r="J19" s="4">
        <f t="shared" si="4"/>
        <v>808000</v>
      </c>
      <c r="K19" s="11">
        <f t="shared" si="0"/>
        <v>1360000</v>
      </c>
      <c r="L19" s="81">
        <f t="shared" si="1"/>
        <v>95.15813042261405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1</v>
      </c>
      <c r="D20" s="37">
        <f>Electricity!D19</f>
        <v>4</v>
      </c>
      <c r="E20" s="11">
        <v>0</v>
      </c>
      <c r="F20" s="4">
        <f t="shared" si="2"/>
        <v>0</v>
      </c>
      <c r="G20" s="11">
        <v>138</v>
      </c>
      <c r="H20" s="4">
        <f>G20*4000</f>
        <v>552000</v>
      </c>
      <c r="I20" s="11">
        <v>209</v>
      </c>
      <c r="J20" s="4">
        <f t="shared" si="4"/>
        <v>836000</v>
      </c>
      <c r="K20" s="11">
        <f t="shared" si="0"/>
        <v>1388000</v>
      </c>
      <c r="L20" s="81">
        <f t="shared" si="1"/>
        <v>97.117268401903161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2</v>
      </c>
      <c r="D21" s="37">
        <f>Electricity!D20</f>
        <v>22</v>
      </c>
      <c r="E21" s="11">
        <v>0</v>
      </c>
      <c r="F21" s="4">
        <f t="shared" si="2"/>
        <v>0</v>
      </c>
      <c r="G21" s="11">
        <v>146</v>
      </c>
      <c r="H21" s="4">
        <f t="shared" si="3"/>
        <v>584000</v>
      </c>
      <c r="I21" s="11">
        <v>206</v>
      </c>
      <c r="J21" s="4">
        <f t="shared" si="4"/>
        <v>824000</v>
      </c>
      <c r="K21" s="11">
        <f t="shared" si="0"/>
        <v>1408000</v>
      </c>
      <c r="L21" s="81">
        <f t="shared" si="1"/>
        <v>98.516652672823952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4</v>
      </c>
      <c r="D22" s="37">
        <f>Electricity!D21</f>
        <v>27</v>
      </c>
      <c r="E22" s="11">
        <v>0</v>
      </c>
      <c r="F22" s="4">
        <f t="shared" si="2"/>
        <v>0</v>
      </c>
      <c r="G22" s="11">
        <v>83</v>
      </c>
      <c r="H22" s="4">
        <f t="shared" si="3"/>
        <v>332000</v>
      </c>
      <c r="I22" s="11">
        <v>234</v>
      </c>
      <c r="J22" s="4">
        <f t="shared" si="4"/>
        <v>936000</v>
      </c>
      <c r="K22" s="11">
        <f t="shared" si="0"/>
        <v>1268000</v>
      </c>
      <c r="L22" s="81">
        <f t="shared" si="1"/>
        <v>88.7209627763784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3</v>
      </c>
      <c r="D23" s="37">
        <f>Electricity!D22</f>
        <v>32</v>
      </c>
      <c r="E23" s="11">
        <v>0</v>
      </c>
      <c r="F23" s="4">
        <f t="shared" si="2"/>
        <v>0</v>
      </c>
      <c r="G23" s="11">
        <v>229</v>
      </c>
      <c r="H23" s="4">
        <f t="shared" si="3"/>
        <v>916000</v>
      </c>
      <c r="I23" s="11">
        <v>231</v>
      </c>
      <c r="J23" s="4">
        <f t="shared" si="4"/>
        <v>924000</v>
      </c>
      <c r="K23" s="11">
        <f t="shared" si="0"/>
        <v>1840000</v>
      </c>
      <c r="L23" s="81">
        <f t="shared" si="1"/>
        <v>128.74335292471312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2</v>
      </c>
      <c r="D24" s="37">
        <f>Electricity!D23</f>
        <v>13</v>
      </c>
      <c r="E24" s="11">
        <v>0</v>
      </c>
      <c r="F24" s="4">
        <f t="shared" si="2"/>
        <v>0</v>
      </c>
      <c r="G24" s="11">
        <v>138</v>
      </c>
      <c r="H24" s="4">
        <f t="shared" si="3"/>
        <v>552000</v>
      </c>
      <c r="I24" s="11">
        <v>196</v>
      </c>
      <c r="J24" s="4">
        <f t="shared" si="4"/>
        <v>784000</v>
      </c>
      <c r="K24" s="11">
        <f t="shared" si="0"/>
        <v>1336000</v>
      </c>
      <c r="L24" s="81">
        <f t="shared" si="1"/>
        <v>93.478869297509092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4</v>
      </c>
      <c r="D25" s="37">
        <f>Electricity!D24</f>
        <v>15</v>
      </c>
      <c r="E25" s="11">
        <v>0</v>
      </c>
      <c r="F25" s="4">
        <f t="shared" si="2"/>
        <v>0</v>
      </c>
      <c r="G25" s="11">
        <v>108</v>
      </c>
      <c r="H25" s="4">
        <f t="shared" si="3"/>
        <v>432000</v>
      </c>
      <c r="I25" s="11">
        <v>116</v>
      </c>
      <c r="J25" s="4">
        <f t="shared" si="4"/>
        <v>464000</v>
      </c>
      <c r="K25" s="11">
        <f t="shared" si="0"/>
        <v>896000</v>
      </c>
      <c r="L25" s="81">
        <f t="shared" si="1"/>
        <v>62.69241533725161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3</v>
      </c>
      <c r="D26" s="37">
        <f>Electricity!D25</f>
        <v>19</v>
      </c>
      <c r="E26" s="11">
        <v>0</v>
      </c>
      <c r="F26" s="4">
        <f t="shared" si="2"/>
        <v>0</v>
      </c>
      <c r="G26" s="11">
        <v>106</v>
      </c>
      <c r="H26" s="4">
        <f t="shared" si="3"/>
        <v>424000</v>
      </c>
      <c r="I26" s="11">
        <v>200</v>
      </c>
      <c r="J26" s="4">
        <f t="shared" si="4"/>
        <v>800000</v>
      </c>
      <c r="K26" s="11">
        <f t="shared" si="0"/>
        <v>1224000</v>
      </c>
      <c r="L26" s="81">
        <f t="shared" si="1"/>
        <v>85.642317380352651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3</v>
      </c>
      <c r="D27" s="37">
        <f>Electricity!D26</f>
        <v>19</v>
      </c>
      <c r="E27" s="11">
        <v>0</v>
      </c>
      <c r="F27" s="4">
        <f t="shared" si="2"/>
        <v>0</v>
      </c>
      <c r="G27" s="11">
        <v>110</v>
      </c>
      <c r="H27" s="4">
        <f t="shared" si="3"/>
        <v>440000</v>
      </c>
      <c r="I27" s="11">
        <v>156</v>
      </c>
      <c r="J27" s="4">
        <f t="shared" si="4"/>
        <v>624000</v>
      </c>
      <c r="K27" s="11">
        <f t="shared" si="0"/>
        <v>1064000</v>
      </c>
      <c r="L27" s="81">
        <f t="shared" si="1"/>
        <v>74.44724321298628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3</v>
      </c>
      <c r="D28" s="37">
        <f>Electricity!D27</f>
        <v>23</v>
      </c>
      <c r="E28" s="11">
        <v>0</v>
      </c>
      <c r="F28" s="4">
        <f t="shared" si="2"/>
        <v>0</v>
      </c>
      <c r="G28" s="11">
        <v>77</v>
      </c>
      <c r="H28" s="4">
        <f t="shared" si="3"/>
        <v>308000</v>
      </c>
      <c r="I28" s="11">
        <v>197</v>
      </c>
      <c r="J28" s="4">
        <f t="shared" si="4"/>
        <v>788000</v>
      </c>
      <c r="K28" s="11">
        <f t="shared" si="0"/>
        <v>1096000</v>
      </c>
      <c r="L28" s="81">
        <f t="shared" si="1"/>
        <v>76.686258046459557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4</v>
      </c>
      <c r="D29" s="37">
        <f>Electricity!D28</f>
        <v>15</v>
      </c>
      <c r="E29" s="11">
        <v>0</v>
      </c>
      <c r="F29" s="4">
        <f t="shared" si="2"/>
        <v>0</v>
      </c>
      <c r="G29" s="11">
        <v>67</v>
      </c>
      <c r="H29" s="4">
        <f t="shared" si="3"/>
        <v>268000</v>
      </c>
      <c r="I29" s="11">
        <v>217</v>
      </c>
      <c r="J29" s="4">
        <f t="shared" si="4"/>
        <v>868000</v>
      </c>
      <c r="K29" s="11">
        <f t="shared" si="0"/>
        <v>1136000</v>
      </c>
      <c r="L29" s="81">
        <f t="shared" si="1"/>
        <v>79.485026588301153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0</v>
      </c>
      <c r="D30" s="37">
        <f>Electricity!D29</f>
        <v>0</v>
      </c>
      <c r="E30" s="11">
        <v>0</v>
      </c>
      <c r="F30" s="4">
        <f t="shared" si="2"/>
        <v>0</v>
      </c>
      <c r="G30" s="11">
        <v>109</v>
      </c>
      <c r="H30" s="4">
        <f t="shared" si="3"/>
        <v>436000</v>
      </c>
      <c r="I30" s="11">
        <v>192</v>
      </c>
      <c r="J30" s="4">
        <f t="shared" si="4"/>
        <v>768000</v>
      </c>
      <c r="K30" s="11">
        <f t="shared" si="0"/>
        <v>1204000</v>
      </c>
      <c r="L30" s="81">
        <f t="shared" si="1"/>
        <v>84.242933109431846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0</v>
      </c>
      <c r="D31" s="37">
        <f>Electricity!D30</f>
        <v>0</v>
      </c>
      <c r="E31" s="11">
        <v>0</v>
      </c>
      <c r="F31" s="4">
        <f t="shared" si="2"/>
        <v>0</v>
      </c>
      <c r="G31" s="11">
        <v>66</v>
      </c>
      <c r="H31" s="4">
        <f t="shared" si="3"/>
        <v>264000</v>
      </c>
      <c r="I31" s="11">
        <v>217</v>
      </c>
      <c r="J31" s="4">
        <f t="shared" si="4"/>
        <v>868000</v>
      </c>
      <c r="K31" s="11">
        <f t="shared" si="0"/>
        <v>1132000</v>
      </c>
      <c r="L31" s="81">
        <f t="shared" si="1"/>
        <v>79.205149734116986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0</v>
      </c>
      <c r="D32" s="37">
        <f>Electricity!D31</f>
        <v>0</v>
      </c>
      <c r="E32" s="11">
        <v>0</v>
      </c>
      <c r="F32" s="4">
        <f t="shared" si="2"/>
        <v>0</v>
      </c>
      <c r="G32" s="11">
        <v>40</v>
      </c>
      <c r="H32" s="4">
        <f t="shared" si="3"/>
        <v>160000</v>
      </c>
      <c r="I32" s="11">
        <v>225</v>
      </c>
      <c r="J32" s="4">
        <f t="shared" si="4"/>
        <v>900000</v>
      </c>
      <c r="K32" s="11">
        <f t="shared" si="0"/>
        <v>1060000</v>
      </c>
      <c r="L32" s="81">
        <f t="shared" si="1"/>
        <v>74.167366358802127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0</v>
      </c>
      <c r="D33" s="37">
        <f>Electricity!D32</f>
        <v>0</v>
      </c>
      <c r="E33" s="11">
        <v>0</v>
      </c>
      <c r="F33" s="4">
        <f t="shared" si="2"/>
        <v>0</v>
      </c>
      <c r="G33" s="11">
        <v>68</v>
      </c>
      <c r="H33" s="4">
        <f t="shared" si="3"/>
        <v>272000</v>
      </c>
      <c r="I33" s="11">
        <v>220</v>
      </c>
      <c r="J33" s="4">
        <f t="shared" si="4"/>
        <v>880000</v>
      </c>
      <c r="K33" s="11">
        <f t="shared" si="0"/>
        <v>1152000</v>
      </c>
      <c r="L33" s="81">
        <f t="shared" si="1"/>
        <v>80.604534005037777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0</v>
      </c>
      <c r="D34" s="37">
        <f>Electricity!D33</f>
        <v>0</v>
      </c>
      <c r="E34" s="11">
        <v>0</v>
      </c>
      <c r="F34" s="4">
        <f t="shared" si="2"/>
        <v>0</v>
      </c>
      <c r="G34" s="11">
        <v>55</v>
      </c>
      <c r="H34" s="4">
        <f t="shared" si="3"/>
        <v>220000</v>
      </c>
      <c r="I34" s="11">
        <v>227</v>
      </c>
      <c r="J34" s="4">
        <f t="shared" si="4"/>
        <v>908000</v>
      </c>
      <c r="K34" s="11">
        <f t="shared" si="0"/>
        <v>1128000</v>
      </c>
      <c r="L34" s="81">
        <f t="shared" si="1"/>
        <v>78.925272879932834</v>
      </c>
      <c r="M34" s="70"/>
    </row>
    <row r="35" spans="1:15" ht="17.100000000000001" customHeight="1" x14ac:dyDescent="0.25">
      <c r="A35" s="80"/>
      <c r="B35" s="77">
        <v>27</v>
      </c>
      <c r="C35" s="37">
        <f>Electricity!C34</f>
        <v>0</v>
      </c>
      <c r="D35" s="37">
        <f>Electricity!D34</f>
        <v>0</v>
      </c>
      <c r="E35" s="11">
        <v>0</v>
      </c>
      <c r="F35" s="4">
        <f t="shared" si="2"/>
        <v>0</v>
      </c>
      <c r="G35" s="11">
        <v>73</v>
      </c>
      <c r="H35" s="4">
        <f t="shared" si="3"/>
        <v>292000</v>
      </c>
      <c r="I35" s="11">
        <v>201</v>
      </c>
      <c r="J35" s="4">
        <f t="shared" si="4"/>
        <v>804000</v>
      </c>
      <c r="K35" s="11">
        <f t="shared" si="0"/>
        <v>1096000</v>
      </c>
      <c r="L35" s="81">
        <f t="shared" si="1"/>
        <v>76.686258046459557</v>
      </c>
      <c r="M35" s="70"/>
    </row>
    <row r="36" spans="1:15" ht="17.100000000000001" customHeight="1" x14ac:dyDescent="0.25">
      <c r="A36" s="80"/>
      <c r="B36" s="77">
        <v>28</v>
      </c>
      <c r="C36" s="37">
        <f>Electricity!C35</f>
        <v>0</v>
      </c>
      <c r="D36" s="37">
        <f>Electricity!D35</f>
        <v>0</v>
      </c>
      <c r="E36" s="11">
        <v>0</v>
      </c>
      <c r="F36" s="4">
        <f t="shared" si="2"/>
        <v>0</v>
      </c>
      <c r="G36" s="11">
        <v>67</v>
      </c>
      <c r="H36" s="4">
        <f t="shared" si="3"/>
        <v>268000</v>
      </c>
      <c r="I36" s="11">
        <v>190</v>
      </c>
      <c r="J36" s="4">
        <f t="shared" si="4"/>
        <v>760000</v>
      </c>
      <c r="K36" s="11">
        <f t="shared" si="0"/>
        <v>1028000</v>
      </c>
      <c r="L36" s="81">
        <f t="shared" si="1"/>
        <v>71.92835152532885</v>
      </c>
      <c r="M36" s="70"/>
    </row>
    <row r="37" spans="1:15" ht="17.100000000000001" customHeight="1" x14ac:dyDescent="0.25">
      <c r="A37" s="80"/>
      <c r="B37" s="77">
        <v>29</v>
      </c>
      <c r="C37" s="37">
        <f>Electricity!C36</f>
        <v>0</v>
      </c>
      <c r="D37" s="37">
        <f>Electricity!D36</f>
        <v>0</v>
      </c>
      <c r="E37" s="11">
        <v>0</v>
      </c>
      <c r="F37" s="4">
        <f t="shared" si="2"/>
        <v>0</v>
      </c>
      <c r="G37" s="11">
        <v>82</v>
      </c>
      <c r="H37" s="4">
        <f t="shared" si="3"/>
        <v>328000</v>
      </c>
      <c r="I37" s="11">
        <v>147</v>
      </c>
      <c r="J37" s="4">
        <f t="shared" si="4"/>
        <v>588000</v>
      </c>
      <c r="K37" s="11">
        <f t="shared" si="0"/>
        <v>916000</v>
      </c>
      <c r="L37" s="81">
        <f t="shared" si="1"/>
        <v>64.091799608172408</v>
      </c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0</v>
      </c>
      <c r="D38" s="37">
        <f>Electricity!D37</f>
        <v>0</v>
      </c>
      <c r="E38" s="11">
        <v>0</v>
      </c>
      <c r="F38" s="4">
        <f t="shared" si="2"/>
        <v>0</v>
      </c>
      <c r="G38" s="11">
        <v>1</v>
      </c>
      <c r="H38" s="4">
        <f t="shared" si="3"/>
        <v>4000</v>
      </c>
      <c r="I38" s="11">
        <v>236</v>
      </c>
      <c r="J38" s="4">
        <f t="shared" si="4"/>
        <v>944000</v>
      </c>
      <c r="K38" s="11">
        <f t="shared" si="0"/>
        <v>948000</v>
      </c>
      <c r="L38" s="81">
        <f t="shared" si="1"/>
        <v>66.330814441645671</v>
      </c>
      <c r="M38" s="70"/>
    </row>
    <row r="39" spans="1:15" ht="17.100000000000001" customHeight="1" x14ac:dyDescent="0.25">
      <c r="B39" s="77">
        <v>31</v>
      </c>
      <c r="C39" s="37">
        <f>Electricity!C38</f>
        <v>0</v>
      </c>
      <c r="D39" s="37">
        <f>Electricity!D38</f>
        <v>0</v>
      </c>
      <c r="E39" s="11">
        <v>0</v>
      </c>
      <c r="F39" s="4"/>
      <c r="G39" s="11">
        <v>50</v>
      </c>
      <c r="H39" s="4">
        <f t="shared" ref="H39" si="5">G39*4000</f>
        <v>200000</v>
      </c>
      <c r="I39" s="11">
        <v>218</v>
      </c>
      <c r="J39" s="4">
        <f t="shared" ref="J39" si="6">I39*4000</f>
        <v>872000</v>
      </c>
      <c r="K39" s="11">
        <f t="shared" ref="K39" si="7">F39+H39+J39</f>
        <v>1072000</v>
      </c>
      <c r="L39" s="81">
        <f t="shared" si="1"/>
        <v>75.006996921354599</v>
      </c>
    </row>
    <row r="40" spans="1:15" ht="15.75" x14ac:dyDescent="0.25">
      <c r="C40" s="19">
        <f>SUM(C9:C39)</f>
        <v>84</v>
      </c>
      <c r="D40" s="19">
        <f>SUM(D9:D39)</f>
        <v>522</v>
      </c>
      <c r="E40" s="19">
        <v>0</v>
      </c>
      <c r="G40" s="19">
        <f>SUM(G9:G39)</f>
        <v>3402</v>
      </c>
      <c r="I40" s="19">
        <f>SUM(I9:I39)</f>
        <v>6364</v>
      </c>
      <c r="J40" s="39">
        <f>G40+I40</f>
        <v>9766</v>
      </c>
      <c r="K40" s="46"/>
      <c r="L40" s="51">
        <f>SUM(L9:L39)</f>
        <v>2772.2405541561716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9766</v>
      </c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Bagus Supardana</cp:lastModifiedBy>
  <cp:lastPrinted>2020-10-01T03:34:29Z</cp:lastPrinted>
  <dcterms:created xsi:type="dcterms:W3CDTF">2009-02-11T09:03:59Z</dcterms:created>
  <dcterms:modified xsi:type="dcterms:W3CDTF">2021-08-03T08:31:58Z</dcterms:modified>
</cp:coreProperties>
</file>