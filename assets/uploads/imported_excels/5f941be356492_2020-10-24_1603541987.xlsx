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V21" i="7" l="1"/>
  <c r="BR21" i="7"/>
  <c r="BL23" i="7"/>
  <c r="BL24" i="7"/>
  <c r="BL25" i="7"/>
  <c r="BL26" i="7"/>
  <c r="V21" i="7"/>
  <c r="BX21" i="7" l="1"/>
  <c r="BT21" i="7"/>
  <c r="BP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<sst xmlns="http://schemas.openxmlformats.org/spreadsheetml/2006/main" count="313" uniqueCount="148">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</sst>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20" sqref="N2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>
        <f>Submetering!E20+Submetering!F20+Submetering!G20+Submetering!H20+Submetering!J20-Submetering!AV20</f>
        <v>4689.999999999658</v>
      </c>
      <c r="F20" s="11">
        <f t="shared" si="1"/>
        <v>0.58765030286592534</v>
      </c>
      <c r="G20" s="12">
        <f>(Submetering!AX20+Submetering!AY20+Submetering!AZ20+Submetering!BA20+Submetering!BB20)</f>
        <v>5.4944999999999995</v>
      </c>
      <c r="H20" s="11">
        <f t="shared" si="2"/>
        <v>0.99</v>
      </c>
      <c r="I20" s="12">
        <f>'FS Desroches Daily'!CM22</f>
        <v>24.799999999999955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4670.0000000003429</v>
      </c>
      <c r="F21" s="11">
        <f t="shared" si="1"/>
        <v>0.58765030286592534</v>
      </c>
      <c r="G21" s="12">
        <f>(Submetering!AX21+Submetering!AY21+Submetering!AZ21+Submetering!BA21+Submetering!BB21)</f>
        <v>3.6629999999999998</v>
      </c>
      <c r="H21" s="11">
        <f t="shared" si="2"/>
        <v>0.99</v>
      </c>
      <c r="I21" s="12">
        <f>'FS Desroches Daily'!CM23</f>
        <v>37.700000000000045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4460.0000000002601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21.700000000000045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4619.9999999997553</v>
      </c>
      <c r="F23" s="11">
        <f t="shared" si="1"/>
        <v>0.58765030286592534</v>
      </c>
      <c r="G23" s="12">
        <f>(Submetering!AX23+Submetering!AY23+Submetering!AZ23+Submetering!BA23+Submetering!BB23)</f>
        <v>5.4944999999999995</v>
      </c>
      <c r="H23" s="11">
        <f t="shared" si="2"/>
        <v>0.99</v>
      </c>
      <c r="I23" s="12">
        <f>'FS Desroches Daily'!CM25</f>
        <v>31.900000000000091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4740.0000000000564</v>
      </c>
      <c r="F24" s="11">
        <f t="shared" si="1"/>
        <v>0.58765030286592534</v>
      </c>
      <c r="G24" s="12">
        <f>(Submetering!AX24+Submetering!AY24+Submetering!AZ24+Submetering!BA24+Submetering!BB24)</f>
        <v>5.4944999999999995</v>
      </c>
      <c r="H24" s="11">
        <f t="shared" si="2"/>
        <v>0.99</v>
      </c>
      <c r="I24" s="12">
        <f>'FS Desroches Daily'!CM26</f>
        <v>20.199999999999818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 t="e">
        <f>Submetering!E25+Submetering!F25+Submetering!G25+Submetering!H25+Submetering!J25-Submetering!AV25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 t="e">
        <f>'FS Desroches Daily'!CM27</f>
        <v>#VALUE!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109.09999999997672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>
        <f>'FS Desroches Daily'!V21</f>
        <v>57.200000000011642</v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14</v>
      </c>
      <c r="AM19" s="32">
        <f>'FS Desroches Daily'!BT21</f>
        <v>20.000000000010232</v>
      </c>
      <c r="AN19" s="32">
        <f>'FS Desroches Daily'!BV21</f>
        <v>50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>
        <f>'FS Desroches Daily'!D22</f>
        <v>1300.0000000000789</v>
      </c>
      <c r="F20" s="32">
        <f>'FS Desroches Daily'!F22</f>
        <v>699.99999999970089</v>
      </c>
      <c r="G20" s="31">
        <f>'FS Desroches Daily'!H22</f>
        <v>1799.9999999998017</v>
      </c>
      <c r="H20" s="32">
        <f>'FS Desroches Daily'!J22</f>
        <v>800.00000000013392</v>
      </c>
      <c r="I20" s="31">
        <f>'FS Desroches Daily'!L22</f>
        <v>1600.0000000002678</v>
      </c>
      <c r="J20" s="32">
        <f>'FS Desroches Daily'!N22</f>
        <v>599.99999999993395</v>
      </c>
      <c r="K20" s="13">
        <f>'FS Desroches Daily'!P22</f>
        <v>0</v>
      </c>
      <c r="L20" s="31">
        <f>'FS Desroches Daily'!R22</f>
        <v>0</v>
      </c>
      <c r="M20" s="31">
        <f>'FS Desroches Daily'!T22</f>
        <v>398.20000000006985</v>
      </c>
      <c r="N20" s="31">
        <f>'FS Desroches Daily'!V22</f>
        <v>163.79999999998836</v>
      </c>
      <c r="O20" s="31">
        <f>'FS Desroches Daily'!X22</f>
        <v>110.00000000001364</v>
      </c>
      <c r="P20" s="31">
        <f>'FS Desroches Daily'!Z22</f>
        <v>500.00000000016701</v>
      </c>
      <c r="Q20" s="31">
        <f>'FS Desroches Daily'!AB22</f>
        <v>100.00000000002274</v>
      </c>
      <c r="R20" s="31">
        <f>'FS Desroches Daily'!AD22</f>
        <v>159.99999999996817</v>
      </c>
      <c r="S20" s="31">
        <f>'FS Desroches Daily'!AF22</f>
        <v>259.99999999999091</v>
      </c>
      <c r="T20" s="31">
        <f>'FS Desroches Daily'!AH22</f>
        <v>1</v>
      </c>
      <c r="U20" s="35">
        <f>'FS Desroches Daily'!AJ22</f>
        <v>199.99999999998863</v>
      </c>
      <c r="V20" s="35">
        <f>'FS Desroches Daily'!AL22</f>
        <v>159.99999999999659</v>
      </c>
      <c r="W20" s="35">
        <f>'FS Desroches Daily'!AN22</f>
        <v>280.00000000000114</v>
      </c>
      <c r="X20" s="35">
        <f>'FS Desroches Daily'!AP22</f>
        <v>180.00000000000682</v>
      </c>
      <c r="Y20" s="35">
        <f>'FS Desroches Daily'!AR22</f>
        <v>39.999999999992042</v>
      </c>
      <c r="Z20" s="35">
        <f>'FS Desroches Daily'!AT22</f>
        <v>40.000000000020464</v>
      </c>
      <c r="AA20" s="35">
        <f>'FS Desroches Daily'!AT22</f>
        <v>40.000000000020464</v>
      </c>
      <c r="AB20" s="35">
        <f>'FS Desroches Daily'!AV22</f>
        <v>39.99999999996362</v>
      </c>
      <c r="AC20" s="35">
        <f>'FS Desroches Daily'!AZ22</f>
        <v>19.99999999998181</v>
      </c>
      <c r="AD20" s="35">
        <f>'FS Desroches Daily'!BB22</f>
        <v>30.000000000029559</v>
      </c>
      <c r="AE20" s="35">
        <f>'FS Desroches Daily'!BD22</f>
        <v>30.000000000001137</v>
      </c>
      <c r="AF20" s="31">
        <f>'FS Desroches Daily'!BF22</f>
        <v>19</v>
      </c>
      <c r="AG20" s="32">
        <f>'FS Desroches Daily'!BH22</f>
        <v>20.000000000010232</v>
      </c>
      <c r="AH20" s="32">
        <f>'FS Desroches Daily'!BJ22</f>
        <v>9.9999999999909051</v>
      </c>
      <c r="AI20" s="32">
        <f>'FS Desroches Daily'!BL22</f>
        <v>0</v>
      </c>
      <c r="AJ20" s="32">
        <f>'FS Desroches Daily'!BN22</f>
        <v>20.000000000010232</v>
      </c>
      <c r="AK20" s="32">
        <f>'FS Desroches Daily'!BP22</f>
        <v>20.000000000038654</v>
      </c>
      <c r="AL20" s="32">
        <f>'FS Desroches Daily'!BR22</f>
        <v>13</v>
      </c>
      <c r="AM20" s="32">
        <f>'FS Desroches Daily'!BT22</f>
        <v>9.9999999999909051</v>
      </c>
      <c r="AN20" s="32">
        <f>'FS Desroches Daily'!BV22</f>
        <v>46</v>
      </c>
      <c r="AO20" s="32">
        <f>'FS Desroches Daily'!BX22</f>
        <v>9.9999999999909051</v>
      </c>
      <c r="AP20" s="32">
        <f>'FS Desroches Daily'!BZ22</f>
        <v>20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21.69999999999709</v>
      </c>
      <c r="AU20" s="31">
        <f>'FS Desroches Daily'!CJ22</f>
        <v>213</v>
      </c>
      <c r="AV20" s="31">
        <f>'FS Desroches Daily'!CL22</f>
        <v>509.99999999999091</v>
      </c>
      <c r="AW20" s="31">
        <f>'FS Desroches Daily'!CM22</f>
        <v>24.799999999999955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5.4944999999999995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1300.0000000000789</v>
      </c>
      <c r="F21" s="32">
        <f>'FS Desroches Daily'!F23</f>
        <v>600.00000000037801</v>
      </c>
      <c r="G21" s="31">
        <f>'FS Desroches Daily'!H23</f>
        <v>1900.0000000000127</v>
      </c>
      <c r="H21" s="32">
        <f>'FS Desroches Daily'!J23</f>
        <v>899.99999999990087</v>
      </c>
      <c r="I21" s="31">
        <f>'FS Desroches Daily'!L23</f>
        <v>1799.9999999998017</v>
      </c>
      <c r="J21" s="32">
        <f>'FS Desroches Daily'!N23</f>
        <v>499.99999999994492</v>
      </c>
      <c r="K21" s="13">
        <f>'FS Desroches Daily'!P23</f>
        <v>1</v>
      </c>
      <c r="L21" s="31">
        <f>'FS Desroches Daily'!R23</f>
        <v>8</v>
      </c>
      <c r="M21" s="31">
        <f>'FS Desroches Daily'!T23</f>
        <v>350.59999999997672</v>
      </c>
      <c r="N21" s="31">
        <f>'FS Desroches Daily'!V23</f>
        <v>182.90000000002328</v>
      </c>
      <c r="O21" s="31">
        <f>'FS Desroches Daily'!X23</f>
        <v>100.00000000002274</v>
      </c>
      <c r="P21" s="31">
        <f>'FS Desroches Daily'!Z23</f>
        <v>399.99999999995595</v>
      </c>
      <c r="Q21" s="31">
        <f>'FS Desroches Daily'!AB23</f>
        <v>60.000000000002274</v>
      </c>
      <c r="R21" s="31">
        <f>'FS Desroches Daily'!AD23</f>
        <v>140.0000000000432</v>
      </c>
      <c r="S21" s="31">
        <f>'FS Desroches Daily'!AF23</f>
        <v>189.99999999999773</v>
      </c>
      <c r="T21" s="31">
        <f>'FS Desroches Daily'!AH23</f>
        <v>1.0999999999999091</v>
      </c>
      <c r="U21" s="35">
        <f>'FS Desroches Daily'!AJ23</f>
        <v>199.99999999998863</v>
      </c>
      <c r="V21" s="35">
        <f>'FS Desroches Daily'!AL23</f>
        <v>150.00000000000568</v>
      </c>
      <c r="W21" s="35">
        <f>'FS Desroches Daily'!AN23</f>
        <v>259.99999999999091</v>
      </c>
      <c r="X21" s="35">
        <f>'FS Desroches Daily'!AP23</f>
        <v>169.99999999998749</v>
      </c>
      <c r="Y21" s="35">
        <f>'FS Desroches Daily'!AR23</f>
        <v>50.000000000011369</v>
      </c>
      <c r="Z21" s="35">
        <f>'FS Desroches Daily'!AT23</f>
        <v>29.999999999972715</v>
      </c>
      <c r="AA21" s="35">
        <f>'FS Desroches Daily'!AT23</f>
        <v>29.999999999972715</v>
      </c>
      <c r="AB21" s="35">
        <f>'FS Desroches Daily'!AV23</f>
        <v>50.000000000011369</v>
      </c>
      <c r="AC21" s="35">
        <f>'FS Desroches Daily'!AZ23</f>
        <v>39.99999999996362</v>
      </c>
      <c r="AD21" s="35">
        <f>'FS Desroches Daily'!BB23</f>
        <v>29.999999999972715</v>
      </c>
      <c r="AE21" s="35">
        <f>'FS Desroches Daily'!BD23</f>
        <v>30.000000000001137</v>
      </c>
      <c r="AF21" s="31">
        <f>'FS Desroches Daily'!BF23</f>
        <v>24</v>
      </c>
      <c r="AG21" s="32">
        <f>'FS Desroches Daily'!BH23</f>
        <v>9.9999999999909051</v>
      </c>
      <c r="AH21" s="32">
        <f>'FS Desroches Daily'!BJ23</f>
        <v>20.000000000038654</v>
      </c>
      <c r="AI21" s="32">
        <f>'FS Desroches Daily'!BL23</f>
        <v>0</v>
      </c>
      <c r="AJ21" s="32">
        <f>'FS Desroches Daily'!BN23</f>
        <v>20.000000000010232</v>
      </c>
      <c r="AK21" s="32">
        <f>'FS Desroches Daily'!BP23</f>
        <v>19.99999999998181</v>
      </c>
      <c r="AL21" s="32">
        <f>'FS Desroches Daily'!BR23</f>
        <v>15</v>
      </c>
      <c r="AM21" s="32">
        <f>'FS Desroches Daily'!BT23</f>
        <v>20.000000000010232</v>
      </c>
      <c r="AN21" s="32">
        <f>'FS Desroches Daily'!BV23</f>
        <v>50</v>
      </c>
      <c r="AO21" s="32">
        <f>'FS Desroches Daily'!BX23</f>
        <v>20.000000000010232</v>
      </c>
      <c r="AP21" s="32">
        <f>'FS Desroches Daily'!BZ23</f>
        <v>27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17.19999999999709</v>
      </c>
      <c r="AU21" s="31">
        <f>'FS Desroches Daily'!CJ23</f>
        <v>217</v>
      </c>
      <c r="AV21" s="31">
        <f>'FS Desroches Daily'!CL23</f>
        <v>529.99999999997272</v>
      </c>
      <c r="AW21" s="31">
        <f>'FS Desroches Daily'!CM23</f>
        <v>37.700000000000045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3.6629999999999998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1199.9999999998679</v>
      </c>
      <c r="F22" s="32">
        <f>'FS Desroches Daily'!F24</f>
        <v>599.99999999993395</v>
      </c>
      <c r="G22" s="31">
        <f>'FS Desroches Daily'!H24</f>
        <v>1800.0000000002458</v>
      </c>
      <c r="H22" s="32">
        <f>'FS Desroches Daily'!J24</f>
        <v>900.0000000001229</v>
      </c>
      <c r="I22" s="31">
        <f>'FS Desroches Daily'!L24</f>
        <v>1700.0000000000348</v>
      </c>
      <c r="J22" s="32">
        <f>'FS Desroches Daily'!N24</f>
        <v>500.00000000016701</v>
      </c>
      <c r="K22" s="13">
        <f>'FS Desroches Daily'!P24</f>
        <v>0</v>
      </c>
      <c r="L22" s="31">
        <f>'FS Desroches Daily'!R24</f>
        <v>10</v>
      </c>
      <c r="M22" s="31">
        <f>'FS Desroches Daily'!T24</f>
        <v>299</v>
      </c>
      <c r="N22" s="31">
        <f>'FS Desroches Daily'!V24</f>
        <v>148.89999999996508</v>
      </c>
      <c r="O22" s="31">
        <f>'FS Desroches Daily'!X24</f>
        <v>89.999999999974989</v>
      </c>
      <c r="P22" s="31">
        <f>'FS Desroches Daily'!Z24</f>
        <v>399.99999999995595</v>
      </c>
      <c r="Q22" s="31">
        <f>'FS Desroches Daily'!AB24</f>
        <v>60.000000000002274</v>
      </c>
      <c r="R22" s="31">
        <f>'FS Desroches Daily'!AD24</f>
        <v>139.99999999998636</v>
      </c>
      <c r="S22" s="31">
        <f>'FS Desroches Daily'!AF24</f>
        <v>180.00000000000682</v>
      </c>
      <c r="T22" s="31">
        <f>'FS Desroches Daily'!AH24</f>
        <v>1.2000000000000455</v>
      </c>
      <c r="U22" s="35">
        <f>'FS Desroches Daily'!AJ24</f>
        <v>200.00000000004547</v>
      </c>
      <c r="V22" s="35">
        <f>'FS Desroches Daily'!AL24</f>
        <v>159.99999999999659</v>
      </c>
      <c r="W22" s="35">
        <f>'FS Desroches Daily'!AN24</f>
        <v>280.00000000000114</v>
      </c>
      <c r="X22" s="35">
        <f>'FS Desroches Daily'!AP24</f>
        <v>150.00000000000568</v>
      </c>
      <c r="Y22" s="35">
        <f>'FS Desroches Daily'!AR24</f>
        <v>39.999999999992042</v>
      </c>
      <c r="Z22" s="35">
        <f>'FS Desroches Daily'!AT24</f>
        <v>50.000000000011369</v>
      </c>
      <c r="AA22" s="35">
        <f>'FS Desroches Daily'!AT24</f>
        <v>50.000000000011369</v>
      </c>
      <c r="AB22" s="35">
        <f>'FS Desroches Daily'!AV24</f>
        <v>40.000000000020464</v>
      </c>
      <c r="AC22" s="35">
        <f>'FS Desroches Daily'!AZ24</f>
        <v>30.000000000029559</v>
      </c>
      <c r="AD22" s="35">
        <f>'FS Desroches Daily'!BB24</f>
        <v>20.000000000038654</v>
      </c>
      <c r="AE22" s="35">
        <f>'FS Desroches Daily'!BD24</f>
        <v>20.000000000010232</v>
      </c>
      <c r="AF22" s="31">
        <f>'FS Desroches Daily'!BF24</f>
        <v>21</v>
      </c>
      <c r="AG22" s="32">
        <f>'FS Desroches Daily'!BH24</f>
        <v>9.9999999999909051</v>
      </c>
      <c r="AH22" s="32">
        <f>'FS Desroches Daily'!BJ24</f>
        <v>9.9999999999909051</v>
      </c>
      <c r="AI22" s="32">
        <f>'FS Desroches Daily'!BL24</f>
        <v>9.9999999999909051</v>
      </c>
      <c r="AJ22" s="32">
        <f>'FS Desroches Daily'!BN24</f>
        <v>19.99999999998181</v>
      </c>
      <c r="AK22" s="32">
        <f>'FS Desroches Daily'!BP24</f>
        <v>19.99999999998181</v>
      </c>
      <c r="AL22" s="32">
        <f>'FS Desroches Daily'!BR24</f>
        <v>16</v>
      </c>
      <c r="AM22" s="32">
        <f>'FS Desroches Daily'!BT24</f>
        <v>9.9999999999909051</v>
      </c>
      <c r="AN22" s="32">
        <f>'FS Desroches Daily'!BV24</f>
        <v>50</v>
      </c>
      <c r="AO22" s="32">
        <f>'FS Desroches Daily'!BX24</f>
        <v>9.9999999999909051</v>
      </c>
      <c r="AP22" s="32">
        <f>'FS Desroches Daily'!BZ24</f>
        <v>27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15.400000000001455</v>
      </c>
      <c r="AU22" s="31">
        <f>'FS Desroches Daily'!CJ24</f>
        <v>205</v>
      </c>
      <c r="AV22" s="31">
        <f>'FS Desroches Daily'!CL24</f>
        <v>540.00000000007731</v>
      </c>
      <c r="AW22" s="31">
        <f>'FS Desroches Daily'!CM24</f>
        <v>21.700000000000045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1300.0000000000789</v>
      </c>
      <c r="F23" s="32">
        <f>'FS Desroches Daily'!F25</f>
        <v>699.99999999970089</v>
      </c>
      <c r="G23" s="31">
        <f>'FS Desroches Daily'!H25</f>
        <v>1700.0000000000348</v>
      </c>
      <c r="H23" s="32">
        <f>'FS Desroches Daily'!J25</f>
        <v>899.99999999990087</v>
      </c>
      <c r="I23" s="31">
        <f>'FS Desroches Daily'!L25</f>
        <v>1700.0000000000348</v>
      </c>
      <c r="J23" s="32">
        <f>'FS Desroches Daily'!N25</f>
        <v>499.99999999994492</v>
      </c>
      <c r="K23" s="13">
        <f>'FS Desroches Daily'!P25</f>
        <v>1</v>
      </c>
      <c r="L23" s="31">
        <f>'FS Desroches Daily'!R25</f>
        <v>10</v>
      </c>
      <c r="M23" s="31">
        <f>'FS Desroches Daily'!T25</f>
        <v>331.40000000002328</v>
      </c>
      <c r="N23" s="31">
        <f>'FS Desroches Daily'!V25</f>
        <v>173.5</v>
      </c>
      <c r="O23" s="31">
        <f>'FS Desroches Daily'!X25</f>
        <v>150.00000000003411</v>
      </c>
      <c r="P23" s="31">
        <f>'FS Desroches Daily'!Z25</f>
        <v>399.99999999995595</v>
      </c>
      <c r="Q23" s="31">
        <f>'FS Desroches Daily'!AB25</f>
        <v>89.999999999974989</v>
      </c>
      <c r="R23" s="31">
        <f>'FS Desroches Daily'!AD25</f>
        <v>129.99999999999545</v>
      </c>
      <c r="S23" s="31">
        <f>'FS Desroches Daily'!AF25</f>
        <v>189.99999999999773</v>
      </c>
      <c r="T23" s="31">
        <f>'FS Desroches Daily'!AH25</f>
        <v>1.1000000000001364</v>
      </c>
      <c r="U23" s="35">
        <f>'FS Desroches Daily'!AJ25</f>
        <v>250</v>
      </c>
      <c r="V23" s="35">
        <f>'FS Desroches Daily'!AL25</f>
        <v>150.00000000000568</v>
      </c>
      <c r="W23" s="35">
        <f>'FS Desroches Daily'!AN25</f>
        <v>259.99999999999091</v>
      </c>
      <c r="X23" s="35">
        <f>'FS Desroches Daily'!AP25</f>
        <v>159.99999999999659</v>
      </c>
      <c r="Y23" s="35">
        <f>'FS Desroches Daily'!AR25</f>
        <v>39.999999999992042</v>
      </c>
      <c r="Z23" s="35">
        <f>'FS Desroches Daily'!AT25</f>
        <v>29.999999999972715</v>
      </c>
      <c r="AA23" s="35">
        <f>'FS Desroches Daily'!AT25</f>
        <v>29.999999999972715</v>
      </c>
      <c r="AB23" s="35">
        <f>'FS Desroches Daily'!AV25</f>
        <v>29.999999999972715</v>
      </c>
      <c r="AC23" s="35">
        <f>'FS Desroches Daily'!AZ25</f>
        <v>29.999999999972715</v>
      </c>
      <c r="AD23" s="35">
        <f>'FS Desroches Daily'!BB25</f>
        <v>29.999999999972715</v>
      </c>
      <c r="AE23" s="35">
        <f>'FS Desroches Daily'!BD25</f>
        <v>19.99999999998181</v>
      </c>
      <c r="AF23" s="31">
        <f>'FS Desroches Daily'!BF25</f>
        <v>28</v>
      </c>
      <c r="AG23" s="32">
        <f>'FS Desroches Daily'!BH25</f>
        <v>0</v>
      </c>
      <c r="AH23" s="32">
        <f>'FS Desroches Daily'!BJ25</f>
        <v>19.99999999998181</v>
      </c>
      <c r="AI23" s="32">
        <f>'FS Desroches Daily'!BL25</f>
        <v>9.9999999999909051</v>
      </c>
      <c r="AJ23" s="32">
        <f>'FS Desroches Daily'!BN25</f>
        <v>9.9999999999909051</v>
      </c>
      <c r="AK23" s="32">
        <f>'FS Desroches Daily'!BP25</f>
        <v>30.000000000029559</v>
      </c>
      <c r="AL23" s="32">
        <f>'FS Desroches Daily'!BR25</f>
        <v>14</v>
      </c>
      <c r="AM23" s="32">
        <f>'FS Desroches Daily'!BT25</f>
        <v>19.99999999998181</v>
      </c>
      <c r="AN23" s="32">
        <f>'FS Desroches Daily'!BV25</f>
        <v>35</v>
      </c>
      <c r="AO23" s="32">
        <f>'FS Desroches Daily'!BX25</f>
        <v>9.9999999999909051</v>
      </c>
      <c r="AP23" s="32">
        <f>'FS Desroches Daily'!BZ25</f>
        <v>27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22.80000000000291</v>
      </c>
      <c r="AU23" s="31">
        <f>'FS Desroches Daily'!CJ25</f>
        <v>209</v>
      </c>
      <c r="AV23" s="31">
        <f>'FS Desroches Daily'!CL25</f>
        <v>479.9999999999045</v>
      </c>
      <c r="AW23" s="31">
        <f>'FS Desroches Daily'!CM25</f>
        <v>31.900000000000091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1200.0000000000898</v>
      </c>
      <c r="F24" s="32">
        <f>'FS Desroches Daily'!F26</f>
        <v>700.00000000014495</v>
      </c>
      <c r="G24" s="31">
        <f>'FS Desroches Daily'!H26</f>
        <v>1799.9999999998017</v>
      </c>
      <c r="H24" s="32">
        <f>'FS Desroches Daily'!J26</f>
        <v>900.0000000001229</v>
      </c>
      <c r="I24" s="31">
        <f>'FS Desroches Daily'!L26</f>
        <v>1700.0000000000348</v>
      </c>
      <c r="J24" s="32">
        <f>'FS Desroches Daily'!N26</f>
        <v>599.99999999993395</v>
      </c>
      <c r="K24" s="13">
        <f>'FS Desroches Daily'!P26</f>
        <v>0</v>
      </c>
      <c r="L24" s="31">
        <f>'FS Desroches Daily'!R26</f>
        <v>10</v>
      </c>
      <c r="M24" s="31">
        <f>'FS Desroches Daily'!T26</f>
        <v>389.19999999995343</v>
      </c>
      <c r="N24" s="31">
        <f>'FS Desroches Daily'!V26</f>
        <v>188.70000000001164</v>
      </c>
      <c r="O24" s="31">
        <f>'FS Desroches Daily'!X26</f>
        <v>109.9999999999568</v>
      </c>
      <c r="P24" s="31">
        <f>'FS Desroches Daily'!Z26</f>
        <v>500.00000000016701</v>
      </c>
      <c r="Q24" s="31">
        <f>'FS Desroches Daily'!AB26</f>
        <v>90.000000000031832</v>
      </c>
      <c r="R24" s="31">
        <f>'FS Desroches Daily'!AD26</f>
        <v>159.99999999996817</v>
      </c>
      <c r="S24" s="31">
        <f>'FS Desroches Daily'!AF26</f>
        <v>239.99999999995225</v>
      </c>
      <c r="T24" s="31">
        <f>'FS Desroches Daily'!AH26</f>
        <v>1.0999999999999091</v>
      </c>
      <c r="U24" s="35">
        <f>'FS Desroches Daily'!AJ26</f>
        <v>250</v>
      </c>
      <c r="V24" s="35">
        <f>'FS Desroches Daily'!AL26</f>
        <v>159.99999999999659</v>
      </c>
      <c r="W24" s="35">
        <f>'FS Desroches Daily'!AN26</f>
        <v>280.00000000000114</v>
      </c>
      <c r="X24" s="35">
        <f>'FS Desroches Daily'!AP26</f>
        <v>159.99999999999659</v>
      </c>
      <c r="Y24" s="35">
        <f>'FS Desroches Daily'!AR26</f>
        <v>39.999999999992042</v>
      </c>
      <c r="Z24" s="35">
        <f>'FS Desroches Daily'!AT26</f>
        <v>40.000000000020464</v>
      </c>
      <c r="AA24" s="35">
        <f>'FS Desroches Daily'!AT26</f>
        <v>40.000000000020464</v>
      </c>
      <c r="AB24" s="35">
        <f>'FS Desroches Daily'!AV26</f>
        <v>30.000000000029559</v>
      </c>
      <c r="AC24" s="35">
        <f>'FS Desroches Daily'!AZ26</f>
        <v>30.000000000029559</v>
      </c>
      <c r="AD24" s="35">
        <f>'FS Desroches Daily'!BB26</f>
        <v>40.000000000020464</v>
      </c>
      <c r="AE24" s="35">
        <f>'FS Desroches Daily'!BD26</f>
        <v>30.000000000001137</v>
      </c>
      <c r="AF24" s="31">
        <f>'FS Desroches Daily'!BF26</f>
        <v>31</v>
      </c>
      <c r="AG24" s="32">
        <f>'FS Desroches Daily'!BH26</f>
        <v>0</v>
      </c>
      <c r="AH24" s="32">
        <f>'FS Desroches Daily'!BJ26</f>
        <v>19.99999999998181</v>
      </c>
      <c r="AI24" s="32">
        <f>'FS Desroches Daily'!BL26</f>
        <v>10.000000000019327</v>
      </c>
      <c r="AJ24" s="32">
        <f>'FS Desroches Daily'!BN26</f>
        <v>20.000000000010232</v>
      </c>
      <c r="AK24" s="32">
        <f>'FS Desroches Daily'!BP26</f>
        <v>19.99999999998181</v>
      </c>
      <c r="AL24" s="32">
        <f>'FS Desroches Daily'!BR26</f>
        <v>14</v>
      </c>
      <c r="AM24" s="32">
        <f>'FS Desroches Daily'!BT26</f>
        <v>20.000000000010232</v>
      </c>
      <c r="AN24" s="32">
        <f>'FS Desroches Daily'!BV26</f>
        <v>30</v>
      </c>
      <c r="AO24" s="32">
        <f>'FS Desroches Daily'!BX26</f>
        <v>9.9999999999909051</v>
      </c>
      <c r="AP24" s="32">
        <f>'FS Desroches Daily'!BZ26</f>
        <v>25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16.900000000001455</v>
      </c>
      <c r="AU24" s="31">
        <f>'FS Desroches Daily'!CJ26</f>
        <v>207</v>
      </c>
      <c r="AV24" s="31">
        <f>'FS Desroches Daily'!CL26</f>
        <v>460.00000000003638</v>
      </c>
      <c r="AW24" s="31">
        <f>'FS Desroches Daily'!CM26</f>
        <v>20.199999999999818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5.4944999999999995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 t="str">
        <f>'FS Desroches Daily'!D27</f>
        <v>0</v>
      </c>
      <c r="F25" s="32" t="str">
        <f>'FS Desroches Daily'!F27</f>
        <v>0</v>
      </c>
      <c r="G25" s="31" t="str">
        <f>'FS Desroches Daily'!H27</f>
        <v>0</v>
      </c>
      <c r="H25" s="32" t="str">
        <f>'FS Desroches Daily'!J27</f>
        <v>0</v>
      </c>
      <c r="I25" s="31" t="str">
        <f>'FS Desroches Daily'!L27</f>
        <v>0</v>
      </c>
      <c r="J25" s="32" t="str">
        <f>'FS Desroches Daily'!N27</f>
        <v/>
      </c>
      <c r="K25" s="13" t="str">
        <f>'FS Desroches Daily'!P27</f>
        <v/>
      </c>
      <c r="L25" s="31" t="str">
        <f>'FS Desroches Daily'!R27</f>
        <v/>
      </c>
      <c r="M25" s="31" t="str">
        <f>'FS Desroches Daily'!T27</f>
        <v/>
      </c>
      <c r="N25" s="31" t="str">
        <f>'FS Desroches Daily'!V27</f>
        <v/>
      </c>
      <c r="O25" s="31" t="str">
        <f>'FS Desroches Daily'!X27</f>
        <v/>
      </c>
      <c r="P25" s="31" t="str">
        <f>'FS Desroches Daily'!Z27</f>
        <v/>
      </c>
      <c r="Q25" s="31" t="str">
        <f>'FS Desroches Daily'!AB27</f>
        <v/>
      </c>
      <c r="R25" s="31" t="str">
        <f>'FS Desroches Daily'!AD27</f>
        <v/>
      </c>
      <c r="S25" s="31" t="str">
        <f>'FS Desroches Daily'!AF27</f>
        <v/>
      </c>
      <c r="T25" s="31" t="str">
        <f>'FS Desroches Daily'!AH27</f>
        <v/>
      </c>
      <c r="U25" s="35" t="str">
        <f>'FS Desroches Daily'!AJ27</f>
        <v/>
      </c>
      <c r="V25" s="35" t="str">
        <f>'FS Desroches Daily'!AL27</f>
        <v/>
      </c>
      <c r="W25" s="35" t="str">
        <f>'FS Desroches Daily'!AN27</f>
        <v/>
      </c>
      <c r="X25" s="35" t="str">
        <f>'FS Desroches Daily'!AP27</f>
        <v/>
      </c>
      <c r="Y25" s="35" t="str">
        <f>'FS Desroches Daily'!AR27</f>
        <v/>
      </c>
      <c r="Z25" s="35" t="str">
        <f>'FS Desroches Daily'!AT27</f>
        <v/>
      </c>
      <c r="AA25" s="35" t="str">
        <f>'FS Desroches Daily'!AT27</f>
        <v/>
      </c>
      <c r="AB25" s="35" t="str">
        <f>'FS Desroches Daily'!AV27</f>
        <v/>
      </c>
      <c r="AC25" s="35" t="str">
        <f>'FS Desroches Daily'!AZ27</f>
        <v/>
      </c>
      <c r="AD25" s="35" t="str">
        <f>'FS Desroches Daily'!BB27</f>
        <v/>
      </c>
      <c r="AE25" s="35" t="str">
        <f>'FS Desroches Daily'!BD27</f>
        <v/>
      </c>
      <c r="AF25" s="31" t="str">
        <f>'FS Desroches Daily'!BF27</f>
        <v/>
      </c>
      <c r="AG25" s="32" t="str">
        <f>'FS Desroches Daily'!BH27</f>
        <v/>
      </c>
      <c r="AH25" s="32" t="str">
        <f>'FS Desroches Daily'!BJ27</f>
        <v/>
      </c>
      <c r="AI25" s="32" t="str">
        <f>'FS Desroches Daily'!BL27</f>
        <v/>
      </c>
      <c r="AJ25" s="32" t="str">
        <f>'FS Desroches Daily'!BN27</f>
        <v/>
      </c>
      <c r="AK25" s="32" t="str">
        <f>'FS Desroches Daily'!BP27</f>
        <v/>
      </c>
      <c r="AL25" s="32" t="str">
        <f>'FS Desroches Daily'!BR27</f>
        <v/>
      </c>
      <c r="AM25" s="32" t="str">
        <f>'FS Desroches Daily'!BT27</f>
        <v/>
      </c>
      <c r="AN25" s="32" t="str">
        <f>'FS Desroches Daily'!BV27</f>
        <v/>
      </c>
      <c r="AO25" s="32" t="str">
        <f>'FS Desroches Daily'!BX27</f>
        <v/>
      </c>
      <c r="AP25" s="32" t="str">
        <f>'FS Desroches Daily'!BZ27</f>
        <v/>
      </c>
      <c r="AQ25" s="31" t="str">
        <f>'FS Desroches Daily'!CB27</f>
        <v/>
      </c>
      <c r="AR25" s="31" t="str">
        <f>'FS Desroches Daily'!CD27</f>
        <v/>
      </c>
      <c r="AS25" s="31" t="str">
        <f>'FS Desroches Daily'!CF27</f>
        <v/>
      </c>
      <c r="AT25" s="31" t="str">
        <f>'FS Desroches Daily'!CH27</f>
        <v/>
      </c>
      <c r="AU25" s="31" t="str">
        <f>'FS Desroches Daily'!CJ27</f>
        <v/>
      </c>
      <c r="AV25" s="31" t="str">
        <f>'FS Desroches Daily'!CL27</f>
        <v/>
      </c>
      <c r="AW25" s="31" t="e">
        <f>'FS Desroches Daily'!CM27</f>
        <v>#VALUE!</v>
      </c>
      <c r="AX25" s="31" t="str">
        <f>IF(LPG!F32-LPG!F31&lt;0,"0",(LPG!F32-LPG!F31)*1.8315)</f>
        <v>0</v>
      </c>
      <c r="AY25" s="31" t="str">
        <f>IF(LPG!H32-LPG!H31&lt;0,"0",(LPG!H32-LPG!H31)*1.8315)</f>
        <v>0</v>
      </c>
      <c r="AZ25" s="31" t="str">
        <f>IF(LPG!J32-LPG!J31&lt;0,"0",(LPG!J32-LPG!J31)*1.8315)</f>
        <v>0</v>
      </c>
      <c r="BA25" s="31" t="str">
        <f>IF(LPG!M32-LPG!M31&lt;0,"0",(LPG!M32-LPG!M31)*1.8315)</f>
        <v>0</v>
      </c>
      <c r="BB25" s="31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27500.000000000087</v>
      </c>
      <c r="F33" s="17">
        <f t="shared" ref="F33:BC33" si="1">SUM(F2:F32)</f>
        <v>14600.000000000173</v>
      </c>
      <c r="G33" s="17">
        <f t="shared" si="1"/>
        <v>35099.99999999992</v>
      </c>
      <c r="H33" s="17">
        <f t="shared" si="1"/>
        <v>20000.000000000025</v>
      </c>
      <c r="I33" s="17">
        <f t="shared" si="1"/>
        <v>38600.000000000211</v>
      </c>
      <c r="J33" s="17">
        <f t="shared" si="1"/>
        <v>12499.99999999996</v>
      </c>
      <c r="K33" s="17">
        <f t="shared" si="1"/>
        <v>14</v>
      </c>
      <c r="L33" s="17">
        <f t="shared" si="1"/>
        <v>102</v>
      </c>
      <c r="M33" s="17">
        <f t="shared" si="1"/>
        <v>4404.8000000000466</v>
      </c>
      <c r="N33" s="17">
        <f t="shared" si="1"/>
        <v>2454</v>
      </c>
      <c r="O33" s="17">
        <f t="shared" si="1"/>
        <v>2269.9999999999818</v>
      </c>
      <c r="P33" s="17">
        <f t="shared" si="1"/>
        <v>10100.000000000002</v>
      </c>
      <c r="Q33" s="17">
        <f t="shared" si="1"/>
        <v>1980.0000000000182</v>
      </c>
      <c r="R33" s="17">
        <f t="shared" si="1"/>
        <v>3339.999999999975</v>
      </c>
      <c r="S33" s="17">
        <f t="shared" si="1"/>
        <v>4750.0000000000018</v>
      </c>
      <c r="T33" s="17">
        <f t="shared" si="1"/>
        <v>26.599999999999909</v>
      </c>
      <c r="U33" s="35">
        <f t="shared" si="1"/>
        <v>5420.0000000000164</v>
      </c>
      <c r="V33" s="35">
        <f t="shared" si="1"/>
        <v>3499.9999999999982</v>
      </c>
      <c r="W33" s="35">
        <f t="shared" si="1"/>
        <v>4287.1999999999944</v>
      </c>
      <c r="X33" s="35">
        <f t="shared" si="1"/>
        <v>3719.9999999999982</v>
      </c>
      <c r="Y33" s="35">
        <f t="shared" si="1"/>
        <v>879.99999999999545</v>
      </c>
      <c r="Z33" s="35">
        <f t="shared" si="1"/>
        <v>1068.1899999999546</v>
      </c>
      <c r="AA33" s="35">
        <f t="shared" si="1"/>
        <v>1068.1899999999546</v>
      </c>
      <c r="AB33" s="35">
        <f t="shared" si="1"/>
        <v>730.00000000001819</v>
      </c>
      <c r="AC33" s="35">
        <f t="shared" si="1"/>
        <v>670.00000000001592</v>
      </c>
      <c r="AD33" s="35">
        <f t="shared" si="1"/>
        <v>629.99999999999545</v>
      </c>
      <c r="AE33" s="35">
        <f t="shared" si="1"/>
        <v>519.99999999998181</v>
      </c>
      <c r="AF33" s="17">
        <f t="shared" si="1"/>
        <v>628</v>
      </c>
      <c r="AG33" s="32">
        <f t="shared" si="1"/>
        <v>269.99999999998181</v>
      </c>
      <c r="AH33" s="32">
        <f t="shared" si="1"/>
        <v>299.99999999995453</v>
      </c>
      <c r="AI33" s="32">
        <f t="shared" si="1"/>
        <v>110.00000000001364</v>
      </c>
      <c r="AJ33" s="32">
        <f t="shared" si="1"/>
        <v>650.00000000000568</v>
      </c>
      <c r="AK33" s="32">
        <f t="shared" si="1"/>
        <v>519.99999999998181</v>
      </c>
      <c r="AL33" s="32">
        <f t="shared" si="1"/>
        <v>263</v>
      </c>
      <c r="AM33" s="32">
        <f t="shared" si="1"/>
        <v>379.99999999999545</v>
      </c>
      <c r="AN33" s="32">
        <f t="shared" si="1"/>
        <v>840</v>
      </c>
      <c r="AO33" s="32">
        <f t="shared" si="1"/>
        <v>459.99999999997954</v>
      </c>
      <c r="AP33" s="32">
        <f t="shared" si="1"/>
        <v>533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442.70000000000437</v>
      </c>
      <c r="AU33" s="17">
        <f t="shared" si="1"/>
        <v>4758</v>
      </c>
      <c r="AV33" s="17">
        <f t="shared" si="1"/>
        <v>9149.9999999999782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113.55299999999997</v>
      </c>
      <c r="BC33" s="17">
        <f t="shared" si="1"/>
        <v>0</v>
      </c>
    </row>
    <row r="35" spans="5:55" x14ac:dyDescent="0.25">
      <c r="E35" s="38">
        <f>E33/E37</f>
        <v>0.27271465122275373</v>
      </c>
      <c r="G35" s="29">
        <f>G33-M36</f>
        <v>28241.199999999873</v>
      </c>
      <c r="AE35" s="35">
        <f>SUM(U33:AE33)</f>
        <v>22493.579999999922</v>
      </c>
      <c r="AG35" s="32">
        <f>SUM(AG33:AP33)</f>
        <v>4325.9999999999127</v>
      </c>
    </row>
    <row r="36" spans="5:55" x14ac:dyDescent="0.25">
      <c r="G36" s="29">
        <f>G35-633*14</f>
        <v>19379.199999999873</v>
      </c>
      <c r="M36" s="29">
        <f>M33+N33</f>
        <v>6858.8000000000466</v>
      </c>
    </row>
    <row r="37" spans="5:55" x14ac:dyDescent="0.25">
      <c r="E37" s="17">
        <f>E33+F33+G33+H33+J33-633*14</f>
        <v>100838.00000000016</v>
      </c>
      <c r="G37" s="37">
        <f>M36/E37</f>
        <v>6.8018009083877465E-2</v>
      </c>
      <c r="M37" s="35">
        <f>AE35</f>
        <v>22493.579999999922</v>
      </c>
    </row>
    <row r="38" spans="5:55" x14ac:dyDescent="0.25">
      <c r="L38" s="27">
        <f>M38/E37</f>
        <v>4.2900493861440188E-2</v>
      </c>
      <c r="M38" s="29">
        <f>AG35</f>
        <v>4325.9999999999127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G1" zoomScale="80" zoomScaleNormal="80" workbookViewId="0">
      <pane ySplit="1" topLeftCell="A11" activePane="bottomLeft" state="frozen"/>
      <selection pane="bottomLeft" activeCell="Q29" sqref="Q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351266</v>
      </c>
      <c r="V20" s="67">
        <f t="shared" si="8"/>
        <v>109.09999999997672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>
        <f t="shared" si="8"/>
        <v>57.200000000011642</v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f t="shared" si="27"/>
        <v>14</v>
      </c>
      <c r="BS21" s="60">
        <v>194.58</v>
      </c>
      <c r="BT21" s="65">
        <f t="shared" si="42"/>
        <v>20.000000000010232</v>
      </c>
      <c r="BU21" s="60">
        <v>32568</v>
      </c>
      <c r="BV21" s="65">
        <f t="shared" si="29"/>
        <v>50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>
        <v>1.8652</v>
      </c>
      <c r="D22" s="64">
        <f t="shared" si="0"/>
        <v>1300.0000000000789</v>
      </c>
      <c r="E22" s="58">
        <v>2.7900999999999998</v>
      </c>
      <c r="F22" s="64">
        <f t="shared" si="1"/>
        <v>699.99999999970089</v>
      </c>
      <c r="G22" s="58">
        <v>2.7669999999999999</v>
      </c>
      <c r="H22" s="64">
        <f t="shared" si="2"/>
        <v>1799.9999999998017</v>
      </c>
      <c r="I22" s="58">
        <v>1.3444</v>
      </c>
      <c r="J22" s="64">
        <f t="shared" si="3"/>
        <v>800.00000000013392</v>
      </c>
      <c r="K22" s="58">
        <v>2.1352000000000002</v>
      </c>
      <c r="L22" s="64">
        <f t="shared" si="4"/>
        <v>1600.0000000002678</v>
      </c>
      <c r="M22" s="58">
        <v>1.2645999999999999</v>
      </c>
      <c r="N22" s="64">
        <f t="shared" si="5"/>
        <v>599.99999999993395</v>
      </c>
      <c r="O22" s="58">
        <v>12673</v>
      </c>
      <c r="P22" s="67">
        <f t="shared" si="44"/>
        <v>0</v>
      </c>
      <c r="Q22" s="58">
        <v>5864</v>
      </c>
      <c r="R22" s="67">
        <f t="shared" si="6"/>
        <v>0</v>
      </c>
      <c r="S22" s="58">
        <v>859651.8</v>
      </c>
      <c r="T22" s="67">
        <f t="shared" si="7"/>
        <v>398.20000000006985</v>
      </c>
      <c r="U22" s="58">
        <v>351487</v>
      </c>
      <c r="V22" s="67">
        <f t="shared" si="8"/>
        <v>163.79999999998836</v>
      </c>
      <c r="W22" s="58">
        <v>344.13</v>
      </c>
      <c r="X22" s="65">
        <f t="shared" si="9"/>
        <v>110.00000000001364</v>
      </c>
      <c r="Y22" s="58">
        <v>2.4447000000000001</v>
      </c>
      <c r="Z22" s="65">
        <f t="shared" si="10"/>
        <v>500.00000000016701</v>
      </c>
      <c r="AA22" s="58">
        <v>336</v>
      </c>
      <c r="AB22" s="65">
        <f t="shared" si="11"/>
        <v>100.00000000002274</v>
      </c>
      <c r="AC22" s="58">
        <v>324.08</v>
      </c>
      <c r="AD22" s="65">
        <f t="shared" si="12"/>
        <v>159.99999999996817</v>
      </c>
      <c r="AE22" s="58">
        <v>506.48</v>
      </c>
      <c r="AF22" s="65">
        <f t="shared" si="13"/>
        <v>259.99999999999091</v>
      </c>
      <c r="AG22" s="58">
        <v>1408.5</v>
      </c>
      <c r="AH22" s="67">
        <f t="shared" si="14"/>
        <v>1</v>
      </c>
      <c r="AI22" s="58">
        <v>479.32</v>
      </c>
      <c r="AJ22" s="65">
        <f t="shared" si="15"/>
        <v>199.99999999998863</v>
      </c>
      <c r="AK22" s="58">
        <v>166.22</v>
      </c>
      <c r="AL22" s="65">
        <f t="shared" si="15"/>
        <v>159.99999999999659</v>
      </c>
      <c r="AM22" s="58">
        <v>163.34</v>
      </c>
      <c r="AN22" s="65">
        <f t="shared" si="15"/>
        <v>280.00000000000114</v>
      </c>
      <c r="AO22" s="58">
        <v>158.37</v>
      </c>
      <c r="AP22" s="65">
        <f t="shared" si="15"/>
        <v>180.00000000000682</v>
      </c>
      <c r="AQ22" s="58">
        <v>222.28</v>
      </c>
      <c r="AR22" s="65">
        <f t="shared" si="16"/>
        <v>39.999999999992042</v>
      </c>
      <c r="AS22" s="58">
        <v>347.67</v>
      </c>
      <c r="AT22" s="65">
        <f t="shared" si="17"/>
        <v>40.000000000020464</v>
      </c>
      <c r="AU22" s="58">
        <v>268.26</v>
      </c>
      <c r="AV22" s="65">
        <f t="shared" si="18"/>
        <v>39.99999999996362</v>
      </c>
      <c r="AW22" s="58">
        <v>295.68</v>
      </c>
      <c r="AX22" s="65">
        <f t="shared" si="19"/>
        <v>30.000000000029559</v>
      </c>
      <c r="AY22" s="58">
        <v>346.99</v>
      </c>
      <c r="AZ22" s="65">
        <f t="shared" si="20"/>
        <v>19.99999999998181</v>
      </c>
      <c r="BA22" s="58">
        <v>366.74</v>
      </c>
      <c r="BB22" s="65">
        <f t="shared" si="21"/>
        <v>30.000000000029559</v>
      </c>
      <c r="BC22" s="58">
        <v>233.25</v>
      </c>
      <c r="BD22" s="65">
        <f t="shared" si="22"/>
        <v>30.000000000001137</v>
      </c>
      <c r="BE22" s="59">
        <v>32167</v>
      </c>
      <c r="BF22" s="67">
        <f t="shared" si="39"/>
        <v>19</v>
      </c>
      <c r="BG22" s="60">
        <v>226.4</v>
      </c>
      <c r="BH22" s="65">
        <f t="shared" si="23"/>
        <v>20.000000000010232</v>
      </c>
      <c r="BI22" s="60">
        <v>284.39</v>
      </c>
      <c r="BJ22" s="65">
        <f t="shared" si="40"/>
        <v>9.9999999999909051</v>
      </c>
      <c r="BK22" s="60">
        <v>231.55</v>
      </c>
      <c r="BL22" s="65">
        <f t="shared" si="24"/>
        <v>0</v>
      </c>
      <c r="BM22" s="60">
        <v>216.09</v>
      </c>
      <c r="BN22" s="65">
        <f t="shared" si="25"/>
        <v>20.000000000010232</v>
      </c>
      <c r="BO22" s="60">
        <v>281.04000000000002</v>
      </c>
      <c r="BP22" s="65">
        <f t="shared" si="26"/>
        <v>20.000000000038654</v>
      </c>
      <c r="BQ22" s="60">
        <v>40212</v>
      </c>
      <c r="BR22" s="65">
        <f t="shared" si="27"/>
        <v>13</v>
      </c>
      <c r="BS22" s="60">
        <v>194.59</v>
      </c>
      <c r="BT22" s="65">
        <f t="shared" si="42"/>
        <v>9.9999999999909051</v>
      </c>
      <c r="BU22" s="60">
        <v>32614</v>
      </c>
      <c r="BV22" s="65">
        <f t="shared" si="29"/>
        <v>46</v>
      </c>
      <c r="BW22" s="60">
        <v>226.09</v>
      </c>
      <c r="BX22" s="65">
        <f t="shared" si="30"/>
        <v>9.9999999999909051</v>
      </c>
      <c r="BY22" s="60">
        <v>50985</v>
      </c>
      <c r="BZ22" s="67">
        <f t="shared" si="31"/>
        <v>20</v>
      </c>
      <c r="CA22" s="60">
        <v>27515.599999999999</v>
      </c>
      <c r="CB22" s="67">
        <f t="shared" si="32"/>
        <v>0</v>
      </c>
      <c r="CC22" s="60">
        <v>11255.6</v>
      </c>
      <c r="CD22" s="67">
        <f t="shared" si="33"/>
        <v>0</v>
      </c>
      <c r="CE22" s="60">
        <v>5489.7</v>
      </c>
      <c r="CF22" s="67">
        <f t="shared" si="34"/>
        <v>0</v>
      </c>
      <c r="CG22" s="60">
        <v>50715.5</v>
      </c>
      <c r="CH22" s="67">
        <f t="shared" si="35"/>
        <v>21.69999999999709</v>
      </c>
      <c r="CI22" s="60">
        <v>883997</v>
      </c>
      <c r="CJ22" s="67">
        <f t="shared" si="36"/>
        <v>213</v>
      </c>
      <c r="CK22" s="60">
        <v>619.88</v>
      </c>
      <c r="CL22" s="64">
        <f t="shared" si="37"/>
        <v>509.99999999999091</v>
      </c>
      <c r="CM22" s="65">
        <f t="shared" si="41"/>
        <v>24.799999999999955</v>
      </c>
      <c r="CN22" s="62">
        <v>0</v>
      </c>
      <c r="CO22" s="62">
        <v>0</v>
      </c>
      <c r="CP22" s="68">
        <v>1288.5999999999999</v>
      </c>
      <c r="CQ22" s="67">
        <f t="shared" si="38"/>
        <v>15.799999999999955</v>
      </c>
      <c r="CR22" s="68">
        <v>10688</v>
      </c>
      <c r="CS22" s="67">
        <f t="shared" si="38"/>
        <v>9</v>
      </c>
      <c r="CT22" s="75">
        <v>3351</v>
      </c>
      <c r="CU22" s="67">
        <f t="shared" si="38"/>
        <v>11</v>
      </c>
      <c r="CV22" s="68">
        <v>9653</v>
      </c>
      <c r="CW22" s="67">
        <f t="shared" si="38"/>
        <v>20</v>
      </c>
    </row>
    <row r="23" spans="1:101" ht="25.5" customHeight="1" thickBot="1" x14ac:dyDescent="0.45">
      <c r="A23" s="63">
        <v>44124</v>
      </c>
      <c r="B23" s="44"/>
      <c r="C23" s="58">
        <v>1.8665</v>
      </c>
      <c r="D23" s="64">
        <f t="shared" si="0"/>
        <v>1300.0000000000789</v>
      </c>
      <c r="E23" s="58">
        <v>2.7907000000000002</v>
      </c>
      <c r="F23" s="64">
        <f t="shared" si="1"/>
        <v>600.00000000037801</v>
      </c>
      <c r="G23" s="58">
        <v>2.7688999999999999</v>
      </c>
      <c r="H23" s="64">
        <f t="shared" si="2"/>
        <v>1900.0000000000127</v>
      </c>
      <c r="I23" s="58">
        <v>1.3452999999999999</v>
      </c>
      <c r="J23" s="64">
        <f t="shared" si="3"/>
        <v>899.99999999990087</v>
      </c>
      <c r="K23" s="58">
        <v>2.137</v>
      </c>
      <c r="L23" s="64">
        <f t="shared" si="4"/>
        <v>1799.9999999998017</v>
      </c>
      <c r="M23" s="58">
        <v>1.2650999999999999</v>
      </c>
      <c r="N23" s="64">
        <f t="shared" si="5"/>
        <v>499.99999999994492</v>
      </c>
      <c r="O23" s="58">
        <v>12674</v>
      </c>
      <c r="P23" s="67">
        <f t="shared" si="44"/>
        <v>1</v>
      </c>
      <c r="Q23" s="58">
        <v>5872</v>
      </c>
      <c r="R23" s="67">
        <f t="shared" si="6"/>
        <v>8</v>
      </c>
      <c r="S23" s="58">
        <v>860002.4</v>
      </c>
      <c r="T23" s="67">
        <f t="shared" si="7"/>
        <v>350.59999999997672</v>
      </c>
      <c r="U23" s="58">
        <v>351669.9</v>
      </c>
      <c r="V23" s="67">
        <f t="shared" si="8"/>
        <v>182.90000000002328</v>
      </c>
      <c r="W23" s="58">
        <v>344.23</v>
      </c>
      <c r="X23" s="65">
        <f t="shared" si="9"/>
        <v>100.00000000002274</v>
      </c>
      <c r="Y23" s="58">
        <v>2.4451000000000001</v>
      </c>
      <c r="Z23" s="65">
        <f t="shared" si="10"/>
        <v>399.99999999995595</v>
      </c>
      <c r="AA23" s="58">
        <v>336.06</v>
      </c>
      <c r="AB23" s="65">
        <f t="shared" si="11"/>
        <v>60.000000000002274</v>
      </c>
      <c r="AC23" s="58">
        <v>324.22000000000003</v>
      </c>
      <c r="AD23" s="65">
        <f t="shared" si="12"/>
        <v>140.0000000000432</v>
      </c>
      <c r="AE23" s="58">
        <v>506.67</v>
      </c>
      <c r="AF23" s="65">
        <f t="shared" si="13"/>
        <v>189.99999999999773</v>
      </c>
      <c r="AG23" s="58">
        <v>1409.6</v>
      </c>
      <c r="AH23" s="67">
        <f t="shared" si="14"/>
        <v>1.0999999999999091</v>
      </c>
      <c r="AI23" s="58">
        <v>479.52</v>
      </c>
      <c r="AJ23" s="65">
        <f t="shared" si="15"/>
        <v>199.99999999998863</v>
      </c>
      <c r="AK23" s="58">
        <v>166.37</v>
      </c>
      <c r="AL23" s="65">
        <f t="shared" si="15"/>
        <v>150.00000000000568</v>
      </c>
      <c r="AM23" s="58">
        <v>163.6</v>
      </c>
      <c r="AN23" s="65">
        <f t="shared" si="15"/>
        <v>259.99999999999091</v>
      </c>
      <c r="AO23" s="58">
        <v>158.54</v>
      </c>
      <c r="AP23" s="65">
        <f t="shared" si="15"/>
        <v>169.99999999998749</v>
      </c>
      <c r="AQ23" s="58">
        <v>222.33</v>
      </c>
      <c r="AR23" s="65">
        <f t="shared" si="16"/>
        <v>50.000000000011369</v>
      </c>
      <c r="AS23" s="58">
        <v>347.7</v>
      </c>
      <c r="AT23" s="65">
        <f t="shared" si="17"/>
        <v>29.999999999972715</v>
      </c>
      <c r="AU23" s="58">
        <v>268.31</v>
      </c>
      <c r="AV23" s="65">
        <f t="shared" si="18"/>
        <v>50.000000000011369</v>
      </c>
      <c r="AW23" s="58">
        <v>295.7</v>
      </c>
      <c r="AX23" s="65">
        <f t="shared" si="19"/>
        <v>19.99999999998181</v>
      </c>
      <c r="AY23" s="58">
        <v>347.03</v>
      </c>
      <c r="AZ23" s="65">
        <f t="shared" si="20"/>
        <v>39.99999999996362</v>
      </c>
      <c r="BA23" s="58">
        <v>366.77</v>
      </c>
      <c r="BB23" s="65">
        <f t="shared" si="21"/>
        <v>29.999999999972715</v>
      </c>
      <c r="BC23" s="58">
        <v>233.28</v>
      </c>
      <c r="BD23" s="65">
        <f t="shared" si="22"/>
        <v>30.000000000001137</v>
      </c>
      <c r="BE23" s="59">
        <v>32191</v>
      </c>
      <c r="BF23" s="67">
        <f t="shared" si="39"/>
        <v>24</v>
      </c>
      <c r="BG23" s="60">
        <v>226.41</v>
      </c>
      <c r="BH23" s="65">
        <f t="shared" si="23"/>
        <v>9.9999999999909051</v>
      </c>
      <c r="BI23" s="60">
        <v>284.41000000000003</v>
      </c>
      <c r="BJ23" s="65">
        <f t="shared" si="40"/>
        <v>20.000000000038654</v>
      </c>
      <c r="BK23" s="60">
        <v>231.55</v>
      </c>
      <c r="BL23" s="65">
        <f t="shared" si="24"/>
        <v>0</v>
      </c>
      <c r="BM23" s="60">
        <v>216.11</v>
      </c>
      <c r="BN23" s="65">
        <f t="shared" si="25"/>
        <v>20.000000000010232</v>
      </c>
      <c r="BO23" s="60">
        <v>281.06</v>
      </c>
      <c r="BP23" s="65">
        <f t="shared" si="26"/>
        <v>19.99999999998181</v>
      </c>
      <c r="BQ23" s="60">
        <v>40227</v>
      </c>
      <c r="BR23" s="65">
        <f t="shared" si="27"/>
        <v>15</v>
      </c>
      <c r="BS23" s="60">
        <v>194.61</v>
      </c>
      <c r="BT23" s="65">
        <f t="shared" si="42"/>
        <v>20.000000000010232</v>
      </c>
      <c r="BU23" s="60">
        <v>32664</v>
      </c>
      <c r="BV23" s="65">
        <f t="shared" si="29"/>
        <v>50</v>
      </c>
      <c r="BW23" s="60">
        <v>226.11</v>
      </c>
      <c r="BX23" s="65">
        <f t="shared" si="30"/>
        <v>20.000000000010232</v>
      </c>
      <c r="BY23" s="60">
        <v>51012</v>
      </c>
      <c r="BZ23" s="67">
        <f t="shared" si="31"/>
        <v>27</v>
      </c>
      <c r="CA23" s="60">
        <v>27515.599999999999</v>
      </c>
      <c r="CB23" s="67">
        <f t="shared" si="32"/>
        <v>0</v>
      </c>
      <c r="CC23" s="60">
        <v>11255.6</v>
      </c>
      <c r="CD23" s="67">
        <f t="shared" si="33"/>
        <v>0</v>
      </c>
      <c r="CE23" s="60">
        <v>5489.7</v>
      </c>
      <c r="CF23" s="67">
        <f t="shared" si="34"/>
        <v>0</v>
      </c>
      <c r="CG23" s="60">
        <v>50732.7</v>
      </c>
      <c r="CH23" s="67">
        <f t="shared" si="35"/>
        <v>17.19999999999709</v>
      </c>
      <c r="CI23" s="60">
        <v>884214</v>
      </c>
      <c r="CJ23" s="67">
        <f t="shared" si="36"/>
        <v>217</v>
      </c>
      <c r="CK23" s="60">
        <v>620.41</v>
      </c>
      <c r="CL23" s="64">
        <f t="shared" si="37"/>
        <v>529.99999999997272</v>
      </c>
      <c r="CM23" s="65">
        <f t="shared" si="41"/>
        <v>37.700000000000045</v>
      </c>
      <c r="CN23" s="62">
        <v>0</v>
      </c>
      <c r="CO23" s="62">
        <v>0</v>
      </c>
      <c r="CP23" s="68">
        <v>1307.3</v>
      </c>
      <c r="CQ23" s="67">
        <f t="shared" si="38"/>
        <v>18.700000000000045</v>
      </c>
      <c r="CR23" s="68">
        <v>10707</v>
      </c>
      <c r="CS23" s="67">
        <f t="shared" si="38"/>
        <v>19</v>
      </c>
      <c r="CT23" s="75">
        <v>3362</v>
      </c>
      <c r="CU23" s="67">
        <f t="shared" si="38"/>
        <v>11</v>
      </c>
      <c r="CV23" s="68">
        <v>9673</v>
      </c>
      <c r="CW23" s="67">
        <f t="shared" si="38"/>
        <v>20</v>
      </c>
    </row>
    <row r="24" spans="1:101" ht="25.5" customHeight="1" thickBot="1" x14ac:dyDescent="0.45">
      <c r="A24" s="63">
        <v>44125</v>
      </c>
      <c r="B24" s="44"/>
      <c r="C24" s="58">
        <v>1.8676999999999999</v>
      </c>
      <c r="D24" s="64">
        <f t="shared" si="0"/>
        <v>1199.9999999998679</v>
      </c>
      <c r="E24" s="58">
        <v>2.7913000000000001</v>
      </c>
      <c r="F24" s="64">
        <f t="shared" si="1"/>
        <v>599.99999999993395</v>
      </c>
      <c r="G24" s="58">
        <v>2.7707000000000002</v>
      </c>
      <c r="H24" s="64">
        <f t="shared" si="2"/>
        <v>1800.0000000002458</v>
      </c>
      <c r="I24" s="58">
        <v>1.3462000000000001</v>
      </c>
      <c r="J24" s="64">
        <f t="shared" si="3"/>
        <v>900.0000000001229</v>
      </c>
      <c r="K24" s="58">
        <v>2.1387</v>
      </c>
      <c r="L24" s="64">
        <f t="shared" si="4"/>
        <v>1700.0000000000348</v>
      </c>
      <c r="M24" s="58">
        <v>1.2656000000000001</v>
      </c>
      <c r="N24" s="64">
        <f t="shared" si="5"/>
        <v>500.00000000016701</v>
      </c>
      <c r="O24" s="58">
        <v>12674</v>
      </c>
      <c r="P24" s="67">
        <f t="shared" si="44"/>
        <v>0</v>
      </c>
      <c r="Q24" s="58">
        <v>5882</v>
      </c>
      <c r="R24" s="67">
        <f t="shared" si="6"/>
        <v>10</v>
      </c>
      <c r="S24" s="58">
        <v>860301.4</v>
      </c>
      <c r="T24" s="67">
        <f t="shared" si="7"/>
        <v>299</v>
      </c>
      <c r="U24" s="58">
        <v>351818.8</v>
      </c>
      <c r="V24" s="67">
        <f t="shared" si="8"/>
        <v>148.89999999996508</v>
      </c>
      <c r="W24" s="58">
        <v>344.32</v>
      </c>
      <c r="X24" s="65">
        <f t="shared" si="9"/>
        <v>89.999999999974989</v>
      </c>
      <c r="Y24" s="58">
        <v>2.4455</v>
      </c>
      <c r="Z24" s="65">
        <f t="shared" si="10"/>
        <v>399.99999999995595</v>
      </c>
      <c r="AA24" s="58">
        <v>336.12</v>
      </c>
      <c r="AB24" s="65">
        <f t="shared" si="11"/>
        <v>60.000000000002274</v>
      </c>
      <c r="AC24" s="58">
        <v>324.36</v>
      </c>
      <c r="AD24" s="65">
        <f t="shared" si="12"/>
        <v>139.99999999998636</v>
      </c>
      <c r="AE24" s="58">
        <v>506.85</v>
      </c>
      <c r="AF24" s="65">
        <f t="shared" si="13"/>
        <v>180.00000000000682</v>
      </c>
      <c r="AG24" s="58">
        <v>1410.8</v>
      </c>
      <c r="AH24" s="67">
        <f t="shared" si="14"/>
        <v>1.2000000000000455</v>
      </c>
      <c r="AI24" s="58">
        <v>479.72</v>
      </c>
      <c r="AJ24" s="65">
        <f t="shared" si="15"/>
        <v>200.00000000004547</v>
      </c>
      <c r="AK24" s="58">
        <v>166.53</v>
      </c>
      <c r="AL24" s="65">
        <f t="shared" si="15"/>
        <v>159.99999999999659</v>
      </c>
      <c r="AM24" s="58">
        <v>163.88</v>
      </c>
      <c r="AN24" s="65">
        <f t="shared" si="15"/>
        <v>280.00000000000114</v>
      </c>
      <c r="AO24" s="58">
        <v>158.69</v>
      </c>
      <c r="AP24" s="65">
        <f t="shared" si="15"/>
        <v>150.00000000000568</v>
      </c>
      <c r="AQ24" s="58">
        <v>222.37</v>
      </c>
      <c r="AR24" s="65">
        <f t="shared" si="16"/>
        <v>39.999999999992042</v>
      </c>
      <c r="AS24" s="58">
        <v>347.75</v>
      </c>
      <c r="AT24" s="65">
        <f t="shared" si="17"/>
        <v>50.000000000011369</v>
      </c>
      <c r="AU24" s="58">
        <v>268.35000000000002</v>
      </c>
      <c r="AV24" s="65">
        <f t="shared" si="18"/>
        <v>40.000000000020464</v>
      </c>
      <c r="AW24" s="58">
        <v>295.73</v>
      </c>
      <c r="AX24" s="65">
        <f t="shared" si="19"/>
        <v>30.000000000029559</v>
      </c>
      <c r="AY24" s="58">
        <v>347.06</v>
      </c>
      <c r="AZ24" s="65">
        <f t="shared" si="20"/>
        <v>30.000000000029559</v>
      </c>
      <c r="BA24" s="58">
        <v>366.79</v>
      </c>
      <c r="BB24" s="65">
        <f t="shared" si="21"/>
        <v>20.000000000038654</v>
      </c>
      <c r="BC24" s="58">
        <v>233.3</v>
      </c>
      <c r="BD24" s="65">
        <f t="shared" si="22"/>
        <v>20.000000000010232</v>
      </c>
      <c r="BE24" s="59">
        <v>32212</v>
      </c>
      <c r="BF24" s="67">
        <f t="shared" si="39"/>
        <v>21</v>
      </c>
      <c r="BG24" s="60">
        <v>226.42</v>
      </c>
      <c r="BH24" s="65">
        <f t="shared" si="23"/>
        <v>9.9999999999909051</v>
      </c>
      <c r="BI24" s="60">
        <v>284.42</v>
      </c>
      <c r="BJ24" s="65">
        <f t="shared" si="40"/>
        <v>9.9999999999909051</v>
      </c>
      <c r="BK24" s="60">
        <v>231.56</v>
      </c>
      <c r="BL24" s="65">
        <f t="shared" si="24"/>
        <v>9.9999999999909051</v>
      </c>
      <c r="BM24" s="60">
        <v>216.13</v>
      </c>
      <c r="BN24" s="65">
        <f t="shared" si="25"/>
        <v>19.99999999998181</v>
      </c>
      <c r="BO24" s="60">
        <v>281.08</v>
      </c>
      <c r="BP24" s="65">
        <f t="shared" si="26"/>
        <v>19.99999999998181</v>
      </c>
      <c r="BQ24" s="60">
        <v>40243</v>
      </c>
      <c r="BR24" s="65">
        <f t="shared" si="27"/>
        <v>16</v>
      </c>
      <c r="BS24" s="60">
        <v>194.62</v>
      </c>
      <c r="BT24" s="65">
        <f t="shared" si="42"/>
        <v>9.9999999999909051</v>
      </c>
      <c r="BU24" s="60">
        <v>32714</v>
      </c>
      <c r="BV24" s="65">
        <f t="shared" si="29"/>
        <v>50</v>
      </c>
      <c r="BW24" s="60">
        <v>226.12</v>
      </c>
      <c r="BX24" s="65">
        <f t="shared" si="30"/>
        <v>9.9999999999909051</v>
      </c>
      <c r="BY24" s="60">
        <v>51039</v>
      </c>
      <c r="BZ24" s="67">
        <f t="shared" si="31"/>
        <v>27</v>
      </c>
      <c r="CA24" s="60">
        <v>27515.599999999999</v>
      </c>
      <c r="CB24" s="67">
        <f t="shared" si="32"/>
        <v>0</v>
      </c>
      <c r="CC24" s="60">
        <v>11255.6</v>
      </c>
      <c r="CD24" s="67">
        <f t="shared" si="33"/>
        <v>0</v>
      </c>
      <c r="CE24" s="60">
        <v>5489.7</v>
      </c>
      <c r="CF24" s="67">
        <f t="shared" si="34"/>
        <v>0</v>
      </c>
      <c r="CG24" s="60">
        <v>50748.1</v>
      </c>
      <c r="CH24" s="67">
        <f t="shared" si="35"/>
        <v>15.400000000001455</v>
      </c>
      <c r="CI24" s="60">
        <v>884419</v>
      </c>
      <c r="CJ24" s="67">
        <f t="shared" si="36"/>
        <v>205</v>
      </c>
      <c r="CK24" s="60">
        <v>620.95000000000005</v>
      </c>
      <c r="CL24" s="64">
        <f t="shared" si="37"/>
        <v>540.00000000007731</v>
      </c>
      <c r="CM24" s="65">
        <f t="shared" si="41"/>
        <v>21.700000000000045</v>
      </c>
      <c r="CN24" s="62">
        <v>0</v>
      </c>
      <c r="CO24" s="62">
        <v>0</v>
      </c>
      <c r="CP24" s="68">
        <v>1320</v>
      </c>
      <c r="CQ24" s="67">
        <f t="shared" si="38"/>
        <v>12.700000000000045</v>
      </c>
      <c r="CR24" s="68">
        <v>10716</v>
      </c>
      <c r="CS24" s="67">
        <f t="shared" si="38"/>
        <v>9</v>
      </c>
      <c r="CT24" s="75">
        <v>3374</v>
      </c>
      <c r="CU24" s="67">
        <f t="shared" si="38"/>
        <v>12</v>
      </c>
      <c r="CV24" s="68">
        <v>9692</v>
      </c>
      <c r="CW24" s="67">
        <f t="shared" si="38"/>
        <v>19</v>
      </c>
    </row>
    <row r="25" spans="1:101" ht="25.5" customHeight="1" thickBot="1" x14ac:dyDescent="0.45">
      <c r="A25" s="63">
        <v>44126</v>
      </c>
      <c r="B25" s="44"/>
      <c r="C25" s="58">
        <v>1.869</v>
      </c>
      <c r="D25" s="64">
        <f t="shared" si="0"/>
        <v>1300.0000000000789</v>
      </c>
      <c r="E25" s="58">
        <v>2.7919999999999998</v>
      </c>
      <c r="F25" s="64">
        <f t="shared" si="1"/>
        <v>699.99999999970089</v>
      </c>
      <c r="G25" s="58">
        <v>2.7724000000000002</v>
      </c>
      <c r="H25" s="64">
        <f t="shared" si="2"/>
        <v>1700.0000000000348</v>
      </c>
      <c r="I25" s="58">
        <v>1.3471</v>
      </c>
      <c r="J25" s="64">
        <f t="shared" si="3"/>
        <v>899.99999999990087</v>
      </c>
      <c r="K25" s="58">
        <v>2.1404000000000001</v>
      </c>
      <c r="L25" s="64">
        <f t="shared" si="4"/>
        <v>1700.0000000000348</v>
      </c>
      <c r="M25" s="58">
        <v>1.2661</v>
      </c>
      <c r="N25" s="64">
        <f t="shared" si="5"/>
        <v>499.99999999994492</v>
      </c>
      <c r="O25" s="58">
        <v>12675</v>
      </c>
      <c r="P25" s="67">
        <f t="shared" si="44"/>
        <v>1</v>
      </c>
      <c r="Q25" s="58">
        <v>5892</v>
      </c>
      <c r="R25" s="67">
        <f t="shared" si="6"/>
        <v>10</v>
      </c>
      <c r="S25" s="58">
        <v>860632.8</v>
      </c>
      <c r="T25" s="67">
        <f t="shared" si="7"/>
        <v>331.40000000002328</v>
      </c>
      <c r="U25" s="58">
        <v>351992.3</v>
      </c>
      <c r="V25" s="67">
        <f t="shared" si="8"/>
        <v>173.5</v>
      </c>
      <c r="W25" s="58">
        <v>344.47</v>
      </c>
      <c r="X25" s="65">
        <f t="shared" si="9"/>
        <v>150.00000000003411</v>
      </c>
      <c r="Y25" s="58">
        <v>2.4459</v>
      </c>
      <c r="Z25" s="65">
        <f t="shared" si="10"/>
        <v>399.99999999995595</v>
      </c>
      <c r="AA25" s="58">
        <v>336.21</v>
      </c>
      <c r="AB25" s="65">
        <f t="shared" si="11"/>
        <v>89.999999999974989</v>
      </c>
      <c r="AC25" s="58">
        <v>324.49</v>
      </c>
      <c r="AD25" s="65">
        <f t="shared" si="12"/>
        <v>129.99999999999545</v>
      </c>
      <c r="AE25" s="58">
        <v>507.04</v>
      </c>
      <c r="AF25" s="65">
        <f t="shared" si="13"/>
        <v>189.99999999999773</v>
      </c>
      <c r="AG25" s="58">
        <v>1411.9</v>
      </c>
      <c r="AH25" s="67">
        <f t="shared" si="14"/>
        <v>1.1000000000001364</v>
      </c>
      <c r="AI25" s="58">
        <v>479.97</v>
      </c>
      <c r="AJ25" s="65">
        <f t="shared" si="15"/>
        <v>250</v>
      </c>
      <c r="AK25" s="58">
        <v>166.68</v>
      </c>
      <c r="AL25" s="65">
        <f t="shared" si="15"/>
        <v>150.00000000000568</v>
      </c>
      <c r="AM25" s="58">
        <v>164.14</v>
      </c>
      <c r="AN25" s="65">
        <f t="shared" si="15"/>
        <v>259.99999999999091</v>
      </c>
      <c r="AO25" s="58">
        <v>158.85</v>
      </c>
      <c r="AP25" s="65">
        <f t="shared" si="15"/>
        <v>159.99999999999659</v>
      </c>
      <c r="AQ25" s="58">
        <v>222.41</v>
      </c>
      <c r="AR25" s="65">
        <f t="shared" si="16"/>
        <v>39.999999999992042</v>
      </c>
      <c r="AS25" s="58">
        <v>347.78</v>
      </c>
      <c r="AT25" s="65">
        <f t="shared" si="17"/>
        <v>29.999999999972715</v>
      </c>
      <c r="AU25" s="58">
        <v>268.38</v>
      </c>
      <c r="AV25" s="65">
        <f t="shared" si="18"/>
        <v>29.999999999972715</v>
      </c>
      <c r="AW25" s="58">
        <v>295.75</v>
      </c>
      <c r="AX25" s="65">
        <f t="shared" si="19"/>
        <v>19.99999999998181</v>
      </c>
      <c r="AY25" s="58">
        <v>347.09</v>
      </c>
      <c r="AZ25" s="65">
        <f t="shared" si="20"/>
        <v>29.999999999972715</v>
      </c>
      <c r="BA25" s="58">
        <v>366.82</v>
      </c>
      <c r="BB25" s="65">
        <f t="shared" si="21"/>
        <v>29.999999999972715</v>
      </c>
      <c r="BC25" s="58">
        <v>233.32</v>
      </c>
      <c r="BD25" s="65">
        <f t="shared" si="22"/>
        <v>19.99999999998181</v>
      </c>
      <c r="BE25" s="59">
        <v>32240</v>
      </c>
      <c r="BF25" s="67">
        <f t="shared" si="39"/>
        <v>28</v>
      </c>
      <c r="BG25" s="60">
        <v>226.42</v>
      </c>
      <c r="BH25" s="65">
        <f t="shared" si="23"/>
        <v>0</v>
      </c>
      <c r="BI25" s="60">
        <v>284.44</v>
      </c>
      <c r="BJ25" s="65">
        <f t="shared" si="40"/>
        <v>19.99999999998181</v>
      </c>
      <c r="BK25" s="60">
        <v>231.57</v>
      </c>
      <c r="BL25" s="65">
        <f t="shared" si="24"/>
        <v>9.9999999999909051</v>
      </c>
      <c r="BM25" s="60">
        <v>216.14</v>
      </c>
      <c r="BN25" s="65">
        <f t="shared" si="25"/>
        <v>9.9999999999909051</v>
      </c>
      <c r="BO25" s="60">
        <v>281.11</v>
      </c>
      <c r="BP25" s="65">
        <f t="shared" si="26"/>
        <v>30.000000000029559</v>
      </c>
      <c r="BQ25" s="60">
        <v>40257</v>
      </c>
      <c r="BR25" s="65">
        <f t="shared" si="27"/>
        <v>14</v>
      </c>
      <c r="BS25" s="60">
        <v>194.64</v>
      </c>
      <c r="BT25" s="65">
        <f t="shared" si="42"/>
        <v>19.99999999998181</v>
      </c>
      <c r="BU25" s="60">
        <v>32749</v>
      </c>
      <c r="BV25" s="65">
        <f t="shared" si="29"/>
        <v>35</v>
      </c>
      <c r="BW25" s="60">
        <v>226.13</v>
      </c>
      <c r="BX25" s="65">
        <f t="shared" si="30"/>
        <v>9.9999999999909051</v>
      </c>
      <c r="BY25" s="60">
        <v>51066</v>
      </c>
      <c r="BZ25" s="67">
        <f t="shared" si="31"/>
        <v>27</v>
      </c>
      <c r="CA25" s="60">
        <v>27515.599999999999</v>
      </c>
      <c r="CB25" s="67">
        <f t="shared" si="32"/>
        <v>0</v>
      </c>
      <c r="CC25" s="60">
        <v>11255.6</v>
      </c>
      <c r="CD25" s="67">
        <f t="shared" si="33"/>
        <v>0</v>
      </c>
      <c r="CE25" s="60">
        <v>5489.7</v>
      </c>
      <c r="CF25" s="67">
        <f t="shared" si="34"/>
        <v>0</v>
      </c>
      <c r="CG25" s="60">
        <v>50770.9</v>
      </c>
      <c r="CH25" s="67">
        <f t="shared" si="35"/>
        <v>22.80000000000291</v>
      </c>
      <c r="CI25" s="60">
        <v>884628</v>
      </c>
      <c r="CJ25" s="67">
        <f t="shared" si="36"/>
        <v>209</v>
      </c>
      <c r="CK25" s="60">
        <v>621.42999999999995</v>
      </c>
      <c r="CL25" s="64">
        <f t="shared" si="37"/>
        <v>479.9999999999045</v>
      </c>
      <c r="CM25" s="65">
        <f t="shared" si="41"/>
        <v>31.900000000000091</v>
      </c>
      <c r="CN25" s="62">
        <v>0</v>
      </c>
      <c r="CO25" s="62">
        <v>0</v>
      </c>
      <c r="CP25" s="68">
        <v>1336.9</v>
      </c>
      <c r="CQ25" s="67">
        <f t="shared" si="38"/>
        <v>16.900000000000091</v>
      </c>
      <c r="CR25" s="68">
        <v>10731</v>
      </c>
      <c r="CS25" s="67">
        <f t="shared" si="38"/>
        <v>15</v>
      </c>
      <c r="CT25" s="75">
        <v>3385</v>
      </c>
      <c r="CU25" s="67">
        <f t="shared" si="38"/>
        <v>11</v>
      </c>
      <c r="CV25" s="68">
        <v>9712</v>
      </c>
      <c r="CW25" s="67">
        <f t="shared" si="38"/>
        <v>20</v>
      </c>
    </row>
    <row r="26" spans="1:101" ht="25.5" customHeight="1" thickBot="1" x14ac:dyDescent="0.45">
      <c r="A26" s="63">
        <v>44127</v>
      </c>
      <c r="B26" s="44"/>
      <c r="C26" s="58">
        <v>1.8702000000000001</v>
      </c>
      <c r="D26" s="64">
        <f t="shared" si="0"/>
        <v>1200.0000000000898</v>
      </c>
      <c r="E26" s="58">
        <v>2.7927</v>
      </c>
      <c r="F26" s="64">
        <f t="shared" si="1"/>
        <v>700.00000000014495</v>
      </c>
      <c r="G26" s="58">
        <v>2.7742</v>
      </c>
      <c r="H26" s="64">
        <f t="shared" si="2"/>
        <v>1799.9999999998017</v>
      </c>
      <c r="I26" s="58">
        <v>1.3480000000000001</v>
      </c>
      <c r="J26" s="64">
        <f t="shared" si="3"/>
        <v>900.0000000001229</v>
      </c>
      <c r="K26" s="58">
        <v>2.1421000000000001</v>
      </c>
      <c r="L26" s="64">
        <f t="shared" si="4"/>
        <v>1700.0000000000348</v>
      </c>
      <c r="M26" s="58">
        <v>1.2666999999999999</v>
      </c>
      <c r="N26" s="64">
        <f t="shared" si="5"/>
        <v>599.99999999993395</v>
      </c>
      <c r="O26" s="58">
        <v>12675</v>
      </c>
      <c r="P26" s="67">
        <f t="shared" si="44"/>
        <v>0</v>
      </c>
      <c r="Q26" s="58">
        <v>5902</v>
      </c>
      <c r="R26" s="67">
        <f t="shared" si="6"/>
        <v>10</v>
      </c>
      <c r="S26" s="58">
        <v>861022</v>
      </c>
      <c r="T26" s="67">
        <f t="shared" si="7"/>
        <v>389.19999999995343</v>
      </c>
      <c r="U26" s="58">
        <v>352181</v>
      </c>
      <c r="V26" s="67">
        <f t="shared" si="8"/>
        <v>188.70000000001164</v>
      </c>
      <c r="W26" s="58">
        <v>344.58</v>
      </c>
      <c r="X26" s="65">
        <f t="shared" si="9"/>
        <v>109.9999999999568</v>
      </c>
      <c r="Y26" s="58">
        <v>2.4464000000000001</v>
      </c>
      <c r="Z26" s="65">
        <f t="shared" si="10"/>
        <v>500.00000000016701</v>
      </c>
      <c r="AA26" s="58">
        <v>336.3</v>
      </c>
      <c r="AB26" s="65">
        <f t="shared" si="11"/>
        <v>90.000000000031832</v>
      </c>
      <c r="AC26" s="58">
        <v>324.64999999999998</v>
      </c>
      <c r="AD26" s="65">
        <f t="shared" si="12"/>
        <v>159.99999999996817</v>
      </c>
      <c r="AE26" s="58">
        <v>507.28</v>
      </c>
      <c r="AF26" s="65">
        <f t="shared" si="13"/>
        <v>239.99999999995225</v>
      </c>
      <c r="AG26" s="58">
        <v>1413</v>
      </c>
      <c r="AH26" s="67">
        <f t="shared" si="14"/>
        <v>1.0999999999999091</v>
      </c>
      <c r="AI26" s="58">
        <v>480.22</v>
      </c>
      <c r="AJ26" s="65">
        <f t="shared" si="15"/>
        <v>250</v>
      </c>
      <c r="AK26" s="58">
        <v>166.84</v>
      </c>
      <c r="AL26" s="65">
        <f t="shared" si="15"/>
        <v>159.99999999999659</v>
      </c>
      <c r="AM26" s="58">
        <v>164.42</v>
      </c>
      <c r="AN26" s="65">
        <f t="shared" si="15"/>
        <v>280.00000000000114</v>
      </c>
      <c r="AO26" s="58">
        <v>159.01</v>
      </c>
      <c r="AP26" s="65">
        <f t="shared" si="15"/>
        <v>159.99999999999659</v>
      </c>
      <c r="AQ26" s="58">
        <v>222.45</v>
      </c>
      <c r="AR26" s="65">
        <f t="shared" si="16"/>
        <v>39.999999999992042</v>
      </c>
      <c r="AS26" s="58">
        <v>347.82</v>
      </c>
      <c r="AT26" s="65">
        <f t="shared" si="17"/>
        <v>40.000000000020464</v>
      </c>
      <c r="AU26" s="58">
        <v>268.41000000000003</v>
      </c>
      <c r="AV26" s="65">
        <f t="shared" si="18"/>
        <v>30.000000000029559</v>
      </c>
      <c r="AW26" s="58">
        <v>295.77999999999997</v>
      </c>
      <c r="AX26" s="65">
        <f t="shared" si="19"/>
        <v>29.999999999972715</v>
      </c>
      <c r="AY26" s="58">
        <v>347.12</v>
      </c>
      <c r="AZ26" s="65">
        <f t="shared" si="20"/>
        <v>30.000000000029559</v>
      </c>
      <c r="BA26" s="58">
        <v>366.86</v>
      </c>
      <c r="BB26" s="65">
        <f t="shared" si="21"/>
        <v>40.000000000020464</v>
      </c>
      <c r="BC26" s="58">
        <v>233.35</v>
      </c>
      <c r="BD26" s="65">
        <f t="shared" si="22"/>
        <v>30.000000000001137</v>
      </c>
      <c r="BE26" s="59">
        <v>32271</v>
      </c>
      <c r="BF26" s="67">
        <f t="shared" si="39"/>
        <v>31</v>
      </c>
      <c r="BG26" s="60">
        <v>226.42</v>
      </c>
      <c r="BH26" s="65">
        <f t="shared" si="23"/>
        <v>0</v>
      </c>
      <c r="BI26" s="60">
        <v>284.45999999999998</v>
      </c>
      <c r="BJ26" s="65">
        <f t="shared" si="40"/>
        <v>19.99999999998181</v>
      </c>
      <c r="BK26" s="60">
        <v>231.58</v>
      </c>
      <c r="BL26" s="65">
        <f t="shared" si="24"/>
        <v>10.000000000019327</v>
      </c>
      <c r="BM26" s="60">
        <v>216.16</v>
      </c>
      <c r="BN26" s="65">
        <f t="shared" si="25"/>
        <v>20.000000000010232</v>
      </c>
      <c r="BO26" s="60">
        <v>281.13</v>
      </c>
      <c r="BP26" s="65">
        <f t="shared" si="26"/>
        <v>19.99999999998181</v>
      </c>
      <c r="BQ26" s="60">
        <v>40271</v>
      </c>
      <c r="BR26" s="65">
        <f t="shared" si="27"/>
        <v>14</v>
      </c>
      <c r="BS26" s="60">
        <v>194.66</v>
      </c>
      <c r="BT26" s="65">
        <f t="shared" si="42"/>
        <v>20.000000000010232</v>
      </c>
      <c r="BU26" s="60">
        <v>32779</v>
      </c>
      <c r="BV26" s="65">
        <f t="shared" si="29"/>
        <v>30</v>
      </c>
      <c r="BW26" s="60">
        <v>226.14</v>
      </c>
      <c r="BX26" s="65">
        <f t="shared" si="30"/>
        <v>9.9999999999909051</v>
      </c>
      <c r="BY26" s="60">
        <v>51091</v>
      </c>
      <c r="BZ26" s="67">
        <f t="shared" si="31"/>
        <v>25</v>
      </c>
      <c r="CA26" s="60">
        <v>27515.599999999999</v>
      </c>
      <c r="CB26" s="67">
        <f t="shared" si="32"/>
        <v>0</v>
      </c>
      <c r="CC26" s="60">
        <v>11255.6</v>
      </c>
      <c r="CD26" s="67">
        <f t="shared" si="33"/>
        <v>0</v>
      </c>
      <c r="CE26" s="60">
        <v>5489.7</v>
      </c>
      <c r="CF26" s="67">
        <f t="shared" si="34"/>
        <v>0</v>
      </c>
      <c r="CG26" s="60">
        <v>50787.8</v>
      </c>
      <c r="CH26" s="67">
        <f t="shared" si="35"/>
        <v>16.900000000001455</v>
      </c>
      <c r="CI26" s="60">
        <v>884835</v>
      </c>
      <c r="CJ26" s="67">
        <f t="shared" si="36"/>
        <v>207</v>
      </c>
      <c r="CK26" s="60">
        <v>621.89</v>
      </c>
      <c r="CL26" s="64">
        <f t="shared" si="37"/>
        <v>460.00000000003638</v>
      </c>
      <c r="CM26" s="65">
        <f t="shared" si="41"/>
        <v>20.199999999999818</v>
      </c>
      <c r="CN26" s="62">
        <v>0</v>
      </c>
      <c r="CO26" s="62">
        <v>0</v>
      </c>
      <c r="CP26" s="68">
        <v>1351.1</v>
      </c>
      <c r="CQ26" s="67">
        <f t="shared" si="38"/>
        <v>14.199999999999818</v>
      </c>
      <c r="CR26" s="68">
        <v>10737</v>
      </c>
      <c r="CS26" s="67">
        <f t="shared" si="38"/>
        <v>6</v>
      </c>
      <c r="CT26" s="75">
        <v>3397</v>
      </c>
      <c r="CU26" s="67">
        <f t="shared" si="38"/>
        <v>12</v>
      </c>
      <c r="CV26" s="68">
        <v>9732</v>
      </c>
      <c r="CW26" s="67">
        <f t="shared" si="38"/>
        <v>20</v>
      </c>
    </row>
    <row r="27" spans="1:101" ht="25.5" customHeight="1" thickBot="1" x14ac:dyDescent="0.45">
      <c r="A27" s="63">
        <v>44128</v>
      </c>
      <c r="B27" s="44"/>
      <c r="C27" s="58"/>
      <c r="D27" s="64" t="str">
        <f t="shared" si="0"/>
        <v>0</v>
      </c>
      <c r="E27" s="58"/>
      <c r="F27" s="64" t="str">
        <f t="shared" si="1"/>
        <v>0</v>
      </c>
      <c r="G27" s="58"/>
      <c r="H27" s="64" t="str">
        <f t="shared" si="2"/>
        <v>0</v>
      </c>
      <c r="I27" s="58"/>
      <c r="J27" s="64" t="str">
        <f t="shared" si="3"/>
        <v>0</v>
      </c>
      <c r="K27" s="58"/>
      <c r="L27" s="64" t="str">
        <f t="shared" si="4"/>
        <v>0</v>
      </c>
      <c r="M27" s="58"/>
      <c r="N27" s="64" t="str">
        <f t="shared" si="5"/>
        <v/>
      </c>
      <c r="O27" s="58"/>
      <c r="P27" s="67" t="str">
        <f t="shared" si="44"/>
        <v/>
      </c>
      <c r="Q27" s="58"/>
      <c r="R27" s="67" t="str">
        <f t="shared" si="6"/>
        <v/>
      </c>
      <c r="S27" s="58"/>
      <c r="T27" s="67" t="str">
        <f t="shared" si="7"/>
        <v/>
      </c>
      <c r="U27" s="58"/>
      <c r="V27" s="67" t="str">
        <f t="shared" si="8"/>
        <v/>
      </c>
      <c r="W27" s="58"/>
      <c r="X27" s="65" t="str">
        <f t="shared" si="9"/>
        <v/>
      </c>
      <c r="Y27" s="58"/>
      <c r="Z27" s="65" t="str">
        <f t="shared" si="10"/>
        <v/>
      </c>
      <c r="AA27" s="58"/>
      <c r="AB27" s="65" t="str">
        <f t="shared" si="11"/>
        <v/>
      </c>
      <c r="AC27" s="58"/>
      <c r="AD27" s="65" t="str">
        <f t="shared" si="12"/>
        <v/>
      </c>
      <c r="AE27" s="58"/>
      <c r="AF27" s="65" t="str">
        <f t="shared" si="13"/>
        <v/>
      </c>
      <c r="AG27" s="58"/>
      <c r="AH27" s="67" t="str">
        <f t="shared" si="14"/>
        <v/>
      </c>
      <c r="AI27" s="58"/>
      <c r="AJ27" s="65" t="str">
        <f t="shared" si="15"/>
        <v/>
      </c>
      <c r="AK27" s="58"/>
      <c r="AL27" s="65" t="str">
        <f t="shared" si="15"/>
        <v/>
      </c>
      <c r="AM27" s="58"/>
      <c r="AN27" s="65" t="str">
        <f t="shared" si="15"/>
        <v/>
      </c>
      <c r="AO27" s="58"/>
      <c r="AP27" s="65" t="str">
        <f t="shared" si="15"/>
        <v/>
      </c>
      <c r="AQ27" s="58"/>
      <c r="AR27" s="65" t="str">
        <f t="shared" si="16"/>
        <v/>
      </c>
      <c r="AS27" s="58"/>
      <c r="AT27" s="65" t="str">
        <f t="shared" si="17"/>
        <v/>
      </c>
      <c r="AU27" s="58"/>
      <c r="AV27" s="65" t="str">
        <f t="shared" si="18"/>
        <v/>
      </c>
      <c r="AW27" s="58"/>
      <c r="AX27" s="65" t="str">
        <f t="shared" si="19"/>
        <v/>
      </c>
      <c r="AY27" s="58"/>
      <c r="AZ27" s="65" t="str">
        <f t="shared" si="20"/>
        <v/>
      </c>
      <c r="BA27" s="58"/>
      <c r="BB27" s="65" t="str">
        <f t="shared" si="21"/>
        <v/>
      </c>
      <c r="BC27" s="58"/>
      <c r="BD27" s="65" t="str">
        <f t="shared" si="22"/>
        <v/>
      </c>
      <c r="BE27" s="59"/>
      <c r="BF27" s="67" t="str">
        <f t="shared" si="39"/>
        <v/>
      </c>
      <c r="BG27" s="60"/>
      <c r="BH27" s="65" t="str">
        <f t="shared" si="23"/>
        <v/>
      </c>
      <c r="BI27" s="60"/>
      <c r="BJ27" s="65" t="str">
        <f t="shared" si="40"/>
        <v/>
      </c>
      <c r="BK27" s="60"/>
      <c r="BL27" s="65" t="str">
        <f t="shared" si="24"/>
        <v/>
      </c>
      <c r="BM27" s="60"/>
      <c r="BN27" s="65" t="str">
        <f t="shared" si="25"/>
        <v/>
      </c>
      <c r="BO27" s="60"/>
      <c r="BP27" s="65" t="str">
        <f t="shared" si="26"/>
        <v/>
      </c>
      <c r="BQ27" s="60"/>
      <c r="BR27" s="65" t="str">
        <f t="shared" si="27"/>
        <v/>
      </c>
      <c r="BS27" s="60"/>
      <c r="BT27" s="65" t="str">
        <f t="shared" si="42"/>
        <v/>
      </c>
      <c r="BU27" s="60"/>
      <c r="BV27" s="65" t="str">
        <f t="shared" si="29"/>
        <v/>
      </c>
      <c r="BW27" s="60"/>
      <c r="BX27" s="65" t="str">
        <f t="shared" si="30"/>
        <v/>
      </c>
      <c r="BY27" s="60"/>
      <c r="BZ27" s="67" t="str">
        <f t="shared" si="31"/>
        <v/>
      </c>
      <c r="CA27" s="60"/>
      <c r="CB27" s="67" t="str">
        <f t="shared" si="32"/>
        <v/>
      </c>
      <c r="CC27" s="60"/>
      <c r="CD27" s="67" t="str">
        <f t="shared" si="33"/>
        <v/>
      </c>
      <c r="CE27" s="60"/>
      <c r="CF27" s="67" t="str">
        <f t="shared" si="34"/>
        <v/>
      </c>
      <c r="CG27" s="60"/>
      <c r="CH27" s="67" t="str">
        <f t="shared" si="35"/>
        <v/>
      </c>
      <c r="CI27" s="60"/>
      <c r="CJ27" s="67" t="str">
        <f t="shared" si="36"/>
        <v/>
      </c>
      <c r="CK27" s="60"/>
      <c r="CL27" s="64" t="str">
        <f t="shared" si="37"/>
        <v/>
      </c>
      <c r="CM27" s="65" t="e">
        <f t="shared" si="41"/>
        <v>#VALUE!</v>
      </c>
      <c r="CN27" s="62">
        <v>0</v>
      </c>
      <c r="CO27" s="62">
        <v>0</v>
      </c>
      <c r="CP27" s="68"/>
      <c r="CQ27" s="67" t="str">
        <f t="shared" si="38"/>
        <v/>
      </c>
      <c r="CR27" s="68"/>
      <c r="CS27" s="67" t="str">
        <f t="shared" si="38"/>
        <v/>
      </c>
      <c r="CT27" s="75"/>
      <c r="CU27" s="67" t="str">
        <f t="shared" si="38"/>
        <v/>
      </c>
      <c r="CV27" s="68"/>
      <c r="CW27" s="67" t="str">
        <f t="shared" si="38"/>
        <v/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S32" sqref="S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>
        <v>86</v>
      </c>
      <c r="F27" s="41">
        <v>4775</v>
      </c>
      <c r="G27" s="41">
        <v>87</v>
      </c>
      <c r="H27" s="41">
        <v>1374</v>
      </c>
      <c r="I27" s="41">
        <v>85</v>
      </c>
      <c r="J27" s="41">
        <v>273</v>
      </c>
      <c r="K27" s="42">
        <v>85</v>
      </c>
      <c r="L27" s="42">
        <v>86</v>
      </c>
      <c r="M27" s="42">
        <v>1152</v>
      </c>
      <c r="N27" s="39">
        <v>74</v>
      </c>
      <c r="O27" s="39">
        <v>85</v>
      </c>
      <c r="P27" s="39">
        <v>83</v>
      </c>
      <c r="Q27" s="39">
        <v>2918</v>
      </c>
      <c r="R27" s="78">
        <v>20</v>
      </c>
      <c r="S27" s="78">
        <v>196</v>
      </c>
      <c r="T27">
        <f t="shared" si="0"/>
        <v>0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>
        <v>86</v>
      </c>
      <c r="F28" s="41">
        <v>4775</v>
      </c>
      <c r="G28" s="41">
        <v>87</v>
      </c>
      <c r="H28" s="41">
        <v>1374</v>
      </c>
      <c r="I28" s="41">
        <v>85</v>
      </c>
      <c r="J28" s="41">
        <v>273</v>
      </c>
      <c r="K28" s="42">
        <v>85</v>
      </c>
      <c r="L28" s="42">
        <v>86</v>
      </c>
      <c r="M28" s="42">
        <v>1152</v>
      </c>
      <c r="N28" s="39">
        <v>71</v>
      </c>
      <c r="O28" s="39">
        <v>85</v>
      </c>
      <c r="P28" s="39">
        <v>83</v>
      </c>
      <c r="Q28" s="39">
        <v>2920</v>
      </c>
      <c r="R28" s="78">
        <v>20</v>
      </c>
      <c r="S28" s="78">
        <v>196</v>
      </c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>
        <v>86</v>
      </c>
      <c r="F29" s="41">
        <v>4775</v>
      </c>
      <c r="G29" s="41">
        <v>87</v>
      </c>
      <c r="H29" s="41">
        <v>1374</v>
      </c>
      <c r="I29" s="41">
        <v>85</v>
      </c>
      <c r="J29" s="41">
        <v>273</v>
      </c>
      <c r="K29" s="42">
        <v>85</v>
      </c>
      <c r="L29" s="42">
        <v>86</v>
      </c>
      <c r="M29" s="42">
        <v>1152</v>
      </c>
      <c r="N29" s="39">
        <v>66</v>
      </c>
      <c r="O29" s="39">
        <v>85</v>
      </c>
      <c r="P29" s="39">
        <v>83</v>
      </c>
      <c r="Q29" s="39">
        <v>2924</v>
      </c>
      <c r="R29" s="78">
        <v>20</v>
      </c>
      <c r="S29" s="78">
        <v>196</v>
      </c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>
        <v>86</v>
      </c>
      <c r="F30" s="41">
        <v>4775</v>
      </c>
      <c r="G30" s="41">
        <v>87</v>
      </c>
      <c r="H30" s="41">
        <v>1374</v>
      </c>
      <c r="I30" s="41">
        <v>85</v>
      </c>
      <c r="J30" s="41">
        <v>273</v>
      </c>
      <c r="K30" s="42">
        <v>85</v>
      </c>
      <c r="L30" s="42">
        <v>86</v>
      </c>
      <c r="M30" s="42">
        <v>1152</v>
      </c>
      <c r="N30" s="39">
        <v>64</v>
      </c>
      <c r="O30" s="39">
        <v>85</v>
      </c>
      <c r="P30" s="39">
        <v>83</v>
      </c>
      <c r="Q30" s="39">
        <v>2927</v>
      </c>
      <c r="R30" s="78">
        <v>20</v>
      </c>
      <c r="S30" s="78">
        <v>196</v>
      </c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>
        <v>86</v>
      </c>
      <c r="F31" s="41">
        <v>4775</v>
      </c>
      <c r="G31" s="41">
        <v>87</v>
      </c>
      <c r="H31" s="41">
        <v>1374</v>
      </c>
      <c r="I31" s="41">
        <v>85</v>
      </c>
      <c r="J31" s="41">
        <v>273</v>
      </c>
      <c r="K31" s="42">
        <v>85</v>
      </c>
      <c r="L31" s="42">
        <v>86</v>
      </c>
      <c r="M31" s="42">
        <v>1152</v>
      </c>
      <c r="N31" s="39">
        <v>61</v>
      </c>
      <c r="O31" s="39">
        <v>85</v>
      </c>
      <c r="P31" s="39">
        <v>83</v>
      </c>
      <c r="Q31" s="39">
        <v>2930</v>
      </c>
      <c r="R31" s="78">
        <v>20</v>
      </c>
      <c r="S31" s="78">
        <v>196</v>
      </c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-196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2020-10-24T12:17:43Z</dcterms:modified>
</cp:coreProperties>
</file>