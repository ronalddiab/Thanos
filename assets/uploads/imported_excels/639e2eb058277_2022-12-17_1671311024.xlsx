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.Meacham\Documents\Temp Docs\HEP Logs\"/>
    </mc:Choice>
  </mc:AlternateContent>
  <xr:revisionPtr revIDLastSave="0" documentId="8_{CFB6985B-36A2-4CA1-A3AF-39A8DDED2F2C}" xr6:coauthVersionLast="47" xr6:coauthVersionMax="47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TOTAL" sheetId="1" r:id="rId1"/>
    <sheet name="Submetering" sheetId="3" r:id="rId2"/>
    <sheet name="Hampshire Daily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8" i="2" l="1"/>
  <c r="Q11" i="2"/>
  <c r="P11" i="2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B30" i="1"/>
  <c r="B31" i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P2" i="3"/>
  <c r="O2" i="3"/>
  <c r="N2" i="3"/>
  <c r="E2" i="3"/>
  <c r="G2" i="3"/>
  <c r="G3" i="3"/>
  <c r="H2" i="3"/>
  <c r="I2" i="3"/>
  <c r="J2" i="3"/>
  <c r="K2" i="3"/>
  <c r="L2" i="3"/>
  <c r="M2" i="3"/>
  <c r="P29" i="3"/>
  <c r="P30" i="3"/>
  <c r="P31" i="3"/>
  <c r="O29" i="3"/>
  <c r="O30" i="3"/>
  <c r="O31" i="3"/>
  <c r="N29" i="3"/>
  <c r="N30" i="3"/>
  <c r="I30" i="1" s="1"/>
  <c r="N31" i="3"/>
  <c r="I31" i="1" s="1"/>
  <c r="M29" i="3"/>
  <c r="M30" i="3"/>
  <c r="G30" i="1" s="1"/>
  <c r="M31" i="3"/>
  <c r="G31" i="1" s="1"/>
  <c r="L29" i="3"/>
  <c r="L30" i="3"/>
  <c r="L31" i="3"/>
  <c r="K29" i="3"/>
  <c r="K30" i="3"/>
  <c r="K31" i="3"/>
  <c r="J29" i="3"/>
  <c r="J30" i="3"/>
  <c r="J31" i="3"/>
  <c r="I29" i="3"/>
  <c r="I30" i="3"/>
  <c r="I31" i="3"/>
  <c r="H29" i="3"/>
  <c r="H30" i="3"/>
  <c r="H31" i="3"/>
  <c r="G30" i="3"/>
  <c r="G31" i="3"/>
  <c r="G29" i="3"/>
  <c r="E29" i="3"/>
  <c r="E30" i="3"/>
  <c r="E30" i="1" s="1"/>
  <c r="E31" i="3"/>
  <c r="E31" i="1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S2" i="3" l="1"/>
  <c r="S3" i="3"/>
  <c r="S4" i="3"/>
  <c r="S5" i="3"/>
  <c r="S6" i="3"/>
  <c r="L2" i="1"/>
  <c r="R2" i="3"/>
  <c r="R3" i="3"/>
  <c r="R4" i="3"/>
  <c r="R5" i="3"/>
  <c r="R6" i="3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I29" i="1"/>
  <c r="E29" i="1"/>
  <c r="K2" i="1" l="1"/>
  <c r="E28" i="1"/>
  <c r="I22" i="1"/>
  <c r="I23" i="1"/>
  <c r="E25" i="1"/>
  <c r="E26" i="1"/>
  <c r="I26" i="1"/>
  <c r="E27" i="1"/>
  <c r="I27" i="1"/>
  <c r="I28" i="1"/>
  <c r="E7" i="1"/>
  <c r="E8" i="1"/>
  <c r="E11" i="1"/>
  <c r="E12" i="1"/>
  <c r="E15" i="1"/>
  <c r="E16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1"/>
  <c r="I7" i="1"/>
  <c r="I8" i="1"/>
  <c r="I9" i="1"/>
  <c r="I13" i="1"/>
  <c r="I16" i="1"/>
  <c r="I17" i="1"/>
  <c r="I18" i="1"/>
  <c r="I21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3" i="1"/>
  <c r="I2" i="1"/>
  <c r="I20" i="1"/>
  <c r="I19" i="1"/>
  <c r="I6" i="1"/>
  <c r="I5" i="1"/>
  <c r="I25" i="1"/>
  <c r="I24" i="1"/>
  <c r="I15" i="1"/>
  <c r="I14" i="1"/>
  <c r="I10" i="1"/>
  <c r="I12" i="1"/>
  <c r="E4" i="1" l="1"/>
  <c r="E21" i="1"/>
  <c r="E14" i="1"/>
  <c r="E10" i="1"/>
  <c r="E2" i="1"/>
  <c r="E3" i="1"/>
  <c r="I11" i="1"/>
  <c r="E6" i="1"/>
  <c r="E5" i="1"/>
  <c r="E17" i="1"/>
  <c r="E13" i="1"/>
  <c r="E9" i="1"/>
  <c r="E22" i="1"/>
  <c r="E24" i="1"/>
  <c r="E20" i="1"/>
  <c r="E23" i="1"/>
  <c r="E19" i="1"/>
  <c r="E18" i="1"/>
</calcChain>
</file>

<file path=xl/sharedStrings.xml><?xml version="1.0" encoding="utf-8"?>
<sst xmlns="http://schemas.openxmlformats.org/spreadsheetml/2006/main" count="115" uniqueCount="46">
  <si>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</si>
  <si>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</si>
  <si>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</si>
  <si>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</si>
  <si>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</si>
  <si>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</si>
  <si>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</si>
  <si>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</si>
  <si>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</si>
  <si>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</si>
  <si>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</si>
  <si>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</si>
  <si>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Hampshire</t>
  </si>
  <si>
    <t>Meter 1- KWh</t>
  </si>
  <si>
    <t>Meter 2- KWh</t>
  </si>
  <si>
    <t>East   MCC- KWh</t>
  </si>
  <si>
    <t>South    MCC 1- KWh</t>
  </si>
  <si>
    <t>South       MCC 2- KWh</t>
  </si>
  <si>
    <t>West    MCC- KWh</t>
  </si>
  <si>
    <t>Kitchen - KWh</t>
  </si>
  <si>
    <t>SPA - KWh</t>
  </si>
  <si>
    <t>Gas- KWh</t>
  </si>
  <si>
    <t>Main Site Water Meter - m3</t>
  </si>
  <si>
    <t>Hard Water Supply- m3</t>
  </si>
  <si>
    <t>Pool Supply- m3</t>
  </si>
  <si>
    <t xml:space="preserve">Kids Pool </t>
  </si>
  <si>
    <t xml:space="preserve"> </t>
  </si>
  <si>
    <t>Electrical</t>
  </si>
  <si>
    <t xml:space="preserve">Main Site Gas Meter </t>
  </si>
  <si>
    <t>Main Site Water Meter</t>
  </si>
  <si>
    <t>Water Softener 
Sub Meter</t>
  </si>
  <si>
    <t>Hard Water Supply Sub Meter</t>
  </si>
  <si>
    <t>Pool Supply Sub Meter</t>
  </si>
  <si>
    <t xml:space="preserve">Kids pool Sub Meter </t>
  </si>
  <si>
    <t>Room Night</t>
  </si>
  <si>
    <t>Guest</t>
  </si>
  <si>
    <t>Main Site Electric Meter 1</t>
  </si>
  <si>
    <t>Main Site Electric Meter 2</t>
  </si>
  <si>
    <t>East   MCC Sub Meter</t>
  </si>
  <si>
    <t>South    MCC 1 Sub Meter</t>
  </si>
  <si>
    <t>South       MCC 2 Sub Meter</t>
  </si>
  <si>
    <t>West    MCC 
Sub Meter</t>
  </si>
  <si>
    <t>Kitchen sub meter</t>
  </si>
  <si>
    <t>Spa electric Sub Meter</t>
  </si>
  <si>
    <t>East CHP 41 Electric generated</t>
  </si>
  <si>
    <t>Spa CHP 42 Electric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</si>
</sst>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;@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/>
    <xf numFmtId="165" fontId="2" fillId="0" borderId="3" xfId="1" applyNumberFormat="1" applyFont="1" applyBorder="1" applyAlignment="1">
      <alignment horizontal="center"/>
    </xf>
    <xf numFmtId="0" fontId="8" fillId="0" borderId="7" xfId="0" applyFont="1" applyBorder="1"/>
    <xf numFmtId="0" fontId="9" fillId="0" borderId="0" xfId="0" applyFont="1" applyAlignment="1">
      <alignment horizontal="center"/>
    </xf>
    <xf numFmtId="0" fontId="0" fillId="0" borderId="11" xfId="0" applyBorder="1"/>
    <xf numFmtId="0" fontId="0" fillId="0" borderId="7" xfId="0" applyBorder="1"/>
    <xf numFmtId="1" fontId="0" fillId="0" borderId="7" xfId="0" applyNumberFormat="1" applyBorder="1"/>
    <xf numFmtId="0" fontId="8" fillId="0" borderId="0" xfId="0" applyFont="1"/>
    <xf numFmtId="0" fontId="10" fillId="0" borderId="7" xfId="0" applyFont="1" applyBorder="1"/>
    <xf numFmtId="0" fontId="10" fillId="0" borderId="15" xfId="0" applyFont="1" applyBorder="1"/>
    <xf numFmtId="0" fontId="8" fillId="0" borderId="7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" fontId="8" fillId="0" borderId="7" xfId="0" applyNumberFormat="1" applyFont="1" applyBorder="1"/>
    <xf numFmtId="1" fontId="0" fillId="0" borderId="0" xfId="0" applyNumberFormat="1"/>
    <xf numFmtId="0" fontId="10" fillId="0" borderId="11" xfId="0" applyFont="1" applyBorder="1"/>
    <xf numFmtId="165" fontId="2" fillId="2" borderId="2" xfId="1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wrapText="1"/>
    </xf>
    <xf numFmtId="165" fontId="2" fillId="0" borderId="5" xfId="1" applyNumberFormat="1" applyFont="1" applyBorder="1" applyAlignment="1">
      <alignment horizontal="center" wrapText="1"/>
    </xf>
    <xf numFmtId="165" fontId="1" fillId="0" borderId="6" xfId="1" applyNumberFormat="1" applyBorder="1" applyAlignment="1">
      <alignment horizontal="center"/>
    </xf>
    <xf numFmtId="0" fontId="2" fillId="5" borderId="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wrapText="1"/>
    </xf>
    <xf numFmtId="0" fontId="2" fillId="5" borderId="12" xfId="1" applyFont="1" applyFill="1" applyBorder="1" applyAlignment="1">
      <alignment horizontal="center" wrapText="1"/>
    </xf>
    <xf numFmtId="0" fontId="1" fillId="5" borderId="2" xfId="1" applyFill="1" applyBorder="1" applyAlignment="1">
      <alignment horizontal="center"/>
    </xf>
    <xf numFmtId="0" fontId="2" fillId="5" borderId="8" xfId="1" applyFont="1" applyFill="1" applyBorder="1" applyAlignment="1">
      <alignment horizontal="center"/>
    </xf>
    <xf numFmtId="0" fontId="2" fillId="5" borderId="13" xfId="1" applyFont="1" applyFill="1" applyBorder="1" applyAlignment="1">
      <alignment horizontal="center"/>
    </xf>
    <xf numFmtId="0" fontId="2" fillId="5" borderId="14" xfId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2" fillId="4" borderId="2" xfId="1" applyFont="1" applyFill="1" applyBorder="1" applyAlignment="1">
      <alignment horizontal="center" wrapText="1"/>
    </xf>
    <xf numFmtId="0" fontId="1" fillId="4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 wrapText="1"/>
    </xf>
    <xf numFmtId="0" fontId="1" fillId="3" borderId="2" xfId="1" applyFill="1" applyBorder="1" applyAlignment="1">
      <alignment horizontal="center"/>
    </xf>
    <xf numFmtId="0" fontId="1" fillId="3" borderId="2" xfId="1" applyFill="1" applyBorder="1" applyAlignment="1">
      <alignment horizontal="center" wrapText="1"/>
    </xf>
    <xf numFmtId="0" fontId="2" fillId="3" borderId="8" xfId="1" applyFont="1" applyFill="1" applyBorder="1" applyAlignment="1">
      <alignment horizontal="center" wrapText="1"/>
    </xf>
    <xf numFmtId="0" fontId="1" fillId="3" borderId="8" xfId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X32"/>
  <sheetViews>
    <sheetView workbookViewId="0">
      <selection activeCell="I35" sqref="I35"/>
    </sheetView>
  </sheetViews>
  <sheetFormatPr defaultColWidth="11.5703125" defaultRowHeight="15"/>
  <cols>
    <col min="1" max="1" width="18.28515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4" width="11.5703125" style="1"/>
  </cols>
  <sheetData>
    <row r="1" spans="1:24" s="3" customFormat="1" ht="60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1" t="s">
        <v>5</v>
      </c>
      <c r="G1" s="7" t="s">
        <v>6</v>
      </c>
      <c r="H1" s="11" t="s">
        <v>7</v>
      </c>
      <c r="I1" s="7" t="s">
        <v>8</v>
      </c>
      <c r="J1" s="14" t="s">
        <v>9</v>
      </c>
      <c r="K1" s="7" t="s">
        <v>10</v>
      </c>
      <c r="L1" s="7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>
      <c r="A2" s="3" t="s">
        <v>12</v>
      </c>
      <c r="B2" s="2">
        <v>1</v>
      </c>
      <c r="C2" s="2">
        <v>6</v>
      </c>
      <c r="D2" s="2">
        <v>2022</v>
      </c>
      <c r="E2" s="4">
        <f>(Submetering!E2+Submetering!F2)</f>
        <v>6122</v>
      </c>
      <c r="F2" s="12">
        <v>0.35</v>
      </c>
      <c r="G2" s="4">
        <f>Submetering!M2</f>
        <v>2192</v>
      </c>
      <c r="H2" s="12">
        <v>0.77</v>
      </c>
      <c r="I2" s="4">
        <f>Submetering!N2</f>
        <v>116</v>
      </c>
      <c r="J2" s="13">
        <v>2.86</v>
      </c>
      <c r="K2" s="4">
        <f>'Hampshire Daily'!B5</f>
        <v>79</v>
      </c>
      <c r="L2" s="4">
        <f>'Hampshire Daily'!C5</f>
        <v>184</v>
      </c>
    </row>
    <row r="3" spans="1:24">
      <c r="A3" s="3" t="s">
        <v>12</v>
      </c>
      <c r="B3" s="2">
        <f>B2+1</f>
        <v>2</v>
      </c>
      <c r="C3" s="2">
        <v>6</v>
      </c>
      <c r="D3" s="2">
        <v>2022</v>
      </c>
      <c r="E3" s="4">
        <f>Submetering!E3+Submetering!F3</f>
        <v>6573</v>
      </c>
      <c r="F3" s="12">
        <v>0.35</v>
      </c>
      <c r="G3" s="4">
        <f>Submetering!M3</f>
        <v>2123</v>
      </c>
      <c r="H3" s="12">
        <v>0.77</v>
      </c>
      <c r="I3" s="4">
        <f>Submetering!N3</f>
        <v>124</v>
      </c>
      <c r="J3" s="13">
        <v>2.86</v>
      </c>
      <c r="K3" s="4">
        <f>'Hampshire Daily'!B6</f>
        <v>93</v>
      </c>
      <c r="L3" s="4">
        <f>'Hampshire Daily'!C6</f>
        <v>239</v>
      </c>
    </row>
    <row r="4" spans="1:24">
      <c r="A4" s="3" t="s">
        <v>12</v>
      </c>
      <c r="B4" s="2">
        <f t="shared" ref="B4:B32" si="0">B3+1</f>
        <v>3</v>
      </c>
      <c r="C4" s="2">
        <v>6</v>
      </c>
      <c r="D4" s="2">
        <v>2022</v>
      </c>
      <c r="E4" s="4">
        <f>Submetering!E4+Submetering!F4</f>
        <v>5791</v>
      </c>
      <c r="F4" s="12">
        <v>0.35</v>
      </c>
      <c r="G4" s="4">
        <f>Submetering!M4</f>
        <v>2254</v>
      </c>
      <c r="H4" s="12">
        <v>0.77</v>
      </c>
      <c r="I4" s="4">
        <f>Submetering!N4</f>
        <v>128</v>
      </c>
      <c r="J4" s="13">
        <v>2.86</v>
      </c>
      <c r="K4" s="4">
        <f>'Hampshire Daily'!B7</f>
        <v>101</v>
      </c>
      <c r="L4" s="4">
        <f>'Hampshire Daily'!C7</f>
        <v>245</v>
      </c>
    </row>
    <row r="5" spans="1:24">
      <c r="A5" s="3" t="s">
        <v>12</v>
      </c>
      <c r="B5" s="2">
        <f t="shared" si="0"/>
        <v>4</v>
      </c>
      <c r="C5" s="2">
        <v>6</v>
      </c>
      <c r="D5" s="2">
        <v>2022</v>
      </c>
      <c r="E5" s="4">
        <f>Submetering!E5+Submetering!F5</f>
        <v>5841</v>
      </c>
      <c r="F5" s="12">
        <v>0.35</v>
      </c>
      <c r="G5" s="4">
        <f>Submetering!M5</f>
        <v>2221</v>
      </c>
      <c r="H5" s="12">
        <v>0.77</v>
      </c>
      <c r="I5" s="4">
        <f>Submetering!N5</f>
        <v>125</v>
      </c>
      <c r="J5" s="13">
        <v>2.86</v>
      </c>
      <c r="K5" s="4">
        <f>'Hampshire Daily'!B8</f>
        <v>107</v>
      </c>
      <c r="L5" s="4">
        <f>'Hampshire Daily'!C8</f>
        <v>238</v>
      </c>
    </row>
    <row r="6" spans="1:24">
      <c r="A6" s="3" t="s">
        <v>12</v>
      </c>
      <c r="B6" s="2">
        <f t="shared" si="0"/>
        <v>5</v>
      </c>
      <c r="C6" s="2">
        <v>6</v>
      </c>
      <c r="D6" s="2">
        <v>2022</v>
      </c>
      <c r="E6" s="4">
        <f>Submetering!E6+Submetering!F6</f>
        <v>6397</v>
      </c>
      <c r="F6" s="12">
        <v>0.35</v>
      </c>
      <c r="G6" s="4">
        <f>Submetering!M6</f>
        <v>2325</v>
      </c>
      <c r="H6" s="12">
        <v>0.77</v>
      </c>
      <c r="I6" s="4">
        <f>Submetering!N6</f>
        <v>139</v>
      </c>
      <c r="J6" s="13">
        <v>2.86</v>
      </c>
      <c r="K6" s="4">
        <f>'Hampshire Daily'!B9</f>
        <v>96</v>
      </c>
      <c r="L6" s="4">
        <f>'Hampshire Daily'!C9</f>
        <v>170</v>
      </c>
    </row>
    <row r="7" spans="1:24">
      <c r="A7" s="3" t="s">
        <v>12</v>
      </c>
      <c r="B7" s="2">
        <f t="shared" si="0"/>
        <v>6</v>
      </c>
      <c r="C7" s="2">
        <v>6</v>
      </c>
      <c r="D7" s="2">
        <v>2022</v>
      </c>
      <c r="E7" s="4">
        <f>Submetering!E7+Submetering!F7</f>
        <v>5925</v>
      </c>
      <c r="F7" s="12">
        <v>0.35</v>
      </c>
      <c r="G7" s="4">
        <f>Submetering!M7</f>
        <v>2325</v>
      </c>
      <c r="H7" s="12">
        <v>0.77</v>
      </c>
      <c r="I7" s="4">
        <f>Submetering!N7</f>
        <v>119</v>
      </c>
      <c r="J7" s="13">
        <v>2.86</v>
      </c>
      <c r="K7" s="4">
        <f>'Hampshire Daily'!B10</f>
        <v>104</v>
      </c>
      <c r="L7" s="4">
        <f>'Hampshire Daily'!C10</f>
        <v>132</v>
      </c>
    </row>
    <row r="8" spans="1:24">
      <c r="A8" s="3" t="s">
        <v>12</v>
      </c>
      <c r="B8" s="2">
        <f t="shared" si="0"/>
        <v>7</v>
      </c>
      <c r="C8" s="2">
        <v>6</v>
      </c>
      <c r="D8" s="2">
        <v>2022</v>
      </c>
      <c r="E8" s="4">
        <f>Submetering!E8+Submetering!F8</f>
        <v>6035</v>
      </c>
      <c r="F8" s="12">
        <v>0.35</v>
      </c>
      <c r="G8" s="4">
        <f>Submetering!M8</f>
        <v>2294</v>
      </c>
      <c r="H8" s="12">
        <v>0.77</v>
      </c>
      <c r="I8" s="4">
        <f>Submetering!N8</f>
        <v>119</v>
      </c>
      <c r="J8" s="13">
        <v>2.86</v>
      </c>
      <c r="K8" s="4">
        <f>'Hampshire Daily'!B11</f>
        <v>127</v>
      </c>
      <c r="L8" s="4">
        <f>'Hampshire Daily'!C11</f>
        <v>133</v>
      </c>
    </row>
    <row r="9" spans="1:24">
      <c r="A9" s="3" t="s">
        <v>12</v>
      </c>
      <c r="B9" s="2">
        <f t="shared" si="0"/>
        <v>8</v>
      </c>
      <c r="C9" s="2">
        <v>6</v>
      </c>
      <c r="D9" s="2">
        <v>2022</v>
      </c>
      <c r="E9" s="4">
        <f>Submetering!E9+Submetering!F9</f>
        <v>7692</v>
      </c>
      <c r="F9" s="12">
        <v>0.35</v>
      </c>
      <c r="G9" s="4">
        <f>Submetering!M9</f>
        <v>2201</v>
      </c>
      <c r="H9" s="12">
        <v>0.77</v>
      </c>
      <c r="I9" s="4">
        <f>Submetering!N9</f>
        <v>103</v>
      </c>
      <c r="J9" s="13">
        <v>2.86</v>
      </c>
      <c r="K9" s="4">
        <f>'Hampshire Daily'!B12</f>
        <v>134</v>
      </c>
      <c r="L9" s="4">
        <f>'Hampshire Daily'!C12</f>
        <v>138</v>
      </c>
    </row>
    <row r="10" spans="1:24">
      <c r="A10" s="3" t="s">
        <v>12</v>
      </c>
      <c r="B10" s="2">
        <f t="shared" si="0"/>
        <v>9</v>
      </c>
      <c r="C10" s="2">
        <v>6</v>
      </c>
      <c r="D10" s="2">
        <v>2022</v>
      </c>
      <c r="E10" s="4">
        <f>Submetering!E10+Submetering!F10</f>
        <v>5917</v>
      </c>
      <c r="F10" s="12">
        <v>0.35</v>
      </c>
      <c r="G10" s="4">
        <f>Submetering!M10</f>
        <v>2119</v>
      </c>
      <c r="H10" s="12">
        <v>0.77</v>
      </c>
      <c r="I10" s="4">
        <f>Submetering!N10</f>
        <v>88</v>
      </c>
      <c r="J10" s="13">
        <v>2.86</v>
      </c>
      <c r="K10" s="4">
        <f>'Hampshire Daily'!B13</f>
        <v>67</v>
      </c>
      <c r="L10" s="4">
        <f>'Hampshire Daily'!C13</f>
        <v>136</v>
      </c>
    </row>
    <row r="11" spans="1:24">
      <c r="A11" s="3" t="s">
        <v>12</v>
      </c>
      <c r="B11" s="2">
        <f t="shared" si="0"/>
        <v>10</v>
      </c>
      <c r="C11" s="2">
        <v>6</v>
      </c>
      <c r="D11" s="2">
        <v>2022</v>
      </c>
      <c r="E11" s="4">
        <f>Submetering!E11+Submetering!F11</f>
        <v>6360</v>
      </c>
      <c r="F11" s="12">
        <v>0.35</v>
      </c>
      <c r="G11" s="4">
        <f>Submetering!M11</f>
        <v>2240</v>
      </c>
      <c r="H11" s="12">
        <v>0.77</v>
      </c>
      <c r="I11" s="4">
        <f>Submetering!N11</f>
        <v>138</v>
      </c>
      <c r="J11" s="13">
        <v>2.86</v>
      </c>
      <c r="K11" s="4">
        <f>'Hampshire Daily'!B14</f>
        <v>79</v>
      </c>
      <c r="L11" s="4">
        <f>'Hampshire Daily'!C14</f>
        <v>175</v>
      </c>
    </row>
    <row r="12" spans="1:24">
      <c r="A12" s="3" t="s">
        <v>12</v>
      </c>
      <c r="B12" s="2">
        <f t="shared" si="0"/>
        <v>11</v>
      </c>
      <c r="C12" s="2">
        <v>6</v>
      </c>
      <c r="D12" s="2">
        <v>2022</v>
      </c>
      <c r="E12" s="4">
        <f>Submetering!E12+Submetering!F12</f>
        <v>6529</v>
      </c>
      <c r="F12" s="12">
        <v>0.35</v>
      </c>
      <c r="G12" s="4">
        <f>Submetering!M12</f>
        <v>2226</v>
      </c>
      <c r="H12" s="12">
        <v>0.77</v>
      </c>
      <c r="I12" s="4">
        <f>Submetering!N12</f>
        <v>-26876</v>
      </c>
      <c r="J12" s="13">
        <v>2.86</v>
      </c>
      <c r="K12" s="4">
        <f>'Hampshire Daily'!B15</f>
        <v>124</v>
      </c>
      <c r="L12" s="4">
        <f>'Hampshire Daily'!C15</f>
        <v>279</v>
      </c>
    </row>
    <row r="13" spans="1:24">
      <c r="A13" s="3" t="s">
        <v>12</v>
      </c>
      <c r="B13" s="2">
        <f t="shared" si="0"/>
        <v>12</v>
      </c>
      <c r="C13" s="2">
        <v>6</v>
      </c>
      <c r="D13" s="2">
        <v>2022</v>
      </c>
      <c r="E13" s="4">
        <f>Submetering!E13+Submetering!F13</f>
        <v>6503</v>
      </c>
      <c r="F13" s="12">
        <v>0.35</v>
      </c>
      <c r="G13" s="4">
        <f>Submetering!M13</f>
        <v>2171</v>
      </c>
      <c r="H13" s="12">
        <v>0.77</v>
      </c>
      <c r="I13" s="4">
        <f>Submetering!N13</f>
        <v>27139</v>
      </c>
      <c r="J13" s="13">
        <v>2.86</v>
      </c>
      <c r="K13" s="4">
        <f>'Hampshire Daily'!B16</f>
        <v>127</v>
      </c>
      <c r="L13" s="4">
        <f>'Hampshire Daily'!C16</f>
        <v>293</v>
      </c>
    </row>
    <row r="14" spans="1:24">
      <c r="A14" s="3" t="s">
        <v>12</v>
      </c>
      <c r="B14" s="2">
        <f t="shared" si="0"/>
        <v>13</v>
      </c>
      <c r="C14" s="2">
        <v>6</v>
      </c>
      <c r="D14" s="2">
        <v>2022</v>
      </c>
      <c r="E14" s="4">
        <f>Submetering!E14+Submetering!F14</f>
        <v>5412</v>
      </c>
      <c r="F14" s="12">
        <v>0.35</v>
      </c>
      <c r="G14" s="4">
        <f>Submetering!M14</f>
        <v>2099</v>
      </c>
      <c r="H14" s="12">
        <v>0.77</v>
      </c>
      <c r="I14" s="4">
        <f>Submetering!N14</f>
        <v>130</v>
      </c>
      <c r="J14" s="13">
        <v>2.86</v>
      </c>
      <c r="K14" s="4">
        <f>'Hampshire Daily'!B17</f>
        <v>39</v>
      </c>
      <c r="L14" s="4">
        <f>'Hampshire Daily'!C17</f>
        <v>68</v>
      </c>
    </row>
    <row r="15" spans="1:24">
      <c r="A15" s="3" t="s">
        <v>12</v>
      </c>
      <c r="B15" s="2">
        <f t="shared" si="0"/>
        <v>14</v>
      </c>
      <c r="C15" s="2">
        <v>6</v>
      </c>
      <c r="D15" s="2">
        <v>2022</v>
      </c>
      <c r="E15" s="4">
        <f>Submetering!E15+Submetering!F15</f>
        <v>5230</v>
      </c>
      <c r="F15" s="12">
        <v>0.35</v>
      </c>
      <c r="G15" s="4">
        <f>Submetering!M15</f>
        <v>2104</v>
      </c>
      <c r="H15" s="12">
        <v>0.77</v>
      </c>
      <c r="I15" s="4">
        <f>Submetering!N15</f>
        <v>90.5</v>
      </c>
      <c r="J15" s="13">
        <v>2.86</v>
      </c>
      <c r="K15" s="4">
        <f>'Hampshire Daily'!B18</f>
        <v>52</v>
      </c>
      <c r="L15" s="4">
        <f>'Hampshire Daily'!C18</f>
        <v>92</v>
      </c>
    </row>
    <row r="16" spans="1:24">
      <c r="A16" s="3" t="s">
        <v>12</v>
      </c>
      <c r="B16" s="2">
        <f t="shared" si="0"/>
        <v>15</v>
      </c>
      <c r="C16" s="2">
        <v>6</v>
      </c>
      <c r="D16" s="2">
        <v>2022</v>
      </c>
      <c r="E16" s="4">
        <f>Submetering!E16+Submetering!F16</f>
        <v>8085</v>
      </c>
      <c r="F16" s="12">
        <v>0.35</v>
      </c>
      <c r="G16" s="4">
        <f>Submetering!M16</f>
        <v>1562</v>
      </c>
      <c r="H16" s="12">
        <v>0.77</v>
      </c>
      <c r="I16" s="4">
        <f>Submetering!N16</f>
        <v>90.5</v>
      </c>
      <c r="J16" s="13">
        <v>2.86</v>
      </c>
      <c r="K16" s="4">
        <f>'Hampshire Daily'!B19</f>
        <v>52</v>
      </c>
      <c r="L16" s="4">
        <f>'Hampshire Daily'!C19</f>
        <v>98</v>
      </c>
    </row>
    <row r="17" spans="1:12">
      <c r="A17" s="3" t="s">
        <v>12</v>
      </c>
      <c r="B17" s="2">
        <f t="shared" si="0"/>
        <v>16</v>
      </c>
      <c r="C17" s="2">
        <v>6</v>
      </c>
      <c r="D17" s="2">
        <v>2022</v>
      </c>
      <c r="E17" s="4">
        <f>Submetering!E17+Submetering!F17</f>
        <v>9875</v>
      </c>
      <c r="F17" s="12">
        <v>0.35</v>
      </c>
      <c r="G17" s="4">
        <f>Submetering!M17</f>
        <v>776</v>
      </c>
      <c r="H17" s="12">
        <v>0.77</v>
      </c>
      <c r="I17" s="4">
        <f>Submetering!N17</f>
        <v>95</v>
      </c>
      <c r="J17" s="13">
        <v>2.86</v>
      </c>
      <c r="K17" s="4">
        <f>'Hampshire Daily'!B20</f>
        <v>95</v>
      </c>
      <c r="L17" s="4">
        <f>'Hampshire Daily'!C20</f>
        <v>160</v>
      </c>
    </row>
    <row r="18" spans="1:12">
      <c r="A18" s="3" t="s">
        <v>12</v>
      </c>
      <c r="B18" s="2">
        <f t="shared" si="0"/>
        <v>17</v>
      </c>
      <c r="C18" s="2">
        <v>6</v>
      </c>
      <c r="D18" s="2">
        <v>2022</v>
      </c>
      <c r="E18" s="4">
        <f>Submetering!E18+Submetering!F18</f>
        <v>9843</v>
      </c>
      <c r="F18" s="12">
        <v>0.35</v>
      </c>
      <c r="G18" s="4">
        <f>Submetering!M18</f>
        <v>963</v>
      </c>
      <c r="H18" s="12">
        <v>0.77</v>
      </c>
      <c r="I18" s="4">
        <f>Submetering!N18</f>
        <v>103</v>
      </c>
      <c r="J18" s="13">
        <v>2.86</v>
      </c>
      <c r="K18" s="4">
        <f>'Hampshire Daily'!B21</f>
        <v>96</v>
      </c>
      <c r="L18" s="4">
        <f>'Hampshire Daily'!C21</f>
        <v>200</v>
      </c>
    </row>
    <row r="19" spans="1:12">
      <c r="A19" s="3" t="s">
        <v>12</v>
      </c>
      <c r="B19" s="2">
        <f t="shared" si="0"/>
        <v>18</v>
      </c>
      <c r="C19" s="2">
        <v>6</v>
      </c>
      <c r="D19" s="2">
        <v>2022</v>
      </c>
      <c r="E19" s="4">
        <f>Submetering!E19+Submetering!F19</f>
        <v>11686</v>
      </c>
      <c r="F19" s="12">
        <v>0.35</v>
      </c>
      <c r="G19" s="4">
        <f>Submetering!M19</f>
        <v>772</v>
      </c>
      <c r="H19" s="12">
        <v>0.77</v>
      </c>
      <c r="I19" s="4">
        <f>Submetering!N19</f>
        <v>125</v>
      </c>
      <c r="J19" s="13">
        <v>2.86</v>
      </c>
      <c r="K19" s="4">
        <f>'Hampshire Daily'!B22</f>
        <v>122</v>
      </c>
      <c r="L19" s="4">
        <f>'Hampshire Daily'!C22</f>
        <v>263</v>
      </c>
    </row>
    <row r="20" spans="1:12">
      <c r="A20" s="3" t="s">
        <v>12</v>
      </c>
      <c r="B20" s="2">
        <f t="shared" si="0"/>
        <v>19</v>
      </c>
      <c r="C20" s="2">
        <v>6</v>
      </c>
      <c r="D20" s="2">
        <v>2022</v>
      </c>
      <c r="E20" s="4">
        <f>Submetering!E20+Submetering!F20</f>
        <v>8894</v>
      </c>
      <c r="F20" s="12">
        <v>0.35</v>
      </c>
      <c r="G20" s="4">
        <f>Submetering!M20</f>
        <v>1469</v>
      </c>
      <c r="H20" s="12">
        <v>0.77</v>
      </c>
      <c r="I20" s="4">
        <f>Submetering!N20</f>
        <v>129</v>
      </c>
      <c r="J20" s="13">
        <v>2.86</v>
      </c>
      <c r="K20" s="4">
        <f>'Hampshire Daily'!B23</f>
        <v>125</v>
      </c>
      <c r="L20" s="4">
        <f>'Hampshire Daily'!C23</f>
        <v>290</v>
      </c>
    </row>
    <row r="21" spans="1:12">
      <c r="A21" s="3" t="s">
        <v>12</v>
      </c>
      <c r="B21" s="2">
        <f t="shared" si="0"/>
        <v>20</v>
      </c>
      <c r="C21" s="2">
        <v>6</v>
      </c>
      <c r="D21" s="2">
        <v>2022</v>
      </c>
      <c r="E21" s="4">
        <f>Submetering!E21+Submetering!F21</f>
        <v>6169</v>
      </c>
      <c r="F21" s="12">
        <v>0.35</v>
      </c>
      <c r="G21" s="4">
        <f>Submetering!M21</f>
        <v>2060</v>
      </c>
      <c r="H21" s="12">
        <v>0.77</v>
      </c>
      <c r="I21" s="4">
        <f>Submetering!N21</f>
        <v>118</v>
      </c>
      <c r="J21" s="13">
        <v>2.86</v>
      </c>
      <c r="K21" s="4">
        <f>'Hampshire Daily'!B24</f>
        <v>101</v>
      </c>
      <c r="L21" s="4">
        <f>'Hampshire Daily'!C24</f>
        <v>78</v>
      </c>
    </row>
    <row r="22" spans="1:12">
      <c r="A22" s="3" t="s">
        <v>12</v>
      </c>
      <c r="B22" s="2">
        <f t="shared" si="0"/>
        <v>21</v>
      </c>
      <c r="C22" s="2">
        <v>6</v>
      </c>
      <c r="D22" s="2">
        <v>2022</v>
      </c>
      <c r="E22" s="4">
        <f>Submetering!E22+Submetering!F22</f>
        <v>5570</v>
      </c>
      <c r="F22" s="12">
        <v>0.35</v>
      </c>
      <c r="G22" s="4">
        <f>Submetering!M22</f>
        <v>2121</v>
      </c>
      <c r="H22" s="12">
        <v>0.77</v>
      </c>
      <c r="I22" s="4">
        <f>Submetering!N22</f>
        <v>99</v>
      </c>
      <c r="J22" s="13">
        <v>2.86</v>
      </c>
      <c r="K22" s="4">
        <f>'Hampshire Daily'!B25</f>
        <v>131</v>
      </c>
      <c r="L22" s="4">
        <f>'Hampshire Daily'!C25</f>
        <v>78</v>
      </c>
    </row>
    <row r="23" spans="1:12">
      <c r="A23" s="3" t="s">
        <v>12</v>
      </c>
      <c r="B23" s="2">
        <f t="shared" si="0"/>
        <v>22</v>
      </c>
      <c r="C23" s="2">
        <v>6</v>
      </c>
      <c r="D23" s="2">
        <v>2022</v>
      </c>
      <c r="E23" s="4">
        <f>Submetering!E23+Submetering!F23</f>
        <v>6135</v>
      </c>
      <c r="F23" s="12">
        <v>0.35</v>
      </c>
      <c r="G23" s="4">
        <f>Submetering!M23</f>
        <v>2245</v>
      </c>
      <c r="H23" s="12">
        <v>0.77</v>
      </c>
      <c r="I23" s="4">
        <f>Submetering!N23</f>
        <v>110</v>
      </c>
      <c r="J23" s="13">
        <v>2.86</v>
      </c>
      <c r="K23" s="4">
        <f>'Hampshire Daily'!B26</f>
        <v>68</v>
      </c>
      <c r="L23" s="4">
        <f>'Hampshire Daily'!C26</f>
        <v>87</v>
      </c>
    </row>
    <row r="24" spans="1:12">
      <c r="A24" s="3" t="s">
        <v>12</v>
      </c>
      <c r="B24" s="2">
        <f t="shared" si="0"/>
        <v>23</v>
      </c>
      <c r="C24" s="2">
        <v>6</v>
      </c>
      <c r="D24" s="2">
        <v>2022</v>
      </c>
      <c r="E24" s="4">
        <f>Submetering!E24+Submetering!F24</f>
        <v>7806</v>
      </c>
      <c r="F24" s="12">
        <v>0.35</v>
      </c>
      <c r="G24" s="4">
        <f>Submetering!M24</f>
        <v>1533</v>
      </c>
      <c r="H24" s="12">
        <v>0.77</v>
      </c>
      <c r="I24" s="4">
        <f>Submetering!N24</f>
        <v>116</v>
      </c>
      <c r="J24" s="13">
        <v>2.86</v>
      </c>
      <c r="K24" s="4">
        <f>'Hampshire Daily'!B27</f>
        <v>124</v>
      </c>
      <c r="L24" s="4">
        <f>'Hampshire Daily'!C27</f>
        <v>159</v>
      </c>
    </row>
    <row r="25" spans="1:12">
      <c r="A25" s="3" t="s">
        <v>12</v>
      </c>
      <c r="B25" s="2">
        <f t="shared" si="0"/>
        <v>24</v>
      </c>
      <c r="C25" s="2">
        <v>6</v>
      </c>
      <c r="D25" s="2">
        <v>2022</v>
      </c>
      <c r="E25" s="4">
        <f>Submetering!E25+Submetering!F25</f>
        <v>6149</v>
      </c>
      <c r="F25" s="12">
        <v>0.35</v>
      </c>
      <c r="G25" s="4">
        <f>Submetering!M25</f>
        <v>2085</v>
      </c>
      <c r="H25" s="12">
        <v>0.77</v>
      </c>
      <c r="I25" s="4">
        <f>Submetering!N25</f>
        <v>110</v>
      </c>
      <c r="J25" s="13">
        <v>2.86</v>
      </c>
      <c r="K25" s="4">
        <f>'Hampshire Daily'!B28</f>
        <v>104</v>
      </c>
      <c r="L25" s="4">
        <f>'Hampshire Daily'!C28</f>
        <v>171</v>
      </c>
    </row>
    <row r="26" spans="1:12">
      <c r="A26" s="3" t="s">
        <v>12</v>
      </c>
      <c r="B26" s="2">
        <f>B25+1</f>
        <v>25</v>
      </c>
      <c r="C26" s="2">
        <v>6</v>
      </c>
      <c r="D26" s="2">
        <v>2022</v>
      </c>
      <c r="E26" s="4">
        <f>Submetering!E26+Submetering!F26</f>
        <v>5750</v>
      </c>
      <c r="F26" s="12">
        <v>0.35</v>
      </c>
      <c r="G26" s="4">
        <f>Submetering!M26</f>
        <v>2270</v>
      </c>
      <c r="H26" s="12">
        <v>0.77</v>
      </c>
      <c r="I26" s="4">
        <f>Submetering!N26</f>
        <v>105</v>
      </c>
      <c r="J26" s="13">
        <v>2.86</v>
      </c>
      <c r="K26" s="4">
        <f>'Hampshire Daily'!B29</f>
        <v>126</v>
      </c>
      <c r="L26" s="4">
        <f>'Hampshire Daily'!C29</f>
        <v>212</v>
      </c>
    </row>
    <row r="27" spans="1:12">
      <c r="A27" s="3" t="s">
        <v>12</v>
      </c>
      <c r="B27" s="2">
        <f t="shared" si="0"/>
        <v>26</v>
      </c>
      <c r="C27" s="2">
        <v>6</v>
      </c>
      <c r="D27" s="2">
        <v>2022</v>
      </c>
      <c r="E27" s="4">
        <f>Submetering!E27+Submetering!F27</f>
        <v>5436</v>
      </c>
      <c r="F27" s="12">
        <v>0.35</v>
      </c>
      <c r="G27" s="4">
        <f>Submetering!M27</f>
        <v>2221</v>
      </c>
      <c r="H27" s="12">
        <v>0.77</v>
      </c>
      <c r="I27" s="4">
        <f>Submetering!N27</f>
        <v>121</v>
      </c>
      <c r="J27" s="13">
        <v>2.86</v>
      </c>
      <c r="K27" s="4">
        <f>'Hampshire Daily'!B30</f>
        <v>75</v>
      </c>
      <c r="L27" s="4">
        <f>'Hampshire Daily'!C30</f>
        <v>118</v>
      </c>
    </row>
    <row r="28" spans="1:12">
      <c r="A28" s="3" t="s">
        <v>12</v>
      </c>
      <c r="B28" s="2">
        <f t="shared" si="0"/>
        <v>27</v>
      </c>
      <c r="C28" s="2">
        <v>6</v>
      </c>
      <c r="D28" s="2">
        <v>2022</v>
      </c>
      <c r="E28" s="4">
        <f>Submetering!E28+Submetering!F28</f>
        <v>5580</v>
      </c>
      <c r="F28" s="12">
        <v>0.35</v>
      </c>
      <c r="G28" s="4">
        <f>Submetering!M28</f>
        <v>-1592459</v>
      </c>
      <c r="H28" s="12">
        <v>0.77</v>
      </c>
      <c r="I28" s="4">
        <f>Submetering!N28</f>
        <v>122</v>
      </c>
      <c r="J28" s="13">
        <v>2.86</v>
      </c>
      <c r="K28" s="4">
        <f>'Hampshire Daily'!B31</f>
        <v>134</v>
      </c>
      <c r="L28" s="4">
        <f>'Hampshire Daily'!C31</f>
        <v>139</v>
      </c>
    </row>
    <row r="29" spans="1:12">
      <c r="A29" s="3" t="s">
        <v>12</v>
      </c>
      <c r="B29" s="2">
        <f t="shared" si="0"/>
        <v>28</v>
      </c>
      <c r="C29" s="2">
        <v>6</v>
      </c>
      <c r="D29" s="2">
        <v>2022</v>
      </c>
      <c r="E29" s="4">
        <f>Submetering!E29+Submetering!F29</f>
        <v>5585</v>
      </c>
      <c r="F29" s="12">
        <v>0.35</v>
      </c>
      <c r="G29" s="4">
        <f>Submetering!M29</f>
        <v>1596932</v>
      </c>
      <c r="H29" s="12">
        <v>0.77</v>
      </c>
      <c r="I29" s="4">
        <f>Submetering!N29</f>
        <v>122</v>
      </c>
      <c r="J29" s="13">
        <v>2.86</v>
      </c>
      <c r="K29" s="4">
        <f>'Hampshire Daily'!B32</f>
        <v>17</v>
      </c>
      <c r="L29" s="4">
        <f>'Hampshire Daily'!C32</f>
        <v>34</v>
      </c>
    </row>
    <row r="30" spans="1:12">
      <c r="A30" s="3" t="s">
        <v>12</v>
      </c>
      <c r="B30" s="2">
        <f t="shared" si="0"/>
        <v>29</v>
      </c>
      <c r="C30" s="2">
        <v>6</v>
      </c>
      <c r="D30" s="2">
        <v>2022</v>
      </c>
      <c r="E30" s="4">
        <f>Submetering!E30+Submetering!F30</f>
        <v>5392</v>
      </c>
      <c r="F30" s="12">
        <v>0.35</v>
      </c>
      <c r="G30" s="4">
        <f>Submetering!M30</f>
        <v>2160</v>
      </c>
      <c r="H30" s="12">
        <v>0.77</v>
      </c>
      <c r="I30" s="4">
        <f>Submetering!N30</f>
        <v>102</v>
      </c>
      <c r="J30" s="13">
        <v>2.86</v>
      </c>
      <c r="K30" s="4">
        <f>'Hampshire Daily'!B33</f>
        <v>63</v>
      </c>
      <c r="L30" s="4">
        <f>'Hampshire Daily'!C33</f>
        <v>63</v>
      </c>
    </row>
    <row r="31" spans="1:12">
      <c r="A31" s="3" t="s">
        <v>12</v>
      </c>
      <c r="B31" s="2">
        <f t="shared" si="0"/>
        <v>30</v>
      </c>
      <c r="C31" s="2">
        <v>6</v>
      </c>
      <c r="D31" s="2">
        <v>2022</v>
      </c>
      <c r="E31" s="4">
        <f>Submetering!E31+Submetering!F31</f>
        <v>5454</v>
      </c>
      <c r="F31" s="12">
        <v>0.35</v>
      </c>
      <c r="G31" s="4">
        <f>Submetering!M31</f>
        <v>2093</v>
      </c>
      <c r="H31" s="12">
        <v>0.77</v>
      </c>
      <c r="I31" s="4">
        <f>Submetering!N31</f>
        <v>96</v>
      </c>
      <c r="J31" s="13">
        <v>2.86</v>
      </c>
      <c r="K31" s="4">
        <f>'Hampshire Daily'!B34</f>
        <v>78</v>
      </c>
      <c r="L31" s="4">
        <f>'Hampshire Daily'!C34</f>
        <v>78</v>
      </c>
    </row>
    <row r="32" spans="1:12">
      <c r="E32" s="4"/>
      <c r="F32" s="12"/>
      <c r="G32" s="4"/>
      <c r="H32" s="12"/>
      <c r="I32" s="4"/>
      <c r="J32" s="13"/>
      <c r="K32" s="4"/>
      <c r="L3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1"/>
  <sheetViews>
    <sheetView zoomScale="85" zoomScaleNormal="85" workbookViewId="0">
      <pane xSplit="2" ySplit="1" topLeftCell="C2" activePane="bottomRight" state="frozen"/>
      <selection pane="bottomRight" activeCell="R19" sqref="R19"/>
      <selection pane="bottomLeft" activeCell="A2" sqref="A2"/>
      <selection pane="topRight" activeCell="C1" sqref="C1"/>
    </sheetView>
  </sheetViews>
  <sheetFormatPr defaultColWidth="11.5703125" defaultRowHeight="15"/>
  <cols>
    <col min="1" max="1" width="13.7109375" style="3" customWidth="1"/>
    <col min="2" max="2" width="11.5703125" style="1" customWidth="1"/>
    <col min="3" max="3" width="11.5703125" style="1"/>
    <col min="4" max="4" width="13.42578125" style="1" customWidth="1"/>
    <col min="5" max="16" width="12.5703125" style="4" customWidth="1"/>
    <col min="17" max="17" width="11.5703125" style="4"/>
  </cols>
  <sheetData>
    <row r="1" spans="1:23" s="3" customFormat="1" ht="45">
      <c r="A1" s="8" t="s">
        <v>0</v>
      </c>
      <c r="B1" s="8" t="s">
        <v>1</v>
      </c>
      <c r="C1" s="6" t="s">
        <v>2</v>
      </c>
      <c r="D1" s="8" t="s">
        <v>3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10" t="s">
        <v>25</v>
      </c>
      <c r="R1" s="10" t="s">
        <v>10</v>
      </c>
      <c r="S1" s="9" t="s">
        <v>11</v>
      </c>
    </row>
    <row r="2" spans="1:23" ht="15" customHeight="1">
      <c r="A2" s="3" t="s">
        <v>12</v>
      </c>
      <c r="B2" s="1">
        <v>1</v>
      </c>
      <c r="C2" s="1">
        <v>6</v>
      </c>
      <c r="D2" s="1">
        <v>2022</v>
      </c>
      <c r="E2" s="4">
        <f>'Hampshire Daily'!D5-'Hampshire Daily'!D4</f>
        <v>2398</v>
      </c>
      <c r="F2" s="4">
        <f>'Hampshire Daily'!E5-'Hampshire Daily'!E4</f>
        <v>3724</v>
      </c>
      <c r="G2" s="4">
        <f>'Hampshire Daily'!F5-'Hampshire Daily'!F4</f>
        <v>122</v>
      </c>
      <c r="H2" s="4">
        <f>'Hampshire Daily'!G5-'Hampshire Daily'!G4</f>
        <v>2385</v>
      </c>
      <c r="I2" s="4">
        <f>'Hampshire Daily'!H5-'Hampshire Daily'!H4</f>
        <v>2</v>
      </c>
      <c r="J2" s="4">
        <f>'Hampshire Daily'!I5-'Hampshire Daily'!I4</f>
        <v>3021</v>
      </c>
      <c r="K2" s="4">
        <f>'Hampshire Daily'!J5-'Hampshire Daily'!J4</f>
        <v>1336</v>
      </c>
      <c r="L2" s="4">
        <f>'Hampshire Daily'!K5-'Hampshire Daily'!K4</f>
        <v>12</v>
      </c>
      <c r="M2" s="4">
        <f>'Hampshire Daily'!N5-'Hampshire Daily'!N4</f>
        <v>2192</v>
      </c>
      <c r="N2" s="4">
        <f>'Hampshire Daily'!O5-'Hampshire Daily'!O4</f>
        <v>116</v>
      </c>
      <c r="O2" s="4">
        <f>'Hampshire Daily'!P5-'Hampshire Daily'!P4</f>
        <v>70</v>
      </c>
      <c r="P2" s="4">
        <f>'Hampshire Daily'!Q5-'Hampshire Daily'!Q4</f>
        <v>76</v>
      </c>
      <c r="Q2" s="4">
        <f>'Hampshire Daily'!T5-'Hampshire Daily'!T4</f>
        <v>8</v>
      </c>
      <c r="R2" s="4">
        <f>'Hampshire Daily'!B5</f>
        <v>79</v>
      </c>
      <c r="S2" s="4">
        <f>'Hampshire Daily'!C5</f>
        <v>184</v>
      </c>
    </row>
    <row r="3" spans="1:23">
      <c r="A3" s="3" t="s">
        <v>12</v>
      </c>
      <c r="B3" s="1">
        <f>B2+1</f>
        <v>2</v>
      </c>
      <c r="C3" s="1">
        <v>6</v>
      </c>
      <c r="D3" s="1">
        <v>2022</v>
      </c>
      <c r="E3" s="4">
        <f>'Hampshire Daily'!D6-'Hampshire Daily'!D5</f>
        <v>2007</v>
      </c>
      <c r="F3" s="4">
        <f>'Hampshire Daily'!E6-'Hampshire Daily'!E5</f>
        <v>4566</v>
      </c>
      <c r="G3" s="4">
        <f>'Hampshire Daily'!F6-'Hampshire Daily'!F5</f>
        <v>239</v>
      </c>
      <c r="H3" s="4">
        <f>'Hampshire Daily'!G6-'Hampshire Daily'!G5</f>
        <v>2181</v>
      </c>
      <c r="I3" s="4">
        <f>'Hampshire Daily'!H6-'Hampshire Daily'!H5</f>
        <v>0</v>
      </c>
      <c r="J3" s="4">
        <f>'Hampshire Daily'!I6-'Hampshire Daily'!I5</f>
        <v>2487</v>
      </c>
      <c r="K3" s="4">
        <f>'Hampshire Daily'!J6-'Hampshire Daily'!J5</f>
        <v>-78108</v>
      </c>
      <c r="L3" s="4">
        <f>'Hampshire Daily'!K6-'Hampshire Daily'!K5</f>
        <v>10000</v>
      </c>
      <c r="M3" s="4">
        <f>'Hampshire Daily'!N6-'Hampshire Daily'!N5</f>
        <v>2123</v>
      </c>
      <c r="N3" s="4">
        <f>'Hampshire Daily'!O6-'Hampshire Daily'!O5</f>
        <v>124</v>
      </c>
      <c r="O3" s="4">
        <f>'Hampshire Daily'!P6-'Hampshire Daily'!P5</f>
        <v>71</v>
      </c>
      <c r="P3" s="4">
        <f>'Hampshire Daily'!Q6-'Hampshire Daily'!Q5</f>
        <v>79</v>
      </c>
      <c r="Q3" s="4">
        <f>'Hampshire Daily'!T6-'Hampshire Daily'!T5</f>
        <v>4</v>
      </c>
      <c r="R3" s="4">
        <f>'Hampshire Daily'!B6</f>
        <v>93</v>
      </c>
      <c r="S3" s="4">
        <f>'Hampshire Daily'!C6</f>
        <v>239</v>
      </c>
      <c r="T3" t="s">
        <v>26</v>
      </c>
      <c r="U3" t="s">
        <v>26</v>
      </c>
      <c r="V3" t="s">
        <v>26</v>
      </c>
      <c r="W3" t="s">
        <v>26</v>
      </c>
    </row>
    <row r="4" spans="1:23">
      <c r="A4" s="3" t="s">
        <v>12</v>
      </c>
      <c r="B4" s="1">
        <f t="shared" ref="B4:B31" si="0">B3+1</f>
        <v>3</v>
      </c>
      <c r="C4" s="1">
        <v>6</v>
      </c>
      <c r="D4" s="1">
        <v>2022</v>
      </c>
      <c r="E4" s="4">
        <f>'Hampshire Daily'!D7-'Hampshire Daily'!D6</f>
        <v>2259</v>
      </c>
      <c r="F4" s="4">
        <f>'Hampshire Daily'!E7-'Hampshire Daily'!E6</f>
        <v>3532</v>
      </c>
      <c r="G4" s="4">
        <f>'Hampshire Daily'!F7-'Hampshire Daily'!F6</f>
        <v>-3000</v>
      </c>
      <c r="H4" s="4">
        <f>'Hampshire Daily'!G7-'Hampshire Daily'!G6</f>
        <v>1197</v>
      </c>
      <c r="I4" s="4">
        <f>'Hampshire Daily'!H7-'Hampshire Daily'!H6</f>
        <v>0</v>
      </c>
      <c r="J4" s="4">
        <f>'Hampshire Daily'!I7-'Hampshire Daily'!I6</f>
        <v>2559</v>
      </c>
      <c r="K4" s="4">
        <f>'Hampshire Daily'!J7-'Hampshire Daily'!J6</f>
        <v>80443</v>
      </c>
      <c r="L4" s="4">
        <f>'Hampshire Daily'!K7-'Hampshire Daily'!K6</f>
        <v>-10000</v>
      </c>
      <c r="M4" s="4">
        <f>'Hampshire Daily'!N7-'Hampshire Daily'!N6</f>
        <v>2254</v>
      </c>
      <c r="N4" s="4">
        <f>'Hampshire Daily'!O7-'Hampshire Daily'!O6</f>
        <v>128</v>
      </c>
      <c r="O4" s="4">
        <f>'Hampshire Daily'!P7-'Hampshire Daily'!P6</f>
        <v>75</v>
      </c>
      <c r="P4" s="4">
        <f>'Hampshire Daily'!Q7-'Hampshire Daily'!Q6</f>
        <v>76</v>
      </c>
      <c r="Q4" s="4">
        <f>'Hampshire Daily'!T7-'Hampshire Daily'!T6</f>
        <v>4</v>
      </c>
      <c r="R4" s="4">
        <f>'Hampshire Daily'!B7</f>
        <v>101</v>
      </c>
      <c r="S4" s="4">
        <f>'Hampshire Daily'!C7</f>
        <v>245</v>
      </c>
      <c r="T4" t="s">
        <v>26</v>
      </c>
    </row>
    <row r="5" spans="1:23">
      <c r="A5" s="3" t="s">
        <v>12</v>
      </c>
      <c r="B5" s="1">
        <f t="shared" si="0"/>
        <v>4</v>
      </c>
      <c r="C5" s="1">
        <v>6</v>
      </c>
      <c r="D5" s="1">
        <v>2022</v>
      </c>
      <c r="E5" s="4">
        <f>'Hampshire Daily'!D8-'Hampshire Daily'!D7</f>
        <v>2351</v>
      </c>
      <c r="F5" s="4">
        <f>'Hampshire Daily'!E8-'Hampshire Daily'!E7</f>
        <v>3490</v>
      </c>
      <c r="G5" s="4">
        <f>'Hampshire Daily'!F8-'Hampshire Daily'!F7</f>
        <v>0</v>
      </c>
      <c r="H5" s="4">
        <f>'Hampshire Daily'!G8-'Hampshire Daily'!G7</f>
        <v>1886</v>
      </c>
      <c r="I5" s="4">
        <f>'Hampshire Daily'!H8-'Hampshire Daily'!H7</f>
        <v>0</v>
      </c>
      <c r="J5" s="4">
        <f>'Hampshire Daily'!I8-'Hampshire Daily'!I7</f>
        <v>2630</v>
      </c>
      <c r="K5" s="4">
        <f>'Hampshire Daily'!J8-'Hampshire Daily'!J7</f>
        <v>1232</v>
      </c>
      <c r="L5" s="4">
        <f>'Hampshire Daily'!K8-'Hampshire Daily'!K7</f>
        <v>1</v>
      </c>
      <c r="M5" s="4">
        <f>'Hampshire Daily'!N8-'Hampshire Daily'!N7</f>
        <v>2221</v>
      </c>
      <c r="N5" s="4">
        <f>'Hampshire Daily'!O8-'Hampshire Daily'!O7</f>
        <v>125</v>
      </c>
      <c r="O5" s="4">
        <f>'Hampshire Daily'!P8-'Hampshire Daily'!P7</f>
        <v>81</v>
      </c>
      <c r="P5" s="4">
        <f>'Hampshire Daily'!Q8-'Hampshire Daily'!Q7</f>
        <v>85</v>
      </c>
      <c r="Q5" s="4">
        <f>'Hampshire Daily'!T8-'Hampshire Daily'!T7</f>
        <v>7</v>
      </c>
      <c r="R5" s="4">
        <f>'Hampshire Daily'!B8</f>
        <v>107</v>
      </c>
      <c r="S5" s="4">
        <f>'Hampshire Daily'!C8</f>
        <v>238</v>
      </c>
    </row>
    <row r="6" spans="1:23">
      <c r="A6" s="3" t="s">
        <v>12</v>
      </c>
      <c r="B6" s="1">
        <f t="shared" si="0"/>
        <v>5</v>
      </c>
      <c r="C6" s="1">
        <v>6</v>
      </c>
      <c r="D6" s="1">
        <v>2022</v>
      </c>
      <c r="E6" s="4">
        <f>'Hampshire Daily'!D9-'Hampshire Daily'!D8</f>
        <v>2803</v>
      </c>
      <c r="F6" s="4">
        <f>'Hampshire Daily'!E9-'Hampshire Daily'!E8</f>
        <v>3594</v>
      </c>
      <c r="G6" s="4">
        <f>'Hampshire Daily'!F9-'Hampshire Daily'!F8</f>
        <v>0</v>
      </c>
      <c r="H6" s="4">
        <f>'Hampshire Daily'!G9-'Hampshire Daily'!G8</f>
        <v>2109</v>
      </c>
      <c r="I6" s="4">
        <f>'Hampshire Daily'!H9-'Hampshire Daily'!H8</f>
        <v>0</v>
      </c>
      <c r="J6" s="4">
        <f>'Hampshire Daily'!I9-'Hampshire Daily'!I8</f>
        <v>2755</v>
      </c>
      <c r="K6" s="4">
        <f>'Hampshire Daily'!J9-'Hampshire Daily'!J8</f>
        <v>1282</v>
      </c>
      <c r="L6" s="4">
        <f>'Hampshire Daily'!K9-'Hampshire Daily'!K8</f>
        <v>0</v>
      </c>
      <c r="M6" s="4">
        <f>'Hampshire Daily'!N9-'Hampshire Daily'!N8</f>
        <v>2325</v>
      </c>
      <c r="N6" s="4">
        <f>'Hampshire Daily'!O9-'Hampshire Daily'!O8</f>
        <v>139</v>
      </c>
      <c r="O6" s="4">
        <f>'Hampshire Daily'!P9-'Hampshire Daily'!P8</f>
        <v>90</v>
      </c>
      <c r="P6" s="4">
        <f>'Hampshire Daily'!Q9-'Hampshire Daily'!Q8</f>
        <v>92</v>
      </c>
      <c r="Q6" s="4">
        <f>'Hampshire Daily'!T9-'Hampshire Daily'!T8</f>
        <v>7</v>
      </c>
      <c r="R6" s="4">
        <f>'Hampshire Daily'!B9</f>
        <v>96</v>
      </c>
      <c r="S6" s="4">
        <f>'Hampshire Daily'!C9</f>
        <v>170</v>
      </c>
    </row>
    <row r="7" spans="1:23">
      <c r="A7" s="3" t="s">
        <v>12</v>
      </c>
      <c r="B7" s="1">
        <f t="shared" si="0"/>
        <v>6</v>
      </c>
      <c r="C7" s="1">
        <v>6</v>
      </c>
      <c r="D7" s="1">
        <v>2022</v>
      </c>
      <c r="E7" s="4">
        <f>'Hampshire Daily'!D10-'Hampshire Daily'!D9</f>
        <v>2466</v>
      </c>
      <c r="F7" s="4">
        <f>'Hampshire Daily'!E10-'Hampshire Daily'!E9</f>
        <v>3459</v>
      </c>
      <c r="G7" s="4">
        <f>'Hampshire Daily'!F10-'Hampshire Daily'!F9</f>
        <v>0</v>
      </c>
      <c r="H7" s="4">
        <f>'Hampshire Daily'!G10-'Hampshire Daily'!G9</f>
        <v>2064</v>
      </c>
      <c r="I7" s="4">
        <f>'Hampshire Daily'!H10-'Hampshire Daily'!H9</f>
        <v>0</v>
      </c>
      <c r="J7" s="4">
        <f>'Hampshire Daily'!I10-'Hampshire Daily'!I9</f>
        <v>2712</v>
      </c>
      <c r="K7" s="4">
        <f>'Hampshire Daily'!J10-'Hampshire Daily'!J9</f>
        <v>1277</v>
      </c>
      <c r="L7" s="4">
        <f>'Hampshire Daily'!K10-'Hampshire Daily'!K9</f>
        <v>0</v>
      </c>
      <c r="M7" s="4">
        <f>'Hampshire Daily'!N10-'Hampshire Daily'!N9</f>
        <v>2325</v>
      </c>
      <c r="N7" s="4">
        <f>'Hampshire Daily'!O10-'Hampshire Daily'!O9</f>
        <v>119</v>
      </c>
      <c r="O7" s="4">
        <f>'Hampshire Daily'!P10-'Hampshire Daily'!P9</f>
        <v>84</v>
      </c>
      <c r="P7" s="4">
        <f>'Hampshire Daily'!Q10-'Hampshire Daily'!Q9</f>
        <v>84</v>
      </c>
      <c r="Q7" s="4">
        <f>'Hampshire Daily'!T10-'Hampshire Daily'!T9</f>
        <v>7</v>
      </c>
      <c r="R7" s="4">
        <f>'Hampshire Daily'!B10</f>
        <v>104</v>
      </c>
      <c r="S7" s="4">
        <f>'Hampshire Daily'!C10</f>
        <v>132</v>
      </c>
    </row>
    <row r="8" spans="1:23">
      <c r="A8" s="3" t="s">
        <v>12</v>
      </c>
      <c r="B8" s="1">
        <f t="shared" si="0"/>
        <v>7</v>
      </c>
      <c r="C8" s="1">
        <v>6</v>
      </c>
      <c r="D8" s="1">
        <v>2022</v>
      </c>
      <c r="E8" s="4">
        <f>'Hampshire Daily'!D11-'Hampshire Daily'!D10</f>
        <v>2622</v>
      </c>
      <c r="F8" s="4">
        <f>'Hampshire Daily'!E11-'Hampshire Daily'!E10</f>
        <v>3413</v>
      </c>
      <c r="G8" s="4">
        <f>'Hampshire Daily'!F11-'Hampshire Daily'!F10</f>
        <v>0</v>
      </c>
      <c r="H8" s="4">
        <f>'Hampshire Daily'!G11-'Hampshire Daily'!G10</f>
        <v>2010</v>
      </c>
      <c r="I8" s="4">
        <f>'Hampshire Daily'!H11-'Hampshire Daily'!H10</f>
        <v>52</v>
      </c>
      <c r="J8" s="4">
        <f>'Hampshire Daily'!I11-'Hampshire Daily'!I10</f>
        <v>2536</v>
      </c>
      <c r="K8" s="4">
        <f>'Hampshire Daily'!J11-'Hampshire Daily'!J10</f>
        <v>1097</v>
      </c>
      <c r="L8" s="4">
        <f>'Hampshire Daily'!K11-'Hampshire Daily'!K10</f>
        <v>0</v>
      </c>
      <c r="M8" s="4">
        <f>'Hampshire Daily'!N11-'Hampshire Daily'!N10</f>
        <v>2294</v>
      </c>
      <c r="N8" s="4">
        <f>'Hampshire Daily'!O11-'Hampshire Daily'!O10</f>
        <v>119</v>
      </c>
      <c r="O8" s="4">
        <f>'Hampshire Daily'!P11-'Hampshire Daily'!P10</f>
        <v>74</v>
      </c>
      <c r="P8" s="4">
        <f>'Hampshire Daily'!Q11-'Hampshire Daily'!Q10</f>
        <v>77.5</v>
      </c>
      <c r="Q8" s="4">
        <f>'Hampshire Daily'!T11-'Hampshire Daily'!T10</f>
        <v>4</v>
      </c>
      <c r="R8" s="4">
        <f>'Hampshire Daily'!B11</f>
        <v>127</v>
      </c>
      <c r="S8" s="4">
        <f>'Hampshire Daily'!C11</f>
        <v>133</v>
      </c>
    </row>
    <row r="9" spans="1:23">
      <c r="A9" s="3" t="s">
        <v>12</v>
      </c>
      <c r="B9" s="1">
        <f t="shared" si="0"/>
        <v>8</v>
      </c>
      <c r="C9" s="1">
        <v>6</v>
      </c>
      <c r="D9" s="1">
        <v>2022</v>
      </c>
      <c r="E9" s="4">
        <f>'Hampshire Daily'!D12-'Hampshire Daily'!D11</f>
        <v>3080</v>
      </c>
      <c r="F9" s="4">
        <f>'Hampshire Daily'!E12-'Hampshire Daily'!E11</f>
        <v>4612</v>
      </c>
      <c r="G9" s="4">
        <f>'Hampshire Daily'!F12-'Hampshire Daily'!F11</f>
        <v>230</v>
      </c>
      <c r="H9" s="4">
        <f>'Hampshire Daily'!G12-'Hampshire Daily'!G11</f>
        <v>2126</v>
      </c>
      <c r="I9" s="4">
        <f>'Hampshire Daily'!H12-'Hampshire Daily'!H11</f>
        <v>121</v>
      </c>
      <c r="J9" s="4">
        <f>'Hampshire Daily'!I12-'Hampshire Daily'!I11</f>
        <v>2772</v>
      </c>
      <c r="K9" s="4">
        <f>'Hampshire Daily'!J12-'Hampshire Daily'!J11</f>
        <v>1170</v>
      </c>
      <c r="L9" s="4">
        <f>'Hampshire Daily'!K12-'Hampshire Daily'!K11</f>
        <v>12</v>
      </c>
      <c r="M9" s="4">
        <f>'Hampshire Daily'!N12-'Hampshire Daily'!N11</f>
        <v>2201</v>
      </c>
      <c r="N9" s="4">
        <f>'Hampshire Daily'!O12-'Hampshire Daily'!O11</f>
        <v>103</v>
      </c>
      <c r="O9" s="4">
        <f>'Hampshire Daily'!P12-'Hampshire Daily'!P11</f>
        <v>74</v>
      </c>
      <c r="P9" s="4">
        <f>'Hampshire Daily'!Q12-'Hampshire Daily'!Q11</f>
        <v>77.5</v>
      </c>
      <c r="Q9" s="4">
        <f>'Hampshire Daily'!T12-'Hampshire Daily'!T11</f>
        <v>4</v>
      </c>
      <c r="R9" s="4">
        <f>'Hampshire Daily'!B12</f>
        <v>134</v>
      </c>
      <c r="S9" s="4">
        <f>'Hampshire Daily'!C12</f>
        <v>138</v>
      </c>
    </row>
    <row r="10" spans="1:23">
      <c r="A10" s="3" t="s">
        <v>12</v>
      </c>
      <c r="B10" s="1">
        <f t="shared" si="0"/>
        <v>9</v>
      </c>
      <c r="C10" s="1">
        <v>6</v>
      </c>
      <c r="D10" s="1">
        <v>2022</v>
      </c>
      <c r="E10" s="4">
        <f>'Hampshire Daily'!D13-'Hampshire Daily'!D12</f>
        <v>2645</v>
      </c>
      <c r="F10" s="4">
        <f>'Hampshire Daily'!E13-'Hampshire Daily'!E12</f>
        <v>3272</v>
      </c>
      <c r="G10" s="4">
        <f>'Hampshire Daily'!F13-'Hampshire Daily'!F12</f>
        <v>0</v>
      </c>
      <c r="H10" s="4">
        <f>'Hampshire Daily'!G13-'Hampshire Daily'!G12</f>
        <v>2066</v>
      </c>
      <c r="I10" s="4">
        <f>'Hampshire Daily'!H13-'Hampshire Daily'!H12</f>
        <v>134</v>
      </c>
      <c r="J10" s="4">
        <f>'Hampshire Daily'!I13-'Hampshire Daily'!I12</f>
        <v>2310</v>
      </c>
      <c r="K10" s="4">
        <f>'Hampshire Daily'!J13-'Hampshire Daily'!J12</f>
        <v>968</v>
      </c>
      <c r="L10" s="4">
        <f>'Hampshire Daily'!K13-'Hampshire Daily'!K12</f>
        <v>0</v>
      </c>
      <c r="M10" s="4">
        <f>'Hampshire Daily'!N13-'Hampshire Daily'!N12</f>
        <v>2119</v>
      </c>
      <c r="N10" s="4">
        <f>'Hampshire Daily'!O13-'Hampshire Daily'!O12</f>
        <v>88</v>
      </c>
      <c r="O10" s="4">
        <f>'Hampshire Daily'!P13-'Hampshire Daily'!P12</f>
        <v>58</v>
      </c>
      <c r="P10" s="4">
        <f>'Hampshire Daily'!Q13-'Hampshire Daily'!Q12</f>
        <v>64</v>
      </c>
      <c r="Q10" s="4">
        <f>'Hampshire Daily'!T13-'Hampshire Daily'!T12</f>
        <v>4</v>
      </c>
      <c r="R10" s="4">
        <f>'Hampshire Daily'!B13</f>
        <v>67</v>
      </c>
      <c r="S10" s="4">
        <f>'Hampshire Daily'!C13</f>
        <v>136</v>
      </c>
    </row>
    <row r="11" spans="1:23">
      <c r="A11" s="3" t="s">
        <v>12</v>
      </c>
      <c r="B11" s="1">
        <f t="shared" si="0"/>
        <v>10</v>
      </c>
      <c r="C11" s="1">
        <v>6</v>
      </c>
      <c r="D11" s="1">
        <v>2022</v>
      </c>
      <c r="E11" s="4">
        <f>'Hampshire Daily'!D14-'Hampshire Daily'!D13</f>
        <v>2893</v>
      </c>
      <c r="F11" s="4">
        <f>'Hampshire Daily'!E14-'Hampshire Daily'!E13</f>
        <v>3467</v>
      </c>
      <c r="G11" s="4">
        <f>'Hampshire Daily'!F14-'Hampshire Daily'!F13</f>
        <v>0</v>
      </c>
      <c r="H11" s="4">
        <f>'Hampshire Daily'!G14-'Hampshire Daily'!G13</f>
        <v>2240</v>
      </c>
      <c r="I11" s="4">
        <f>'Hampshire Daily'!H14-'Hampshire Daily'!H13</f>
        <v>150</v>
      </c>
      <c r="J11" s="4">
        <f>'Hampshire Daily'!I14-'Hampshire Daily'!I13</f>
        <v>-2997507</v>
      </c>
      <c r="K11" s="4">
        <f>'Hampshire Daily'!J14-'Hampshire Daily'!J13</f>
        <v>1018</v>
      </c>
      <c r="L11" s="4">
        <f>'Hampshire Daily'!K14-'Hampshire Daily'!K13</f>
        <v>2</v>
      </c>
      <c r="M11" s="4">
        <f>'Hampshire Daily'!N14-'Hampshire Daily'!N13</f>
        <v>2240</v>
      </c>
      <c r="N11" s="4">
        <f>'Hampshire Daily'!O14-'Hampshire Daily'!O13</f>
        <v>138</v>
      </c>
      <c r="O11" s="4">
        <f>'Hampshire Daily'!P14-'Hampshire Daily'!P13</f>
        <v>65</v>
      </c>
      <c r="P11" s="4">
        <f>'Hampshire Daily'!Q14-'Hampshire Daily'!Q13</f>
        <v>67</v>
      </c>
      <c r="Q11" s="4">
        <f>'Hampshire Daily'!T14-'Hampshire Daily'!T13</f>
        <v>3</v>
      </c>
      <c r="R11" s="4">
        <f>'Hampshire Daily'!B14</f>
        <v>79</v>
      </c>
      <c r="S11" s="4">
        <f>'Hampshire Daily'!C14</f>
        <v>175</v>
      </c>
    </row>
    <row r="12" spans="1:23">
      <c r="A12" s="3" t="s">
        <v>12</v>
      </c>
      <c r="B12" s="1">
        <f t="shared" si="0"/>
        <v>11</v>
      </c>
      <c r="C12" s="1">
        <v>6</v>
      </c>
      <c r="D12" s="1">
        <v>2022</v>
      </c>
      <c r="E12" s="4">
        <f>'Hampshire Daily'!D15-'Hampshire Daily'!D14</f>
        <v>3043</v>
      </c>
      <c r="F12" s="4">
        <f>'Hampshire Daily'!E15-'Hampshire Daily'!E14</f>
        <v>3486</v>
      </c>
      <c r="G12" s="4">
        <f>'Hampshire Daily'!F15-'Hampshire Daily'!F14</f>
        <v>0</v>
      </c>
      <c r="H12" s="4">
        <f>'Hampshire Daily'!G15-'Hampshire Daily'!G14</f>
        <v>1611</v>
      </c>
      <c r="I12" s="4">
        <f>'Hampshire Daily'!H15-'Hampshire Daily'!H14</f>
        <v>18</v>
      </c>
      <c r="J12" s="4">
        <f>'Hampshire Daily'!I15-'Hampshire Daily'!I14</f>
        <v>3002662</v>
      </c>
      <c r="K12" s="4">
        <f>'Hampshire Daily'!J15-'Hampshire Daily'!J14</f>
        <v>1152</v>
      </c>
      <c r="L12" s="4">
        <f>'Hampshire Daily'!K15-'Hampshire Daily'!K14</f>
        <v>4</v>
      </c>
      <c r="M12" s="4">
        <f>'Hampshire Daily'!N15-'Hampshire Daily'!N14</f>
        <v>2226</v>
      </c>
      <c r="N12" s="4">
        <f>'Hampshire Daily'!O15-'Hampshire Daily'!O14</f>
        <v>-26876</v>
      </c>
      <c r="O12" s="4">
        <f>'Hampshire Daily'!P15-'Hampshire Daily'!P14</f>
        <v>78</v>
      </c>
      <c r="P12" s="4">
        <f>'Hampshire Daily'!Q15-'Hampshire Daily'!Q14</f>
        <v>79</v>
      </c>
      <c r="Q12" s="4">
        <f>'Hampshire Daily'!T15-'Hampshire Daily'!T14</f>
        <v>4</v>
      </c>
      <c r="R12" s="4">
        <f>'Hampshire Daily'!B15</f>
        <v>124</v>
      </c>
      <c r="S12" s="4">
        <f>'Hampshire Daily'!C15</f>
        <v>279</v>
      </c>
    </row>
    <row r="13" spans="1:23">
      <c r="A13" s="3" t="s">
        <v>12</v>
      </c>
      <c r="B13" s="1">
        <f t="shared" si="0"/>
        <v>12</v>
      </c>
      <c r="C13" s="1">
        <v>6</v>
      </c>
      <c r="D13" s="1">
        <v>2022</v>
      </c>
      <c r="E13" s="4">
        <f>'Hampshire Daily'!D16-'Hampshire Daily'!D15</f>
        <v>3009</v>
      </c>
      <c r="F13" s="4">
        <f>'Hampshire Daily'!E16-'Hampshire Daily'!E15</f>
        <v>3494</v>
      </c>
      <c r="G13" s="4">
        <f>'Hampshire Daily'!F16-'Hampshire Daily'!F15</f>
        <v>53</v>
      </c>
      <c r="H13" s="4">
        <f>'Hampshire Daily'!G16-'Hampshire Daily'!G15</f>
        <v>1968</v>
      </c>
      <c r="I13" s="4">
        <f>'Hampshire Daily'!H16-'Hampshire Daily'!H15</f>
        <v>0</v>
      </c>
      <c r="J13" s="4">
        <f>'Hampshire Daily'!I16-'Hampshire Daily'!I15</f>
        <v>2636</v>
      </c>
      <c r="K13" s="4">
        <f>'Hampshire Daily'!J16-'Hampshire Daily'!J15</f>
        <v>1154</v>
      </c>
      <c r="L13" s="4">
        <f>'Hampshire Daily'!K16-'Hampshire Daily'!K15</f>
        <v>0</v>
      </c>
      <c r="M13" s="4">
        <f>'Hampshire Daily'!N16-'Hampshire Daily'!N15</f>
        <v>2171</v>
      </c>
      <c r="N13" s="4">
        <f>'Hampshire Daily'!O16-'Hampshire Daily'!O15</f>
        <v>27139</v>
      </c>
      <c r="O13" s="4">
        <f>'Hampshire Daily'!P16-'Hampshire Daily'!P15</f>
        <v>94</v>
      </c>
      <c r="P13" s="4">
        <f>'Hampshire Daily'!Q16-'Hampshire Daily'!Q15</f>
        <v>95</v>
      </c>
      <c r="Q13" s="4">
        <f>'Hampshire Daily'!T16-'Hampshire Daily'!T15</f>
        <v>8</v>
      </c>
      <c r="R13" s="4">
        <f>'Hampshire Daily'!B16</f>
        <v>127</v>
      </c>
      <c r="S13" s="4">
        <f>'Hampshire Daily'!C16</f>
        <v>293</v>
      </c>
    </row>
    <row r="14" spans="1:23">
      <c r="A14" s="3" t="s">
        <v>12</v>
      </c>
      <c r="B14" s="1">
        <f t="shared" si="0"/>
        <v>13</v>
      </c>
      <c r="C14" s="1">
        <v>6</v>
      </c>
      <c r="D14" s="1">
        <v>2022</v>
      </c>
      <c r="E14" s="4">
        <f>'Hampshire Daily'!D17-'Hampshire Daily'!D16</f>
        <v>2420</v>
      </c>
      <c r="F14" s="4">
        <f>'Hampshire Daily'!E17-'Hampshire Daily'!E16</f>
        <v>2992</v>
      </c>
      <c r="G14" s="4">
        <f>'Hampshire Daily'!F17-'Hampshire Daily'!F16</f>
        <v>0</v>
      </c>
      <c r="H14" s="4">
        <f>'Hampshire Daily'!G17-'Hampshire Daily'!G16</f>
        <v>1595</v>
      </c>
      <c r="I14" s="4">
        <f>'Hampshire Daily'!H17-'Hampshire Daily'!H16</f>
        <v>0</v>
      </c>
      <c r="J14" s="4">
        <f>'Hampshire Daily'!I17-'Hampshire Daily'!I16</f>
        <v>2491</v>
      </c>
      <c r="K14" s="4">
        <f>'Hampshire Daily'!J17-'Hampshire Daily'!J16</f>
        <v>1126</v>
      </c>
      <c r="L14" s="4">
        <f>'Hampshire Daily'!K17-'Hampshire Daily'!K16</f>
        <v>2</v>
      </c>
      <c r="M14" s="4">
        <f>'Hampshire Daily'!N17-'Hampshire Daily'!N16</f>
        <v>2099</v>
      </c>
      <c r="N14" s="4">
        <f>'Hampshire Daily'!O17-'Hampshire Daily'!O16</f>
        <v>130</v>
      </c>
      <c r="O14" s="4">
        <f>'Hampshire Daily'!P17-'Hampshire Daily'!P16</f>
        <v>57</v>
      </c>
      <c r="P14" s="4">
        <f>'Hampshire Daily'!Q17-'Hampshire Daily'!Q16</f>
        <v>63</v>
      </c>
      <c r="Q14" s="4">
        <f>'Hampshire Daily'!T17-'Hampshire Daily'!T16</f>
        <v>7</v>
      </c>
      <c r="R14" s="4">
        <f>'Hampshire Daily'!B17</f>
        <v>39</v>
      </c>
      <c r="S14" s="4">
        <f>'Hampshire Daily'!C17</f>
        <v>68</v>
      </c>
    </row>
    <row r="15" spans="1:23">
      <c r="A15" s="3" t="s">
        <v>12</v>
      </c>
      <c r="B15" s="1">
        <f t="shared" si="0"/>
        <v>14</v>
      </c>
      <c r="C15" s="1">
        <v>6</v>
      </c>
      <c r="D15" s="1">
        <v>2022</v>
      </c>
      <c r="E15" s="4">
        <f>'Hampshire Daily'!D18-'Hampshire Daily'!D17</f>
        <v>2255</v>
      </c>
      <c r="F15" s="4">
        <f>'Hampshire Daily'!E18-'Hampshire Daily'!E17</f>
        <v>2975</v>
      </c>
      <c r="G15" s="4">
        <f>'Hampshire Daily'!F18-'Hampshire Daily'!F17</f>
        <v>25</v>
      </c>
      <c r="H15" s="4">
        <f>'Hampshire Daily'!G18-'Hampshire Daily'!G17</f>
        <v>1701</v>
      </c>
      <c r="I15" s="4">
        <f>'Hampshire Daily'!H18-'Hampshire Daily'!H17</f>
        <v>0</v>
      </c>
      <c r="J15" s="4">
        <f>'Hampshire Daily'!I18-'Hampshire Daily'!I17</f>
        <v>2452</v>
      </c>
      <c r="K15" s="4">
        <f>'Hampshire Daily'!J18-'Hampshire Daily'!J17</f>
        <v>1080</v>
      </c>
      <c r="L15" s="4">
        <f>'Hampshire Daily'!K18-'Hampshire Daily'!K17</f>
        <v>3</v>
      </c>
      <c r="M15" s="4">
        <f>'Hampshire Daily'!N18-'Hampshire Daily'!N17</f>
        <v>2104</v>
      </c>
      <c r="N15" s="4">
        <f>'Hampshire Daily'!O18-'Hampshire Daily'!O17</f>
        <v>90.5</v>
      </c>
      <c r="O15" s="4">
        <f>'Hampshire Daily'!P18-'Hampshire Daily'!P17</f>
        <v>57</v>
      </c>
      <c r="P15" s="4">
        <f>'Hampshire Daily'!Q18-'Hampshire Daily'!Q17</f>
        <v>60</v>
      </c>
      <c r="Q15" s="4">
        <f>'Hampshire Daily'!T18-'Hampshire Daily'!T17</f>
        <v>3</v>
      </c>
      <c r="R15" s="4">
        <f>'Hampshire Daily'!B18</f>
        <v>52</v>
      </c>
      <c r="S15" s="4">
        <f>'Hampshire Daily'!C18</f>
        <v>92</v>
      </c>
    </row>
    <row r="16" spans="1:23">
      <c r="A16" s="3" t="s">
        <v>12</v>
      </c>
      <c r="B16" s="1">
        <f t="shared" si="0"/>
        <v>15</v>
      </c>
      <c r="C16" s="1">
        <v>6</v>
      </c>
      <c r="D16" s="1">
        <v>2022</v>
      </c>
      <c r="E16" s="4">
        <f>'Hampshire Daily'!D19-'Hampshire Daily'!D18</f>
        <v>2514</v>
      </c>
      <c r="F16" s="4">
        <f>'Hampshire Daily'!E19-'Hampshire Daily'!E18</f>
        <v>5571</v>
      </c>
      <c r="G16" s="4">
        <f>'Hampshire Daily'!F19-'Hampshire Daily'!F18</f>
        <v>533</v>
      </c>
      <c r="H16" s="4">
        <f>'Hampshire Daily'!G19-'Hampshire Daily'!G18</f>
        <v>1770</v>
      </c>
      <c r="I16" s="4">
        <f>'Hampshire Daily'!H19-'Hampshire Daily'!H18</f>
        <v>0</v>
      </c>
      <c r="J16" s="4">
        <f>'Hampshire Daily'!I19-'Hampshire Daily'!I18</f>
        <v>2529</v>
      </c>
      <c r="K16" s="4">
        <f>'Hampshire Daily'!J19-'Hampshire Daily'!J18</f>
        <v>1035</v>
      </c>
      <c r="L16" s="4">
        <f>'Hampshire Daily'!K19-'Hampshire Daily'!K18</f>
        <v>2</v>
      </c>
      <c r="M16" s="4">
        <f>'Hampshire Daily'!N19-'Hampshire Daily'!N18</f>
        <v>1562</v>
      </c>
      <c r="N16" s="4">
        <f>'Hampshire Daily'!O19-'Hampshire Daily'!O18</f>
        <v>90.5</v>
      </c>
      <c r="O16" s="4">
        <f>'Hampshire Daily'!P19-'Hampshire Daily'!P18</f>
        <v>49</v>
      </c>
      <c r="P16" s="4">
        <f>'Hampshire Daily'!Q19-'Hampshire Daily'!Q18</f>
        <v>56</v>
      </c>
      <c r="Q16" s="4">
        <f>'Hampshire Daily'!T19-'Hampshire Daily'!T18</f>
        <v>5</v>
      </c>
      <c r="R16" s="4">
        <f>'Hampshire Daily'!B19</f>
        <v>52</v>
      </c>
      <c r="S16" s="4">
        <f>'Hampshire Daily'!C19</f>
        <v>98</v>
      </c>
    </row>
    <row r="17" spans="1:19">
      <c r="A17" s="3" t="s">
        <v>12</v>
      </c>
      <c r="B17" s="1">
        <f t="shared" si="0"/>
        <v>16</v>
      </c>
      <c r="C17" s="1">
        <v>6</v>
      </c>
      <c r="D17" s="1">
        <v>2022</v>
      </c>
      <c r="E17" s="4">
        <f>'Hampshire Daily'!D20-'Hampshire Daily'!D19</f>
        <v>4356</v>
      </c>
      <c r="F17" s="4">
        <f>'Hampshire Daily'!E20-'Hampshire Daily'!E19</f>
        <v>5519</v>
      </c>
      <c r="G17" s="4">
        <f>'Hampshire Daily'!F20-'Hampshire Daily'!F19</f>
        <v>589</v>
      </c>
      <c r="H17" s="4">
        <f>'Hampshire Daily'!G20-'Hampshire Daily'!G19</f>
        <v>1865</v>
      </c>
      <c r="I17" s="4">
        <f>'Hampshire Daily'!H20-'Hampshire Daily'!H19</f>
        <v>0</v>
      </c>
      <c r="J17" s="4">
        <f>'Hampshire Daily'!I20-'Hampshire Daily'!I19</f>
        <v>2160</v>
      </c>
      <c r="K17" s="4">
        <f>'Hampshire Daily'!J20-'Hampshire Daily'!J19</f>
        <v>864</v>
      </c>
      <c r="L17" s="4">
        <f>'Hampshire Daily'!K20-'Hampshire Daily'!K19</f>
        <v>387</v>
      </c>
      <c r="M17" s="4">
        <f>'Hampshire Daily'!N20-'Hampshire Daily'!N19</f>
        <v>776</v>
      </c>
      <c r="N17" s="4">
        <f>'Hampshire Daily'!O20-'Hampshire Daily'!O19</f>
        <v>95</v>
      </c>
      <c r="O17" s="4">
        <f>'Hampshire Daily'!P20-'Hampshire Daily'!P19</f>
        <v>52</v>
      </c>
      <c r="P17" s="4">
        <f>'Hampshire Daily'!Q20-'Hampshire Daily'!Q19</f>
        <v>59</v>
      </c>
      <c r="Q17" s="4">
        <f>'Hampshire Daily'!T20-'Hampshire Daily'!T19</f>
        <v>3</v>
      </c>
      <c r="R17" s="4">
        <f>'Hampshire Daily'!B20</f>
        <v>95</v>
      </c>
      <c r="S17" s="4">
        <f>'Hampshire Daily'!C20</f>
        <v>160</v>
      </c>
    </row>
    <row r="18" spans="1:19">
      <c r="A18" s="3" t="s">
        <v>12</v>
      </c>
      <c r="B18" s="1">
        <f t="shared" si="0"/>
        <v>17</v>
      </c>
      <c r="C18" s="1">
        <v>6</v>
      </c>
      <c r="D18" s="1">
        <v>2022</v>
      </c>
      <c r="E18" s="4">
        <f>'Hampshire Daily'!D21-'Hampshire Daily'!D20</f>
        <v>3642</v>
      </c>
      <c r="F18" s="4">
        <f>'Hampshire Daily'!E21-'Hampshire Daily'!E20</f>
        <v>6201</v>
      </c>
      <c r="G18" s="4">
        <f>'Hampshire Daily'!F21-'Hampshire Daily'!F20</f>
        <v>533</v>
      </c>
      <c r="H18" s="4">
        <f>'Hampshire Daily'!G21-'Hampshire Daily'!G20</f>
        <v>1996</v>
      </c>
      <c r="I18" s="4">
        <f>'Hampshire Daily'!H21-'Hampshire Daily'!H20</f>
        <v>0</v>
      </c>
      <c r="J18" s="4">
        <f>'Hampshire Daily'!I21-'Hampshire Daily'!I20</f>
        <v>2667</v>
      </c>
      <c r="K18" s="4">
        <f>'Hampshire Daily'!J21-'Hampshire Daily'!J20</f>
        <v>1171</v>
      </c>
      <c r="L18" s="4">
        <f>'Hampshire Daily'!K21-'Hampshire Daily'!K20</f>
        <v>239</v>
      </c>
      <c r="M18" s="4">
        <f>'Hampshire Daily'!N21-'Hampshire Daily'!N20</f>
        <v>963</v>
      </c>
      <c r="N18" s="4">
        <f>'Hampshire Daily'!O21-'Hampshire Daily'!O20</f>
        <v>103</v>
      </c>
      <c r="O18" s="4">
        <f>'Hampshire Daily'!P21-'Hampshire Daily'!P20</f>
        <v>59</v>
      </c>
      <c r="P18" s="4">
        <f>'Hampshire Daily'!Q21-'Hampshire Daily'!Q20</f>
        <v>65</v>
      </c>
      <c r="Q18" s="4">
        <f>'Hampshire Daily'!T21-'Hampshire Daily'!T20</f>
        <v>3</v>
      </c>
      <c r="R18" s="4">
        <f>'Hampshire Daily'!B21</f>
        <v>96</v>
      </c>
      <c r="S18" s="4">
        <f>'Hampshire Daily'!C21</f>
        <v>200</v>
      </c>
    </row>
    <row r="19" spans="1:19">
      <c r="A19" s="3" t="s">
        <v>12</v>
      </c>
      <c r="B19" s="1">
        <f t="shared" si="0"/>
        <v>18</v>
      </c>
      <c r="C19" s="1">
        <v>6</v>
      </c>
      <c r="D19" s="1">
        <v>2022</v>
      </c>
      <c r="E19" s="4">
        <f>'Hampshire Daily'!D22-'Hampshire Daily'!D21</f>
        <v>5379</v>
      </c>
      <c r="F19" s="4">
        <f>'Hampshire Daily'!E22-'Hampshire Daily'!E21</f>
        <v>6307</v>
      </c>
      <c r="G19" s="4">
        <f>'Hampshire Daily'!F22-'Hampshire Daily'!F21</f>
        <v>657</v>
      </c>
      <c r="H19" s="4">
        <f>'Hampshire Daily'!G22-'Hampshire Daily'!G21</f>
        <v>1936</v>
      </c>
      <c r="I19" s="4">
        <f>'Hampshire Daily'!H22-'Hampshire Daily'!H21</f>
        <v>0</v>
      </c>
      <c r="J19" s="4">
        <f>'Hampshire Daily'!I22-'Hampshire Daily'!I21</f>
        <v>2563</v>
      </c>
      <c r="K19" s="4">
        <f>'Hampshire Daily'!J22-'Hampshire Daily'!J21</f>
        <v>1133</v>
      </c>
      <c r="L19" s="4">
        <f>'Hampshire Daily'!K22-'Hampshire Daily'!K21</f>
        <v>487</v>
      </c>
      <c r="M19" s="4">
        <f>'Hampshire Daily'!N22-'Hampshire Daily'!N21</f>
        <v>772</v>
      </c>
      <c r="N19" s="4">
        <f>'Hampshire Daily'!O22-'Hampshire Daily'!O21</f>
        <v>125</v>
      </c>
      <c r="O19" s="4">
        <f>'Hampshire Daily'!P22-'Hampshire Daily'!P21</f>
        <v>71</v>
      </c>
      <c r="P19" s="4">
        <f>'Hampshire Daily'!Q22-'Hampshire Daily'!Q21</f>
        <v>76</v>
      </c>
      <c r="Q19" s="4">
        <f>'Hampshire Daily'!T22-'Hampshire Daily'!T21</f>
        <v>7</v>
      </c>
      <c r="R19" s="4">
        <f>'Hampshire Daily'!B22</f>
        <v>122</v>
      </c>
      <c r="S19" s="4">
        <f>'Hampshire Daily'!C22</f>
        <v>263</v>
      </c>
    </row>
    <row r="20" spans="1:19">
      <c r="A20" s="3" t="s">
        <v>12</v>
      </c>
      <c r="B20" s="1">
        <f t="shared" si="0"/>
        <v>19</v>
      </c>
      <c r="C20" s="1">
        <v>6</v>
      </c>
      <c r="D20" s="1">
        <v>2022</v>
      </c>
      <c r="E20" s="4">
        <f>'Hampshire Daily'!D23-'Hampshire Daily'!D22</f>
        <v>2728</v>
      </c>
      <c r="F20" s="4">
        <f>'Hampshire Daily'!E23-'Hampshire Daily'!E22</f>
        <v>6166</v>
      </c>
      <c r="G20" s="4">
        <f>'Hampshire Daily'!F23-'Hampshire Daily'!F22</f>
        <v>546</v>
      </c>
      <c r="H20" s="4">
        <f>'Hampshire Daily'!G23-'Hampshire Daily'!G22</f>
        <v>2154</v>
      </c>
      <c r="I20" s="4">
        <f>'Hampshire Daily'!H23-'Hampshire Daily'!H22</f>
        <v>0</v>
      </c>
      <c r="J20" s="4">
        <f>'Hampshire Daily'!I23-'Hampshire Daily'!I22</f>
        <v>2873</v>
      </c>
      <c r="K20" s="4">
        <f>'Hampshire Daily'!J23-'Hampshire Daily'!J22</f>
        <v>1313</v>
      </c>
      <c r="L20" s="4">
        <f>'Hampshire Daily'!K23-'Hampshire Daily'!K22</f>
        <v>24</v>
      </c>
      <c r="M20" s="4">
        <f>'Hampshire Daily'!N23-'Hampshire Daily'!N22</f>
        <v>1469</v>
      </c>
      <c r="N20" s="4">
        <f>'Hampshire Daily'!O23-'Hampshire Daily'!O22</f>
        <v>129</v>
      </c>
      <c r="O20" s="4">
        <f>'Hampshire Daily'!P23-'Hampshire Daily'!P22</f>
        <v>74</v>
      </c>
      <c r="P20" s="4">
        <f>'Hampshire Daily'!Q23-'Hampshire Daily'!Q22</f>
        <v>77</v>
      </c>
      <c r="Q20" s="4">
        <f>'Hampshire Daily'!T23-'Hampshire Daily'!T22</f>
        <v>7</v>
      </c>
      <c r="R20" s="4">
        <f>'Hampshire Daily'!B23</f>
        <v>125</v>
      </c>
      <c r="S20" s="4">
        <f>'Hampshire Daily'!C23</f>
        <v>290</v>
      </c>
    </row>
    <row r="21" spans="1:19">
      <c r="A21" s="3" t="s">
        <v>12</v>
      </c>
      <c r="B21" s="1">
        <f t="shared" si="0"/>
        <v>20</v>
      </c>
      <c r="C21" s="1">
        <v>6</v>
      </c>
      <c r="D21" s="1">
        <v>2022</v>
      </c>
      <c r="E21" s="4">
        <f>'Hampshire Daily'!D24-'Hampshire Daily'!D23</f>
        <v>2280</v>
      </c>
      <c r="F21" s="4">
        <f>'Hampshire Daily'!E24-'Hampshire Daily'!E23</f>
        <v>3889</v>
      </c>
      <c r="G21" s="4">
        <f>'Hampshire Daily'!F24-'Hampshire Daily'!F23</f>
        <v>172</v>
      </c>
      <c r="H21" s="4">
        <f>'Hampshire Daily'!G24-'Hampshire Daily'!G23</f>
        <v>1875</v>
      </c>
      <c r="I21" s="4">
        <f>'Hampshire Daily'!H24-'Hampshire Daily'!H23</f>
        <v>0</v>
      </c>
      <c r="J21" s="4">
        <f>'Hampshire Daily'!I24-'Hampshire Daily'!I23</f>
        <v>2523</v>
      </c>
      <c r="K21" s="4">
        <f>'Hampshire Daily'!J24-'Hampshire Daily'!J23</f>
        <v>1153</v>
      </c>
      <c r="L21" s="4">
        <f>'Hampshire Daily'!K24-'Hampshire Daily'!K23</f>
        <v>0</v>
      </c>
      <c r="M21" s="4">
        <f>'Hampshire Daily'!N24-'Hampshire Daily'!N23</f>
        <v>2060</v>
      </c>
      <c r="N21" s="4">
        <f>'Hampshire Daily'!O24-'Hampshire Daily'!O23</f>
        <v>118</v>
      </c>
      <c r="O21" s="4">
        <f>'Hampshire Daily'!P24-'Hampshire Daily'!P23</f>
        <v>64</v>
      </c>
      <c r="P21" s="4">
        <f>'Hampshire Daily'!Q24-'Hampshire Daily'!Q23</f>
        <v>71</v>
      </c>
      <c r="Q21" s="4">
        <f>'Hampshire Daily'!T24-'Hampshire Daily'!T23</f>
        <v>4</v>
      </c>
      <c r="R21" s="4">
        <f>'Hampshire Daily'!B24</f>
        <v>101</v>
      </c>
      <c r="S21" s="4">
        <f>'Hampshire Daily'!C24</f>
        <v>78</v>
      </c>
    </row>
    <row r="22" spans="1:19">
      <c r="A22" s="3" t="s">
        <v>12</v>
      </c>
      <c r="B22" s="1">
        <f t="shared" si="0"/>
        <v>21</v>
      </c>
      <c r="C22" s="1">
        <v>6</v>
      </c>
      <c r="D22" s="1">
        <v>2022</v>
      </c>
      <c r="E22" s="4">
        <f>'Hampshire Daily'!D25-'Hampshire Daily'!D24</f>
        <v>2591</v>
      </c>
      <c r="F22" s="4">
        <f>'Hampshire Daily'!E25-'Hampshire Daily'!E24</f>
        <v>2979</v>
      </c>
      <c r="G22" s="4">
        <f>'Hampshire Daily'!F25-'Hampshire Daily'!F24</f>
        <v>15</v>
      </c>
      <c r="H22" s="4">
        <f>'Hampshire Daily'!G25-'Hampshire Daily'!G24</f>
        <v>1879</v>
      </c>
      <c r="I22" s="4">
        <f>'Hampshire Daily'!H25-'Hampshire Daily'!H24</f>
        <v>20</v>
      </c>
      <c r="J22" s="4">
        <f>'Hampshire Daily'!I25-'Hampshire Daily'!I24</f>
        <v>2366</v>
      </c>
      <c r="K22" s="4">
        <f>'Hampshire Daily'!J25-'Hampshire Daily'!J24</f>
        <v>982</v>
      </c>
      <c r="L22" s="4">
        <f>'Hampshire Daily'!K25-'Hampshire Daily'!K24</f>
        <v>0</v>
      </c>
      <c r="M22" s="4">
        <f>'Hampshire Daily'!N25-'Hampshire Daily'!N24</f>
        <v>2121</v>
      </c>
      <c r="N22" s="4">
        <f>'Hampshire Daily'!O25-'Hampshire Daily'!O24</f>
        <v>99</v>
      </c>
      <c r="O22" s="4">
        <f>'Hampshire Daily'!P25-'Hampshire Daily'!P24</f>
        <v>54</v>
      </c>
      <c r="P22" s="4">
        <f>'Hampshire Daily'!Q25-'Hampshire Daily'!Q24</f>
        <v>59</v>
      </c>
      <c r="Q22" s="4">
        <f>'Hampshire Daily'!T25-'Hampshire Daily'!T24</f>
        <v>5</v>
      </c>
      <c r="R22" s="4">
        <f>'Hampshire Daily'!B25</f>
        <v>131</v>
      </c>
      <c r="S22" s="4">
        <f>'Hampshire Daily'!C25</f>
        <v>78</v>
      </c>
    </row>
    <row r="23" spans="1:19">
      <c r="A23" s="3" t="s">
        <v>12</v>
      </c>
      <c r="B23" s="1">
        <f t="shared" si="0"/>
        <v>22</v>
      </c>
      <c r="C23" s="1">
        <v>6</v>
      </c>
      <c r="D23" s="1">
        <v>2022</v>
      </c>
      <c r="E23" s="4">
        <f>'Hampshire Daily'!D26-'Hampshire Daily'!D25</f>
        <v>3134</v>
      </c>
      <c r="F23" s="4">
        <f>'Hampshire Daily'!E26-'Hampshire Daily'!E25</f>
        <v>3001</v>
      </c>
      <c r="G23" s="4">
        <f>'Hampshire Daily'!F26-'Hampshire Daily'!F25</f>
        <v>10</v>
      </c>
      <c r="H23" s="4">
        <f>'Hampshire Daily'!G26-'Hampshire Daily'!G25</f>
        <v>2081</v>
      </c>
      <c r="I23" s="4">
        <f>'Hampshire Daily'!H26-'Hampshire Daily'!H25</f>
        <v>53</v>
      </c>
      <c r="J23" s="4">
        <f>'Hampshire Daily'!I26-'Hampshire Daily'!I25</f>
        <v>2468</v>
      </c>
      <c r="K23" s="4">
        <f>'Hampshire Daily'!J26-'Hampshire Daily'!J25</f>
        <v>989</v>
      </c>
      <c r="L23" s="4">
        <f>'Hampshire Daily'!K26-'Hampshire Daily'!K25</f>
        <v>12</v>
      </c>
      <c r="M23" s="4">
        <f>'Hampshire Daily'!N26-'Hampshire Daily'!N25</f>
        <v>2245</v>
      </c>
      <c r="N23" s="4">
        <f>'Hampshire Daily'!O26-'Hampshire Daily'!O25</f>
        <v>110</v>
      </c>
      <c r="O23" s="4">
        <f>'Hampshire Daily'!P26-'Hampshire Daily'!P25</f>
        <v>77</v>
      </c>
      <c r="P23" s="4">
        <f>'Hampshire Daily'!Q26-'Hampshire Daily'!Q25</f>
        <v>78</v>
      </c>
      <c r="Q23" s="4">
        <f>'Hampshire Daily'!T26-'Hampshire Daily'!T25</f>
        <v>4</v>
      </c>
      <c r="R23" s="4">
        <f>'Hampshire Daily'!B26</f>
        <v>68</v>
      </c>
      <c r="S23" s="4">
        <f>'Hampshire Daily'!C26</f>
        <v>87</v>
      </c>
    </row>
    <row r="24" spans="1:19">
      <c r="A24" s="3" t="s">
        <v>12</v>
      </c>
      <c r="B24" s="1">
        <f t="shared" si="0"/>
        <v>23</v>
      </c>
      <c r="C24" s="1">
        <v>6</v>
      </c>
      <c r="D24" s="1">
        <v>2022</v>
      </c>
      <c r="E24" s="4">
        <f>'Hampshire Daily'!D27-'Hampshire Daily'!D26</f>
        <v>2987</v>
      </c>
      <c r="F24" s="4">
        <f>'Hampshire Daily'!E27-'Hampshire Daily'!E26</f>
        <v>4819</v>
      </c>
      <c r="G24" s="4">
        <f>'Hampshire Daily'!F27-'Hampshire Daily'!F26</f>
        <v>341</v>
      </c>
      <c r="H24" s="4">
        <f>'Hampshire Daily'!G27-'Hampshire Daily'!G26</f>
        <v>2022</v>
      </c>
      <c r="I24" s="4">
        <f>'Hampshire Daily'!H27-'Hampshire Daily'!H26</f>
        <v>20</v>
      </c>
      <c r="J24" s="4">
        <f>'Hampshire Daily'!I27-'Hampshire Daily'!I26</f>
        <v>2326</v>
      </c>
      <c r="K24" s="4">
        <f>'Hampshire Daily'!J27-'Hampshire Daily'!J26</f>
        <v>939</v>
      </c>
      <c r="L24" s="4">
        <f>'Hampshire Daily'!K27-'Hampshire Daily'!K26</f>
        <v>0</v>
      </c>
      <c r="M24" s="4">
        <f>'Hampshire Daily'!N27-'Hampshire Daily'!N26</f>
        <v>1533</v>
      </c>
      <c r="N24" s="4">
        <f>'Hampshire Daily'!O27-'Hampshire Daily'!O26</f>
        <v>116</v>
      </c>
      <c r="O24" s="4">
        <f>'Hampshire Daily'!P27-'Hampshire Daily'!P26</f>
        <v>60</v>
      </c>
      <c r="P24" s="4">
        <f>'Hampshire Daily'!Q27-'Hampshire Daily'!Q26</f>
        <v>62</v>
      </c>
      <c r="Q24" s="4">
        <f>'Hampshire Daily'!T27-'Hampshire Daily'!T26</f>
        <v>3</v>
      </c>
      <c r="R24" s="4">
        <f>'Hampshire Daily'!B27</f>
        <v>124</v>
      </c>
      <c r="S24" s="4">
        <f>'Hampshire Daily'!C27</f>
        <v>159</v>
      </c>
    </row>
    <row r="25" spans="1:19">
      <c r="A25" s="3" t="s">
        <v>12</v>
      </c>
      <c r="B25" s="1">
        <f t="shared" si="0"/>
        <v>24</v>
      </c>
      <c r="C25" s="1">
        <v>6</v>
      </c>
      <c r="D25" s="1">
        <v>2022</v>
      </c>
      <c r="E25" s="4">
        <f>'Hampshire Daily'!D28-'Hampshire Daily'!D27</f>
        <v>2639</v>
      </c>
      <c r="F25" s="4">
        <f>'Hampshire Daily'!E28-'Hampshire Daily'!E27</f>
        <v>3510</v>
      </c>
      <c r="G25" s="4">
        <f>'Hampshire Daily'!F28-'Hampshire Daily'!F27</f>
        <v>101</v>
      </c>
      <c r="H25" s="4">
        <f>'Hampshire Daily'!G28-'Hampshire Daily'!G27</f>
        <v>2190</v>
      </c>
      <c r="I25" s="4">
        <f>'Hampshire Daily'!H28-'Hampshire Daily'!H27</f>
        <v>0</v>
      </c>
      <c r="J25" s="4">
        <f>'Hampshire Daily'!I28-'Hampshire Daily'!I27</f>
        <v>2536</v>
      </c>
      <c r="K25" s="4">
        <f>'Hampshire Daily'!J28-'Hampshire Daily'!J27</f>
        <v>1074</v>
      </c>
      <c r="L25" s="4">
        <f>'Hampshire Daily'!K28-'Hampshire Daily'!K27</f>
        <v>0</v>
      </c>
      <c r="M25" s="4">
        <f>'Hampshire Daily'!N28-'Hampshire Daily'!N27</f>
        <v>2085</v>
      </c>
      <c r="N25" s="4">
        <f>'Hampshire Daily'!O28-'Hampshire Daily'!O27</f>
        <v>110</v>
      </c>
      <c r="O25" s="4">
        <f>'Hampshire Daily'!P28-'Hampshire Daily'!P27</f>
        <v>68</v>
      </c>
      <c r="P25" s="4">
        <f>'Hampshire Daily'!Q28-'Hampshire Daily'!Q27</f>
        <v>71</v>
      </c>
      <c r="Q25" s="4">
        <f>'Hampshire Daily'!T28-'Hampshire Daily'!T27</f>
        <v>4</v>
      </c>
      <c r="R25" s="4">
        <f>'Hampshire Daily'!B28</f>
        <v>104</v>
      </c>
      <c r="S25" s="4">
        <f>'Hampshire Daily'!C28</f>
        <v>171</v>
      </c>
    </row>
    <row r="26" spans="1:19">
      <c r="A26" s="3" t="s">
        <v>12</v>
      </c>
      <c r="B26" s="20">
        <f>B25+1</f>
        <v>25</v>
      </c>
      <c r="C26" s="1">
        <v>6</v>
      </c>
      <c r="D26" s="1">
        <v>2022</v>
      </c>
      <c r="E26" s="4">
        <f>'Hampshire Daily'!D29-'Hampshire Daily'!D28</f>
        <v>2591</v>
      </c>
      <c r="F26" s="4">
        <f>'Hampshire Daily'!E29-'Hampshire Daily'!E28</f>
        <v>3159</v>
      </c>
      <c r="G26" s="4">
        <f>'Hampshire Daily'!F29-'Hampshire Daily'!F28</f>
        <v>0</v>
      </c>
      <c r="H26" s="4">
        <f>'Hampshire Daily'!G29-'Hampshire Daily'!G28</f>
        <v>2079</v>
      </c>
      <c r="I26" s="4">
        <f>'Hampshire Daily'!H29-'Hampshire Daily'!H28</f>
        <v>0</v>
      </c>
      <c r="J26" s="4">
        <f>'Hampshire Daily'!I29-'Hampshire Daily'!I28</f>
        <v>2683</v>
      </c>
      <c r="K26" s="4">
        <f>'Hampshire Daily'!J29-'Hampshire Daily'!J28</f>
        <v>1207</v>
      </c>
      <c r="L26" s="4">
        <f>'Hampshire Daily'!K29-'Hampshire Daily'!K28</f>
        <v>0</v>
      </c>
      <c r="M26" s="4">
        <f>'Hampshire Daily'!N29-'Hampshire Daily'!N28</f>
        <v>2270</v>
      </c>
      <c r="N26" s="4">
        <f>'Hampshire Daily'!O29-'Hampshire Daily'!O28</f>
        <v>105</v>
      </c>
      <c r="O26" s="4">
        <f>'Hampshire Daily'!P29-'Hampshire Daily'!P28</f>
        <v>74</v>
      </c>
      <c r="P26" s="4">
        <f>'Hampshire Daily'!Q29-'Hampshire Daily'!Q28</f>
        <v>78</v>
      </c>
      <c r="Q26" s="4">
        <f>'Hampshire Daily'!T29-'Hampshire Daily'!T28</f>
        <v>3</v>
      </c>
      <c r="R26" s="4">
        <f>'Hampshire Daily'!B29</f>
        <v>126</v>
      </c>
      <c r="S26" s="4">
        <f>'Hampshire Daily'!C29</f>
        <v>212</v>
      </c>
    </row>
    <row r="27" spans="1:19">
      <c r="A27" s="3" t="s">
        <v>12</v>
      </c>
      <c r="B27" s="1">
        <f t="shared" si="0"/>
        <v>26</v>
      </c>
      <c r="C27" s="1">
        <v>6</v>
      </c>
      <c r="D27" s="1">
        <v>2022</v>
      </c>
      <c r="E27" s="4">
        <f>'Hampshire Daily'!D30-'Hampshire Daily'!D29</f>
        <v>2368</v>
      </c>
      <c r="F27" s="4">
        <f>'Hampshire Daily'!E30-'Hampshire Daily'!E29</f>
        <v>3068</v>
      </c>
      <c r="G27" s="4">
        <f>'Hampshire Daily'!F30-'Hampshire Daily'!F29</f>
        <v>0</v>
      </c>
      <c r="H27" s="4">
        <f>'Hampshire Daily'!G30-'Hampshire Daily'!G29</f>
        <v>2113</v>
      </c>
      <c r="I27" s="4">
        <f>'Hampshire Daily'!H30-'Hampshire Daily'!H29</f>
        <v>0</v>
      </c>
      <c r="J27" s="4">
        <f>'Hampshire Daily'!I30-'Hampshire Daily'!I29</f>
        <v>2634</v>
      </c>
      <c r="K27" s="4">
        <f>'Hampshire Daily'!J30-'Hampshire Daily'!J29</f>
        <v>1225</v>
      </c>
      <c r="L27" s="4">
        <f>'Hampshire Daily'!K30-'Hampshire Daily'!K29</f>
        <v>0</v>
      </c>
      <c r="M27" s="4">
        <f>'Hampshire Daily'!N30-'Hampshire Daily'!N29</f>
        <v>2221</v>
      </c>
      <c r="N27" s="4">
        <f>'Hampshire Daily'!O30-'Hampshire Daily'!O29</f>
        <v>121</v>
      </c>
      <c r="O27" s="4">
        <f>'Hampshire Daily'!P30-'Hampshire Daily'!P29</f>
        <v>77</v>
      </c>
      <c r="P27" s="4">
        <f>'Hampshire Daily'!Q30-'Hampshire Daily'!Q29</f>
        <v>80</v>
      </c>
      <c r="Q27" s="4">
        <f>'Hampshire Daily'!T30-'Hampshire Daily'!T29</f>
        <v>7</v>
      </c>
      <c r="R27" s="4">
        <f>'Hampshire Daily'!B30</f>
        <v>75</v>
      </c>
      <c r="S27" s="4">
        <f>'Hampshire Daily'!C30</f>
        <v>118</v>
      </c>
    </row>
    <row r="28" spans="1:19">
      <c r="A28" s="3" t="s">
        <v>12</v>
      </c>
      <c r="B28" s="1">
        <f t="shared" si="0"/>
        <v>27</v>
      </c>
      <c r="C28" s="1">
        <v>6</v>
      </c>
      <c r="D28" s="1">
        <v>2022</v>
      </c>
      <c r="E28" s="4">
        <f>'Hampshire Daily'!D31-'Hampshire Daily'!D30</f>
        <v>2591</v>
      </c>
      <c r="F28" s="4">
        <f>'Hampshire Daily'!E31-'Hampshire Daily'!E30</f>
        <v>2989</v>
      </c>
      <c r="G28" s="4">
        <f>'Hampshire Daily'!F31-'Hampshire Daily'!F30</f>
        <v>0</v>
      </c>
      <c r="H28" s="4">
        <f>'Hampshire Daily'!G31-'Hampshire Daily'!G30</f>
        <v>1995</v>
      </c>
      <c r="I28" s="4">
        <f>'Hampshire Daily'!H31-'Hampshire Daily'!H30</f>
        <v>0</v>
      </c>
      <c r="J28" s="4">
        <f>'Hampshire Daily'!I31-'Hampshire Daily'!I30</f>
        <v>2604</v>
      </c>
      <c r="K28" s="4">
        <f>'Hampshire Daily'!J31-'Hampshire Daily'!J30</f>
        <v>1162</v>
      </c>
      <c r="L28" s="4">
        <f>'Hampshire Daily'!K31-'Hampshire Daily'!K30</f>
        <v>0</v>
      </c>
      <c r="M28" s="4">
        <f>'Hampshire Daily'!N31-'Hampshire Daily'!N30</f>
        <v>-1592459</v>
      </c>
      <c r="N28" s="4">
        <f>'Hampshire Daily'!O31-'Hampshire Daily'!O30</f>
        <v>122</v>
      </c>
      <c r="O28" s="4">
        <f>'Hampshire Daily'!P31-'Hampshire Daily'!P30</f>
        <v>82</v>
      </c>
      <c r="P28" s="4">
        <f>'Hampshire Daily'!Q31-'Hampshire Daily'!Q30</f>
        <v>83</v>
      </c>
      <c r="Q28" s="4">
        <f>'Hampshire Daily'!T31-'Hampshire Daily'!T30</f>
        <v>7</v>
      </c>
      <c r="R28" s="4">
        <f>'Hampshire Daily'!B31</f>
        <v>134</v>
      </c>
      <c r="S28" s="4">
        <f>'Hampshire Daily'!C31</f>
        <v>139</v>
      </c>
    </row>
    <row r="29" spans="1:19">
      <c r="A29" s="3" t="s">
        <v>12</v>
      </c>
      <c r="B29" s="1">
        <f t="shared" si="0"/>
        <v>28</v>
      </c>
      <c r="C29" s="1">
        <v>6</v>
      </c>
      <c r="D29" s="1">
        <v>2022</v>
      </c>
      <c r="E29" s="4">
        <f>'Hampshire Daily'!D32-'Hampshire Daily'!D31</f>
        <v>3592</v>
      </c>
      <c r="F29" s="4">
        <f>'Hampshire Daily'!E32-'Hampshire Daily'!E31</f>
        <v>1993</v>
      </c>
      <c r="G29" s="4">
        <f>'Hampshire Daily'!F32-'Hampshire Daily'!F31</f>
        <v>0</v>
      </c>
      <c r="H29" s="4">
        <f>'Hampshire Daily'!G32-'Hampshire Daily'!G31</f>
        <v>2098</v>
      </c>
      <c r="I29" s="4">
        <f>'Hampshire Daily'!H32-'Hampshire Daily'!H31</f>
        <v>195</v>
      </c>
      <c r="J29" s="4">
        <f>'Hampshire Daily'!I32-'Hampshire Daily'!I31</f>
        <v>2656</v>
      </c>
      <c r="K29" s="4">
        <f>'Hampshire Daily'!J32-'Hampshire Daily'!J31</f>
        <v>1152</v>
      </c>
      <c r="L29" s="4">
        <f>'Hampshire Daily'!K32-'Hampshire Daily'!K31</f>
        <v>0</v>
      </c>
      <c r="M29" s="4">
        <f>'Hampshire Daily'!N32-'Hampshire Daily'!N31</f>
        <v>1596932</v>
      </c>
      <c r="N29" s="4">
        <f>'Hampshire Daily'!O32-'Hampshire Daily'!O31</f>
        <v>122</v>
      </c>
      <c r="O29" s="4">
        <f>'Hampshire Daily'!P32-'Hampshire Daily'!P31</f>
        <v>70</v>
      </c>
      <c r="P29" s="4">
        <f>'Hampshire Daily'!Q32-'Hampshire Daily'!Q31</f>
        <v>71</v>
      </c>
      <c r="Q29" s="4">
        <f>'Hampshire Daily'!T32-'Hampshire Daily'!T31</f>
        <v>10</v>
      </c>
      <c r="R29" s="4">
        <f>'Hampshire Daily'!B32</f>
        <v>17</v>
      </c>
      <c r="S29" s="4">
        <f>'Hampshire Daily'!C32</f>
        <v>34</v>
      </c>
    </row>
    <row r="30" spans="1:19">
      <c r="A30" s="3" t="s">
        <v>12</v>
      </c>
      <c r="B30" s="1">
        <f t="shared" si="0"/>
        <v>29</v>
      </c>
      <c r="C30" s="1">
        <v>6</v>
      </c>
      <c r="D30" s="1">
        <v>2022</v>
      </c>
      <c r="E30" s="4">
        <f>'Hampshire Daily'!D33-'Hampshire Daily'!D32</f>
        <v>2978</v>
      </c>
      <c r="F30" s="4">
        <f>'Hampshire Daily'!E33-'Hampshire Daily'!E32</f>
        <v>2414</v>
      </c>
      <c r="G30" s="4">
        <f>'Hampshire Daily'!F33-'Hampshire Daily'!F32</f>
        <v>9</v>
      </c>
      <c r="H30" s="4">
        <f>'Hampshire Daily'!G33-'Hampshire Daily'!G32</f>
        <v>2052</v>
      </c>
      <c r="I30" s="4">
        <f>'Hampshire Daily'!H33-'Hampshire Daily'!H32</f>
        <v>76</v>
      </c>
      <c r="J30" s="4">
        <f>'Hampshire Daily'!I33-'Hampshire Daily'!I32</f>
        <v>2368</v>
      </c>
      <c r="K30" s="4">
        <f>'Hampshire Daily'!J33-'Hampshire Daily'!J32</f>
        <v>985</v>
      </c>
      <c r="L30" s="4">
        <f>'Hampshire Daily'!K33-'Hampshire Daily'!K32</f>
        <v>13</v>
      </c>
      <c r="M30" s="4">
        <f>'Hampshire Daily'!N33-'Hampshire Daily'!N32</f>
        <v>2160</v>
      </c>
      <c r="N30" s="4">
        <f>'Hampshire Daily'!O33-'Hampshire Daily'!O32</f>
        <v>102</v>
      </c>
      <c r="O30" s="4">
        <f>'Hampshire Daily'!P33-'Hampshire Daily'!P32</f>
        <v>47</v>
      </c>
      <c r="P30" s="4">
        <f>'Hampshire Daily'!Q33-'Hampshire Daily'!Q32</f>
        <v>58</v>
      </c>
      <c r="Q30" s="4">
        <f>'Hampshire Daily'!T33-'Hampshire Daily'!T32</f>
        <v>8</v>
      </c>
      <c r="R30" s="4">
        <f>'Hampshire Daily'!B33</f>
        <v>63</v>
      </c>
      <c r="S30" s="4">
        <f>'Hampshire Daily'!C33</f>
        <v>63</v>
      </c>
    </row>
    <row r="31" spans="1:19">
      <c r="A31" s="3" t="s">
        <v>12</v>
      </c>
      <c r="B31" s="1">
        <f t="shared" si="0"/>
        <v>30</v>
      </c>
      <c r="C31" s="1">
        <v>6</v>
      </c>
      <c r="D31" s="1">
        <v>2022</v>
      </c>
      <c r="E31" s="4">
        <f>'Hampshire Daily'!D34-'Hampshire Daily'!D33</f>
        <v>2399</v>
      </c>
      <c r="F31" s="4">
        <f>'Hampshire Daily'!E34-'Hampshire Daily'!E33</f>
        <v>3055</v>
      </c>
      <c r="G31" s="4">
        <f>'Hampshire Daily'!F34-'Hampshire Daily'!F33</f>
        <v>45</v>
      </c>
      <c r="H31" s="4">
        <f>'Hampshire Daily'!G34-'Hampshire Daily'!G33</f>
        <v>2146</v>
      </c>
      <c r="I31" s="4">
        <f>'Hampshire Daily'!H34-'Hampshire Daily'!H33</f>
        <v>0</v>
      </c>
      <c r="J31" s="4">
        <f>'Hampshire Daily'!I34-'Hampshire Daily'!I33</f>
        <v>2477</v>
      </c>
      <c r="K31" s="4">
        <f>'Hampshire Daily'!J34-'Hampshire Daily'!J33</f>
        <v>1080</v>
      </c>
      <c r="L31" s="4">
        <f>'Hampshire Daily'!K34-'Hampshire Daily'!K33</f>
        <v>0</v>
      </c>
      <c r="M31" s="4">
        <f>'Hampshire Daily'!N34-'Hampshire Daily'!N33</f>
        <v>2093</v>
      </c>
      <c r="N31" s="4">
        <f>'Hampshire Daily'!O34-'Hampshire Daily'!O33</f>
        <v>96</v>
      </c>
      <c r="O31" s="4">
        <f>'Hampshire Daily'!P34-'Hampshire Daily'!P33</f>
        <v>51</v>
      </c>
      <c r="P31" s="4">
        <f>'Hampshire Daily'!Q34-'Hampshire Daily'!Q33</f>
        <v>56</v>
      </c>
      <c r="Q31" s="4">
        <f>'Hampshire Daily'!T34-'Hampshire Daily'!T33</f>
        <v>3</v>
      </c>
      <c r="R31" s="4">
        <f>'Hampshire Daily'!B34</f>
        <v>78</v>
      </c>
      <c r="S31" s="4">
        <f>'Hampshire Daily'!C34</f>
        <v>78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237"/>
  <sheetViews>
    <sheetView tabSelected="1" zoomScaleNormal="100" workbookViewId="0">
      <pane xSplit="1" ySplit="3" topLeftCell="B4" activePane="bottomRight" state="frozen"/>
      <selection pane="bottomRight" activeCell="C37" sqref="C37"/>
      <selection pane="bottomLeft"/>
      <selection pane="topRight"/>
    </sheetView>
  </sheetViews>
  <sheetFormatPr defaultRowHeight="15"/>
  <cols>
    <col min="1" max="1" width="8.7109375" style="16" customWidth="1"/>
    <col min="2" max="3" width="8.7109375" style="39" customWidth="1"/>
    <col min="4" max="4" width="10" customWidth="1"/>
    <col min="5" max="5" width="9.7109375" customWidth="1"/>
    <col min="6" max="6" width="9.42578125" customWidth="1"/>
    <col min="7" max="7" width="10.28515625" customWidth="1"/>
    <col min="8" max="9" width="10.140625" customWidth="1"/>
    <col min="11" max="11" width="10.5703125" customWidth="1"/>
    <col min="12" max="12" width="11.42578125" style="1" customWidth="1"/>
    <col min="13" max="13" width="10.5703125" style="1" customWidth="1"/>
    <col min="17" max="17" width="9.28515625" bestFit="1" customWidth="1"/>
    <col min="18" max="18" width="10.42578125" customWidth="1"/>
  </cols>
  <sheetData>
    <row r="1" spans="1:23" ht="15" customHeight="1">
      <c r="A1" s="41"/>
      <c r="B1" s="33"/>
      <c r="C1" s="33"/>
      <c r="D1" s="51" t="s">
        <v>27</v>
      </c>
      <c r="E1" s="52"/>
      <c r="F1" s="52"/>
      <c r="G1" s="52"/>
      <c r="H1" s="52"/>
      <c r="I1" s="52"/>
      <c r="J1" s="52"/>
      <c r="K1" s="52"/>
      <c r="L1" s="52"/>
      <c r="M1" s="53"/>
      <c r="N1" s="58" t="s">
        <v>28</v>
      </c>
      <c r="O1" s="60" t="s">
        <v>29</v>
      </c>
      <c r="P1" s="60" t="s">
        <v>30</v>
      </c>
      <c r="Q1" s="62"/>
      <c r="R1" s="60" t="s">
        <v>31</v>
      </c>
      <c r="S1" s="63" t="s">
        <v>32</v>
      </c>
      <c r="T1" s="54" t="s">
        <v>33</v>
      </c>
    </row>
    <row r="2" spans="1:23" ht="15" customHeight="1">
      <c r="A2" s="42"/>
      <c r="B2" s="46" t="s">
        <v>34</v>
      </c>
      <c r="C2" s="46" t="s">
        <v>35</v>
      </c>
      <c r="D2" s="48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4" t="s">
        <v>42</v>
      </c>
      <c r="K2" s="44" t="s">
        <v>43</v>
      </c>
      <c r="L2" s="57" t="s">
        <v>44</v>
      </c>
      <c r="M2" s="57" t="s">
        <v>45</v>
      </c>
      <c r="N2" s="59"/>
      <c r="O2" s="60"/>
      <c r="P2" s="60"/>
      <c r="Q2" s="62"/>
      <c r="R2" s="60"/>
      <c r="S2" s="63"/>
      <c r="T2" s="55"/>
    </row>
    <row r="3" spans="1:23" ht="27" customHeight="1">
      <c r="A3" s="43"/>
      <c r="B3" s="47"/>
      <c r="C3" s="47"/>
      <c r="D3" s="49"/>
      <c r="E3" s="50"/>
      <c r="F3" s="44"/>
      <c r="G3" s="44"/>
      <c r="H3" s="44"/>
      <c r="I3" s="44"/>
      <c r="J3" s="44"/>
      <c r="K3" s="45"/>
      <c r="L3" s="57"/>
      <c r="M3" s="57"/>
      <c r="N3" s="59"/>
      <c r="O3" s="61"/>
      <c r="P3" s="62"/>
      <c r="Q3" s="62"/>
      <c r="R3" s="61"/>
      <c r="S3" s="64"/>
      <c r="T3" s="56"/>
    </row>
    <row r="4" spans="1:23" s="17" customFormat="1" ht="19.899999999999999" customHeight="1">
      <c r="A4" s="18">
        <v>44712</v>
      </c>
      <c r="B4" s="40">
        <v>92</v>
      </c>
      <c r="C4" s="40">
        <v>187</v>
      </c>
      <c r="D4" s="32">
        <v>1520429</v>
      </c>
      <c r="E4" s="25">
        <v>1688239</v>
      </c>
      <c r="F4" s="25">
        <v>325531</v>
      </c>
      <c r="G4" s="25">
        <v>7795015</v>
      </c>
      <c r="H4" s="25">
        <v>33768</v>
      </c>
      <c r="I4" s="25">
        <v>5952642</v>
      </c>
      <c r="J4" s="25">
        <v>97822</v>
      </c>
      <c r="K4" s="25">
        <v>2655321</v>
      </c>
      <c r="L4" s="25">
        <v>1907</v>
      </c>
      <c r="M4" s="25">
        <v>2763</v>
      </c>
      <c r="N4" s="25">
        <v>1868185</v>
      </c>
      <c r="O4" s="25">
        <v>394774</v>
      </c>
      <c r="P4" s="25">
        <v>353685</v>
      </c>
      <c r="Q4" s="25">
        <v>57524</v>
      </c>
      <c r="R4" s="25">
        <v>54354</v>
      </c>
      <c r="S4" s="25">
        <v>31426</v>
      </c>
      <c r="T4" s="25">
        <v>3749</v>
      </c>
    </row>
    <row r="5" spans="1:23">
      <c r="A5" s="18">
        <f>A4+1</f>
        <v>44713</v>
      </c>
      <c r="B5" s="34">
        <v>79</v>
      </c>
      <c r="C5" s="34">
        <v>184</v>
      </c>
      <c r="D5" s="19">
        <v>1522827</v>
      </c>
      <c r="E5" s="19">
        <v>1691963</v>
      </c>
      <c r="F5" s="19">
        <v>325653</v>
      </c>
      <c r="G5" s="19">
        <v>7797400</v>
      </c>
      <c r="H5" s="30">
        <v>33770</v>
      </c>
      <c r="I5" s="30">
        <v>5955663</v>
      </c>
      <c r="J5" s="19">
        <v>99158</v>
      </c>
      <c r="K5" s="19">
        <v>2655333</v>
      </c>
      <c r="L5" s="26">
        <v>2420</v>
      </c>
      <c r="M5" s="26">
        <v>2851</v>
      </c>
      <c r="N5" s="19">
        <v>1870377</v>
      </c>
      <c r="O5" s="19">
        <v>394890</v>
      </c>
      <c r="P5" s="19">
        <v>353755</v>
      </c>
      <c r="Q5" s="19">
        <v>57600</v>
      </c>
      <c r="R5" s="19">
        <v>54364</v>
      </c>
      <c r="S5" s="19">
        <v>31426</v>
      </c>
      <c r="T5" s="19">
        <v>3757</v>
      </c>
    </row>
    <row r="6" spans="1:23">
      <c r="A6" s="18">
        <f t="shared" ref="A6:A33" si="0">A5+1</f>
        <v>44714</v>
      </c>
      <c r="B6" s="34">
        <v>93</v>
      </c>
      <c r="C6" s="34">
        <v>239</v>
      </c>
      <c r="D6" s="19">
        <v>1524834</v>
      </c>
      <c r="E6" s="19">
        <v>1696529</v>
      </c>
      <c r="F6" s="19">
        <v>325892</v>
      </c>
      <c r="G6" s="19">
        <v>7799581</v>
      </c>
      <c r="H6" s="30">
        <v>33770</v>
      </c>
      <c r="I6" s="30">
        <v>5958150</v>
      </c>
      <c r="J6" s="19">
        <v>21050</v>
      </c>
      <c r="K6" s="19">
        <v>2665333</v>
      </c>
      <c r="L6" s="26">
        <v>3584</v>
      </c>
      <c r="M6" s="26">
        <v>2865</v>
      </c>
      <c r="N6" s="19">
        <v>1872500</v>
      </c>
      <c r="O6" s="19">
        <v>395014</v>
      </c>
      <c r="P6" s="19">
        <v>353826</v>
      </c>
      <c r="Q6" s="19">
        <v>57679</v>
      </c>
      <c r="R6" s="19">
        <v>54372</v>
      </c>
      <c r="S6" s="19">
        <v>31428</v>
      </c>
      <c r="T6" s="19">
        <v>3761</v>
      </c>
      <c r="W6" s="24"/>
    </row>
    <row r="7" spans="1:23">
      <c r="A7" s="18">
        <f t="shared" si="0"/>
        <v>44715</v>
      </c>
      <c r="B7" s="34">
        <v>101</v>
      </c>
      <c r="C7" s="34">
        <v>245</v>
      </c>
      <c r="D7" s="19">
        <v>1527093</v>
      </c>
      <c r="E7" s="19">
        <v>1700061</v>
      </c>
      <c r="F7" s="19">
        <v>322892</v>
      </c>
      <c r="G7" s="19">
        <v>7800778</v>
      </c>
      <c r="H7" s="30">
        <v>33770</v>
      </c>
      <c r="I7" s="30">
        <v>5960709</v>
      </c>
      <c r="J7" s="19">
        <v>101493</v>
      </c>
      <c r="K7" s="19">
        <v>2655333</v>
      </c>
      <c r="L7" s="26">
        <v>3568</v>
      </c>
      <c r="M7" s="26">
        <v>2861</v>
      </c>
      <c r="N7" s="19">
        <v>1874754</v>
      </c>
      <c r="O7" s="19">
        <v>395142</v>
      </c>
      <c r="P7" s="19">
        <v>353901</v>
      </c>
      <c r="Q7" s="19">
        <v>57755</v>
      </c>
      <c r="R7" s="19">
        <v>54380</v>
      </c>
      <c r="S7" s="19">
        <v>31429</v>
      </c>
      <c r="T7" s="19">
        <v>3765</v>
      </c>
    </row>
    <row r="8" spans="1:23">
      <c r="A8" s="18">
        <f t="shared" si="0"/>
        <v>44716</v>
      </c>
      <c r="B8" s="34">
        <v>107</v>
      </c>
      <c r="C8" s="34">
        <v>238</v>
      </c>
      <c r="D8" s="19">
        <v>1529444</v>
      </c>
      <c r="E8" s="19">
        <v>1703551</v>
      </c>
      <c r="F8" s="19">
        <v>322892</v>
      </c>
      <c r="G8" s="19">
        <v>7802664</v>
      </c>
      <c r="H8" s="30">
        <v>33770</v>
      </c>
      <c r="I8" s="30">
        <v>5963339</v>
      </c>
      <c r="J8" s="19">
        <v>102725</v>
      </c>
      <c r="K8" s="19">
        <v>2655334</v>
      </c>
      <c r="L8" s="26">
        <v>3584</v>
      </c>
      <c r="M8" s="26">
        <v>2849</v>
      </c>
      <c r="N8" s="19">
        <v>1876975</v>
      </c>
      <c r="O8" s="19">
        <v>395267</v>
      </c>
      <c r="P8" s="19">
        <v>353982</v>
      </c>
      <c r="Q8" s="19">
        <v>57840</v>
      </c>
      <c r="R8" s="19">
        <v>54386</v>
      </c>
      <c r="S8" s="19">
        <v>31430</v>
      </c>
      <c r="T8" s="19">
        <v>3772</v>
      </c>
    </row>
    <row r="9" spans="1:23">
      <c r="A9" s="18">
        <f t="shared" si="0"/>
        <v>44717</v>
      </c>
      <c r="B9" s="34">
        <v>96</v>
      </c>
      <c r="C9" s="34">
        <v>170</v>
      </c>
      <c r="D9" s="19">
        <v>1532247</v>
      </c>
      <c r="E9" s="19">
        <v>1707145</v>
      </c>
      <c r="F9" s="19">
        <v>322892</v>
      </c>
      <c r="G9" s="19">
        <v>7804773</v>
      </c>
      <c r="H9" s="30">
        <v>33770</v>
      </c>
      <c r="I9" s="30">
        <v>5966094</v>
      </c>
      <c r="J9" s="19">
        <v>104007</v>
      </c>
      <c r="K9" s="19">
        <v>2655334</v>
      </c>
      <c r="L9" s="26">
        <v>3593</v>
      </c>
      <c r="M9" s="26">
        <v>2890</v>
      </c>
      <c r="N9" s="19">
        <v>1879300</v>
      </c>
      <c r="O9" s="19">
        <v>395406</v>
      </c>
      <c r="P9" s="19">
        <v>354072</v>
      </c>
      <c r="Q9" s="19">
        <v>57932</v>
      </c>
      <c r="R9" s="19">
        <v>54394</v>
      </c>
      <c r="S9" s="19">
        <v>31431</v>
      </c>
      <c r="T9" s="19">
        <v>3779</v>
      </c>
    </row>
    <row r="10" spans="1:23">
      <c r="A10" s="18">
        <f t="shared" si="0"/>
        <v>44718</v>
      </c>
      <c r="B10" s="34">
        <v>104</v>
      </c>
      <c r="C10" s="34">
        <v>132</v>
      </c>
      <c r="D10" s="19">
        <v>1534713</v>
      </c>
      <c r="E10" s="19">
        <v>1710604</v>
      </c>
      <c r="F10" s="19">
        <v>322892</v>
      </c>
      <c r="G10" s="19">
        <v>7806837</v>
      </c>
      <c r="H10" s="30">
        <v>33770</v>
      </c>
      <c r="I10" s="30">
        <v>5968806</v>
      </c>
      <c r="J10" s="19">
        <v>105284</v>
      </c>
      <c r="K10" s="19">
        <v>2655334</v>
      </c>
      <c r="L10" s="26">
        <v>3593</v>
      </c>
      <c r="M10" s="26">
        <v>2897</v>
      </c>
      <c r="N10" s="19">
        <v>1881625</v>
      </c>
      <c r="O10" s="19">
        <v>395525</v>
      </c>
      <c r="P10" s="19">
        <v>354156</v>
      </c>
      <c r="Q10" s="19">
        <v>58016</v>
      </c>
      <c r="R10" s="19">
        <v>54402</v>
      </c>
      <c r="S10" s="19">
        <v>31431</v>
      </c>
      <c r="T10" s="19">
        <v>3786</v>
      </c>
    </row>
    <row r="11" spans="1:23">
      <c r="A11" s="18">
        <f t="shared" si="0"/>
        <v>44719</v>
      </c>
      <c r="B11" s="34">
        <v>127</v>
      </c>
      <c r="C11" s="34">
        <v>133</v>
      </c>
      <c r="D11" s="19">
        <v>1537335</v>
      </c>
      <c r="E11" s="19">
        <v>1714017</v>
      </c>
      <c r="F11" s="19">
        <v>322892</v>
      </c>
      <c r="G11" s="19">
        <v>7808847</v>
      </c>
      <c r="H11" s="30">
        <v>33822</v>
      </c>
      <c r="I11" s="30">
        <v>5971342</v>
      </c>
      <c r="J11" s="19">
        <v>106381</v>
      </c>
      <c r="K11" s="19">
        <v>2655334</v>
      </c>
      <c r="L11" s="26">
        <v>2559</v>
      </c>
      <c r="M11" s="26">
        <v>2806</v>
      </c>
      <c r="N11" s="19">
        <v>1883919</v>
      </c>
      <c r="O11" s="19">
        <v>395644</v>
      </c>
      <c r="P11" s="19">
        <f>((P12-P10)/2)+P10</f>
        <v>354230</v>
      </c>
      <c r="Q11" s="30">
        <f>((Q12-Q10)/2)+Q10</f>
        <v>58093.5</v>
      </c>
      <c r="R11" s="19">
        <v>54409</v>
      </c>
      <c r="S11" s="19">
        <v>31432</v>
      </c>
      <c r="T11" s="19">
        <v>3790</v>
      </c>
    </row>
    <row r="12" spans="1:23">
      <c r="A12" s="18">
        <f t="shared" si="0"/>
        <v>44720</v>
      </c>
      <c r="B12" s="34">
        <v>134</v>
      </c>
      <c r="C12" s="34">
        <v>138</v>
      </c>
      <c r="D12" s="19">
        <v>1540415</v>
      </c>
      <c r="E12" s="19">
        <v>1718629</v>
      </c>
      <c r="F12" s="19">
        <v>323122</v>
      </c>
      <c r="G12" s="19">
        <v>7810973</v>
      </c>
      <c r="H12" s="30">
        <v>33943</v>
      </c>
      <c r="I12" s="30">
        <v>5974114</v>
      </c>
      <c r="J12" s="19">
        <v>107551</v>
      </c>
      <c r="K12" s="19">
        <v>2655346</v>
      </c>
      <c r="L12" s="26">
        <v>3537</v>
      </c>
      <c r="M12" s="26">
        <v>2868</v>
      </c>
      <c r="N12" s="19">
        <v>1886120</v>
      </c>
      <c r="O12" s="19">
        <v>395747</v>
      </c>
      <c r="P12" s="19">
        <v>354304</v>
      </c>
      <c r="Q12" s="19">
        <v>58171</v>
      </c>
      <c r="R12" s="19">
        <v>54417</v>
      </c>
      <c r="S12" s="19">
        <v>31433</v>
      </c>
      <c r="T12" s="19">
        <v>3794</v>
      </c>
    </row>
    <row r="13" spans="1:23">
      <c r="A13" s="18">
        <f t="shared" si="0"/>
        <v>44721</v>
      </c>
      <c r="B13" s="35">
        <v>67</v>
      </c>
      <c r="C13" s="35">
        <v>136</v>
      </c>
      <c r="D13" s="19">
        <v>1543060</v>
      </c>
      <c r="E13" s="19">
        <v>1721901</v>
      </c>
      <c r="F13" s="19">
        <v>323122</v>
      </c>
      <c r="G13" s="19">
        <v>7813039</v>
      </c>
      <c r="H13" s="30">
        <v>34077</v>
      </c>
      <c r="I13" s="30">
        <v>5976424</v>
      </c>
      <c r="J13" s="19">
        <v>108519</v>
      </c>
      <c r="K13" s="19">
        <v>2655346</v>
      </c>
      <c r="L13" s="26">
        <v>3572</v>
      </c>
      <c r="M13" s="26">
        <v>2880</v>
      </c>
      <c r="N13" s="19">
        <v>1888239</v>
      </c>
      <c r="O13" s="19">
        <v>395835</v>
      </c>
      <c r="P13" s="19">
        <v>354362</v>
      </c>
      <c r="Q13" s="19">
        <v>58235</v>
      </c>
      <c r="R13" s="19">
        <v>54430</v>
      </c>
      <c r="S13" s="19">
        <v>31434</v>
      </c>
      <c r="T13" s="19">
        <v>3798</v>
      </c>
    </row>
    <row r="14" spans="1:23">
      <c r="A14" s="18">
        <f t="shared" si="0"/>
        <v>44722</v>
      </c>
      <c r="B14" s="34">
        <v>79</v>
      </c>
      <c r="C14" s="34">
        <v>175</v>
      </c>
      <c r="D14" s="19">
        <v>1545953</v>
      </c>
      <c r="E14" s="19">
        <v>1725368</v>
      </c>
      <c r="F14" s="19">
        <v>323122</v>
      </c>
      <c r="G14" s="19">
        <v>7815279</v>
      </c>
      <c r="H14" s="30">
        <v>34227</v>
      </c>
      <c r="I14" s="30">
        <v>2978917</v>
      </c>
      <c r="J14" s="19">
        <v>109537</v>
      </c>
      <c r="K14" s="19">
        <v>2655348</v>
      </c>
      <c r="L14" s="26">
        <v>3558</v>
      </c>
      <c r="M14" s="26">
        <v>2860</v>
      </c>
      <c r="N14" s="19">
        <v>1890479</v>
      </c>
      <c r="O14" s="19">
        <v>395973</v>
      </c>
      <c r="P14" s="19">
        <v>354427</v>
      </c>
      <c r="Q14" s="19">
        <v>58302</v>
      </c>
      <c r="R14" s="19">
        <v>54439</v>
      </c>
      <c r="S14" s="19">
        <v>31435</v>
      </c>
      <c r="T14" s="19">
        <v>3801</v>
      </c>
    </row>
    <row r="15" spans="1:23">
      <c r="A15" s="18">
        <f t="shared" si="0"/>
        <v>44723</v>
      </c>
      <c r="B15" s="34">
        <v>124</v>
      </c>
      <c r="C15" s="34">
        <v>279</v>
      </c>
      <c r="D15" s="19">
        <v>1548996</v>
      </c>
      <c r="E15" s="19">
        <v>1728854</v>
      </c>
      <c r="F15" s="19">
        <v>323122</v>
      </c>
      <c r="G15" s="19">
        <v>7816890</v>
      </c>
      <c r="H15" s="30">
        <v>34245</v>
      </c>
      <c r="I15" s="30">
        <v>5981579</v>
      </c>
      <c r="J15" s="19">
        <v>110689</v>
      </c>
      <c r="K15" s="19">
        <v>2655352</v>
      </c>
      <c r="L15" s="26">
        <v>3282</v>
      </c>
      <c r="M15" s="26">
        <v>2839</v>
      </c>
      <c r="N15" s="19">
        <v>1892705</v>
      </c>
      <c r="O15" s="19">
        <v>369097</v>
      </c>
      <c r="P15" s="19">
        <v>354505</v>
      </c>
      <c r="Q15" s="19">
        <v>58381</v>
      </c>
      <c r="R15" s="19">
        <v>54448</v>
      </c>
      <c r="S15" s="19">
        <v>31436</v>
      </c>
      <c r="T15" s="19">
        <v>3805</v>
      </c>
    </row>
    <row r="16" spans="1:23">
      <c r="A16" s="18">
        <f t="shared" si="0"/>
        <v>44724</v>
      </c>
      <c r="B16" s="34">
        <v>127</v>
      </c>
      <c r="C16" s="34">
        <v>293</v>
      </c>
      <c r="D16" s="19">
        <v>1552005</v>
      </c>
      <c r="E16" s="19">
        <v>1732348</v>
      </c>
      <c r="F16" s="19">
        <v>323175</v>
      </c>
      <c r="G16" s="19">
        <v>7818858</v>
      </c>
      <c r="H16" s="30">
        <v>34245</v>
      </c>
      <c r="I16" s="30">
        <v>5984215</v>
      </c>
      <c r="J16" s="19">
        <v>111843</v>
      </c>
      <c r="K16" s="19">
        <v>2655352</v>
      </c>
      <c r="L16" s="26">
        <v>3569</v>
      </c>
      <c r="M16" s="26">
        <v>2881</v>
      </c>
      <c r="N16" s="19">
        <v>1894876</v>
      </c>
      <c r="O16" s="19">
        <v>396236</v>
      </c>
      <c r="P16" s="19">
        <v>354599</v>
      </c>
      <c r="Q16" s="19">
        <v>58476</v>
      </c>
      <c r="R16" s="19">
        <v>54456</v>
      </c>
      <c r="S16" s="19">
        <v>31437</v>
      </c>
      <c r="T16" s="19">
        <v>3813</v>
      </c>
    </row>
    <row r="17" spans="1:22">
      <c r="A17" s="18">
        <f t="shared" si="0"/>
        <v>44725</v>
      </c>
      <c r="B17" s="34">
        <v>39</v>
      </c>
      <c r="C17" s="34">
        <v>68</v>
      </c>
      <c r="D17" s="19">
        <v>1554425</v>
      </c>
      <c r="E17" s="19">
        <v>1735340</v>
      </c>
      <c r="F17" s="19">
        <v>323175</v>
      </c>
      <c r="G17" s="19">
        <v>7820453</v>
      </c>
      <c r="H17" s="30">
        <v>34245</v>
      </c>
      <c r="I17" s="30">
        <v>5986706</v>
      </c>
      <c r="J17" s="19">
        <v>112969</v>
      </c>
      <c r="K17" s="19">
        <v>2655354</v>
      </c>
      <c r="L17" s="26">
        <v>3416</v>
      </c>
      <c r="M17" s="26">
        <v>2808</v>
      </c>
      <c r="N17" s="19">
        <v>1896975</v>
      </c>
      <c r="O17" s="19">
        <v>396366</v>
      </c>
      <c r="P17" s="19">
        <v>354656</v>
      </c>
      <c r="Q17" s="19">
        <v>58539</v>
      </c>
      <c r="R17" s="19">
        <v>54465</v>
      </c>
      <c r="S17" s="19">
        <v>31449</v>
      </c>
      <c r="T17" s="19">
        <v>3820</v>
      </c>
    </row>
    <row r="18" spans="1:22">
      <c r="A18" s="18">
        <f t="shared" si="0"/>
        <v>44726</v>
      </c>
      <c r="B18" s="34">
        <v>52</v>
      </c>
      <c r="C18" s="34">
        <v>92</v>
      </c>
      <c r="D18" s="19">
        <v>1556680</v>
      </c>
      <c r="E18" s="19">
        <v>1738315</v>
      </c>
      <c r="F18" s="19">
        <v>323200</v>
      </c>
      <c r="G18" s="19">
        <v>7822154</v>
      </c>
      <c r="H18" s="30">
        <v>34245</v>
      </c>
      <c r="I18" s="30">
        <v>5989158</v>
      </c>
      <c r="J18" s="19">
        <v>114049</v>
      </c>
      <c r="K18" s="19">
        <v>2655357</v>
      </c>
      <c r="L18" s="25">
        <v>1915</v>
      </c>
      <c r="M18" s="25">
        <v>2730</v>
      </c>
      <c r="N18" s="19">
        <v>1899079</v>
      </c>
      <c r="O18" s="30">
        <f>((O19-O17)/2)+O17</f>
        <v>396456.5</v>
      </c>
      <c r="P18" s="19">
        <v>354713</v>
      </c>
      <c r="Q18" s="19">
        <v>58599</v>
      </c>
      <c r="R18" s="19">
        <v>54472</v>
      </c>
      <c r="S18" s="19">
        <v>31449</v>
      </c>
      <c r="T18" s="19">
        <v>3823</v>
      </c>
    </row>
    <row r="19" spans="1:22">
      <c r="A19" s="18">
        <f t="shared" si="0"/>
        <v>44727</v>
      </c>
      <c r="B19" s="34">
        <v>52</v>
      </c>
      <c r="C19" s="34">
        <v>98</v>
      </c>
      <c r="D19" s="19">
        <v>1559194</v>
      </c>
      <c r="E19" s="19">
        <v>1743886</v>
      </c>
      <c r="F19" s="19">
        <v>323733</v>
      </c>
      <c r="G19" s="19">
        <v>7823924</v>
      </c>
      <c r="H19" s="30">
        <v>34245</v>
      </c>
      <c r="I19" s="30">
        <v>5991687</v>
      </c>
      <c r="J19" s="19">
        <v>115084</v>
      </c>
      <c r="K19" s="19">
        <v>2655359</v>
      </c>
      <c r="L19" s="26">
        <v>0</v>
      </c>
      <c r="M19" s="26">
        <v>1801</v>
      </c>
      <c r="N19" s="19">
        <v>1900641</v>
      </c>
      <c r="O19" s="19">
        <v>396547</v>
      </c>
      <c r="P19" s="19">
        <v>354762</v>
      </c>
      <c r="Q19" s="19">
        <v>58655</v>
      </c>
      <c r="R19" s="19">
        <v>54479</v>
      </c>
      <c r="S19" s="19">
        <v>31450</v>
      </c>
      <c r="T19" s="19">
        <v>3828</v>
      </c>
    </row>
    <row r="20" spans="1:22">
      <c r="A20" s="18">
        <f t="shared" si="0"/>
        <v>44728</v>
      </c>
      <c r="B20" s="34">
        <v>95</v>
      </c>
      <c r="C20" s="34">
        <v>160</v>
      </c>
      <c r="D20" s="19">
        <v>1563550</v>
      </c>
      <c r="E20" s="19">
        <v>1749405</v>
      </c>
      <c r="F20" s="19">
        <v>324322</v>
      </c>
      <c r="G20" s="19">
        <v>7825789</v>
      </c>
      <c r="H20" s="30">
        <v>34245</v>
      </c>
      <c r="I20" s="30">
        <v>5993847</v>
      </c>
      <c r="J20" s="19">
        <v>115948</v>
      </c>
      <c r="K20" s="19">
        <v>2655746</v>
      </c>
      <c r="L20" s="26">
        <v>0</v>
      </c>
      <c r="M20" s="26">
        <v>1033</v>
      </c>
      <c r="N20" s="19">
        <v>1901417</v>
      </c>
      <c r="O20" s="19">
        <v>396642</v>
      </c>
      <c r="P20" s="19">
        <v>354814</v>
      </c>
      <c r="Q20" s="19">
        <v>58714</v>
      </c>
      <c r="R20" s="19">
        <v>54485</v>
      </c>
      <c r="S20" s="19">
        <v>31452</v>
      </c>
      <c r="T20" s="19">
        <v>3831</v>
      </c>
    </row>
    <row r="21" spans="1:22">
      <c r="A21" s="18">
        <f t="shared" si="0"/>
        <v>44729</v>
      </c>
      <c r="B21" s="34">
        <v>96</v>
      </c>
      <c r="C21" s="34">
        <v>200</v>
      </c>
      <c r="D21" s="19">
        <v>1567192</v>
      </c>
      <c r="E21" s="19">
        <v>1755606</v>
      </c>
      <c r="F21" s="19">
        <v>324855</v>
      </c>
      <c r="G21" s="19">
        <v>7827785</v>
      </c>
      <c r="H21" s="30">
        <v>34245</v>
      </c>
      <c r="I21" s="30">
        <v>5996514</v>
      </c>
      <c r="J21" s="19">
        <v>117119</v>
      </c>
      <c r="K21" s="19">
        <v>2655985</v>
      </c>
      <c r="L21" s="26">
        <v>0</v>
      </c>
      <c r="M21" s="26">
        <v>1479</v>
      </c>
      <c r="N21" s="19">
        <v>1902380</v>
      </c>
      <c r="O21" s="19">
        <v>396745</v>
      </c>
      <c r="P21" s="19">
        <v>354873</v>
      </c>
      <c r="Q21" s="19">
        <v>58779</v>
      </c>
      <c r="R21" s="19">
        <v>54496</v>
      </c>
      <c r="S21" s="19">
        <v>31454</v>
      </c>
      <c r="T21" s="19">
        <v>3834</v>
      </c>
    </row>
    <row r="22" spans="1:22">
      <c r="A22" s="18">
        <f t="shared" si="0"/>
        <v>44730</v>
      </c>
      <c r="B22" s="34">
        <v>122</v>
      </c>
      <c r="C22" s="34">
        <v>263</v>
      </c>
      <c r="D22" s="19">
        <v>1572571</v>
      </c>
      <c r="E22" s="19">
        <v>1761913</v>
      </c>
      <c r="F22" s="19">
        <v>325512</v>
      </c>
      <c r="G22" s="19">
        <v>7829721</v>
      </c>
      <c r="H22" s="30">
        <v>34245</v>
      </c>
      <c r="I22" s="30">
        <v>5999077</v>
      </c>
      <c r="J22" s="19">
        <v>118252</v>
      </c>
      <c r="K22" s="19">
        <v>2656472</v>
      </c>
      <c r="L22" s="26">
        <v>491</v>
      </c>
      <c r="M22" s="26">
        <v>1860</v>
      </c>
      <c r="N22" s="19">
        <v>1903152</v>
      </c>
      <c r="O22" s="19">
        <v>396870</v>
      </c>
      <c r="P22" s="19">
        <v>354944</v>
      </c>
      <c r="Q22" s="19">
        <v>58855</v>
      </c>
      <c r="R22" s="19">
        <v>54507</v>
      </c>
      <c r="S22" s="19">
        <v>31455</v>
      </c>
      <c r="T22" s="19">
        <v>3841</v>
      </c>
    </row>
    <row r="23" spans="1:22">
      <c r="A23" s="18">
        <f t="shared" si="0"/>
        <v>44731</v>
      </c>
      <c r="B23" s="34">
        <v>125</v>
      </c>
      <c r="C23" s="34">
        <v>290</v>
      </c>
      <c r="D23" s="19">
        <v>1575299</v>
      </c>
      <c r="E23" s="19">
        <v>1768079</v>
      </c>
      <c r="F23" s="19">
        <v>326058</v>
      </c>
      <c r="G23" s="19">
        <v>7831875</v>
      </c>
      <c r="H23" s="30">
        <v>34245</v>
      </c>
      <c r="I23" s="30">
        <v>6001950</v>
      </c>
      <c r="J23" s="19">
        <v>119565</v>
      </c>
      <c r="K23" s="19">
        <v>2656496</v>
      </c>
      <c r="L23" s="26">
        <v>1466</v>
      </c>
      <c r="M23" s="26">
        <v>2924</v>
      </c>
      <c r="N23" s="19">
        <v>1904621</v>
      </c>
      <c r="O23" s="19">
        <v>396999</v>
      </c>
      <c r="P23" s="19">
        <v>355018</v>
      </c>
      <c r="Q23" s="19">
        <v>58932</v>
      </c>
      <c r="R23" s="19">
        <v>54515</v>
      </c>
      <c r="S23" s="19">
        <v>31456</v>
      </c>
      <c r="T23" s="19">
        <v>3848</v>
      </c>
    </row>
    <row r="24" spans="1:22">
      <c r="A24" s="18">
        <f t="shared" si="0"/>
        <v>44732</v>
      </c>
      <c r="B24" s="34">
        <v>101</v>
      </c>
      <c r="C24" s="34">
        <v>78</v>
      </c>
      <c r="D24" s="19">
        <v>1577579</v>
      </c>
      <c r="E24" s="19">
        <v>1771968</v>
      </c>
      <c r="F24" s="19">
        <v>326230</v>
      </c>
      <c r="G24" s="19">
        <v>7833750</v>
      </c>
      <c r="H24" s="30">
        <v>34245</v>
      </c>
      <c r="I24" s="30">
        <v>6004473</v>
      </c>
      <c r="J24" s="19">
        <v>120718</v>
      </c>
      <c r="K24" s="19">
        <v>2656496</v>
      </c>
      <c r="L24" s="26">
        <v>3418</v>
      </c>
      <c r="M24" s="26">
        <v>2903</v>
      </c>
      <c r="N24" s="19">
        <v>1906681</v>
      </c>
      <c r="O24" s="19">
        <v>397117</v>
      </c>
      <c r="P24" s="19">
        <v>355082</v>
      </c>
      <c r="Q24" s="19">
        <v>59003</v>
      </c>
      <c r="R24" s="19">
        <v>54523</v>
      </c>
      <c r="S24" s="19">
        <v>31462</v>
      </c>
      <c r="T24" s="19">
        <v>3852</v>
      </c>
    </row>
    <row r="25" spans="1:22">
      <c r="A25" s="18">
        <f t="shared" si="0"/>
        <v>44733</v>
      </c>
      <c r="B25" s="34">
        <v>131</v>
      </c>
      <c r="C25" s="34">
        <v>78</v>
      </c>
      <c r="D25" s="19">
        <v>1580170</v>
      </c>
      <c r="E25" s="19">
        <v>1774947</v>
      </c>
      <c r="F25" s="19">
        <v>326245</v>
      </c>
      <c r="G25" s="19">
        <v>7835629</v>
      </c>
      <c r="H25" s="30">
        <v>34265</v>
      </c>
      <c r="I25" s="30">
        <v>6006839</v>
      </c>
      <c r="J25" s="19">
        <v>121700</v>
      </c>
      <c r="K25" s="19">
        <v>2656496</v>
      </c>
      <c r="L25" s="29">
        <v>3464</v>
      </c>
      <c r="M25" s="27">
        <v>2877</v>
      </c>
      <c r="N25" s="19">
        <v>1908802</v>
      </c>
      <c r="O25" s="19">
        <v>397216</v>
      </c>
      <c r="P25" s="19">
        <v>355136</v>
      </c>
      <c r="Q25" s="19">
        <v>59062</v>
      </c>
      <c r="R25" s="19">
        <v>54531</v>
      </c>
      <c r="S25" s="19">
        <v>31462</v>
      </c>
      <c r="T25" s="19">
        <v>3857</v>
      </c>
    </row>
    <row r="26" spans="1:22">
      <c r="A26" s="18">
        <f t="shared" si="0"/>
        <v>44734</v>
      </c>
      <c r="B26" s="34">
        <v>68</v>
      </c>
      <c r="C26" s="36">
        <v>87</v>
      </c>
      <c r="D26" s="22">
        <v>1583304</v>
      </c>
      <c r="E26" s="22">
        <v>1777948</v>
      </c>
      <c r="F26" s="22">
        <v>326255</v>
      </c>
      <c r="G26" s="22">
        <v>7837710</v>
      </c>
      <c r="H26" s="23">
        <v>34318</v>
      </c>
      <c r="I26" s="23">
        <v>6009307</v>
      </c>
      <c r="J26" s="23">
        <v>122689</v>
      </c>
      <c r="K26" s="22">
        <v>2656508</v>
      </c>
      <c r="L26" s="27">
        <v>2466</v>
      </c>
      <c r="M26" s="27">
        <v>2910</v>
      </c>
      <c r="N26" s="22">
        <v>1911047</v>
      </c>
      <c r="O26" s="22">
        <v>397326</v>
      </c>
      <c r="P26" s="22">
        <v>355213</v>
      </c>
      <c r="Q26" s="22">
        <v>59140</v>
      </c>
      <c r="R26" s="22">
        <v>54536</v>
      </c>
      <c r="S26" s="22">
        <v>31464</v>
      </c>
      <c r="T26" s="22">
        <v>3861</v>
      </c>
      <c r="V26" s="31"/>
    </row>
    <row r="27" spans="1:22">
      <c r="A27" s="18">
        <f t="shared" si="0"/>
        <v>44735</v>
      </c>
      <c r="B27" s="34">
        <v>124</v>
      </c>
      <c r="C27" s="36">
        <v>159</v>
      </c>
      <c r="D27" s="22">
        <v>1586291</v>
      </c>
      <c r="E27" s="22">
        <v>1782767</v>
      </c>
      <c r="F27" s="22">
        <v>326596</v>
      </c>
      <c r="G27" s="22">
        <v>7839732</v>
      </c>
      <c r="H27" s="23">
        <v>34338</v>
      </c>
      <c r="I27" s="23">
        <v>6011633</v>
      </c>
      <c r="J27" s="23">
        <v>123628</v>
      </c>
      <c r="K27" s="22">
        <v>2656508</v>
      </c>
      <c r="L27" s="27">
        <v>1854</v>
      </c>
      <c r="M27" s="27">
        <v>2922</v>
      </c>
      <c r="N27" s="22">
        <v>1912580</v>
      </c>
      <c r="O27" s="23">
        <v>397442</v>
      </c>
      <c r="P27" s="22">
        <v>355273</v>
      </c>
      <c r="Q27" s="22">
        <v>59202</v>
      </c>
      <c r="R27" s="22">
        <v>54542</v>
      </c>
      <c r="S27" s="22">
        <v>31464</v>
      </c>
      <c r="T27" s="22">
        <v>3864</v>
      </c>
      <c r="V27" s="31"/>
    </row>
    <row r="28" spans="1:22">
      <c r="A28" s="18">
        <f t="shared" si="0"/>
        <v>44736</v>
      </c>
      <c r="B28" s="34">
        <v>104</v>
      </c>
      <c r="C28" s="36">
        <v>171</v>
      </c>
      <c r="D28" s="22">
        <v>1588930</v>
      </c>
      <c r="E28" s="22">
        <v>1786277</v>
      </c>
      <c r="F28" s="22">
        <v>326697</v>
      </c>
      <c r="G28" s="22">
        <v>7841922</v>
      </c>
      <c r="H28" s="23">
        <v>34338</v>
      </c>
      <c r="I28" s="23">
        <v>6014169</v>
      </c>
      <c r="J28" s="23">
        <v>124702</v>
      </c>
      <c r="K28" s="22">
        <v>2656508</v>
      </c>
      <c r="L28" s="27">
        <v>3489</v>
      </c>
      <c r="M28" s="27">
        <v>2917</v>
      </c>
      <c r="N28" s="22">
        <v>1914665</v>
      </c>
      <c r="O28" s="23">
        <v>397552</v>
      </c>
      <c r="P28" s="22">
        <v>355341</v>
      </c>
      <c r="Q28" s="22">
        <v>59273</v>
      </c>
      <c r="R28" s="22">
        <v>54550</v>
      </c>
      <c r="S28" s="22">
        <v>31465</v>
      </c>
      <c r="T28" s="22">
        <v>3868</v>
      </c>
      <c r="V28" s="31"/>
    </row>
    <row r="29" spans="1:22">
      <c r="A29" s="18">
        <f t="shared" si="0"/>
        <v>44737</v>
      </c>
      <c r="B29" s="34">
        <v>126</v>
      </c>
      <c r="C29" s="36">
        <v>212</v>
      </c>
      <c r="D29" s="22">
        <v>1591521</v>
      </c>
      <c r="E29" s="22">
        <v>1789436</v>
      </c>
      <c r="F29" s="22">
        <v>326697</v>
      </c>
      <c r="G29" s="22">
        <v>7844001</v>
      </c>
      <c r="H29" s="23">
        <v>34338</v>
      </c>
      <c r="I29" s="23">
        <v>6016852</v>
      </c>
      <c r="J29" s="23">
        <v>125909</v>
      </c>
      <c r="K29" s="22">
        <v>2656508</v>
      </c>
      <c r="L29" s="27">
        <v>3524</v>
      </c>
      <c r="M29" s="27">
        <v>2902</v>
      </c>
      <c r="N29" s="22">
        <v>1916935</v>
      </c>
      <c r="O29" s="23">
        <v>397657</v>
      </c>
      <c r="P29" s="22">
        <v>355415</v>
      </c>
      <c r="Q29" s="22">
        <v>59351</v>
      </c>
      <c r="R29" s="22">
        <v>54559</v>
      </c>
      <c r="S29" s="22">
        <v>31466</v>
      </c>
      <c r="T29" s="22">
        <v>3871</v>
      </c>
      <c r="V29" s="31"/>
    </row>
    <row r="30" spans="1:22">
      <c r="A30" s="18">
        <f t="shared" si="0"/>
        <v>44738</v>
      </c>
      <c r="B30" s="34">
        <v>75</v>
      </c>
      <c r="C30" s="36">
        <v>118</v>
      </c>
      <c r="D30" s="22">
        <v>1593889</v>
      </c>
      <c r="E30" s="22">
        <v>1792504</v>
      </c>
      <c r="F30" s="22">
        <v>326697</v>
      </c>
      <c r="G30" s="22">
        <v>7846114</v>
      </c>
      <c r="H30" s="23">
        <v>34338</v>
      </c>
      <c r="I30" s="23">
        <v>6019486</v>
      </c>
      <c r="J30" s="22">
        <v>127134</v>
      </c>
      <c r="K30" s="22">
        <v>2656508</v>
      </c>
      <c r="L30" s="27">
        <v>3524</v>
      </c>
      <c r="M30" s="27">
        <v>2920</v>
      </c>
      <c r="N30" s="22">
        <v>1919156</v>
      </c>
      <c r="O30" s="22">
        <v>397778</v>
      </c>
      <c r="P30" s="22">
        <v>355492</v>
      </c>
      <c r="Q30" s="22">
        <v>59431</v>
      </c>
      <c r="R30" s="22">
        <v>54566</v>
      </c>
      <c r="S30" s="22">
        <v>31466</v>
      </c>
      <c r="T30" s="22">
        <v>3878</v>
      </c>
      <c r="V30" s="31"/>
    </row>
    <row r="31" spans="1:22">
      <c r="A31" s="18">
        <f t="shared" si="0"/>
        <v>44739</v>
      </c>
      <c r="B31" s="34">
        <v>134</v>
      </c>
      <c r="C31" s="36">
        <v>139</v>
      </c>
      <c r="D31" s="22">
        <v>1596480</v>
      </c>
      <c r="E31" s="22">
        <v>1795493</v>
      </c>
      <c r="F31" s="22">
        <v>326697</v>
      </c>
      <c r="G31" s="22">
        <v>7848109</v>
      </c>
      <c r="H31" s="23">
        <v>34338</v>
      </c>
      <c r="I31" s="23">
        <v>6022090</v>
      </c>
      <c r="J31" s="22">
        <v>128296</v>
      </c>
      <c r="K31" s="22">
        <v>2656508</v>
      </c>
      <c r="L31" s="27">
        <v>3562</v>
      </c>
      <c r="M31" s="27">
        <v>2926</v>
      </c>
      <c r="N31" s="22">
        <v>326697</v>
      </c>
      <c r="O31" s="22">
        <v>397900</v>
      </c>
      <c r="P31" s="22">
        <v>355574</v>
      </c>
      <c r="Q31" s="22">
        <v>59514</v>
      </c>
      <c r="R31" s="22">
        <v>54574</v>
      </c>
      <c r="S31" s="22">
        <v>31477</v>
      </c>
      <c r="T31" s="22">
        <v>3885</v>
      </c>
      <c r="V31" s="31"/>
    </row>
    <row r="32" spans="1:22">
      <c r="A32" s="18">
        <f t="shared" si="0"/>
        <v>44740</v>
      </c>
      <c r="B32" s="34">
        <v>17</v>
      </c>
      <c r="C32" s="36">
        <v>34</v>
      </c>
      <c r="D32" s="22">
        <v>1600072</v>
      </c>
      <c r="E32" s="22">
        <v>1797486</v>
      </c>
      <c r="F32" s="22">
        <v>326697</v>
      </c>
      <c r="G32" s="22">
        <v>7850207</v>
      </c>
      <c r="H32" s="23">
        <v>34533</v>
      </c>
      <c r="I32" s="23">
        <v>6024746</v>
      </c>
      <c r="J32" s="22">
        <v>129448</v>
      </c>
      <c r="K32" s="22">
        <v>2656508</v>
      </c>
      <c r="L32" s="27">
        <v>3486</v>
      </c>
      <c r="M32" s="27">
        <v>2886</v>
      </c>
      <c r="N32" s="22">
        <v>1923629</v>
      </c>
      <c r="O32" s="22">
        <v>398022</v>
      </c>
      <c r="P32" s="22">
        <v>355644</v>
      </c>
      <c r="Q32" s="22">
        <v>59585</v>
      </c>
      <c r="R32" s="22">
        <v>54580</v>
      </c>
      <c r="S32" s="22">
        <v>31477</v>
      </c>
      <c r="T32" s="22">
        <v>3895</v>
      </c>
    </row>
    <row r="33" spans="1:20">
      <c r="A33" s="18">
        <f t="shared" si="0"/>
        <v>44741</v>
      </c>
      <c r="B33" s="34">
        <v>63</v>
      </c>
      <c r="C33" s="36">
        <v>63</v>
      </c>
      <c r="D33" s="21">
        <v>1603050</v>
      </c>
      <c r="E33" s="22">
        <v>1799900</v>
      </c>
      <c r="F33" s="22">
        <v>326706</v>
      </c>
      <c r="G33" s="22">
        <v>7852259</v>
      </c>
      <c r="H33" s="22">
        <v>34609</v>
      </c>
      <c r="I33" s="22">
        <v>6027114</v>
      </c>
      <c r="J33" s="22">
        <v>130433</v>
      </c>
      <c r="K33" s="22">
        <v>2656521</v>
      </c>
      <c r="L33" s="28">
        <v>3258</v>
      </c>
      <c r="M33" s="28">
        <v>2927</v>
      </c>
      <c r="N33" s="22">
        <v>1925789</v>
      </c>
      <c r="O33" s="22">
        <v>398124</v>
      </c>
      <c r="P33" s="22">
        <v>355691</v>
      </c>
      <c r="Q33" s="22">
        <v>59643</v>
      </c>
      <c r="R33" s="22">
        <v>54586</v>
      </c>
      <c r="S33" s="22">
        <v>31478</v>
      </c>
      <c r="T33" s="22">
        <v>3903</v>
      </c>
    </row>
    <row r="34" spans="1:20">
      <c r="A34" s="18">
        <f>A33+1</f>
        <v>44742</v>
      </c>
      <c r="B34" s="34">
        <v>78</v>
      </c>
      <c r="C34" s="36">
        <v>78</v>
      </c>
      <c r="D34" s="21">
        <v>1605449</v>
      </c>
      <c r="E34" s="22">
        <v>1802955</v>
      </c>
      <c r="F34" s="22">
        <v>326751</v>
      </c>
      <c r="G34" s="22">
        <v>7854405</v>
      </c>
      <c r="H34" s="22">
        <v>34609</v>
      </c>
      <c r="I34" s="22">
        <v>6029591</v>
      </c>
      <c r="J34" s="22">
        <v>131513</v>
      </c>
      <c r="K34" s="22">
        <v>2656521</v>
      </c>
      <c r="L34" s="28">
        <v>3543</v>
      </c>
      <c r="M34" s="28">
        <v>2927</v>
      </c>
      <c r="N34" s="22">
        <v>1927882</v>
      </c>
      <c r="O34" s="22">
        <v>398220</v>
      </c>
      <c r="P34" s="22">
        <v>355742</v>
      </c>
      <c r="Q34" s="22">
        <v>59699</v>
      </c>
      <c r="R34" s="22">
        <v>54593</v>
      </c>
      <c r="S34" s="22">
        <v>31486</v>
      </c>
      <c r="T34" s="22">
        <v>3906</v>
      </c>
    </row>
    <row r="35" spans="1:20">
      <c r="B35" s="37"/>
      <c r="C35" s="37"/>
    </row>
    <row r="36" spans="1:20">
      <c r="B36" s="38"/>
      <c r="C36" s="38"/>
    </row>
    <row r="37" spans="1:20">
      <c r="B37" s="38"/>
      <c r="C37" s="38"/>
    </row>
    <row r="38" spans="1:20">
      <c r="B38" s="38"/>
      <c r="C38" s="38"/>
    </row>
    <row r="39" spans="1:20">
      <c r="B39" s="38"/>
      <c r="C39" s="38"/>
    </row>
    <row r="40" spans="1:20">
      <c r="B40" s="38"/>
      <c r="C40" s="38"/>
    </row>
    <row r="41" spans="1:20">
      <c r="B41" s="38"/>
      <c r="C41" s="38"/>
    </row>
    <row r="42" spans="1:20">
      <c r="B42" s="38"/>
      <c r="C42" s="38"/>
    </row>
    <row r="43" spans="1:20">
      <c r="B43" s="38"/>
      <c r="C43" s="38"/>
    </row>
    <row r="44" spans="1:20">
      <c r="B44" s="38"/>
      <c r="C44" s="38"/>
    </row>
    <row r="45" spans="1:20">
      <c r="B45" s="38"/>
      <c r="C45" s="38"/>
    </row>
    <row r="46" spans="1:20">
      <c r="B46" s="38"/>
      <c r="C46" s="38"/>
    </row>
    <row r="47" spans="1:20">
      <c r="B47" s="38"/>
      <c r="C47" s="38"/>
    </row>
    <row r="48" spans="1:20">
      <c r="B48" s="38"/>
      <c r="C48" s="38"/>
    </row>
    <row r="49" spans="2:3">
      <c r="B49" s="38"/>
      <c r="C49" s="38"/>
    </row>
    <row r="50" spans="2:3">
      <c r="B50" s="38"/>
      <c r="C50" s="38"/>
    </row>
    <row r="51" spans="2:3">
      <c r="B51" s="38"/>
      <c r="C51" s="38"/>
    </row>
    <row r="52" spans="2:3">
      <c r="B52" s="38"/>
      <c r="C52" s="38"/>
    </row>
    <row r="53" spans="2:3">
      <c r="B53" s="38"/>
      <c r="C53" s="38"/>
    </row>
    <row r="54" spans="2:3">
      <c r="B54" s="38"/>
      <c r="C54" s="38"/>
    </row>
    <row r="55" spans="2:3">
      <c r="B55" s="38"/>
      <c r="C55" s="38"/>
    </row>
    <row r="56" spans="2:3">
      <c r="B56" s="38"/>
      <c r="C56" s="38"/>
    </row>
    <row r="57" spans="2:3">
      <c r="B57" s="38"/>
      <c r="C57" s="38"/>
    </row>
    <row r="58" spans="2:3">
      <c r="B58" s="38"/>
      <c r="C58" s="38"/>
    </row>
    <row r="59" spans="2:3">
      <c r="B59" s="38"/>
      <c r="C59" s="38"/>
    </row>
    <row r="60" spans="2:3">
      <c r="B60" s="38"/>
      <c r="C60" s="38"/>
    </row>
    <row r="61" spans="2:3">
      <c r="B61" s="38"/>
      <c r="C61" s="38"/>
    </row>
    <row r="62" spans="2:3">
      <c r="B62" s="38"/>
      <c r="C62" s="38"/>
    </row>
    <row r="63" spans="2:3">
      <c r="B63" s="38"/>
      <c r="C63" s="38"/>
    </row>
    <row r="64" spans="2:3">
      <c r="B64" s="38"/>
      <c r="C64" s="38"/>
    </row>
    <row r="65" spans="2:3">
      <c r="B65" s="38"/>
      <c r="C65" s="38"/>
    </row>
    <row r="66" spans="2:3">
      <c r="B66" s="38"/>
      <c r="C66" s="38"/>
    </row>
    <row r="67" spans="2:3">
      <c r="B67" s="38"/>
      <c r="C67" s="38"/>
    </row>
    <row r="68" spans="2:3">
      <c r="B68" s="38"/>
      <c r="C68" s="38"/>
    </row>
    <row r="69" spans="2:3">
      <c r="B69" s="38"/>
      <c r="C69" s="38"/>
    </row>
    <row r="70" spans="2:3">
      <c r="B70" s="38"/>
      <c r="C70" s="38"/>
    </row>
    <row r="71" spans="2:3">
      <c r="B71" s="38"/>
      <c r="C71" s="38"/>
    </row>
    <row r="72" spans="2:3">
      <c r="B72" s="38"/>
      <c r="C72" s="38"/>
    </row>
    <row r="73" spans="2:3">
      <c r="B73" s="38"/>
      <c r="C73" s="38"/>
    </row>
    <row r="74" spans="2:3">
      <c r="B74" s="38"/>
      <c r="C74" s="38"/>
    </row>
    <row r="75" spans="2:3">
      <c r="B75" s="38"/>
      <c r="C75" s="38"/>
    </row>
    <row r="76" spans="2:3">
      <c r="B76" s="38"/>
      <c r="C76" s="38"/>
    </row>
    <row r="77" spans="2:3">
      <c r="B77" s="38"/>
      <c r="C77" s="38"/>
    </row>
    <row r="78" spans="2:3">
      <c r="B78" s="38"/>
      <c r="C78" s="38"/>
    </row>
    <row r="79" spans="2:3">
      <c r="B79" s="38"/>
      <c r="C79" s="38"/>
    </row>
    <row r="80" spans="2:3">
      <c r="B80" s="38"/>
      <c r="C80" s="38"/>
    </row>
    <row r="81" spans="2:3">
      <c r="B81" s="38"/>
      <c r="C81" s="38"/>
    </row>
    <row r="82" spans="2:3">
      <c r="B82" s="38"/>
      <c r="C82" s="38"/>
    </row>
    <row r="83" spans="2:3">
      <c r="B83" s="38"/>
      <c r="C83" s="38"/>
    </row>
    <row r="84" spans="2:3">
      <c r="B84" s="38"/>
      <c r="C84" s="38"/>
    </row>
    <row r="85" spans="2:3">
      <c r="B85" s="38"/>
      <c r="C85" s="38"/>
    </row>
    <row r="86" spans="2:3">
      <c r="B86" s="38"/>
      <c r="C86" s="38"/>
    </row>
    <row r="87" spans="2:3">
      <c r="B87" s="38"/>
      <c r="C87" s="38"/>
    </row>
    <row r="88" spans="2:3">
      <c r="B88" s="38"/>
      <c r="C88" s="38"/>
    </row>
    <row r="89" spans="2:3">
      <c r="B89" s="38"/>
      <c r="C89" s="38"/>
    </row>
    <row r="90" spans="2:3">
      <c r="B90" s="38"/>
      <c r="C90" s="38"/>
    </row>
    <row r="91" spans="2:3">
      <c r="B91" s="38"/>
      <c r="C91" s="38"/>
    </row>
    <row r="92" spans="2:3">
      <c r="B92" s="38"/>
      <c r="C92" s="38"/>
    </row>
    <row r="93" spans="2:3">
      <c r="B93" s="38"/>
      <c r="C93" s="38"/>
    </row>
    <row r="94" spans="2:3">
      <c r="B94" s="38"/>
      <c r="C94" s="38"/>
    </row>
    <row r="95" spans="2:3">
      <c r="B95" s="38"/>
      <c r="C95" s="38"/>
    </row>
    <row r="96" spans="2:3">
      <c r="B96" s="38"/>
      <c r="C96" s="38"/>
    </row>
    <row r="97" spans="2:3">
      <c r="B97" s="38"/>
      <c r="C97" s="38"/>
    </row>
    <row r="98" spans="2:3">
      <c r="B98" s="38"/>
      <c r="C98" s="38"/>
    </row>
    <row r="99" spans="2:3">
      <c r="B99" s="38"/>
      <c r="C99" s="38"/>
    </row>
    <row r="100" spans="2:3">
      <c r="B100" s="38"/>
      <c r="C100" s="38"/>
    </row>
    <row r="101" spans="2:3">
      <c r="B101" s="38"/>
      <c r="C101" s="38"/>
    </row>
    <row r="102" spans="2:3">
      <c r="B102" s="38"/>
      <c r="C102" s="38"/>
    </row>
    <row r="103" spans="2:3">
      <c r="B103" s="38"/>
      <c r="C103" s="38"/>
    </row>
    <row r="104" spans="2:3">
      <c r="B104" s="38"/>
      <c r="C104" s="38"/>
    </row>
    <row r="105" spans="2:3">
      <c r="B105" s="38"/>
      <c r="C105" s="38"/>
    </row>
    <row r="106" spans="2:3">
      <c r="B106" s="38"/>
      <c r="C106" s="38"/>
    </row>
    <row r="107" spans="2:3">
      <c r="B107" s="38"/>
      <c r="C107" s="38"/>
    </row>
    <row r="108" spans="2:3">
      <c r="B108" s="38"/>
      <c r="C108" s="38"/>
    </row>
    <row r="109" spans="2:3">
      <c r="B109" s="38"/>
      <c r="C109" s="38"/>
    </row>
    <row r="110" spans="2:3">
      <c r="B110" s="38"/>
      <c r="C110" s="38"/>
    </row>
    <row r="111" spans="2:3">
      <c r="B111" s="38"/>
      <c r="C111" s="38"/>
    </row>
    <row r="112" spans="2:3">
      <c r="B112" s="38"/>
      <c r="C112" s="38"/>
    </row>
    <row r="113" spans="2:3">
      <c r="B113" s="38"/>
      <c r="C113" s="38"/>
    </row>
    <row r="114" spans="2:3">
      <c r="B114" s="38"/>
      <c r="C114" s="38"/>
    </row>
    <row r="115" spans="2:3">
      <c r="B115" s="38"/>
      <c r="C115" s="38"/>
    </row>
    <row r="116" spans="2:3">
      <c r="B116" s="38"/>
      <c r="C116" s="38"/>
    </row>
    <row r="117" spans="2:3">
      <c r="B117" s="38"/>
      <c r="C117" s="38"/>
    </row>
    <row r="118" spans="2:3">
      <c r="B118" s="38"/>
      <c r="C118" s="38"/>
    </row>
    <row r="119" spans="2:3">
      <c r="B119" s="38"/>
      <c r="C119" s="38"/>
    </row>
    <row r="120" spans="2:3">
      <c r="B120" s="38"/>
      <c r="C120" s="38"/>
    </row>
    <row r="121" spans="2:3">
      <c r="B121" s="38"/>
      <c r="C121" s="38"/>
    </row>
    <row r="122" spans="2:3">
      <c r="B122" s="38"/>
      <c r="C122" s="38"/>
    </row>
    <row r="123" spans="2:3">
      <c r="B123" s="38"/>
      <c r="C123" s="38"/>
    </row>
    <row r="124" spans="2:3">
      <c r="B124" s="38"/>
      <c r="C124" s="38"/>
    </row>
    <row r="125" spans="2:3">
      <c r="B125" s="38"/>
      <c r="C125" s="38"/>
    </row>
    <row r="126" spans="2:3">
      <c r="B126" s="38"/>
      <c r="C126" s="38"/>
    </row>
    <row r="127" spans="2:3">
      <c r="B127" s="38"/>
      <c r="C127" s="38"/>
    </row>
    <row r="128" spans="2:3">
      <c r="B128" s="38"/>
      <c r="C128" s="38"/>
    </row>
    <row r="129" spans="2:3">
      <c r="B129" s="38"/>
      <c r="C129" s="38"/>
    </row>
    <row r="130" spans="2:3">
      <c r="B130" s="38"/>
      <c r="C130" s="38"/>
    </row>
    <row r="131" spans="2:3">
      <c r="B131" s="38"/>
      <c r="C131" s="38"/>
    </row>
    <row r="132" spans="2:3">
      <c r="B132" s="38"/>
      <c r="C132" s="38"/>
    </row>
    <row r="133" spans="2:3">
      <c r="B133" s="38"/>
      <c r="C133" s="38"/>
    </row>
    <row r="134" spans="2:3">
      <c r="B134" s="38"/>
      <c r="C134" s="38"/>
    </row>
    <row r="135" spans="2:3">
      <c r="B135" s="38"/>
      <c r="C135" s="38"/>
    </row>
    <row r="136" spans="2:3">
      <c r="B136" s="38"/>
      <c r="C136" s="38"/>
    </row>
    <row r="137" spans="2:3">
      <c r="B137" s="38"/>
      <c r="C137" s="38"/>
    </row>
    <row r="138" spans="2:3">
      <c r="B138" s="38"/>
      <c r="C138" s="38"/>
    </row>
    <row r="139" spans="2:3">
      <c r="B139" s="38"/>
      <c r="C139" s="38"/>
    </row>
    <row r="140" spans="2:3">
      <c r="B140" s="38"/>
      <c r="C140" s="38"/>
    </row>
    <row r="141" spans="2:3">
      <c r="B141" s="38"/>
      <c r="C141" s="38"/>
    </row>
    <row r="142" spans="2:3">
      <c r="B142" s="38"/>
      <c r="C142" s="38"/>
    </row>
    <row r="143" spans="2:3">
      <c r="B143" s="38"/>
      <c r="C143" s="38"/>
    </row>
    <row r="144" spans="2:3">
      <c r="B144" s="38"/>
      <c r="C144" s="38"/>
    </row>
    <row r="145" spans="2:3">
      <c r="B145" s="38"/>
      <c r="C145" s="38"/>
    </row>
    <row r="146" spans="2:3">
      <c r="B146" s="38"/>
      <c r="C146" s="38"/>
    </row>
    <row r="147" spans="2:3">
      <c r="B147" s="38"/>
      <c r="C147" s="38"/>
    </row>
    <row r="148" spans="2:3">
      <c r="B148" s="38"/>
      <c r="C148" s="38"/>
    </row>
    <row r="149" spans="2:3">
      <c r="B149" s="38"/>
      <c r="C149" s="38"/>
    </row>
    <row r="150" spans="2:3">
      <c r="B150" s="38"/>
      <c r="C150" s="38"/>
    </row>
    <row r="151" spans="2:3">
      <c r="B151" s="38"/>
      <c r="C151" s="38"/>
    </row>
    <row r="152" spans="2:3">
      <c r="B152" s="38"/>
      <c r="C152" s="38"/>
    </row>
    <row r="153" spans="2:3">
      <c r="B153" s="38"/>
      <c r="C153" s="38"/>
    </row>
    <row r="154" spans="2:3">
      <c r="B154" s="38"/>
      <c r="C154" s="38"/>
    </row>
    <row r="155" spans="2:3">
      <c r="B155" s="38"/>
      <c r="C155" s="38"/>
    </row>
    <row r="156" spans="2:3">
      <c r="B156" s="38"/>
      <c r="C156" s="38"/>
    </row>
    <row r="157" spans="2:3">
      <c r="B157" s="38"/>
      <c r="C157" s="38"/>
    </row>
    <row r="158" spans="2:3">
      <c r="B158" s="38"/>
      <c r="C158" s="38"/>
    </row>
    <row r="159" spans="2:3">
      <c r="B159" s="38"/>
      <c r="C159" s="38"/>
    </row>
    <row r="160" spans="2:3">
      <c r="B160" s="38"/>
      <c r="C160" s="38"/>
    </row>
    <row r="161" spans="2:3">
      <c r="B161" s="38"/>
      <c r="C161" s="38"/>
    </row>
    <row r="162" spans="2:3">
      <c r="B162" s="38"/>
      <c r="C162" s="38"/>
    </row>
    <row r="163" spans="2:3">
      <c r="B163" s="38"/>
      <c r="C163" s="38"/>
    </row>
    <row r="164" spans="2:3">
      <c r="B164" s="38"/>
      <c r="C164" s="38"/>
    </row>
    <row r="165" spans="2:3">
      <c r="B165" s="38"/>
      <c r="C165" s="38"/>
    </row>
    <row r="166" spans="2:3">
      <c r="B166" s="38"/>
      <c r="C166" s="38"/>
    </row>
    <row r="167" spans="2:3">
      <c r="B167" s="38"/>
      <c r="C167" s="38"/>
    </row>
    <row r="168" spans="2:3">
      <c r="B168" s="38"/>
      <c r="C168" s="38"/>
    </row>
    <row r="169" spans="2:3">
      <c r="B169" s="38"/>
      <c r="C169" s="38"/>
    </row>
    <row r="170" spans="2:3">
      <c r="B170" s="38"/>
      <c r="C170" s="38"/>
    </row>
    <row r="171" spans="2:3">
      <c r="B171" s="38"/>
      <c r="C171" s="38"/>
    </row>
    <row r="172" spans="2:3">
      <c r="B172" s="38"/>
      <c r="C172" s="38"/>
    </row>
    <row r="173" spans="2:3">
      <c r="B173" s="38"/>
      <c r="C173" s="38"/>
    </row>
    <row r="174" spans="2:3">
      <c r="B174" s="38"/>
      <c r="C174" s="38"/>
    </row>
    <row r="175" spans="2:3">
      <c r="B175" s="38"/>
      <c r="C175" s="38"/>
    </row>
    <row r="176" spans="2:3">
      <c r="B176" s="38"/>
      <c r="C176" s="38"/>
    </row>
    <row r="177" spans="2:3">
      <c r="B177" s="38"/>
      <c r="C177" s="38"/>
    </row>
    <row r="178" spans="2:3">
      <c r="B178" s="38"/>
      <c r="C178" s="38"/>
    </row>
    <row r="179" spans="2:3">
      <c r="B179" s="38"/>
      <c r="C179" s="38"/>
    </row>
    <row r="180" spans="2:3">
      <c r="B180" s="38"/>
      <c r="C180" s="38"/>
    </row>
    <row r="181" spans="2:3">
      <c r="B181" s="38"/>
      <c r="C181" s="38"/>
    </row>
    <row r="182" spans="2:3">
      <c r="B182" s="38"/>
      <c r="C182" s="38"/>
    </row>
    <row r="183" spans="2:3">
      <c r="B183" s="38"/>
      <c r="C183" s="38"/>
    </row>
    <row r="184" spans="2:3">
      <c r="B184" s="38"/>
      <c r="C184" s="38"/>
    </row>
    <row r="185" spans="2:3">
      <c r="B185" s="38"/>
      <c r="C185" s="38"/>
    </row>
    <row r="186" spans="2:3">
      <c r="B186" s="38"/>
      <c r="C186" s="38"/>
    </row>
    <row r="187" spans="2:3">
      <c r="B187" s="38"/>
      <c r="C187" s="38"/>
    </row>
    <row r="188" spans="2:3">
      <c r="B188" s="38"/>
      <c r="C188" s="38"/>
    </row>
    <row r="189" spans="2:3">
      <c r="B189" s="38"/>
      <c r="C189" s="38"/>
    </row>
    <row r="190" spans="2:3">
      <c r="B190" s="38"/>
      <c r="C190" s="38"/>
    </row>
    <row r="191" spans="2:3">
      <c r="B191" s="38"/>
      <c r="C191" s="38"/>
    </row>
    <row r="192" spans="2:3">
      <c r="B192" s="38"/>
      <c r="C192" s="38"/>
    </row>
    <row r="193" spans="2:3">
      <c r="B193" s="38"/>
      <c r="C193" s="38"/>
    </row>
    <row r="194" spans="2:3">
      <c r="B194" s="38"/>
      <c r="C194" s="38"/>
    </row>
    <row r="195" spans="2:3">
      <c r="B195" s="38"/>
      <c r="C195" s="38"/>
    </row>
    <row r="196" spans="2:3">
      <c r="B196" s="38"/>
      <c r="C196" s="38"/>
    </row>
    <row r="197" spans="2:3">
      <c r="B197" s="38"/>
      <c r="C197" s="38"/>
    </row>
    <row r="198" spans="2:3">
      <c r="B198" s="38"/>
      <c r="C198" s="38"/>
    </row>
    <row r="199" spans="2:3">
      <c r="B199" s="38"/>
      <c r="C199" s="38"/>
    </row>
    <row r="200" spans="2:3">
      <c r="B200" s="38"/>
      <c r="C200" s="38"/>
    </row>
    <row r="201" spans="2:3">
      <c r="B201" s="38"/>
      <c r="C201" s="38"/>
    </row>
    <row r="202" spans="2:3">
      <c r="B202" s="38"/>
      <c r="C202" s="38"/>
    </row>
    <row r="203" spans="2:3">
      <c r="B203" s="38"/>
      <c r="C203" s="38"/>
    </row>
    <row r="204" spans="2:3">
      <c r="B204" s="38"/>
      <c r="C204" s="38"/>
    </row>
    <row r="205" spans="2:3">
      <c r="B205" s="38"/>
      <c r="C205" s="38"/>
    </row>
    <row r="206" spans="2:3">
      <c r="B206" s="38"/>
      <c r="C206" s="38"/>
    </row>
    <row r="207" spans="2:3">
      <c r="B207" s="38"/>
      <c r="C207" s="38"/>
    </row>
    <row r="208" spans="2:3">
      <c r="B208" s="38"/>
      <c r="C208" s="38"/>
    </row>
    <row r="209" spans="2:3">
      <c r="B209" s="38"/>
      <c r="C209" s="38"/>
    </row>
    <row r="210" spans="2:3">
      <c r="B210" s="38"/>
      <c r="C210" s="38"/>
    </row>
    <row r="211" spans="2:3">
      <c r="B211" s="38"/>
      <c r="C211" s="38"/>
    </row>
    <row r="212" spans="2:3">
      <c r="B212" s="38"/>
      <c r="C212" s="38"/>
    </row>
    <row r="213" spans="2:3">
      <c r="B213" s="38"/>
      <c r="C213" s="38"/>
    </row>
    <row r="214" spans="2:3">
      <c r="B214" s="38"/>
      <c r="C214" s="38"/>
    </row>
    <row r="215" spans="2:3">
      <c r="B215" s="38"/>
      <c r="C215" s="38"/>
    </row>
    <row r="216" spans="2:3">
      <c r="B216" s="38"/>
      <c r="C216" s="38"/>
    </row>
    <row r="217" spans="2:3">
      <c r="B217" s="38"/>
      <c r="C217" s="38"/>
    </row>
    <row r="218" spans="2:3">
      <c r="B218" s="38"/>
      <c r="C218" s="38"/>
    </row>
    <row r="219" spans="2:3">
      <c r="B219" s="38"/>
      <c r="C219" s="38"/>
    </row>
    <row r="220" spans="2:3">
      <c r="B220" s="38"/>
      <c r="C220" s="38"/>
    </row>
    <row r="221" spans="2:3">
      <c r="B221" s="38"/>
      <c r="C221" s="38"/>
    </row>
    <row r="222" spans="2:3">
      <c r="B222" s="38"/>
      <c r="C222" s="38"/>
    </row>
    <row r="223" spans="2:3">
      <c r="B223" s="38"/>
      <c r="C223" s="38"/>
    </row>
    <row r="224" spans="2:3">
      <c r="B224" s="38"/>
      <c r="C224" s="38"/>
    </row>
    <row r="225" spans="2:3">
      <c r="B225" s="38"/>
      <c r="C225" s="38"/>
    </row>
    <row r="226" spans="2:3">
      <c r="B226" s="38"/>
      <c r="C226" s="38"/>
    </row>
    <row r="227" spans="2:3">
      <c r="B227" s="38"/>
      <c r="C227" s="38"/>
    </row>
    <row r="228" spans="2:3">
      <c r="B228" s="38"/>
      <c r="C228" s="38"/>
    </row>
    <row r="229" spans="2:3">
      <c r="B229" s="38"/>
      <c r="C229" s="38"/>
    </row>
    <row r="230" spans="2:3">
      <c r="B230" s="38"/>
      <c r="C230" s="38"/>
    </row>
    <row r="231" spans="2:3">
      <c r="B231" s="38"/>
      <c r="C231" s="38"/>
    </row>
    <row r="232" spans="2:3">
      <c r="B232" s="38"/>
      <c r="C232" s="38"/>
    </row>
    <row r="233" spans="2:3">
      <c r="B233" s="38"/>
      <c r="C233" s="38"/>
    </row>
    <row r="234" spans="2:3">
      <c r="B234" s="38"/>
      <c r="C234" s="38"/>
    </row>
    <row r="235" spans="2:3">
      <c r="B235" s="38"/>
      <c r="C235" s="38"/>
    </row>
    <row r="236" spans="2:3">
      <c r="B236" s="38"/>
      <c r="C236" s="38"/>
    </row>
    <row r="237" spans="2:3">
      <c r="B237" s="38"/>
      <c r="C237" s="38"/>
    </row>
  </sheetData>
  <mergeCells count="20">
    <mergeCell ref="T1:T3"/>
    <mergeCell ref="M2:M3"/>
    <mergeCell ref="L2:L3"/>
    <mergeCell ref="N1:N3"/>
    <mergeCell ref="O1:O3"/>
    <mergeCell ref="P1:Q3"/>
    <mergeCell ref="R1:R3"/>
    <mergeCell ref="S1:S3"/>
    <mergeCell ref="A1:A3"/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  <mergeCell ref="D1:M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>Mihai Giurgiu</DisplayName>
        <AccountId>62</AccountId>
        <AccountType/>
      </UserInfo>
    </SharedWithUsers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6" ma:contentTypeDescription="Create a new document." ma:contentTypeScope="" ma:versionID="81b0e45494f70d550f0933c8704a847b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f0359d90319941969adcf037f8ce83d9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f7659-e828-429d-9d0c-0fbe586886a6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CDD560-7822-4EA1-8593-5175C6066E7C}"/>
</file>

<file path=customXml/itemProps2.xml><?xml version="1.0" encoding="utf-8"?>
<ds:datastoreItem xmlns:ds="http://schemas.openxmlformats.org/officeDocument/2006/customXml" ds:itemID="{A0BACACF-264B-4E80-A364-6E53198B6DA8}"/>
</file>

<file path=customXml/itemProps3.xml><?xml version="1.0" encoding="utf-8"?>
<ds:datastoreItem xmlns:ds="http://schemas.openxmlformats.org/officeDocument/2006/customXml" ds:itemID="{7D2821F4-2D1D-47EA-96F5-AEAEBFA7A8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/>
  <cp:revision/>
  <dcterms:created xsi:type="dcterms:W3CDTF">2017-05-03T09:23:30Z</dcterms:created>
  <dcterms:modified xsi:type="dcterms:W3CDTF">2022-12-17T21:03:02Z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