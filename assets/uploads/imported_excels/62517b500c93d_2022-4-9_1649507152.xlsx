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31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EE2\"/>
    </mc:Choice>
  </mc:AlternateContent>
  <xr:revisionPtr revIDLastSave="0" documentId="8_{27A14AA6-01C4-40D1-874D-A60B0261AABD}" xr6:coauthVersionLast="47" xr6:coauthVersionMax="47" xr10:uidLastSave="{00000000-0000-0000-0000-000000000000}"/>
  <bookViews>
    <workbookView xWindow="-120" yWindow="-120" windowWidth="15600" windowHeight="11760" tabRatio="598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Gas!$A$1:$AF$35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6" i="4" l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L15" i="8"/>
  <c r="W36" i="4"/>
  <c r="U36" i="4"/>
  <c r="S36" i="4"/>
  <c r="Q36" i="4"/>
  <c r="O36" i="4"/>
  <c r="M36" i="4"/>
  <c r="K36" i="4"/>
  <c r="H36" i="4"/>
  <c r="I32" i="8" s="1"/>
  <c r="H32" i="8"/>
  <c r="D36" i="4"/>
  <c r="W35" i="4"/>
  <c r="U35" i="4"/>
  <c r="S35" i="4"/>
  <c r="Q35" i="4"/>
  <c r="O35" i="4"/>
  <c r="M35" i="4"/>
  <c r="K35" i="4"/>
  <c r="W34" i="4"/>
  <c r="U34" i="4"/>
  <c r="S34" i="4"/>
  <c r="Q34" i="4"/>
  <c r="O34" i="4"/>
  <c r="M34" i="4"/>
  <c r="K34" i="4"/>
  <c r="W33" i="4"/>
  <c r="U33" i="4"/>
  <c r="S33" i="4"/>
  <c r="Q33" i="4"/>
  <c r="O33" i="4"/>
  <c r="M33" i="4"/>
  <c r="K33" i="4"/>
  <c r="W32" i="4"/>
  <c r="U32" i="4"/>
  <c r="S32" i="4"/>
  <c r="Q32" i="4"/>
  <c r="O32" i="4"/>
  <c r="M32" i="4"/>
  <c r="K32" i="4"/>
  <c r="W31" i="4"/>
  <c r="U31" i="4"/>
  <c r="S31" i="4"/>
  <c r="Q31" i="4"/>
  <c r="O31" i="4"/>
  <c r="M31" i="4"/>
  <c r="K31" i="4"/>
  <c r="W30" i="4"/>
  <c r="U30" i="4"/>
  <c r="S30" i="4"/>
  <c r="Q30" i="4"/>
  <c r="O30" i="4"/>
  <c r="M30" i="4"/>
  <c r="K30" i="4"/>
  <c r="W29" i="4"/>
  <c r="U29" i="4"/>
  <c r="S29" i="4"/>
  <c r="Q29" i="4"/>
  <c r="O29" i="4"/>
  <c r="M29" i="4"/>
  <c r="K29" i="4"/>
  <c r="W28" i="4"/>
  <c r="U28" i="4"/>
  <c r="S28" i="4"/>
  <c r="Q28" i="4"/>
  <c r="O28" i="4"/>
  <c r="M28" i="4"/>
  <c r="K28" i="4"/>
  <c r="W27" i="4"/>
  <c r="U27" i="4"/>
  <c r="S27" i="4"/>
  <c r="Q27" i="4"/>
  <c r="O27" i="4"/>
  <c r="M27" i="4"/>
  <c r="K27" i="4"/>
  <c r="W26" i="4"/>
  <c r="U26" i="4"/>
  <c r="S26" i="4"/>
  <c r="Q26" i="4"/>
  <c r="O26" i="4"/>
  <c r="M26" i="4"/>
  <c r="K26" i="4"/>
  <c r="W25" i="4"/>
  <c r="U25" i="4"/>
  <c r="S25" i="4"/>
  <c r="Q25" i="4"/>
  <c r="O25" i="4"/>
  <c r="M25" i="4"/>
  <c r="K25" i="4"/>
  <c r="W24" i="4"/>
  <c r="U24" i="4"/>
  <c r="S24" i="4"/>
  <c r="Q24" i="4"/>
  <c r="O24" i="4"/>
  <c r="M24" i="4"/>
  <c r="K24" i="4"/>
  <c r="W23" i="4"/>
  <c r="U23" i="4"/>
  <c r="S23" i="4"/>
  <c r="Q23" i="4"/>
  <c r="O23" i="4"/>
  <c r="M23" i="4"/>
  <c r="K23" i="4"/>
  <c r="W22" i="4"/>
  <c r="U22" i="4"/>
  <c r="S22" i="4"/>
  <c r="Q22" i="4"/>
  <c r="O22" i="4"/>
  <c r="M22" i="4"/>
  <c r="K22" i="4"/>
  <c r="W21" i="4"/>
  <c r="U21" i="4"/>
  <c r="S21" i="4"/>
  <c r="Q21" i="4"/>
  <c r="O21" i="4"/>
  <c r="M21" i="4"/>
  <c r="K21" i="4"/>
  <c r="W20" i="4"/>
  <c r="U20" i="4"/>
  <c r="S20" i="4"/>
  <c r="Q20" i="4"/>
  <c r="O20" i="4"/>
  <c r="M20" i="4"/>
  <c r="K20" i="4"/>
  <c r="W19" i="4"/>
  <c r="U19" i="4"/>
  <c r="S19" i="4"/>
  <c r="Q19" i="4"/>
  <c r="O19" i="4"/>
  <c r="M19" i="4"/>
  <c r="K19" i="4"/>
  <c r="W18" i="4"/>
  <c r="U18" i="4"/>
  <c r="S18" i="4"/>
  <c r="Q18" i="4"/>
  <c r="O18" i="4"/>
  <c r="M18" i="4"/>
  <c r="K18" i="4"/>
  <c r="W17" i="4"/>
  <c r="U17" i="4"/>
  <c r="S17" i="4"/>
  <c r="Q17" i="4"/>
  <c r="O17" i="4"/>
  <c r="M17" i="4"/>
  <c r="K17" i="4"/>
  <c r="W16" i="4"/>
  <c r="U16" i="4"/>
  <c r="S16" i="4"/>
  <c r="Q16" i="4"/>
  <c r="O16" i="4"/>
  <c r="M16" i="4"/>
  <c r="K16" i="4"/>
  <c r="W15" i="4"/>
  <c r="U15" i="4"/>
  <c r="S15" i="4"/>
  <c r="Q15" i="4"/>
  <c r="O15" i="4"/>
  <c r="M15" i="4"/>
  <c r="K15" i="4"/>
  <c r="W14" i="4"/>
  <c r="U14" i="4"/>
  <c r="S14" i="4"/>
  <c r="Q14" i="4"/>
  <c r="O14" i="4"/>
  <c r="M14" i="4"/>
  <c r="K14" i="4"/>
  <c r="W13" i="4"/>
  <c r="U13" i="4"/>
  <c r="S13" i="4"/>
  <c r="Q13" i="4"/>
  <c r="O13" i="4"/>
  <c r="M13" i="4"/>
  <c r="K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S37" i="4"/>
  <c r="Q6" i="4"/>
  <c r="O6" i="4"/>
  <c r="O37" i="4" s="1"/>
  <c r="M6" i="4"/>
  <c r="M37" i="4"/>
  <c r="K6" i="4"/>
  <c r="AF34" i="5"/>
  <c r="AC34" i="5"/>
  <c r="W32" i="8"/>
  <c r="AA34" i="5"/>
  <c r="V32" i="8"/>
  <c r="Y34" i="5"/>
  <c r="U32" i="8"/>
  <c r="W34" i="5"/>
  <c r="T32" i="8"/>
  <c r="U34" i="5"/>
  <c r="S32" i="8"/>
  <c r="S34" i="5"/>
  <c r="R32" i="8"/>
  <c r="Q34" i="5"/>
  <c r="Q32" i="8"/>
  <c r="O34" i="5"/>
  <c r="P32" i="8"/>
  <c r="M34" i="5"/>
  <c r="O32" i="8"/>
  <c r="K34" i="5"/>
  <c r="N32" i="8"/>
  <c r="I34" i="5"/>
  <c r="M32" i="8"/>
  <c r="L32" i="8"/>
  <c r="E34" i="5"/>
  <c r="K32" i="8" s="1"/>
  <c r="C34" i="5"/>
  <c r="E35" i="3"/>
  <c r="F32" i="8"/>
  <c r="C35" i="3"/>
  <c r="E32" i="8"/>
  <c r="C23" i="5"/>
  <c r="E23" i="5"/>
  <c r="K21" i="8" s="1"/>
  <c r="L21" i="8"/>
  <c r="I23" i="5"/>
  <c r="K23" i="5"/>
  <c r="M23" i="5"/>
  <c r="O21" i="8"/>
  <c r="O23" i="5"/>
  <c r="P21" i="8"/>
  <c r="Q23" i="5"/>
  <c r="S23" i="5"/>
  <c r="U23" i="5"/>
  <c r="S21" i="8"/>
  <c r="W23" i="5"/>
  <c r="T21" i="8"/>
  <c r="Y23" i="5"/>
  <c r="U21" i="8"/>
  <c r="AA23" i="5"/>
  <c r="AC23" i="5"/>
  <c r="AF23" i="5"/>
  <c r="C24" i="5"/>
  <c r="J22" i="8"/>
  <c r="E24" i="5"/>
  <c r="K22" i="8" s="1"/>
  <c r="L22" i="8"/>
  <c r="I24" i="5"/>
  <c r="M22" i="8"/>
  <c r="K24" i="5"/>
  <c r="N22" i="8"/>
  <c r="M24" i="5"/>
  <c r="O22" i="8"/>
  <c r="O24" i="5"/>
  <c r="P22" i="8"/>
  <c r="Q24" i="5"/>
  <c r="Q22" i="8"/>
  <c r="S24" i="5"/>
  <c r="U24" i="5"/>
  <c r="W24" i="5"/>
  <c r="T22" i="8"/>
  <c r="Y24" i="5"/>
  <c r="U22" i="8"/>
  <c r="AA24" i="5"/>
  <c r="AC24" i="5"/>
  <c r="AF24" i="5"/>
  <c r="C25" i="5"/>
  <c r="J23" i="8"/>
  <c r="E25" i="5"/>
  <c r="K23" i="8" s="1"/>
  <c r="L23" i="8"/>
  <c r="I25" i="5"/>
  <c r="M23" i="8"/>
  <c r="K25" i="5"/>
  <c r="N23" i="8"/>
  <c r="M25" i="5"/>
  <c r="O23" i="8"/>
  <c r="O25" i="5"/>
  <c r="Q25" i="5"/>
  <c r="Q23" i="8"/>
  <c r="S25" i="5"/>
  <c r="U25" i="5"/>
  <c r="S23" i="8"/>
  <c r="W25" i="5"/>
  <c r="Y25" i="5"/>
  <c r="U23" i="8"/>
  <c r="AA25" i="5"/>
  <c r="AC25" i="5"/>
  <c r="AF25" i="5"/>
  <c r="C26" i="5"/>
  <c r="J24" i="8"/>
  <c r="E26" i="5"/>
  <c r="K24" i="8" s="1"/>
  <c r="L24" i="8"/>
  <c r="I26" i="5"/>
  <c r="K26" i="5"/>
  <c r="N24" i="8"/>
  <c r="M26" i="5"/>
  <c r="O24" i="8"/>
  <c r="O26" i="5"/>
  <c r="P24" i="8"/>
  <c r="Q26" i="5"/>
  <c r="Q24" i="8"/>
  <c r="S26" i="5"/>
  <c r="R24" i="8"/>
  <c r="U26" i="5"/>
  <c r="W26" i="5"/>
  <c r="T24" i="8"/>
  <c r="Y26" i="5"/>
  <c r="U24" i="8"/>
  <c r="AA26" i="5"/>
  <c r="V24" i="8"/>
  <c r="AC26" i="5"/>
  <c r="AF26" i="5"/>
  <c r="C27" i="5"/>
  <c r="E27" i="5"/>
  <c r="K25" i="8" s="1"/>
  <c r="L25" i="8"/>
  <c r="I27" i="5"/>
  <c r="K27" i="5"/>
  <c r="N25" i="8"/>
  <c r="M27" i="5"/>
  <c r="O27" i="5"/>
  <c r="Q27" i="5"/>
  <c r="Q25" i="8"/>
  <c r="S27" i="5"/>
  <c r="U27" i="5"/>
  <c r="S25" i="8"/>
  <c r="W27" i="5"/>
  <c r="Y27" i="5"/>
  <c r="U25" i="8"/>
  <c r="AA27" i="5"/>
  <c r="AC27" i="5"/>
  <c r="W25" i="8"/>
  <c r="AF27" i="5"/>
  <c r="C28" i="5"/>
  <c r="E28" i="5"/>
  <c r="K26" i="8" s="1"/>
  <c r="L26" i="8"/>
  <c r="I28" i="5"/>
  <c r="M26" i="8"/>
  <c r="K28" i="5"/>
  <c r="M28" i="5"/>
  <c r="O26" i="8"/>
  <c r="O28" i="5"/>
  <c r="P26" i="8"/>
  <c r="Q28" i="5"/>
  <c r="S28" i="5"/>
  <c r="U28" i="5"/>
  <c r="S26" i="8"/>
  <c r="W28" i="5"/>
  <c r="Y28" i="5"/>
  <c r="U26" i="8"/>
  <c r="AA28" i="5"/>
  <c r="AC28" i="5"/>
  <c r="AF28" i="5"/>
  <c r="C29" i="5"/>
  <c r="J27" i="8"/>
  <c r="E29" i="5"/>
  <c r="K27" i="8" s="1"/>
  <c r="L27" i="8"/>
  <c r="I29" i="5"/>
  <c r="M27" i="8"/>
  <c r="K29" i="5"/>
  <c r="M29" i="5"/>
  <c r="O29" i="5"/>
  <c r="Q29" i="5"/>
  <c r="Q27" i="8"/>
  <c r="S29" i="5"/>
  <c r="U29" i="5"/>
  <c r="W29" i="5"/>
  <c r="T27" i="8"/>
  <c r="Y29" i="5"/>
  <c r="U27" i="8"/>
  <c r="AA29" i="5"/>
  <c r="V27" i="8"/>
  <c r="AC29" i="5"/>
  <c r="AF29" i="5"/>
  <c r="C30" i="5"/>
  <c r="J28" i="8"/>
  <c r="E30" i="5"/>
  <c r="K28" i="8" s="1"/>
  <c r="L28" i="8"/>
  <c r="I30" i="5"/>
  <c r="K30" i="5"/>
  <c r="N28" i="8"/>
  <c r="M30" i="5"/>
  <c r="O30" i="5"/>
  <c r="Q30" i="5"/>
  <c r="S30" i="5"/>
  <c r="R28" i="8"/>
  <c r="U30" i="5"/>
  <c r="S28" i="8"/>
  <c r="W30" i="5"/>
  <c r="T28" i="8"/>
  <c r="Y30" i="5"/>
  <c r="AA30" i="5"/>
  <c r="V28" i="8"/>
  <c r="AC30" i="5"/>
  <c r="AF30" i="5"/>
  <c r="C31" i="5"/>
  <c r="J29" i="8"/>
  <c r="E31" i="5"/>
  <c r="K29" i="8" s="1"/>
  <c r="L29" i="8"/>
  <c r="I31" i="5"/>
  <c r="K31" i="5"/>
  <c r="M31" i="5"/>
  <c r="O29" i="8"/>
  <c r="O31" i="5"/>
  <c r="Q31" i="5"/>
  <c r="Q29" i="8"/>
  <c r="S31" i="5"/>
  <c r="R29" i="8"/>
  <c r="U31" i="5"/>
  <c r="S29" i="8"/>
  <c r="W31" i="5"/>
  <c r="T29" i="8"/>
  <c r="Y31" i="5"/>
  <c r="AA31" i="5"/>
  <c r="V29" i="8"/>
  <c r="AC31" i="5"/>
  <c r="AF31" i="5"/>
  <c r="C32" i="5"/>
  <c r="E32" i="5"/>
  <c r="K30" i="8" s="1"/>
  <c r="L30" i="8"/>
  <c r="I32" i="5"/>
  <c r="M30" i="8"/>
  <c r="K32" i="5"/>
  <c r="N30" i="8"/>
  <c r="M32" i="5"/>
  <c r="O30" i="8"/>
  <c r="O32" i="5"/>
  <c r="P30" i="8"/>
  <c r="Q32" i="5"/>
  <c r="Q30" i="8"/>
  <c r="S32" i="5"/>
  <c r="R30" i="8"/>
  <c r="U32" i="5"/>
  <c r="S30" i="8"/>
  <c r="W32" i="5"/>
  <c r="Y32" i="5"/>
  <c r="U30" i="8"/>
  <c r="AA32" i="5"/>
  <c r="V30" i="8"/>
  <c r="AC32" i="5"/>
  <c r="AF32" i="5"/>
  <c r="C33" i="5"/>
  <c r="J31" i="8"/>
  <c r="E33" i="5"/>
  <c r="K31" i="8" s="1"/>
  <c r="L31" i="8"/>
  <c r="I33" i="5"/>
  <c r="M31" i="8"/>
  <c r="K33" i="5"/>
  <c r="N31" i="8"/>
  <c r="M33" i="5"/>
  <c r="O31" i="8"/>
  <c r="O33" i="5"/>
  <c r="P31" i="8"/>
  <c r="Q33" i="5"/>
  <c r="S33" i="5"/>
  <c r="R31" i="8"/>
  <c r="U33" i="5"/>
  <c r="S31" i="8"/>
  <c r="W33" i="5"/>
  <c r="T31" i="8"/>
  <c r="Y33" i="5"/>
  <c r="U31" i="8"/>
  <c r="AA33" i="5"/>
  <c r="V31" i="8"/>
  <c r="AC33" i="5"/>
  <c r="AF33" i="5"/>
  <c r="H35" i="4"/>
  <c r="I31" i="8" s="1"/>
  <c r="H34" i="4"/>
  <c r="I30" i="8" s="1"/>
  <c r="H33" i="4"/>
  <c r="I29" i="8" s="1"/>
  <c r="D35" i="4"/>
  <c r="D34" i="4"/>
  <c r="D33" i="4"/>
  <c r="W29" i="8"/>
  <c r="W30" i="8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M10" i="8"/>
  <c r="G4" i="5"/>
  <c r="L2" i="8"/>
  <c r="U29" i="8"/>
  <c r="W31" i="8"/>
  <c r="N29" i="8"/>
  <c r="M29" i="8"/>
  <c r="C33" i="3"/>
  <c r="E30" i="8"/>
  <c r="I30" i="9"/>
  <c r="C34" i="3"/>
  <c r="E31" i="8"/>
  <c r="I31" i="9"/>
  <c r="J30" i="8"/>
  <c r="D6" i="4"/>
  <c r="F35" i="4"/>
  <c r="H31" i="8" s="1"/>
  <c r="F33" i="4"/>
  <c r="H29" i="8" s="1"/>
  <c r="K2" i="9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8" i="8"/>
  <c r="W27" i="8"/>
  <c r="W26" i="8"/>
  <c r="W24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6" i="8"/>
  <c r="V25" i="8"/>
  <c r="V23" i="8"/>
  <c r="V22" i="8"/>
  <c r="V21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AA4" i="5"/>
  <c r="V2" i="8"/>
  <c r="U28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5" i="8"/>
  <c r="T23" i="8"/>
  <c r="W22" i="5"/>
  <c r="T20" i="8"/>
  <c r="W21" i="5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W4" i="5"/>
  <c r="T2" i="8"/>
  <c r="S27" i="8"/>
  <c r="S24" i="8"/>
  <c r="S22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U4" i="5"/>
  <c r="S2" i="8"/>
  <c r="R26" i="8"/>
  <c r="R22" i="8"/>
  <c r="R21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S4" i="5"/>
  <c r="R2" i="8"/>
  <c r="Q28" i="8"/>
  <c r="Q26" i="8"/>
  <c r="Q21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0" i="8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4" i="5"/>
  <c r="Q2" i="8"/>
  <c r="P28" i="8"/>
  <c r="P27" i="8"/>
  <c r="P25" i="8"/>
  <c r="P23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P14" i="8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O4" i="5"/>
  <c r="P2" i="8"/>
  <c r="O28" i="8"/>
  <c r="O27" i="8"/>
  <c r="M22" i="5"/>
  <c r="O20" i="8"/>
  <c r="M21" i="5"/>
  <c r="O19" i="8"/>
  <c r="M20" i="5"/>
  <c r="O18" i="8"/>
  <c r="M19" i="5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O10" i="8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M4" i="5"/>
  <c r="O2" i="8"/>
  <c r="N27" i="8"/>
  <c r="N26" i="8"/>
  <c r="N21" i="8"/>
  <c r="K22" i="5"/>
  <c r="N20" i="8"/>
  <c r="K21" i="5"/>
  <c r="N19" i="8"/>
  <c r="K20" i="5"/>
  <c r="N18" i="8"/>
  <c r="K19" i="5"/>
  <c r="N17" i="8"/>
  <c r="K18" i="5"/>
  <c r="N16" i="8"/>
  <c r="K17" i="5"/>
  <c r="N15" i="8"/>
  <c r="K16" i="5"/>
  <c r="N14" i="8"/>
  <c r="K15" i="5"/>
  <c r="K14" i="5"/>
  <c r="N12" i="8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N4" i="8"/>
  <c r="K5" i="5"/>
  <c r="N3" i="8"/>
  <c r="K4" i="5"/>
  <c r="N2" i="8"/>
  <c r="M28" i="8"/>
  <c r="M25" i="8"/>
  <c r="M24" i="8"/>
  <c r="I22" i="5"/>
  <c r="M20" i="8"/>
  <c r="I21" i="5"/>
  <c r="M19" i="8"/>
  <c r="I20" i="5"/>
  <c r="I19" i="5"/>
  <c r="M17" i="8"/>
  <c r="I18" i="5"/>
  <c r="M16" i="8"/>
  <c r="I17" i="5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I4" i="5"/>
  <c r="M2" i="8"/>
  <c r="L20" i="8"/>
  <c r="L19" i="8"/>
  <c r="L18" i="8"/>
  <c r="L17" i="8"/>
  <c r="L16" i="8"/>
  <c r="L14" i="8"/>
  <c r="L13" i="8"/>
  <c r="L12" i="8"/>
  <c r="L11" i="8"/>
  <c r="L10" i="8"/>
  <c r="L9" i="8"/>
  <c r="L8" i="8"/>
  <c r="L7" i="8"/>
  <c r="L6" i="8"/>
  <c r="L5" i="8"/>
  <c r="L4" i="8"/>
  <c r="G5" i="5"/>
  <c r="L3" i="8" s="1"/>
  <c r="E22" i="5"/>
  <c r="K20" i="8" s="1"/>
  <c r="E21" i="5"/>
  <c r="K19" i="8" s="1"/>
  <c r="E20" i="5"/>
  <c r="K18" i="8" s="1"/>
  <c r="E19" i="5"/>
  <c r="K17" i="8" s="1"/>
  <c r="E18" i="5"/>
  <c r="K16" i="8" s="1"/>
  <c r="E17" i="5"/>
  <c r="K15" i="8" s="1"/>
  <c r="E16" i="5"/>
  <c r="K14" i="8" s="1"/>
  <c r="E15" i="5"/>
  <c r="K13" i="8" s="1"/>
  <c r="E14" i="5"/>
  <c r="K12" i="8" s="1"/>
  <c r="E13" i="5"/>
  <c r="K11" i="8" s="1"/>
  <c r="E12" i="5"/>
  <c r="K10" i="8" s="1"/>
  <c r="E11" i="5"/>
  <c r="K9" i="8" s="1"/>
  <c r="E10" i="5"/>
  <c r="K8" i="8" s="1"/>
  <c r="E9" i="5"/>
  <c r="K7" i="8" s="1"/>
  <c r="E8" i="5"/>
  <c r="K6" i="8" s="1"/>
  <c r="E7" i="5"/>
  <c r="K5" i="8" s="1"/>
  <c r="E6" i="5"/>
  <c r="K4" i="8" s="1"/>
  <c r="E5" i="5"/>
  <c r="K3" i="8" s="1"/>
  <c r="E4" i="5"/>
  <c r="J26" i="8"/>
  <c r="C22" i="5"/>
  <c r="J20" i="8"/>
  <c r="C21" i="5"/>
  <c r="J19" i="8"/>
  <c r="C20" i="5"/>
  <c r="J18" i="8"/>
  <c r="C19" i="5"/>
  <c r="C18" i="5"/>
  <c r="C17" i="5"/>
  <c r="J15" i="8"/>
  <c r="C16" i="5"/>
  <c r="J14" i="8"/>
  <c r="C15" i="5"/>
  <c r="J13" i="8"/>
  <c r="C14" i="5"/>
  <c r="C13" i="5"/>
  <c r="J11" i="8"/>
  <c r="C12" i="5"/>
  <c r="J10" i="8"/>
  <c r="C11" i="5"/>
  <c r="J9" i="8"/>
  <c r="C10" i="5"/>
  <c r="J8" i="8"/>
  <c r="C9" i="5"/>
  <c r="J7" i="8"/>
  <c r="C8" i="5"/>
  <c r="J6" i="8"/>
  <c r="C7" i="5"/>
  <c r="C6" i="5"/>
  <c r="J4" i="8"/>
  <c r="C5" i="5"/>
  <c r="J3" i="8"/>
  <c r="C4" i="5"/>
  <c r="J2" i="8"/>
  <c r="F6" i="4"/>
  <c r="H2" i="8"/>
  <c r="H6" i="4"/>
  <c r="I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F34" i="4"/>
  <c r="H30" i="8" s="1"/>
  <c r="C5" i="3"/>
  <c r="C6" i="3"/>
  <c r="E3" i="8"/>
  <c r="C7" i="3"/>
  <c r="E4" i="8"/>
  <c r="I4" i="9"/>
  <c r="C8" i="3"/>
  <c r="E5" i="8"/>
  <c r="I5" i="9"/>
  <c r="C9" i="3"/>
  <c r="E6" i="8"/>
  <c r="I6" i="9"/>
  <c r="C10" i="3"/>
  <c r="C11" i="3"/>
  <c r="E8" i="8"/>
  <c r="C12" i="3"/>
  <c r="E9" i="8"/>
  <c r="I9" i="9"/>
  <c r="C13" i="3"/>
  <c r="E10" i="8"/>
  <c r="I10" i="9"/>
  <c r="C14" i="3"/>
  <c r="E11" i="8"/>
  <c r="C15" i="3"/>
  <c r="E12" i="8"/>
  <c r="C16" i="3"/>
  <c r="E13" i="8"/>
  <c r="I13" i="9"/>
  <c r="C17" i="3"/>
  <c r="E14" i="8"/>
  <c r="I14" i="9"/>
  <c r="C18" i="3"/>
  <c r="E15" i="8"/>
  <c r="C19" i="3"/>
  <c r="E16" i="8"/>
  <c r="C20" i="3"/>
  <c r="E17" i="8"/>
  <c r="I17" i="9"/>
  <c r="C21" i="3"/>
  <c r="E18" i="8"/>
  <c r="I18" i="9"/>
  <c r="C22" i="3"/>
  <c r="E19" i="8"/>
  <c r="C23" i="3"/>
  <c r="E20" i="8"/>
  <c r="I20" i="9"/>
  <c r="C24" i="3"/>
  <c r="E21" i="8"/>
  <c r="I21" i="9"/>
  <c r="C25" i="3"/>
  <c r="E22" i="8"/>
  <c r="I22" i="9"/>
  <c r="C26" i="3"/>
  <c r="E23" i="8"/>
  <c r="C27" i="3"/>
  <c r="E24" i="8"/>
  <c r="I24" i="9"/>
  <c r="C28" i="3"/>
  <c r="E25" i="8"/>
  <c r="I25" i="9"/>
  <c r="C29" i="3"/>
  <c r="E26" i="8"/>
  <c r="I26" i="9"/>
  <c r="C30" i="3"/>
  <c r="E27" i="8"/>
  <c r="C31" i="3"/>
  <c r="E28" i="8"/>
  <c r="I28" i="9"/>
  <c r="C32" i="3"/>
  <c r="E29" i="8"/>
  <c r="I29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O25" i="8"/>
  <c r="N13" i="8"/>
  <c r="K2" i="8"/>
  <c r="M15" i="8"/>
  <c r="E2" i="8"/>
  <c r="I2" i="9" s="1"/>
  <c r="W12" i="8"/>
  <c r="F22" i="8"/>
  <c r="F18" i="8"/>
  <c r="F5" i="8"/>
  <c r="E7" i="8"/>
  <c r="T10" i="8"/>
  <c r="R25" i="8"/>
  <c r="R27" i="8"/>
  <c r="T19" i="8"/>
  <c r="R9" i="8"/>
  <c r="T30" i="8"/>
  <c r="J5" i="8"/>
  <c r="J17" i="8"/>
  <c r="J21" i="8"/>
  <c r="I11" i="4"/>
  <c r="I29" i="4"/>
  <c r="O17" i="8"/>
  <c r="M18" i="8"/>
  <c r="I21" i="4"/>
  <c r="I26" i="4"/>
  <c r="F14" i="8"/>
  <c r="I31" i="4"/>
  <c r="P29" i="8"/>
  <c r="J25" i="8"/>
  <c r="I12" i="4"/>
  <c r="I16" i="4"/>
  <c r="K37" i="4"/>
  <c r="I27" i="4"/>
  <c r="F2" i="8"/>
  <c r="Q37" i="4"/>
  <c r="I7" i="4"/>
  <c r="I30" i="4"/>
  <c r="I32" i="4"/>
  <c r="Q31" i="8"/>
  <c r="J32" i="8"/>
  <c r="I27" i="9"/>
  <c r="F4" i="8"/>
  <c r="I11" i="9"/>
  <c r="AD14" i="5"/>
  <c r="AD21" i="5"/>
  <c r="AD12" i="5"/>
  <c r="AD7" i="5"/>
  <c r="I15" i="9"/>
  <c r="I12" i="9"/>
  <c r="I8" i="9"/>
  <c r="C36" i="3"/>
  <c r="I20" i="4"/>
  <c r="I2" i="8"/>
  <c r="I19" i="4"/>
  <c r="I8" i="4"/>
  <c r="I23" i="4"/>
  <c r="E36" i="3"/>
  <c r="I7" i="9"/>
  <c r="I23" i="9"/>
  <c r="I16" i="9"/>
  <c r="I19" i="9"/>
  <c r="I3" i="9"/>
  <c r="I32" i="9"/>
  <c r="AD20" i="5"/>
  <c r="AD30" i="5"/>
  <c r="AD33" i="5"/>
  <c r="AD25" i="5"/>
  <c r="R23" i="8"/>
  <c r="G23" i="9"/>
  <c r="AD15" i="5"/>
  <c r="AD6" i="5"/>
  <c r="AD27" i="5"/>
  <c r="G31" i="9"/>
  <c r="G32" i="9"/>
  <c r="AD29" i="5"/>
  <c r="AD23" i="5"/>
  <c r="AD28" i="5"/>
  <c r="AD34" i="5"/>
  <c r="AD18" i="5"/>
  <c r="G24" i="9"/>
  <c r="G30" i="9"/>
  <c r="AD26" i="5"/>
  <c r="AD8" i="5"/>
  <c r="G27" i="9"/>
  <c r="G25" i="9"/>
  <c r="G22" i="9"/>
  <c r="AD4" i="5"/>
  <c r="AD9" i="5"/>
  <c r="G9" i="9"/>
  <c r="M21" i="8"/>
  <c r="G21" i="9"/>
  <c r="G26" i="9"/>
  <c r="AD10" i="5"/>
  <c r="AD32" i="5"/>
  <c r="G4" i="9"/>
  <c r="G15" i="9"/>
  <c r="AD17" i="5"/>
  <c r="G18" i="9"/>
  <c r="AD31" i="5"/>
  <c r="G8" i="9"/>
  <c r="AD16" i="5"/>
  <c r="AD24" i="5"/>
  <c r="AD19" i="5"/>
  <c r="G17" i="9"/>
  <c r="AD13" i="5"/>
  <c r="G13" i="9"/>
  <c r="G28" i="9"/>
  <c r="G3" i="9"/>
  <c r="G7" i="9"/>
  <c r="G14" i="9"/>
  <c r="AD22" i="5"/>
  <c r="G5" i="9"/>
  <c r="J16" i="8"/>
  <c r="G16" i="9"/>
  <c r="AD11" i="5"/>
  <c r="G10" i="9"/>
  <c r="G6" i="9"/>
  <c r="G29" i="9"/>
  <c r="AD5" i="5"/>
  <c r="G11" i="9"/>
  <c r="U37" i="4"/>
  <c r="W37" i="4"/>
  <c r="I10" i="4"/>
  <c r="I25" i="4"/>
  <c r="I36" i="4"/>
  <c r="I24" i="4"/>
  <c r="F37" i="4"/>
  <c r="I15" i="4"/>
  <c r="I34" i="4"/>
  <c r="I18" i="4"/>
  <c r="G2" i="8"/>
  <c r="I13" i="4"/>
  <c r="D37" i="4"/>
  <c r="I17" i="4"/>
  <c r="I14" i="4"/>
  <c r="I9" i="4"/>
  <c r="I35" i="4"/>
  <c r="I22" i="4"/>
  <c r="G19" i="9"/>
  <c r="G20" i="9"/>
  <c r="H37" i="4"/>
  <c r="J12" i="8"/>
  <c r="G12" i="9"/>
  <c r="I37" i="4"/>
  <c r="E2" i="9" l="1"/>
  <c r="G2" i="9"/>
  <c r="E28" i="9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E32" i="9"/>
  <c r="G32" i="8"/>
  <c r="I28" i="4"/>
  <c r="I33" i="4"/>
</calcChain>
</file>

<file path=xl/sharedStrings.xml><?xml version="1.0" encoding="utf-8"?>
<sst xmlns="http://schemas.openxmlformats.org/spreadsheetml/2006/main" count="185" uniqueCount="73">
  <si>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</si>
  <si>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</si>
  <si>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</si>
  <si>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</si>
  <si>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</si>
  <si>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</si>
  <si>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</si>
  <si>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</si>
  <si>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</si>
  <si>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</si>
  <si>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</si>
  <si>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</si>
  <si>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</si>
  <si>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</si>
  <si>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</si>
  <si>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</si>
  <si>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</si>
  <si>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</si>
  <si>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</si>
  <si>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</si>
  <si>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</si>
  <si>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</si>
  <si>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</si>
  <si>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</si>
  <si>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</si>
  <si>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</si>
  <si>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</si>
  <si>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</si>
  <si>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</si>
  <si>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</si>
  <si>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</si>
  <si>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</si>
  <si>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Hotel MAR 2022</t>
  </si>
  <si>
    <t>Main Reading</t>
  </si>
  <si>
    <t>Cons.</t>
  </si>
  <si>
    <t>Beach Water</t>
  </si>
  <si>
    <t>Last</t>
  </si>
  <si>
    <t>Total</t>
  </si>
  <si>
    <t>Feeders and transformers Electrity cons. MAR 22</t>
  </si>
  <si>
    <t>Hotel</t>
  </si>
  <si>
    <t>W4</t>
  </si>
  <si>
    <t>W5</t>
  </si>
  <si>
    <t>Room Sold</t>
  </si>
  <si>
    <t>Trans-1</t>
  </si>
  <si>
    <t>Trans-2</t>
  </si>
  <si>
    <t>Trans-3</t>
  </si>
  <si>
    <t>MDB/W4-1</t>
  </si>
  <si>
    <t>MDB/W4-2</t>
  </si>
  <si>
    <t>MDB/W4-3</t>
  </si>
  <si>
    <t>EMDB/W5-1</t>
  </si>
  <si>
    <t>MDB/W5-1</t>
  </si>
  <si>
    <t>MDB/W5-2</t>
  </si>
  <si>
    <t>MDB/W5-3</t>
  </si>
  <si>
    <t>Readings</t>
  </si>
  <si>
    <t>Reading</t>
  </si>
  <si>
    <t>Cons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</si>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</sst>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indexed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8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31" fillId="10" borderId="59" xfId="0" applyFont="1" applyFill="1" applyBorder="1" applyAlignment="1">
      <alignment horizontal="center"/>
    </xf>
    <xf numFmtId="0" fontId="11" fillId="7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4" xfId="2" applyFont="1" applyFill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8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8" fillId="11" borderId="41" xfId="2" applyFont="1" applyFill="1" applyBorder="1" applyAlignment="1">
      <alignment horizontal="center" vertical="center"/>
    </xf>
    <xf numFmtId="0" fontId="32" fillId="11" borderId="42" xfId="2" applyFont="1" applyFill="1" applyBorder="1" applyAlignment="1">
      <alignment horizontal="center" vertical="center"/>
    </xf>
    <xf numFmtId="0" fontId="32" fillId="11" borderId="43" xfId="2" applyFont="1" applyFill="1" applyBorder="1" applyAlignment="1">
      <alignment horizontal="center" vertical="center"/>
    </xf>
    <xf numFmtId="0" fontId="32" fillId="11" borderId="44" xfId="2" applyFont="1" applyFill="1" applyBorder="1" applyAlignment="1">
      <alignment horizontal="center" vertical="center"/>
    </xf>
    <xf numFmtId="0" fontId="33" fillId="11" borderId="39" xfId="2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8" fillId="11" borderId="49" xfId="2" applyFont="1" applyFill="1" applyBorder="1" applyAlignment="1">
      <alignment horizontal="center" vertical="center"/>
    </xf>
    <xf numFmtId="0" fontId="8" fillId="11" borderId="50" xfId="2" applyFont="1" applyFill="1" applyBorder="1" applyAlignment="1">
      <alignment horizontal="center" vertical="center"/>
    </xf>
    <xf numFmtId="0" fontId="8" fillId="11" borderId="51" xfId="2" applyFont="1" applyFill="1" applyBorder="1" applyAlignment="1">
      <alignment horizontal="center" vertical="center"/>
    </xf>
    <xf numFmtId="0" fontId="8" fillId="11" borderId="52" xfId="2" applyFont="1" applyFill="1" applyBorder="1" applyAlignment="1">
      <alignment horizontal="center" vertical="center"/>
    </xf>
    <xf numFmtId="1" fontId="8" fillId="3" borderId="53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5" fillId="12" borderId="60" xfId="0" applyFont="1" applyFill="1" applyBorder="1"/>
    <xf numFmtId="0" fontId="34" fillId="11" borderId="61" xfId="2" applyFont="1" applyFill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35" fillId="8" borderId="60" xfId="0" applyFont="1" applyFill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0" fontId="36" fillId="13" borderId="60" xfId="0" applyFont="1" applyFill="1" applyBorder="1" applyAlignment="1">
      <alignment horizontal="center" vertical="center"/>
    </xf>
    <xf numFmtId="0" fontId="34" fillId="14" borderId="60" xfId="0" applyFont="1" applyFill="1" applyBorder="1" applyAlignment="1">
      <alignment horizontal="center" vertical="center"/>
    </xf>
    <xf numFmtId="0" fontId="34" fillId="15" borderId="61" xfId="2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164" fontId="5" fillId="0" borderId="54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164" fontId="5" fillId="0" borderId="56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28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2"/>
  <sheetViews>
    <sheetView zoomScale="85" zoomScaleNormal="85" workbookViewId="0">
      <selection activeCell="C2" sqref="C2:C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3</v>
      </c>
      <c r="D2" s="14">
        <v>2022</v>
      </c>
      <c r="E2" s="7">
        <f>ELECT.!D6+ELECT.!F6+ELECT.!H6</f>
        <v>17700</v>
      </c>
      <c r="F2" s="19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1819</v>
      </c>
      <c r="H2" s="20">
        <v>3.6</v>
      </c>
      <c r="I2" s="7">
        <f>Submetering!E2+Water!E5</f>
        <v>352</v>
      </c>
      <c r="J2" s="20">
        <v>9.1</v>
      </c>
      <c r="K2" s="7">
        <f>ELECT.!B6</f>
        <v>107</v>
      </c>
    </row>
    <row r="3" spans="1:11">
      <c r="A3" s="11" t="s">
        <v>11</v>
      </c>
      <c r="B3" s="14">
        <f>B2+1</f>
        <v>2</v>
      </c>
      <c r="C3" s="14">
        <v>3</v>
      </c>
      <c r="D3" s="14">
        <v>2022</v>
      </c>
      <c r="E3" s="7">
        <f>ELECT.!D7+ELECT.!F7+ELECT.!H7</f>
        <v>20506</v>
      </c>
      <c r="F3" s="19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1906</v>
      </c>
      <c r="H3" s="20">
        <v>3.6</v>
      </c>
      <c r="I3" s="7">
        <f>Submetering!E3+Water!E6</f>
        <v>364</v>
      </c>
      <c r="J3" s="20">
        <v>9.1</v>
      </c>
      <c r="K3" s="7">
        <f>ELECT.!B7</f>
        <v>106</v>
      </c>
    </row>
    <row r="4" spans="1:11">
      <c r="A4" s="11" t="s">
        <v>11</v>
      </c>
      <c r="B4" s="14">
        <f t="shared" ref="B4:B32" si="0">B3+1</f>
        <v>3</v>
      </c>
      <c r="C4" s="14">
        <v>3</v>
      </c>
      <c r="D4" s="14">
        <v>2022</v>
      </c>
      <c r="E4" s="7">
        <f>ELECT.!D8+ELECT.!F8+ELECT.!H8</f>
        <v>20289</v>
      </c>
      <c r="F4" s="19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1806</v>
      </c>
      <c r="H4" s="20">
        <v>3.6</v>
      </c>
      <c r="I4" s="7">
        <f>Submetering!E4+Water!E7</f>
        <v>364</v>
      </c>
      <c r="J4" s="20">
        <v>9.1</v>
      </c>
      <c r="K4" s="7">
        <f>ELECT.!B8</f>
        <v>98</v>
      </c>
    </row>
    <row r="5" spans="1:11">
      <c r="A5" s="11" t="s">
        <v>11</v>
      </c>
      <c r="B5" s="14">
        <f t="shared" si="0"/>
        <v>4</v>
      </c>
      <c r="C5" s="14">
        <v>3</v>
      </c>
      <c r="D5" s="14">
        <v>2022</v>
      </c>
      <c r="E5" s="7">
        <f>ELECT.!D9+ELECT.!F9+ELECT.!H9</f>
        <v>19460</v>
      </c>
      <c r="F5" s="19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1823</v>
      </c>
      <c r="H5" s="20">
        <v>3.6</v>
      </c>
      <c r="I5" s="7">
        <f>Submetering!E5+Water!E8</f>
        <v>422</v>
      </c>
      <c r="J5" s="20">
        <v>9.1</v>
      </c>
      <c r="K5" s="7">
        <f>ELECT.!B9</f>
        <v>109</v>
      </c>
    </row>
    <row r="6" spans="1:11">
      <c r="A6" s="11" t="s">
        <v>11</v>
      </c>
      <c r="B6" s="14">
        <f t="shared" si="0"/>
        <v>5</v>
      </c>
      <c r="C6" s="14">
        <v>3</v>
      </c>
      <c r="D6" s="14">
        <v>2022</v>
      </c>
      <c r="E6" s="7">
        <f>ELECT.!D10+ELECT.!F10+ELECT.!H10</f>
        <v>18494</v>
      </c>
      <c r="F6" s="19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1834</v>
      </c>
      <c r="H6" s="20">
        <v>3.6</v>
      </c>
      <c r="I6" s="7">
        <f>Submetering!E6+Water!E9</f>
        <v>516</v>
      </c>
      <c r="J6" s="20">
        <v>9.1</v>
      </c>
      <c r="K6" s="7">
        <f>ELECT.!B10</f>
        <v>69</v>
      </c>
    </row>
    <row r="7" spans="1:11">
      <c r="A7" s="11" t="s">
        <v>11</v>
      </c>
      <c r="B7" s="14">
        <f t="shared" si="0"/>
        <v>6</v>
      </c>
      <c r="C7" s="14">
        <v>3</v>
      </c>
      <c r="D7" s="14">
        <v>2022</v>
      </c>
      <c r="E7" s="7">
        <f>ELECT.!D11+ELECT.!F11+ELECT.!H11</f>
        <v>18253</v>
      </c>
      <c r="F7" s="19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1732</v>
      </c>
      <c r="H7" s="20">
        <v>3.6</v>
      </c>
      <c r="I7" s="7">
        <f>Submetering!E7+Water!E10</f>
        <v>394</v>
      </c>
      <c r="J7" s="20">
        <v>9.1</v>
      </c>
      <c r="K7" s="7">
        <f>ELECT.!B11</f>
        <v>82</v>
      </c>
    </row>
    <row r="8" spans="1:11">
      <c r="A8" s="11" t="s">
        <v>11</v>
      </c>
      <c r="B8" s="14">
        <f t="shared" si="0"/>
        <v>7</v>
      </c>
      <c r="C8" s="14">
        <v>3</v>
      </c>
      <c r="D8" s="14">
        <v>2022</v>
      </c>
      <c r="E8" s="7">
        <f>ELECT.!D12+ELECT.!F12+ELECT.!H12</f>
        <v>19076</v>
      </c>
      <c r="F8" s="19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1859</v>
      </c>
      <c r="H8" s="20">
        <v>3.6</v>
      </c>
      <c r="I8" s="7">
        <f>Submetering!E8+Water!E11</f>
        <v>394</v>
      </c>
      <c r="J8" s="20">
        <v>9.1</v>
      </c>
      <c r="K8" s="7">
        <f>ELECT.!B12</f>
        <v>100</v>
      </c>
    </row>
    <row r="9" spans="1:11">
      <c r="A9" s="11" t="s">
        <v>11</v>
      </c>
      <c r="B9" s="14">
        <f t="shared" si="0"/>
        <v>8</v>
      </c>
      <c r="C9" s="14">
        <v>3</v>
      </c>
      <c r="D9" s="14">
        <v>2022</v>
      </c>
      <c r="E9" s="7">
        <f>ELECT.!D13+ELECT.!F13+ELECT.!H13</f>
        <v>21382</v>
      </c>
      <c r="F9" s="19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1835</v>
      </c>
      <c r="H9" s="20">
        <v>3.6</v>
      </c>
      <c r="I9" s="7">
        <f>Submetering!E9+Water!E12</f>
        <v>397</v>
      </c>
      <c r="J9" s="20">
        <v>9.1</v>
      </c>
      <c r="K9" s="7">
        <f>ELECT.!B13</f>
        <v>107</v>
      </c>
    </row>
    <row r="10" spans="1:11">
      <c r="A10" s="11" t="s">
        <v>11</v>
      </c>
      <c r="B10" s="14">
        <f t="shared" si="0"/>
        <v>9</v>
      </c>
      <c r="C10" s="14">
        <v>3</v>
      </c>
      <c r="D10" s="14">
        <v>2022</v>
      </c>
      <c r="E10" s="7">
        <f>ELECT.!D14+ELECT.!F14+ELECT.!H14</f>
        <v>20713</v>
      </c>
      <c r="F10" s="19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1993</v>
      </c>
      <c r="H10" s="20">
        <v>3.6</v>
      </c>
      <c r="I10" s="7">
        <f>Submetering!E10+Water!E13</f>
        <v>324</v>
      </c>
      <c r="J10" s="20">
        <v>9.1</v>
      </c>
      <c r="K10" s="7">
        <f>ELECT.!B14</f>
        <v>90</v>
      </c>
    </row>
    <row r="11" spans="1:11">
      <c r="A11" s="11" t="s">
        <v>11</v>
      </c>
      <c r="B11" s="14">
        <f t="shared" si="0"/>
        <v>10</v>
      </c>
      <c r="C11" s="14">
        <v>3</v>
      </c>
      <c r="D11" s="14">
        <v>2022</v>
      </c>
      <c r="E11" s="7">
        <f>ELECT.!D15+ELECT.!F15+ELECT.!H15</f>
        <v>19566</v>
      </c>
      <c r="F11" s="19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2133</v>
      </c>
      <c r="H11" s="20">
        <v>3.6</v>
      </c>
      <c r="I11" s="7">
        <f>Submetering!E11+Water!E14</f>
        <v>288</v>
      </c>
      <c r="J11" s="20">
        <v>9.1</v>
      </c>
      <c r="K11" s="7">
        <f>ELECT.!B15</f>
        <v>112</v>
      </c>
    </row>
    <row r="12" spans="1:11">
      <c r="A12" s="11" t="s">
        <v>11</v>
      </c>
      <c r="B12" s="14">
        <f t="shared" si="0"/>
        <v>11</v>
      </c>
      <c r="C12" s="14">
        <v>3</v>
      </c>
      <c r="D12" s="14">
        <v>2022</v>
      </c>
      <c r="E12" s="7">
        <f>ELECT.!D16+ELECT.!F16+ELECT.!H16</f>
        <v>23155</v>
      </c>
      <c r="F12" s="19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2285</v>
      </c>
      <c r="H12" s="20">
        <v>3.6</v>
      </c>
      <c r="I12" s="7">
        <f>Submetering!E12+Water!E15</f>
        <v>334</v>
      </c>
      <c r="J12" s="20">
        <v>9.1</v>
      </c>
      <c r="K12" s="7">
        <f>ELECT.!B16</f>
        <v>103</v>
      </c>
    </row>
    <row r="13" spans="1:11">
      <c r="A13" s="11" t="s">
        <v>11</v>
      </c>
      <c r="B13" s="14">
        <f t="shared" si="0"/>
        <v>12</v>
      </c>
      <c r="C13" s="14">
        <v>3</v>
      </c>
      <c r="D13" s="14">
        <v>2022</v>
      </c>
      <c r="E13" s="7">
        <f>ELECT.!D17+ELECT.!F17+ELECT.!H17</f>
        <v>20207</v>
      </c>
      <c r="F13" s="19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1871</v>
      </c>
      <c r="H13" s="20">
        <v>3.6</v>
      </c>
      <c r="I13" s="7">
        <f>Submetering!E13+Water!E16</f>
        <v>461</v>
      </c>
      <c r="J13" s="20">
        <v>9.1</v>
      </c>
      <c r="K13" s="7">
        <f>ELECT.!B17</f>
        <v>86</v>
      </c>
    </row>
    <row r="14" spans="1:11">
      <c r="A14" s="11" t="s">
        <v>11</v>
      </c>
      <c r="B14" s="14">
        <f t="shared" si="0"/>
        <v>13</v>
      </c>
      <c r="C14" s="14">
        <v>3</v>
      </c>
      <c r="D14" s="14">
        <v>2022</v>
      </c>
      <c r="E14" s="7">
        <f>ELECT.!D18+ELECT.!F18+ELECT.!H18</f>
        <v>19509</v>
      </c>
      <c r="F14" s="19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2195</v>
      </c>
      <c r="H14" s="20">
        <v>3.6</v>
      </c>
      <c r="I14" s="7">
        <f>Submetering!E14+Water!E17</f>
        <v>356</v>
      </c>
      <c r="J14" s="20">
        <v>9.1</v>
      </c>
      <c r="K14" s="7">
        <f>ELECT.!B18</f>
        <v>100</v>
      </c>
    </row>
    <row r="15" spans="1:11">
      <c r="A15" s="11" t="s">
        <v>11</v>
      </c>
      <c r="B15" s="14">
        <f t="shared" si="0"/>
        <v>14</v>
      </c>
      <c r="C15" s="14">
        <v>3</v>
      </c>
      <c r="D15" s="14">
        <v>2022</v>
      </c>
      <c r="E15" s="7">
        <f>ELECT.!D19+ELECT.!F19+ELECT.!H19</f>
        <v>23552</v>
      </c>
      <c r="F15" s="19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2135</v>
      </c>
      <c r="H15" s="20">
        <v>3.6</v>
      </c>
      <c r="I15" s="7">
        <f>Submetering!E15+Water!E18</f>
        <v>320</v>
      </c>
      <c r="J15" s="20">
        <v>9.1</v>
      </c>
      <c r="K15" s="7">
        <f>ELECT.!B19</f>
        <v>73</v>
      </c>
    </row>
    <row r="16" spans="1:11">
      <c r="A16" s="11" t="s">
        <v>11</v>
      </c>
      <c r="B16" s="14">
        <f t="shared" si="0"/>
        <v>15</v>
      </c>
      <c r="C16" s="14">
        <v>3</v>
      </c>
      <c r="D16" s="14">
        <v>2022</v>
      </c>
      <c r="E16" s="7">
        <f>ELECT.!D20+ELECT.!F20+ELECT.!H20</f>
        <v>21883</v>
      </c>
      <c r="F16" s="19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2321</v>
      </c>
      <c r="H16" s="20">
        <v>3.6</v>
      </c>
      <c r="I16" s="7">
        <f>Submetering!E16+Water!E19</f>
        <v>337</v>
      </c>
      <c r="J16" s="20">
        <v>9.1</v>
      </c>
      <c r="K16" s="7">
        <f>ELECT.!B20</f>
        <v>97</v>
      </c>
    </row>
    <row r="17" spans="1:11">
      <c r="A17" s="11" t="s">
        <v>11</v>
      </c>
      <c r="B17" s="14">
        <f t="shared" si="0"/>
        <v>16</v>
      </c>
      <c r="C17" s="14">
        <v>3</v>
      </c>
      <c r="D17" s="14">
        <v>2022</v>
      </c>
      <c r="E17" s="7">
        <f>ELECT.!D21+ELECT.!F21+ELECT.!H21</f>
        <v>21267</v>
      </c>
      <c r="F17" s="19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2060</v>
      </c>
      <c r="H17" s="20">
        <v>3.6</v>
      </c>
      <c r="I17" s="7">
        <f>Submetering!E17+Water!E20</f>
        <v>334</v>
      </c>
      <c r="J17" s="20">
        <v>9.1</v>
      </c>
      <c r="K17" s="7">
        <f>ELECT.!B21</f>
        <v>95</v>
      </c>
    </row>
    <row r="18" spans="1:11">
      <c r="A18" s="11" t="s">
        <v>11</v>
      </c>
      <c r="B18" s="14">
        <f t="shared" si="0"/>
        <v>17</v>
      </c>
      <c r="C18" s="14">
        <v>3</v>
      </c>
      <c r="D18" s="14">
        <v>2022</v>
      </c>
      <c r="E18" s="7">
        <f>ELECT.!D22+ELECT.!F22+ELECT.!H22</f>
        <v>20502</v>
      </c>
      <c r="F18" s="19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1817</v>
      </c>
      <c r="H18" s="20">
        <v>3.6</v>
      </c>
      <c r="I18" s="7">
        <f>Submetering!E18+Water!E21</f>
        <v>409</v>
      </c>
      <c r="J18" s="20">
        <v>9.1</v>
      </c>
      <c r="K18" s="7">
        <f>ELECT.!B22</f>
        <v>96</v>
      </c>
    </row>
    <row r="19" spans="1:11">
      <c r="A19" s="11" t="s">
        <v>11</v>
      </c>
      <c r="B19" s="14">
        <f t="shared" si="0"/>
        <v>18</v>
      </c>
      <c r="C19" s="14">
        <v>3</v>
      </c>
      <c r="D19" s="14">
        <v>2022</v>
      </c>
      <c r="E19" s="7">
        <f>ELECT.!D23+ELECT.!F23+ELECT.!H23</f>
        <v>18776</v>
      </c>
      <c r="F19" s="19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1844</v>
      </c>
      <c r="H19" s="20">
        <v>3.6</v>
      </c>
      <c r="I19" s="7">
        <f>Submetering!E19+Water!E22</f>
        <v>484</v>
      </c>
      <c r="J19" s="20">
        <v>9.1</v>
      </c>
      <c r="K19" s="7">
        <f>ELECT.!B23</f>
        <v>103</v>
      </c>
    </row>
    <row r="20" spans="1:11">
      <c r="A20" s="11" t="s">
        <v>11</v>
      </c>
      <c r="B20" s="14">
        <f t="shared" si="0"/>
        <v>19</v>
      </c>
      <c r="C20" s="14">
        <v>3</v>
      </c>
      <c r="D20" s="14">
        <v>2022</v>
      </c>
      <c r="E20" s="7">
        <f>ELECT.!D24+ELECT.!F24+ELECT.!H24</f>
        <v>19449</v>
      </c>
      <c r="F20" s="19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2094</v>
      </c>
      <c r="H20" s="20">
        <v>3.6</v>
      </c>
      <c r="I20" s="7">
        <f>Submetering!E20+Water!E23</f>
        <v>468</v>
      </c>
      <c r="J20" s="20">
        <v>9.1</v>
      </c>
      <c r="K20" s="7">
        <f>ELECT.!B24</f>
        <v>84</v>
      </c>
    </row>
    <row r="21" spans="1:11">
      <c r="A21" s="11" t="s">
        <v>11</v>
      </c>
      <c r="B21" s="14">
        <f t="shared" si="0"/>
        <v>20</v>
      </c>
      <c r="C21" s="14">
        <v>3</v>
      </c>
      <c r="D21" s="14">
        <v>2022</v>
      </c>
      <c r="E21" s="7">
        <f>ELECT.!D25+ELECT.!F25+ELECT.!H25</f>
        <v>21763</v>
      </c>
      <c r="F21" s="19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2170</v>
      </c>
      <c r="H21" s="20">
        <v>3.6</v>
      </c>
      <c r="I21" s="7">
        <f>Submetering!E21+Water!E24</f>
        <v>431</v>
      </c>
      <c r="J21" s="20">
        <v>9.1</v>
      </c>
      <c r="K21" s="7">
        <f>ELECT.!B25</f>
        <v>96</v>
      </c>
    </row>
    <row r="22" spans="1:11">
      <c r="A22" s="11" t="s">
        <v>11</v>
      </c>
      <c r="B22" s="14">
        <f t="shared" si="0"/>
        <v>21</v>
      </c>
      <c r="C22" s="14">
        <v>3</v>
      </c>
      <c r="D22" s="14">
        <v>2022</v>
      </c>
      <c r="E22" s="7">
        <f>ELECT.!D26+ELECT.!F26+ELECT.!H26</f>
        <v>21780</v>
      </c>
      <c r="F22" s="19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2300</v>
      </c>
      <c r="H22" s="20">
        <v>3.6</v>
      </c>
      <c r="I22" s="7">
        <f>Submetering!E22+Water!E25</f>
        <v>472</v>
      </c>
      <c r="J22" s="20">
        <v>9.1</v>
      </c>
      <c r="K22" s="7">
        <f>ELECT.!B26</f>
        <v>83</v>
      </c>
    </row>
    <row r="23" spans="1:11">
      <c r="A23" s="11" t="s">
        <v>11</v>
      </c>
      <c r="B23" s="14">
        <f t="shared" si="0"/>
        <v>22</v>
      </c>
      <c r="C23" s="14">
        <v>3</v>
      </c>
      <c r="D23" s="14">
        <v>2022</v>
      </c>
      <c r="E23" s="7">
        <f>ELECT.!D27+ELECT.!F27+ELECT.!H27</f>
        <v>21986</v>
      </c>
      <c r="F23" s="19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2009</v>
      </c>
      <c r="H23" s="20">
        <v>3.6</v>
      </c>
      <c r="I23" s="7">
        <f>Submetering!E23+Water!E26</f>
        <v>481</v>
      </c>
      <c r="J23" s="20">
        <v>9.1</v>
      </c>
      <c r="K23" s="7">
        <f>ELECT.!B27</f>
        <v>86</v>
      </c>
    </row>
    <row r="24" spans="1:11">
      <c r="A24" s="11" t="s">
        <v>11</v>
      </c>
      <c r="B24" s="14">
        <f t="shared" si="0"/>
        <v>23</v>
      </c>
      <c r="C24" s="14">
        <v>3</v>
      </c>
      <c r="D24" s="14">
        <v>2022</v>
      </c>
      <c r="E24" s="7">
        <f>ELECT.!D28+ELECT.!F28+ELECT.!H28</f>
        <v>20933</v>
      </c>
      <c r="F24" s="19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2096</v>
      </c>
      <c r="H24" s="20">
        <v>3.6</v>
      </c>
      <c r="I24" s="7">
        <f>Submetering!E24+Water!E27</f>
        <v>335</v>
      </c>
      <c r="J24" s="20">
        <v>9.1</v>
      </c>
      <c r="K24" s="7">
        <f>ELECT.!B28</f>
        <v>91</v>
      </c>
    </row>
    <row r="25" spans="1:11">
      <c r="A25" s="11" t="s">
        <v>11</v>
      </c>
      <c r="B25" s="14">
        <f t="shared" si="0"/>
        <v>24</v>
      </c>
      <c r="C25" s="14">
        <v>3</v>
      </c>
      <c r="D25" s="14">
        <v>2022</v>
      </c>
      <c r="E25" s="7">
        <f>ELECT.!D29+ELECT.!F29+ELECT.!H29</f>
        <v>20757</v>
      </c>
      <c r="F25" s="19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2262</v>
      </c>
      <c r="H25" s="20">
        <v>3.6</v>
      </c>
      <c r="I25" s="7">
        <f>Submetering!E25+Water!E28</f>
        <v>289</v>
      </c>
      <c r="J25" s="20">
        <v>9.1</v>
      </c>
      <c r="K25" s="7">
        <f>ELECT.!B29</f>
        <v>88</v>
      </c>
    </row>
    <row r="26" spans="1:11">
      <c r="A26" s="11" t="s">
        <v>11</v>
      </c>
      <c r="B26" s="14">
        <f>B25+1</f>
        <v>25</v>
      </c>
      <c r="C26" s="14">
        <v>3</v>
      </c>
      <c r="D26" s="14">
        <v>2022</v>
      </c>
      <c r="E26" s="7">
        <f>ELECT.!D30+ELECT.!F30+ELECT.!H30</f>
        <v>21817</v>
      </c>
      <c r="F26" s="19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2276</v>
      </c>
      <c r="H26" s="20">
        <v>3.6</v>
      </c>
      <c r="I26" s="7">
        <f>Submetering!E26+Water!E29</f>
        <v>248</v>
      </c>
      <c r="J26" s="20">
        <v>9.1</v>
      </c>
      <c r="K26" s="7">
        <f>ELECT.!B30</f>
        <v>92</v>
      </c>
    </row>
    <row r="27" spans="1:11">
      <c r="A27" s="11" t="s">
        <v>11</v>
      </c>
      <c r="B27" s="14">
        <f t="shared" si="0"/>
        <v>26</v>
      </c>
      <c r="C27" s="14">
        <v>3</v>
      </c>
      <c r="D27" s="14">
        <v>2022</v>
      </c>
      <c r="E27" s="7">
        <f>ELECT.!D31+ELECT.!F31+ELECT.!H31</f>
        <v>21819</v>
      </c>
      <c r="F27" s="19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2178</v>
      </c>
      <c r="H27" s="20">
        <v>3.6</v>
      </c>
      <c r="I27" s="7">
        <f>Submetering!E27+Water!E30</f>
        <v>388</v>
      </c>
      <c r="J27" s="20">
        <v>9.1</v>
      </c>
      <c r="K27" s="7">
        <f>ELECT.!B31</f>
        <v>90</v>
      </c>
    </row>
    <row r="28" spans="1:11">
      <c r="A28" s="11" t="s">
        <v>11</v>
      </c>
      <c r="B28" s="14">
        <f t="shared" si="0"/>
        <v>27</v>
      </c>
      <c r="C28" s="14">
        <v>3</v>
      </c>
      <c r="D28" s="14">
        <v>2022</v>
      </c>
      <c r="E28" s="7">
        <f>ELECT.!D32+ELECT.!F32+ELECT.!H32</f>
        <v>19794</v>
      </c>
      <c r="F28" s="19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2007</v>
      </c>
      <c r="H28" s="20">
        <v>3.6</v>
      </c>
      <c r="I28" s="7">
        <f>Submetering!E28+Water!E31</f>
        <v>385</v>
      </c>
      <c r="J28" s="20">
        <v>9.1</v>
      </c>
      <c r="K28" s="7">
        <f>ELECT.!B32</f>
        <v>107</v>
      </c>
    </row>
    <row r="29" spans="1:11">
      <c r="A29" s="11" t="s">
        <v>11</v>
      </c>
      <c r="B29" s="14">
        <f t="shared" si="0"/>
        <v>28</v>
      </c>
      <c r="C29" s="14">
        <v>3</v>
      </c>
      <c r="D29" s="14">
        <v>2022</v>
      </c>
      <c r="E29" s="7">
        <f>ELECT.!D33+ELECT.!F33+ELECT.!H33</f>
        <v>30609</v>
      </c>
      <c r="F29" s="19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2050</v>
      </c>
      <c r="H29" s="20">
        <v>3.6</v>
      </c>
      <c r="I29" s="7">
        <f>Submetering!E29+Water!E32</f>
        <v>481</v>
      </c>
      <c r="J29" s="20">
        <v>9.1</v>
      </c>
      <c r="K29" s="7">
        <f>ELECT.!B33</f>
        <v>102</v>
      </c>
    </row>
    <row r="30" spans="1:11">
      <c r="A30" s="11" t="s">
        <v>11</v>
      </c>
      <c r="B30" s="14">
        <f t="shared" si="0"/>
        <v>29</v>
      </c>
      <c r="C30" s="14">
        <v>3</v>
      </c>
      <c r="D30" s="14">
        <v>2022</v>
      </c>
      <c r="E30" s="7">
        <f>ELECT.!D34+ELECT.!F34+ELECT.!H34</f>
        <v>29445</v>
      </c>
      <c r="F30" s="19">
        <v>1.56</v>
      </c>
      <c r="G30" s="7">
        <f>Submetering!J30+Submetering!K30+Submetering!L30+Submetering!M30+Submetering!N30+Submetering!O30+Submetering!P30+Submetering!Q30+Submetering!R30+Submetering!S30+Submetering!T30+Submetering!U30+Submetering!V30+Submetering!W30</f>
        <v>2120</v>
      </c>
      <c r="H30" s="20">
        <v>3.6</v>
      </c>
      <c r="I30" s="7">
        <f>Submetering!E30+Water!E33</f>
        <v>457</v>
      </c>
      <c r="J30" s="20">
        <v>9.1</v>
      </c>
      <c r="K30" s="7">
        <f>ELECT.!B34</f>
        <v>107</v>
      </c>
    </row>
    <row r="31" spans="1:11">
      <c r="A31" s="11" t="s">
        <v>11</v>
      </c>
      <c r="B31" s="14">
        <f t="shared" si="0"/>
        <v>30</v>
      </c>
      <c r="C31" s="14">
        <v>3</v>
      </c>
      <c r="D31" s="14">
        <v>2022</v>
      </c>
      <c r="E31" s="7">
        <f>ELECT.!D35+ELECT.!F35+ELECT.!H35</f>
        <v>29517</v>
      </c>
      <c r="F31" s="19">
        <v>1.56</v>
      </c>
      <c r="G31" s="7">
        <f>Submetering!J31+Submetering!K31+Submetering!L31+Submetering!M31+Submetering!N31+Submetering!O31+Submetering!P31+Submetering!Q31+Submetering!R31+Submetering!S31+Submetering!T31+Submetering!U31+Submetering!V31+Submetering!W31</f>
        <v>1713</v>
      </c>
      <c r="H31" s="20">
        <v>3.6</v>
      </c>
      <c r="I31" s="7">
        <f>Submetering!E31+Water!E34</f>
        <v>477</v>
      </c>
      <c r="J31" s="20">
        <v>9.1</v>
      </c>
      <c r="K31" s="7">
        <f>ELECT.!B35</f>
        <v>110</v>
      </c>
    </row>
    <row r="32" spans="1:11">
      <c r="A32" s="11" t="s">
        <v>11</v>
      </c>
      <c r="B32" s="14">
        <f t="shared" si="0"/>
        <v>31</v>
      </c>
      <c r="C32" s="14">
        <v>3</v>
      </c>
      <c r="D32" s="14">
        <v>2022</v>
      </c>
      <c r="E32" s="7">
        <f>ELECT.!D36+ELECT.!F36+ELECT.!H36</f>
        <v>19846</v>
      </c>
      <c r="F32" s="19">
        <v>1.56</v>
      </c>
      <c r="G32" s="7">
        <f>Submetering!J32+Submetering!K32+Submetering!L32+Submetering!M32+Submetering!N32+Submetering!O32+Submetering!P32+Submetering!Q32+Submetering!R32+Submetering!S32+Submetering!T32+Submetering!U32+Submetering!V32+Submetering!W32</f>
        <v>2268</v>
      </c>
      <c r="H32" s="20">
        <v>3.6</v>
      </c>
      <c r="I32" s="7">
        <f>Submetering!E32+Water!E35</f>
        <v>505</v>
      </c>
      <c r="J32" s="20">
        <v>9.1</v>
      </c>
      <c r="K32" s="7">
        <f>ELECT.!B36</f>
        <v>67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32"/>
  <sheetViews>
    <sheetView topLeftCell="A19" zoomScale="85" zoomScaleNormal="85" workbookViewId="0">
      <selection activeCell="C2" sqref="C2:C3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3</v>
      </c>
      <c r="D2" s="14">
        <v>2022</v>
      </c>
      <c r="E2" s="7">
        <f>Water!C5</f>
        <v>190</v>
      </c>
      <c r="F2" s="7">
        <f>Water!E5</f>
        <v>162</v>
      </c>
      <c r="G2" s="7">
        <f>ELECT.!D6</f>
        <v>4500</v>
      </c>
      <c r="H2" s="7">
        <f>ELECT.!F6</f>
        <v>7200</v>
      </c>
      <c r="I2" s="7">
        <f>ELECT.!H6</f>
        <v>6000</v>
      </c>
      <c r="J2" s="8">
        <f>Gas!C4</f>
        <v>210</v>
      </c>
      <c r="K2" s="8">
        <f>Gas!E4</f>
        <v>981</v>
      </c>
      <c r="L2" s="8">
        <f>Gas!G4</f>
        <v>173</v>
      </c>
      <c r="M2" s="16">
        <f>Gas!I4</f>
        <v>31</v>
      </c>
      <c r="N2" s="16">
        <f>Gas!K4</f>
        <v>26</v>
      </c>
      <c r="O2" s="8">
        <f>Gas!M4</f>
        <v>55</v>
      </c>
      <c r="P2" s="8">
        <f>Gas!O4</f>
        <v>28</v>
      </c>
      <c r="Q2" s="8">
        <f>Gas!Q4</f>
        <v>31</v>
      </c>
      <c r="R2" s="8">
        <f>Gas!S4</f>
        <v>210</v>
      </c>
      <c r="S2" s="8">
        <f>Gas!U4</f>
        <v>24</v>
      </c>
      <c r="T2" s="8">
        <f>Gas!W4</f>
        <v>50</v>
      </c>
      <c r="U2" s="8">
        <f>Gas!Y4</f>
        <v>0</v>
      </c>
      <c r="V2" s="8">
        <f>Gas!AA4</f>
        <v>0</v>
      </c>
      <c r="W2" s="8">
        <f>Gas!AC4</f>
        <v>0</v>
      </c>
      <c r="X2" s="7">
        <f>ELECT.!B6</f>
        <v>107</v>
      </c>
    </row>
    <row r="3" spans="1:24">
      <c r="A3" s="11" t="s">
        <v>11</v>
      </c>
      <c r="B3" s="14">
        <f>B2+1</f>
        <v>2</v>
      </c>
      <c r="C3" s="14">
        <v>3</v>
      </c>
      <c r="D3" s="14">
        <v>2022</v>
      </c>
      <c r="E3" s="7">
        <f>Water!C6</f>
        <v>240</v>
      </c>
      <c r="F3" s="7">
        <f>Water!E6</f>
        <v>124</v>
      </c>
      <c r="G3" s="7">
        <f>ELECT.!D7</f>
        <v>4560</v>
      </c>
      <c r="H3" s="7">
        <f>ELECT.!F7</f>
        <v>9696</v>
      </c>
      <c r="I3" s="7">
        <f>ELECT.!H7</f>
        <v>6250</v>
      </c>
      <c r="J3" s="8">
        <f>Gas!C5</f>
        <v>264</v>
      </c>
      <c r="K3" s="8">
        <f>Gas!E5</f>
        <v>996</v>
      </c>
      <c r="L3" s="8">
        <f>Gas!G5</f>
        <v>150</v>
      </c>
      <c r="M3" s="16">
        <f>Gas!I5</f>
        <v>25</v>
      </c>
      <c r="N3" s="16">
        <f>Gas!K5</f>
        <v>24</v>
      </c>
      <c r="O3" s="8">
        <f>Gas!M5</f>
        <v>61</v>
      </c>
      <c r="P3" s="8">
        <f>Gas!O5</f>
        <v>95</v>
      </c>
      <c r="Q3" s="8">
        <f>Gas!Q5</f>
        <v>25</v>
      </c>
      <c r="R3" s="8">
        <f>Gas!S5</f>
        <v>190</v>
      </c>
      <c r="S3" s="8">
        <f>Gas!U5</f>
        <v>26</v>
      </c>
      <c r="T3" s="8">
        <f>Gas!W5</f>
        <v>50</v>
      </c>
      <c r="U3" s="8">
        <f>Gas!Y5</f>
        <v>0</v>
      </c>
      <c r="V3" s="8">
        <f>Gas!AA5</f>
        <v>0</v>
      </c>
      <c r="W3" s="8">
        <f>Gas!AC5</f>
        <v>0</v>
      </c>
      <c r="X3" s="7">
        <f>ELECT.!B7</f>
        <v>106</v>
      </c>
    </row>
    <row r="4" spans="1:24">
      <c r="A4" s="11" t="s">
        <v>11</v>
      </c>
      <c r="B4" s="14">
        <f t="shared" ref="B4:B32" si="0">B3+1</f>
        <v>3</v>
      </c>
      <c r="C4" s="14">
        <v>3</v>
      </c>
      <c r="D4" s="14">
        <v>2022</v>
      </c>
      <c r="E4" s="7">
        <f>Water!C7</f>
        <v>240</v>
      </c>
      <c r="F4" s="7">
        <f>Water!E7</f>
        <v>124</v>
      </c>
      <c r="G4" s="7">
        <f>ELECT.!D8</f>
        <v>4655</v>
      </c>
      <c r="H4" s="7">
        <f>ELECT.!F8</f>
        <v>9304</v>
      </c>
      <c r="I4" s="7">
        <f>ELECT.!H8</f>
        <v>6330</v>
      </c>
      <c r="J4" s="8">
        <f>Gas!C6</f>
        <v>200</v>
      </c>
      <c r="K4" s="8">
        <f>Gas!E6</f>
        <v>929</v>
      </c>
      <c r="L4" s="8">
        <f>Gas!G6</f>
        <v>154</v>
      </c>
      <c r="M4" s="16">
        <f>Gas!I6</f>
        <v>25</v>
      </c>
      <c r="N4" s="16">
        <f>Gas!K6</f>
        <v>29</v>
      </c>
      <c r="O4" s="8">
        <f>Gas!M6</f>
        <v>71</v>
      </c>
      <c r="P4" s="8">
        <f>Gas!O6</f>
        <v>112</v>
      </c>
      <c r="Q4" s="8">
        <f>Gas!Q6</f>
        <v>29</v>
      </c>
      <c r="R4" s="8">
        <f>Gas!S6</f>
        <v>180</v>
      </c>
      <c r="S4" s="8">
        <f>Gas!U6</f>
        <v>24</v>
      </c>
      <c r="T4" s="8">
        <f>Gas!W6</f>
        <v>53</v>
      </c>
      <c r="U4" s="8">
        <f>Gas!Y6</f>
        <v>0</v>
      </c>
      <c r="V4" s="8">
        <f>Gas!AA6</f>
        <v>0</v>
      </c>
      <c r="W4" s="8">
        <f>Gas!AC6</f>
        <v>0</v>
      </c>
      <c r="X4" s="7">
        <f>ELECT.!B8</f>
        <v>98</v>
      </c>
    </row>
    <row r="5" spans="1:24">
      <c r="A5" s="11" t="s">
        <v>11</v>
      </c>
      <c r="B5" s="14">
        <f t="shared" si="0"/>
        <v>4</v>
      </c>
      <c r="C5" s="14">
        <v>3</v>
      </c>
      <c r="D5" s="14">
        <v>2022</v>
      </c>
      <c r="E5" s="7">
        <f>Water!C8</f>
        <v>260</v>
      </c>
      <c r="F5" s="7">
        <f>Water!E8</f>
        <v>162</v>
      </c>
      <c r="G5" s="7">
        <f>ELECT.!D9</f>
        <v>4661</v>
      </c>
      <c r="H5" s="7">
        <f>ELECT.!F9</f>
        <v>8501</v>
      </c>
      <c r="I5" s="7">
        <f>ELECT.!H9</f>
        <v>6298</v>
      </c>
      <c r="J5" s="8">
        <f>Gas!C7</f>
        <v>218</v>
      </c>
      <c r="K5" s="8">
        <f>Gas!E7</f>
        <v>891</v>
      </c>
      <c r="L5" s="8">
        <f>Gas!G7</f>
        <v>157</v>
      </c>
      <c r="M5" s="16">
        <f>Gas!I7</f>
        <v>27</v>
      </c>
      <c r="N5" s="16">
        <f>Gas!K7</f>
        <v>29</v>
      </c>
      <c r="O5" s="8">
        <f>Gas!M7</f>
        <v>65</v>
      </c>
      <c r="P5" s="8">
        <f>Gas!O7</f>
        <v>115</v>
      </c>
      <c r="Q5" s="8">
        <f>Gas!Q7</f>
        <v>23</v>
      </c>
      <c r="R5" s="8">
        <f>Gas!S7</f>
        <v>216</v>
      </c>
      <c r="S5" s="8">
        <f>Gas!U7</f>
        <v>30</v>
      </c>
      <c r="T5" s="8">
        <f>Gas!W7</f>
        <v>52</v>
      </c>
      <c r="U5" s="8">
        <f>Gas!Y7</f>
        <v>0</v>
      </c>
      <c r="V5" s="8">
        <f>Gas!AA7</f>
        <v>0</v>
      </c>
      <c r="W5" s="8">
        <f>Gas!AC7</f>
        <v>0</v>
      </c>
      <c r="X5" s="7">
        <f>ELECT.!B9</f>
        <v>109</v>
      </c>
    </row>
    <row r="6" spans="1:24">
      <c r="A6" s="11" t="s">
        <v>11</v>
      </c>
      <c r="B6" s="14">
        <f t="shared" si="0"/>
        <v>5</v>
      </c>
      <c r="C6" s="14">
        <v>3</v>
      </c>
      <c r="D6" s="14">
        <v>2022</v>
      </c>
      <c r="E6" s="7">
        <f>Water!C9</f>
        <v>260</v>
      </c>
      <c r="F6" s="7">
        <f>Water!E9</f>
        <v>256</v>
      </c>
      <c r="G6" s="7">
        <f>ELECT.!D10</f>
        <v>4543</v>
      </c>
      <c r="H6" s="7">
        <f>ELECT.!F10</f>
        <v>8040</v>
      </c>
      <c r="I6" s="7">
        <f>ELECT.!H10</f>
        <v>5911</v>
      </c>
      <c r="J6" s="8">
        <f>Gas!C8</f>
        <v>251</v>
      </c>
      <c r="K6" s="8">
        <f>Gas!E8</f>
        <v>847</v>
      </c>
      <c r="L6" s="8">
        <f>Gas!G8</f>
        <v>163</v>
      </c>
      <c r="M6" s="16">
        <f>Gas!I8</f>
        <v>28</v>
      </c>
      <c r="N6" s="16">
        <f>Gas!K8</f>
        <v>26</v>
      </c>
      <c r="O6" s="8">
        <f>Gas!M8</f>
        <v>46</v>
      </c>
      <c r="P6" s="8">
        <f>Gas!O8</f>
        <v>120</v>
      </c>
      <c r="Q6" s="8">
        <f>Gas!Q8</f>
        <v>33</v>
      </c>
      <c r="R6" s="8">
        <f>Gas!S8</f>
        <v>233</v>
      </c>
      <c r="S6" s="8">
        <f>Gas!U8</f>
        <v>34</v>
      </c>
      <c r="T6" s="8">
        <f>Gas!W8</f>
        <v>53</v>
      </c>
      <c r="U6" s="8">
        <f>Gas!Y8</f>
        <v>0</v>
      </c>
      <c r="V6" s="8">
        <f>Gas!AA8</f>
        <v>0</v>
      </c>
      <c r="W6" s="8">
        <f>Gas!AC8</f>
        <v>0</v>
      </c>
      <c r="X6" s="7">
        <f>ELECT.!B10</f>
        <v>69</v>
      </c>
    </row>
    <row r="7" spans="1:24">
      <c r="A7" s="11" t="s">
        <v>11</v>
      </c>
      <c r="B7" s="14">
        <f t="shared" si="0"/>
        <v>6</v>
      </c>
      <c r="C7" s="14">
        <v>3</v>
      </c>
      <c r="D7" s="14">
        <v>2022</v>
      </c>
      <c r="E7" s="7">
        <f>Water!C10</f>
        <v>240</v>
      </c>
      <c r="F7" s="7">
        <f>Water!E10</f>
        <v>154</v>
      </c>
      <c r="G7" s="7">
        <f>ELECT.!D11</f>
        <v>4346</v>
      </c>
      <c r="H7" s="7">
        <f>ELECT.!F11</f>
        <v>7980</v>
      </c>
      <c r="I7" s="7">
        <f>ELECT.!H11</f>
        <v>5927</v>
      </c>
      <c r="J7" s="8">
        <f>Gas!C9</f>
        <v>203</v>
      </c>
      <c r="K7" s="8">
        <f>Gas!E9</f>
        <v>988</v>
      </c>
      <c r="L7" s="8">
        <f>Gas!G9</f>
        <v>137</v>
      </c>
      <c r="M7" s="16">
        <f>Gas!I9</f>
        <v>19</v>
      </c>
      <c r="N7" s="16">
        <f>Gas!K9</f>
        <v>0</v>
      </c>
      <c r="O7" s="8">
        <f>Gas!M9</f>
        <v>47</v>
      </c>
      <c r="P7" s="8">
        <f>Gas!O9</f>
        <v>48</v>
      </c>
      <c r="Q7" s="8">
        <f>Gas!Q9</f>
        <v>31</v>
      </c>
      <c r="R7" s="8">
        <f>Gas!S9</f>
        <v>187</v>
      </c>
      <c r="S7" s="8">
        <f>Gas!U9</f>
        <v>26</v>
      </c>
      <c r="T7" s="8">
        <f>Gas!W9</f>
        <v>46</v>
      </c>
      <c r="U7" s="8">
        <f>Gas!Y9</f>
        <v>0</v>
      </c>
      <c r="V7" s="8">
        <f>Gas!AA9</f>
        <v>0</v>
      </c>
      <c r="W7" s="8">
        <f>Gas!AC9</f>
        <v>0</v>
      </c>
      <c r="X7" s="7">
        <f>ELECT.!B11</f>
        <v>82</v>
      </c>
    </row>
    <row r="8" spans="1:24">
      <c r="A8" s="11" t="s">
        <v>11</v>
      </c>
      <c r="B8" s="14">
        <f t="shared" si="0"/>
        <v>7</v>
      </c>
      <c r="C8" s="14">
        <v>3</v>
      </c>
      <c r="D8" s="14">
        <v>2022</v>
      </c>
      <c r="E8" s="7">
        <f>Water!C11</f>
        <v>220</v>
      </c>
      <c r="F8" s="7">
        <f>Water!E11</f>
        <v>174</v>
      </c>
      <c r="G8" s="7">
        <f>ELECT.!D12</f>
        <v>4356</v>
      </c>
      <c r="H8" s="7">
        <f>ELECT.!F12</f>
        <v>8695</v>
      </c>
      <c r="I8" s="7">
        <f>ELECT.!H12</f>
        <v>6025</v>
      </c>
      <c r="J8" s="8">
        <f>Gas!C10</f>
        <v>285</v>
      </c>
      <c r="K8" s="8">
        <f>Gas!E10</f>
        <v>932</v>
      </c>
      <c r="L8" s="8">
        <f>Gas!G10</f>
        <v>151</v>
      </c>
      <c r="M8" s="16">
        <f>Gas!I10</f>
        <v>27</v>
      </c>
      <c r="N8" s="16">
        <f>Gas!K10</f>
        <v>0</v>
      </c>
      <c r="O8" s="8">
        <f>Gas!M10</f>
        <v>61</v>
      </c>
      <c r="P8" s="8">
        <f>Gas!O10</f>
        <v>76</v>
      </c>
      <c r="Q8" s="8">
        <f>Gas!Q10</f>
        <v>30</v>
      </c>
      <c r="R8" s="8">
        <f>Gas!S10</f>
        <v>218</v>
      </c>
      <c r="S8" s="8">
        <f>Gas!U10</f>
        <v>30</v>
      </c>
      <c r="T8" s="8">
        <f>Gas!W10</f>
        <v>49</v>
      </c>
      <c r="U8" s="8">
        <f>Gas!Y10</f>
        <v>0</v>
      </c>
      <c r="V8" s="8">
        <f>Gas!AA10</f>
        <v>0</v>
      </c>
      <c r="W8" s="8">
        <f>Gas!AC10</f>
        <v>0</v>
      </c>
      <c r="X8" s="7">
        <f>ELECT.!B12</f>
        <v>100</v>
      </c>
    </row>
    <row r="9" spans="1:24">
      <c r="A9" s="11" t="s">
        <v>11</v>
      </c>
      <c r="B9" s="14">
        <f t="shared" si="0"/>
        <v>8</v>
      </c>
      <c r="C9" s="14">
        <v>3</v>
      </c>
      <c r="D9" s="14">
        <v>2022</v>
      </c>
      <c r="E9" s="7">
        <f>Water!C12</f>
        <v>200</v>
      </c>
      <c r="F9" s="7">
        <f>Water!E12</f>
        <v>197</v>
      </c>
      <c r="G9" s="7">
        <f>ELECT.!D13</f>
        <v>4970</v>
      </c>
      <c r="H9" s="7">
        <f>ELECT.!F13</f>
        <v>9580</v>
      </c>
      <c r="I9" s="7">
        <f>ELECT.!H13</f>
        <v>6832</v>
      </c>
      <c r="J9" s="8">
        <f>Gas!C11</f>
        <v>211</v>
      </c>
      <c r="K9" s="8">
        <f>Gas!E11</f>
        <v>1012</v>
      </c>
      <c r="L9" s="8">
        <f>Gas!G11</f>
        <v>147</v>
      </c>
      <c r="M9" s="16">
        <f>Gas!I11</f>
        <v>22</v>
      </c>
      <c r="N9" s="16">
        <f>Gas!K11</f>
        <v>22</v>
      </c>
      <c r="O9" s="8">
        <f>Gas!M11</f>
        <v>56</v>
      </c>
      <c r="P9" s="8">
        <f>Gas!O11</f>
        <v>83</v>
      </c>
      <c r="Q9" s="8">
        <f>Gas!Q11</f>
        <v>27</v>
      </c>
      <c r="R9" s="8">
        <f>Gas!S11</f>
        <v>171</v>
      </c>
      <c r="S9" s="8">
        <f>Gas!U11</f>
        <v>30</v>
      </c>
      <c r="T9" s="8">
        <f>Gas!W11</f>
        <v>54</v>
      </c>
      <c r="U9" s="8">
        <f>Gas!Y11</f>
        <v>0</v>
      </c>
      <c r="V9" s="8">
        <f>Gas!AA11</f>
        <v>0</v>
      </c>
      <c r="W9" s="8">
        <f>Gas!AC11</f>
        <v>0</v>
      </c>
      <c r="X9" s="7">
        <f>ELECT.!B13</f>
        <v>107</v>
      </c>
    </row>
    <row r="10" spans="1:24">
      <c r="A10" s="11" t="s">
        <v>11</v>
      </c>
      <c r="B10" s="14">
        <f t="shared" si="0"/>
        <v>9</v>
      </c>
      <c r="C10" s="14">
        <v>3</v>
      </c>
      <c r="D10" s="14">
        <v>2022</v>
      </c>
      <c r="E10" s="7">
        <f>Water!C13</f>
        <v>210</v>
      </c>
      <c r="F10" s="7">
        <f>Water!E13</f>
        <v>114</v>
      </c>
      <c r="G10" s="7">
        <f>ELECT.!D14</f>
        <v>4555</v>
      </c>
      <c r="H10" s="7">
        <f>ELECT.!F14</f>
        <v>9138</v>
      </c>
      <c r="I10" s="7">
        <f>ELECT.!H14</f>
        <v>7020</v>
      </c>
      <c r="J10" s="8">
        <f>Gas!C12</f>
        <v>258</v>
      </c>
      <c r="K10" s="8">
        <f>Gas!E12</f>
        <v>1177</v>
      </c>
      <c r="L10" s="8">
        <f>Gas!G12</f>
        <v>153</v>
      </c>
      <c r="M10" s="16">
        <f>Gas!I12</f>
        <v>22</v>
      </c>
      <c r="N10" s="16">
        <f>Gas!K12</f>
        <v>24</v>
      </c>
      <c r="O10" s="8">
        <f>Gas!M12</f>
        <v>60</v>
      </c>
      <c r="P10" s="8">
        <f>Gas!O12</f>
        <v>86</v>
      </c>
      <c r="Q10" s="8">
        <f>Gas!Q12</f>
        <v>32</v>
      </c>
      <c r="R10" s="8">
        <f>Gas!S12</f>
        <v>104</v>
      </c>
      <c r="S10" s="8">
        <f>Gas!U12</f>
        <v>34</v>
      </c>
      <c r="T10" s="8">
        <f>Gas!W12</f>
        <v>43</v>
      </c>
      <c r="U10" s="8">
        <f>Gas!Y12</f>
        <v>0</v>
      </c>
      <c r="V10" s="8">
        <f>Gas!AA12</f>
        <v>0</v>
      </c>
      <c r="W10" s="8">
        <f>Gas!AC12</f>
        <v>0</v>
      </c>
      <c r="X10" s="7">
        <f>ELECT.!B14</f>
        <v>90</v>
      </c>
    </row>
    <row r="11" spans="1:24">
      <c r="A11" s="11" t="s">
        <v>11</v>
      </c>
      <c r="B11" s="14">
        <f t="shared" si="0"/>
        <v>10</v>
      </c>
      <c r="C11" s="14">
        <v>3</v>
      </c>
      <c r="D11" s="14">
        <v>2022</v>
      </c>
      <c r="E11" s="7">
        <f>Water!C14</f>
        <v>210</v>
      </c>
      <c r="F11" s="7">
        <f>Water!E14</f>
        <v>78</v>
      </c>
      <c r="G11" s="7">
        <f>ELECT.!D15</f>
        <v>4199</v>
      </c>
      <c r="H11" s="7">
        <f>ELECT.!F15</f>
        <v>8875</v>
      </c>
      <c r="I11" s="7">
        <f>ELECT.!H15</f>
        <v>6492</v>
      </c>
      <c r="J11" s="8">
        <f>Gas!C13</f>
        <v>185</v>
      </c>
      <c r="K11" s="8">
        <f>Gas!E13</f>
        <v>1166</v>
      </c>
      <c r="L11" s="8">
        <f>Gas!G13</f>
        <v>160</v>
      </c>
      <c r="M11" s="16">
        <f>Gas!I13</f>
        <v>25</v>
      </c>
      <c r="N11" s="16">
        <f>Gas!K13</f>
        <v>27</v>
      </c>
      <c r="O11" s="8">
        <f>Gas!M13</f>
        <v>56</v>
      </c>
      <c r="P11" s="8">
        <f>Gas!O13</f>
        <v>137</v>
      </c>
      <c r="Q11" s="8">
        <f>Gas!Q13</f>
        <v>34</v>
      </c>
      <c r="R11" s="8">
        <f>Gas!S13</f>
        <v>260</v>
      </c>
      <c r="S11" s="8">
        <f>Gas!U13</f>
        <v>23</v>
      </c>
      <c r="T11" s="8">
        <f>Gas!W13</f>
        <v>60</v>
      </c>
      <c r="U11" s="8">
        <f>Gas!Y13</f>
        <v>0</v>
      </c>
      <c r="V11" s="8">
        <f>Gas!AA13</f>
        <v>0</v>
      </c>
      <c r="W11" s="8">
        <f>Gas!AC13</f>
        <v>0</v>
      </c>
      <c r="X11" s="7">
        <f>ELECT.!B15</f>
        <v>112</v>
      </c>
    </row>
    <row r="12" spans="1:24">
      <c r="A12" s="11" t="s">
        <v>11</v>
      </c>
      <c r="B12" s="14">
        <f t="shared" si="0"/>
        <v>11</v>
      </c>
      <c r="C12" s="14">
        <v>3</v>
      </c>
      <c r="D12" s="14">
        <v>2022</v>
      </c>
      <c r="E12" s="7">
        <f>Water!C15</f>
        <v>280</v>
      </c>
      <c r="F12" s="7">
        <f>Water!E15</f>
        <v>54</v>
      </c>
      <c r="G12" s="7">
        <f>ELECT.!D16</f>
        <v>5192</v>
      </c>
      <c r="H12" s="7">
        <f>ELECT.!F16</f>
        <v>10516</v>
      </c>
      <c r="I12" s="7">
        <f>ELECT.!H16</f>
        <v>7447</v>
      </c>
      <c r="J12" s="8">
        <f>Gas!C14</f>
        <v>230</v>
      </c>
      <c r="K12" s="8">
        <f>Gas!E14</f>
        <v>1278</v>
      </c>
      <c r="L12" s="8">
        <f>Gas!G14</f>
        <v>183</v>
      </c>
      <c r="M12" s="16">
        <f>Gas!I14</f>
        <v>36</v>
      </c>
      <c r="N12" s="16">
        <f>Gas!K14</f>
        <v>22</v>
      </c>
      <c r="O12" s="8">
        <f>Gas!M14</f>
        <v>62</v>
      </c>
      <c r="P12" s="8">
        <f>Gas!O14</f>
        <v>113</v>
      </c>
      <c r="Q12" s="8">
        <f>Gas!Q14</f>
        <v>33</v>
      </c>
      <c r="R12" s="8">
        <f>Gas!S14</f>
        <v>252</v>
      </c>
      <c r="S12" s="8">
        <f>Gas!U14</f>
        <v>23</v>
      </c>
      <c r="T12" s="8">
        <f>Gas!W14</f>
        <v>53</v>
      </c>
      <c r="U12" s="8">
        <f>Gas!Y14</f>
        <v>0</v>
      </c>
      <c r="V12" s="8">
        <f>Gas!AA14</f>
        <v>0</v>
      </c>
      <c r="W12" s="8">
        <f>Gas!AC14</f>
        <v>0</v>
      </c>
      <c r="X12" s="7">
        <f>ELECT.!B16</f>
        <v>103</v>
      </c>
    </row>
    <row r="13" spans="1:24">
      <c r="A13" s="11" t="s">
        <v>11</v>
      </c>
      <c r="B13" s="14">
        <f t="shared" si="0"/>
        <v>12</v>
      </c>
      <c r="C13" s="14">
        <v>3</v>
      </c>
      <c r="D13" s="14">
        <v>2022</v>
      </c>
      <c r="E13" s="7">
        <f>Water!C16</f>
        <v>250</v>
      </c>
      <c r="F13" s="7">
        <f>Water!E16</f>
        <v>211</v>
      </c>
      <c r="G13" s="7">
        <f>ELECT.!D17</f>
        <v>4518</v>
      </c>
      <c r="H13" s="7">
        <f>ELECT.!F17</f>
        <v>9475</v>
      </c>
      <c r="I13" s="7">
        <f>ELECT.!H17</f>
        <v>6214</v>
      </c>
      <c r="J13" s="8">
        <f>Gas!C15</f>
        <v>237</v>
      </c>
      <c r="K13" s="8">
        <f>Gas!E15</f>
        <v>1017</v>
      </c>
      <c r="L13" s="8">
        <f>Gas!G15</f>
        <v>144</v>
      </c>
      <c r="M13" s="16">
        <f>Gas!I15</f>
        <v>26</v>
      </c>
      <c r="N13" s="16">
        <f>Gas!K15</f>
        <v>22</v>
      </c>
      <c r="O13" s="8">
        <f>Gas!M15</f>
        <v>63</v>
      </c>
      <c r="P13" s="8">
        <f>Gas!O15</f>
        <v>31</v>
      </c>
      <c r="Q13" s="8">
        <f>Gas!Q15</f>
        <v>32</v>
      </c>
      <c r="R13" s="8">
        <f>Gas!S15</f>
        <v>226</v>
      </c>
      <c r="S13" s="8">
        <f>Gas!U15</f>
        <v>22</v>
      </c>
      <c r="T13" s="8">
        <f>Gas!W15</f>
        <v>51</v>
      </c>
      <c r="U13" s="8">
        <f>Gas!Y15</f>
        <v>0</v>
      </c>
      <c r="V13" s="8">
        <f>Gas!AA15</f>
        <v>0</v>
      </c>
      <c r="W13" s="8">
        <f>Gas!AC15</f>
        <v>0</v>
      </c>
      <c r="X13" s="7">
        <f>ELECT.!B17</f>
        <v>86</v>
      </c>
    </row>
    <row r="14" spans="1:24">
      <c r="A14" s="11" t="s">
        <v>11</v>
      </c>
      <c r="B14" s="14">
        <f t="shared" si="0"/>
        <v>13</v>
      </c>
      <c r="C14" s="14">
        <v>3</v>
      </c>
      <c r="D14" s="14">
        <v>2022</v>
      </c>
      <c r="E14" s="7">
        <f>Water!C17</f>
        <v>300</v>
      </c>
      <c r="F14" s="7">
        <f>Water!E17</f>
        <v>56</v>
      </c>
      <c r="G14" s="7">
        <f>ELECT.!D18</f>
        <v>4190</v>
      </c>
      <c r="H14" s="7">
        <f>ELECT.!F18</f>
        <v>9486</v>
      </c>
      <c r="I14" s="7">
        <f>ELECT.!H18</f>
        <v>5833</v>
      </c>
      <c r="J14" s="8">
        <f>Gas!C16</f>
        <v>302</v>
      </c>
      <c r="K14" s="8">
        <f>Gas!E16</f>
        <v>1254</v>
      </c>
      <c r="L14" s="8">
        <f>Gas!G16</f>
        <v>161</v>
      </c>
      <c r="M14" s="16">
        <f>Gas!I16</f>
        <v>22</v>
      </c>
      <c r="N14" s="16">
        <f>Gas!K16</f>
        <v>0</v>
      </c>
      <c r="O14" s="8">
        <f>Gas!M16</f>
        <v>66</v>
      </c>
      <c r="P14" s="8">
        <f>Gas!O16</f>
        <v>65</v>
      </c>
      <c r="Q14" s="8">
        <f>Gas!Q16</f>
        <v>34</v>
      </c>
      <c r="R14" s="8">
        <f>Gas!S16</f>
        <v>219</v>
      </c>
      <c r="S14" s="8">
        <f>Gas!U16</f>
        <v>23</v>
      </c>
      <c r="T14" s="8">
        <f>Gas!W16</f>
        <v>49</v>
      </c>
      <c r="U14" s="8">
        <f>Gas!Y16</f>
        <v>0</v>
      </c>
      <c r="V14" s="8">
        <f>Gas!AA16</f>
        <v>0</v>
      </c>
      <c r="W14" s="8">
        <f>Gas!AC16</f>
        <v>0</v>
      </c>
      <c r="X14" s="7">
        <f>ELECT.!B18</f>
        <v>100</v>
      </c>
    </row>
    <row r="15" spans="1:24">
      <c r="A15" s="11" t="s">
        <v>11</v>
      </c>
      <c r="B15" s="14">
        <f t="shared" si="0"/>
        <v>14</v>
      </c>
      <c r="C15" s="14">
        <v>3</v>
      </c>
      <c r="D15" s="14">
        <v>2022</v>
      </c>
      <c r="E15" s="7">
        <f>Water!C18</f>
        <v>220</v>
      </c>
      <c r="F15" s="7">
        <f>Water!E18</f>
        <v>100</v>
      </c>
      <c r="G15" s="7">
        <f>ELECT.!D19</f>
        <v>4541</v>
      </c>
      <c r="H15" s="7">
        <f>ELECT.!F19</f>
        <v>11671</v>
      </c>
      <c r="I15" s="7">
        <f>ELECT.!H19</f>
        <v>7340</v>
      </c>
      <c r="J15" s="8">
        <f>Gas!C17</f>
        <v>156</v>
      </c>
      <c r="K15" s="8">
        <f>Gas!E17</f>
        <v>1481</v>
      </c>
      <c r="L15" s="8">
        <f>Gas!G17</f>
        <v>120</v>
      </c>
      <c r="M15" s="16">
        <f>Gas!I17</f>
        <v>28</v>
      </c>
      <c r="N15" s="16">
        <f>Gas!K17</f>
        <v>1</v>
      </c>
      <c r="O15" s="8">
        <f>Gas!M17</f>
        <v>58</v>
      </c>
      <c r="P15" s="8">
        <f>Gas!O17</f>
        <v>126</v>
      </c>
      <c r="Q15" s="8">
        <f>Gas!Q17</f>
        <v>34</v>
      </c>
      <c r="R15" s="8">
        <f>Gas!S17</f>
        <v>56</v>
      </c>
      <c r="S15" s="8">
        <f>Gas!U17</f>
        <v>28</v>
      </c>
      <c r="T15" s="8">
        <f>Gas!W17</f>
        <v>47</v>
      </c>
      <c r="U15" s="8">
        <f>Gas!Y17</f>
        <v>0</v>
      </c>
      <c r="V15" s="8">
        <f>Gas!AA17</f>
        <v>0</v>
      </c>
      <c r="W15" s="8">
        <f>Gas!AC17</f>
        <v>0</v>
      </c>
      <c r="X15" s="7">
        <f>ELECT.!B19</f>
        <v>73</v>
      </c>
    </row>
    <row r="16" spans="1:24">
      <c r="A16" s="11" t="s">
        <v>11</v>
      </c>
      <c r="B16" s="14">
        <f t="shared" si="0"/>
        <v>15</v>
      </c>
      <c r="C16" s="14">
        <v>3</v>
      </c>
      <c r="D16" s="14">
        <v>2022</v>
      </c>
      <c r="E16" s="7">
        <f>Water!C19</f>
        <v>210</v>
      </c>
      <c r="F16" s="7">
        <f>Water!E19</f>
        <v>127</v>
      </c>
      <c r="G16" s="7">
        <f>ELECT.!D20</f>
        <v>4611</v>
      </c>
      <c r="H16" s="7">
        <f>ELECT.!F20</f>
        <v>10514</v>
      </c>
      <c r="I16" s="7">
        <f>ELECT.!H20</f>
        <v>6758</v>
      </c>
      <c r="J16" s="8">
        <f>Gas!C18</f>
        <v>285</v>
      </c>
      <c r="K16" s="8">
        <f>Gas!E18</f>
        <v>1237</v>
      </c>
      <c r="L16" s="8">
        <f>Gas!G18</f>
        <v>119</v>
      </c>
      <c r="M16" s="16">
        <f>Gas!I18</f>
        <v>31</v>
      </c>
      <c r="N16" s="16">
        <f>Gas!K18</f>
        <v>42</v>
      </c>
      <c r="O16" s="8">
        <f>Gas!M18</f>
        <v>58</v>
      </c>
      <c r="P16" s="8">
        <f>Gas!O18</f>
        <v>129</v>
      </c>
      <c r="Q16" s="8">
        <f>Gas!Q18</f>
        <v>29</v>
      </c>
      <c r="R16" s="8">
        <f>Gas!S18</f>
        <v>310</v>
      </c>
      <c r="S16" s="8">
        <f>Gas!U18</f>
        <v>28</v>
      </c>
      <c r="T16" s="8">
        <f>Gas!W18</f>
        <v>53</v>
      </c>
      <c r="U16" s="8">
        <f>Gas!Y18</f>
        <v>0</v>
      </c>
      <c r="V16" s="8">
        <f>Gas!AA18</f>
        <v>0</v>
      </c>
      <c r="W16" s="8">
        <f>Gas!AC18</f>
        <v>0</v>
      </c>
      <c r="X16" s="7">
        <f>ELECT.!B20</f>
        <v>97</v>
      </c>
    </row>
    <row r="17" spans="1:24">
      <c r="A17" s="11" t="s">
        <v>11</v>
      </c>
      <c r="B17" s="14">
        <f t="shared" si="0"/>
        <v>16</v>
      </c>
      <c r="C17" s="14">
        <v>3</v>
      </c>
      <c r="D17" s="14">
        <v>2022</v>
      </c>
      <c r="E17" s="7">
        <f>Water!C20</f>
        <v>210</v>
      </c>
      <c r="F17" s="7">
        <f>Water!E20</f>
        <v>124</v>
      </c>
      <c r="G17" s="7">
        <f>ELECT.!D21</f>
        <v>4544</v>
      </c>
      <c r="H17" s="7">
        <f>ELECT.!F21</f>
        <v>9647</v>
      </c>
      <c r="I17" s="7">
        <f>ELECT.!H21</f>
        <v>7076</v>
      </c>
      <c r="J17" s="8">
        <f>Gas!C19</f>
        <v>233</v>
      </c>
      <c r="K17" s="8">
        <f>Gas!E19</f>
        <v>1245</v>
      </c>
      <c r="L17" s="8">
        <f>Gas!G19</f>
        <v>135</v>
      </c>
      <c r="M17" s="16">
        <f>Gas!I19</f>
        <v>27</v>
      </c>
      <c r="N17" s="16">
        <f>Gas!K19</f>
        <v>23</v>
      </c>
      <c r="O17" s="8">
        <f>Gas!M19</f>
        <v>53</v>
      </c>
      <c r="P17" s="8">
        <f>Gas!O19</f>
        <v>79</v>
      </c>
      <c r="Q17" s="8">
        <f>Gas!Q19</f>
        <v>32</v>
      </c>
      <c r="R17" s="8">
        <f>Gas!S19</f>
        <v>182</v>
      </c>
      <c r="S17" s="8">
        <f>Gas!U19</f>
        <v>21</v>
      </c>
      <c r="T17" s="8">
        <f>Gas!W19</f>
        <v>30</v>
      </c>
      <c r="U17" s="8">
        <f>Gas!Y19</f>
        <v>0</v>
      </c>
      <c r="V17" s="8">
        <f>Gas!AA19</f>
        <v>0</v>
      </c>
      <c r="W17" s="8">
        <f>Gas!AC19</f>
        <v>0</v>
      </c>
      <c r="X17" s="7">
        <f>ELECT.!B21</f>
        <v>95</v>
      </c>
    </row>
    <row r="18" spans="1:24">
      <c r="A18" s="11" t="s">
        <v>11</v>
      </c>
      <c r="B18" s="14">
        <f t="shared" si="0"/>
        <v>17</v>
      </c>
      <c r="C18" s="14">
        <v>3</v>
      </c>
      <c r="D18" s="14">
        <v>2022</v>
      </c>
      <c r="E18" s="7">
        <f>Water!C21</f>
        <v>240</v>
      </c>
      <c r="F18" s="7">
        <f>Water!E21</f>
        <v>169</v>
      </c>
      <c r="G18" s="7">
        <f>ELECT.!D22</f>
        <v>4630</v>
      </c>
      <c r="H18" s="7">
        <f>ELECT.!F22</f>
        <v>9040</v>
      </c>
      <c r="I18" s="7">
        <f>ELECT.!H22</f>
        <v>6832</v>
      </c>
      <c r="J18" s="8">
        <f>Gas!C20</f>
        <v>169</v>
      </c>
      <c r="K18" s="8">
        <f>Gas!E20</f>
        <v>1195</v>
      </c>
      <c r="L18" s="8">
        <f>Gas!G20</f>
        <v>122</v>
      </c>
      <c r="M18" s="16">
        <f>Gas!I20</f>
        <v>20</v>
      </c>
      <c r="N18" s="16">
        <f>Gas!K20</f>
        <v>27</v>
      </c>
      <c r="O18" s="8">
        <f>Gas!M20</f>
        <v>47</v>
      </c>
      <c r="P18" s="8">
        <f>Gas!O20</f>
        <v>12</v>
      </c>
      <c r="Q18" s="8">
        <f>Gas!Q20</f>
        <v>37</v>
      </c>
      <c r="R18" s="8">
        <f>Gas!S20</f>
        <v>159</v>
      </c>
      <c r="S18" s="8">
        <f>Gas!U20</f>
        <v>29</v>
      </c>
      <c r="T18" s="8">
        <f>Gas!W20</f>
        <v>0</v>
      </c>
      <c r="U18" s="8">
        <f>Gas!Y20</f>
        <v>0</v>
      </c>
      <c r="V18" s="8">
        <f>Gas!AA20</f>
        <v>0</v>
      </c>
      <c r="W18" s="8">
        <f>Gas!AC20</f>
        <v>0</v>
      </c>
      <c r="X18" s="7">
        <f>ELECT.!B22</f>
        <v>96</v>
      </c>
    </row>
    <row r="19" spans="1:24">
      <c r="A19" s="11" t="s">
        <v>11</v>
      </c>
      <c r="B19" s="14">
        <f t="shared" si="0"/>
        <v>18</v>
      </c>
      <c r="C19" s="14">
        <v>3</v>
      </c>
      <c r="D19" s="14">
        <v>2022</v>
      </c>
      <c r="E19" s="7">
        <f>Water!C22</f>
        <v>230</v>
      </c>
      <c r="F19" s="7">
        <f>Water!E22</f>
        <v>254</v>
      </c>
      <c r="G19" s="7">
        <f>ELECT.!D23</f>
        <v>4466</v>
      </c>
      <c r="H19" s="7">
        <f>ELECT.!F23</f>
        <v>8372</v>
      </c>
      <c r="I19" s="7">
        <f>ELECT.!H23</f>
        <v>5938</v>
      </c>
      <c r="J19" s="8">
        <f>Gas!C21</f>
        <v>253</v>
      </c>
      <c r="K19" s="8">
        <f>Gas!E21</f>
        <v>1054</v>
      </c>
      <c r="L19" s="8">
        <f>Gas!G21</f>
        <v>141</v>
      </c>
      <c r="M19" s="16">
        <f>Gas!I21</f>
        <v>24</v>
      </c>
      <c r="N19" s="16">
        <f>Gas!K21</f>
        <v>25</v>
      </c>
      <c r="O19" s="8">
        <f>Gas!M21</f>
        <v>51</v>
      </c>
      <c r="P19" s="8">
        <f>Gas!O21</f>
        <v>28</v>
      </c>
      <c r="Q19" s="8">
        <f>Gas!Q21</f>
        <v>14</v>
      </c>
      <c r="R19" s="8">
        <f>Gas!S21</f>
        <v>231</v>
      </c>
      <c r="S19" s="8">
        <f>Gas!U21</f>
        <v>23</v>
      </c>
      <c r="T19" s="8">
        <f>Gas!W21</f>
        <v>0</v>
      </c>
      <c r="U19" s="8">
        <f>Gas!Y21</f>
        <v>0</v>
      </c>
      <c r="V19" s="8">
        <f>Gas!AA21</f>
        <v>0</v>
      </c>
      <c r="W19" s="8">
        <f>Gas!AC21</f>
        <v>0</v>
      </c>
      <c r="X19" s="7">
        <f>ELECT.!B23</f>
        <v>103</v>
      </c>
    </row>
    <row r="20" spans="1:24">
      <c r="A20" s="11" t="s">
        <v>11</v>
      </c>
      <c r="B20" s="14">
        <f t="shared" si="0"/>
        <v>19</v>
      </c>
      <c r="C20" s="14">
        <v>3</v>
      </c>
      <c r="D20" s="14">
        <v>2022</v>
      </c>
      <c r="E20" s="7">
        <f>Water!C23</f>
        <v>190</v>
      </c>
      <c r="F20" s="7">
        <f>Water!E23</f>
        <v>278</v>
      </c>
      <c r="G20" s="7">
        <f>ELECT.!D24</f>
        <v>4684</v>
      </c>
      <c r="H20" s="7">
        <f>ELECT.!F24</f>
        <v>8788</v>
      </c>
      <c r="I20" s="7">
        <f>ELECT.!H24</f>
        <v>5977</v>
      </c>
      <c r="J20" s="8">
        <f>Gas!C22</f>
        <v>263</v>
      </c>
      <c r="K20" s="8">
        <f>Gas!E22</f>
        <v>1096</v>
      </c>
      <c r="L20" s="8">
        <f>Gas!G22</f>
        <v>147</v>
      </c>
      <c r="M20" s="16">
        <f>Gas!I22</f>
        <v>24</v>
      </c>
      <c r="N20" s="16">
        <f>Gas!K22</f>
        <v>24</v>
      </c>
      <c r="O20" s="8">
        <f>Gas!M22</f>
        <v>70</v>
      </c>
      <c r="P20" s="8">
        <f>Gas!O22</f>
        <v>181</v>
      </c>
      <c r="Q20" s="8">
        <f>Gas!Q22</f>
        <v>12</v>
      </c>
      <c r="R20" s="8">
        <f>Gas!S22</f>
        <v>246</v>
      </c>
      <c r="S20" s="8">
        <f>Gas!U22</f>
        <v>31</v>
      </c>
      <c r="T20" s="8">
        <f>Gas!W22</f>
        <v>0</v>
      </c>
      <c r="U20" s="8">
        <f>Gas!Y22</f>
        <v>0</v>
      </c>
      <c r="V20" s="8">
        <f>Gas!AA22</f>
        <v>0</v>
      </c>
      <c r="W20" s="8">
        <f>Gas!AC22</f>
        <v>0</v>
      </c>
      <c r="X20" s="7">
        <f>ELECT.!B24</f>
        <v>84</v>
      </c>
    </row>
    <row r="21" spans="1:24">
      <c r="A21" s="11" t="s">
        <v>11</v>
      </c>
      <c r="B21" s="14">
        <f t="shared" si="0"/>
        <v>20</v>
      </c>
      <c r="C21" s="14">
        <v>3</v>
      </c>
      <c r="D21" s="14">
        <v>2022</v>
      </c>
      <c r="E21" s="7">
        <f>Water!C24</f>
        <v>230</v>
      </c>
      <c r="F21" s="7">
        <f>Water!E24</f>
        <v>201</v>
      </c>
      <c r="G21" s="7">
        <f>ELECT.!D25</f>
        <v>4884</v>
      </c>
      <c r="H21" s="7">
        <f>ELECT.!F25</f>
        <v>9756</v>
      </c>
      <c r="I21" s="7">
        <f>ELECT.!H25</f>
        <v>7123</v>
      </c>
      <c r="J21" s="8">
        <f>Gas!C23</f>
        <v>234</v>
      </c>
      <c r="K21" s="8">
        <f>Gas!E23</f>
        <v>1309</v>
      </c>
      <c r="L21" s="8">
        <f>Gas!G23</f>
        <v>153</v>
      </c>
      <c r="M21" s="16">
        <f>Gas!I23</f>
        <v>22</v>
      </c>
      <c r="N21" s="16">
        <f>Gas!K23</f>
        <v>0</v>
      </c>
      <c r="O21" s="8">
        <f>Gas!M23</f>
        <v>65</v>
      </c>
      <c r="P21" s="8">
        <f>Gas!O23</f>
        <v>107</v>
      </c>
      <c r="Q21" s="8">
        <f>Gas!Q23</f>
        <v>48</v>
      </c>
      <c r="R21" s="8">
        <f>Gas!S23</f>
        <v>209</v>
      </c>
      <c r="S21" s="8">
        <f>Gas!U23</f>
        <v>23</v>
      </c>
      <c r="T21" s="8">
        <f>Gas!W23</f>
        <v>0</v>
      </c>
      <c r="U21" s="8">
        <f>Gas!Y23</f>
        <v>0</v>
      </c>
      <c r="V21" s="8">
        <f>Gas!AA23</f>
        <v>0</v>
      </c>
      <c r="W21" s="8">
        <f>Gas!AC23</f>
        <v>0</v>
      </c>
      <c r="X21" s="7">
        <f>ELECT.!B25</f>
        <v>96</v>
      </c>
    </row>
    <row r="22" spans="1:24">
      <c r="A22" s="11" t="s">
        <v>11</v>
      </c>
      <c r="B22" s="14">
        <f t="shared" si="0"/>
        <v>21</v>
      </c>
      <c r="C22" s="14">
        <v>3</v>
      </c>
      <c r="D22" s="14">
        <v>2022</v>
      </c>
      <c r="E22" s="7">
        <f>Water!C25</f>
        <v>210</v>
      </c>
      <c r="F22" s="7">
        <f>Water!E25</f>
        <v>262</v>
      </c>
      <c r="G22" s="7">
        <f>ELECT.!D26</f>
        <v>4731</v>
      </c>
      <c r="H22" s="7">
        <f>ELECT.!F26</f>
        <v>9899</v>
      </c>
      <c r="I22" s="7">
        <f>ELECT.!H26</f>
        <v>7150</v>
      </c>
      <c r="J22" s="8">
        <f>Gas!C24</f>
        <v>251</v>
      </c>
      <c r="K22" s="8">
        <f>Gas!E24</f>
        <v>1430</v>
      </c>
      <c r="L22" s="8">
        <f>Gas!G24</f>
        <v>152</v>
      </c>
      <c r="M22" s="16">
        <f>Gas!I24</f>
        <v>21</v>
      </c>
      <c r="N22" s="16">
        <f>Gas!K24</f>
        <v>5</v>
      </c>
      <c r="O22" s="8">
        <f>Gas!M24</f>
        <v>64</v>
      </c>
      <c r="P22" s="8">
        <f>Gas!O24</f>
        <v>112</v>
      </c>
      <c r="Q22" s="8">
        <f>Gas!Q24</f>
        <v>29</v>
      </c>
      <c r="R22" s="8">
        <f>Gas!S24</f>
        <v>212</v>
      </c>
      <c r="S22" s="8">
        <f>Gas!U24</f>
        <v>24</v>
      </c>
      <c r="T22" s="8">
        <f>Gas!W24</f>
        <v>0</v>
      </c>
      <c r="U22" s="8">
        <f>Gas!Y24</f>
        <v>0</v>
      </c>
      <c r="V22" s="8">
        <f>Gas!AA24</f>
        <v>0</v>
      </c>
      <c r="W22" s="8">
        <f>Gas!AC24</f>
        <v>0</v>
      </c>
      <c r="X22" s="7">
        <f>ELECT.!B26</f>
        <v>83</v>
      </c>
    </row>
    <row r="23" spans="1:24">
      <c r="A23" s="11" t="s">
        <v>11</v>
      </c>
      <c r="B23" s="14">
        <f t="shared" si="0"/>
        <v>22</v>
      </c>
      <c r="C23" s="14">
        <v>3</v>
      </c>
      <c r="D23" s="14">
        <v>2022</v>
      </c>
      <c r="E23" s="7">
        <f>Water!C26</f>
        <v>220</v>
      </c>
      <c r="F23" s="7">
        <f>Water!E26</f>
        <v>261</v>
      </c>
      <c r="G23" s="7">
        <f>ELECT.!D27</f>
        <v>4645</v>
      </c>
      <c r="H23" s="7">
        <f>ELECT.!F27</f>
        <v>10262</v>
      </c>
      <c r="I23" s="7">
        <f>ELECT.!H27</f>
        <v>7079</v>
      </c>
      <c r="J23" s="8">
        <f>Gas!C25</f>
        <v>245</v>
      </c>
      <c r="K23" s="8">
        <f>Gas!E25</f>
        <v>1232</v>
      </c>
      <c r="L23" s="8">
        <f>Gas!G25</f>
        <v>120</v>
      </c>
      <c r="M23" s="16">
        <f>Gas!I25</f>
        <v>28</v>
      </c>
      <c r="N23" s="16">
        <f>Gas!K25</f>
        <v>33</v>
      </c>
      <c r="O23" s="8">
        <f>Gas!M25</f>
        <v>56</v>
      </c>
      <c r="P23" s="8">
        <f>Gas!O25</f>
        <v>27</v>
      </c>
      <c r="Q23" s="8">
        <f>Gas!Q25</f>
        <v>34</v>
      </c>
      <c r="R23" s="8">
        <f>Gas!S25</f>
        <v>206</v>
      </c>
      <c r="S23" s="8">
        <f>Gas!U25</f>
        <v>28</v>
      </c>
      <c r="T23" s="8">
        <f>Gas!W25</f>
        <v>0</v>
      </c>
      <c r="U23" s="8">
        <f>Gas!Y25</f>
        <v>0</v>
      </c>
      <c r="V23" s="8">
        <f>Gas!AA25</f>
        <v>0</v>
      </c>
      <c r="W23" s="8">
        <f>Gas!AC25</f>
        <v>0</v>
      </c>
      <c r="X23" s="7">
        <f>ELECT.!B27</f>
        <v>86</v>
      </c>
    </row>
    <row r="24" spans="1:24">
      <c r="A24" s="11" t="s">
        <v>11</v>
      </c>
      <c r="B24" s="14">
        <f t="shared" si="0"/>
        <v>23</v>
      </c>
      <c r="C24" s="14">
        <v>3</v>
      </c>
      <c r="D24" s="14">
        <v>2022</v>
      </c>
      <c r="E24" s="7">
        <f>Water!C27</f>
        <v>230</v>
      </c>
      <c r="F24" s="7">
        <f>Water!E27</f>
        <v>105</v>
      </c>
      <c r="G24" s="7">
        <f>ELECT.!D28</f>
        <v>4491</v>
      </c>
      <c r="H24" s="7">
        <f>ELECT.!F28</f>
        <v>10012</v>
      </c>
      <c r="I24" s="7">
        <f>ELECT.!H28</f>
        <v>6430</v>
      </c>
      <c r="J24" s="8">
        <f>Gas!C26</f>
        <v>209</v>
      </c>
      <c r="K24" s="8">
        <f>Gas!E26</f>
        <v>1336</v>
      </c>
      <c r="L24" s="8">
        <f>Gas!G26</f>
        <v>104</v>
      </c>
      <c r="M24" s="16">
        <f>Gas!I26</f>
        <v>27</v>
      </c>
      <c r="N24" s="16">
        <f>Gas!K26</f>
        <v>25</v>
      </c>
      <c r="O24" s="8">
        <f>Gas!M26</f>
        <v>49</v>
      </c>
      <c r="P24" s="8">
        <f>Gas!O26</f>
        <v>124</v>
      </c>
      <c r="Q24" s="8">
        <f>Gas!Q26</f>
        <v>29</v>
      </c>
      <c r="R24" s="8">
        <f>Gas!S26</f>
        <v>169</v>
      </c>
      <c r="S24" s="8">
        <f>Gas!U26</f>
        <v>24</v>
      </c>
      <c r="T24" s="8">
        <f>Gas!W26</f>
        <v>0</v>
      </c>
      <c r="U24" s="8">
        <f>Gas!Y26</f>
        <v>0</v>
      </c>
      <c r="V24" s="8">
        <f>Gas!AA26</f>
        <v>0</v>
      </c>
      <c r="W24" s="8">
        <f>Gas!AC26</f>
        <v>0</v>
      </c>
      <c r="X24" s="7">
        <f>ELECT.!B28</f>
        <v>91</v>
      </c>
    </row>
    <row r="25" spans="1:24">
      <c r="A25" s="11" t="s">
        <v>11</v>
      </c>
      <c r="B25" s="14">
        <f t="shared" si="0"/>
        <v>24</v>
      </c>
      <c r="C25" s="14">
        <v>3</v>
      </c>
      <c r="D25" s="14">
        <v>2022</v>
      </c>
      <c r="E25" s="7">
        <f>Water!C28</f>
        <v>230</v>
      </c>
      <c r="F25" s="7">
        <f>Water!E28</f>
        <v>59</v>
      </c>
      <c r="G25" s="7">
        <f>ELECT.!D29</f>
        <v>4387</v>
      </c>
      <c r="H25" s="7">
        <f>ELECT.!F29</f>
        <v>9813</v>
      </c>
      <c r="I25" s="7">
        <f>ELECT.!H29</f>
        <v>6557</v>
      </c>
      <c r="J25" s="8">
        <f>Gas!C27</f>
        <v>293</v>
      </c>
      <c r="K25" s="8">
        <f>Gas!E27</f>
        <v>1304</v>
      </c>
      <c r="L25" s="8">
        <f>Gas!G27</f>
        <v>155</v>
      </c>
      <c r="M25" s="16">
        <f>Gas!I27</f>
        <v>31</v>
      </c>
      <c r="N25" s="16">
        <f>Gas!K27</f>
        <v>28</v>
      </c>
      <c r="O25" s="8">
        <f>Gas!M27</f>
        <v>46</v>
      </c>
      <c r="P25" s="8">
        <f>Gas!O27</f>
        <v>115</v>
      </c>
      <c r="Q25" s="8">
        <f>Gas!Q27</f>
        <v>37</v>
      </c>
      <c r="R25" s="8">
        <f>Gas!S27</f>
        <v>225</v>
      </c>
      <c r="S25" s="8">
        <f>Gas!U27</f>
        <v>28</v>
      </c>
      <c r="T25" s="8">
        <f>Gas!W27</f>
        <v>0</v>
      </c>
      <c r="U25" s="8">
        <f>Gas!Y27</f>
        <v>0</v>
      </c>
      <c r="V25" s="8">
        <f>Gas!AA27</f>
        <v>0</v>
      </c>
      <c r="W25" s="8">
        <f>Gas!AC27</f>
        <v>0</v>
      </c>
      <c r="X25" s="7">
        <f>ELECT.!B29</f>
        <v>88</v>
      </c>
    </row>
    <row r="26" spans="1:24">
      <c r="A26" s="11" t="s">
        <v>11</v>
      </c>
      <c r="B26" s="14">
        <f>B25+1</f>
        <v>25</v>
      </c>
      <c r="C26" s="14">
        <v>3</v>
      </c>
      <c r="D26" s="14">
        <v>2022</v>
      </c>
      <c r="E26" s="7">
        <f>Water!C29</f>
        <v>240</v>
      </c>
      <c r="F26" s="7">
        <f>Water!E29</f>
        <v>8</v>
      </c>
      <c r="G26" s="7">
        <f>ELECT.!D30</f>
        <v>4644</v>
      </c>
      <c r="H26" s="7">
        <f>ELECT.!F30</f>
        <v>10199</v>
      </c>
      <c r="I26" s="7">
        <f>ELECT.!H30</f>
        <v>6974</v>
      </c>
      <c r="J26" s="8">
        <f>Gas!C28</f>
        <v>192</v>
      </c>
      <c r="K26" s="8">
        <f>Gas!E28</f>
        <v>1432</v>
      </c>
      <c r="L26" s="8">
        <f>Gas!G28</f>
        <v>175</v>
      </c>
      <c r="M26" s="16">
        <f>Gas!I28</f>
        <v>35</v>
      </c>
      <c r="N26" s="16">
        <f>Gas!K28</f>
        <v>24</v>
      </c>
      <c r="O26" s="8">
        <f>Gas!M28</f>
        <v>62</v>
      </c>
      <c r="P26" s="8">
        <f>Gas!O28</f>
        <v>103</v>
      </c>
      <c r="Q26" s="8">
        <f>Gas!Q28</f>
        <v>27</v>
      </c>
      <c r="R26" s="8">
        <f>Gas!S28</f>
        <v>190</v>
      </c>
      <c r="S26" s="8">
        <f>Gas!U28</f>
        <v>36</v>
      </c>
      <c r="T26" s="8">
        <f>Gas!W28</f>
        <v>0</v>
      </c>
      <c r="U26" s="8">
        <f>Gas!Y28</f>
        <v>0</v>
      </c>
      <c r="V26" s="8">
        <f>Gas!AA28</f>
        <v>0</v>
      </c>
      <c r="W26" s="8">
        <f>Gas!AC28</f>
        <v>0</v>
      </c>
      <c r="X26" s="7">
        <f>ELECT.!B30</f>
        <v>92</v>
      </c>
    </row>
    <row r="27" spans="1:24">
      <c r="A27" s="11" t="s">
        <v>11</v>
      </c>
      <c r="B27" s="14">
        <f t="shared" si="0"/>
        <v>26</v>
      </c>
      <c r="C27" s="14">
        <v>3</v>
      </c>
      <c r="D27" s="14">
        <v>2022</v>
      </c>
      <c r="E27" s="7">
        <f>Water!C30</f>
        <v>240</v>
      </c>
      <c r="F27" s="7">
        <f>Water!E30</f>
        <v>148</v>
      </c>
      <c r="G27" s="7">
        <f>ELECT.!D31</f>
        <v>4688</v>
      </c>
      <c r="H27" s="7">
        <f>ELECT.!F31</f>
        <v>9820</v>
      </c>
      <c r="I27" s="7">
        <f>ELECT.!H31</f>
        <v>7311</v>
      </c>
      <c r="J27" s="8">
        <f>Gas!C29</f>
        <v>268</v>
      </c>
      <c r="K27" s="8">
        <f>Gas!E29</f>
        <v>1239</v>
      </c>
      <c r="L27" s="8">
        <f>Gas!G29</f>
        <v>162</v>
      </c>
      <c r="M27" s="16">
        <f>Gas!I29</f>
        <v>25</v>
      </c>
      <c r="N27" s="16">
        <f>Gas!K29</f>
        <v>24</v>
      </c>
      <c r="O27" s="8">
        <f>Gas!M29</f>
        <v>50</v>
      </c>
      <c r="P27" s="8">
        <f>Gas!O29</f>
        <v>114</v>
      </c>
      <c r="Q27" s="8">
        <f>Gas!Q29</f>
        <v>31</v>
      </c>
      <c r="R27" s="8">
        <f>Gas!S29</f>
        <v>241</v>
      </c>
      <c r="S27" s="8">
        <f>Gas!U29</f>
        <v>24</v>
      </c>
      <c r="T27" s="8">
        <f>Gas!W29</f>
        <v>0</v>
      </c>
      <c r="U27" s="8">
        <f>Gas!Y29</f>
        <v>0</v>
      </c>
      <c r="V27" s="8">
        <f>Gas!AA29</f>
        <v>0</v>
      </c>
      <c r="W27" s="8">
        <f>Gas!AC29</f>
        <v>0</v>
      </c>
      <c r="X27" s="7">
        <f>ELECT.!B31</f>
        <v>90</v>
      </c>
    </row>
    <row r="28" spans="1:24">
      <c r="A28" s="11" t="s">
        <v>11</v>
      </c>
      <c r="B28" s="14">
        <f t="shared" si="0"/>
        <v>27</v>
      </c>
      <c r="C28" s="14">
        <v>3</v>
      </c>
      <c r="D28" s="14">
        <v>2022</v>
      </c>
      <c r="E28" s="7">
        <f>Water!C31</f>
        <v>210</v>
      </c>
      <c r="F28" s="7">
        <f>Water!E31</f>
        <v>175</v>
      </c>
      <c r="G28" s="7">
        <f>ELECT.!D32</f>
        <v>4386</v>
      </c>
      <c r="H28" s="7">
        <f>ELECT.!F32</f>
        <v>9341</v>
      </c>
      <c r="I28" s="7">
        <f>ELECT.!H32</f>
        <v>6067</v>
      </c>
      <c r="J28" s="8">
        <f>Gas!C30</f>
        <v>202</v>
      </c>
      <c r="K28" s="8">
        <f>Gas!E30</f>
        <v>1149</v>
      </c>
      <c r="L28" s="8">
        <f>Gas!G30</f>
        <v>149</v>
      </c>
      <c r="M28" s="16">
        <f>Gas!I30</f>
        <v>24</v>
      </c>
      <c r="N28" s="16">
        <f>Gas!K30</f>
        <v>7</v>
      </c>
      <c r="O28" s="8">
        <f>Gas!M30</f>
        <v>82</v>
      </c>
      <c r="P28" s="8">
        <f>Gas!O30</f>
        <v>112</v>
      </c>
      <c r="Q28" s="8">
        <f>Gas!Q30</f>
        <v>28</v>
      </c>
      <c r="R28" s="8">
        <f>Gas!S30</f>
        <v>218</v>
      </c>
      <c r="S28" s="8">
        <f>Gas!U30</f>
        <v>36</v>
      </c>
      <c r="T28" s="8">
        <f>Gas!W30</f>
        <v>0</v>
      </c>
      <c r="U28" s="8">
        <f>Gas!Y30</f>
        <v>0</v>
      </c>
      <c r="V28" s="8">
        <f>Gas!AA30</f>
        <v>0</v>
      </c>
      <c r="W28" s="8">
        <f>Gas!AC30</f>
        <v>0</v>
      </c>
      <c r="X28" s="7">
        <f>ELECT.!B32</f>
        <v>107</v>
      </c>
    </row>
    <row r="29" spans="1:24">
      <c r="A29" s="11" t="s">
        <v>11</v>
      </c>
      <c r="B29" s="14">
        <f t="shared" si="0"/>
        <v>28</v>
      </c>
      <c r="C29" s="14">
        <v>3</v>
      </c>
      <c r="D29" s="14">
        <v>2022</v>
      </c>
      <c r="E29" s="7">
        <f>Water!C32</f>
        <v>220</v>
      </c>
      <c r="F29" s="7">
        <f>Water!E32</f>
        <v>261</v>
      </c>
      <c r="G29" s="7">
        <f>ELECT.!D33</f>
        <v>4863</v>
      </c>
      <c r="H29" s="7">
        <f>ELECT.!F33</f>
        <v>18933</v>
      </c>
      <c r="I29" s="7">
        <f>ELECT.!H33</f>
        <v>6813</v>
      </c>
      <c r="J29" s="8">
        <f>Gas!C31</f>
        <v>268</v>
      </c>
      <c r="K29" s="8">
        <f>Gas!E31</f>
        <v>1178</v>
      </c>
      <c r="L29" s="8">
        <f>Gas!G31</f>
        <v>150</v>
      </c>
      <c r="M29" s="16">
        <f>Gas!I31</f>
        <v>18</v>
      </c>
      <c r="N29" s="16">
        <f>Gas!K31</f>
        <v>23</v>
      </c>
      <c r="O29" s="8">
        <f>Gas!M31</f>
        <v>63</v>
      </c>
      <c r="P29" s="8">
        <f>Gas!O31</f>
        <v>64</v>
      </c>
      <c r="Q29" s="8">
        <f>Gas!Q31</f>
        <v>37</v>
      </c>
      <c r="R29" s="8">
        <f>Gas!S31</f>
        <v>215</v>
      </c>
      <c r="S29" s="8">
        <f>Gas!U31</f>
        <v>34</v>
      </c>
      <c r="T29" s="8">
        <f>Gas!W31</f>
        <v>0</v>
      </c>
      <c r="U29" s="8">
        <f>Gas!Y31</f>
        <v>0</v>
      </c>
      <c r="V29" s="8">
        <f>Gas!AA31</f>
        <v>0</v>
      </c>
      <c r="W29" s="8">
        <f>Gas!AC31</f>
        <v>0</v>
      </c>
      <c r="X29" s="7">
        <f>ELECT.!B33</f>
        <v>102</v>
      </c>
    </row>
    <row r="30" spans="1:24">
      <c r="A30" s="11" t="s">
        <v>11</v>
      </c>
      <c r="B30" s="14">
        <f t="shared" si="0"/>
        <v>29</v>
      </c>
      <c r="C30" s="14">
        <v>3</v>
      </c>
      <c r="D30" s="14">
        <v>2022</v>
      </c>
      <c r="E30" s="7">
        <f>Water!C33</f>
        <v>210</v>
      </c>
      <c r="F30" s="7">
        <f>Water!E33</f>
        <v>247</v>
      </c>
      <c r="G30" s="7">
        <f>ELECT.!D34</f>
        <v>4466</v>
      </c>
      <c r="H30" s="7">
        <f>ELECT.!F34</f>
        <v>18301</v>
      </c>
      <c r="I30" s="7">
        <f>ELECT.!H34</f>
        <v>6678</v>
      </c>
      <c r="J30" s="8">
        <f>Gas!C32</f>
        <v>182</v>
      </c>
      <c r="K30" s="8">
        <f>Gas!E32</f>
        <v>1238</v>
      </c>
      <c r="L30" s="8">
        <f>Gas!G32</f>
        <v>167</v>
      </c>
      <c r="M30" s="16">
        <f>Gas!I32</f>
        <v>43</v>
      </c>
      <c r="N30" s="16">
        <f>Gas!K32</f>
        <v>28</v>
      </c>
      <c r="O30" s="8">
        <f>Gas!M32</f>
        <v>60</v>
      </c>
      <c r="P30" s="8">
        <f>Gas!O32</f>
        <v>158</v>
      </c>
      <c r="Q30" s="8">
        <f>Gas!Q32</f>
        <v>34</v>
      </c>
      <c r="R30" s="8">
        <f>Gas!S32</f>
        <v>183</v>
      </c>
      <c r="S30" s="8">
        <f>Gas!U32</f>
        <v>27</v>
      </c>
      <c r="T30" s="8">
        <f>Gas!W32</f>
        <v>0</v>
      </c>
      <c r="U30" s="8">
        <f>Gas!Y32</f>
        <v>0</v>
      </c>
      <c r="V30" s="8">
        <f>Gas!AA32</f>
        <v>0</v>
      </c>
      <c r="W30" s="8">
        <f>Gas!AC32</f>
        <v>0</v>
      </c>
      <c r="X30" s="7">
        <f>ELECT.!B34</f>
        <v>107</v>
      </c>
    </row>
    <row r="31" spans="1:24">
      <c r="A31" s="11" t="s">
        <v>11</v>
      </c>
      <c r="B31" s="14">
        <f t="shared" si="0"/>
        <v>30</v>
      </c>
      <c r="C31" s="14">
        <v>3</v>
      </c>
      <c r="D31" s="14">
        <v>2022</v>
      </c>
      <c r="E31" s="7">
        <f>Water!C34</f>
        <v>230</v>
      </c>
      <c r="F31" s="7">
        <f>Water!E34</f>
        <v>247</v>
      </c>
      <c r="G31" s="7">
        <f>ELECT.!D35</f>
        <v>4622</v>
      </c>
      <c r="H31" s="7">
        <f>ELECT.!F35</f>
        <v>17560</v>
      </c>
      <c r="I31" s="7">
        <f>ELECT.!H35</f>
        <v>7335</v>
      </c>
      <c r="J31" s="8">
        <f>Gas!C33</f>
        <v>201</v>
      </c>
      <c r="K31" s="8">
        <f>Gas!E33</f>
        <v>1032</v>
      </c>
      <c r="L31" s="8">
        <f>Gas!G33</f>
        <v>142</v>
      </c>
      <c r="M31" s="16">
        <f>Gas!I33</f>
        <v>27</v>
      </c>
      <c r="N31" s="16">
        <f>Gas!K33</f>
        <v>23</v>
      </c>
      <c r="O31" s="8">
        <f>Gas!M33</f>
        <v>44</v>
      </c>
      <c r="P31" s="8">
        <f>Gas!O33</f>
        <v>0</v>
      </c>
      <c r="Q31" s="8">
        <f>Gas!Q33</f>
        <v>33</v>
      </c>
      <c r="R31" s="8">
        <f>Gas!S33</f>
        <v>179</v>
      </c>
      <c r="S31" s="8">
        <f>Gas!U33</f>
        <v>32</v>
      </c>
      <c r="T31" s="8">
        <f>Gas!W33</f>
        <v>0</v>
      </c>
      <c r="U31" s="8">
        <f>Gas!Y33</f>
        <v>0</v>
      </c>
      <c r="V31" s="8">
        <f>Gas!AA33</f>
        <v>0</v>
      </c>
      <c r="W31" s="8">
        <f>Gas!AC33</f>
        <v>0</v>
      </c>
      <c r="X31" s="7">
        <f>ELECT.!B35</f>
        <v>110</v>
      </c>
    </row>
    <row r="32" spans="1:24">
      <c r="A32" s="11" t="s">
        <v>11</v>
      </c>
      <c r="B32" s="14">
        <f t="shared" si="0"/>
        <v>31</v>
      </c>
      <c r="C32" s="14">
        <v>3</v>
      </c>
      <c r="D32" s="14">
        <v>2022</v>
      </c>
      <c r="E32" s="7">
        <f>Water!C35</f>
        <v>360</v>
      </c>
      <c r="F32" s="7">
        <f>Water!E35</f>
        <v>145</v>
      </c>
      <c r="G32" s="7">
        <f>ELECT.!D36</f>
        <v>4667</v>
      </c>
      <c r="H32" s="7">
        <f>ELECT.!F36</f>
        <v>8825</v>
      </c>
      <c r="I32" s="7">
        <f>ELECT.!H36</f>
        <v>6354</v>
      </c>
      <c r="J32" s="8">
        <f>Gas!C34</f>
        <v>284</v>
      </c>
      <c r="K32" s="8">
        <f>Gas!E34</f>
        <v>1211</v>
      </c>
      <c r="L32" s="8">
        <f>Gas!G34</f>
        <v>161</v>
      </c>
      <c r="M32" s="16">
        <f>Gas!I34</f>
        <v>24</v>
      </c>
      <c r="N32" s="16">
        <f>Gas!K34</f>
        <v>28</v>
      </c>
      <c r="O32" s="8">
        <f>Gas!M34</f>
        <v>50</v>
      </c>
      <c r="P32" s="8">
        <f>Gas!O34</f>
        <v>237</v>
      </c>
      <c r="Q32" s="8">
        <f>Gas!Q34</f>
        <v>31</v>
      </c>
      <c r="R32" s="8">
        <f>Gas!S34</f>
        <v>212</v>
      </c>
      <c r="S32" s="8">
        <f>Gas!U34</f>
        <v>30</v>
      </c>
      <c r="T32" s="8">
        <f>Gas!W34</f>
        <v>0</v>
      </c>
      <c r="U32" s="8">
        <f>Gas!Y34</f>
        <v>0</v>
      </c>
      <c r="V32" s="8">
        <f>Gas!AA34</f>
        <v>0</v>
      </c>
      <c r="W32" s="8">
        <f>Gas!AC34</f>
        <v>0</v>
      </c>
      <c r="X32" s="7">
        <f>ELECT.!B36</f>
        <v>67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6"/>
  <sheetViews>
    <sheetView zoomScale="70" zoomScaleNormal="70" workbookViewId="0">
      <selection activeCell="A5" sqref="A5:A35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22" t="s">
        <v>32</v>
      </c>
      <c r="B1" s="123"/>
      <c r="C1" s="123"/>
      <c r="D1" s="123"/>
      <c r="E1" s="124"/>
    </row>
    <row r="2" spans="1:5" ht="19.5" thickBot="1">
      <c r="A2" s="27" t="s">
        <v>1</v>
      </c>
      <c r="B2" s="125"/>
      <c r="C2" s="126"/>
      <c r="D2" s="126"/>
      <c r="E2" s="127"/>
    </row>
    <row r="3" spans="1:5" ht="18.75">
      <c r="A3" s="28"/>
      <c r="B3" s="29" t="s">
        <v>33</v>
      </c>
      <c r="C3" s="29" t="s">
        <v>34</v>
      </c>
      <c r="D3" s="91" t="s">
        <v>35</v>
      </c>
      <c r="E3" s="30" t="s">
        <v>34</v>
      </c>
    </row>
    <row r="4" spans="1:5" ht="26.25">
      <c r="A4" s="46" t="s">
        <v>36</v>
      </c>
      <c r="B4" s="119">
        <v>65882</v>
      </c>
      <c r="C4" s="82">
        <v>0</v>
      </c>
      <c r="D4" s="120">
        <v>638897</v>
      </c>
      <c r="E4" s="87">
        <v>0</v>
      </c>
    </row>
    <row r="5" spans="1:5" ht="26.25">
      <c r="A5" s="46">
        <v>44621</v>
      </c>
      <c r="B5" s="119">
        <v>65901</v>
      </c>
      <c r="C5" s="83">
        <f>(IF((B5-B4)&lt;0,"0",(B5-B4)))*10</f>
        <v>190</v>
      </c>
      <c r="D5" s="120">
        <v>639153</v>
      </c>
      <c r="E5" s="87">
        <f>E8</f>
        <v>162</v>
      </c>
    </row>
    <row r="6" spans="1:5" ht="26.25">
      <c r="A6" s="46">
        <v>44622</v>
      </c>
      <c r="B6" s="119">
        <v>65925</v>
      </c>
      <c r="C6" s="83">
        <f t="shared" ref="C6:C34" si="0">(IF((B6-B5)&lt;0,"0",(B6-B5)))*10</f>
        <v>240</v>
      </c>
      <c r="D6" s="120">
        <v>639210</v>
      </c>
      <c r="E6" s="87">
        <f>E7</f>
        <v>124</v>
      </c>
    </row>
    <row r="7" spans="1:5" ht="26.25">
      <c r="A7" s="46">
        <v>44623</v>
      </c>
      <c r="B7" s="119">
        <v>65949</v>
      </c>
      <c r="C7" s="83">
        <f t="shared" si="0"/>
        <v>240</v>
      </c>
      <c r="D7" s="120">
        <v>639334</v>
      </c>
      <c r="E7" s="87">
        <f t="shared" ref="E7:E34" si="1">(IF((D7-D6)&lt;0,"0",(D7-D6)))</f>
        <v>124</v>
      </c>
    </row>
    <row r="8" spans="1:5" ht="26.25">
      <c r="A8" s="46">
        <v>44624</v>
      </c>
      <c r="B8" s="119">
        <v>65975</v>
      </c>
      <c r="C8" s="83">
        <f t="shared" si="0"/>
        <v>260</v>
      </c>
      <c r="D8" s="120">
        <v>639496</v>
      </c>
      <c r="E8" s="87">
        <f t="shared" si="1"/>
        <v>162</v>
      </c>
    </row>
    <row r="9" spans="1:5" ht="26.25">
      <c r="A9" s="46">
        <v>44625</v>
      </c>
      <c r="B9" s="119">
        <v>66001</v>
      </c>
      <c r="C9" s="83">
        <f t="shared" si="0"/>
        <v>260</v>
      </c>
      <c r="D9" s="120">
        <v>639752</v>
      </c>
      <c r="E9" s="87">
        <f t="shared" si="1"/>
        <v>256</v>
      </c>
    </row>
    <row r="10" spans="1:5" ht="26.25">
      <c r="A10" s="46">
        <v>44626</v>
      </c>
      <c r="B10" s="119">
        <v>66025</v>
      </c>
      <c r="C10" s="83">
        <f t="shared" si="0"/>
        <v>240</v>
      </c>
      <c r="D10" s="120">
        <v>639906</v>
      </c>
      <c r="E10" s="87">
        <f t="shared" si="1"/>
        <v>154</v>
      </c>
    </row>
    <row r="11" spans="1:5" ht="26.25">
      <c r="A11" s="46">
        <v>44627</v>
      </c>
      <c r="B11" s="119">
        <v>66047</v>
      </c>
      <c r="C11" s="83">
        <f t="shared" si="0"/>
        <v>220</v>
      </c>
      <c r="D11" s="120">
        <v>640080</v>
      </c>
      <c r="E11" s="87">
        <f t="shared" si="1"/>
        <v>174</v>
      </c>
    </row>
    <row r="12" spans="1:5" ht="26.25">
      <c r="A12" s="46">
        <v>44628</v>
      </c>
      <c r="B12" s="119">
        <v>66067</v>
      </c>
      <c r="C12" s="83">
        <f t="shared" si="0"/>
        <v>200</v>
      </c>
      <c r="D12" s="120">
        <v>640277</v>
      </c>
      <c r="E12" s="87">
        <f t="shared" si="1"/>
        <v>197</v>
      </c>
    </row>
    <row r="13" spans="1:5" ht="26.25">
      <c r="A13" s="46">
        <v>44629</v>
      </c>
      <c r="B13" s="119">
        <v>66088</v>
      </c>
      <c r="C13" s="83">
        <f t="shared" si="0"/>
        <v>210</v>
      </c>
      <c r="D13" s="120">
        <v>640391</v>
      </c>
      <c r="E13" s="87">
        <f t="shared" si="1"/>
        <v>114</v>
      </c>
    </row>
    <row r="14" spans="1:5" ht="26.25">
      <c r="A14" s="46">
        <v>44630</v>
      </c>
      <c r="B14" s="119">
        <v>66109</v>
      </c>
      <c r="C14" s="83">
        <f t="shared" si="0"/>
        <v>210</v>
      </c>
      <c r="D14" s="120">
        <v>640469</v>
      </c>
      <c r="E14" s="87">
        <f t="shared" si="1"/>
        <v>78</v>
      </c>
    </row>
    <row r="15" spans="1:5" ht="26.25">
      <c r="A15" s="46">
        <v>44631</v>
      </c>
      <c r="B15" s="119">
        <v>66137</v>
      </c>
      <c r="C15" s="83">
        <f t="shared" si="0"/>
        <v>280</v>
      </c>
      <c r="D15" s="120">
        <v>640523</v>
      </c>
      <c r="E15" s="87">
        <f t="shared" si="1"/>
        <v>54</v>
      </c>
    </row>
    <row r="16" spans="1:5" ht="26.25">
      <c r="A16" s="46">
        <v>44632</v>
      </c>
      <c r="B16" s="119">
        <v>66162</v>
      </c>
      <c r="C16" s="83">
        <f t="shared" si="0"/>
        <v>250</v>
      </c>
      <c r="D16" s="120">
        <v>640734</v>
      </c>
      <c r="E16" s="88">
        <f t="shared" si="1"/>
        <v>211</v>
      </c>
    </row>
    <row r="17" spans="1:11" ht="26.25">
      <c r="A17" s="46">
        <v>44633</v>
      </c>
      <c r="B17" s="119">
        <v>66192</v>
      </c>
      <c r="C17" s="83">
        <f t="shared" si="0"/>
        <v>300</v>
      </c>
      <c r="D17" s="120">
        <v>640790</v>
      </c>
      <c r="E17" s="90">
        <f t="shared" si="1"/>
        <v>56</v>
      </c>
    </row>
    <row r="18" spans="1:11" ht="26.25">
      <c r="A18" s="46">
        <v>44634</v>
      </c>
      <c r="B18" s="119">
        <v>66214</v>
      </c>
      <c r="C18" s="83">
        <f t="shared" si="0"/>
        <v>220</v>
      </c>
      <c r="D18" s="120">
        <v>640890</v>
      </c>
      <c r="E18" s="87">
        <f t="shared" si="1"/>
        <v>100</v>
      </c>
    </row>
    <row r="19" spans="1:11" ht="26.25">
      <c r="A19" s="46">
        <v>44635</v>
      </c>
      <c r="B19" s="119">
        <v>66235</v>
      </c>
      <c r="C19" s="83">
        <f t="shared" si="0"/>
        <v>210</v>
      </c>
      <c r="D19" s="120">
        <v>641017</v>
      </c>
      <c r="E19" s="87">
        <f t="shared" si="1"/>
        <v>127</v>
      </c>
    </row>
    <row r="20" spans="1:11" ht="26.25">
      <c r="A20" s="46">
        <v>44636</v>
      </c>
      <c r="B20" s="119">
        <v>66256</v>
      </c>
      <c r="C20" s="83">
        <f t="shared" si="0"/>
        <v>210</v>
      </c>
      <c r="D20" s="120">
        <v>641141</v>
      </c>
      <c r="E20" s="87">
        <f t="shared" si="1"/>
        <v>124</v>
      </c>
    </row>
    <row r="21" spans="1:11" ht="26.25">
      <c r="A21" s="46">
        <v>44637</v>
      </c>
      <c r="B21" s="119">
        <v>66280</v>
      </c>
      <c r="C21" s="83">
        <f t="shared" si="0"/>
        <v>240</v>
      </c>
      <c r="D21" s="120">
        <v>641310</v>
      </c>
      <c r="E21" s="87">
        <f t="shared" si="1"/>
        <v>169</v>
      </c>
    </row>
    <row r="22" spans="1:11" ht="26.25">
      <c r="A22" s="46">
        <v>44638</v>
      </c>
      <c r="B22" s="119">
        <v>66303</v>
      </c>
      <c r="C22" s="83">
        <f t="shared" si="0"/>
        <v>230</v>
      </c>
      <c r="D22" s="120">
        <v>641564</v>
      </c>
      <c r="E22" s="87">
        <f t="shared" si="1"/>
        <v>254</v>
      </c>
    </row>
    <row r="23" spans="1:11" ht="26.25">
      <c r="A23" s="46">
        <v>44639</v>
      </c>
      <c r="B23" s="119">
        <v>66322</v>
      </c>
      <c r="C23" s="83">
        <f t="shared" si="0"/>
        <v>190</v>
      </c>
      <c r="D23" s="120">
        <v>641842</v>
      </c>
      <c r="E23" s="87">
        <f t="shared" si="1"/>
        <v>278</v>
      </c>
    </row>
    <row r="24" spans="1:11" ht="26.25">
      <c r="A24" s="46">
        <v>44640</v>
      </c>
      <c r="B24" s="119">
        <v>66345</v>
      </c>
      <c r="C24" s="83">
        <f t="shared" si="0"/>
        <v>230</v>
      </c>
      <c r="D24" s="120">
        <v>642043</v>
      </c>
      <c r="E24" s="87">
        <f t="shared" si="1"/>
        <v>201</v>
      </c>
    </row>
    <row r="25" spans="1:11" ht="26.25">
      <c r="A25" s="46">
        <v>44641</v>
      </c>
      <c r="B25" s="119">
        <v>66366</v>
      </c>
      <c r="C25" s="83">
        <f t="shared" si="0"/>
        <v>210</v>
      </c>
      <c r="D25" s="120">
        <v>642305</v>
      </c>
      <c r="E25" s="87">
        <f t="shared" si="1"/>
        <v>262</v>
      </c>
    </row>
    <row r="26" spans="1:11" ht="26.25">
      <c r="A26" s="46">
        <v>44642</v>
      </c>
      <c r="B26" s="119">
        <v>66388</v>
      </c>
      <c r="C26" s="83">
        <f t="shared" si="0"/>
        <v>220</v>
      </c>
      <c r="D26" s="120">
        <v>642566</v>
      </c>
      <c r="E26" s="87">
        <f t="shared" si="1"/>
        <v>261</v>
      </c>
    </row>
    <row r="27" spans="1:11" ht="26.25">
      <c r="A27" s="46">
        <v>44643</v>
      </c>
      <c r="B27" s="119">
        <v>66411</v>
      </c>
      <c r="C27" s="83">
        <f t="shared" si="0"/>
        <v>230</v>
      </c>
      <c r="D27" s="120">
        <v>642671</v>
      </c>
      <c r="E27" s="87">
        <f t="shared" si="1"/>
        <v>105</v>
      </c>
      <c r="K27" s="23"/>
    </row>
    <row r="28" spans="1:11" ht="26.25">
      <c r="A28" s="46">
        <v>44644</v>
      </c>
      <c r="B28" s="119">
        <v>66434</v>
      </c>
      <c r="C28" s="83">
        <f t="shared" si="0"/>
        <v>230</v>
      </c>
      <c r="D28" s="120">
        <v>642730</v>
      </c>
      <c r="E28" s="87">
        <f t="shared" si="1"/>
        <v>59</v>
      </c>
    </row>
    <row r="29" spans="1:11" ht="26.25">
      <c r="A29" s="46">
        <v>44645</v>
      </c>
      <c r="B29" s="119">
        <v>66458</v>
      </c>
      <c r="C29" s="83">
        <f t="shared" si="0"/>
        <v>240</v>
      </c>
      <c r="D29" s="120">
        <v>642738</v>
      </c>
      <c r="E29" s="87">
        <f t="shared" si="1"/>
        <v>8</v>
      </c>
    </row>
    <row r="30" spans="1:11" ht="26.25">
      <c r="A30" s="46">
        <v>44646</v>
      </c>
      <c r="B30" s="119">
        <v>66482</v>
      </c>
      <c r="C30" s="83">
        <f t="shared" si="0"/>
        <v>240</v>
      </c>
      <c r="D30" s="120">
        <v>642886</v>
      </c>
      <c r="E30" s="87">
        <f t="shared" si="1"/>
        <v>148</v>
      </c>
    </row>
    <row r="31" spans="1:11" ht="26.25">
      <c r="A31" s="46">
        <v>44647</v>
      </c>
      <c r="B31" s="119">
        <v>66503</v>
      </c>
      <c r="C31" s="83">
        <f t="shared" si="0"/>
        <v>210</v>
      </c>
      <c r="D31" s="120">
        <v>643061</v>
      </c>
      <c r="E31" s="87">
        <f t="shared" si="1"/>
        <v>175</v>
      </c>
    </row>
    <row r="32" spans="1:11" ht="26.25">
      <c r="A32" s="46">
        <v>44648</v>
      </c>
      <c r="B32" s="119">
        <v>66525</v>
      </c>
      <c r="C32" s="83">
        <f t="shared" si="0"/>
        <v>220</v>
      </c>
      <c r="D32" s="120">
        <v>643322</v>
      </c>
      <c r="E32" s="87">
        <f t="shared" si="1"/>
        <v>261</v>
      </c>
    </row>
    <row r="33" spans="1:5" ht="26.25">
      <c r="A33" s="46">
        <v>44649</v>
      </c>
      <c r="B33" s="119">
        <v>66546</v>
      </c>
      <c r="C33" s="83">
        <f t="shared" si="0"/>
        <v>210</v>
      </c>
      <c r="D33" s="120">
        <v>643569</v>
      </c>
      <c r="E33" s="87">
        <f t="shared" si="1"/>
        <v>247</v>
      </c>
    </row>
    <row r="34" spans="1:5" ht="26.25">
      <c r="A34" s="46">
        <v>44650</v>
      </c>
      <c r="B34" s="119">
        <v>66569</v>
      </c>
      <c r="C34" s="83">
        <f t="shared" si="0"/>
        <v>230</v>
      </c>
      <c r="D34" s="120">
        <v>643816</v>
      </c>
      <c r="E34" s="88">
        <f t="shared" si="1"/>
        <v>247</v>
      </c>
    </row>
    <row r="35" spans="1:5" ht="26.25">
      <c r="A35" s="46">
        <v>44651</v>
      </c>
      <c r="B35" s="119">
        <v>66605</v>
      </c>
      <c r="C35" s="83">
        <f>(IF((B35-B34)&lt;0,"0",(B35-B34)))*10</f>
        <v>360</v>
      </c>
      <c r="D35" s="120">
        <v>643961</v>
      </c>
      <c r="E35" s="88">
        <f>(IF((D35-D34)&lt;0,"0",(D35-D34)))</f>
        <v>145</v>
      </c>
    </row>
    <row r="36" spans="1:5" ht="27">
      <c r="A36" s="84" t="s">
        <v>37</v>
      </c>
      <c r="B36" s="85"/>
      <c r="C36" s="47">
        <f>SUM(C5:C34)</f>
        <v>6870</v>
      </c>
      <c r="D36" s="86"/>
      <c r="E36" s="89">
        <f>SUM(E5:E34)</f>
        <v>4892</v>
      </c>
    </row>
  </sheetData>
  <mergeCells count="2">
    <mergeCell ref="A1:E1"/>
    <mergeCell ref="B2:E2"/>
  </mergeCells>
  <phoneticPr fontId="0" type="noConversion"/>
  <conditionalFormatting sqref="B36 C4:C35 D36 E4:E35">
    <cfRule type="cellIs" dxfId="27" priority="118" stopIfTrue="1" operator="lessThan">
      <formula>0</formula>
    </cfRule>
  </conditionalFormatting>
  <conditionalFormatting sqref="D36">
    <cfRule type="cellIs" dxfId="26" priority="116" stopIfTrue="1" operator="lessThan">
      <formula>0</formula>
    </cfRule>
  </conditionalFormatting>
  <conditionalFormatting sqref="B5:B35">
    <cfRule type="cellIs" dxfId="25" priority="4" stopIfTrue="1" operator="lessThan">
      <formula>0</formula>
    </cfRule>
  </conditionalFormatting>
  <conditionalFormatting sqref="B4">
    <cfRule type="cellIs" dxfId="24" priority="3" stopIfTrue="1" operator="lessThan">
      <formula>0</formula>
    </cfRule>
  </conditionalFormatting>
  <conditionalFormatting sqref="D5:D35">
    <cfRule type="cellIs" dxfId="23" priority="2" stopIfTrue="1" operator="lessThan">
      <formula>0</formula>
    </cfRule>
  </conditionalFormatting>
  <conditionalFormatting sqref="D4">
    <cfRule type="cellIs" dxfId="22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54"/>
  <sheetViews>
    <sheetView tabSelected="1" topLeftCell="A3" zoomScale="60" zoomScaleNormal="60" workbookViewId="0">
      <selection activeCell="F8" sqref="F8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14.85546875" style="3" bestFit="1" customWidth="1"/>
    <col min="14" max="14" width="25.5703125" style="3" bestFit="1" customWidth="1"/>
    <col min="15" max="15" width="14.85546875" style="3" bestFit="1" customWidth="1"/>
    <col min="16" max="16" width="25.5703125" style="3" bestFit="1" customWidth="1"/>
    <col min="17" max="17" width="21.5703125" style="3" customWidth="1"/>
    <col min="18" max="18" width="25.5703125" style="3" bestFit="1" customWidth="1"/>
    <col min="19" max="19" width="14.85546875" style="3" bestFit="1" customWidth="1"/>
    <col min="20" max="20" width="25.5703125" style="3" bestFit="1" customWidth="1"/>
    <col min="21" max="21" width="14.85546875" style="3" bestFit="1" customWidth="1"/>
    <col min="22" max="22" width="25.5703125" style="3" bestFit="1" customWidth="1"/>
    <col min="23" max="23" width="14.85546875" style="3" bestFit="1" customWidth="1"/>
    <col min="24" max="16384" width="41.85546875" style="3"/>
  </cols>
  <sheetData>
    <row r="1" spans="1:23" ht="16.5" thickBot="1">
      <c r="A1" s="128" t="s">
        <v>38</v>
      </c>
      <c r="B1" s="129"/>
      <c r="C1" s="129"/>
      <c r="D1" s="129"/>
      <c r="E1" s="129"/>
      <c r="F1" s="129"/>
      <c r="G1" s="129"/>
      <c r="H1" s="129"/>
      <c r="I1" s="130"/>
    </row>
    <row r="2" spans="1:23" ht="15.75" customHeight="1" thickTop="1" thickBot="1">
      <c r="A2" s="131" t="s">
        <v>39</v>
      </c>
      <c r="B2" s="132"/>
      <c r="C2" s="132"/>
      <c r="D2" s="132"/>
      <c r="E2" s="132"/>
      <c r="F2" s="132"/>
      <c r="G2" s="132"/>
      <c r="H2" s="132"/>
      <c r="I2" s="133"/>
      <c r="J2" s="102" t="s">
        <v>40</v>
      </c>
      <c r="K2" s="103"/>
      <c r="L2" s="103"/>
      <c r="M2" s="103"/>
      <c r="N2" s="103"/>
      <c r="O2" s="104"/>
      <c r="P2" s="102" t="s">
        <v>41</v>
      </c>
      <c r="Q2" s="103"/>
      <c r="R2" s="103"/>
      <c r="S2" s="103"/>
      <c r="T2" s="103"/>
      <c r="U2" s="103"/>
      <c r="V2" s="103"/>
      <c r="W2" s="104"/>
    </row>
    <row r="3" spans="1:23" ht="16.5" thickBot="1">
      <c r="A3" s="44" t="s">
        <v>1</v>
      </c>
      <c r="B3" s="45" t="s">
        <v>42</v>
      </c>
      <c r="C3" s="112" t="s">
        <v>43</v>
      </c>
      <c r="D3" s="38" t="s">
        <v>34</v>
      </c>
      <c r="E3" s="38" t="s">
        <v>44</v>
      </c>
      <c r="F3" s="113" t="s">
        <v>34</v>
      </c>
      <c r="G3" s="38" t="s">
        <v>45</v>
      </c>
      <c r="H3" s="31" t="s">
        <v>34</v>
      </c>
      <c r="I3" s="95" t="s">
        <v>37</v>
      </c>
      <c r="J3" s="105" t="s">
        <v>46</v>
      </c>
      <c r="K3" s="38"/>
      <c r="L3" s="38" t="s">
        <v>47</v>
      </c>
      <c r="M3" s="38"/>
      <c r="N3" s="38" t="s">
        <v>48</v>
      </c>
      <c r="O3" s="95"/>
      <c r="P3" s="105" t="s">
        <v>49</v>
      </c>
      <c r="Q3" s="38"/>
      <c r="R3" s="38" t="s">
        <v>50</v>
      </c>
      <c r="S3" s="38"/>
      <c r="T3" s="38" t="s">
        <v>51</v>
      </c>
      <c r="U3" s="38"/>
      <c r="V3" s="38" t="s">
        <v>52</v>
      </c>
      <c r="W3" s="95"/>
    </row>
    <row r="4" spans="1:23" ht="16.5" thickBot="1">
      <c r="A4" s="43"/>
      <c r="B4" s="36"/>
      <c r="C4" s="40" t="s">
        <v>53</v>
      </c>
      <c r="D4" s="39" t="s">
        <v>34</v>
      </c>
      <c r="E4" s="39" t="s">
        <v>53</v>
      </c>
      <c r="F4" s="40" t="s">
        <v>34</v>
      </c>
      <c r="G4" s="39" t="s">
        <v>53</v>
      </c>
      <c r="H4" s="37" t="s">
        <v>34</v>
      </c>
      <c r="I4" s="96" t="s">
        <v>53</v>
      </c>
      <c r="J4" s="106" t="s">
        <v>54</v>
      </c>
      <c r="K4" s="39" t="s">
        <v>55</v>
      </c>
      <c r="L4" s="39" t="s">
        <v>54</v>
      </c>
      <c r="M4" s="39" t="s">
        <v>55</v>
      </c>
      <c r="N4" s="39" t="s">
        <v>54</v>
      </c>
      <c r="O4" s="96" t="s">
        <v>55</v>
      </c>
      <c r="P4" s="106" t="s">
        <v>54</v>
      </c>
      <c r="Q4" s="39" t="s">
        <v>55</v>
      </c>
      <c r="R4" s="39" t="s">
        <v>54</v>
      </c>
      <c r="S4" s="39" t="s">
        <v>55</v>
      </c>
      <c r="T4" s="39" t="s">
        <v>54</v>
      </c>
      <c r="U4" s="39" t="s">
        <v>55</v>
      </c>
      <c r="V4" s="39" t="s">
        <v>54</v>
      </c>
      <c r="W4" s="96" t="s">
        <v>55</v>
      </c>
    </row>
    <row r="5" spans="1:23" ht="26.25">
      <c r="A5" s="35" t="s">
        <v>36</v>
      </c>
      <c r="B5" s="33">
        <v>93</v>
      </c>
      <c r="C5" s="121">
        <v>49727488</v>
      </c>
      <c r="D5" s="41">
        <v>0</v>
      </c>
      <c r="E5" s="121">
        <v>49262711</v>
      </c>
      <c r="F5" s="77">
        <v>0</v>
      </c>
      <c r="G5" s="121">
        <v>37251701</v>
      </c>
      <c r="H5" s="77">
        <v>0</v>
      </c>
      <c r="I5" s="98"/>
      <c r="J5" s="107"/>
      <c r="K5" s="107"/>
      <c r="L5" s="107"/>
      <c r="M5" s="107"/>
      <c r="N5" s="107"/>
      <c r="O5" s="97"/>
      <c r="P5" s="107"/>
      <c r="Q5" s="107"/>
      <c r="R5" s="107"/>
      <c r="S5" s="107"/>
      <c r="T5" s="107"/>
      <c r="U5" s="107"/>
      <c r="V5" s="107"/>
      <c r="W5" s="97"/>
    </row>
    <row r="6" spans="1:23" ht="26.25">
      <c r="A6" s="32">
        <v>44621</v>
      </c>
      <c r="B6" s="34">
        <v>107</v>
      </c>
      <c r="C6" s="115">
        <v>49731988</v>
      </c>
      <c r="D6" s="42">
        <f>IF((C6-C5)&lt;0,"0",(C6-C5))</f>
        <v>4500</v>
      </c>
      <c r="E6" s="115">
        <v>49269911</v>
      </c>
      <c r="F6" s="42">
        <f>IF((E6-E5)&lt;0,"0",(E6-E5))</f>
        <v>7200</v>
      </c>
      <c r="G6" s="115">
        <v>37257701</v>
      </c>
      <c r="H6" s="42">
        <f>IF((G6-G5)&lt;0,"0",(G6-G5))</f>
        <v>6000</v>
      </c>
      <c r="I6" s="99">
        <f>D6+F6+H6</f>
        <v>17700</v>
      </c>
      <c r="J6" s="107"/>
      <c r="K6" s="107">
        <f t="shared" ref="K6:K34" si="0">IF(J6-J5&lt;0,0,J6-J5)</f>
        <v>0</v>
      </c>
      <c r="L6" s="107"/>
      <c r="M6" s="107">
        <f t="shared" ref="M6:U21" si="1">IF(L6-L5&lt;0,0,L6-L5)</f>
        <v>0</v>
      </c>
      <c r="N6" s="107"/>
      <c r="O6" s="97">
        <f t="shared" si="1"/>
        <v>0</v>
      </c>
      <c r="P6" s="107"/>
      <c r="Q6" s="107">
        <f t="shared" si="1"/>
        <v>0</v>
      </c>
      <c r="R6" s="107"/>
      <c r="S6" s="107">
        <f t="shared" si="1"/>
        <v>0</v>
      </c>
      <c r="T6" s="107"/>
      <c r="U6" s="107">
        <f t="shared" si="1"/>
        <v>0</v>
      </c>
      <c r="V6" s="107"/>
      <c r="W6" s="97">
        <f t="shared" ref="W6:W27" si="2">IF(V6-V5&lt;0,0,V6-V5)</f>
        <v>0</v>
      </c>
    </row>
    <row r="7" spans="1:23" ht="26.25">
      <c r="A7" s="32">
        <v>44622</v>
      </c>
      <c r="B7" s="34">
        <v>106</v>
      </c>
      <c r="C7" s="115">
        <v>49736548</v>
      </c>
      <c r="D7" s="42">
        <f t="shared" ref="D7:D32" si="3">IF((C7-C6)&lt;0,"0",(C7-C6))</f>
        <v>4560</v>
      </c>
      <c r="E7" s="115">
        <v>49279607</v>
      </c>
      <c r="F7" s="42">
        <f t="shared" ref="F7:F32" si="4">IF((E7-E6)&lt;0,"0",(E7-E6))</f>
        <v>9696</v>
      </c>
      <c r="G7" s="115">
        <v>37263951</v>
      </c>
      <c r="H7" s="42">
        <f t="shared" ref="H7:H32" si="5">IF((G7-G6)&lt;0,"0",(G7-G6))</f>
        <v>6250</v>
      </c>
      <c r="I7" s="99">
        <f t="shared" ref="I7:I37" si="6">D7+F7+H7</f>
        <v>20506</v>
      </c>
      <c r="J7" s="107"/>
      <c r="K7" s="107">
        <f t="shared" si="0"/>
        <v>0</v>
      </c>
      <c r="L7" s="107"/>
      <c r="M7" s="107">
        <f t="shared" si="1"/>
        <v>0</v>
      </c>
      <c r="N7" s="107"/>
      <c r="O7" s="97">
        <f t="shared" si="1"/>
        <v>0</v>
      </c>
      <c r="P7" s="107"/>
      <c r="Q7" s="107">
        <f t="shared" si="1"/>
        <v>0</v>
      </c>
      <c r="R7" s="107"/>
      <c r="S7" s="107">
        <f t="shared" si="1"/>
        <v>0</v>
      </c>
      <c r="T7" s="107"/>
      <c r="U7" s="107">
        <f t="shared" si="1"/>
        <v>0</v>
      </c>
      <c r="V7" s="107"/>
      <c r="W7" s="97">
        <f t="shared" si="2"/>
        <v>0</v>
      </c>
    </row>
    <row r="8" spans="1:23" ht="26.25">
      <c r="A8" s="32">
        <v>44623</v>
      </c>
      <c r="B8" s="34">
        <v>98</v>
      </c>
      <c r="C8" s="115">
        <v>49741203</v>
      </c>
      <c r="D8" s="42">
        <f t="shared" si="3"/>
        <v>4655</v>
      </c>
      <c r="E8" s="115">
        <v>49288911</v>
      </c>
      <c r="F8" s="42">
        <f t="shared" si="4"/>
        <v>9304</v>
      </c>
      <c r="G8" s="115">
        <v>37270281</v>
      </c>
      <c r="H8" s="42">
        <f t="shared" si="5"/>
        <v>6330</v>
      </c>
      <c r="I8" s="99">
        <f t="shared" si="6"/>
        <v>20289</v>
      </c>
      <c r="J8" s="107"/>
      <c r="K8" s="107">
        <f t="shared" si="0"/>
        <v>0</v>
      </c>
      <c r="L8" s="107"/>
      <c r="M8" s="107">
        <f t="shared" si="1"/>
        <v>0</v>
      </c>
      <c r="N8" s="107"/>
      <c r="O8" s="97">
        <f t="shared" si="1"/>
        <v>0</v>
      </c>
      <c r="P8" s="107"/>
      <c r="Q8" s="107">
        <f t="shared" si="1"/>
        <v>0</v>
      </c>
      <c r="R8" s="107"/>
      <c r="S8" s="107">
        <f t="shared" si="1"/>
        <v>0</v>
      </c>
      <c r="T8" s="107"/>
      <c r="U8" s="107">
        <f t="shared" si="1"/>
        <v>0</v>
      </c>
      <c r="V8" s="107"/>
      <c r="W8" s="97">
        <f t="shared" si="2"/>
        <v>0</v>
      </c>
    </row>
    <row r="9" spans="1:23" ht="26.25">
      <c r="A9" s="32">
        <v>44624</v>
      </c>
      <c r="B9" s="34">
        <v>109</v>
      </c>
      <c r="C9" s="115">
        <v>49745864</v>
      </c>
      <c r="D9" s="42">
        <f t="shared" si="3"/>
        <v>4661</v>
      </c>
      <c r="E9" s="115">
        <v>49297412</v>
      </c>
      <c r="F9" s="42">
        <f t="shared" si="4"/>
        <v>8501</v>
      </c>
      <c r="G9" s="115">
        <v>37276579</v>
      </c>
      <c r="H9" s="42">
        <f t="shared" si="5"/>
        <v>6298</v>
      </c>
      <c r="I9" s="99">
        <f t="shared" si="6"/>
        <v>19460</v>
      </c>
      <c r="J9" s="107"/>
      <c r="K9" s="107">
        <f t="shared" si="0"/>
        <v>0</v>
      </c>
      <c r="L9" s="107"/>
      <c r="M9" s="107">
        <f t="shared" si="1"/>
        <v>0</v>
      </c>
      <c r="N9" s="107"/>
      <c r="O9" s="97">
        <f t="shared" si="1"/>
        <v>0</v>
      </c>
      <c r="P9" s="107"/>
      <c r="Q9" s="107">
        <f t="shared" si="1"/>
        <v>0</v>
      </c>
      <c r="R9" s="107"/>
      <c r="S9" s="107">
        <f t="shared" si="1"/>
        <v>0</v>
      </c>
      <c r="T9" s="107"/>
      <c r="U9" s="107">
        <f t="shared" si="1"/>
        <v>0</v>
      </c>
      <c r="V9" s="107"/>
      <c r="W9" s="97">
        <f t="shared" si="2"/>
        <v>0</v>
      </c>
    </row>
    <row r="10" spans="1:23" ht="26.25">
      <c r="A10" s="32">
        <v>44625</v>
      </c>
      <c r="B10" s="34">
        <v>69</v>
      </c>
      <c r="C10" s="115">
        <v>49750407</v>
      </c>
      <c r="D10" s="42">
        <f t="shared" si="3"/>
        <v>4543</v>
      </c>
      <c r="E10" s="115">
        <v>49305452</v>
      </c>
      <c r="F10" s="42">
        <f t="shared" si="4"/>
        <v>8040</v>
      </c>
      <c r="G10" s="115">
        <v>37282490</v>
      </c>
      <c r="H10" s="42">
        <f t="shared" si="5"/>
        <v>5911</v>
      </c>
      <c r="I10" s="99">
        <f t="shared" si="6"/>
        <v>18494</v>
      </c>
      <c r="J10" s="107"/>
      <c r="K10" s="107">
        <f t="shared" si="0"/>
        <v>0</v>
      </c>
      <c r="L10" s="107"/>
      <c r="M10" s="107">
        <f t="shared" si="1"/>
        <v>0</v>
      </c>
      <c r="N10" s="107"/>
      <c r="O10" s="97">
        <f t="shared" si="1"/>
        <v>0</v>
      </c>
      <c r="P10" s="107"/>
      <c r="Q10" s="107">
        <f t="shared" si="1"/>
        <v>0</v>
      </c>
      <c r="R10" s="107"/>
      <c r="S10" s="107">
        <f t="shared" si="1"/>
        <v>0</v>
      </c>
      <c r="T10" s="107"/>
      <c r="U10" s="107">
        <f t="shared" si="1"/>
        <v>0</v>
      </c>
      <c r="V10" s="107"/>
      <c r="W10" s="97">
        <f t="shared" si="2"/>
        <v>0</v>
      </c>
    </row>
    <row r="11" spans="1:23" ht="26.25">
      <c r="A11" s="32">
        <v>44626</v>
      </c>
      <c r="B11" s="34">
        <v>82</v>
      </c>
      <c r="C11" s="115">
        <v>49754753</v>
      </c>
      <c r="D11" s="42">
        <f t="shared" si="3"/>
        <v>4346</v>
      </c>
      <c r="E11" s="115">
        <v>49313432</v>
      </c>
      <c r="F11" s="42">
        <f t="shared" si="4"/>
        <v>7980</v>
      </c>
      <c r="G11" s="115">
        <v>37288417</v>
      </c>
      <c r="H11" s="42">
        <f t="shared" si="5"/>
        <v>5927</v>
      </c>
      <c r="I11" s="99">
        <f t="shared" si="6"/>
        <v>18253</v>
      </c>
      <c r="J11" s="107"/>
      <c r="K11" s="107">
        <f t="shared" si="0"/>
        <v>0</v>
      </c>
      <c r="L11" s="107"/>
      <c r="M11" s="107">
        <f t="shared" si="1"/>
        <v>0</v>
      </c>
      <c r="N11" s="107"/>
      <c r="O11" s="97">
        <f t="shared" si="1"/>
        <v>0</v>
      </c>
      <c r="P11" s="107"/>
      <c r="Q11" s="107">
        <f t="shared" si="1"/>
        <v>0</v>
      </c>
      <c r="R11" s="107"/>
      <c r="S11" s="107">
        <f t="shared" si="1"/>
        <v>0</v>
      </c>
      <c r="T11" s="107"/>
      <c r="U11" s="107">
        <f t="shared" si="1"/>
        <v>0</v>
      </c>
      <c r="V11" s="107"/>
      <c r="W11" s="97">
        <f t="shared" si="2"/>
        <v>0</v>
      </c>
    </row>
    <row r="12" spans="1:23" ht="26.25">
      <c r="A12" s="32">
        <v>44627</v>
      </c>
      <c r="B12" s="34">
        <v>100</v>
      </c>
      <c r="C12" s="115">
        <v>49759109</v>
      </c>
      <c r="D12" s="42">
        <f t="shared" si="3"/>
        <v>4356</v>
      </c>
      <c r="E12" s="115">
        <v>49322127</v>
      </c>
      <c r="F12" s="42">
        <f t="shared" si="4"/>
        <v>8695</v>
      </c>
      <c r="G12" s="115">
        <v>37294442</v>
      </c>
      <c r="H12" s="42">
        <f t="shared" si="5"/>
        <v>6025</v>
      </c>
      <c r="I12" s="99">
        <f t="shared" si="6"/>
        <v>19076</v>
      </c>
      <c r="J12" s="107"/>
      <c r="K12" s="107">
        <f t="shared" si="0"/>
        <v>0</v>
      </c>
      <c r="L12" s="107"/>
      <c r="M12" s="107">
        <f t="shared" si="1"/>
        <v>0</v>
      </c>
      <c r="N12" s="107"/>
      <c r="O12" s="97">
        <f t="shared" si="1"/>
        <v>0</v>
      </c>
      <c r="P12" s="107"/>
      <c r="Q12" s="107">
        <f t="shared" si="1"/>
        <v>0</v>
      </c>
      <c r="R12" s="107"/>
      <c r="S12" s="107">
        <f t="shared" si="1"/>
        <v>0</v>
      </c>
      <c r="T12" s="107"/>
      <c r="U12" s="107">
        <f t="shared" si="1"/>
        <v>0</v>
      </c>
      <c r="V12" s="107"/>
      <c r="W12" s="97">
        <f t="shared" si="2"/>
        <v>0</v>
      </c>
    </row>
    <row r="13" spans="1:23" ht="26.25">
      <c r="A13" s="32">
        <v>44628</v>
      </c>
      <c r="B13" s="34">
        <v>107</v>
      </c>
      <c r="C13" s="115">
        <v>49764079</v>
      </c>
      <c r="D13" s="42">
        <f t="shared" si="3"/>
        <v>4970</v>
      </c>
      <c r="E13" s="115">
        <v>49331707</v>
      </c>
      <c r="F13" s="42">
        <f t="shared" si="4"/>
        <v>9580</v>
      </c>
      <c r="G13" s="115">
        <v>37301274</v>
      </c>
      <c r="H13" s="42">
        <f t="shared" si="5"/>
        <v>6832</v>
      </c>
      <c r="I13" s="99">
        <f t="shared" si="6"/>
        <v>21382</v>
      </c>
      <c r="J13" s="107"/>
      <c r="K13" s="107">
        <f t="shared" si="0"/>
        <v>0</v>
      </c>
      <c r="L13" s="107"/>
      <c r="M13" s="107">
        <f t="shared" si="1"/>
        <v>0</v>
      </c>
      <c r="N13" s="107"/>
      <c r="O13" s="97">
        <f t="shared" si="1"/>
        <v>0</v>
      </c>
      <c r="P13" s="107"/>
      <c r="Q13" s="107">
        <f t="shared" si="1"/>
        <v>0</v>
      </c>
      <c r="R13" s="107"/>
      <c r="S13" s="107">
        <f t="shared" si="1"/>
        <v>0</v>
      </c>
      <c r="T13" s="107"/>
      <c r="U13" s="107">
        <f t="shared" si="1"/>
        <v>0</v>
      </c>
      <c r="V13" s="107"/>
      <c r="W13" s="97">
        <f t="shared" si="2"/>
        <v>0</v>
      </c>
    </row>
    <row r="14" spans="1:23" ht="26.25">
      <c r="A14" s="32">
        <v>44629</v>
      </c>
      <c r="B14" s="34">
        <v>90</v>
      </c>
      <c r="C14" s="115">
        <v>49768634</v>
      </c>
      <c r="D14" s="42">
        <f t="shared" si="3"/>
        <v>4555</v>
      </c>
      <c r="E14" s="115">
        <v>49340845</v>
      </c>
      <c r="F14" s="42">
        <f t="shared" si="4"/>
        <v>9138</v>
      </c>
      <c r="G14" s="115">
        <v>37308294</v>
      </c>
      <c r="H14" s="42">
        <f t="shared" si="5"/>
        <v>7020</v>
      </c>
      <c r="I14" s="99">
        <f t="shared" si="6"/>
        <v>20713</v>
      </c>
      <c r="J14" s="107"/>
      <c r="K14" s="107">
        <f t="shared" si="0"/>
        <v>0</v>
      </c>
      <c r="L14" s="107"/>
      <c r="M14" s="107">
        <f t="shared" si="1"/>
        <v>0</v>
      </c>
      <c r="N14" s="107"/>
      <c r="O14" s="97">
        <f t="shared" si="1"/>
        <v>0</v>
      </c>
      <c r="P14" s="107"/>
      <c r="Q14" s="107">
        <f t="shared" si="1"/>
        <v>0</v>
      </c>
      <c r="R14" s="107"/>
      <c r="S14" s="107">
        <f t="shared" si="1"/>
        <v>0</v>
      </c>
      <c r="T14" s="107"/>
      <c r="U14" s="107">
        <f t="shared" si="1"/>
        <v>0</v>
      </c>
      <c r="V14" s="107"/>
      <c r="W14" s="97">
        <f t="shared" si="2"/>
        <v>0</v>
      </c>
    </row>
    <row r="15" spans="1:23" ht="26.25">
      <c r="A15" s="32">
        <v>44630</v>
      </c>
      <c r="B15" s="34">
        <v>112</v>
      </c>
      <c r="C15" s="115">
        <v>49772833</v>
      </c>
      <c r="D15" s="42">
        <f t="shared" ref="D15:D27" si="7">IF((C15-C14)&lt;0,"0",(C15-C14))</f>
        <v>4199</v>
      </c>
      <c r="E15" s="115">
        <v>49349720</v>
      </c>
      <c r="F15" s="42">
        <f t="shared" si="4"/>
        <v>8875</v>
      </c>
      <c r="G15" s="115">
        <v>37314786</v>
      </c>
      <c r="H15" s="42">
        <f t="shared" si="5"/>
        <v>6492</v>
      </c>
      <c r="I15" s="99">
        <f t="shared" si="6"/>
        <v>19566</v>
      </c>
      <c r="J15" s="107"/>
      <c r="K15" s="107">
        <f t="shared" si="0"/>
        <v>0</v>
      </c>
      <c r="L15" s="107"/>
      <c r="M15" s="107">
        <f t="shared" si="1"/>
        <v>0</v>
      </c>
      <c r="N15" s="107"/>
      <c r="O15" s="97">
        <f t="shared" si="1"/>
        <v>0</v>
      </c>
      <c r="P15" s="107"/>
      <c r="Q15" s="107">
        <f t="shared" si="1"/>
        <v>0</v>
      </c>
      <c r="R15" s="107"/>
      <c r="S15" s="107">
        <f t="shared" si="1"/>
        <v>0</v>
      </c>
      <c r="T15" s="107"/>
      <c r="U15" s="107">
        <f t="shared" si="1"/>
        <v>0</v>
      </c>
      <c r="V15" s="107"/>
      <c r="W15" s="97">
        <f t="shared" si="2"/>
        <v>0</v>
      </c>
    </row>
    <row r="16" spans="1:23" ht="26.25">
      <c r="A16" s="32">
        <v>44631</v>
      </c>
      <c r="B16" s="34">
        <v>103</v>
      </c>
      <c r="C16" s="115">
        <v>49778025</v>
      </c>
      <c r="D16" s="42">
        <f t="shared" si="7"/>
        <v>5192</v>
      </c>
      <c r="E16" s="115">
        <v>49360236</v>
      </c>
      <c r="F16" s="42">
        <f t="shared" si="4"/>
        <v>10516</v>
      </c>
      <c r="G16" s="115">
        <v>37322233</v>
      </c>
      <c r="H16" s="42">
        <f t="shared" si="5"/>
        <v>7447</v>
      </c>
      <c r="I16" s="99">
        <f t="shared" si="6"/>
        <v>23155</v>
      </c>
      <c r="J16" s="107"/>
      <c r="K16" s="107">
        <f t="shared" si="0"/>
        <v>0</v>
      </c>
      <c r="L16" s="107"/>
      <c r="M16" s="107">
        <f t="shared" si="1"/>
        <v>0</v>
      </c>
      <c r="N16" s="107"/>
      <c r="O16" s="97">
        <f t="shared" si="1"/>
        <v>0</v>
      </c>
      <c r="P16" s="107"/>
      <c r="Q16" s="107">
        <f t="shared" si="1"/>
        <v>0</v>
      </c>
      <c r="R16" s="107"/>
      <c r="S16" s="107">
        <f t="shared" si="1"/>
        <v>0</v>
      </c>
      <c r="T16" s="107"/>
      <c r="U16" s="107">
        <f t="shared" si="1"/>
        <v>0</v>
      </c>
      <c r="V16" s="107"/>
      <c r="W16" s="97">
        <f t="shared" si="2"/>
        <v>0</v>
      </c>
    </row>
    <row r="17" spans="1:23" ht="26.25">
      <c r="A17" s="32">
        <v>44632</v>
      </c>
      <c r="B17" s="34">
        <v>86</v>
      </c>
      <c r="C17" s="115">
        <v>49782543</v>
      </c>
      <c r="D17" s="42">
        <f t="shared" si="7"/>
        <v>4518</v>
      </c>
      <c r="E17" s="115">
        <v>49369711</v>
      </c>
      <c r="F17" s="42">
        <f t="shared" si="4"/>
        <v>9475</v>
      </c>
      <c r="G17" s="115">
        <v>37328447</v>
      </c>
      <c r="H17" s="42">
        <f t="shared" si="5"/>
        <v>6214</v>
      </c>
      <c r="I17" s="99">
        <f t="shared" si="6"/>
        <v>20207</v>
      </c>
      <c r="J17" s="107"/>
      <c r="K17" s="107">
        <f t="shared" si="0"/>
        <v>0</v>
      </c>
      <c r="L17" s="107"/>
      <c r="M17" s="107">
        <f t="shared" si="1"/>
        <v>0</v>
      </c>
      <c r="N17" s="107"/>
      <c r="O17" s="97">
        <f t="shared" si="1"/>
        <v>0</v>
      </c>
      <c r="P17" s="107"/>
      <c r="Q17" s="107">
        <f t="shared" si="1"/>
        <v>0</v>
      </c>
      <c r="R17" s="107"/>
      <c r="S17" s="107">
        <f t="shared" si="1"/>
        <v>0</v>
      </c>
      <c r="T17" s="107"/>
      <c r="U17" s="107">
        <f t="shared" si="1"/>
        <v>0</v>
      </c>
      <c r="V17" s="107"/>
      <c r="W17" s="97">
        <f t="shared" si="2"/>
        <v>0</v>
      </c>
    </row>
    <row r="18" spans="1:23" ht="26.25">
      <c r="A18" s="32">
        <v>44633</v>
      </c>
      <c r="B18" s="34">
        <v>100</v>
      </c>
      <c r="C18" s="115">
        <v>49786733</v>
      </c>
      <c r="D18" s="42">
        <f t="shared" si="7"/>
        <v>4190</v>
      </c>
      <c r="E18" s="115">
        <v>49379197</v>
      </c>
      <c r="F18" s="42">
        <f t="shared" si="4"/>
        <v>9486</v>
      </c>
      <c r="G18" s="115">
        <v>37334280</v>
      </c>
      <c r="H18" s="42">
        <f t="shared" si="5"/>
        <v>5833</v>
      </c>
      <c r="I18" s="99">
        <f t="shared" si="6"/>
        <v>19509</v>
      </c>
      <c r="J18" s="107"/>
      <c r="K18" s="107">
        <f t="shared" si="0"/>
        <v>0</v>
      </c>
      <c r="L18" s="107"/>
      <c r="M18" s="107">
        <f t="shared" si="1"/>
        <v>0</v>
      </c>
      <c r="N18" s="107"/>
      <c r="O18" s="97">
        <f t="shared" si="1"/>
        <v>0</v>
      </c>
      <c r="P18" s="107"/>
      <c r="Q18" s="107">
        <f t="shared" si="1"/>
        <v>0</v>
      </c>
      <c r="R18" s="107"/>
      <c r="S18" s="107">
        <f t="shared" si="1"/>
        <v>0</v>
      </c>
      <c r="T18" s="107"/>
      <c r="U18" s="107">
        <f t="shared" si="1"/>
        <v>0</v>
      </c>
      <c r="V18" s="107"/>
      <c r="W18" s="97">
        <f t="shared" si="2"/>
        <v>0</v>
      </c>
    </row>
    <row r="19" spans="1:23" ht="26.25">
      <c r="A19" s="32">
        <v>44634</v>
      </c>
      <c r="B19" s="34">
        <v>73</v>
      </c>
      <c r="C19" s="115">
        <v>49791274</v>
      </c>
      <c r="D19" s="42">
        <f t="shared" si="7"/>
        <v>4541</v>
      </c>
      <c r="E19" s="115">
        <v>49390868</v>
      </c>
      <c r="F19" s="42">
        <f t="shared" si="4"/>
        <v>11671</v>
      </c>
      <c r="G19" s="115">
        <v>37341620</v>
      </c>
      <c r="H19" s="42">
        <f t="shared" si="5"/>
        <v>7340</v>
      </c>
      <c r="I19" s="99">
        <f t="shared" si="6"/>
        <v>23552</v>
      </c>
      <c r="J19" s="107"/>
      <c r="K19" s="107">
        <f t="shared" si="0"/>
        <v>0</v>
      </c>
      <c r="L19" s="107"/>
      <c r="M19" s="107">
        <f t="shared" si="1"/>
        <v>0</v>
      </c>
      <c r="N19" s="107"/>
      <c r="O19" s="97">
        <f t="shared" si="1"/>
        <v>0</v>
      </c>
      <c r="P19" s="107"/>
      <c r="Q19" s="107">
        <f t="shared" si="1"/>
        <v>0</v>
      </c>
      <c r="R19" s="107"/>
      <c r="S19" s="107">
        <f t="shared" si="1"/>
        <v>0</v>
      </c>
      <c r="T19" s="107"/>
      <c r="U19" s="107">
        <f t="shared" si="1"/>
        <v>0</v>
      </c>
      <c r="V19" s="107"/>
      <c r="W19" s="97">
        <f t="shared" si="2"/>
        <v>0</v>
      </c>
    </row>
    <row r="20" spans="1:23" ht="26.25">
      <c r="A20" s="32">
        <v>44635</v>
      </c>
      <c r="B20" s="34">
        <v>97</v>
      </c>
      <c r="C20" s="115">
        <v>49795885</v>
      </c>
      <c r="D20" s="42">
        <f t="shared" si="7"/>
        <v>4611</v>
      </c>
      <c r="E20" s="115">
        <v>49401382</v>
      </c>
      <c r="F20" s="42">
        <f t="shared" si="4"/>
        <v>10514</v>
      </c>
      <c r="G20" s="115">
        <v>37348378</v>
      </c>
      <c r="H20" s="42">
        <f t="shared" si="5"/>
        <v>6758</v>
      </c>
      <c r="I20" s="99">
        <f t="shared" si="6"/>
        <v>21883</v>
      </c>
      <c r="J20" s="107"/>
      <c r="K20" s="107">
        <f t="shared" si="0"/>
        <v>0</v>
      </c>
      <c r="L20" s="107"/>
      <c r="M20" s="107">
        <f t="shared" si="1"/>
        <v>0</v>
      </c>
      <c r="N20" s="107"/>
      <c r="O20" s="97">
        <f t="shared" si="1"/>
        <v>0</v>
      </c>
      <c r="P20" s="107"/>
      <c r="Q20" s="107">
        <f t="shared" si="1"/>
        <v>0</v>
      </c>
      <c r="R20" s="107"/>
      <c r="S20" s="107">
        <f t="shared" si="1"/>
        <v>0</v>
      </c>
      <c r="T20" s="107"/>
      <c r="U20" s="107">
        <f t="shared" si="1"/>
        <v>0</v>
      </c>
      <c r="V20" s="107"/>
      <c r="W20" s="97">
        <f t="shared" si="2"/>
        <v>0</v>
      </c>
    </row>
    <row r="21" spans="1:23" ht="26.25">
      <c r="A21" s="32">
        <v>44636</v>
      </c>
      <c r="B21" s="34">
        <v>95</v>
      </c>
      <c r="C21" s="115">
        <v>49800429</v>
      </c>
      <c r="D21" s="42">
        <f t="shared" si="7"/>
        <v>4544</v>
      </c>
      <c r="E21" s="115">
        <v>49411029</v>
      </c>
      <c r="F21" s="42">
        <f t="shared" si="4"/>
        <v>9647</v>
      </c>
      <c r="G21" s="115">
        <v>37355454</v>
      </c>
      <c r="H21" s="42">
        <f t="shared" si="5"/>
        <v>7076</v>
      </c>
      <c r="I21" s="99">
        <f t="shared" si="6"/>
        <v>21267</v>
      </c>
      <c r="J21" s="107"/>
      <c r="K21" s="107">
        <f t="shared" si="0"/>
        <v>0</v>
      </c>
      <c r="L21" s="107"/>
      <c r="M21" s="107">
        <f t="shared" si="1"/>
        <v>0</v>
      </c>
      <c r="N21" s="107"/>
      <c r="O21" s="97">
        <f t="shared" si="1"/>
        <v>0</v>
      </c>
      <c r="P21" s="107"/>
      <c r="Q21" s="107">
        <f t="shared" si="1"/>
        <v>0</v>
      </c>
      <c r="R21" s="107"/>
      <c r="S21" s="107">
        <f t="shared" si="1"/>
        <v>0</v>
      </c>
      <c r="T21" s="107"/>
      <c r="U21" s="107">
        <f t="shared" si="1"/>
        <v>0</v>
      </c>
      <c r="V21" s="107"/>
      <c r="W21" s="97">
        <f t="shared" si="2"/>
        <v>0</v>
      </c>
    </row>
    <row r="22" spans="1:23" ht="26.25">
      <c r="A22" s="32">
        <v>44637</v>
      </c>
      <c r="B22" s="34">
        <v>96</v>
      </c>
      <c r="C22" s="115">
        <v>49805059</v>
      </c>
      <c r="D22" s="42">
        <f t="shared" si="7"/>
        <v>4630</v>
      </c>
      <c r="E22" s="115">
        <v>49420069</v>
      </c>
      <c r="F22" s="42">
        <f t="shared" si="4"/>
        <v>9040</v>
      </c>
      <c r="G22" s="115">
        <v>37362286</v>
      </c>
      <c r="H22" s="42">
        <f t="shared" si="5"/>
        <v>6832</v>
      </c>
      <c r="I22" s="99">
        <f t="shared" si="6"/>
        <v>20502</v>
      </c>
      <c r="J22" s="107"/>
      <c r="K22" s="107">
        <f t="shared" si="0"/>
        <v>0</v>
      </c>
      <c r="L22" s="107"/>
      <c r="M22" s="107">
        <f t="shared" ref="M22:M27" si="8">IF(L22-L21&lt;0,0,L22-L21)</f>
        <v>0</v>
      </c>
      <c r="N22" s="107"/>
      <c r="O22" s="97">
        <f t="shared" ref="O22:O27" si="9">IF(N22-N21&lt;0,0,N22-N21)</f>
        <v>0</v>
      </c>
      <c r="P22" s="107"/>
      <c r="Q22" s="107">
        <f t="shared" ref="Q22:Q27" si="10">IF(P22-P21&lt;0,0,P22-P21)</f>
        <v>0</v>
      </c>
      <c r="R22" s="107"/>
      <c r="S22" s="107">
        <f t="shared" ref="S22:S27" si="11">IF(R22-R21&lt;0,0,R22-R21)</f>
        <v>0</v>
      </c>
      <c r="T22" s="107"/>
      <c r="U22" s="107">
        <f t="shared" ref="U22:U27" si="12">IF(T22-T21&lt;0,0,T22-T21)</f>
        <v>0</v>
      </c>
      <c r="V22" s="107"/>
      <c r="W22" s="97">
        <f t="shared" si="2"/>
        <v>0</v>
      </c>
    </row>
    <row r="23" spans="1:23" ht="26.25">
      <c r="A23" s="32">
        <v>44638</v>
      </c>
      <c r="B23" s="34">
        <v>103</v>
      </c>
      <c r="C23" s="115">
        <v>49809525</v>
      </c>
      <c r="D23" s="42">
        <f t="shared" si="7"/>
        <v>4466</v>
      </c>
      <c r="E23" s="115">
        <v>49428441</v>
      </c>
      <c r="F23" s="42">
        <f t="shared" si="4"/>
        <v>8372</v>
      </c>
      <c r="G23" s="115">
        <v>37368224</v>
      </c>
      <c r="H23" s="42">
        <f t="shared" si="5"/>
        <v>5938</v>
      </c>
      <c r="I23" s="99">
        <f t="shared" si="6"/>
        <v>18776</v>
      </c>
      <c r="J23" s="107"/>
      <c r="K23" s="107">
        <f t="shared" si="0"/>
        <v>0</v>
      </c>
      <c r="L23" s="107"/>
      <c r="M23" s="107">
        <f t="shared" si="8"/>
        <v>0</v>
      </c>
      <c r="N23" s="107"/>
      <c r="O23" s="97">
        <f t="shared" si="9"/>
        <v>0</v>
      </c>
      <c r="P23" s="107"/>
      <c r="Q23" s="107">
        <f t="shared" si="10"/>
        <v>0</v>
      </c>
      <c r="R23" s="107"/>
      <c r="S23" s="107">
        <f t="shared" si="11"/>
        <v>0</v>
      </c>
      <c r="T23" s="107"/>
      <c r="U23" s="107">
        <f t="shared" si="12"/>
        <v>0</v>
      </c>
      <c r="V23" s="107"/>
      <c r="W23" s="97">
        <f t="shared" si="2"/>
        <v>0</v>
      </c>
    </row>
    <row r="24" spans="1:23" ht="26.25">
      <c r="A24" s="32">
        <v>44639</v>
      </c>
      <c r="B24" s="34">
        <v>84</v>
      </c>
      <c r="C24" s="115">
        <v>49814209</v>
      </c>
      <c r="D24" s="42">
        <f t="shared" si="7"/>
        <v>4684</v>
      </c>
      <c r="E24" s="115">
        <v>49437229</v>
      </c>
      <c r="F24" s="42">
        <f t="shared" si="4"/>
        <v>8788</v>
      </c>
      <c r="G24" s="115">
        <v>37374201</v>
      </c>
      <c r="H24" s="42">
        <f t="shared" si="5"/>
        <v>5977</v>
      </c>
      <c r="I24" s="99">
        <f t="shared" si="6"/>
        <v>19449</v>
      </c>
      <c r="J24" s="107"/>
      <c r="K24" s="107">
        <f t="shared" si="0"/>
        <v>0</v>
      </c>
      <c r="L24" s="107"/>
      <c r="M24" s="107">
        <f t="shared" si="8"/>
        <v>0</v>
      </c>
      <c r="N24" s="107"/>
      <c r="O24" s="97">
        <f t="shared" si="9"/>
        <v>0</v>
      </c>
      <c r="P24" s="107"/>
      <c r="Q24" s="107">
        <f t="shared" si="10"/>
        <v>0</v>
      </c>
      <c r="R24" s="107"/>
      <c r="S24" s="107">
        <f t="shared" si="11"/>
        <v>0</v>
      </c>
      <c r="T24" s="107"/>
      <c r="U24" s="107">
        <f t="shared" si="12"/>
        <v>0</v>
      </c>
      <c r="V24" s="107"/>
      <c r="W24" s="97">
        <f t="shared" si="2"/>
        <v>0</v>
      </c>
    </row>
    <row r="25" spans="1:23" ht="26.25">
      <c r="A25" s="32">
        <v>44640</v>
      </c>
      <c r="B25" s="34">
        <v>96</v>
      </c>
      <c r="C25" s="115">
        <v>49819093</v>
      </c>
      <c r="D25" s="42">
        <f t="shared" si="7"/>
        <v>4884</v>
      </c>
      <c r="E25" s="115">
        <v>49446985</v>
      </c>
      <c r="F25" s="42">
        <f t="shared" si="4"/>
        <v>9756</v>
      </c>
      <c r="G25" s="115">
        <v>37381324</v>
      </c>
      <c r="H25" s="42">
        <f t="shared" si="5"/>
        <v>7123</v>
      </c>
      <c r="I25" s="99">
        <f t="shared" si="6"/>
        <v>21763</v>
      </c>
      <c r="J25" s="107"/>
      <c r="K25" s="107">
        <f t="shared" si="0"/>
        <v>0</v>
      </c>
      <c r="L25" s="107"/>
      <c r="M25" s="107">
        <f t="shared" si="8"/>
        <v>0</v>
      </c>
      <c r="N25" s="107"/>
      <c r="O25" s="97">
        <f t="shared" si="9"/>
        <v>0</v>
      </c>
      <c r="P25" s="107"/>
      <c r="Q25" s="107">
        <f t="shared" si="10"/>
        <v>0</v>
      </c>
      <c r="R25" s="107"/>
      <c r="S25" s="107">
        <f t="shared" si="11"/>
        <v>0</v>
      </c>
      <c r="T25" s="107"/>
      <c r="U25" s="107">
        <f t="shared" si="12"/>
        <v>0</v>
      </c>
      <c r="V25" s="107"/>
      <c r="W25" s="97">
        <f t="shared" si="2"/>
        <v>0</v>
      </c>
    </row>
    <row r="26" spans="1:23" ht="26.25">
      <c r="A26" s="32">
        <v>44641</v>
      </c>
      <c r="B26" s="34">
        <v>83</v>
      </c>
      <c r="C26" s="115">
        <v>49823824</v>
      </c>
      <c r="D26" s="42">
        <f t="shared" si="7"/>
        <v>4731</v>
      </c>
      <c r="E26" s="115">
        <v>49456884</v>
      </c>
      <c r="F26" s="42">
        <f t="shared" si="4"/>
        <v>9899</v>
      </c>
      <c r="G26" s="115">
        <v>37388474</v>
      </c>
      <c r="H26" s="42">
        <f t="shared" si="5"/>
        <v>7150</v>
      </c>
      <c r="I26" s="99">
        <f t="shared" si="6"/>
        <v>21780</v>
      </c>
      <c r="J26" s="107"/>
      <c r="K26" s="107">
        <f t="shared" si="0"/>
        <v>0</v>
      </c>
      <c r="L26" s="107"/>
      <c r="M26" s="107">
        <f t="shared" si="8"/>
        <v>0</v>
      </c>
      <c r="N26" s="107"/>
      <c r="O26" s="97">
        <f t="shared" si="9"/>
        <v>0</v>
      </c>
      <c r="P26" s="107"/>
      <c r="Q26" s="107">
        <f t="shared" si="10"/>
        <v>0</v>
      </c>
      <c r="R26" s="107"/>
      <c r="S26" s="107">
        <f t="shared" si="11"/>
        <v>0</v>
      </c>
      <c r="T26" s="107"/>
      <c r="U26" s="107">
        <f t="shared" si="12"/>
        <v>0</v>
      </c>
      <c r="V26" s="107"/>
      <c r="W26" s="97">
        <f t="shared" si="2"/>
        <v>0</v>
      </c>
    </row>
    <row r="27" spans="1:23" ht="26.25">
      <c r="A27" s="32">
        <v>44642</v>
      </c>
      <c r="B27" s="34">
        <v>86</v>
      </c>
      <c r="C27" s="115">
        <v>49828469</v>
      </c>
      <c r="D27" s="42">
        <f t="shared" si="7"/>
        <v>4645</v>
      </c>
      <c r="E27" s="115">
        <v>49467146</v>
      </c>
      <c r="F27" s="42">
        <f t="shared" si="4"/>
        <v>10262</v>
      </c>
      <c r="G27" s="115">
        <v>37395553</v>
      </c>
      <c r="H27" s="42">
        <f t="shared" si="5"/>
        <v>7079</v>
      </c>
      <c r="I27" s="99">
        <f t="shared" si="6"/>
        <v>21986</v>
      </c>
      <c r="J27" s="107"/>
      <c r="K27" s="107">
        <f t="shared" si="0"/>
        <v>0</v>
      </c>
      <c r="L27" s="107"/>
      <c r="M27" s="107">
        <f t="shared" si="8"/>
        <v>0</v>
      </c>
      <c r="N27" s="107"/>
      <c r="O27" s="97">
        <f t="shared" si="9"/>
        <v>0</v>
      </c>
      <c r="P27" s="107"/>
      <c r="Q27" s="107">
        <f t="shared" si="10"/>
        <v>0</v>
      </c>
      <c r="R27" s="107"/>
      <c r="S27" s="107">
        <f t="shared" si="11"/>
        <v>0</v>
      </c>
      <c r="T27" s="107"/>
      <c r="U27" s="107">
        <f t="shared" si="12"/>
        <v>0</v>
      </c>
      <c r="V27" s="107"/>
      <c r="W27" s="97">
        <f t="shared" si="2"/>
        <v>0</v>
      </c>
    </row>
    <row r="28" spans="1:23" ht="26.25">
      <c r="A28" s="32">
        <v>44643</v>
      </c>
      <c r="B28" s="34">
        <v>91</v>
      </c>
      <c r="C28" s="115">
        <v>49832960</v>
      </c>
      <c r="D28" s="42">
        <f t="shared" si="3"/>
        <v>4491</v>
      </c>
      <c r="E28" s="115">
        <v>49477158</v>
      </c>
      <c r="F28" s="42">
        <f t="shared" si="4"/>
        <v>10012</v>
      </c>
      <c r="G28" s="115">
        <v>37401983</v>
      </c>
      <c r="H28" s="42">
        <f t="shared" si="5"/>
        <v>6430</v>
      </c>
      <c r="I28" s="99">
        <f t="shared" si="6"/>
        <v>20933</v>
      </c>
      <c r="J28" s="107"/>
      <c r="K28" s="107">
        <f t="shared" si="0"/>
        <v>0</v>
      </c>
      <c r="L28" s="107"/>
      <c r="M28" s="107">
        <f>IF(L28-L27&lt;0,0,L28-L27)</f>
        <v>0</v>
      </c>
      <c r="N28" s="107"/>
      <c r="O28" s="97">
        <f>IF(N28-N27&lt;0,0,N28-N27)</f>
        <v>0</v>
      </c>
      <c r="P28" s="107"/>
      <c r="Q28" s="107">
        <f>IF(P28-P27&lt;0,0,P28-P27)</f>
        <v>0</v>
      </c>
      <c r="R28" s="107"/>
      <c r="S28" s="107">
        <f>IF(R28-R27&lt;0,0,R28-R27)</f>
        <v>0</v>
      </c>
      <c r="T28" s="107"/>
      <c r="U28" s="107">
        <f>IF(T28-T27&lt;0,0,T28-T27)</f>
        <v>0</v>
      </c>
      <c r="V28" s="107"/>
      <c r="W28" s="97">
        <f t="shared" ref="W28:W36" si="13">IF(V28-V27&lt;0,0,V28-V27)</f>
        <v>0</v>
      </c>
    </row>
    <row r="29" spans="1:23" ht="26.25">
      <c r="A29" s="32">
        <v>44644</v>
      </c>
      <c r="B29" s="34">
        <v>88</v>
      </c>
      <c r="C29" s="115">
        <v>49837347</v>
      </c>
      <c r="D29" s="42">
        <f t="shared" si="3"/>
        <v>4387</v>
      </c>
      <c r="E29" s="115">
        <v>49486971</v>
      </c>
      <c r="F29" s="42">
        <f t="shared" si="4"/>
        <v>9813</v>
      </c>
      <c r="G29" s="115">
        <v>37408540</v>
      </c>
      <c r="H29" s="42">
        <f t="shared" si="5"/>
        <v>6557</v>
      </c>
      <c r="I29" s="99">
        <f t="shared" si="6"/>
        <v>20757</v>
      </c>
      <c r="J29" s="107"/>
      <c r="K29" s="107">
        <f t="shared" si="0"/>
        <v>0</v>
      </c>
      <c r="L29" s="107"/>
      <c r="M29" s="107">
        <f>IF(L29-L28&lt;0,0,L29-L28)</f>
        <v>0</v>
      </c>
      <c r="N29" s="107"/>
      <c r="O29" s="97">
        <f>IF(N29-N28&lt;0,0,N29-N28)</f>
        <v>0</v>
      </c>
      <c r="P29" s="107"/>
      <c r="Q29" s="107">
        <f>IF(P29-P28&lt;0,0,P29-P28)</f>
        <v>0</v>
      </c>
      <c r="R29" s="107"/>
      <c r="S29" s="107">
        <f>IF(R29-R28&lt;0,0,R29-R28)</f>
        <v>0</v>
      </c>
      <c r="T29" s="107"/>
      <c r="U29" s="107">
        <f>IF(T29-T28&lt;0,0,T29-T28)</f>
        <v>0</v>
      </c>
      <c r="V29" s="107"/>
      <c r="W29" s="97">
        <f t="shared" si="13"/>
        <v>0</v>
      </c>
    </row>
    <row r="30" spans="1:23" ht="26.25">
      <c r="A30" s="32">
        <v>44645</v>
      </c>
      <c r="B30" s="34">
        <v>92</v>
      </c>
      <c r="C30" s="115">
        <v>49841991</v>
      </c>
      <c r="D30" s="42">
        <f t="shared" si="3"/>
        <v>4644</v>
      </c>
      <c r="E30" s="115">
        <v>49497170</v>
      </c>
      <c r="F30" s="42">
        <f t="shared" si="4"/>
        <v>10199</v>
      </c>
      <c r="G30" s="115">
        <v>37415514</v>
      </c>
      <c r="H30" s="42">
        <f t="shared" si="5"/>
        <v>6974</v>
      </c>
      <c r="I30" s="99">
        <f t="shared" si="6"/>
        <v>21817</v>
      </c>
      <c r="J30" s="107"/>
      <c r="K30" s="107">
        <f t="shared" si="0"/>
        <v>0</v>
      </c>
      <c r="L30" s="107"/>
      <c r="M30" s="107">
        <f>IF(L30-L29&lt;0,0,L30-L29)</f>
        <v>0</v>
      </c>
      <c r="N30" s="107"/>
      <c r="O30" s="97">
        <f>IF(N30-N29&lt;0,0,N30-N29)</f>
        <v>0</v>
      </c>
      <c r="P30" s="107"/>
      <c r="Q30" s="107">
        <f>IF(P30-P29&lt;0,0,P30-P29)</f>
        <v>0</v>
      </c>
      <c r="R30" s="107"/>
      <c r="S30" s="107">
        <f>IF(R30-R29&lt;0,0,R30-R29)</f>
        <v>0</v>
      </c>
      <c r="T30" s="107"/>
      <c r="U30" s="107">
        <f>IF(T30-T29&lt;0,0,T30-T29)</f>
        <v>0</v>
      </c>
      <c r="V30" s="107"/>
      <c r="W30" s="97">
        <f t="shared" si="13"/>
        <v>0</v>
      </c>
    </row>
    <row r="31" spans="1:23" ht="26.25">
      <c r="A31" s="32">
        <v>44646</v>
      </c>
      <c r="B31" s="34">
        <v>90</v>
      </c>
      <c r="C31" s="115">
        <v>49846679</v>
      </c>
      <c r="D31" s="42">
        <f t="shared" si="3"/>
        <v>4688</v>
      </c>
      <c r="E31" s="115">
        <v>49506990</v>
      </c>
      <c r="F31" s="42">
        <f t="shared" si="4"/>
        <v>9820</v>
      </c>
      <c r="G31" s="115">
        <v>37422825</v>
      </c>
      <c r="H31" s="42">
        <f t="shared" si="5"/>
        <v>7311</v>
      </c>
      <c r="I31" s="99">
        <f t="shared" si="6"/>
        <v>21819</v>
      </c>
      <c r="J31" s="107"/>
      <c r="K31" s="107">
        <f t="shared" si="0"/>
        <v>0</v>
      </c>
      <c r="L31" s="107"/>
      <c r="M31" s="107">
        <f t="shared" ref="M31:U31" si="14">IF(L31-L30&lt;0,0,L31-L30)</f>
        <v>0</v>
      </c>
      <c r="N31" s="107"/>
      <c r="O31" s="97">
        <f t="shared" si="14"/>
        <v>0</v>
      </c>
      <c r="P31" s="107"/>
      <c r="Q31" s="107">
        <f t="shared" si="14"/>
        <v>0</v>
      </c>
      <c r="R31" s="107"/>
      <c r="S31" s="107">
        <f t="shared" si="14"/>
        <v>0</v>
      </c>
      <c r="T31" s="107"/>
      <c r="U31" s="107">
        <f t="shared" si="14"/>
        <v>0</v>
      </c>
      <c r="V31" s="107"/>
      <c r="W31" s="97">
        <f t="shared" si="13"/>
        <v>0</v>
      </c>
    </row>
    <row r="32" spans="1:23" ht="26.25">
      <c r="A32" s="32">
        <v>44647</v>
      </c>
      <c r="B32" s="34">
        <v>107</v>
      </c>
      <c r="C32" s="115">
        <v>49851065</v>
      </c>
      <c r="D32" s="42">
        <f t="shared" si="3"/>
        <v>4386</v>
      </c>
      <c r="E32" s="115">
        <v>49516331</v>
      </c>
      <c r="F32" s="42">
        <f t="shared" si="4"/>
        <v>9341</v>
      </c>
      <c r="G32" s="115">
        <v>37428892</v>
      </c>
      <c r="H32" s="42">
        <f t="shared" si="5"/>
        <v>6067</v>
      </c>
      <c r="I32" s="99">
        <f t="shared" si="6"/>
        <v>19794</v>
      </c>
      <c r="J32" s="107"/>
      <c r="K32" s="107">
        <f>IF(J32-J31&lt;0,0,J32-J31)</f>
        <v>0</v>
      </c>
      <c r="L32" s="107"/>
      <c r="M32" s="107">
        <f>IF(L32-L31&lt;0,0,L32-L31)</f>
        <v>0</v>
      </c>
      <c r="N32" s="107"/>
      <c r="O32" s="97">
        <f>IF(N32-N31&lt;0,0,N32-N31)</f>
        <v>0</v>
      </c>
      <c r="P32" s="107"/>
      <c r="Q32" s="107">
        <f>IF(P32-P31&lt;0,0,P32-P31)</f>
        <v>0</v>
      </c>
      <c r="R32" s="107"/>
      <c r="S32" s="107">
        <f>IF(R32-R31&lt;0,0,R32-R31)</f>
        <v>0</v>
      </c>
      <c r="T32" s="107"/>
      <c r="U32" s="107">
        <f>IF(T32-T31&lt;0,0,T32-T31)</f>
        <v>0</v>
      </c>
      <c r="V32" s="107"/>
      <c r="W32" s="97">
        <f t="shared" si="13"/>
        <v>0</v>
      </c>
    </row>
    <row r="33" spans="1:23" ht="26.25">
      <c r="A33" s="32">
        <v>44648</v>
      </c>
      <c r="B33" s="34">
        <v>102</v>
      </c>
      <c r="C33" s="115">
        <v>49855928</v>
      </c>
      <c r="D33" s="42">
        <f>C33-C32</f>
        <v>4863</v>
      </c>
      <c r="E33" s="115">
        <v>49525923</v>
      </c>
      <c r="F33" s="42">
        <f>IF((E33-E31)&lt;0,"0",(E33-E31))</f>
        <v>18933</v>
      </c>
      <c r="G33" s="115">
        <v>37435705</v>
      </c>
      <c r="H33" s="42">
        <f>G33-G32</f>
        <v>6813</v>
      </c>
      <c r="I33" s="99">
        <f>D33+F33+H33</f>
        <v>30609</v>
      </c>
      <c r="J33" s="107"/>
      <c r="K33" s="107">
        <f t="shared" si="0"/>
        <v>0</v>
      </c>
      <c r="L33" s="107"/>
      <c r="M33" s="107">
        <f>IF(L33-L32&lt;0,0,L33-L32)</f>
        <v>0</v>
      </c>
      <c r="N33" s="107"/>
      <c r="O33" s="97">
        <f>IF(N33-N32&lt;0,0,N33-N32)</f>
        <v>0</v>
      </c>
      <c r="P33" s="107"/>
      <c r="Q33" s="107">
        <f>IF(P33-P32&lt;0,0,P33-P32)</f>
        <v>0</v>
      </c>
      <c r="R33" s="107"/>
      <c r="S33" s="107">
        <f>IF(R33-R32&lt;0,0,R33-R32)</f>
        <v>0</v>
      </c>
      <c r="T33" s="107"/>
      <c r="U33" s="107">
        <f>IF(T33-T32&lt;0,0,T33-T32)</f>
        <v>0</v>
      </c>
      <c r="V33" s="107"/>
      <c r="W33" s="97">
        <f t="shared" si="13"/>
        <v>0</v>
      </c>
    </row>
    <row r="34" spans="1:23" ht="26.25">
      <c r="A34" s="32">
        <v>44649</v>
      </c>
      <c r="B34" s="34">
        <v>107</v>
      </c>
      <c r="C34" s="115">
        <v>49860394</v>
      </c>
      <c r="D34" s="42">
        <f>C34-C33</f>
        <v>4466</v>
      </c>
      <c r="E34" s="115">
        <v>49534632</v>
      </c>
      <c r="F34" s="42">
        <f>IF((E34-E32)&lt;0,"0",(E34-E32))</f>
        <v>18301</v>
      </c>
      <c r="G34" s="115">
        <v>37442383</v>
      </c>
      <c r="H34" s="42">
        <f>G34-G33</f>
        <v>6678</v>
      </c>
      <c r="I34" s="99">
        <f t="shared" si="6"/>
        <v>29445</v>
      </c>
      <c r="J34" s="107"/>
      <c r="K34" s="107">
        <f t="shared" si="0"/>
        <v>0</v>
      </c>
      <c r="L34" s="107"/>
      <c r="M34" s="107">
        <f>IF(L34-L33&lt;0,0,L34-L33)</f>
        <v>0</v>
      </c>
      <c r="N34" s="107"/>
      <c r="O34" s="97">
        <f>IF(N34-N33&lt;0,0,N34-N33)</f>
        <v>0</v>
      </c>
      <c r="P34" s="107"/>
      <c r="Q34" s="107">
        <f>IF(P34-P33&lt;0,0,P34-P33)</f>
        <v>0</v>
      </c>
      <c r="R34" s="107"/>
      <c r="S34" s="107">
        <f>IF(R34-R33&lt;0,0,R34-R33)</f>
        <v>0</v>
      </c>
      <c r="T34" s="107"/>
      <c r="U34" s="107">
        <f>IF(T34-T33&lt;0,0,T34-T33)</f>
        <v>0</v>
      </c>
      <c r="V34" s="107"/>
      <c r="W34" s="97">
        <f t="shared" si="13"/>
        <v>0</v>
      </c>
    </row>
    <row r="35" spans="1:23" ht="26.25">
      <c r="A35" s="32">
        <v>44650</v>
      </c>
      <c r="B35" s="34">
        <v>110</v>
      </c>
      <c r="C35" s="115">
        <v>49865016</v>
      </c>
      <c r="D35" s="74">
        <f>C35-C34</f>
        <v>4622</v>
      </c>
      <c r="E35" s="115">
        <v>49543483</v>
      </c>
      <c r="F35" s="78">
        <f>IF((E35-E33)&lt;0,"0",(E35-E33))</f>
        <v>17560</v>
      </c>
      <c r="G35" s="115">
        <v>37449718</v>
      </c>
      <c r="H35" s="74">
        <f>G35-G34</f>
        <v>7335</v>
      </c>
      <c r="I35" s="100">
        <f t="shared" si="6"/>
        <v>29517</v>
      </c>
      <c r="J35" s="107"/>
      <c r="K35" s="107">
        <f>IF(J35-J34&lt;0,0,J35-J34)</f>
        <v>0</v>
      </c>
      <c r="L35" s="107"/>
      <c r="M35" s="107">
        <f>IF(L35-L34&lt;0,0,L35-L34)</f>
        <v>0</v>
      </c>
      <c r="N35" s="107"/>
      <c r="O35" s="97">
        <f>IF(N35-N34&lt;0,0,N35-N34)</f>
        <v>0</v>
      </c>
      <c r="P35" s="107"/>
      <c r="Q35" s="107">
        <f>IF(P35-P34&lt;0,0,P35-P34)</f>
        <v>0</v>
      </c>
      <c r="R35" s="107"/>
      <c r="S35" s="107">
        <f>IF(R35-R34&lt;0,0,R35-R34)</f>
        <v>0</v>
      </c>
      <c r="T35" s="107"/>
      <c r="U35" s="107">
        <f>IF(T35-T34&lt;0,0,T35-T34)</f>
        <v>0</v>
      </c>
      <c r="V35" s="107"/>
      <c r="W35" s="97">
        <f t="shared" si="13"/>
        <v>0</v>
      </c>
    </row>
    <row r="36" spans="1:23" ht="26.25">
      <c r="A36" s="32">
        <v>44651</v>
      </c>
      <c r="B36" s="111">
        <v>67</v>
      </c>
      <c r="C36" s="115">
        <v>49869683</v>
      </c>
      <c r="D36" s="42">
        <f>IF(C36-C35&lt;0,0,C36-C35)</f>
        <v>4667</v>
      </c>
      <c r="E36" s="115">
        <v>49552308</v>
      </c>
      <c r="F36" s="42">
        <f>IF(E36-E35&lt;0,0,E36-E35)</f>
        <v>8825</v>
      </c>
      <c r="G36" s="115">
        <v>37456072</v>
      </c>
      <c r="H36" s="74">
        <f>IF(G36-G35&lt;0,0,G36-G35)</f>
        <v>6354</v>
      </c>
      <c r="I36" s="100">
        <f t="shared" si="6"/>
        <v>19846</v>
      </c>
      <c r="J36" s="107"/>
      <c r="K36" s="107">
        <f>IF(J36-J35&lt;0,0,J36-J35)</f>
        <v>0</v>
      </c>
      <c r="L36" s="107"/>
      <c r="M36" s="107">
        <f t="shared" ref="M36:U36" si="15">IF(L36-L35&lt;0,0,L36-L35)</f>
        <v>0</v>
      </c>
      <c r="N36" s="107"/>
      <c r="O36" s="107">
        <f t="shared" si="15"/>
        <v>0</v>
      </c>
      <c r="P36" s="107"/>
      <c r="Q36" s="107">
        <f t="shared" si="15"/>
        <v>0</v>
      </c>
      <c r="R36" s="107"/>
      <c r="S36" s="107">
        <f t="shared" si="15"/>
        <v>0</v>
      </c>
      <c r="T36" s="107"/>
      <c r="U36" s="107">
        <f t="shared" si="15"/>
        <v>0</v>
      </c>
      <c r="V36" s="107"/>
      <c r="W36" s="107">
        <f t="shared" si="13"/>
        <v>0</v>
      </c>
    </row>
    <row r="37" spans="1:23" s="21" customFormat="1" ht="27.75" thickBot="1">
      <c r="A37" s="44" t="s">
        <v>37</v>
      </c>
      <c r="B37" s="45"/>
      <c r="C37" s="80"/>
      <c r="D37" s="75">
        <f>SUM(D5:D35)</f>
        <v>137528</v>
      </c>
      <c r="E37" s="81"/>
      <c r="F37" s="75">
        <f>SUM(F5:F34)</f>
        <v>290854</v>
      </c>
      <c r="G37" s="79"/>
      <c r="H37" s="75">
        <f>SUM(H5:H35)</f>
        <v>198017</v>
      </c>
      <c r="I37" s="101">
        <f t="shared" si="6"/>
        <v>626399</v>
      </c>
      <c r="J37" s="108"/>
      <c r="K37" s="109">
        <f>SUM(K5:K34)</f>
        <v>0</v>
      </c>
      <c r="L37" s="109"/>
      <c r="M37" s="109">
        <f>SUM(M5:M34)</f>
        <v>0</v>
      </c>
      <c r="N37" s="109"/>
      <c r="O37" s="110">
        <f>SUM(O5:O34)</f>
        <v>0</v>
      </c>
      <c r="P37" s="108"/>
      <c r="Q37" s="109">
        <f>SUM(Q5:Q34)</f>
        <v>0</v>
      </c>
      <c r="R37" s="109"/>
      <c r="S37" s="109">
        <f>SUM(S5:S34)</f>
        <v>0</v>
      </c>
      <c r="T37" s="109"/>
      <c r="U37" s="109">
        <f>SUM(U5:U34)</f>
        <v>0</v>
      </c>
      <c r="V37" s="109"/>
      <c r="W37" s="110">
        <f>SUM(W5:W34)</f>
        <v>0</v>
      </c>
    </row>
    <row r="38" spans="1:23" ht="37.5">
      <c r="J38" s="92"/>
      <c r="K38" s="92"/>
      <c r="L38" s="92"/>
      <c r="M38" s="92"/>
      <c r="N38" s="92"/>
      <c r="O38" s="92"/>
      <c r="P38" s="92"/>
      <c r="Q38" s="92"/>
      <c r="R38"/>
      <c r="S38" s="93"/>
      <c r="T38"/>
      <c r="U38" s="93"/>
      <c r="V38"/>
      <c r="W38" s="93"/>
    </row>
    <row r="39" spans="1:23" ht="26.25">
      <c r="A39" s="3"/>
      <c r="B39" s="25"/>
      <c r="J39"/>
      <c r="K39" s="93"/>
      <c r="L39"/>
      <c r="M39" s="93"/>
      <c r="N39"/>
      <c r="O39" s="93"/>
      <c r="P39"/>
      <c r="Q39" s="93"/>
      <c r="R39" s="93"/>
      <c r="S39" s="93"/>
      <c r="T39" s="94"/>
      <c r="U39" s="93"/>
      <c r="V39" s="93"/>
      <c r="W39" s="93"/>
    </row>
    <row r="54" spans="1:2" ht="15">
      <c r="A54" s="3"/>
      <c r="B54" s="25"/>
    </row>
  </sheetData>
  <mergeCells count="2">
    <mergeCell ref="A1:I1"/>
    <mergeCell ref="A2:I2"/>
  </mergeCells>
  <phoneticPr fontId="0" type="noConversion"/>
  <conditionalFormatting sqref="D5:D36 D37:G37 F5:F36 H5:W37 A3:B37">
    <cfRule type="cellIs" dxfId="21" priority="223" stopIfTrue="1" operator="lessThan">
      <formula>0</formula>
    </cfRule>
  </conditionalFormatting>
  <conditionalFormatting sqref="C7:C36">
    <cfRule type="cellIs" dxfId="20" priority="6" stopIfTrue="1" operator="lessThan">
      <formula>0</formula>
    </cfRule>
  </conditionalFormatting>
  <conditionalFormatting sqref="C5:C6">
    <cfRule type="cellIs" dxfId="19" priority="5" stopIfTrue="1" operator="lessThan">
      <formula>0</formula>
    </cfRule>
  </conditionalFormatting>
  <conditionalFormatting sqref="E7:E36">
    <cfRule type="cellIs" dxfId="18" priority="4" stopIfTrue="1" operator="lessThan">
      <formula>0</formula>
    </cfRule>
  </conditionalFormatting>
  <conditionalFormatting sqref="E5:E6">
    <cfRule type="cellIs" dxfId="17" priority="3" stopIfTrue="1" operator="lessThan">
      <formula>0</formula>
    </cfRule>
  </conditionalFormatting>
  <conditionalFormatting sqref="G7:G36">
    <cfRule type="cellIs" dxfId="16" priority="2" stopIfTrue="1" operator="lessThan">
      <formula>0</formula>
    </cfRule>
  </conditionalFormatting>
  <conditionalFormatting sqref="G5:G6">
    <cfRule type="cellIs" dxfId="15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5"/>
  <sheetViews>
    <sheetView view="pageBreakPreview" zoomScale="50" zoomScaleNormal="55" zoomScaleSheetLayoutView="50" workbookViewId="0">
      <selection activeCell="A26" sqref="A26:A34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</row>
    <row r="2" spans="1:38">
      <c r="A2" s="56" t="s">
        <v>1</v>
      </c>
      <c r="B2" s="58" t="s">
        <v>56</v>
      </c>
      <c r="C2" s="57" t="s">
        <v>34</v>
      </c>
      <c r="D2" s="57" t="s">
        <v>57</v>
      </c>
      <c r="E2" s="57" t="s">
        <v>34</v>
      </c>
      <c r="F2" s="57" t="s">
        <v>58</v>
      </c>
      <c r="G2" s="57" t="s">
        <v>34</v>
      </c>
      <c r="H2" s="57" t="s">
        <v>59</v>
      </c>
      <c r="I2" s="57" t="s">
        <v>34</v>
      </c>
      <c r="J2" s="57" t="s">
        <v>60</v>
      </c>
      <c r="K2" s="57" t="s">
        <v>34</v>
      </c>
      <c r="L2" s="57" t="s">
        <v>61</v>
      </c>
      <c r="M2" s="57" t="s">
        <v>34</v>
      </c>
      <c r="N2" s="57" t="s">
        <v>62</v>
      </c>
      <c r="O2" s="57" t="s">
        <v>34</v>
      </c>
      <c r="P2" s="57" t="s">
        <v>63</v>
      </c>
      <c r="Q2" s="57" t="s">
        <v>34</v>
      </c>
      <c r="R2" s="57" t="s">
        <v>64</v>
      </c>
      <c r="S2" s="57" t="s">
        <v>34</v>
      </c>
      <c r="T2" s="57" t="s">
        <v>65</v>
      </c>
      <c r="U2" s="57" t="s">
        <v>34</v>
      </c>
      <c r="V2" s="57" t="s">
        <v>66</v>
      </c>
      <c r="W2" s="57" t="s">
        <v>34</v>
      </c>
      <c r="X2" s="57" t="s">
        <v>67</v>
      </c>
      <c r="Y2" s="57" t="s">
        <v>34</v>
      </c>
      <c r="Z2" s="57" t="s">
        <v>68</v>
      </c>
      <c r="AA2" s="57" t="s">
        <v>34</v>
      </c>
      <c r="AB2" s="57" t="s">
        <v>69</v>
      </c>
      <c r="AC2" s="57" t="s">
        <v>34</v>
      </c>
      <c r="AD2" s="69" t="s">
        <v>70</v>
      </c>
      <c r="AE2" s="71" t="s">
        <v>71</v>
      </c>
      <c r="AF2" s="55" t="s">
        <v>34</v>
      </c>
    </row>
    <row r="3" spans="1:38">
      <c r="A3" s="54" t="s">
        <v>36</v>
      </c>
      <c r="B3" s="116">
        <v>1553692</v>
      </c>
      <c r="C3" s="62"/>
      <c r="D3" s="116">
        <v>33504269</v>
      </c>
      <c r="E3" s="60"/>
      <c r="F3" s="116">
        <v>51929</v>
      </c>
      <c r="G3" s="60"/>
      <c r="H3" s="116">
        <v>94977</v>
      </c>
      <c r="I3" s="59"/>
      <c r="J3" s="117">
        <v>183341</v>
      </c>
      <c r="K3" s="62"/>
      <c r="L3" s="118">
        <v>104958</v>
      </c>
      <c r="M3" s="60"/>
      <c r="N3" s="116">
        <v>634747</v>
      </c>
      <c r="O3" s="62"/>
      <c r="P3" s="116">
        <v>166369</v>
      </c>
      <c r="Q3" s="60"/>
      <c r="R3" s="116">
        <v>948565</v>
      </c>
      <c r="S3" s="62"/>
      <c r="T3" s="116">
        <v>77395</v>
      </c>
      <c r="U3" s="60"/>
      <c r="V3" s="116">
        <v>302788</v>
      </c>
      <c r="W3" s="62"/>
      <c r="X3" s="114">
        <v>28453</v>
      </c>
      <c r="Y3" s="60"/>
      <c r="Z3" s="114">
        <v>714780</v>
      </c>
      <c r="AA3" s="62"/>
      <c r="AB3" s="76">
        <v>1410</v>
      </c>
      <c r="AC3" s="60"/>
      <c r="AD3" s="67"/>
      <c r="AE3" s="72"/>
      <c r="AF3" s="53"/>
    </row>
    <row r="4" spans="1:38">
      <c r="A4" s="52">
        <v>44621</v>
      </c>
      <c r="B4" s="116">
        <v>1553902</v>
      </c>
      <c r="C4" s="63">
        <f>IF((B4-B3)&lt;0,"0",(B4-B3))</f>
        <v>210</v>
      </c>
      <c r="D4" s="116">
        <v>33505250</v>
      </c>
      <c r="E4" s="60">
        <f>IF((D4-D3)&lt;0,"0",(D4-D3))</f>
        <v>981</v>
      </c>
      <c r="F4" s="116">
        <v>52102</v>
      </c>
      <c r="G4" s="60">
        <f>IF((F4-F3)&lt;0,"0",(F4-F3))</f>
        <v>173</v>
      </c>
      <c r="H4" s="116">
        <v>95008</v>
      </c>
      <c r="I4" s="60">
        <f>IF((H4-H3)&lt;0,"0",(H4-H3))</f>
        <v>31</v>
      </c>
      <c r="J4" s="117">
        <v>183367</v>
      </c>
      <c r="K4" s="63">
        <f>IF((J4-J3)&lt;0,"0",(J4-J3))</f>
        <v>26</v>
      </c>
      <c r="L4" s="118">
        <v>105013</v>
      </c>
      <c r="M4" s="60">
        <f>IF((L4-L3)&lt;0,"0",(L4-L3))</f>
        <v>55</v>
      </c>
      <c r="N4" s="116">
        <v>634775</v>
      </c>
      <c r="O4" s="63">
        <f>IF((N4-N3)&lt;0,"0",(N4-N3))</f>
        <v>28</v>
      </c>
      <c r="P4" s="116">
        <v>166400</v>
      </c>
      <c r="Q4" s="60">
        <f>IF((P4-P3)&lt;0,"0",(P4-P3))</f>
        <v>31</v>
      </c>
      <c r="R4" s="116">
        <v>948775</v>
      </c>
      <c r="S4" s="63">
        <f>IF((R4-R3)&lt;0,"0",(R4-R3))</f>
        <v>210</v>
      </c>
      <c r="T4" s="116">
        <v>77419</v>
      </c>
      <c r="U4" s="60">
        <f>IF((T4-T3)&lt;0,"0",(T4-T3))</f>
        <v>24</v>
      </c>
      <c r="V4" s="116">
        <v>302838</v>
      </c>
      <c r="W4" s="63">
        <f>IF((V4-V3)&lt;0,"0",(V4-V3))</f>
        <v>50</v>
      </c>
      <c r="X4" s="114">
        <v>28453</v>
      </c>
      <c r="Y4" s="60">
        <f>IF((X4-X3)&lt;0,"0",(X4-X3))</f>
        <v>0</v>
      </c>
      <c r="Z4" s="114">
        <v>714780</v>
      </c>
      <c r="AA4" s="63">
        <f>IF((Z4-Z3)&lt;0,"0",(Z4-Z3))</f>
        <v>0</v>
      </c>
      <c r="AB4" s="76">
        <v>1410</v>
      </c>
      <c r="AC4" s="60">
        <f>IF((AB4-AB3)&lt;0,"0",(AB4-AB3))</f>
        <v>0</v>
      </c>
      <c r="AD4" s="68">
        <f>C4+E4+G4+I4+K4+M4+O4+Q4+S4+U4+W4+Y4+AA4+AC4</f>
        <v>1819</v>
      </c>
      <c r="AE4" s="18">
        <v>0</v>
      </c>
      <c r="AF4" s="53">
        <f>IF((AE4-AE3)&lt;0,"0",(AE4-AE3))</f>
        <v>0</v>
      </c>
    </row>
    <row r="5" spans="1:38">
      <c r="A5" s="52">
        <v>44622</v>
      </c>
      <c r="B5" s="116">
        <v>1554166</v>
      </c>
      <c r="C5" s="63">
        <f t="shared" ref="C5:C33" si="0">IF((B5-B4)&lt;0,"0",(B5-B4))</f>
        <v>264</v>
      </c>
      <c r="D5" s="116">
        <v>33506246</v>
      </c>
      <c r="E5" s="60">
        <f t="shared" ref="E5:E33" si="1">IF((D5-D4)&lt;0,"0",(D5-D4))</f>
        <v>996</v>
      </c>
      <c r="F5" s="116">
        <v>52252</v>
      </c>
      <c r="G5" s="60">
        <f t="shared" ref="G5:G34" si="2">IF((F5-F4)&lt;0,"0",(F5-F4))</f>
        <v>150</v>
      </c>
      <c r="H5" s="116">
        <v>95033</v>
      </c>
      <c r="I5" s="60">
        <f t="shared" ref="I5:I33" si="3">IF((H5-H4)&lt;0,"0",(H5-H4))</f>
        <v>25</v>
      </c>
      <c r="J5" s="117">
        <v>183391</v>
      </c>
      <c r="K5" s="63">
        <f t="shared" ref="K5:K33" si="4">IF((J5-J4)&lt;0,"0",(J5-J4))</f>
        <v>24</v>
      </c>
      <c r="L5" s="118">
        <v>105074</v>
      </c>
      <c r="M5" s="60">
        <f t="shared" ref="M5:M33" si="5">IF((L5-L4)&lt;0,"0",(L5-L4))</f>
        <v>61</v>
      </c>
      <c r="N5" s="116">
        <v>634870</v>
      </c>
      <c r="O5" s="63">
        <f t="shared" ref="O5:O33" si="6">IF((N5-N4)&lt;0,"0",(N5-N4))</f>
        <v>95</v>
      </c>
      <c r="P5" s="116">
        <v>166425</v>
      </c>
      <c r="Q5" s="60">
        <f t="shared" ref="Q5:Q33" si="7">IF((P5-P4)&lt;0,"0",(P5-P4))</f>
        <v>25</v>
      </c>
      <c r="R5" s="116">
        <v>948965</v>
      </c>
      <c r="S5" s="63">
        <f t="shared" ref="S5:S33" si="8">IF((R5-R4)&lt;0,"0",(R5-R4))</f>
        <v>190</v>
      </c>
      <c r="T5" s="116">
        <v>77445</v>
      </c>
      <c r="U5" s="60">
        <f t="shared" ref="U5:U33" si="9">IF((T5-T4)&lt;0,"0",(T5-T4))</f>
        <v>26</v>
      </c>
      <c r="V5" s="116">
        <v>302888</v>
      </c>
      <c r="W5" s="63">
        <f t="shared" ref="W5:W33" si="10">IF((V5-V4)&lt;0,"0",(V5-V4))</f>
        <v>50</v>
      </c>
      <c r="X5" s="114">
        <v>28453</v>
      </c>
      <c r="Y5" s="60">
        <f t="shared" ref="Y5:Y33" si="11">IF((X5-X4)&lt;0,"0",(X5-X4))</f>
        <v>0</v>
      </c>
      <c r="Z5" s="114">
        <v>714780</v>
      </c>
      <c r="AA5" s="63">
        <f t="shared" ref="AA5:AA33" si="12">IF((Z5-Z4)&lt;0,"0",(Z5-Z4))</f>
        <v>0</v>
      </c>
      <c r="AB5" s="76">
        <v>1410</v>
      </c>
      <c r="AC5" s="60">
        <f t="shared" ref="AC5:AC33" si="13">IF((AB5-AB4)&lt;0,"0",(AB5-AB4))</f>
        <v>0</v>
      </c>
      <c r="AD5" s="70">
        <f t="shared" ref="AD5:AD30" si="14">C5+E5+G5+I5+K5+M5+O5+Q5+S5+U5+W5+Y5+AA5+AC5</f>
        <v>1906</v>
      </c>
      <c r="AE5" s="18">
        <v>0</v>
      </c>
      <c r="AF5" s="53">
        <f t="shared" ref="AF5:AF33" si="15">IF((AE5-AE4)&lt;0,"0",(AE5-AE4))</f>
        <v>0</v>
      </c>
    </row>
    <row r="6" spans="1:38">
      <c r="A6" s="52">
        <v>44623</v>
      </c>
      <c r="B6" s="116">
        <v>1554366</v>
      </c>
      <c r="C6" s="63">
        <f t="shared" si="0"/>
        <v>200</v>
      </c>
      <c r="D6" s="116">
        <v>33507175</v>
      </c>
      <c r="E6" s="60">
        <f t="shared" si="1"/>
        <v>929</v>
      </c>
      <c r="F6" s="116">
        <v>52406</v>
      </c>
      <c r="G6" s="60">
        <f t="shared" si="2"/>
        <v>154</v>
      </c>
      <c r="H6" s="116">
        <v>95058</v>
      </c>
      <c r="I6" s="60">
        <f t="shared" si="3"/>
        <v>25</v>
      </c>
      <c r="J6" s="117">
        <v>183420</v>
      </c>
      <c r="K6" s="63">
        <f t="shared" si="4"/>
        <v>29</v>
      </c>
      <c r="L6" s="118">
        <v>105145</v>
      </c>
      <c r="M6" s="60">
        <f t="shared" si="5"/>
        <v>71</v>
      </c>
      <c r="N6" s="116">
        <v>634982</v>
      </c>
      <c r="O6" s="63">
        <f t="shared" si="6"/>
        <v>112</v>
      </c>
      <c r="P6" s="116">
        <v>166454</v>
      </c>
      <c r="Q6" s="60">
        <f t="shared" si="7"/>
        <v>29</v>
      </c>
      <c r="R6" s="116">
        <v>949145</v>
      </c>
      <c r="S6" s="63">
        <f t="shared" si="8"/>
        <v>180</v>
      </c>
      <c r="T6" s="116">
        <v>77469</v>
      </c>
      <c r="U6" s="60">
        <f t="shared" si="9"/>
        <v>24</v>
      </c>
      <c r="V6" s="116">
        <v>302941</v>
      </c>
      <c r="W6" s="63">
        <f t="shared" si="10"/>
        <v>53</v>
      </c>
      <c r="X6" s="114">
        <v>28453</v>
      </c>
      <c r="Y6" s="60">
        <f t="shared" si="11"/>
        <v>0</v>
      </c>
      <c r="Z6" s="114">
        <v>714780</v>
      </c>
      <c r="AA6" s="63">
        <f t="shared" si="12"/>
        <v>0</v>
      </c>
      <c r="AB6" s="76">
        <v>1410</v>
      </c>
      <c r="AC6" s="60">
        <f t="shared" si="13"/>
        <v>0</v>
      </c>
      <c r="AD6" s="70">
        <f t="shared" si="14"/>
        <v>1806</v>
      </c>
      <c r="AE6" s="18">
        <v>0</v>
      </c>
      <c r="AF6" s="53">
        <f t="shared" si="15"/>
        <v>0</v>
      </c>
    </row>
    <row r="7" spans="1:38">
      <c r="A7" s="52">
        <v>44624</v>
      </c>
      <c r="B7" s="116">
        <v>1554584</v>
      </c>
      <c r="C7" s="63">
        <f t="shared" si="0"/>
        <v>218</v>
      </c>
      <c r="D7" s="116">
        <v>33508066</v>
      </c>
      <c r="E7" s="60">
        <f t="shared" si="1"/>
        <v>891</v>
      </c>
      <c r="F7" s="116">
        <v>52563</v>
      </c>
      <c r="G7" s="60">
        <f t="shared" si="2"/>
        <v>157</v>
      </c>
      <c r="H7" s="116">
        <v>95085</v>
      </c>
      <c r="I7" s="60">
        <f t="shared" si="3"/>
        <v>27</v>
      </c>
      <c r="J7" s="117">
        <v>183449</v>
      </c>
      <c r="K7" s="63">
        <f t="shared" si="4"/>
        <v>29</v>
      </c>
      <c r="L7" s="118">
        <v>105210</v>
      </c>
      <c r="M7" s="60">
        <f t="shared" si="5"/>
        <v>65</v>
      </c>
      <c r="N7" s="116">
        <v>635097</v>
      </c>
      <c r="O7" s="63">
        <f t="shared" si="6"/>
        <v>115</v>
      </c>
      <c r="P7" s="116">
        <v>166477</v>
      </c>
      <c r="Q7" s="60">
        <f t="shared" si="7"/>
        <v>23</v>
      </c>
      <c r="R7" s="116">
        <v>949361</v>
      </c>
      <c r="S7" s="63">
        <f t="shared" si="8"/>
        <v>216</v>
      </c>
      <c r="T7" s="116">
        <v>77499</v>
      </c>
      <c r="U7" s="60">
        <f t="shared" si="9"/>
        <v>30</v>
      </c>
      <c r="V7" s="116">
        <v>302993</v>
      </c>
      <c r="W7" s="63">
        <f t="shared" si="10"/>
        <v>52</v>
      </c>
      <c r="X7" s="114">
        <v>28453</v>
      </c>
      <c r="Y7" s="60">
        <f t="shared" si="11"/>
        <v>0</v>
      </c>
      <c r="Z7" s="114">
        <v>714780</v>
      </c>
      <c r="AA7" s="63">
        <f t="shared" si="12"/>
        <v>0</v>
      </c>
      <c r="AB7" s="76">
        <v>1410</v>
      </c>
      <c r="AC7" s="60">
        <f t="shared" si="13"/>
        <v>0</v>
      </c>
      <c r="AD7" s="70">
        <f t="shared" si="14"/>
        <v>1823</v>
      </c>
      <c r="AE7" s="18">
        <v>0</v>
      </c>
      <c r="AF7" s="53">
        <f t="shared" si="15"/>
        <v>0</v>
      </c>
    </row>
    <row r="8" spans="1:38">
      <c r="A8" s="52">
        <v>44625</v>
      </c>
      <c r="B8" s="116">
        <v>1554835</v>
      </c>
      <c r="C8" s="63">
        <f t="shared" si="0"/>
        <v>251</v>
      </c>
      <c r="D8" s="116">
        <v>33508913</v>
      </c>
      <c r="E8" s="60">
        <f t="shared" si="1"/>
        <v>847</v>
      </c>
      <c r="F8" s="116">
        <v>52726</v>
      </c>
      <c r="G8" s="60">
        <f t="shared" si="2"/>
        <v>163</v>
      </c>
      <c r="H8" s="116">
        <v>95113</v>
      </c>
      <c r="I8" s="60">
        <f t="shared" si="3"/>
        <v>28</v>
      </c>
      <c r="J8" s="117">
        <v>183475</v>
      </c>
      <c r="K8" s="63">
        <f t="shared" si="4"/>
        <v>26</v>
      </c>
      <c r="L8" s="118">
        <v>105256</v>
      </c>
      <c r="M8" s="60">
        <f t="shared" si="5"/>
        <v>46</v>
      </c>
      <c r="N8" s="116">
        <v>635217</v>
      </c>
      <c r="O8" s="63">
        <f t="shared" si="6"/>
        <v>120</v>
      </c>
      <c r="P8" s="116">
        <v>166510</v>
      </c>
      <c r="Q8" s="60">
        <f t="shared" si="7"/>
        <v>33</v>
      </c>
      <c r="R8" s="116">
        <v>949594</v>
      </c>
      <c r="S8" s="63">
        <f t="shared" si="8"/>
        <v>233</v>
      </c>
      <c r="T8" s="116">
        <v>77533</v>
      </c>
      <c r="U8" s="60">
        <f t="shared" si="9"/>
        <v>34</v>
      </c>
      <c r="V8" s="116">
        <v>303046</v>
      </c>
      <c r="W8" s="63">
        <f t="shared" si="10"/>
        <v>53</v>
      </c>
      <c r="X8" s="114">
        <v>28453</v>
      </c>
      <c r="Y8" s="60">
        <f t="shared" si="11"/>
        <v>0</v>
      </c>
      <c r="Z8" s="114">
        <v>714780</v>
      </c>
      <c r="AA8" s="63">
        <f t="shared" si="12"/>
        <v>0</v>
      </c>
      <c r="AB8" s="76">
        <v>1410</v>
      </c>
      <c r="AC8" s="60">
        <f t="shared" si="13"/>
        <v>0</v>
      </c>
      <c r="AD8" s="70">
        <f t="shared" si="14"/>
        <v>1834</v>
      </c>
      <c r="AE8" s="18">
        <v>0</v>
      </c>
      <c r="AF8" s="53">
        <f t="shared" si="15"/>
        <v>0</v>
      </c>
    </row>
    <row r="9" spans="1:38">
      <c r="A9" s="52">
        <v>44626</v>
      </c>
      <c r="B9" s="116">
        <v>1555038</v>
      </c>
      <c r="C9" s="63">
        <f t="shared" si="0"/>
        <v>203</v>
      </c>
      <c r="D9" s="116">
        <v>33509901</v>
      </c>
      <c r="E9" s="60">
        <f t="shared" si="1"/>
        <v>988</v>
      </c>
      <c r="F9" s="116">
        <v>52863</v>
      </c>
      <c r="G9" s="60">
        <f t="shared" si="2"/>
        <v>137</v>
      </c>
      <c r="H9" s="116">
        <v>95132</v>
      </c>
      <c r="I9" s="60">
        <f t="shared" si="3"/>
        <v>19</v>
      </c>
      <c r="J9" s="117">
        <v>183475</v>
      </c>
      <c r="K9" s="63">
        <f t="shared" si="4"/>
        <v>0</v>
      </c>
      <c r="L9" s="118">
        <v>105303</v>
      </c>
      <c r="M9" s="60">
        <f t="shared" si="5"/>
        <v>47</v>
      </c>
      <c r="N9" s="116">
        <v>635265</v>
      </c>
      <c r="O9" s="63">
        <f t="shared" si="6"/>
        <v>48</v>
      </c>
      <c r="P9" s="116">
        <v>166541</v>
      </c>
      <c r="Q9" s="60">
        <f t="shared" si="7"/>
        <v>31</v>
      </c>
      <c r="R9" s="116">
        <v>949781</v>
      </c>
      <c r="S9" s="63">
        <f t="shared" si="8"/>
        <v>187</v>
      </c>
      <c r="T9" s="116">
        <v>77559</v>
      </c>
      <c r="U9" s="60">
        <f t="shared" si="9"/>
        <v>26</v>
      </c>
      <c r="V9" s="116">
        <v>303092</v>
      </c>
      <c r="W9" s="63">
        <f t="shared" si="10"/>
        <v>46</v>
      </c>
      <c r="X9" s="114">
        <v>28453</v>
      </c>
      <c r="Y9" s="60">
        <f t="shared" si="11"/>
        <v>0</v>
      </c>
      <c r="Z9" s="114">
        <v>714780</v>
      </c>
      <c r="AA9" s="63">
        <f t="shared" si="12"/>
        <v>0</v>
      </c>
      <c r="AB9" s="76">
        <v>1410</v>
      </c>
      <c r="AC9" s="60">
        <f t="shared" si="13"/>
        <v>0</v>
      </c>
      <c r="AD9" s="70">
        <f t="shared" si="14"/>
        <v>1732</v>
      </c>
      <c r="AE9" s="18">
        <v>0</v>
      </c>
      <c r="AF9" s="53">
        <f t="shared" si="15"/>
        <v>0</v>
      </c>
    </row>
    <row r="10" spans="1:38">
      <c r="A10" s="52">
        <v>44627</v>
      </c>
      <c r="B10" s="116">
        <v>1555323</v>
      </c>
      <c r="C10" s="63">
        <f t="shared" si="0"/>
        <v>285</v>
      </c>
      <c r="D10" s="116">
        <v>33510833</v>
      </c>
      <c r="E10" s="60">
        <f t="shared" si="1"/>
        <v>932</v>
      </c>
      <c r="F10" s="116">
        <v>53014</v>
      </c>
      <c r="G10" s="60">
        <f t="shared" si="2"/>
        <v>151</v>
      </c>
      <c r="H10" s="116">
        <v>95159</v>
      </c>
      <c r="I10" s="60">
        <f t="shared" si="3"/>
        <v>27</v>
      </c>
      <c r="J10" s="117">
        <v>183475</v>
      </c>
      <c r="K10" s="63">
        <f t="shared" si="4"/>
        <v>0</v>
      </c>
      <c r="L10" s="118">
        <v>105364</v>
      </c>
      <c r="M10" s="60">
        <f t="shared" si="5"/>
        <v>61</v>
      </c>
      <c r="N10" s="116">
        <v>635341</v>
      </c>
      <c r="O10" s="63">
        <f t="shared" si="6"/>
        <v>76</v>
      </c>
      <c r="P10" s="116">
        <v>166571</v>
      </c>
      <c r="Q10" s="60">
        <f t="shared" si="7"/>
        <v>30</v>
      </c>
      <c r="R10" s="116">
        <v>949999</v>
      </c>
      <c r="S10" s="63">
        <f t="shared" si="8"/>
        <v>218</v>
      </c>
      <c r="T10" s="116">
        <v>77589</v>
      </c>
      <c r="U10" s="60">
        <f t="shared" si="9"/>
        <v>30</v>
      </c>
      <c r="V10" s="116">
        <v>303141</v>
      </c>
      <c r="W10" s="63">
        <f t="shared" si="10"/>
        <v>49</v>
      </c>
      <c r="X10" s="114">
        <v>28453</v>
      </c>
      <c r="Y10" s="60">
        <f t="shared" si="11"/>
        <v>0</v>
      </c>
      <c r="Z10" s="114">
        <v>714780</v>
      </c>
      <c r="AA10" s="63">
        <f t="shared" si="12"/>
        <v>0</v>
      </c>
      <c r="AB10" s="76">
        <v>1410</v>
      </c>
      <c r="AC10" s="60">
        <f t="shared" si="13"/>
        <v>0</v>
      </c>
      <c r="AD10" s="70">
        <f t="shared" si="14"/>
        <v>1859</v>
      </c>
      <c r="AE10" s="18">
        <v>0</v>
      </c>
      <c r="AF10" s="53">
        <f t="shared" si="15"/>
        <v>0</v>
      </c>
    </row>
    <row r="11" spans="1:38">
      <c r="A11" s="52">
        <v>44628</v>
      </c>
      <c r="B11" s="116">
        <v>1555534</v>
      </c>
      <c r="C11" s="63">
        <f t="shared" si="0"/>
        <v>211</v>
      </c>
      <c r="D11" s="116">
        <v>33511845</v>
      </c>
      <c r="E11" s="60">
        <f>IF((D11-D10)&lt;0,"0",(D11-D10))</f>
        <v>1012</v>
      </c>
      <c r="F11" s="116">
        <v>53161</v>
      </c>
      <c r="G11" s="60">
        <f t="shared" si="2"/>
        <v>147</v>
      </c>
      <c r="H11" s="116">
        <v>95181</v>
      </c>
      <c r="I11" s="60">
        <f t="shared" si="3"/>
        <v>22</v>
      </c>
      <c r="J11" s="117">
        <v>183497</v>
      </c>
      <c r="K11" s="63">
        <f t="shared" si="4"/>
        <v>22</v>
      </c>
      <c r="L11" s="118">
        <v>105420</v>
      </c>
      <c r="M11" s="60">
        <f t="shared" si="5"/>
        <v>56</v>
      </c>
      <c r="N11" s="116">
        <v>635424</v>
      </c>
      <c r="O11" s="63">
        <f t="shared" si="6"/>
        <v>83</v>
      </c>
      <c r="P11" s="116">
        <v>166598</v>
      </c>
      <c r="Q11" s="60">
        <f t="shared" si="7"/>
        <v>27</v>
      </c>
      <c r="R11" s="116">
        <v>950170</v>
      </c>
      <c r="S11" s="63">
        <f t="shared" si="8"/>
        <v>171</v>
      </c>
      <c r="T11" s="116">
        <v>77619</v>
      </c>
      <c r="U11" s="60">
        <f t="shared" si="9"/>
        <v>30</v>
      </c>
      <c r="V11" s="116">
        <v>303195</v>
      </c>
      <c r="W11" s="63">
        <f t="shared" si="10"/>
        <v>54</v>
      </c>
      <c r="X11" s="114">
        <v>28453</v>
      </c>
      <c r="Y11" s="60">
        <f t="shared" si="11"/>
        <v>0</v>
      </c>
      <c r="Z11" s="114">
        <v>714780</v>
      </c>
      <c r="AA11" s="63">
        <f t="shared" si="12"/>
        <v>0</v>
      </c>
      <c r="AB11" s="76">
        <v>1410</v>
      </c>
      <c r="AC11" s="60">
        <f t="shared" si="13"/>
        <v>0</v>
      </c>
      <c r="AD11" s="70">
        <f t="shared" si="14"/>
        <v>1835</v>
      </c>
      <c r="AE11" s="18">
        <v>0</v>
      </c>
      <c r="AF11" s="53">
        <f t="shared" si="15"/>
        <v>0</v>
      </c>
    </row>
    <row r="12" spans="1:38">
      <c r="A12" s="52">
        <v>44629</v>
      </c>
      <c r="B12" s="116">
        <v>1555792</v>
      </c>
      <c r="C12" s="63">
        <f t="shared" si="0"/>
        <v>258</v>
      </c>
      <c r="D12" s="116">
        <v>33513022</v>
      </c>
      <c r="E12" s="60">
        <f>IF((D12-D11)&lt;0,"0",(D12-D11))</f>
        <v>1177</v>
      </c>
      <c r="F12" s="116">
        <v>53314</v>
      </c>
      <c r="G12" s="60">
        <f t="shared" si="2"/>
        <v>153</v>
      </c>
      <c r="H12" s="116">
        <v>95203</v>
      </c>
      <c r="I12" s="60">
        <f t="shared" si="3"/>
        <v>22</v>
      </c>
      <c r="J12" s="117">
        <v>183521</v>
      </c>
      <c r="K12" s="63">
        <f t="shared" si="4"/>
        <v>24</v>
      </c>
      <c r="L12" s="118">
        <v>105480</v>
      </c>
      <c r="M12" s="60">
        <f t="shared" si="5"/>
        <v>60</v>
      </c>
      <c r="N12" s="116">
        <v>635510</v>
      </c>
      <c r="O12" s="63">
        <f t="shared" si="6"/>
        <v>86</v>
      </c>
      <c r="P12" s="116">
        <v>166630</v>
      </c>
      <c r="Q12" s="60">
        <f t="shared" si="7"/>
        <v>32</v>
      </c>
      <c r="R12" s="116">
        <v>950274</v>
      </c>
      <c r="S12" s="63">
        <f t="shared" si="8"/>
        <v>104</v>
      </c>
      <c r="T12" s="116">
        <v>77653</v>
      </c>
      <c r="U12" s="60">
        <f t="shared" si="9"/>
        <v>34</v>
      </c>
      <c r="V12" s="116">
        <v>303238</v>
      </c>
      <c r="W12" s="63">
        <f t="shared" si="10"/>
        <v>43</v>
      </c>
      <c r="X12" s="114">
        <v>28453</v>
      </c>
      <c r="Y12" s="60">
        <f t="shared" si="11"/>
        <v>0</v>
      </c>
      <c r="Z12" s="114">
        <v>714780</v>
      </c>
      <c r="AA12" s="63">
        <f t="shared" si="12"/>
        <v>0</v>
      </c>
      <c r="AB12" s="76">
        <v>1410</v>
      </c>
      <c r="AC12" s="60">
        <f t="shared" si="13"/>
        <v>0</v>
      </c>
      <c r="AD12" s="70">
        <f t="shared" si="14"/>
        <v>1993</v>
      </c>
      <c r="AE12" s="18">
        <v>0</v>
      </c>
      <c r="AF12" s="53">
        <f t="shared" si="15"/>
        <v>0</v>
      </c>
    </row>
    <row r="13" spans="1:38">
      <c r="A13" s="52">
        <v>44630</v>
      </c>
      <c r="B13" s="116">
        <v>1555977</v>
      </c>
      <c r="C13" s="63">
        <f t="shared" si="0"/>
        <v>185</v>
      </c>
      <c r="D13" s="116">
        <v>33514188</v>
      </c>
      <c r="E13" s="60">
        <f>IF((D13-D12)&lt;0,"0",(D13-D12))</f>
        <v>1166</v>
      </c>
      <c r="F13" s="116">
        <v>53474</v>
      </c>
      <c r="G13" s="60">
        <f t="shared" si="2"/>
        <v>160</v>
      </c>
      <c r="H13" s="116">
        <v>95228</v>
      </c>
      <c r="I13" s="60">
        <f t="shared" si="3"/>
        <v>25</v>
      </c>
      <c r="J13" s="117">
        <v>183548</v>
      </c>
      <c r="K13" s="63">
        <f t="shared" si="4"/>
        <v>27</v>
      </c>
      <c r="L13" s="118">
        <v>105536</v>
      </c>
      <c r="M13" s="60">
        <f t="shared" si="5"/>
        <v>56</v>
      </c>
      <c r="N13" s="116">
        <v>635647</v>
      </c>
      <c r="O13" s="63">
        <f t="shared" si="6"/>
        <v>137</v>
      </c>
      <c r="P13" s="116">
        <v>166664</v>
      </c>
      <c r="Q13" s="60">
        <f t="shared" si="7"/>
        <v>34</v>
      </c>
      <c r="R13" s="116">
        <v>950534</v>
      </c>
      <c r="S13" s="63">
        <f t="shared" si="8"/>
        <v>260</v>
      </c>
      <c r="T13" s="116">
        <v>77676</v>
      </c>
      <c r="U13" s="60">
        <f t="shared" si="9"/>
        <v>23</v>
      </c>
      <c r="V13" s="116">
        <v>303298</v>
      </c>
      <c r="W13" s="63">
        <f t="shared" si="10"/>
        <v>60</v>
      </c>
      <c r="X13" s="114">
        <v>28453</v>
      </c>
      <c r="Y13" s="60">
        <f t="shared" si="11"/>
        <v>0</v>
      </c>
      <c r="Z13" s="114">
        <v>714780</v>
      </c>
      <c r="AA13" s="63">
        <f t="shared" si="12"/>
        <v>0</v>
      </c>
      <c r="AB13" s="76">
        <v>1410</v>
      </c>
      <c r="AC13" s="60">
        <f t="shared" si="13"/>
        <v>0</v>
      </c>
      <c r="AD13" s="70">
        <f t="shared" si="14"/>
        <v>2133</v>
      </c>
      <c r="AE13" s="18">
        <v>0</v>
      </c>
      <c r="AF13" s="53">
        <f t="shared" si="15"/>
        <v>0</v>
      </c>
    </row>
    <row r="14" spans="1:38">
      <c r="A14" s="52">
        <v>44631</v>
      </c>
      <c r="B14" s="116">
        <v>1556207</v>
      </c>
      <c r="C14" s="63">
        <f t="shared" si="0"/>
        <v>230</v>
      </c>
      <c r="D14" s="116">
        <v>33515466</v>
      </c>
      <c r="E14" s="60">
        <f t="shared" si="1"/>
        <v>1278</v>
      </c>
      <c r="F14" s="116">
        <v>53657</v>
      </c>
      <c r="G14" s="60">
        <f t="shared" si="2"/>
        <v>183</v>
      </c>
      <c r="H14" s="116">
        <v>95264</v>
      </c>
      <c r="I14" s="60">
        <f t="shared" si="3"/>
        <v>36</v>
      </c>
      <c r="J14" s="117">
        <v>183570</v>
      </c>
      <c r="K14" s="63">
        <f t="shared" si="4"/>
        <v>22</v>
      </c>
      <c r="L14" s="118">
        <v>105598</v>
      </c>
      <c r="M14" s="60">
        <f t="shared" si="5"/>
        <v>62</v>
      </c>
      <c r="N14" s="116">
        <v>635760</v>
      </c>
      <c r="O14" s="63">
        <f t="shared" si="6"/>
        <v>113</v>
      </c>
      <c r="P14" s="116">
        <v>166697</v>
      </c>
      <c r="Q14" s="60">
        <f t="shared" si="7"/>
        <v>33</v>
      </c>
      <c r="R14" s="116">
        <v>950786</v>
      </c>
      <c r="S14" s="63">
        <f t="shared" si="8"/>
        <v>252</v>
      </c>
      <c r="T14" s="116">
        <v>77699</v>
      </c>
      <c r="U14" s="60">
        <f t="shared" si="9"/>
        <v>23</v>
      </c>
      <c r="V14" s="116">
        <v>303351</v>
      </c>
      <c r="W14" s="63">
        <f t="shared" si="10"/>
        <v>53</v>
      </c>
      <c r="X14" s="114">
        <v>28453</v>
      </c>
      <c r="Y14" s="60">
        <f t="shared" si="11"/>
        <v>0</v>
      </c>
      <c r="Z14" s="114">
        <v>714780</v>
      </c>
      <c r="AA14" s="63">
        <f t="shared" si="12"/>
        <v>0</v>
      </c>
      <c r="AB14" s="76">
        <v>1410</v>
      </c>
      <c r="AC14" s="60">
        <f t="shared" si="13"/>
        <v>0</v>
      </c>
      <c r="AD14" s="70">
        <f t="shared" si="14"/>
        <v>2285</v>
      </c>
      <c r="AE14" s="18">
        <v>0</v>
      </c>
      <c r="AF14" s="53">
        <f t="shared" si="15"/>
        <v>0</v>
      </c>
    </row>
    <row r="15" spans="1:38">
      <c r="A15" s="52">
        <v>44632</v>
      </c>
      <c r="B15" s="116">
        <v>1556444</v>
      </c>
      <c r="C15" s="63">
        <f t="shared" si="0"/>
        <v>237</v>
      </c>
      <c r="D15" s="116">
        <v>33516483</v>
      </c>
      <c r="E15" s="60">
        <f t="shared" si="1"/>
        <v>1017</v>
      </c>
      <c r="F15" s="116">
        <v>53801</v>
      </c>
      <c r="G15" s="60">
        <f t="shared" si="2"/>
        <v>144</v>
      </c>
      <c r="H15" s="116">
        <v>95290</v>
      </c>
      <c r="I15" s="60">
        <f t="shared" si="3"/>
        <v>26</v>
      </c>
      <c r="J15" s="117">
        <v>183592</v>
      </c>
      <c r="K15" s="63">
        <f t="shared" si="4"/>
        <v>22</v>
      </c>
      <c r="L15" s="118">
        <v>105661</v>
      </c>
      <c r="M15" s="60">
        <f t="shared" si="5"/>
        <v>63</v>
      </c>
      <c r="N15" s="116">
        <v>635791</v>
      </c>
      <c r="O15" s="63">
        <f t="shared" si="6"/>
        <v>31</v>
      </c>
      <c r="P15" s="116">
        <v>166729</v>
      </c>
      <c r="Q15" s="60">
        <f t="shared" si="7"/>
        <v>32</v>
      </c>
      <c r="R15" s="116">
        <v>951012</v>
      </c>
      <c r="S15" s="63">
        <f t="shared" si="8"/>
        <v>226</v>
      </c>
      <c r="T15" s="116">
        <v>77721</v>
      </c>
      <c r="U15" s="60">
        <f t="shared" si="9"/>
        <v>22</v>
      </c>
      <c r="V15" s="116">
        <v>303402</v>
      </c>
      <c r="W15" s="63">
        <f t="shared" si="10"/>
        <v>51</v>
      </c>
      <c r="X15" s="114">
        <v>28453</v>
      </c>
      <c r="Y15" s="60">
        <f t="shared" si="11"/>
        <v>0</v>
      </c>
      <c r="Z15" s="114">
        <v>714780</v>
      </c>
      <c r="AA15" s="63">
        <f t="shared" si="12"/>
        <v>0</v>
      </c>
      <c r="AB15" s="76">
        <v>1410</v>
      </c>
      <c r="AC15" s="60">
        <f t="shared" si="13"/>
        <v>0</v>
      </c>
      <c r="AD15" s="70">
        <f t="shared" si="14"/>
        <v>1871</v>
      </c>
      <c r="AE15" s="18">
        <v>0</v>
      </c>
      <c r="AF15" s="53">
        <f t="shared" si="15"/>
        <v>0</v>
      </c>
    </row>
    <row r="16" spans="1:38">
      <c r="A16" s="52">
        <v>44633</v>
      </c>
      <c r="B16" s="116">
        <v>1556746</v>
      </c>
      <c r="C16" s="63">
        <f t="shared" si="0"/>
        <v>302</v>
      </c>
      <c r="D16" s="116">
        <v>33517737</v>
      </c>
      <c r="E16" s="60">
        <f t="shared" si="1"/>
        <v>1254</v>
      </c>
      <c r="F16" s="116">
        <v>53962</v>
      </c>
      <c r="G16" s="60">
        <f t="shared" si="2"/>
        <v>161</v>
      </c>
      <c r="H16" s="116">
        <v>95312</v>
      </c>
      <c r="I16" s="60">
        <f t="shared" si="3"/>
        <v>22</v>
      </c>
      <c r="J16" s="117">
        <v>183592</v>
      </c>
      <c r="K16" s="63">
        <f t="shared" si="4"/>
        <v>0</v>
      </c>
      <c r="L16" s="118">
        <v>105727</v>
      </c>
      <c r="M16" s="60">
        <f t="shared" si="5"/>
        <v>66</v>
      </c>
      <c r="N16" s="116">
        <v>635856</v>
      </c>
      <c r="O16" s="63">
        <f t="shared" si="6"/>
        <v>65</v>
      </c>
      <c r="P16" s="116">
        <v>166763</v>
      </c>
      <c r="Q16" s="60">
        <f t="shared" si="7"/>
        <v>34</v>
      </c>
      <c r="R16" s="116">
        <v>951231</v>
      </c>
      <c r="S16" s="63">
        <f t="shared" si="8"/>
        <v>219</v>
      </c>
      <c r="T16" s="116">
        <v>77744</v>
      </c>
      <c r="U16" s="60">
        <f t="shared" si="9"/>
        <v>23</v>
      </c>
      <c r="V16" s="116">
        <v>303451</v>
      </c>
      <c r="W16" s="63">
        <f t="shared" si="10"/>
        <v>49</v>
      </c>
      <c r="X16" s="114">
        <v>28453</v>
      </c>
      <c r="Y16" s="60">
        <f t="shared" si="11"/>
        <v>0</v>
      </c>
      <c r="Z16" s="114">
        <v>714780</v>
      </c>
      <c r="AA16" s="63">
        <f t="shared" si="12"/>
        <v>0</v>
      </c>
      <c r="AB16" s="76">
        <v>1410</v>
      </c>
      <c r="AC16" s="60">
        <f t="shared" si="13"/>
        <v>0</v>
      </c>
      <c r="AD16" s="70">
        <f t="shared" si="14"/>
        <v>2195</v>
      </c>
      <c r="AE16" s="18">
        <v>0</v>
      </c>
      <c r="AF16" s="53">
        <f t="shared" si="15"/>
        <v>0</v>
      </c>
      <c r="AL16" t="s">
        <v>72</v>
      </c>
    </row>
    <row r="17" spans="1:38">
      <c r="A17" s="52">
        <v>44634</v>
      </c>
      <c r="B17" s="116">
        <v>1556902</v>
      </c>
      <c r="C17" s="63">
        <f t="shared" si="0"/>
        <v>156</v>
      </c>
      <c r="D17" s="116">
        <v>33519218</v>
      </c>
      <c r="E17" s="60">
        <f t="shared" si="1"/>
        <v>1481</v>
      </c>
      <c r="F17" s="116">
        <v>54082</v>
      </c>
      <c r="G17" s="60">
        <f t="shared" si="2"/>
        <v>120</v>
      </c>
      <c r="H17" s="116">
        <v>95340</v>
      </c>
      <c r="I17" s="60">
        <f t="shared" si="3"/>
        <v>28</v>
      </c>
      <c r="J17" s="117">
        <v>183593</v>
      </c>
      <c r="K17" s="63">
        <f t="shared" si="4"/>
        <v>1</v>
      </c>
      <c r="L17" s="118">
        <v>105785</v>
      </c>
      <c r="M17" s="60">
        <f t="shared" si="5"/>
        <v>58</v>
      </c>
      <c r="N17" s="116">
        <v>635982</v>
      </c>
      <c r="O17" s="63">
        <f t="shared" si="6"/>
        <v>126</v>
      </c>
      <c r="P17" s="116">
        <v>166797</v>
      </c>
      <c r="Q17" s="60">
        <f t="shared" si="7"/>
        <v>34</v>
      </c>
      <c r="R17" s="116">
        <v>951287</v>
      </c>
      <c r="S17" s="63">
        <f t="shared" si="8"/>
        <v>56</v>
      </c>
      <c r="T17" s="116">
        <v>77772</v>
      </c>
      <c r="U17" s="60">
        <f t="shared" si="9"/>
        <v>28</v>
      </c>
      <c r="V17" s="116">
        <v>303498</v>
      </c>
      <c r="W17" s="63">
        <f t="shared" si="10"/>
        <v>47</v>
      </c>
      <c r="X17" s="114">
        <v>28453</v>
      </c>
      <c r="Y17" s="60">
        <f t="shared" si="11"/>
        <v>0</v>
      </c>
      <c r="Z17" s="114">
        <v>714780</v>
      </c>
      <c r="AA17" s="63">
        <f t="shared" si="12"/>
        <v>0</v>
      </c>
      <c r="AB17" s="76">
        <v>1410</v>
      </c>
      <c r="AC17" s="60">
        <f t="shared" si="13"/>
        <v>0</v>
      </c>
      <c r="AD17" s="70">
        <f t="shared" si="14"/>
        <v>2135</v>
      </c>
      <c r="AE17" s="18">
        <v>0</v>
      </c>
      <c r="AF17" s="53">
        <f t="shared" si="15"/>
        <v>0</v>
      </c>
    </row>
    <row r="18" spans="1:38">
      <c r="A18" s="52">
        <v>44635</v>
      </c>
      <c r="B18" s="116">
        <v>1557187</v>
      </c>
      <c r="C18" s="63">
        <f t="shared" si="0"/>
        <v>285</v>
      </c>
      <c r="D18" s="116">
        <v>33520455</v>
      </c>
      <c r="E18" s="60">
        <f t="shared" si="1"/>
        <v>1237</v>
      </c>
      <c r="F18" s="116">
        <v>54201</v>
      </c>
      <c r="G18" s="60">
        <f t="shared" si="2"/>
        <v>119</v>
      </c>
      <c r="H18" s="116">
        <v>95371</v>
      </c>
      <c r="I18" s="60">
        <f t="shared" si="3"/>
        <v>31</v>
      </c>
      <c r="J18" s="117">
        <v>183635</v>
      </c>
      <c r="K18" s="63">
        <f t="shared" si="4"/>
        <v>42</v>
      </c>
      <c r="L18" s="118">
        <v>105843</v>
      </c>
      <c r="M18" s="60">
        <f t="shared" si="5"/>
        <v>58</v>
      </c>
      <c r="N18" s="116">
        <v>636111</v>
      </c>
      <c r="O18" s="63">
        <f t="shared" si="6"/>
        <v>129</v>
      </c>
      <c r="P18" s="116">
        <v>166826</v>
      </c>
      <c r="Q18" s="60">
        <f t="shared" si="7"/>
        <v>29</v>
      </c>
      <c r="R18" s="116">
        <v>951597</v>
      </c>
      <c r="S18" s="63">
        <f t="shared" si="8"/>
        <v>310</v>
      </c>
      <c r="T18" s="116">
        <v>77800</v>
      </c>
      <c r="U18" s="60">
        <f t="shared" si="9"/>
        <v>28</v>
      </c>
      <c r="V18" s="116">
        <v>303551</v>
      </c>
      <c r="W18" s="63">
        <f t="shared" si="10"/>
        <v>53</v>
      </c>
      <c r="X18" s="114">
        <v>28453</v>
      </c>
      <c r="Y18" s="60">
        <f t="shared" si="11"/>
        <v>0</v>
      </c>
      <c r="Z18" s="114">
        <v>714780</v>
      </c>
      <c r="AA18" s="63">
        <f t="shared" si="12"/>
        <v>0</v>
      </c>
      <c r="AB18" s="76">
        <v>1410</v>
      </c>
      <c r="AC18" s="60">
        <f t="shared" si="13"/>
        <v>0</v>
      </c>
      <c r="AD18" s="70">
        <f t="shared" si="14"/>
        <v>2321</v>
      </c>
      <c r="AE18" s="18">
        <v>0</v>
      </c>
      <c r="AF18" s="53">
        <f t="shared" si="15"/>
        <v>0</v>
      </c>
    </row>
    <row r="19" spans="1:38">
      <c r="A19" s="52">
        <v>44636</v>
      </c>
      <c r="B19" s="116">
        <v>1557420</v>
      </c>
      <c r="C19" s="63">
        <f t="shared" si="0"/>
        <v>233</v>
      </c>
      <c r="D19" s="116">
        <v>33521700</v>
      </c>
      <c r="E19" s="60">
        <f t="shared" si="1"/>
        <v>1245</v>
      </c>
      <c r="F19" s="116">
        <v>54336</v>
      </c>
      <c r="G19" s="60">
        <f t="shared" si="2"/>
        <v>135</v>
      </c>
      <c r="H19" s="116">
        <v>95398</v>
      </c>
      <c r="I19" s="60">
        <f t="shared" si="3"/>
        <v>27</v>
      </c>
      <c r="J19" s="117">
        <v>183658</v>
      </c>
      <c r="K19" s="63">
        <f t="shared" si="4"/>
        <v>23</v>
      </c>
      <c r="L19" s="118">
        <v>105896</v>
      </c>
      <c r="M19" s="60">
        <f t="shared" si="5"/>
        <v>53</v>
      </c>
      <c r="N19" s="116">
        <v>636190</v>
      </c>
      <c r="O19" s="63">
        <f t="shared" si="6"/>
        <v>79</v>
      </c>
      <c r="P19" s="116">
        <v>166858</v>
      </c>
      <c r="Q19" s="60">
        <f t="shared" si="7"/>
        <v>32</v>
      </c>
      <c r="R19" s="116">
        <v>951779</v>
      </c>
      <c r="S19" s="63">
        <f t="shared" si="8"/>
        <v>182</v>
      </c>
      <c r="T19" s="116">
        <v>77821</v>
      </c>
      <c r="U19" s="60">
        <f t="shared" si="9"/>
        <v>21</v>
      </c>
      <c r="V19" s="116">
        <v>303581</v>
      </c>
      <c r="W19" s="63">
        <f t="shared" si="10"/>
        <v>30</v>
      </c>
      <c r="X19" s="114">
        <v>28453</v>
      </c>
      <c r="Y19" s="60">
        <f t="shared" si="11"/>
        <v>0</v>
      </c>
      <c r="Z19" s="114">
        <v>714780</v>
      </c>
      <c r="AA19" s="63">
        <f t="shared" si="12"/>
        <v>0</v>
      </c>
      <c r="AB19" s="76">
        <v>1410</v>
      </c>
      <c r="AC19" s="60">
        <f t="shared" si="13"/>
        <v>0</v>
      </c>
      <c r="AD19" s="70">
        <f t="shared" si="14"/>
        <v>2060</v>
      </c>
      <c r="AE19" s="18">
        <v>0</v>
      </c>
      <c r="AF19" s="53">
        <f t="shared" si="15"/>
        <v>0</v>
      </c>
    </row>
    <row r="20" spans="1:38">
      <c r="A20" s="52">
        <v>44637</v>
      </c>
      <c r="B20" s="116">
        <v>1557589</v>
      </c>
      <c r="C20" s="63">
        <f t="shared" si="0"/>
        <v>169</v>
      </c>
      <c r="D20" s="116">
        <v>33522895</v>
      </c>
      <c r="E20" s="60">
        <f t="shared" si="1"/>
        <v>1195</v>
      </c>
      <c r="F20" s="116">
        <v>54458</v>
      </c>
      <c r="G20" s="60">
        <f t="shared" si="2"/>
        <v>122</v>
      </c>
      <c r="H20" s="116">
        <v>95418</v>
      </c>
      <c r="I20" s="60">
        <f t="shared" si="3"/>
        <v>20</v>
      </c>
      <c r="J20" s="117">
        <v>183685</v>
      </c>
      <c r="K20" s="63">
        <f t="shared" si="4"/>
        <v>27</v>
      </c>
      <c r="L20" s="118">
        <v>105943</v>
      </c>
      <c r="M20" s="60">
        <f t="shared" si="5"/>
        <v>47</v>
      </c>
      <c r="N20" s="116">
        <v>636202</v>
      </c>
      <c r="O20" s="63">
        <f t="shared" si="6"/>
        <v>12</v>
      </c>
      <c r="P20" s="116">
        <v>166895</v>
      </c>
      <c r="Q20" s="60">
        <f t="shared" si="7"/>
        <v>37</v>
      </c>
      <c r="R20" s="116">
        <v>951938</v>
      </c>
      <c r="S20" s="63">
        <f t="shared" si="8"/>
        <v>159</v>
      </c>
      <c r="T20" s="116">
        <v>77850</v>
      </c>
      <c r="U20" s="60">
        <f t="shared" si="9"/>
        <v>29</v>
      </c>
      <c r="V20" s="116">
        <v>303581</v>
      </c>
      <c r="W20" s="63">
        <f t="shared" si="10"/>
        <v>0</v>
      </c>
      <c r="X20" s="114">
        <v>28453</v>
      </c>
      <c r="Y20" s="60">
        <f t="shared" si="11"/>
        <v>0</v>
      </c>
      <c r="Z20" s="114">
        <v>714780</v>
      </c>
      <c r="AA20" s="63">
        <f t="shared" si="12"/>
        <v>0</v>
      </c>
      <c r="AB20" s="76">
        <v>1410</v>
      </c>
      <c r="AC20" s="60">
        <f t="shared" si="13"/>
        <v>0</v>
      </c>
      <c r="AD20" s="70">
        <f t="shared" si="14"/>
        <v>1817</v>
      </c>
      <c r="AE20" s="18">
        <v>0</v>
      </c>
      <c r="AF20" s="53">
        <f t="shared" si="15"/>
        <v>0</v>
      </c>
    </row>
    <row r="21" spans="1:38">
      <c r="A21" s="52">
        <v>44638</v>
      </c>
      <c r="B21" s="116">
        <v>1557842</v>
      </c>
      <c r="C21" s="63">
        <f t="shared" si="0"/>
        <v>253</v>
      </c>
      <c r="D21" s="116">
        <v>33523949</v>
      </c>
      <c r="E21" s="60">
        <f t="shared" si="1"/>
        <v>1054</v>
      </c>
      <c r="F21" s="116">
        <v>54599</v>
      </c>
      <c r="G21" s="60">
        <f t="shared" si="2"/>
        <v>141</v>
      </c>
      <c r="H21" s="116">
        <v>95442</v>
      </c>
      <c r="I21" s="60">
        <f t="shared" si="3"/>
        <v>24</v>
      </c>
      <c r="J21" s="117">
        <v>183710</v>
      </c>
      <c r="K21" s="63">
        <f t="shared" si="4"/>
        <v>25</v>
      </c>
      <c r="L21" s="118">
        <v>105994</v>
      </c>
      <c r="M21" s="60">
        <f t="shared" si="5"/>
        <v>51</v>
      </c>
      <c r="N21" s="116">
        <v>636230</v>
      </c>
      <c r="O21" s="63">
        <f t="shared" si="6"/>
        <v>28</v>
      </c>
      <c r="P21" s="116">
        <v>166909</v>
      </c>
      <c r="Q21" s="60">
        <f t="shared" si="7"/>
        <v>14</v>
      </c>
      <c r="R21" s="116">
        <v>952169</v>
      </c>
      <c r="S21" s="63">
        <f t="shared" si="8"/>
        <v>231</v>
      </c>
      <c r="T21" s="116">
        <v>77873</v>
      </c>
      <c r="U21" s="60">
        <f t="shared" si="9"/>
        <v>23</v>
      </c>
      <c r="V21" s="116">
        <v>303581</v>
      </c>
      <c r="W21" s="63">
        <f t="shared" si="10"/>
        <v>0</v>
      </c>
      <c r="X21" s="114">
        <v>28453</v>
      </c>
      <c r="Y21" s="60">
        <f t="shared" si="11"/>
        <v>0</v>
      </c>
      <c r="Z21" s="114">
        <v>714780</v>
      </c>
      <c r="AA21" s="63">
        <f t="shared" si="12"/>
        <v>0</v>
      </c>
      <c r="AB21" s="76">
        <v>1410</v>
      </c>
      <c r="AC21" s="60">
        <f t="shared" si="13"/>
        <v>0</v>
      </c>
      <c r="AD21" s="70">
        <f t="shared" si="14"/>
        <v>1844</v>
      </c>
      <c r="AE21" s="18">
        <v>0</v>
      </c>
      <c r="AF21" s="53">
        <f t="shared" si="15"/>
        <v>0</v>
      </c>
    </row>
    <row r="22" spans="1:38">
      <c r="A22" s="52">
        <v>44639</v>
      </c>
      <c r="B22" s="116">
        <v>1558105</v>
      </c>
      <c r="C22" s="63">
        <f t="shared" si="0"/>
        <v>263</v>
      </c>
      <c r="D22" s="116">
        <v>33525045</v>
      </c>
      <c r="E22" s="60">
        <f t="shared" si="1"/>
        <v>1096</v>
      </c>
      <c r="F22" s="116">
        <v>54746</v>
      </c>
      <c r="G22" s="60">
        <f t="shared" si="2"/>
        <v>147</v>
      </c>
      <c r="H22" s="116">
        <v>95466</v>
      </c>
      <c r="I22" s="60">
        <f t="shared" si="3"/>
        <v>24</v>
      </c>
      <c r="J22" s="117">
        <v>183734</v>
      </c>
      <c r="K22" s="63">
        <f t="shared" si="4"/>
        <v>24</v>
      </c>
      <c r="L22" s="118">
        <v>106064</v>
      </c>
      <c r="M22" s="60">
        <f t="shared" si="5"/>
        <v>70</v>
      </c>
      <c r="N22" s="116">
        <v>636411</v>
      </c>
      <c r="O22" s="63">
        <f t="shared" si="6"/>
        <v>181</v>
      </c>
      <c r="P22" s="116">
        <v>166921</v>
      </c>
      <c r="Q22" s="60">
        <f t="shared" si="7"/>
        <v>12</v>
      </c>
      <c r="R22" s="116">
        <v>952415</v>
      </c>
      <c r="S22" s="63">
        <f t="shared" si="8"/>
        <v>246</v>
      </c>
      <c r="T22" s="116">
        <v>77904</v>
      </c>
      <c r="U22" s="60">
        <f t="shared" si="9"/>
        <v>31</v>
      </c>
      <c r="V22" s="116">
        <v>303581</v>
      </c>
      <c r="W22" s="63">
        <f t="shared" si="10"/>
        <v>0</v>
      </c>
      <c r="X22" s="114">
        <v>28453</v>
      </c>
      <c r="Y22" s="60">
        <f t="shared" si="11"/>
        <v>0</v>
      </c>
      <c r="Z22" s="114">
        <v>714780</v>
      </c>
      <c r="AA22" s="63">
        <f t="shared" si="12"/>
        <v>0</v>
      </c>
      <c r="AB22" s="76">
        <v>1410</v>
      </c>
      <c r="AC22" s="60">
        <f t="shared" si="13"/>
        <v>0</v>
      </c>
      <c r="AD22" s="70">
        <f t="shared" si="14"/>
        <v>2094</v>
      </c>
      <c r="AE22" s="18">
        <v>0</v>
      </c>
      <c r="AF22" s="53">
        <f t="shared" si="15"/>
        <v>0</v>
      </c>
    </row>
    <row r="23" spans="1:38">
      <c r="A23" s="52">
        <v>44640</v>
      </c>
      <c r="B23" s="116">
        <v>1558339</v>
      </c>
      <c r="C23" s="63">
        <f t="shared" si="0"/>
        <v>234</v>
      </c>
      <c r="D23" s="116">
        <v>33526354</v>
      </c>
      <c r="E23" s="60">
        <f t="shared" si="1"/>
        <v>1309</v>
      </c>
      <c r="F23" s="116">
        <v>54899</v>
      </c>
      <c r="G23" s="60">
        <f t="shared" si="2"/>
        <v>153</v>
      </c>
      <c r="H23" s="116">
        <v>95488</v>
      </c>
      <c r="I23" s="60">
        <f t="shared" si="3"/>
        <v>22</v>
      </c>
      <c r="J23" s="117">
        <v>183734</v>
      </c>
      <c r="K23" s="63">
        <f t="shared" si="4"/>
        <v>0</v>
      </c>
      <c r="L23" s="118">
        <v>106129</v>
      </c>
      <c r="M23" s="60">
        <f t="shared" si="5"/>
        <v>65</v>
      </c>
      <c r="N23" s="116">
        <v>636518</v>
      </c>
      <c r="O23" s="63">
        <f t="shared" si="6"/>
        <v>107</v>
      </c>
      <c r="P23" s="116">
        <v>166969</v>
      </c>
      <c r="Q23" s="60">
        <f t="shared" si="7"/>
        <v>48</v>
      </c>
      <c r="R23" s="116">
        <v>952624</v>
      </c>
      <c r="S23" s="63">
        <f t="shared" si="8"/>
        <v>209</v>
      </c>
      <c r="T23" s="116">
        <v>77927</v>
      </c>
      <c r="U23" s="60">
        <f t="shared" si="9"/>
        <v>23</v>
      </c>
      <c r="V23" s="116">
        <v>303581</v>
      </c>
      <c r="W23" s="63">
        <f t="shared" si="10"/>
        <v>0</v>
      </c>
      <c r="X23" s="114">
        <v>28453</v>
      </c>
      <c r="Y23" s="60">
        <f t="shared" si="11"/>
        <v>0</v>
      </c>
      <c r="Z23" s="114">
        <v>714780</v>
      </c>
      <c r="AA23" s="63">
        <f t="shared" si="12"/>
        <v>0</v>
      </c>
      <c r="AB23" s="76">
        <v>1410</v>
      </c>
      <c r="AC23" s="60">
        <f t="shared" si="13"/>
        <v>0</v>
      </c>
      <c r="AD23" s="70">
        <f t="shared" si="14"/>
        <v>2170</v>
      </c>
      <c r="AE23" s="18">
        <v>0</v>
      </c>
      <c r="AF23" s="53">
        <f t="shared" si="15"/>
        <v>0</v>
      </c>
    </row>
    <row r="24" spans="1:38">
      <c r="A24" s="52">
        <v>44641</v>
      </c>
      <c r="B24" s="116">
        <v>1558590</v>
      </c>
      <c r="C24" s="63">
        <f t="shared" si="0"/>
        <v>251</v>
      </c>
      <c r="D24" s="116">
        <v>33527784</v>
      </c>
      <c r="E24" s="60">
        <f t="shared" si="1"/>
        <v>1430</v>
      </c>
      <c r="F24" s="116">
        <v>55051</v>
      </c>
      <c r="G24" s="60">
        <f t="shared" si="2"/>
        <v>152</v>
      </c>
      <c r="H24" s="116">
        <v>95509</v>
      </c>
      <c r="I24" s="60">
        <f t="shared" si="3"/>
        <v>21</v>
      </c>
      <c r="J24" s="117">
        <v>183739</v>
      </c>
      <c r="K24" s="63">
        <f t="shared" si="4"/>
        <v>5</v>
      </c>
      <c r="L24" s="118">
        <v>106193</v>
      </c>
      <c r="M24" s="60">
        <f t="shared" si="5"/>
        <v>64</v>
      </c>
      <c r="N24" s="116">
        <v>636630</v>
      </c>
      <c r="O24" s="63">
        <f t="shared" si="6"/>
        <v>112</v>
      </c>
      <c r="P24" s="116">
        <v>166998</v>
      </c>
      <c r="Q24" s="60">
        <f t="shared" si="7"/>
        <v>29</v>
      </c>
      <c r="R24" s="116">
        <v>952836</v>
      </c>
      <c r="S24" s="63">
        <f t="shared" si="8"/>
        <v>212</v>
      </c>
      <c r="T24" s="116">
        <v>77951</v>
      </c>
      <c r="U24" s="60">
        <f t="shared" si="9"/>
        <v>24</v>
      </c>
      <c r="V24" s="116">
        <v>303581</v>
      </c>
      <c r="W24" s="63">
        <f t="shared" si="10"/>
        <v>0</v>
      </c>
      <c r="X24" s="114">
        <v>28453</v>
      </c>
      <c r="Y24" s="60">
        <f t="shared" si="11"/>
        <v>0</v>
      </c>
      <c r="Z24" s="114">
        <v>714780</v>
      </c>
      <c r="AA24" s="63">
        <f t="shared" si="12"/>
        <v>0</v>
      </c>
      <c r="AB24" s="76">
        <v>1410</v>
      </c>
      <c r="AC24" s="60">
        <f t="shared" si="13"/>
        <v>0</v>
      </c>
      <c r="AD24" s="70">
        <f t="shared" si="14"/>
        <v>2300</v>
      </c>
      <c r="AE24" s="18">
        <v>0</v>
      </c>
      <c r="AF24" s="53">
        <f t="shared" si="15"/>
        <v>0</v>
      </c>
      <c r="AI24" t="s">
        <v>72</v>
      </c>
    </row>
    <row r="25" spans="1:38">
      <c r="A25" s="52">
        <v>44642</v>
      </c>
      <c r="B25" s="116">
        <v>1558835</v>
      </c>
      <c r="C25" s="63">
        <f t="shared" si="0"/>
        <v>245</v>
      </c>
      <c r="D25" s="116">
        <v>33529016</v>
      </c>
      <c r="E25" s="60">
        <f t="shared" si="1"/>
        <v>1232</v>
      </c>
      <c r="F25" s="116">
        <v>55171</v>
      </c>
      <c r="G25" s="60">
        <f t="shared" si="2"/>
        <v>120</v>
      </c>
      <c r="H25" s="116">
        <v>95537</v>
      </c>
      <c r="I25" s="60">
        <f t="shared" si="3"/>
        <v>28</v>
      </c>
      <c r="J25" s="117">
        <v>183772</v>
      </c>
      <c r="K25" s="63">
        <f t="shared" si="4"/>
        <v>33</v>
      </c>
      <c r="L25" s="118">
        <v>106249</v>
      </c>
      <c r="M25" s="60">
        <f t="shared" si="5"/>
        <v>56</v>
      </c>
      <c r="N25" s="116">
        <v>636657</v>
      </c>
      <c r="O25" s="63">
        <f t="shared" si="6"/>
        <v>27</v>
      </c>
      <c r="P25" s="116">
        <v>167032</v>
      </c>
      <c r="Q25" s="60">
        <f t="shared" si="7"/>
        <v>34</v>
      </c>
      <c r="R25" s="116">
        <v>953042</v>
      </c>
      <c r="S25" s="63">
        <f t="shared" si="8"/>
        <v>206</v>
      </c>
      <c r="T25" s="116">
        <v>77979</v>
      </c>
      <c r="U25" s="60">
        <f t="shared" si="9"/>
        <v>28</v>
      </c>
      <c r="V25" s="116">
        <v>303581</v>
      </c>
      <c r="W25" s="63">
        <f t="shared" si="10"/>
        <v>0</v>
      </c>
      <c r="X25" s="114">
        <v>28453</v>
      </c>
      <c r="Y25" s="60">
        <f t="shared" si="11"/>
        <v>0</v>
      </c>
      <c r="Z25" s="114">
        <v>714780</v>
      </c>
      <c r="AA25" s="63">
        <f t="shared" si="12"/>
        <v>0</v>
      </c>
      <c r="AB25" s="76">
        <v>1410</v>
      </c>
      <c r="AC25" s="60">
        <f t="shared" si="13"/>
        <v>0</v>
      </c>
      <c r="AD25" s="70">
        <f t="shared" si="14"/>
        <v>2009</v>
      </c>
      <c r="AE25" s="18">
        <v>0</v>
      </c>
      <c r="AF25" s="53">
        <f t="shared" si="15"/>
        <v>0</v>
      </c>
      <c r="AH25" t="s">
        <v>72</v>
      </c>
    </row>
    <row r="26" spans="1:38">
      <c r="A26" s="52">
        <v>44643</v>
      </c>
      <c r="B26" s="116">
        <v>1559044</v>
      </c>
      <c r="C26" s="63">
        <f t="shared" si="0"/>
        <v>209</v>
      </c>
      <c r="D26" s="116">
        <v>33530352</v>
      </c>
      <c r="E26" s="60">
        <f t="shared" si="1"/>
        <v>1336</v>
      </c>
      <c r="F26" s="116">
        <v>55275</v>
      </c>
      <c r="G26" s="60">
        <f t="shared" si="2"/>
        <v>104</v>
      </c>
      <c r="H26" s="116">
        <v>95564</v>
      </c>
      <c r="I26" s="60">
        <f t="shared" si="3"/>
        <v>27</v>
      </c>
      <c r="J26" s="117">
        <v>183797</v>
      </c>
      <c r="K26" s="63">
        <f t="shared" si="4"/>
        <v>25</v>
      </c>
      <c r="L26" s="118">
        <v>106298</v>
      </c>
      <c r="M26" s="60">
        <f t="shared" si="5"/>
        <v>49</v>
      </c>
      <c r="N26" s="116">
        <v>636781</v>
      </c>
      <c r="O26" s="63">
        <f t="shared" si="6"/>
        <v>124</v>
      </c>
      <c r="P26" s="116">
        <v>167061</v>
      </c>
      <c r="Q26" s="60">
        <f t="shared" si="7"/>
        <v>29</v>
      </c>
      <c r="R26" s="116">
        <v>953211</v>
      </c>
      <c r="S26" s="63">
        <f t="shared" si="8"/>
        <v>169</v>
      </c>
      <c r="T26" s="116">
        <v>78003</v>
      </c>
      <c r="U26" s="60">
        <f t="shared" si="9"/>
        <v>24</v>
      </c>
      <c r="V26" s="116">
        <v>303581</v>
      </c>
      <c r="W26" s="63">
        <f t="shared" si="10"/>
        <v>0</v>
      </c>
      <c r="X26" s="114">
        <v>28453</v>
      </c>
      <c r="Y26" s="60">
        <f t="shared" si="11"/>
        <v>0</v>
      </c>
      <c r="Z26" s="114">
        <v>714780</v>
      </c>
      <c r="AA26" s="63">
        <f t="shared" si="12"/>
        <v>0</v>
      </c>
      <c r="AB26" s="76">
        <v>1410</v>
      </c>
      <c r="AC26" s="60">
        <f t="shared" si="13"/>
        <v>0</v>
      </c>
      <c r="AD26" s="70">
        <f t="shared" si="14"/>
        <v>2096</v>
      </c>
      <c r="AE26" s="18">
        <v>0</v>
      </c>
      <c r="AF26" s="53">
        <f t="shared" si="15"/>
        <v>0</v>
      </c>
    </row>
    <row r="27" spans="1:38">
      <c r="A27" s="52">
        <v>44644</v>
      </c>
      <c r="B27" s="116">
        <v>1559337</v>
      </c>
      <c r="C27" s="63">
        <f t="shared" si="0"/>
        <v>293</v>
      </c>
      <c r="D27" s="116">
        <v>33531656</v>
      </c>
      <c r="E27" s="60">
        <f t="shared" si="1"/>
        <v>1304</v>
      </c>
      <c r="F27" s="116">
        <v>55430</v>
      </c>
      <c r="G27" s="60">
        <f t="shared" si="2"/>
        <v>155</v>
      </c>
      <c r="H27" s="116">
        <v>95595</v>
      </c>
      <c r="I27" s="60">
        <f t="shared" si="3"/>
        <v>31</v>
      </c>
      <c r="J27" s="117">
        <v>183825</v>
      </c>
      <c r="K27" s="63">
        <f t="shared" si="4"/>
        <v>28</v>
      </c>
      <c r="L27" s="118">
        <v>106344</v>
      </c>
      <c r="M27" s="60">
        <f t="shared" si="5"/>
        <v>46</v>
      </c>
      <c r="N27" s="116">
        <v>636896</v>
      </c>
      <c r="O27" s="63">
        <f t="shared" si="6"/>
        <v>115</v>
      </c>
      <c r="P27" s="116">
        <v>167098</v>
      </c>
      <c r="Q27" s="60">
        <f t="shared" si="7"/>
        <v>37</v>
      </c>
      <c r="R27" s="116">
        <v>953436</v>
      </c>
      <c r="S27" s="63">
        <f t="shared" si="8"/>
        <v>225</v>
      </c>
      <c r="T27" s="116">
        <v>78031</v>
      </c>
      <c r="U27" s="60">
        <f t="shared" si="9"/>
        <v>28</v>
      </c>
      <c r="V27" s="116">
        <v>303581</v>
      </c>
      <c r="W27" s="63">
        <f t="shared" si="10"/>
        <v>0</v>
      </c>
      <c r="X27" s="114">
        <v>28453</v>
      </c>
      <c r="Y27" s="60">
        <f t="shared" si="11"/>
        <v>0</v>
      </c>
      <c r="Z27" s="114">
        <v>714780</v>
      </c>
      <c r="AA27" s="63">
        <f t="shared" si="12"/>
        <v>0</v>
      </c>
      <c r="AB27" s="76">
        <v>1410</v>
      </c>
      <c r="AC27" s="60">
        <f t="shared" si="13"/>
        <v>0</v>
      </c>
      <c r="AD27" s="70">
        <f t="shared" si="14"/>
        <v>2262</v>
      </c>
      <c r="AE27" s="18">
        <v>0</v>
      </c>
      <c r="AF27" s="53">
        <f t="shared" si="15"/>
        <v>0</v>
      </c>
    </row>
    <row r="28" spans="1:38">
      <c r="A28" s="52">
        <v>44645</v>
      </c>
      <c r="B28" s="116">
        <v>1559529</v>
      </c>
      <c r="C28" s="63">
        <f t="shared" si="0"/>
        <v>192</v>
      </c>
      <c r="D28" s="116">
        <v>33533088</v>
      </c>
      <c r="E28" s="60">
        <f t="shared" si="1"/>
        <v>1432</v>
      </c>
      <c r="F28" s="116">
        <v>55605</v>
      </c>
      <c r="G28" s="60">
        <f t="shared" si="2"/>
        <v>175</v>
      </c>
      <c r="H28" s="116">
        <v>95630</v>
      </c>
      <c r="I28" s="60">
        <f t="shared" si="3"/>
        <v>35</v>
      </c>
      <c r="J28" s="117">
        <v>183849</v>
      </c>
      <c r="K28" s="63">
        <f t="shared" si="4"/>
        <v>24</v>
      </c>
      <c r="L28" s="118">
        <v>106406</v>
      </c>
      <c r="M28" s="60">
        <f t="shared" si="5"/>
        <v>62</v>
      </c>
      <c r="N28" s="116">
        <v>636999</v>
      </c>
      <c r="O28" s="63">
        <f t="shared" si="6"/>
        <v>103</v>
      </c>
      <c r="P28" s="116">
        <v>167125</v>
      </c>
      <c r="Q28" s="60">
        <f t="shared" si="7"/>
        <v>27</v>
      </c>
      <c r="R28" s="116">
        <v>953626</v>
      </c>
      <c r="S28" s="63">
        <f t="shared" si="8"/>
        <v>190</v>
      </c>
      <c r="T28" s="116">
        <v>78067</v>
      </c>
      <c r="U28" s="60">
        <f t="shared" si="9"/>
        <v>36</v>
      </c>
      <c r="V28" s="116">
        <v>303581</v>
      </c>
      <c r="W28" s="63">
        <f t="shared" si="10"/>
        <v>0</v>
      </c>
      <c r="X28" s="114">
        <v>28453</v>
      </c>
      <c r="Y28" s="60">
        <f t="shared" si="11"/>
        <v>0</v>
      </c>
      <c r="Z28" s="114">
        <v>714780</v>
      </c>
      <c r="AA28" s="63">
        <f t="shared" si="12"/>
        <v>0</v>
      </c>
      <c r="AB28" s="76">
        <v>1410</v>
      </c>
      <c r="AC28" s="60">
        <f t="shared" si="13"/>
        <v>0</v>
      </c>
      <c r="AD28" s="70">
        <f t="shared" si="14"/>
        <v>2276</v>
      </c>
      <c r="AE28" s="18">
        <v>0</v>
      </c>
      <c r="AF28" s="53">
        <f t="shared" si="15"/>
        <v>0</v>
      </c>
    </row>
    <row r="29" spans="1:38">
      <c r="A29" s="52">
        <v>44646</v>
      </c>
      <c r="B29" s="116">
        <v>1559797</v>
      </c>
      <c r="C29" s="63">
        <f t="shared" si="0"/>
        <v>268</v>
      </c>
      <c r="D29" s="116">
        <v>33534327</v>
      </c>
      <c r="E29" s="60">
        <f t="shared" si="1"/>
        <v>1239</v>
      </c>
      <c r="F29" s="116">
        <v>55767</v>
      </c>
      <c r="G29" s="60">
        <f t="shared" si="2"/>
        <v>162</v>
      </c>
      <c r="H29" s="116">
        <v>95655</v>
      </c>
      <c r="I29" s="60">
        <f t="shared" si="3"/>
        <v>25</v>
      </c>
      <c r="J29" s="117">
        <v>183873</v>
      </c>
      <c r="K29" s="63">
        <f t="shared" si="4"/>
        <v>24</v>
      </c>
      <c r="L29" s="118">
        <v>106456</v>
      </c>
      <c r="M29" s="60">
        <f t="shared" si="5"/>
        <v>50</v>
      </c>
      <c r="N29" s="116">
        <v>637113</v>
      </c>
      <c r="O29" s="63">
        <f t="shared" si="6"/>
        <v>114</v>
      </c>
      <c r="P29" s="116">
        <v>167156</v>
      </c>
      <c r="Q29" s="60">
        <f t="shared" si="7"/>
        <v>31</v>
      </c>
      <c r="R29" s="116">
        <v>953867</v>
      </c>
      <c r="S29" s="63">
        <f t="shared" si="8"/>
        <v>241</v>
      </c>
      <c r="T29" s="116">
        <v>78091</v>
      </c>
      <c r="U29" s="60">
        <f t="shared" si="9"/>
        <v>24</v>
      </c>
      <c r="V29" s="116">
        <v>303581</v>
      </c>
      <c r="W29" s="63">
        <f t="shared" si="10"/>
        <v>0</v>
      </c>
      <c r="X29" s="114">
        <v>28453</v>
      </c>
      <c r="Y29" s="60">
        <f t="shared" si="11"/>
        <v>0</v>
      </c>
      <c r="Z29" s="114">
        <v>714780</v>
      </c>
      <c r="AA29" s="63">
        <f t="shared" si="12"/>
        <v>0</v>
      </c>
      <c r="AB29" s="76">
        <v>1410</v>
      </c>
      <c r="AC29" s="60">
        <f t="shared" si="13"/>
        <v>0</v>
      </c>
      <c r="AD29" s="70">
        <f t="shared" si="14"/>
        <v>2178</v>
      </c>
      <c r="AE29" s="18">
        <v>0</v>
      </c>
      <c r="AF29" s="53">
        <f t="shared" si="15"/>
        <v>0</v>
      </c>
      <c r="AL29" t="s">
        <v>72</v>
      </c>
    </row>
    <row r="30" spans="1:38">
      <c r="A30" s="52">
        <v>44647</v>
      </c>
      <c r="B30" s="116">
        <v>1559999</v>
      </c>
      <c r="C30" s="63">
        <f t="shared" si="0"/>
        <v>202</v>
      </c>
      <c r="D30" s="116">
        <v>33535476</v>
      </c>
      <c r="E30" s="60">
        <f t="shared" si="1"/>
        <v>1149</v>
      </c>
      <c r="F30" s="116">
        <v>55916</v>
      </c>
      <c r="G30" s="60">
        <f t="shared" si="2"/>
        <v>149</v>
      </c>
      <c r="H30" s="116">
        <v>95679</v>
      </c>
      <c r="I30" s="60">
        <f t="shared" si="3"/>
        <v>24</v>
      </c>
      <c r="J30" s="117">
        <v>183880</v>
      </c>
      <c r="K30" s="63">
        <f t="shared" si="4"/>
        <v>7</v>
      </c>
      <c r="L30" s="118">
        <v>106538</v>
      </c>
      <c r="M30" s="60">
        <f t="shared" si="5"/>
        <v>82</v>
      </c>
      <c r="N30" s="116">
        <v>637225</v>
      </c>
      <c r="O30" s="63">
        <f t="shared" si="6"/>
        <v>112</v>
      </c>
      <c r="P30" s="116">
        <v>167184</v>
      </c>
      <c r="Q30" s="60">
        <f t="shared" si="7"/>
        <v>28</v>
      </c>
      <c r="R30" s="116">
        <v>954085</v>
      </c>
      <c r="S30" s="63">
        <f t="shared" si="8"/>
        <v>218</v>
      </c>
      <c r="T30" s="116">
        <v>78127</v>
      </c>
      <c r="U30" s="60">
        <f t="shared" si="9"/>
        <v>36</v>
      </c>
      <c r="V30" s="116">
        <v>303581</v>
      </c>
      <c r="W30" s="63">
        <f t="shared" si="10"/>
        <v>0</v>
      </c>
      <c r="X30" s="114">
        <v>28453</v>
      </c>
      <c r="Y30" s="60">
        <f t="shared" si="11"/>
        <v>0</v>
      </c>
      <c r="Z30" s="114">
        <v>714780</v>
      </c>
      <c r="AA30" s="63">
        <f t="shared" si="12"/>
        <v>0</v>
      </c>
      <c r="AB30" s="76">
        <v>1410</v>
      </c>
      <c r="AC30" s="60">
        <f t="shared" si="13"/>
        <v>0</v>
      </c>
      <c r="AD30" s="70">
        <f t="shared" si="14"/>
        <v>2007</v>
      </c>
      <c r="AE30" s="18">
        <v>0</v>
      </c>
      <c r="AF30" s="53">
        <f t="shared" si="15"/>
        <v>0</v>
      </c>
    </row>
    <row r="31" spans="1:38">
      <c r="A31" s="52">
        <v>44648</v>
      </c>
      <c r="B31" s="116">
        <v>1560267</v>
      </c>
      <c r="C31" s="63">
        <f t="shared" si="0"/>
        <v>268</v>
      </c>
      <c r="D31" s="116">
        <v>33536654</v>
      </c>
      <c r="E31" s="60">
        <f t="shared" si="1"/>
        <v>1178</v>
      </c>
      <c r="F31" s="116">
        <v>56066</v>
      </c>
      <c r="G31" s="60">
        <f t="shared" si="2"/>
        <v>150</v>
      </c>
      <c r="H31" s="116">
        <v>95697</v>
      </c>
      <c r="I31" s="60">
        <f t="shared" si="3"/>
        <v>18</v>
      </c>
      <c r="J31" s="117">
        <v>183903</v>
      </c>
      <c r="K31" s="63">
        <f t="shared" si="4"/>
        <v>23</v>
      </c>
      <c r="L31" s="118">
        <v>106601</v>
      </c>
      <c r="M31" s="60">
        <f t="shared" si="5"/>
        <v>63</v>
      </c>
      <c r="N31" s="116">
        <v>637289</v>
      </c>
      <c r="O31" s="63">
        <f t="shared" si="6"/>
        <v>64</v>
      </c>
      <c r="P31" s="116">
        <v>167221</v>
      </c>
      <c r="Q31" s="60">
        <f t="shared" si="7"/>
        <v>37</v>
      </c>
      <c r="R31" s="116">
        <v>954300</v>
      </c>
      <c r="S31" s="63">
        <f t="shared" si="8"/>
        <v>215</v>
      </c>
      <c r="T31" s="116">
        <v>78161</v>
      </c>
      <c r="U31" s="60">
        <f t="shared" si="9"/>
        <v>34</v>
      </c>
      <c r="V31" s="116">
        <v>303581</v>
      </c>
      <c r="W31" s="63">
        <f t="shared" si="10"/>
        <v>0</v>
      </c>
      <c r="X31" s="114">
        <v>28453</v>
      </c>
      <c r="Y31" s="60">
        <f t="shared" si="11"/>
        <v>0</v>
      </c>
      <c r="Z31" s="114">
        <v>714780</v>
      </c>
      <c r="AA31" s="63">
        <f t="shared" si="12"/>
        <v>0</v>
      </c>
      <c r="AB31" s="76">
        <v>1410</v>
      </c>
      <c r="AC31" s="60">
        <f t="shared" si="13"/>
        <v>0</v>
      </c>
      <c r="AD31" s="70">
        <f>AC31+AA31+Y31+W31+U31+S31+Q31+O31+M31+K31+I31+G31+E31+C31</f>
        <v>2050</v>
      </c>
      <c r="AE31" s="18">
        <v>0</v>
      </c>
      <c r="AF31" s="53">
        <f t="shared" si="15"/>
        <v>0</v>
      </c>
    </row>
    <row r="32" spans="1:38">
      <c r="A32" s="52">
        <v>44649</v>
      </c>
      <c r="B32" s="116">
        <v>1560449</v>
      </c>
      <c r="C32" s="64">
        <f t="shared" si="0"/>
        <v>182</v>
      </c>
      <c r="D32" s="116">
        <v>33537892</v>
      </c>
      <c r="E32" s="60">
        <f t="shared" si="1"/>
        <v>1238</v>
      </c>
      <c r="F32" s="116">
        <v>56233</v>
      </c>
      <c r="G32" s="60">
        <f t="shared" si="2"/>
        <v>167</v>
      </c>
      <c r="H32" s="116">
        <v>95740</v>
      </c>
      <c r="I32" s="60">
        <f t="shared" si="3"/>
        <v>43</v>
      </c>
      <c r="J32" s="117">
        <v>183931</v>
      </c>
      <c r="K32" s="63">
        <f t="shared" si="4"/>
        <v>28</v>
      </c>
      <c r="L32" s="118">
        <v>106661</v>
      </c>
      <c r="M32" s="60">
        <f t="shared" si="5"/>
        <v>60</v>
      </c>
      <c r="N32" s="116">
        <v>637447</v>
      </c>
      <c r="O32" s="63">
        <f t="shared" si="6"/>
        <v>158</v>
      </c>
      <c r="P32" s="116">
        <v>167255</v>
      </c>
      <c r="Q32" s="60">
        <f t="shared" si="7"/>
        <v>34</v>
      </c>
      <c r="R32" s="116">
        <v>954483</v>
      </c>
      <c r="S32" s="63">
        <f t="shared" si="8"/>
        <v>183</v>
      </c>
      <c r="T32" s="116">
        <v>78188</v>
      </c>
      <c r="U32" s="60">
        <f t="shared" si="9"/>
        <v>27</v>
      </c>
      <c r="V32" s="116">
        <v>303581</v>
      </c>
      <c r="W32" s="63">
        <f t="shared" si="10"/>
        <v>0</v>
      </c>
      <c r="X32" s="114">
        <v>28453</v>
      </c>
      <c r="Y32" s="60">
        <f t="shared" si="11"/>
        <v>0</v>
      </c>
      <c r="Z32" s="114">
        <v>714780</v>
      </c>
      <c r="AA32" s="63">
        <f t="shared" si="12"/>
        <v>0</v>
      </c>
      <c r="AB32" s="76">
        <v>1410</v>
      </c>
      <c r="AC32" s="60">
        <f t="shared" si="13"/>
        <v>0</v>
      </c>
      <c r="AD32" s="70">
        <f>AC32+AA32+Y32+W32+U32+S32+Q32+O32+M32+K32+I32+G32+E32+C32</f>
        <v>2120</v>
      </c>
      <c r="AE32" s="18">
        <v>0</v>
      </c>
      <c r="AF32" s="53">
        <f t="shared" si="15"/>
        <v>0</v>
      </c>
    </row>
    <row r="33" spans="1:32">
      <c r="A33" s="52">
        <v>44650</v>
      </c>
      <c r="B33" s="116">
        <v>1560650</v>
      </c>
      <c r="C33" s="65">
        <f t="shared" si="0"/>
        <v>201</v>
      </c>
      <c r="D33" s="116">
        <v>33538924</v>
      </c>
      <c r="E33" s="61">
        <f t="shared" si="1"/>
        <v>1032</v>
      </c>
      <c r="F33" s="116">
        <v>56375</v>
      </c>
      <c r="G33" s="60">
        <f t="shared" si="2"/>
        <v>142</v>
      </c>
      <c r="H33" s="116">
        <v>95767</v>
      </c>
      <c r="I33" s="61">
        <f t="shared" si="3"/>
        <v>27</v>
      </c>
      <c r="J33" s="117">
        <v>183954</v>
      </c>
      <c r="K33" s="64">
        <f t="shared" si="4"/>
        <v>23</v>
      </c>
      <c r="L33" s="118">
        <v>106705</v>
      </c>
      <c r="M33" s="61">
        <f t="shared" si="5"/>
        <v>44</v>
      </c>
      <c r="N33" s="116">
        <v>637447</v>
      </c>
      <c r="O33" s="64">
        <f t="shared" si="6"/>
        <v>0</v>
      </c>
      <c r="P33" s="116">
        <v>167288</v>
      </c>
      <c r="Q33" s="61">
        <f t="shared" si="7"/>
        <v>33</v>
      </c>
      <c r="R33" s="116">
        <v>954662</v>
      </c>
      <c r="S33" s="63">
        <f t="shared" si="8"/>
        <v>179</v>
      </c>
      <c r="T33" s="116">
        <v>78220</v>
      </c>
      <c r="U33" s="60">
        <f t="shared" si="9"/>
        <v>32</v>
      </c>
      <c r="V33" s="116">
        <v>303581</v>
      </c>
      <c r="W33" s="63">
        <f t="shared" si="10"/>
        <v>0</v>
      </c>
      <c r="X33" s="114">
        <v>28453</v>
      </c>
      <c r="Y33" s="60">
        <f t="shared" si="11"/>
        <v>0</v>
      </c>
      <c r="Z33" s="114">
        <v>714780</v>
      </c>
      <c r="AA33" s="63">
        <f t="shared" si="12"/>
        <v>0</v>
      </c>
      <c r="AB33" s="76">
        <v>1410</v>
      </c>
      <c r="AC33" s="60">
        <f t="shared" si="13"/>
        <v>0</v>
      </c>
      <c r="AD33" s="73">
        <f>AC33+AA33+Y33+W33+U33+S33+Q33+O33+M33+K33+I33+G33+E33+C33</f>
        <v>1713</v>
      </c>
      <c r="AE33" s="66">
        <v>0</v>
      </c>
      <c r="AF33" s="53">
        <f t="shared" si="15"/>
        <v>0</v>
      </c>
    </row>
    <row r="34" spans="1:32">
      <c r="A34" s="52">
        <v>44651</v>
      </c>
      <c r="B34" s="116">
        <v>1560934</v>
      </c>
      <c r="C34" s="65">
        <f>IF((B34-B33)&lt;0,"0",(B34-B33))</f>
        <v>284</v>
      </c>
      <c r="D34" s="116">
        <v>33540135</v>
      </c>
      <c r="E34" s="61">
        <f>IF((D34-D33)&lt;0,"0",(D34-D33))</f>
        <v>1211</v>
      </c>
      <c r="F34" s="116">
        <v>56536</v>
      </c>
      <c r="G34" s="60">
        <f t="shared" si="2"/>
        <v>161</v>
      </c>
      <c r="H34" s="116">
        <v>95791</v>
      </c>
      <c r="I34" s="61">
        <f>IF((H34-H33)&lt;0,"0",(H34-H33))</f>
        <v>24</v>
      </c>
      <c r="J34" s="117">
        <v>183982</v>
      </c>
      <c r="K34" s="64">
        <f>IF((J34-J33)&lt;0,"0",(J34-J33))</f>
        <v>28</v>
      </c>
      <c r="L34" s="118">
        <v>106755</v>
      </c>
      <c r="M34" s="61">
        <f>IF((L34-L33)&lt;0,"0",(L34-L33))</f>
        <v>50</v>
      </c>
      <c r="N34" s="116">
        <v>637684</v>
      </c>
      <c r="O34" s="64">
        <f>IF((N34-N33)&lt;0,"0",(N34-N33))</f>
        <v>237</v>
      </c>
      <c r="P34" s="116">
        <v>167319</v>
      </c>
      <c r="Q34" s="61">
        <f>IF((P34-P33)&lt;0,"0",(P34-P33))</f>
        <v>31</v>
      </c>
      <c r="R34" s="116">
        <v>954874</v>
      </c>
      <c r="S34" s="63">
        <f>IF((R34-R33)&lt;0,"0",(R34-R33))</f>
        <v>212</v>
      </c>
      <c r="T34" s="116">
        <v>78250</v>
      </c>
      <c r="U34" s="60">
        <f>IF((T34-T33)&lt;0,"0",(T34-T33))</f>
        <v>30</v>
      </c>
      <c r="V34" s="116">
        <v>303581</v>
      </c>
      <c r="W34" s="63">
        <f>IF((V34-V33)&lt;0,"0",(V34-V33))</f>
        <v>0</v>
      </c>
      <c r="X34" s="114">
        <v>28453</v>
      </c>
      <c r="Y34" s="60">
        <f>IF((X34-X33)&lt;0,"0",(X34-X33))</f>
        <v>0</v>
      </c>
      <c r="Z34" s="114">
        <v>714780</v>
      </c>
      <c r="AA34" s="63">
        <f>IF((Z34-Z33)&lt;0,"0",(Z34-Z33))</f>
        <v>0</v>
      </c>
      <c r="AB34" s="76">
        <v>1410</v>
      </c>
      <c r="AC34" s="60">
        <f>IF((AB34-AB33)&lt;0,"0",(AB34-AB33))</f>
        <v>0</v>
      </c>
      <c r="AD34" s="73">
        <f>AC34+AA34+Y34+W34+U34+S34+Q34+O34+M34+K34+I34+G34+E34+C34</f>
        <v>2268</v>
      </c>
      <c r="AE34" s="66">
        <v>0</v>
      </c>
      <c r="AF34" s="53">
        <f>IF((AE34-AE33)&lt;0,"0",(AE34-AE33))</f>
        <v>0</v>
      </c>
    </row>
    <row r="35" spans="1:32">
      <c r="C35" s="17"/>
      <c r="E35" s="17"/>
      <c r="G35" s="17"/>
      <c r="I35" s="17"/>
      <c r="K35" s="17"/>
      <c r="M35" s="17"/>
      <c r="O35" s="17"/>
      <c r="Q35" s="17"/>
      <c r="S35" s="17"/>
      <c r="U35" s="17"/>
      <c r="W35" s="17"/>
      <c r="Y35" s="17"/>
      <c r="AA35" s="17"/>
      <c r="AC35" s="17"/>
      <c r="AF35" s="17"/>
    </row>
  </sheetData>
  <mergeCells count="1">
    <mergeCell ref="A1:AF1"/>
  </mergeCells>
  <phoneticPr fontId="0" type="noConversion"/>
  <conditionalFormatting sqref="AD3 AD4:AE34 C3:C34 I3:I34 K3:K34 M3:M34 O3:O34 Q3:Q34 S3:S34 U3:U34 W3:W34 G3:G34 E3:E34 Y3:Y34 AA3:AC33 AA34:AE34 A2:A34">
    <cfRule type="cellIs" dxfId="14" priority="371" stopIfTrue="1" operator="lessThan">
      <formula>0</formula>
    </cfRule>
  </conditionalFormatting>
  <conditionalFormatting sqref="D4:D34">
    <cfRule type="cellIs" dxfId="13" priority="13" stopIfTrue="1" operator="lessThan">
      <formula>0</formula>
    </cfRule>
  </conditionalFormatting>
  <conditionalFormatting sqref="D4:D34">
    <cfRule type="duplicateValues" dxfId="12" priority="14"/>
  </conditionalFormatting>
  <conditionalFormatting sqref="D3">
    <cfRule type="cellIs" dxfId="11" priority="11" stopIfTrue="1" operator="lessThan">
      <formula>0</formula>
    </cfRule>
  </conditionalFormatting>
  <conditionalFormatting sqref="D3">
    <cfRule type="duplicateValues" dxfId="10" priority="12"/>
  </conditionalFormatting>
  <conditionalFormatting sqref="F4:F34">
    <cfRule type="cellIs" dxfId="9" priority="9" stopIfTrue="1" operator="lessThan">
      <formula>0</formula>
    </cfRule>
  </conditionalFormatting>
  <conditionalFormatting sqref="F4:F34">
    <cfRule type="duplicateValues" dxfId="8" priority="10"/>
  </conditionalFormatting>
  <conditionalFormatting sqref="F3">
    <cfRule type="cellIs" dxfId="7" priority="7" stopIfTrue="1" operator="lessThan">
      <formula>0</formula>
    </cfRule>
  </conditionalFormatting>
  <conditionalFormatting sqref="F3">
    <cfRule type="duplicateValues" dxfId="6" priority="8"/>
  </conditionalFormatting>
  <conditionalFormatting sqref="J4:J34">
    <cfRule type="cellIs" dxfId="5" priority="6" stopIfTrue="1" operator="lessThan">
      <formula>0</formula>
    </cfRule>
  </conditionalFormatting>
  <conditionalFormatting sqref="J3">
    <cfRule type="cellIs" dxfId="4" priority="5" stopIfTrue="1" operator="lessThan">
      <formula>0</formula>
    </cfRule>
  </conditionalFormatting>
  <conditionalFormatting sqref="L4:L34">
    <cfRule type="cellIs" dxfId="3" priority="4" stopIfTrue="1" operator="lessThan">
      <formula>0</formula>
    </cfRule>
  </conditionalFormatting>
  <conditionalFormatting sqref="L3">
    <cfRule type="cellIs" dxfId="2" priority="3" stopIfTrue="1" operator="lessThan">
      <formula>0</formula>
    </cfRule>
  </conditionalFormatting>
  <conditionalFormatting sqref="P4:P34">
    <cfRule type="cellIs" dxfId="1" priority="2" stopIfTrue="1" operator="lessThan">
      <formula>0</formula>
    </cfRule>
  </conditionalFormatting>
  <conditionalFormatting sqref="P3">
    <cfRule type="cellIs" dxfId="0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01D12-ED81-4A01-B5B8-2A82682A7D75}"/>
</file>

<file path=customXml/itemProps2.xml><?xml version="1.0" encoding="utf-8"?>
<ds:datastoreItem xmlns:ds="http://schemas.openxmlformats.org/officeDocument/2006/customXml" ds:itemID="{F08854F8-E8BB-4D41-B5A7-F9BF58E42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2022-04-09T12:24:26Z</dcterms:modified>
  <cp:category/>
  <cp:contentStatus/>
</cp:coreProperties>
</file>