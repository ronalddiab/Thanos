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1"/>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27" i="3" l="1"/>
  <c r="AN37" i="2"/>
  <c r="AH27" i="2" l="1"/>
  <c r="W24" i="2" l="1"/>
  <c r="V19" i="2" l="1"/>
  <c r="G13" i="2" l="1"/>
  <c r="AC20" i="2" l="1"/>
  <c r="AC21" i="2"/>
  <c r="AC22" i="2"/>
  <c r="AC23" i="2"/>
  <c r="AC24" i="2"/>
  <c r="AC25" i="2"/>
  <c r="AC26" i="2"/>
  <c r="AC27" i="2"/>
  <c r="AC28" i="2"/>
  <c r="AC29" i="2"/>
  <c r="AC30" i="2"/>
  <c r="AC31" i="2"/>
  <c r="AC32" i="2"/>
  <c r="AC33" i="2"/>
  <c r="AC34" i="2"/>
  <c r="AC35" i="2"/>
  <c r="AC36" i="2"/>
  <c r="AC11" i="2"/>
  <c r="AC12" i="2"/>
  <c r="AC13" i="2"/>
  <c r="AC14" i="2"/>
  <c r="AC15" i="2"/>
  <c r="AC16" i="2"/>
  <c r="AC17" i="2"/>
  <c r="AC18" i="2"/>
  <c r="AC19" i="2"/>
  <c r="AC10" i="2"/>
  <c r="N32" i="1" l="1"/>
  <c r="M32" i="1"/>
  <c r="AN6" i="2"/>
  <c r="AI36"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8" i="2"/>
  <c r="AI9" i="2"/>
  <c r="AI7" i="2"/>
  <c r="AC9" i="2"/>
  <c r="AC8" i="2"/>
  <c r="AC7" i="2"/>
  <c r="K6" i="2" l="1"/>
  <c r="F8" i="2"/>
  <c r="AH37" i="2" l="1"/>
  <c r="AG37" i="2"/>
  <c r="AF37" i="2"/>
  <c r="J37" i="2"/>
  <c r="I37" i="2"/>
  <c r="H37" i="2"/>
  <c r="G37" i="2"/>
  <c r="D37" i="2"/>
  <c r="Z33" i="3"/>
  <c r="B32" i="3"/>
  <c r="E32" i="3"/>
  <c r="F32" i="3"/>
  <c r="G32" i="3"/>
  <c r="H32" i="3"/>
  <c r="I32" i="3"/>
  <c r="J32" i="3"/>
  <c r="K32" i="3"/>
  <c r="L32" i="3"/>
  <c r="M32" i="3"/>
  <c r="Q32" i="3"/>
  <c r="R32" i="3"/>
  <c r="U32" i="3"/>
  <c r="V32" i="3"/>
  <c r="W32" i="3"/>
  <c r="B32" i="1"/>
  <c r="E32" i="1" l="1"/>
  <c r="Z7" i="2"/>
  <c r="U6" i="2"/>
  <c r="L6" i="2" l="1"/>
  <c r="AK35" i="2" l="1"/>
  <c r="AL35" i="2" s="1"/>
  <c r="AM35" i="2" s="1"/>
  <c r="AK36" i="2"/>
  <c r="AD35" i="2"/>
  <c r="AE35" i="2" s="1"/>
  <c r="AD36" i="2"/>
  <c r="T32" i="3" s="1"/>
  <c r="Z35" i="2"/>
  <c r="AA35" i="2" s="1"/>
  <c r="Z36" i="2"/>
  <c r="P32" i="3" s="1"/>
  <c r="T35" i="2"/>
  <c r="U35" i="2" s="1"/>
  <c r="T36" i="2"/>
  <c r="N32" i="3" s="1"/>
  <c r="U36" i="2"/>
  <c r="R35" i="2"/>
  <c r="S35" i="2"/>
  <c r="R36" i="2"/>
  <c r="O32" i="3" s="1"/>
  <c r="S36" i="2"/>
  <c r="K35" i="2"/>
  <c r="L35" i="2" s="1"/>
  <c r="K36" i="2"/>
  <c r="L36" i="2"/>
  <c r="M4"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I32" i="1" l="1"/>
  <c r="G32" i="1"/>
  <c r="S32" i="3"/>
  <c r="AA36" i="2"/>
  <c r="AO35" i="2"/>
  <c r="AE36" i="2"/>
  <c r="AL36" i="2"/>
  <c r="AM36" i="2" s="1"/>
  <c r="X32" i="3"/>
  <c r="N33" i="1"/>
  <c r="E31" i="3"/>
  <c r="F31" i="3"/>
  <c r="G31" i="3"/>
  <c r="H31" i="3"/>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O18" i="3" s="1"/>
  <c r="R23" i="2"/>
  <c r="R24" i="2"/>
  <c r="O20" i="3" s="1"/>
  <c r="R25" i="2"/>
  <c r="R26" i="2"/>
  <c r="O22" i="3" s="1"/>
  <c r="R27" i="2"/>
  <c r="O23" i="3" s="1"/>
  <c r="R28" i="2"/>
  <c r="O24" i="3" s="1"/>
  <c r="R29" i="2"/>
  <c r="O25" i="3" s="1"/>
  <c r="R30" i="2"/>
  <c r="R31" i="2"/>
  <c r="O27" i="3" s="1"/>
  <c r="R32" i="2"/>
  <c r="O28" i="3" s="1"/>
  <c r="R33" i="2"/>
  <c r="O29" i="3" s="1"/>
  <c r="R34" i="2"/>
  <c r="O31" i="3"/>
  <c r="R6" i="2"/>
  <c r="O2" i="3" s="1"/>
  <c r="R7" i="2"/>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T22" i="3" s="1"/>
  <c r="AD27" i="2"/>
  <c r="AE27" i="2" s="1"/>
  <c r="AD28" i="2"/>
  <c r="AE28" i="2" s="1"/>
  <c r="AD29" i="2"/>
  <c r="AE29" i="2" s="1"/>
  <c r="AD31" i="2"/>
  <c r="AE31" i="2" s="1"/>
  <c r="AD33" i="2"/>
  <c r="AE33" i="2" s="1"/>
  <c r="AK7" i="2"/>
  <c r="AD8" i="2"/>
  <c r="AD7" i="2"/>
  <c r="AD6" i="2"/>
  <c r="AE6" i="2" s="1"/>
  <c r="T8" i="2"/>
  <c r="N4" i="3" s="1"/>
  <c r="T7" i="2"/>
  <c r="S8" i="2"/>
  <c r="S7" i="2"/>
  <c r="K8" i="2"/>
  <c r="L8" i="2" s="1"/>
  <c r="K7" i="2"/>
  <c r="Z6" i="2"/>
  <c r="AA6" i="2" s="1"/>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T28" i="3"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U11" i="2" s="1"/>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N2" i="3" s="1"/>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G5" i="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X2" i="3" s="1"/>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O26" i="3"/>
  <c r="S29" i="2"/>
  <c r="S28" i="2"/>
  <c r="S27" i="2"/>
  <c r="S26" i="2"/>
  <c r="S25" i="2"/>
  <c r="O21" i="3"/>
  <c r="S24" i="2"/>
  <c r="S23" i="2"/>
  <c r="O19" i="3"/>
  <c r="S22" i="2"/>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T21" i="3"/>
  <c r="U32" i="2"/>
  <c r="U30" i="2"/>
  <c r="AL11" i="2"/>
  <c r="AM11" i="2" s="1"/>
  <c r="D40" i="2"/>
  <c r="G39" i="2"/>
  <c r="P11" i="3"/>
  <c r="G11" i="1" s="1"/>
  <c r="U9" i="2"/>
  <c r="U8" i="2"/>
  <c r="T20" i="3"/>
  <c r="N24" i="3"/>
  <c r="U19" i="2"/>
  <c r="N19" i="3"/>
  <c r="N3" i="3"/>
  <c r="AO36" i="2" l="1"/>
  <c r="T30" i="3"/>
  <c r="N29" i="3"/>
  <c r="T27" i="3"/>
  <c r="AE32" i="2"/>
  <c r="AO32" i="2" s="1"/>
  <c r="P28" i="3"/>
  <c r="G28" i="1" s="1"/>
  <c r="P27" i="3"/>
  <c r="P26" i="3"/>
  <c r="G26" i="1" s="1"/>
  <c r="P24" i="3"/>
  <c r="G24" i="1" s="1"/>
  <c r="T23" i="3"/>
  <c r="AE26" i="2"/>
  <c r="P19" i="3"/>
  <c r="G19" i="1" s="1"/>
  <c r="X18" i="3"/>
  <c r="P17" i="3"/>
  <c r="G17" i="1" s="1"/>
  <c r="T17" i="3"/>
  <c r="I17" i="1" s="1"/>
  <c r="P15" i="3"/>
  <c r="S15" i="3" s="1"/>
  <c r="U16" i="2"/>
  <c r="T12" i="3"/>
  <c r="S11" i="3"/>
  <c r="U15" i="2"/>
  <c r="N10" i="3"/>
  <c r="X10" i="3"/>
  <c r="P9" i="3"/>
  <c r="G9" i="1" s="1"/>
  <c r="R33" i="3"/>
  <c r="T7" i="3"/>
  <c r="I7" i="1" s="1"/>
  <c r="R37" i="2"/>
  <c r="R39" i="2" s="1"/>
  <c r="K33" i="3"/>
  <c r="AL25" i="2"/>
  <c r="AM25" i="2" s="1"/>
  <c r="X9" i="3"/>
  <c r="X27" i="3"/>
  <c r="AL7" i="2"/>
  <c r="AK37" i="2"/>
  <c r="W33" i="3"/>
  <c r="V33" i="3"/>
  <c r="U33" i="3"/>
  <c r="AE7" i="2"/>
  <c r="AD37" i="2"/>
  <c r="AE37" i="2" s="1"/>
  <c r="T3" i="3"/>
  <c r="T5" i="3"/>
  <c r="AA8" i="2"/>
  <c r="Z37" i="2"/>
  <c r="P4" i="3"/>
  <c r="G4" i="1" s="1"/>
  <c r="S5" i="3"/>
  <c r="Q33" i="3"/>
  <c r="U7" i="2"/>
  <c r="T37" i="2"/>
  <c r="U37" i="2" s="1"/>
  <c r="O3" i="3"/>
  <c r="O33" i="3" s="1"/>
  <c r="J33" i="3"/>
  <c r="L7" i="2"/>
  <c r="L37" i="2" s="1"/>
  <c r="K37" i="2"/>
  <c r="M33" i="3"/>
  <c r="I33" i="3"/>
  <c r="L33" i="3"/>
  <c r="E30" i="1"/>
  <c r="E17" i="1"/>
  <c r="K28" i="1"/>
  <c r="S27" i="3"/>
  <c r="AL6" i="2"/>
  <c r="AM6" i="2" s="1"/>
  <c r="G3" i="1"/>
  <c r="S3" i="3"/>
  <c r="P2" i="3"/>
  <c r="G2" i="1" s="1"/>
  <c r="AA7" i="2"/>
  <c r="U25" i="2"/>
  <c r="I21" i="1"/>
  <c r="N18" i="3"/>
  <c r="K18" i="1" s="1"/>
  <c r="S23" i="3"/>
  <c r="K30" i="1"/>
  <c r="K24" i="1"/>
  <c r="E29" i="1"/>
  <c r="K7" i="1"/>
  <c r="S30" i="3"/>
  <c r="X31" i="3"/>
  <c r="X26" i="3"/>
  <c r="X13" i="3"/>
  <c r="I13" i="1" s="1"/>
  <c r="AL21" i="2"/>
  <c r="AM21" i="2" s="1"/>
  <c r="I31" i="1"/>
  <c r="T25" i="3"/>
  <c r="I25" i="1" s="1"/>
  <c r="I5" i="1"/>
  <c r="T11" i="3"/>
  <c r="T16" i="3"/>
  <c r="S19" i="3"/>
  <c r="S4" i="3"/>
  <c r="AA17" i="2"/>
  <c r="K15" i="1"/>
  <c r="K11" i="1"/>
  <c r="K8" i="1"/>
  <c r="K4" i="1"/>
  <c r="N31" i="3"/>
  <c r="K31" i="1" s="1"/>
  <c r="K25" i="1"/>
  <c r="K29" i="1"/>
  <c r="E24" i="1"/>
  <c r="E13" i="1"/>
  <c r="E6" i="1"/>
  <c r="X30" i="3"/>
  <c r="AL34" i="2"/>
  <c r="AM34" i="2" s="1"/>
  <c r="AL24" i="2"/>
  <c r="AM24" i="2" s="1"/>
  <c r="AL9" i="2"/>
  <c r="AM9" i="2" s="1"/>
  <c r="X4" i="3"/>
  <c r="X19" i="3"/>
  <c r="AE17" i="2"/>
  <c r="I20" i="1"/>
  <c r="T8" i="3"/>
  <c r="I8" i="1" s="1"/>
  <c r="T24" i="3"/>
  <c r="I22" i="1"/>
  <c r="G13" i="1"/>
  <c r="S13" i="3"/>
  <c r="AO33" i="2"/>
  <c r="S14" i="3"/>
  <c r="G15" i="1"/>
  <c r="P29" i="3"/>
  <c r="AA9" i="2"/>
  <c r="P10" i="3"/>
  <c r="P25" i="3"/>
  <c r="G25" i="1" s="1"/>
  <c r="S2" i="3"/>
  <c r="N9" i="3"/>
  <c r="N16" i="3"/>
  <c r="K16" i="1" s="1"/>
  <c r="AO15" i="2"/>
  <c r="K3" i="1"/>
  <c r="N27" i="3"/>
  <c r="K27" i="1" s="1"/>
  <c r="K26" i="1"/>
  <c r="K10" i="1"/>
  <c r="K2" i="1"/>
  <c r="K13" i="1"/>
  <c r="N23" i="3"/>
  <c r="K23" i="1" s="1"/>
  <c r="K19" i="1"/>
  <c r="AO28" i="2"/>
  <c r="K5" i="1"/>
  <c r="K12" i="1"/>
  <c r="K9" i="1"/>
  <c r="N20" i="3"/>
  <c r="K20" i="1" s="1"/>
  <c r="AO31" i="2"/>
  <c r="AO9"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I18" i="1" s="1"/>
  <c r="AE22" i="2"/>
  <c r="AO22" i="2" s="1"/>
  <c r="S22" i="3"/>
  <c r="S21" i="3"/>
  <c r="G21" i="1"/>
  <c r="AO23" i="2"/>
  <c r="T10" i="3"/>
  <c r="AE14" i="2"/>
  <c r="AO14" i="2" s="1"/>
  <c r="AL32" i="2"/>
  <c r="AM32" i="2" s="1"/>
  <c r="X28" i="3"/>
  <c r="I28" i="1" s="1"/>
  <c r="AL28" i="2"/>
  <c r="AM28" i="2" s="1"/>
  <c r="X24" i="3"/>
  <c r="X16" i="3"/>
  <c r="AL20" i="2"/>
  <c r="AM20" i="2" s="1"/>
  <c r="T6" i="3"/>
  <c r="AO6" i="2"/>
  <c r="X3" i="3"/>
  <c r="I3" i="1" s="1"/>
  <c r="S24" i="3"/>
  <c r="X12" i="3"/>
  <c r="AA26" i="2"/>
  <c r="N22" i="3"/>
  <c r="K22" i="1" s="1"/>
  <c r="N17" i="3"/>
  <c r="K17" i="1" s="1"/>
  <c r="T19" i="3"/>
  <c r="P18" i="3"/>
  <c r="P7" i="3"/>
  <c r="AA25" i="2"/>
  <c r="AO25" i="2" s="1"/>
  <c r="P12" i="3"/>
  <c r="T26" i="3"/>
  <c r="AL26" i="2"/>
  <c r="AM26" i="2" s="1"/>
  <c r="T29" i="3"/>
  <c r="I29" i="1" s="1"/>
  <c r="AL29" i="2"/>
  <c r="AM29" i="2" s="1"/>
  <c r="AA24" i="2"/>
  <c r="AO24" i="2" s="1"/>
  <c r="P20" i="3"/>
  <c r="S31" i="3"/>
  <c r="G31" i="1"/>
  <c r="AA34" i="2"/>
  <c r="AA18" i="2"/>
  <c r="AO18" i="2" s="1"/>
  <c r="AA12" i="2"/>
  <c r="P8" i="3"/>
  <c r="E31" i="1"/>
  <c r="AL33" i="2"/>
  <c r="AM33" i="2" s="1"/>
  <c r="AL12" i="2"/>
  <c r="AM12" i="2" s="1"/>
  <c r="T2" i="3"/>
  <c r="G27" i="1"/>
  <c r="N14" i="3"/>
  <c r="K14" i="1" s="1"/>
  <c r="X23" i="3"/>
  <c r="T14" i="3"/>
  <c r="I14" i="1" s="1"/>
  <c r="U34" i="2"/>
  <c r="U29" i="2"/>
  <c r="AO29" i="2" s="1"/>
  <c r="X6" i="3"/>
  <c r="X15" i="3"/>
  <c r="U10" i="2"/>
  <c r="AO10" i="2" s="1"/>
  <c r="AL18" i="2"/>
  <c r="AM18" i="2" s="1"/>
  <c r="P6" i="3"/>
  <c r="P16" i="3"/>
  <c r="AA27" i="2"/>
  <c r="AO27" i="2" s="1"/>
  <c r="I30" i="1" l="1"/>
  <c r="S28" i="3"/>
  <c r="I27" i="1"/>
  <c r="I24" i="1"/>
  <c r="S26" i="3"/>
  <c r="I23" i="1"/>
  <c r="AO26" i="2"/>
  <c r="S17" i="3"/>
  <c r="N33" i="3"/>
  <c r="K32" i="1" s="1"/>
  <c r="AO17" i="2"/>
  <c r="I12" i="1"/>
  <c r="I10" i="1"/>
  <c r="S9" i="3"/>
  <c r="P33" i="3"/>
  <c r="AA37" i="2"/>
  <c r="AM7" i="2"/>
  <c r="AM37" i="2" s="1"/>
  <c r="AL37" i="2"/>
  <c r="T33" i="3"/>
  <c r="AO7" i="2"/>
  <c r="S25" i="3"/>
  <c r="I16" i="1"/>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AO37" i="2" l="1"/>
  <c r="S33" i="3"/>
  <c r="U39" i="2"/>
  <c r="M2" i="1" l="1"/>
  <c r="M8" i="1" l="1"/>
  <c r="M22" i="1"/>
  <c r="M29" i="1"/>
  <c r="M10" i="1"/>
  <c r="M7" i="1"/>
  <c r="M15" i="1"/>
  <c r="M26" i="1"/>
  <c r="M30" i="1"/>
  <c r="M13" i="1"/>
  <c r="M11" i="1"/>
  <c r="M27" i="1"/>
  <c r="M19" i="1"/>
  <c r="M18" i="1"/>
  <c r="M14" i="1"/>
  <c r="M25" i="1"/>
  <c r="M23" i="1"/>
  <c r="M16" i="1"/>
  <c r="M6" i="1"/>
  <c r="M24" i="1"/>
  <c r="M20" i="1"/>
  <c r="M28" i="1"/>
  <c r="M12" i="1"/>
  <c r="M21" i="1"/>
  <c r="M9" i="1"/>
  <c r="M17" i="1"/>
  <c r="M31" i="1"/>
  <c r="Y33" i="3"/>
  <c r="M5" i="1"/>
  <c r="M33" i="1" l="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<sst xmlns="http://schemas.openxmlformats.org/spreadsheetml/2006/main" count="220" uniqueCount="105">
  <si>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</si>
  <si>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</si>
  <si>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</si>
  <si>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</si>
  <si>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</si>
  <si>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</si>
  <si>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</si>
  <si>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</si>
  <si>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</si>
  <si>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</si>
  <si>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</si>
  <si>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</si>
  <si>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</si>
  <si>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</si>
  <si>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</si>
  <si>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</si>
  <si>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</si>
  <si>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</si>
  <si>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</si>
  <si>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</si>
  <si>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</si>
  <si>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</si>
  <si>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</si>
  <si>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</si>
  <si>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</si>
  <si>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</si>
  <si>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</si>
  <si>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</si>
  <si>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</si>
  <si>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</si>
  <si>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</si>
  <si>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</si>
  <si>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</si>
  <si>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</si>
  <si>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</si>
  <si>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</si>
  <si>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</si>
  <si>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</si>
  <si>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</si>
  <si>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</si>
  <si>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</si>
  <si>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</si>
  <si>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</si>
  <si>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</si>
  <si>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</si>
  <si>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</si>
  <si>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</si>
  <si>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</si>
  <si>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</si>
  <si>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</si>
  <si>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</si>
  <si>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</si>
  <si>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</si>
  <si>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</si>
  <si>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</si>
  <si>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</si>
  <si>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</si>
  <si>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</si>
  <si>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</si>
  <si>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</si>
  <si>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</si>
  <si>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</si>
  <si>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</si>
  <si>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</si>
  <si>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</si>
  <si>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</si>
  <si>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</si>
  <si>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</si>
  <si>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</si>
  <si>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</si>
  <si>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</si>
  <si>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</si>
  <si>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</si>
  <si>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</si>
  <si>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</si>
  <si>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</si>
  <si>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</si>
  <si>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</si>
  <si>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</si>
  <si>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</si>
  <si>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</si>
  <si>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</si>
  <si>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</si>
  <si>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</si>
  <si>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</si>
  <si>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</si>
  <si>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</si>
  <si>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</si>
  <si>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</si>
  <si>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</si>
  <si>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</si>
  <si>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</si>
  <si>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</si>
  <si>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</si>
  <si>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</si>
  <si>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</si>
  <si>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</si>
  <si>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</si>
  <si>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</si>
  <si>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</si>
  <si>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</si>
  <si>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</si>
  <si>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</si>
  <si>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</si>
  <si>
    <t>0001523.22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</si>
</sst>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58">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1" fillId="0" borderId="12" xfId="0" applyFont="1" applyBorder="1" applyAlignment="1">
      <alignment horizontal="center"/>
    </xf>
    <xf numFmtId="0" fontId="9" fillId="0" borderId="13" xfId="0" applyFont="1" applyBorder="1" applyAlignment="1">
      <alignment horizontal="center"/>
    </xf>
    <xf numFmtId="0" fontId="14" fillId="0" borderId="13" xfId="0" applyFont="1" applyBorder="1" applyAlignment="1">
      <alignment horizontal="center"/>
    </xf>
    <xf numFmtId="1" fontId="0" fillId="0" borderId="13" xfId="0" applyNumberFormat="1" applyBorder="1" applyAlignment="1">
      <alignment horizontal="center"/>
    </xf>
    <xf numFmtId="2" fontId="10" fillId="0" borderId="13" xfId="0" applyNumberFormat="1" applyFont="1" applyBorder="1" applyAlignment="1">
      <alignment horizontal="center"/>
    </xf>
    <xf numFmtId="0" fontId="10" fillId="0" borderId="13" xfId="0" applyFont="1" applyBorder="1" applyAlignment="1">
      <alignment horizontal="center"/>
    </xf>
    <xf numFmtId="1" fontId="0" fillId="0" borderId="23" xfId="0" applyNumberFormat="1" applyBorder="1" applyAlignment="1">
      <alignment horizont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I33" sqref="I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0" t="s">
        <v>0</v>
      </c>
      <c r="B1" s="131" t="s">
        <v>1</v>
      </c>
      <c r="C1" s="132" t="s">
        <v>2</v>
      </c>
      <c r="D1" s="131" t="s">
        <v>3</v>
      </c>
      <c r="E1" s="133" t="s">
        <v>4</v>
      </c>
      <c r="F1" s="134" t="s">
        <v>5</v>
      </c>
      <c r="G1" s="133" t="s">
        <v>10</v>
      </c>
      <c r="H1" s="134" t="s">
        <v>11</v>
      </c>
      <c r="I1" s="135" t="s">
        <v>82</v>
      </c>
      <c r="J1" s="136" t="s">
        <v>83</v>
      </c>
      <c r="K1" s="133" t="s">
        <v>6</v>
      </c>
      <c r="L1" s="137" t="s">
        <v>7</v>
      </c>
      <c r="M1" s="133" t="s">
        <v>8</v>
      </c>
      <c r="N1" s="138" t="s">
        <v>9</v>
      </c>
    </row>
    <row r="2" spans="1:15" x14ac:dyDescent="0.25">
      <c r="A2" s="121" t="s">
        <v>80</v>
      </c>
      <c r="B2" s="122">
        <v>1</v>
      </c>
      <c r="C2" s="123">
        <v>7</v>
      </c>
      <c r="D2" s="122">
        <v>2020</v>
      </c>
      <c r="E2" s="112">
        <f>Submetering!E2+Submetering!F2+Submetering!G2+Submetering!H2+Submetering!I2+Submetering!J2+Submetering!K2</f>
        <v>25597</v>
      </c>
      <c r="F2" s="124">
        <v>0.2</v>
      </c>
      <c r="G2" s="112">
        <f>Submetering!P2</f>
        <v>346.29999999993015</v>
      </c>
      <c r="H2" s="124">
        <v>6.47</v>
      </c>
      <c r="I2" s="112">
        <f>Submetering!T2-Submetering!T2*15%-Submetering!X2</f>
        <v>57608.878400001457</v>
      </c>
      <c r="J2" s="111">
        <v>0.21</v>
      </c>
      <c r="K2" s="112">
        <f>Submetering!N2-Submetering!O2</f>
        <v>81.643999999999991</v>
      </c>
      <c r="L2" s="124">
        <v>7.84</v>
      </c>
      <c r="M2" s="112">
        <f>Submetering!Y2</f>
        <v>48</v>
      </c>
      <c r="N2" s="113">
        <f>Submetering!Z2</f>
        <v>80</v>
      </c>
    </row>
    <row r="3" spans="1:15" x14ac:dyDescent="0.25">
      <c r="A3" s="125" t="s">
        <v>80</v>
      </c>
      <c r="B3" s="72">
        <f>B2+1</f>
        <v>2</v>
      </c>
      <c r="C3" s="73">
        <v>7</v>
      </c>
      <c r="D3" s="72">
        <v>2020</v>
      </c>
      <c r="E3" s="71">
        <f>Submetering!E3+Submetering!F3+Submetering!G3+Submetering!H3+Submetering!I3+Submetering!J3+Submetering!K3</f>
        <v>24579</v>
      </c>
      <c r="F3" s="74">
        <v>0.2</v>
      </c>
      <c r="G3" s="71">
        <f>Submetering!P3</f>
        <v>355.30000000004657</v>
      </c>
      <c r="H3" s="74">
        <v>6.47</v>
      </c>
      <c r="I3" s="71">
        <f>Submetering!T3-Submetering!T3*15%-Submetering!X3</f>
        <v>54596.133399998551</v>
      </c>
      <c r="J3" s="70">
        <v>0.21</v>
      </c>
      <c r="K3" s="71">
        <f>Submetering!N3-Submetering!O3</f>
        <v>64.269000000000005</v>
      </c>
      <c r="L3" s="74">
        <v>7.84</v>
      </c>
      <c r="M3" s="71">
        <f>Submetering!Y3</f>
        <v>59</v>
      </c>
      <c r="N3" s="115">
        <f>Submetering!Z3</f>
        <v>109</v>
      </c>
    </row>
    <row r="4" spans="1:15" x14ac:dyDescent="0.25">
      <c r="A4" s="125" t="s">
        <v>80</v>
      </c>
      <c r="B4" s="72">
        <f t="shared" ref="B4:B32" si="0">B3+1</f>
        <v>3</v>
      </c>
      <c r="C4" s="73">
        <v>7</v>
      </c>
      <c r="D4" s="72">
        <v>2020</v>
      </c>
      <c r="E4" s="71">
        <f>Submetering!E4+Submetering!F4+Submetering!G4+Submetering!H4+Submetering!I4+Submetering!J4+Submetering!K4</f>
        <v>24837</v>
      </c>
      <c r="F4" s="74">
        <v>0.2</v>
      </c>
      <c r="G4" s="71">
        <f>Submetering!P4</f>
        <v>358.30000000004657</v>
      </c>
      <c r="H4" s="74">
        <v>6.47</v>
      </c>
      <c r="I4" s="71">
        <f>Submetering!T4-Submetering!T4*15%-Submetering!X4</f>
        <v>58364.32659999709</v>
      </c>
      <c r="J4" s="70">
        <v>0.21</v>
      </c>
      <c r="K4" s="71">
        <f>Submetering!N4-Submetering!O4</f>
        <v>48.213999999999999</v>
      </c>
      <c r="L4" s="74">
        <v>7.84</v>
      </c>
      <c r="M4" s="71">
        <f>Submetering!Y4</f>
        <v>66</v>
      </c>
      <c r="N4" s="115">
        <f>Submetering!Z4</f>
        <v>134</v>
      </c>
    </row>
    <row r="5" spans="1:15" x14ac:dyDescent="0.25">
      <c r="A5" s="125" t="s">
        <v>80</v>
      </c>
      <c r="B5" s="72">
        <f t="shared" si="0"/>
        <v>4</v>
      </c>
      <c r="C5" s="73">
        <v>7</v>
      </c>
      <c r="D5" s="72">
        <v>2020</v>
      </c>
      <c r="E5" s="71">
        <f>Submetering!E5+Submetering!F5+Submetering!G5+Submetering!H5+Submetering!I5+Submetering!J5+Submetering!K5</f>
        <v>26494</v>
      </c>
      <c r="F5" s="74">
        <v>0.2</v>
      </c>
      <c r="G5" s="71">
        <f>Submetering!P5</f>
        <v>371.39999999990687</v>
      </c>
      <c r="H5" s="74">
        <v>6.47</v>
      </c>
      <c r="I5" s="71">
        <f>Submetering!T5-Submetering!T5*15%-Submetering!X5</f>
        <v>64734.840800004356</v>
      </c>
      <c r="J5" s="70">
        <v>0.21</v>
      </c>
      <c r="K5" s="81">
        <f>Submetering!N5-Submetering!O5</f>
        <v>68.045000000000016</v>
      </c>
      <c r="L5" s="74">
        <v>7.84</v>
      </c>
      <c r="M5" s="71">
        <f>Submetering!Y5</f>
        <v>61</v>
      </c>
      <c r="N5" s="115">
        <f>Submetering!Z5</f>
        <v>120</v>
      </c>
    </row>
    <row r="6" spans="1:15" x14ac:dyDescent="0.25">
      <c r="A6" s="125" t="s">
        <v>80</v>
      </c>
      <c r="B6" s="72">
        <f t="shared" si="0"/>
        <v>5</v>
      </c>
      <c r="C6" s="73">
        <v>7</v>
      </c>
      <c r="D6" s="72">
        <v>2020</v>
      </c>
      <c r="E6" s="71">
        <f>Submetering!E6+Submetering!F6+Submetering!G6+Submetering!H6+Submetering!I6+Submetering!J6+Submetering!K6</f>
        <v>24078</v>
      </c>
      <c r="F6" s="74">
        <v>0.2</v>
      </c>
      <c r="G6" s="71">
        <f>Submetering!P6</f>
        <v>339.60000000009313</v>
      </c>
      <c r="H6" s="74">
        <v>6.47</v>
      </c>
      <c r="I6" s="71">
        <f>Submetering!T6-Submetering!T6*15%-Submetering!X6</f>
        <v>52358.811999994185</v>
      </c>
      <c r="J6" s="70">
        <v>0.21</v>
      </c>
      <c r="K6" s="71">
        <f>Submetering!N6-Submetering!O6</f>
        <v>61.895000000000003</v>
      </c>
      <c r="L6" s="74">
        <v>7.84</v>
      </c>
      <c r="M6" s="71">
        <f>Submetering!Y6</f>
        <v>55</v>
      </c>
      <c r="N6" s="115">
        <f>Submetering!Z6</f>
        <v>111</v>
      </c>
    </row>
    <row r="7" spans="1:15" x14ac:dyDescent="0.25">
      <c r="A7" s="125" t="s">
        <v>80</v>
      </c>
      <c r="B7" s="72">
        <f t="shared" si="0"/>
        <v>6</v>
      </c>
      <c r="C7" s="73">
        <v>7</v>
      </c>
      <c r="D7" s="72">
        <v>2020</v>
      </c>
      <c r="E7" s="71">
        <f>Submetering!E7+Submetering!F7+Submetering!G7+Submetering!H7+Submetering!I7+Submetering!J7+Submetering!K7</f>
        <v>23868</v>
      </c>
      <c r="F7" s="74">
        <v>0.2</v>
      </c>
      <c r="G7" s="71">
        <f>Submetering!P7</f>
        <v>363.59999999997672</v>
      </c>
      <c r="H7" s="74">
        <v>6.47</v>
      </c>
      <c r="I7" s="71">
        <f>Submetering!T7-Submetering!T7*15%-Submetering!X7</f>
        <v>49298.876000005825</v>
      </c>
      <c r="J7" s="70">
        <v>0.21</v>
      </c>
      <c r="K7" s="71">
        <f>Submetering!N7-Submetering!O7</f>
        <v>61.963000000000001</v>
      </c>
      <c r="L7" s="74">
        <v>7.84</v>
      </c>
      <c r="M7" s="71">
        <f>Submetering!Y7</f>
        <v>64</v>
      </c>
      <c r="N7" s="115">
        <f>Submetering!Z7</f>
        <v>120</v>
      </c>
    </row>
    <row r="8" spans="1:15" x14ac:dyDescent="0.25">
      <c r="A8" s="125" t="s">
        <v>80</v>
      </c>
      <c r="B8" s="72">
        <f t="shared" si="0"/>
        <v>7</v>
      </c>
      <c r="C8" s="73">
        <v>7</v>
      </c>
      <c r="D8" s="72">
        <v>2020</v>
      </c>
      <c r="E8" s="71">
        <f>Submetering!E8+Submetering!F8+Submetering!G8+Submetering!H8+Submetering!I8+Submetering!J8+Submetering!K8</f>
        <v>25653</v>
      </c>
      <c r="F8" s="74">
        <v>0.2</v>
      </c>
      <c r="G8" s="71">
        <f>Submetering!P8</f>
        <v>349.69999999995343</v>
      </c>
      <c r="H8" s="74">
        <v>6.47</v>
      </c>
      <c r="I8" s="71">
        <f>Submetering!T8-Submetering!T8*15%-Submetering!X8</f>
        <v>59384.497199998543</v>
      </c>
      <c r="J8" s="70">
        <v>0.21</v>
      </c>
      <c r="K8" s="71">
        <f>Submetering!N8-Submetering!O8</f>
        <v>31.594000000000008</v>
      </c>
      <c r="L8" s="74">
        <v>7.84</v>
      </c>
      <c r="M8" s="71">
        <f>Submetering!Y8</f>
        <v>68</v>
      </c>
      <c r="N8" s="115">
        <f>Submetering!Z8</f>
        <v>130</v>
      </c>
    </row>
    <row r="9" spans="1:15" x14ac:dyDescent="0.25">
      <c r="A9" s="125" t="s">
        <v>80</v>
      </c>
      <c r="B9" s="72">
        <f t="shared" si="0"/>
        <v>8</v>
      </c>
      <c r="C9" s="73">
        <v>7</v>
      </c>
      <c r="D9" s="72">
        <v>2020</v>
      </c>
      <c r="E9" s="71">
        <f>Submetering!E9+Submetering!F9+Submetering!G9+Submetering!H9+Submetering!I9+Submetering!J9+Submetering!K9</f>
        <v>27059</v>
      </c>
      <c r="F9" s="74">
        <v>0.2</v>
      </c>
      <c r="G9" s="71">
        <f>Submetering!P9</f>
        <v>283.59999999997672</v>
      </c>
      <c r="H9" s="74">
        <v>6.47</v>
      </c>
      <c r="I9" s="71">
        <f>Submetering!T9-Submetering!T9*15%-Submetering!X9</f>
        <v>62962.169599995643</v>
      </c>
      <c r="J9" s="70">
        <v>0.21</v>
      </c>
      <c r="K9" s="71">
        <f>Submetering!N9-Submetering!O9</f>
        <v>38.098000000000013</v>
      </c>
      <c r="L9" s="74">
        <v>7.84</v>
      </c>
      <c r="M9" s="71">
        <f>Submetering!Y9</f>
        <v>61</v>
      </c>
      <c r="N9" s="115">
        <f>Submetering!Z9</f>
        <v>125</v>
      </c>
      <c r="O9" s="1" t="s">
        <v>12</v>
      </c>
    </row>
    <row r="10" spans="1:15" x14ac:dyDescent="0.25">
      <c r="A10" s="125" t="s">
        <v>80</v>
      </c>
      <c r="B10" s="72">
        <f t="shared" si="0"/>
        <v>9</v>
      </c>
      <c r="C10" s="73">
        <v>7</v>
      </c>
      <c r="D10" s="72">
        <v>2020</v>
      </c>
      <c r="E10" s="71">
        <f>Submetering!E10+Submetering!F10+Submetering!G10+Submetering!H10+Submetering!I10+Submetering!J10+Submetering!K10</f>
        <v>24760</v>
      </c>
      <c r="F10" s="74">
        <v>0.2</v>
      </c>
      <c r="G10" s="71">
        <f>Submetering!P10</f>
        <v>424.30000000004657</v>
      </c>
      <c r="H10" s="74">
        <v>6.47</v>
      </c>
      <c r="I10" s="71">
        <f>Submetering!T10-Submetering!T10*15%-Submetering!X10</f>
        <v>54125.506000002904</v>
      </c>
      <c r="J10" s="70">
        <v>0.21</v>
      </c>
      <c r="K10" s="71">
        <f>Submetering!N10-Submetering!O10</f>
        <v>91.202000000000027</v>
      </c>
      <c r="L10" s="74">
        <v>7.84</v>
      </c>
      <c r="M10" s="71">
        <f>Submetering!Y10</f>
        <v>57</v>
      </c>
      <c r="N10" s="115">
        <f>Submetering!Z10</f>
        <v>122</v>
      </c>
    </row>
    <row r="11" spans="1:15" x14ac:dyDescent="0.25">
      <c r="A11" s="125" t="s">
        <v>80</v>
      </c>
      <c r="B11" s="72">
        <f t="shared" si="0"/>
        <v>10</v>
      </c>
      <c r="C11" s="73">
        <v>7</v>
      </c>
      <c r="D11" s="72">
        <v>2020</v>
      </c>
      <c r="E11" s="71">
        <f>Submetering!E11+Submetering!F11+Submetering!G11+Submetering!H11+Submetering!I11+Submetering!J11+Submetering!K11</f>
        <v>24021</v>
      </c>
      <c r="F11" s="74">
        <v>0.2</v>
      </c>
      <c r="G11" s="71">
        <f>Submetering!P11</f>
        <v>390.5</v>
      </c>
      <c r="H11" s="74">
        <v>6.47</v>
      </c>
      <c r="I11" s="71">
        <f>Submetering!T11-Submetering!T11*15%-Submetering!X11</f>
        <v>54091.296200001467</v>
      </c>
      <c r="J11" s="70">
        <v>0.21</v>
      </c>
      <c r="K11" s="71">
        <f>Submetering!N11-Submetering!O11</f>
        <v>33.799000000000007</v>
      </c>
      <c r="L11" s="74">
        <v>7.84</v>
      </c>
      <c r="M11" s="71">
        <f>Submetering!Y11</f>
        <v>59</v>
      </c>
      <c r="N11" s="115">
        <f>Submetering!Z11</f>
        <v>124</v>
      </c>
    </row>
    <row r="12" spans="1:15" x14ac:dyDescent="0.25">
      <c r="A12" s="125" t="s">
        <v>80</v>
      </c>
      <c r="B12" s="72">
        <f t="shared" si="0"/>
        <v>11</v>
      </c>
      <c r="C12" s="73">
        <v>7</v>
      </c>
      <c r="D12" s="72">
        <v>2020</v>
      </c>
      <c r="E12" s="71">
        <f>Submetering!E12+Submetering!F12+Submetering!G12+Submetering!H12+Submetering!I12+Submetering!J12+Submetering!K12</f>
        <v>23773</v>
      </c>
      <c r="F12" s="74">
        <v>0.2</v>
      </c>
      <c r="G12" s="71">
        <f>Submetering!P12</f>
        <v>377.90000000002328</v>
      </c>
      <c r="H12" s="74">
        <v>6.47</v>
      </c>
      <c r="I12" s="71">
        <f>Submetering!T12-Submetering!T12*15%-Submetering!X12</f>
        <v>51695.342800001454</v>
      </c>
      <c r="J12" s="70">
        <v>0.21</v>
      </c>
      <c r="K12" s="71">
        <f>Submetering!N12-Submetering!O12</f>
        <v>39.207999999999998</v>
      </c>
      <c r="L12" s="74">
        <v>7.84</v>
      </c>
      <c r="M12" s="71">
        <f>Submetering!Y12</f>
        <v>54</v>
      </c>
      <c r="N12" s="115">
        <f>Submetering!Z12</f>
        <v>111</v>
      </c>
    </row>
    <row r="13" spans="1:15" x14ac:dyDescent="0.25">
      <c r="A13" s="125" t="s">
        <v>80</v>
      </c>
      <c r="B13" s="72">
        <f t="shared" si="0"/>
        <v>12</v>
      </c>
      <c r="C13" s="73">
        <v>7</v>
      </c>
      <c r="D13" s="72">
        <v>2020</v>
      </c>
      <c r="E13" s="71">
        <f>Submetering!E13+Submetering!F13+Submetering!G13+Submetering!H13+Submetering!I13+Submetering!J13+Submetering!K13</f>
        <v>25671</v>
      </c>
      <c r="F13" s="74">
        <v>0.2</v>
      </c>
      <c r="G13" s="71">
        <f>Submetering!P13</f>
        <v>375</v>
      </c>
      <c r="H13" s="74">
        <v>6.47</v>
      </c>
      <c r="I13" s="71">
        <f>Submetering!T13-Submetering!T13*15%-Submetering!X13</f>
        <v>58030.702399995644</v>
      </c>
      <c r="J13" s="70">
        <v>0.21</v>
      </c>
      <c r="K13" s="71">
        <f>Submetering!N13-Submetering!O13</f>
        <v>72.221000000000004</v>
      </c>
      <c r="L13" s="74">
        <v>7.84</v>
      </c>
      <c r="M13" s="71">
        <f>Submetering!Y13</f>
        <v>68</v>
      </c>
      <c r="N13" s="115">
        <f>Submetering!Z13</f>
        <v>140</v>
      </c>
    </row>
    <row r="14" spans="1:15" x14ac:dyDescent="0.25">
      <c r="A14" s="125" t="s">
        <v>80</v>
      </c>
      <c r="B14" s="72">
        <f t="shared" si="0"/>
        <v>13</v>
      </c>
      <c r="C14" s="73">
        <v>7</v>
      </c>
      <c r="D14" s="72">
        <v>2020</v>
      </c>
      <c r="E14" s="71">
        <f>Submetering!E14+Submetering!F14+Submetering!G14+Submetering!H14+Submetering!I14+Submetering!J14+Submetering!K14</f>
        <v>24727</v>
      </c>
      <c r="F14" s="74">
        <v>0.2</v>
      </c>
      <c r="G14" s="71">
        <f>Submetering!P14</f>
        <v>346.29999999993015</v>
      </c>
      <c r="H14" s="74">
        <v>6.47</v>
      </c>
      <c r="I14" s="71">
        <f>Submetering!T14-Submetering!T14*15%-Submetering!X14</f>
        <v>52789.365600000005</v>
      </c>
      <c r="J14" s="70">
        <v>0.21</v>
      </c>
      <c r="K14" s="71">
        <f>Submetering!N14-Submetering!O14</f>
        <v>61.174999999999997</v>
      </c>
      <c r="L14" s="74">
        <v>7.84</v>
      </c>
      <c r="M14" s="71">
        <f>Submetering!Y14</f>
        <v>72</v>
      </c>
      <c r="N14" s="115">
        <f>Submetering!Z14</f>
        <v>145</v>
      </c>
    </row>
    <row r="15" spans="1:15" x14ac:dyDescent="0.25">
      <c r="A15" s="125" t="s">
        <v>80</v>
      </c>
      <c r="B15" s="72">
        <f t="shared" si="0"/>
        <v>14</v>
      </c>
      <c r="C15" s="73">
        <v>7</v>
      </c>
      <c r="D15" s="72">
        <v>2020</v>
      </c>
      <c r="E15" s="71">
        <f>Submetering!E15+Submetering!F15+Submetering!G15+Submetering!H15+Submetering!I15+Submetering!J15+Submetering!K15</f>
        <v>25215</v>
      </c>
      <c r="F15" s="74">
        <v>0.2</v>
      </c>
      <c r="G15" s="71">
        <f>Submetering!P15</f>
        <v>341.70000000006985</v>
      </c>
      <c r="H15" s="74">
        <v>6.47</v>
      </c>
      <c r="I15" s="71">
        <f>Submetering!T15-Submetering!T15*15%-Submetering!X15</f>
        <v>51820.073399998539</v>
      </c>
      <c r="J15" s="70">
        <v>0.21</v>
      </c>
      <c r="K15" s="81">
        <f>Submetering!N15-Submetering!O15</f>
        <v>52.313000000000002</v>
      </c>
      <c r="L15" s="74">
        <v>7.84</v>
      </c>
      <c r="M15" s="71">
        <f>Submetering!Y15</f>
        <v>72</v>
      </c>
      <c r="N15" s="115">
        <f>Submetering!Z15</f>
        <v>142</v>
      </c>
    </row>
    <row r="16" spans="1:15" x14ac:dyDescent="0.25">
      <c r="A16" s="125" t="s">
        <v>80</v>
      </c>
      <c r="B16" s="72">
        <f t="shared" si="0"/>
        <v>15</v>
      </c>
      <c r="C16" s="73">
        <v>7</v>
      </c>
      <c r="D16" s="72">
        <v>2020</v>
      </c>
      <c r="E16" s="71">
        <f>Submetering!E16+Submetering!F16+Submetering!G16+Submetering!H16+Submetering!I16+Submetering!J16+Submetering!K16</f>
        <v>27538</v>
      </c>
      <c r="F16" s="74">
        <v>0.2</v>
      </c>
      <c r="G16" s="71">
        <f>Submetering!P16</f>
        <v>339.29999999993015</v>
      </c>
      <c r="H16" s="74">
        <v>6.47</v>
      </c>
      <c r="I16" s="71">
        <f>Submetering!T16-Submetering!T16*15%-Submetering!X16</f>
        <v>58566.842800002923</v>
      </c>
      <c r="J16" s="70">
        <v>0.21</v>
      </c>
      <c r="K16" s="71">
        <f>Submetering!N16-Submetering!O16</f>
        <v>52.029000000000011</v>
      </c>
      <c r="L16" s="74">
        <v>7.84</v>
      </c>
      <c r="M16" s="71">
        <f>Submetering!Y16</f>
        <v>83</v>
      </c>
      <c r="N16" s="115">
        <f>Submetering!Z16</f>
        <v>162</v>
      </c>
    </row>
    <row r="17" spans="1:14" x14ac:dyDescent="0.25">
      <c r="A17" s="125" t="s">
        <v>80</v>
      </c>
      <c r="B17" s="72">
        <f t="shared" si="0"/>
        <v>16</v>
      </c>
      <c r="C17" s="73">
        <v>7</v>
      </c>
      <c r="D17" s="72">
        <v>2020</v>
      </c>
      <c r="E17" s="71">
        <f>Submetering!E17+Submetering!F17+Submetering!G17+Submetering!H17+Submetering!I17+Submetering!J17+Submetering!K17</f>
        <v>27289</v>
      </c>
      <c r="F17" s="74">
        <v>0.2</v>
      </c>
      <c r="G17" s="71">
        <f>Submetering!P17</f>
        <v>399.80000000004657</v>
      </c>
      <c r="H17" s="74">
        <v>6.47</v>
      </c>
      <c r="I17" s="71">
        <f>Submetering!T17-Submetering!T17*15%-Submetering!X17</f>
        <v>60671.525799997093</v>
      </c>
      <c r="J17" s="70">
        <v>0.21</v>
      </c>
      <c r="K17" s="71">
        <f>Submetering!N17-Submetering!O17</f>
        <v>69.114000000000004</v>
      </c>
      <c r="L17" s="74">
        <v>7.84</v>
      </c>
      <c r="M17" s="71">
        <f>Submetering!Y17</f>
        <v>73</v>
      </c>
      <c r="N17" s="115">
        <f>Submetering!Z17</f>
        <v>151</v>
      </c>
    </row>
    <row r="18" spans="1:14" x14ac:dyDescent="0.25">
      <c r="A18" s="125" t="s">
        <v>80</v>
      </c>
      <c r="B18" s="72">
        <f t="shared" si="0"/>
        <v>17</v>
      </c>
      <c r="C18" s="73">
        <v>7</v>
      </c>
      <c r="D18" s="72">
        <v>2020</v>
      </c>
      <c r="E18" s="71">
        <f>Submetering!E18+Submetering!F18+Submetering!G18+Submetering!H18+Submetering!I18+Submetering!J18+Submetering!K18</f>
        <v>26980</v>
      </c>
      <c r="F18" s="74">
        <v>0.2</v>
      </c>
      <c r="G18" s="71">
        <f>Submetering!P18</f>
        <v>437.90000000002328</v>
      </c>
      <c r="H18" s="74">
        <v>6.47</v>
      </c>
      <c r="I18" s="71">
        <f>Submetering!T18-Submetering!T18*15%-Submetering!X18</f>
        <v>65002.479600002902</v>
      </c>
      <c r="J18" s="70">
        <v>0.21</v>
      </c>
      <c r="K18" s="71">
        <f>Submetering!N18-Submetering!O18</f>
        <v>51.740999999999985</v>
      </c>
      <c r="L18" s="74">
        <v>7.84</v>
      </c>
      <c r="M18" s="71">
        <f>Submetering!Y18</f>
        <v>80</v>
      </c>
      <c r="N18" s="115">
        <f>Submetering!Z18</f>
        <v>154</v>
      </c>
    </row>
    <row r="19" spans="1:14" x14ac:dyDescent="0.25">
      <c r="A19" s="125" t="s">
        <v>80</v>
      </c>
      <c r="B19" s="72">
        <f t="shared" si="0"/>
        <v>18</v>
      </c>
      <c r="C19" s="73">
        <v>7</v>
      </c>
      <c r="D19" s="72">
        <v>2020</v>
      </c>
      <c r="E19" s="71">
        <f>Submetering!E19+Submetering!F19+Submetering!G19+Submetering!H19+Submetering!I19+Submetering!J19+Submetering!K19</f>
        <v>28810</v>
      </c>
      <c r="F19" s="74">
        <v>0.2</v>
      </c>
      <c r="G19" s="71">
        <f>Submetering!P19</f>
        <v>430</v>
      </c>
      <c r="H19" s="74">
        <v>6.47</v>
      </c>
      <c r="I19" s="71">
        <f>Submetering!T19-Submetering!T19*15%-Submetering!X19</f>
        <v>68897.333999997092</v>
      </c>
      <c r="J19" s="70">
        <v>0.21</v>
      </c>
      <c r="K19" s="71">
        <f>Submetering!N19-Submetering!O19</f>
        <v>37.563000000000002</v>
      </c>
      <c r="L19" s="74">
        <v>7.84</v>
      </c>
      <c r="M19" s="71">
        <f>Submetering!Y19</f>
        <v>68</v>
      </c>
      <c r="N19" s="115">
        <f>Submetering!Z19</f>
        <v>132</v>
      </c>
    </row>
    <row r="20" spans="1:14" x14ac:dyDescent="0.25">
      <c r="A20" s="125" t="s">
        <v>80</v>
      </c>
      <c r="B20" s="72">
        <f t="shared" si="0"/>
        <v>19</v>
      </c>
      <c r="C20" s="73">
        <v>7</v>
      </c>
      <c r="D20" s="72">
        <v>2020</v>
      </c>
      <c r="E20" s="71">
        <f>Submetering!E20+Submetering!F20+Submetering!G20+Submetering!H20+Submetering!I20+Submetering!J20+Submetering!K20</f>
        <v>27058</v>
      </c>
      <c r="F20" s="74">
        <v>0.2</v>
      </c>
      <c r="G20" s="71">
        <f>Submetering!P20</f>
        <v>388.59999999997672</v>
      </c>
      <c r="H20" s="74">
        <v>6.47</v>
      </c>
      <c r="I20" s="71">
        <f>Submetering!T20-Submetering!T20*15%-Submetering!X20</f>
        <v>63252.495200004356</v>
      </c>
      <c r="J20" s="70">
        <v>0.21</v>
      </c>
      <c r="K20" s="71">
        <f>Submetering!N20-Submetering!O20</f>
        <v>50.975000000000009</v>
      </c>
      <c r="L20" s="74">
        <v>7.84</v>
      </c>
      <c r="M20" s="71">
        <f>Submetering!Y20</f>
        <v>71</v>
      </c>
      <c r="N20" s="115">
        <f>Submetering!Z20</f>
        <v>140</v>
      </c>
    </row>
    <row r="21" spans="1:14" x14ac:dyDescent="0.25">
      <c r="A21" s="125" t="s">
        <v>80</v>
      </c>
      <c r="B21" s="72">
        <f t="shared" si="0"/>
        <v>20</v>
      </c>
      <c r="C21" s="73">
        <v>7</v>
      </c>
      <c r="D21" s="72">
        <v>2020</v>
      </c>
      <c r="E21" s="71">
        <f>Submetering!E21+Submetering!F21+Submetering!G21+Submetering!H21+Submetering!I21+Submetering!J21+Submetering!K21</f>
        <v>26185</v>
      </c>
      <c r="F21" s="74">
        <v>0.2</v>
      </c>
      <c r="G21" s="71">
        <f>Submetering!P21</f>
        <v>387.69999999995343</v>
      </c>
      <c r="H21" s="74">
        <v>6.47</v>
      </c>
      <c r="I21" s="71">
        <f>Submetering!T21-Submetering!T21*15%-Submetering!X21</f>
        <v>64633.03319999855</v>
      </c>
      <c r="J21" s="70">
        <v>0.21</v>
      </c>
      <c r="K21" s="71">
        <f>Submetering!N21-Submetering!O21</f>
        <v>44.263999999999996</v>
      </c>
      <c r="L21" s="74">
        <v>7.84</v>
      </c>
      <c r="M21" s="71">
        <f>Submetering!Y21</f>
        <v>74</v>
      </c>
      <c r="N21" s="115">
        <f>Submetering!Z21</f>
        <v>143</v>
      </c>
    </row>
    <row r="22" spans="1:14" x14ac:dyDescent="0.25">
      <c r="A22" s="125" t="s">
        <v>80</v>
      </c>
      <c r="B22" s="72">
        <f t="shared" si="0"/>
        <v>21</v>
      </c>
      <c r="C22" s="73">
        <v>7</v>
      </c>
      <c r="D22" s="72">
        <v>2020</v>
      </c>
      <c r="E22" s="71">
        <f>Submetering!E22+Submetering!F22+Submetering!G22+Submetering!H22+Submetering!I22+Submetering!J22+Submetering!K22</f>
        <v>27355</v>
      </c>
      <c r="F22" s="74">
        <v>0.2</v>
      </c>
      <c r="G22" s="71">
        <f>Submetering!P22</f>
        <v>405</v>
      </c>
      <c r="H22" s="74">
        <v>6.47</v>
      </c>
      <c r="I22" s="71">
        <f>Submetering!T22-Submetering!T22*15%-Submetering!X22</f>
        <v>69526.275199998548</v>
      </c>
      <c r="J22" s="70">
        <v>0.21</v>
      </c>
      <c r="K22" s="71">
        <f>Submetering!N22-Submetering!O22</f>
        <v>82.727000000000004</v>
      </c>
      <c r="L22" s="74">
        <v>7.84</v>
      </c>
      <c r="M22" s="71">
        <f>Submetering!Y22</f>
        <v>75</v>
      </c>
      <c r="N22" s="115">
        <f>Submetering!Z22</f>
        <v>145</v>
      </c>
    </row>
    <row r="23" spans="1:14" x14ac:dyDescent="0.25">
      <c r="A23" s="125" t="s">
        <v>80</v>
      </c>
      <c r="B23" s="72">
        <f t="shared" si="0"/>
        <v>22</v>
      </c>
      <c r="C23" s="73">
        <v>7</v>
      </c>
      <c r="D23" s="72">
        <v>2020</v>
      </c>
      <c r="E23" s="71">
        <f>Submetering!E23+Submetering!F23+Submetering!G23+Submetering!H23+Submetering!I23+Submetering!J23+Submetering!K23</f>
        <v>25981</v>
      </c>
      <c r="F23" s="74">
        <v>0.2</v>
      </c>
      <c r="G23" s="71">
        <f>Submetering!P23</f>
        <v>417.20000000006985</v>
      </c>
      <c r="H23" s="74">
        <v>6.47</v>
      </c>
      <c r="I23" s="71">
        <f>Submetering!T23-Submetering!T23*15%-Submetering!X23</f>
        <v>59239.90440000291</v>
      </c>
      <c r="J23" s="70">
        <v>0.21</v>
      </c>
      <c r="K23" s="71">
        <f>Submetering!N23-Submetering!O23</f>
        <v>53.556000000000004</v>
      </c>
      <c r="L23" s="74">
        <v>7.84</v>
      </c>
      <c r="M23" s="71">
        <f>Submetering!Y23</f>
        <v>84</v>
      </c>
      <c r="N23" s="115">
        <f>Submetering!Z23</f>
        <v>150</v>
      </c>
    </row>
    <row r="24" spans="1:14" x14ac:dyDescent="0.25">
      <c r="A24" s="125" t="s">
        <v>80</v>
      </c>
      <c r="B24" s="72">
        <f t="shared" si="0"/>
        <v>23</v>
      </c>
      <c r="C24" s="73">
        <v>7</v>
      </c>
      <c r="D24" s="72">
        <v>2020</v>
      </c>
      <c r="E24" s="71">
        <f>Submetering!E24+Submetering!F24+Submetering!G24+Submetering!H24+Submetering!I24+Submetering!J24+Submetering!K24</f>
        <v>26212</v>
      </c>
      <c r="F24" s="74">
        <v>0.2</v>
      </c>
      <c r="G24" s="71">
        <f>Submetering!P24</f>
        <v>424.79999999993015</v>
      </c>
      <c r="H24" s="74">
        <v>6.47</v>
      </c>
      <c r="I24" s="71">
        <f>Submetering!T24-Submetering!T24*15%-Submetering!X24</f>
        <v>61067.787600000011</v>
      </c>
      <c r="J24" s="70">
        <v>0.21</v>
      </c>
      <c r="K24" s="71">
        <f>Submetering!N24-Submetering!O24</f>
        <v>51.368999999999986</v>
      </c>
      <c r="L24" s="74">
        <v>7.84</v>
      </c>
      <c r="M24" s="71">
        <f>Submetering!Y24</f>
        <v>81</v>
      </c>
      <c r="N24" s="115">
        <f>Submetering!Z24</f>
        <v>150</v>
      </c>
    </row>
    <row r="25" spans="1:14" x14ac:dyDescent="0.25">
      <c r="A25" s="125" t="s">
        <v>80</v>
      </c>
      <c r="B25" s="72">
        <f t="shared" si="0"/>
        <v>24</v>
      </c>
      <c r="C25" s="73">
        <v>7</v>
      </c>
      <c r="D25" s="72">
        <v>2020</v>
      </c>
      <c r="E25" s="71">
        <f>Submetering!E25+Submetering!F25+Submetering!G25+Submetering!H25+Submetering!I25+Submetering!J25+Submetering!K25</f>
        <v>27528</v>
      </c>
      <c r="F25" s="74">
        <v>0.2</v>
      </c>
      <c r="G25" s="71">
        <f>Submetering!P25</f>
        <v>432.80000000004657</v>
      </c>
      <c r="H25" s="74">
        <v>6.47</v>
      </c>
      <c r="I25" s="71">
        <f>Submetering!T25-Submetering!T25*15%-Submetering!X25</f>
        <v>63360.043799999999</v>
      </c>
      <c r="J25" s="70">
        <v>0.21</v>
      </c>
      <c r="K25" s="71">
        <f>Submetering!N25-Submetering!O25</f>
        <v>89.675000000000011</v>
      </c>
      <c r="L25" s="74">
        <v>7.84</v>
      </c>
      <c r="M25" s="71">
        <f>Submetering!Y25</f>
        <v>88</v>
      </c>
      <c r="N25" s="115">
        <f>Submetering!Z25</f>
        <v>168</v>
      </c>
    </row>
    <row r="26" spans="1:14" x14ac:dyDescent="0.25">
      <c r="A26" s="125" t="s">
        <v>80</v>
      </c>
      <c r="B26" s="72">
        <f>B25+1</f>
        <v>25</v>
      </c>
      <c r="C26" s="73">
        <v>7</v>
      </c>
      <c r="D26" s="72">
        <v>2020</v>
      </c>
      <c r="E26" s="71">
        <f>Submetering!E26+Submetering!F26+Submetering!G26+Submetering!H26+Submetering!I26+Submetering!J26+Submetering!K26</f>
        <v>27587</v>
      </c>
      <c r="F26" s="74">
        <v>0.2</v>
      </c>
      <c r="G26" s="71">
        <f>Submetering!P26</f>
        <v>413.5</v>
      </c>
      <c r="H26" s="74">
        <v>6.47</v>
      </c>
      <c r="I26" s="71">
        <f>Submetering!T26-Submetering!T26*15%-Submetering!X26</f>
        <v>63534.995000001451</v>
      </c>
      <c r="J26" s="70">
        <v>0.21</v>
      </c>
      <c r="K26" s="71">
        <f>Submetering!N26-Submetering!O26</f>
        <v>92.87</v>
      </c>
      <c r="L26" s="74">
        <v>7.84</v>
      </c>
      <c r="M26" s="71">
        <f>Submetering!Y26</f>
        <v>64</v>
      </c>
      <c r="N26" s="115">
        <f>Submetering!Z26</f>
        <v>123</v>
      </c>
    </row>
    <row r="27" spans="1:14" x14ac:dyDescent="0.25">
      <c r="A27" s="125" t="s">
        <v>80</v>
      </c>
      <c r="B27" s="72">
        <f t="shared" si="0"/>
        <v>26</v>
      </c>
      <c r="C27" s="73">
        <v>7</v>
      </c>
      <c r="D27" s="72">
        <v>2020</v>
      </c>
      <c r="E27" s="71">
        <f>Submetering!E27+Submetering!F27+Submetering!G27+Submetering!H27+Submetering!I27+Submetering!J27+Submetering!K27</f>
        <v>28662</v>
      </c>
      <c r="F27" s="74">
        <v>0.2</v>
      </c>
      <c r="G27" s="71">
        <f>Submetering!P27</f>
        <v>397.59999999997672</v>
      </c>
      <c r="H27" s="74">
        <v>6.47</v>
      </c>
      <c r="I27" s="71">
        <f>Submetering!T27-Submetering!T27*15%-Submetering!X27</f>
        <v>69805.077799994178</v>
      </c>
      <c r="J27" s="70">
        <v>0.21</v>
      </c>
      <c r="K27" s="71">
        <f>Submetering!N27-Submetering!O27</f>
        <v>48.960999999999991</v>
      </c>
      <c r="L27" s="74">
        <v>7.84</v>
      </c>
      <c r="M27" s="71">
        <f>Submetering!Y27</f>
        <v>78</v>
      </c>
      <c r="N27" s="115">
        <f>Submetering!Z27</f>
        <v>147</v>
      </c>
    </row>
    <row r="28" spans="1:14" x14ac:dyDescent="0.25">
      <c r="A28" s="125" t="s">
        <v>80</v>
      </c>
      <c r="B28" s="72">
        <f t="shared" si="0"/>
        <v>27</v>
      </c>
      <c r="C28" s="73">
        <v>7</v>
      </c>
      <c r="D28" s="72">
        <v>2020</v>
      </c>
      <c r="E28" s="71">
        <f>Submetering!E28+Submetering!F28+Submetering!G28+Submetering!H28+Submetering!I28+Submetering!J28+Submetering!K28</f>
        <v>27201</v>
      </c>
      <c r="F28" s="74">
        <v>0.2</v>
      </c>
      <c r="G28" s="71">
        <f>Submetering!P28</f>
        <v>410.90000000002328</v>
      </c>
      <c r="H28" s="74">
        <v>6.47</v>
      </c>
      <c r="I28" s="71">
        <f>Submetering!T28-Submetering!T28*15%-Submetering!X28</f>
        <v>66207.943400004355</v>
      </c>
      <c r="J28" s="70">
        <v>0.21</v>
      </c>
      <c r="K28" s="71">
        <f>Submetering!N28-Submetering!O28</f>
        <v>40.510000000000005</v>
      </c>
      <c r="L28" s="74">
        <v>7.84</v>
      </c>
      <c r="M28" s="71">
        <f>Submetering!Y28</f>
        <v>90</v>
      </c>
      <c r="N28" s="115">
        <f>Submetering!Z28</f>
        <v>161</v>
      </c>
    </row>
    <row r="29" spans="1:14" x14ac:dyDescent="0.25">
      <c r="A29" s="125" t="s">
        <v>80</v>
      </c>
      <c r="B29" s="72">
        <f t="shared" si="0"/>
        <v>28</v>
      </c>
      <c r="C29" s="73">
        <v>7</v>
      </c>
      <c r="D29" s="72">
        <v>2020</v>
      </c>
      <c r="E29" s="71">
        <f>Submetering!E29+Submetering!F29+Submetering!G29+Submetering!H29+Submetering!I29+Submetering!J29+Submetering!K29</f>
        <v>25139</v>
      </c>
      <c r="F29" s="74">
        <v>0.2</v>
      </c>
      <c r="G29" s="71">
        <f>Submetering!P29</f>
        <v>416.5</v>
      </c>
      <c r="H29" s="74">
        <v>6.47</v>
      </c>
      <c r="I29" s="71">
        <f>Submetering!T29-Submetering!T29*15%-Submetering!X29</f>
        <v>61121.859599999996</v>
      </c>
      <c r="J29" s="70">
        <v>0.21</v>
      </c>
      <c r="K29" s="71">
        <f>Submetering!N29-Submetering!O29</f>
        <v>81.960999999999999</v>
      </c>
      <c r="L29" s="74">
        <v>7.84</v>
      </c>
      <c r="M29" s="71">
        <f>Submetering!Y29</f>
        <v>87</v>
      </c>
      <c r="N29" s="115">
        <f>Submetering!Z29</f>
        <v>159</v>
      </c>
    </row>
    <row r="30" spans="1:14" x14ac:dyDescent="0.25">
      <c r="A30" s="125" t="s">
        <v>80</v>
      </c>
      <c r="B30" s="72">
        <f t="shared" si="0"/>
        <v>29</v>
      </c>
      <c r="C30" s="73">
        <v>7</v>
      </c>
      <c r="D30" s="72">
        <v>2020</v>
      </c>
      <c r="E30" s="71">
        <f>Submetering!E30+Submetering!F30+Submetering!G30+Submetering!H30+Submetering!I30+Submetering!J30+Submetering!K30</f>
        <v>27399</v>
      </c>
      <c r="F30" s="74">
        <v>0.2</v>
      </c>
      <c r="G30" s="71">
        <f>Submetering!P30</f>
        <v>429.30000000004657</v>
      </c>
      <c r="H30" s="74">
        <v>6.47</v>
      </c>
      <c r="I30" s="71">
        <f>Submetering!T30-Submetering!T30*15%-Submetering!X30</f>
        <v>63056.192400001455</v>
      </c>
      <c r="J30" s="70">
        <v>0.21</v>
      </c>
      <c r="K30" s="71">
        <f>Submetering!N30-Submetering!O30</f>
        <v>48.428999999999988</v>
      </c>
      <c r="L30" s="74">
        <v>7.84</v>
      </c>
      <c r="M30" s="71">
        <f>Submetering!Y30</f>
        <v>64</v>
      </c>
      <c r="N30" s="115">
        <f>Submetering!Z30</f>
        <v>130</v>
      </c>
    </row>
    <row r="31" spans="1:14" x14ac:dyDescent="0.25">
      <c r="A31" s="140" t="s">
        <v>80</v>
      </c>
      <c r="B31" s="141">
        <f t="shared" si="0"/>
        <v>30</v>
      </c>
      <c r="C31" s="142">
        <v>7</v>
      </c>
      <c r="D31" s="141">
        <v>2020</v>
      </c>
      <c r="E31" s="143">
        <f>Submetering!E31+Submetering!F31+Submetering!G31+Submetering!H31+Submetering!I31+Submetering!J31+Submetering!K31</f>
        <v>26919</v>
      </c>
      <c r="F31" s="144">
        <v>0.2</v>
      </c>
      <c r="G31" s="143">
        <f>Submetering!P31</f>
        <v>456.79999999993015</v>
      </c>
      <c r="H31" s="144">
        <v>6.47</v>
      </c>
      <c r="I31" s="143">
        <f>Submetering!T31-Submetering!T31*15%-Submetering!X31</f>
        <v>66443.025800000003</v>
      </c>
      <c r="J31" s="145">
        <v>0.21</v>
      </c>
      <c r="K31" s="143">
        <f>Submetering!N31-Submetering!O31</f>
        <v>73.273999999999987</v>
      </c>
      <c r="L31" s="144">
        <v>7.84</v>
      </c>
      <c r="M31" s="143">
        <f>Submetering!Y31</f>
        <v>78</v>
      </c>
      <c r="N31" s="146">
        <f>Submetering!Z31</f>
        <v>168</v>
      </c>
    </row>
    <row r="32" spans="1:14" ht="15.75" thickBot="1" x14ac:dyDescent="0.3">
      <c r="A32" s="126" t="s">
        <v>80</v>
      </c>
      <c r="B32" s="127">
        <f t="shared" si="0"/>
        <v>31</v>
      </c>
      <c r="C32" s="128">
        <v>7</v>
      </c>
      <c r="D32" s="127">
        <v>2020</v>
      </c>
      <c r="E32" s="119">
        <f>Submetering!E32+Submetering!F32+Submetering!G32+Submetering!H32+Submetering!I32+Submetering!J32+Submetering!K32</f>
        <v>27900</v>
      </c>
      <c r="F32" s="129">
        <v>0.2</v>
      </c>
      <c r="G32" s="119">
        <f>Submetering!P32</f>
        <v>479.70000000006985</v>
      </c>
      <c r="H32" s="129">
        <v>6.47</v>
      </c>
      <c r="I32" s="119">
        <f>Submetering!T32-Submetering!T32*15%-Submetering!X32</f>
        <v>67807.203599998538</v>
      </c>
      <c r="J32" s="118">
        <v>0.21</v>
      </c>
      <c r="K32" s="119">
        <f>Submetering!N33-Submetering!O33</f>
        <v>1875.9409999999998</v>
      </c>
      <c r="L32" s="129">
        <v>7.84</v>
      </c>
      <c r="M32" s="119">
        <f>Submetering!Y32</f>
        <v>108</v>
      </c>
      <c r="N32" s="120">
        <f>Submetering!Z32</f>
        <v>229</v>
      </c>
    </row>
    <row r="33" spans="13:14" x14ac:dyDescent="0.25">
      <c r="M33" s="4">
        <f>SUM(M2:M32)</f>
        <v>2210</v>
      </c>
      <c r="N33" s="4">
        <f>SUM(N2:N32)</f>
        <v>4325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tabSelected="1" workbookViewId="0">
      <pane xSplit="2" ySplit="1" topLeftCell="I8" activePane="bottomRight" state="frozen"/>
      <selection pane="topRight" activeCell="C1" sqref="C1"/>
      <selection pane="bottomLeft" activeCell="A2" sqref="A2"/>
      <selection pane="bottomRight" activeCell="U27" sqref="U27"/>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3" t="s">
        <v>0</v>
      </c>
      <c r="B1" s="104" t="s">
        <v>1</v>
      </c>
      <c r="C1" s="105" t="s">
        <v>2</v>
      </c>
      <c r="D1" s="104" t="s">
        <v>3</v>
      </c>
      <c r="E1" s="106" t="s">
        <v>64</v>
      </c>
      <c r="F1" s="106" t="s">
        <v>81</v>
      </c>
      <c r="G1" s="106" t="s">
        <v>84</v>
      </c>
      <c r="H1" s="106" t="s">
        <v>65</v>
      </c>
      <c r="I1" s="106" t="s">
        <v>66</v>
      </c>
      <c r="J1" s="106" t="s">
        <v>67</v>
      </c>
      <c r="K1" s="106" t="s">
        <v>68</v>
      </c>
      <c r="L1" s="107" t="s">
        <v>69</v>
      </c>
      <c r="M1" s="107" t="s">
        <v>70</v>
      </c>
      <c r="N1" s="107" t="s">
        <v>71</v>
      </c>
      <c r="O1" s="107" t="s">
        <v>72</v>
      </c>
      <c r="P1" s="107" t="s">
        <v>73</v>
      </c>
      <c r="Q1" s="107" t="s">
        <v>74</v>
      </c>
      <c r="R1" s="107" t="s">
        <v>75</v>
      </c>
      <c r="S1" s="107" t="s">
        <v>91</v>
      </c>
      <c r="T1" s="107" t="s">
        <v>86</v>
      </c>
      <c r="U1" s="107" t="s">
        <v>87</v>
      </c>
      <c r="V1" s="107" t="s">
        <v>88</v>
      </c>
      <c r="W1" s="107" t="s">
        <v>89</v>
      </c>
      <c r="X1" s="107" t="s">
        <v>90</v>
      </c>
      <c r="Y1" s="108" t="s">
        <v>8</v>
      </c>
      <c r="Z1" s="107" t="s">
        <v>9</v>
      </c>
    </row>
    <row r="2" spans="1:26" x14ac:dyDescent="0.25">
      <c r="A2" s="109" t="s">
        <v>80</v>
      </c>
      <c r="B2" s="110">
        <v>1</v>
      </c>
      <c r="C2" s="111">
        <v>7</v>
      </c>
      <c r="D2" s="110">
        <v>2020</v>
      </c>
      <c r="E2" s="112">
        <f>'FS-AD Daily '!B6</f>
        <v>3802</v>
      </c>
      <c r="F2" s="112">
        <f>'FS-AD Daily '!C6</f>
        <v>1915</v>
      </c>
      <c r="G2" s="112">
        <f>'FS-AD Daily '!D6</f>
        <v>853</v>
      </c>
      <c r="H2" s="112">
        <f>'FS-AD Daily '!E6</f>
        <v>3901</v>
      </c>
      <c r="I2" s="112">
        <f>'FS-AD Daily '!F6</f>
        <v>4926</v>
      </c>
      <c r="J2" s="112">
        <f>'FS-AD Daily '!G6</f>
        <v>3501</v>
      </c>
      <c r="K2" s="112">
        <f>'FS-AD Daily '!H6</f>
        <v>6699</v>
      </c>
      <c r="L2" s="112">
        <f>'FS-AD Daily '!I6</f>
        <v>2750</v>
      </c>
      <c r="M2" s="112">
        <f>'FS-AD Daily '!J6</f>
        <v>6992</v>
      </c>
      <c r="N2" s="112">
        <f>'FS-AD Daily '!T6</f>
        <v>106.09399999999999</v>
      </c>
      <c r="O2" s="112">
        <f>'FS-AD Daily '!R6</f>
        <v>24.450000000000003</v>
      </c>
      <c r="P2" s="112">
        <f>'FS-AD Daily '!Z6</f>
        <v>346.29999999993015</v>
      </c>
      <c r="Q2" s="112">
        <f>'FS-AD Daily '!V6</f>
        <v>166.5</v>
      </c>
      <c r="R2" s="112">
        <f>'FS-AD Daily '!W6</f>
        <v>0</v>
      </c>
      <c r="S2" s="112">
        <f>P2-Q2-R2</f>
        <v>179.79999999993015</v>
      </c>
      <c r="T2" s="112">
        <f>'FS-AD Daily '!AD6*3.516</f>
        <v>99657.504000000001</v>
      </c>
      <c r="U2" s="112">
        <f>('FS-AD Daily '!AF6)*1000</f>
        <v>43200</v>
      </c>
      <c r="V2" s="112">
        <f>('FS-AD Daily '!AG6)*1000</f>
        <v>40000</v>
      </c>
      <c r="W2" s="112">
        <f>'FS-AD Daily '!AH6*1000</f>
        <v>18400</v>
      </c>
      <c r="X2" s="112">
        <f>('FS-AD Daily '!AK6)*1000</f>
        <v>27099.999999998545</v>
      </c>
      <c r="Y2" s="112">
        <v>48</v>
      </c>
      <c r="Z2" s="113">
        <v>80</v>
      </c>
    </row>
    <row r="3" spans="1:26" x14ac:dyDescent="0.25">
      <c r="A3" s="114" t="s">
        <v>80</v>
      </c>
      <c r="B3" s="69">
        <f>B2+1</f>
        <v>2</v>
      </c>
      <c r="C3" s="70">
        <v>7</v>
      </c>
      <c r="D3" s="69">
        <v>2020</v>
      </c>
      <c r="E3" s="71">
        <f>'FS-AD Daily '!B7</f>
        <v>3893</v>
      </c>
      <c r="F3" s="71">
        <f>'FS-AD Daily '!C7</f>
        <v>1933</v>
      </c>
      <c r="G3" s="71">
        <f>'FS-AD Daily '!D7</f>
        <v>890</v>
      </c>
      <c r="H3" s="71">
        <f>'FS-AD Daily '!E7</f>
        <v>3970</v>
      </c>
      <c r="I3" s="71">
        <f>'FS-AD Daily '!F7</f>
        <v>5069</v>
      </c>
      <c r="J3" s="71">
        <f>'FS-AD Daily '!G7</f>
        <v>3470</v>
      </c>
      <c r="K3" s="71">
        <f>'FS-AD Daily '!H7</f>
        <v>5354</v>
      </c>
      <c r="L3" s="71">
        <f>'FS-AD Daily '!I7</f>
        <v>2755</v>
      </c>
      <c r="M3" s="71">
        <f>'FS-AD Daily '!J7</f>
        <v>7099</v>
      </c>
      <c r="N3" s="71">
        <f>'FS-AD Daily '!T7</f>
        <v>118.024</v>
      </c>
      <c r="O3" s="71">
        <f>'FS-AD Daily '!R7</f>
        <v>53.755000000000003</v>
      </c>
      <c r="P3" s="71">
        <f>'FS-AD Daily '!Z7</f>
        <v>355.30000000004657</v>
      </c>
      <c r="Q3" s="71">
        <f>'FS-AD Daily '!V7</f>
        <v>178.9</v>
      </c>
      <c r="R3" s="71">
        <f>'FS-AD Daily '!W7</f>
        <v>0</v>
      </c>
      <c r="S3" s="71">
        <f t="shared" ref="S3:S31" si="0">P3-Q3-R3</f>
        <v>176.40000000004656</v>
      </c>
      <c r="T3" s="71">
        <f>'FS-AD Daily '!AD7*3.516</f>
        <v>95877.804000000004</v>
      </c>
      <c r="U3" s="71">
        <f>('FS-AD Daily '!AF7)*1000</f>
        <v>42500</v>
      </c>
      <c r="V3" s="71">
        <f>('FS-AD Daily '!AG7)*1000</f>
        <v>32000</v>
      </c>
      <c r="W3" s="71">
        <f>'FS-AD Daily '!AH7*1000</f>
        <v>19900</v>
      </c>
      <c r="X3" s="71">
        <f>('FS-AD Daily '!AK7)*1000</f>
        <v>26900.000000001455</v>
      </c>
      <c r="Y3" s="71">
        <v>59</v>
      </c>
      <c r="Z3" s="115">
        <v>109</v>
      </c>
    </row>
    <row r="4" spans="1:26" x14ac:dyDescent="0.25">
      <c r="A4" s="114" t="s">
        <v>80</v>
      </c>
      <c r="B4" s="69">
        <f t="shared" ref="B4:B32" si="1">B3+1</f>
        <v>3</v>
      </c>
      <c r="C4" s="70">
        <v>7</v>
      </c>
      <c r="D4" s="69">
        <v>2020</v>
      </c>
      <c r="E4" s="71">
        <f>'FS-AD Daily '!B8</f>
        <v>3925</v>
      </c>
      <c r="F4" s="71">
        <f>'FS-AD Daily '!C8</f>
        <v>1826</v>
      </c>
      <c r="G4" s="71">
        <f>'FS-AD Daily '!D8</f>
        <v>905</v>
      </c>
      <c r="H4" s="71">
        <f>'FS-AD Daily '!E8</f>
        <v>3965</v>
      </c>
      <c r="I4" s="71">
        <f>'FS-AD Daily '!F8</f>
        <v>4959</v>
      </c>
      <c r="J4" s="71">
        <f>'FS-AD Daily '!G8</f>
        <v>3492</v>
      </c>
      <c r="K4" s="71">
        <f>'FS-AD Daily '!H8</f>
        <v>5765</v>
      </c>
      <c r="L4" s="71">
        <f>'FS-AD Daily '!I8</f>
        <v>2729</v>
      </c>
      <c r="M4" s="71">
        <f>'FS-AD Daily '!J8</f>
        <v>7269</v>
      </c>
      <c r="N4" s="71">
        <f>'FS-AD Daily '!T8</f>
        <v>108.711</v>
      </c>
      <c r="O4" s="71">
        <f>'FS-AD Daily '!R8</f>
        <v>60.497</v>
      </c>
      <c r="P4" s="71">
        <f>'FS-AD Daily '!Z8</f>
        <v>358.30000000004657</v>
      </c>
      <c r="Q4" s="71">
        <f>'FS-AD Daily '!V8</f>
        <v>187.1</v>
      </c>
      <c r="R4" s="71">
        <f>'FS-AD Daily '!W8</f>
        <v>0</v>
      </c>
      <c r="S4" s="71">
        <f t="shared" si="0"/>
        <v>171.20000000004657</v>
      </c>
      <c r="T4" s="71">
        <f>'FS-AD Daily '!AD8*3.516</f>
        <v>101369.796</v>
      </c>
      <c r="U4" s="71">
        <f>('FS-AD Daily '!AF8)*1000</f>
        <v>45900</v>
      </c>
      <c r="V4" s="71">
        <f>('FS-AD Daily '!AG8)*1000</f>
        <v>34600</v>
      </c>
      <c r="W4" s="71">
        <f>'FS-AD Daily '!AH8*1000</f>
        <v>19900</v>
      </c>
      <c r="X4" s="71">
        <f>('FS-AD Daily '!AK8)*1000</f>
        <v>27800.00000000291</v>
      </c>
      <c r="Y4" s="71">
        <v>66</v>
      </c>
      <c r="Z4" s="115">
        <v>134</v>
      </c>
    </row>
    <row r="5" spans="1:26" x14ac:dyDescent="0.25">
      <c r="A5" s="114" t="s">
        <v>80</v>
      </c>
      <c r="B5" s="69">
        <f t="shared" si="1"/>
        <v>4</v>
      </c>
      <c r="C5" s="70">
        <v>7</v>
      </c>
      <c r="D5" s="69">
        <v>2020</v>
      </c>
      <c r="E5" s="71">
        <f>'FS-AD Daily '!B9</f>
        <v>3843</v>
      </c>
      <c r="F5" s="71">
        <f>'FS-AD Daily '!C9</f>
        <v>2042</v>
      </c>
      <c r="G5" s="71">
        <f>'FS-AD Daily '!D9</f>
        <v>889</v>
      </c>
      <c r="H5" s="71">
        <f>'FS-AD Daily '!E9</f>
        <v>4062</v>
      </c>
      <c r="I5" s="71">
        <f>'FS-AD Daily '!F9</f>
        <v>5001</v>
      </c>
      <c r="J5" s="71">
        <f>'FS-AD Daily '!G9</f>
        <v>3625</v>
      </c>
      <c r="K5" s="71">
        <f>'FS-AD Daily '!H9</f>
        <v>7032</v>
      </c>
      <c r="L5" s="71">
        <f>'FS-AD Daily '!I9</f>
        <v>2748</v>
      </c>
      <c r="M5" s="71">
        <f>'FS-AD Daily '!J9</f>
        <v>7142</v>
      </c>
      <c r="N5" s="71">
        <f>'FS-AD Daily '!T9</f>
        <v>136.62700000000001</v>
      </c>
      <c r="O5" s="71">
        <f>'FS-AD Daily '!R9</f>
        <v>68.581999999999994</v>
      </c>
      <c r="P5" s="71">
        <f>'FS-AD Daily '!Z9</f>
        <v>371.39999999990687</v>
      </c>
      <c r="Q5" s="71">
        <f>'FS-AD Daily '!V9</f>
        <v>191.7</v>
      </c>
      <c r="R5" s="71">
        <f>'FS-AD Daily '!W9</f>
        <v>0</v>
      </c>
      <c r="S5" s="71">
        <f t="shared" si="0"/>
        <v>179.69999999990688</v>
      </c>
      <c r="T5" s="71">
        <f>'FS-AD Daily '!AD9*3.516</f>
        <v>107688.048</v>
      </c>
      <c r="U5" s="71">
        <f>('FS-AD Daily '!AF9)*1000</f>
        <v>48900</v>
      </c>
      <c r="V5" s="71">
        <f>('FS-AD Daily '!AG9)*1000</f>
        <v>42800</v>
      </c>
      <c r="W5" s="71">
        <f>'FS-AD Daily '!AH9*1000</f>
        <v>19500</v>
      </c>
      <c r="X5" s="71">
        <f>('FS-AD Daily '!AK9)*1000</f>
        <v>26799.999999995634</v>
      </c>
      <c r="Y5" s="71">
        <v>61</v>
      </c>
      <c r="Z5" s="115">
        <v>120</v>
      </c>
    </row>
    <row r="6" spans="1:26" x14ac:dyDescent="0.25">
      <c r="A6" s="114" t="s">
        <v>80</v>
      </c>
      <c r="B6" s="69">
        <f t="shared" si="1"/>
        <v>5</v>
      </c>
      <c r="C6" s="70">
        <v>7</v>
      </c>
      <c r="D6" s="69">
        <v>2020</v>
      </c>
      <c r="E6" s="71">
        <f>'FS-AD Daily '!B10</f>
        <v>3846</v>
      </c>
      <c r="F6" s="71">
        <f>'FS-AD Daily '!C10</f>
        <v>1854</v>
      </c>
      <c r="G6" s="71">
        <f>'FS-AD Daily '!D10</f>
        <v>848</v>
      </c>
      <c r="H6" s="71">
        <f>'FS-AD Daily '!E10</f>
        <v>4101</v>
      </c>
      <c r="I6" s="71">
        <f>'FS-AD Daily '!F10</f>
        <v>5096</v>
      </c>
      <c r="J6" s="71">
        <f>'FS-AD Daily '!G10</f>
        <v>3346</v>
      </c>
      <c r="K6" s="71">
        <f>'FS-AD Daily '!H10</f>
        <v>4987</v>
      </c>
      <c r="L6" s="71">
        <f>'FS-AD Daily '!I10</f>
        <v>2765</v>
      </c>
      <c r="M6" s="71">
        <f>'FS-AD Daily '!J10</f>
        <v>7335</v>
      </c>
      <c r="N6" s="71">
        <f>'FS-AD Daily '!T10</f>
        <v>109.89100000000001</v>
      </c>
      <c r="O6" s="71">
        <f>'FS-AD Daily '!R10</f>
        <v>47.996000000000002</v>
      </c>
      <c r="P6" s="71">
        <f>'FS-AD Daily '!Z10</f>
        <v>339.60000000009313</v>
      </c>
      <c r="Q6" s="71">
        <f>'FS-AD Daily '!V10</f>
        <v>177.1</v>
      </c>
      <c r="R6" s="71">
        <f>'FS-AD Daily '!W10</f>
        <v>0</v>
      </c>
      <c r="S6" s="71">
        <f t="shared" si="0"/>
        <v>162.50000000009314</v>
      </c>
      <c r="T6" s="71">
        <f>'FS-AD Daily '!AD10*3.516</f>
        <v>92892.72</v>
      </c>
      <c r="U6" s="71">
        <f>('FS-AD Daily '!AF10)*1000</f>
        <v>39700</v>
      </c>
      <c r="V6" s="71">
        <f>('FS-AD Daily '!AG10)*1000</f>
        <v>31000</v>
      </c>
      <c r="W6" s="71">
        <f>'FS-AD Daily '!AH10*1000</f>
        <v>19900</v>
      </c>
      <c r="X6" s="71">
        <f>('FS-AD Daily '!AK10)*1000</f>
        <v>26600.000000005821</v>
      </c>
      <c r="Y6" s="71">
        <v>55</v>
      </c>
      <c r="Z6" s="115">
        <v>111</v>
      </c>
    </row>
    <row r="7" spans="1:26" x14ac:dyDescent="0.25">
      <c r="A7" s="114" t="s">
        <v>80</v>
      </c>
      <c r="B7" s="69">
        <f t="shared" si="1"/>
        <v>6</v>
      </c>
      <c r="C7" s="70">
        <v>7</v>
      </c>
      <c r="D7" s="69">
        <v>2020</v>
      </c>
      <c r="E7" s="71">
        <f>'FS-AD Daily '!B11</f>
        <v>3860</v>
      </c>
      <c r="F7" s="71">
        <f>'FS-AD Daily '!C11</f>
        <v>2123</v>
      </c>
      <c r="G7" s="71">
        <f>'FS-AD Daily '!D11</f>
        <v>854</v>
      </c>
      <c r="H7" s="71">
        <f>'FS-AD Daily '!E11</f>
        <v>4257</v>
      </c>
      <c r="I7" s="71">
        <f>'FS-AD Daily '!F11</f>
        <v>5128</v>
      </c>
      <c r="J7" s="71">
        <f>'FS-AD Daily '!G11</f>
        <v>3346</v>
      </c>
      <c r="K7" s="71">
        <f>'FS-AD Daily '!H11</f>
        <v>4300</v>
      </c>
      <c r="L7" s="71">
        <f>'FS-AD Daily '!I11</f>
        <v>2785</v>
      </c>
      <c r="M7" s="71">
        <f>'FS-AD Daily '!J11</f>
        <v>7209</v>
      </c>
      <c r="N7" s="71">
        <f>'FS-AD Daily '!T11</f>
        <v>109.331</v>
      </c>
      <c r="O7" s="71">
        <f>'FS-AD Daily '!R11</f>
        <v>47.368000000000002</v>
      </c>
      <c r="P7" s="71">
        <f>'FS-AD Daily '!Z11</f>
        <v>363.59999999997672</v>
      </c>
      <c r="Q7" s="71">
        <f>'FS-AD Daily '!V11</f>
        <v>186.5</v>
      </c>
      <c r="R7" s="71">
        <f>'FS-AD Daily '!W11</f>
        <v>0.01</v>
      </c>
      <c r="S7" s="71">
        <f t="shared" si="0"/>
        <v>177.08999999997673</v>
      </c>
      <c r="T7" s="71">
        <f>'FS-AD Daily '!AD11*3.516</f>
        <v>86704.56</v>
      </c>
      <c r="U7" s="71">
        <f>('FS-AD Daily '!AF11)*1000</f>
        <v>39600</v>
      </c>
      <c r="V7" s="71">
        <f>('FS-AD Daily '!AG11)*1000</f>
        <v>28000</v>
      </c>
      <c r="W7" s="71">
        <f>'FS-AD Daily '!AH11*1000</f>
        <v>18700</v>
      </c>
      <c r="X7" s="71">
        <f>('FS-AD Daily '!AK11)*1000</f>
        <v>24399.999999994179</v>
      </c>
      <c r="Y7" s="71">
        <v>64</v>
      </c>
      <c r="Z7" s="115">
        <v>120</v>
      </c>
    </row>
    <row r="8" spans="1:26" x14ac:dyDescent="0.25">
      <c r="A8" s="114" t="s">
        <v>80</v>
      </c>
      <c r="B8" s="69">
        <f t="shared" si="1"/>
        <v>7</v>
      </c>
      <c r="C8" s="70">
        <v>7</v>
      </c>
      <c r="D8" s="69">
        <v>2020</v>
      </c>
      <c r="E8" s="71">
        <f>'FS-AD Daily '!B12</f>
        <v>3944</v>
      </c>
      <c r="F8" s="71">
        <f>'FS-AD Daily '!C12</f>
        <v>2037</v>
      </c>
      <c r="G8" s="71">
        <f>'FS-AD Daily '!D12</f>
        <v>856</v>
      </c>
      <c r="H8" s="71">
        <f>'FS-AD Daily '!E12</f>
        <v>3968</v>
      </c>
      <c r="I8" s="71">
        <f>'FS-AD Daily '!F12</f>
        <v>5050</v>
      </c>
      <c r="J8" s="71">
        <f>'FS-AD Daily '!G12</f>
        <v>3564</v>
      </c>
      <c r="K8" s="71">
        <f>'FS-AD Daily '!H12</f>
        <v>6234</v>
      </c>
      <c r="L8" s="71">
        <f>'FS-AD Daily '!I12</f>
        <v>2643</v>
      </c>
      <c r="M8" s="71">
        <f>'FS-AD Daily '!J12</f>
        <v>7134</v>
      </c>
      <c r="N8" s="71">
        <f>'FS-AD Daily '!T12</f>
        <v>102.96900000000001</v>
      </c>
      <c r="O8" s="71">
        <f>'FS-AD Daily '!R12</f>
        <v>71.375</v>
      </c>
      <c r="P8" s="71">
        <f>'FS-AD Daily '!Z12</f>
        <v>349.69999999995343</v>
      </c>
      <c r="Q8" s="71">
        <f>'FS-AD Daily '!V12</f>
        <v>184</v>
      </c>
      <c r="R8" s="71">
        <f>'FS-AD Daily '!W12</f>
        <v>0</v>
      </c>
      <c r="S8" s="71">
        <f t="shared" si="0"/>
        <v>165.69999999995343</v>
      </c>
      <c r="T8" s="71">
        <f>'FS-AD Daily '!AD12*3.516</f>
        <v>99158.232000000004</v>
      </c>
      <c r="U8" s="71">
        <f>('FS-AD Daily '!AF12)*1000</f>
        <v>46500</v>
      </c>
      <c r="V8" s="71">
        <f>('FS-AD Daily '!AG12)*1000</f>
        <v>35000</v>
      </c>
      <c r="W8" s="71">
        <f>'FS-AD Daily '!AH12*1000</f>
        <v>19300</v>
      </c>
      <c r="X8" s="71">
        <f>('FS-AD Daily '!AK12)*1000</f>
        <v>24900.000000001455</v>
      </c>
      <c r="Y8" s="71">
        <v>68</v>
      </c>
      <c r="Z8" s="115">
        <v>130</v>
      </c>
    </row>
    <row r="9" spans="1:26" x14ac:dyDescent="0.25">
      <c r="A9" s="114" t="s">
        <v>80</v>
      </c>
      <c r="B9" s="69">
        <f t="shared" si="1"/>
        <v>8</v>
      </c>
      <c r="C9" s="70">
        <v>7</v>
      </c>
      <c r="D9" s="69">
        <v>2020</v>
      </c>
      <c r="E9" s="71">
        <f>'FS-AD Daily '!B13</f>
        <v>3880</v>
      </c>
      <c r="F9" s="71">
        <f>'FS-AD Daily '!C13</f>
        <v>2033</v>
      </c>
      <c r="G9" s="71">
        <f>'FS-AD Daily '!D13</f>
        <v>852</v>
      </c>
      <c r="H9" s="71">
        <f>'FS-AD Daily '!E13</f>
        <v>4139</v>
      </c>
      <c r="I9" s="71">
        <f>'FS-AD Daily '!F13</f>
        <v>5093</v>
      </c>
      <c r="J9" s="71">
        <f>'FS-AD Daily '!G13</f>
        <v>3717</v>
      </c>
      <c r="K9" s="71">
        <f>'FS-AD Daily '!H13</f>
        <v>7345</v>
      </c>
      <c r="L9" s="71">
        <f>'FS-AD Daily '!I13</f>
        <v>2651</v>
      </c>
      <c r="M9" s="71">
        <f>'FS-AD Daily '!J13</f>
        <v>7252</v>
      </c>
      <c r="N9" s="71">
        <f>'FS-AD Daily '!T13</f>
        <v>118.18</v>
      </c>
      <c r="O9" s="71">
        <f>'FS-AD Daily '!R13</f>
        <v>80.081999999999994</v>
      </c>
      <c r="P9" s="71">
        <f>'FS-AD Daily '!Z13</f>
        <v>283.59999999997672</v>
      </c>
      <c r="Q9" s="71">
        <f>'FS-AD Daily '!V13</f>
        <v>113.3</v>
      </c>
      <c r="R9" s="71">
        <f>'FS-AD Daily '!W13</f>
        <v>0</v>
      </c>
      <c r="S9" s="71">
        <f t="shared" si="0"/>
        <v>170.29999999997671</v>
      </c>
      <c r="T9" s="71">
        <f>'FS-AD Daily '!AD13*3.516</f>
        <v>106661.376</v>
      </c>
      <c r="U9" s="71">
        <f>('FS-AD Daily '!AF13)*1000</f>
        <v>47100</v>
      </c>
      <c r="V9" s="71">
        <f>('FS-AD Daily '!AG13)*1000</f>
        <v>42000</v>
      </c>
      <c r="W9" s="71">
        <f>'FS-AD Daily '!AH13*1000</f>
        <v>18700</v>
      </c>
      <c r="X9" s="71">
        <f>('FS-AD Daily '!AK13)*1000</f>
        <v>27700.000000004366</v>
      </c>
      <c r="Y9" s="71">
        <v>61</v>
      </c>
      <c r="Z9" s="115">
        <v>125</v>
      </c>
    </row>
    <row r="10" spans="1:26" x14ac:dyDescent="0.25">
      <c r="A10" s="114" t="s">
        <v>80</v>
      </c>
      <c r="B10" s="69">
        <f t="shared" si="1"/>
        <v>9</v>
      </c>
      <c r="C10" s="70">
        <v>7</v>
      </c>
      <c r="D10" s="69">
        <v>2020</v>
      </c>
      <c r="E10" s="71">
        <f>'FS-AD Daily '!B14</f>
        <v>3793</v>
      </c>
      <c r="F10" s="71">
        <f>'FS-AD Daily '!C14</f>
        <v>1918</v>
      </c>
      <c r="G10" s="71">
        <f>'FS-AD Daily '!D14</f>
        <v>921</v>
      </c>
      <c r="H10" s="71">
        <f>'FS-AD Daily '!E14</f>
        <v>4080</v>
      </c>
      <c r="I10" s="71">
        <f>'FS-AD Daily '!F14</f>
        <v>5099</v>
      </c>
      <c r="J10" s="71">
        <f>'FS-AD Daily '!G14</f>
        <v>3402</v>
      </c>
      <c r="K10" s="71">
        <f>'FS-AD Daily '!H14</f>
        <v>5547</v>
      </c>
      <c r="L10" s="71">
        <f>'FS-AD Daily '!I14</f>
        <v>2722</v>
      </c>
      <c r="M10" s="71">
        <f>'FS-AD Daily '!J14</f>
        <v>7369</v>
      </c>
      <c r="N10" s="71">
        <f>'FS-AD Daily '!T14</f>
        <v>153.46300000000002</v>
      </c>
      <c r="O10" s="71">
        <f>'FS-AD Daily '!R14</f>
        <v>62.261000000000003</v>
      </c>
      <c r="P10" s="71">
        <f>'FS-AD Daily '!Z14</f>
        <v>424.30000000004657</v>
      </c>
      <c r="Q10" s="71">
        <f>'FS-AD Daily '!V14</f>
        <v>217</v>
      </c>
      <c r="R10" s="71">
        <f>'FS-AD Daily '!W14</f>
        <v>0</v>
      </c>
      <c r="S10" s="71">
        <f t="shared" si="0"/>
        <v>207.30000000004657</v>
      </c>
      <c r="T10" s="71">
        <f>'FS-AD Daily '!AD14*3.516</f>
        <v>93912.36</v>
      </c>
      <c r="U10" s="71">
        <f>('FS-AD Daily '!AF14)*1000</f>
        <v>41400</v>
      </c>
      <c r="V10" s="71">
        <f>('FS-AD Daily '!AG14)*1000</f>
        <v>32900</v>
      </c>
      <c r="W10" s="71">
        <f>'FS-AD Daily '!AH14*1000</f>
        <v>19400</v>
      </c>
      <c r="X10" s="71">
        <f>('FS-AD Daily '!AK14)*1000</f>
        <v>25699.99999999709</v>
      </c>
      <c r="Y10" s="71">
        <v>57</v>
      </c>
      <c r="Z10" s="115">
        <v>122</v>
      </c>
    </row>
    <row r="11" spans="1:26" x14ac:dyDescent="0.25">
      <c r="A11" s="114" t="s">
        <v>80</v>
      </c>
      <c r="B11" s="69">
        <f t="shared" si="1"/>
        <v>10</v>
      </c>
      <c r="C11" s="70">
        <v>7</v>
      </c>
      <c r="D11" s="69">
        <v>2020</v>
      </c>
      <c r="E11" s="71">
        <f>'FS-AD Daily '!B15</f>
        <v>3981</v>
      </c>
      <c r="F11" s="71">
        <f>'FS-AD Daily '!C15</f>
        <v>1973</v>
      </c>
      <c r="G11" s="71">
        <f>'FS-AD Daily '!D15</f>
        <v>893</v>
      </c>
      <c r="H11" s="71">
        <f>'FS-AD Daily '!E15</f>
        <v>4045</v>
      </c>
      <c r="I11" s="71">
        <f>'FS-AD Daily '!F15</f>
        <v>5049</v>
      </c>
      <c r="J11" s="71">
        <f>'FS-AD Daily '!G15</f>
        <v>3387</v>
      </c>
      <c r="K11" s="71">
        <f>'FS-AD Daily '!H15</f>
        <v>4693</v>
      </c>
      <c r="L11" s="71">
        <f>'FS-AD Daily '!I15</f>
        <v>2763</v>
      </c>
      <c r="M11" s="71">
        <f>'FS-AD Daily '!J15</f>
        <v>7423</v>
      </c>
      <c r="N11" s="71">
        <f>'FS-AD Daily '!T15</f>
        <v>100.74700000000001</v>
      </c>
      <c r="O11" s="71">
        <f>'FS-AD Daily '!R15</f>
        <v>66.948000000000008</v>
      </c>
      <c r="P11" s="71">
        <f>'FS-AD Daily '!Z15</f>
        <v>390.5</v>
      </c>
      <c r="Q11" s="71">
        <f>'FS-AD Daily '!V15</f>
        <v>193.8</v>
      </c>
      <c r="R11" s="71">
        <f>'FS-AD Daily '!W15</f>
        <v>0</v>
      </c>
      <c r="S11" s="71">
        <f t="shared" si="0"/>
        <v>196.7</v>
      </c>
      <c r="T11" s="71">
        <f>'FS-AD Daily '!AD15*3.516</f>
        <v>95519.172000000006</v>
      </c>
      <c r="U11" s="71">
        <f>('FS-AD Daily '!AF15)*1000</f>
        <v>41900</v>
      </c>
      <c r="V11" s="71">
        <f>('FS-AD Daily '!AG15)*1000</f>
        <v>29900</v>
      </c>
      <c r="W11" s="71">
        <f>'FS-AD Daily '!AH15*1000</f>
        <v>21200</v>
      </c>
      <c r="X11" s="71">
        <f>('FS-AD Daily '!AK15)*1000</f>
        <v>27099.999999998545</v>
      </c>
      <c r="Y11" s="71">
        <v>59</v>
      </c>
      <c r="Z11" s="115">
        <v>124</v>
      </c>
    </row>
    <row r="12" spans="1:26" x14ac:dyDescent="0.25">
      <c r="A12" s="114" t="s">
        <v>80</v>
      </c>
      <c r="B12" s="69">
        <f t="shared" si="1"/>
        <v>11</v>
      </c>
      <c r="C12" s="70">
        <v>7</v>
      </c>
      <c r="D12" s="69">
        <v>2020</v>
      </c>
      <c r="E12" s="71">
        <f>'FS-AD Daily '!B16</f>
        <v>4124</v>
      </c>
      <c r="F12" s="71">
        <f>'FS-AD Daily '!C16</f>
        <v>1938</v>
      </c>
      <c r="G12" s="71">
        <f>'FS-AD Daily '!D16</f>
        <v>881</v>
      </c>
      <c r="H12" s="71">
        <f>'FS-AD Daily '!E16</f>
        <v>4006</v>
      </c>
      <c r="I12" s="71">
        <f>'FS-AD Daily '!F16</f>
        <v>4943</v>
      </c>
      <c r="J12" s="71">
        <f>'FS-AD Daily '!G16</f>
        <v>3244</v>
      </c>
      <c r="K12" s="71">
        <f>'FS-AD Daily '!H16</f>
        <v>4637</v>
      </c>
      <c r="L12" s="71">
        <f>'FS-AD Daily '!I16</f>
        <v>2693</v>
      </c>
      <c r="M12" s="71">
        <f>'FS-AD Daily '!J16</f>
        <v>7241</v>
      </c>
      <c r="N12" s="71">
        <f>'FS-AD Daily '!T16</f>
        <v>105.785</v>
      </c>
      <c r="O12" s="71">
        <f>'FS-AD Daily '!R16</f>
        <v>66.576999999999998</v>
      </c>
      <c r="P12" s="71">
        <f>'FS-AD Daily '!Z16</f>
        <v>377.90000000002328</v>
      </c>
      <c r="Q12" s="71">
        <f>'FS-AD Daily '!V16</f>
        <v>180.9</v>
      </c>
      <c r="R12" s="71">
        <f>'FS-AD Daily '!W16</f>
        <v>0</v>
      </c>
      <c r="S12" s="71">
        <f t="shared" si="0"/>
        <v>197.00000000002328</v>
      </c>
      <c r="T12" s="71">
        <f>'FS-AD Daily '!AD16*3.516</f>
        <v>92112.168000000005</v>
      </c>
      <c r="U12" s="71">
        <f>('FS-AD Daily '!AF16)*1000</f>
        <v>39400</v>
      </c>
      <c r="V12" s="71">
        <f>('FS-AD Daily '!AG16)*1000</f>
        <v>30500</v>
      </c>
      <c r="W12" s="71">
        <f>'FS-AD Daily '!AH16*1000</f>
        <v>20100</v>
      </c>
      <c r="X12" s="71">
        <f>('FS-AD Daily '!AK16)*1000</f>
        <v>26599.999999998545</v>
      </c>
      <c r="Y12" s="71">
        <v>54</v>
      </c>
      <c r="Z12" s="115">
        <v>111</v>
      </c>
    </row>
    <row r="13" spans="1:26" x14ac:dyDescent="0.25">
      <c r="A13" s="114" t="s">
        <v>80</v>
      </c>
      <c r="B13" s="69">
        <f t="shared" si="1"/>
        <v>12</v>
      </c>
      <c r="C13" s="70">
        <v>7</v>
      </c>
      <c r="D13" s="69">
        <v>2020</v>
      </c>
      <c r="E13" s="71">
        <f>'FS-AD Daily '!B17</f>
        <v>4221</v>
      </c>
      <c r="F13" s="71">
        <f>'FS-AD Daily '!C17</f>
        <v>2131</v>
      </c>
      <c r="G13" s="71">
        <f>'FS-AD Daily '!D17</f>
        <v>828</v>
      </c>
      <c r="H13" s="71">
        <f>'FS-AD Daily '!E17</f>
        <v>4114</v>
      </c>
      <c r="I13" s="71">
        <f>'FS-AD Daily '!F17</f>
        <v>5022</v>
      </c>
      <c r="J13" s="71">
        <f>'FS-AD Daily '!G17</f>
        <v>3416</v>
      </c>
      <c r="K13" s="71">
        <f>'FS-AD Daily '!H17</f>
        <v>5939</v>
      </c>
      <c r="L13" s="71">
        <f>'FS-AD Daily '!I17</f>
        <v>2678</v>
      </c>
      <c r="M13" s="71">
        <f>'FS-AD Daily '!J17</f>
        <v>7105</v>
      </c>
      <c r="N13" s="71">
        <f>'FS-AD Daily '!T17</f>
        <v>132.654</v>
      </c>
      <c r="O13" s="71">
        <f>'FS-AD Daily '!R17</f>
        <v>60.433</v>
      </c>
      <c r="P13" s="71">
        <f>'FS-AD Daily '!Z17</f>
        <v>375</v>
      </c>
      <c r="Q13" s="71">
        <f>'FS-AD Daily '!V17</f>
        <v>182.5</v>
      </c>
      <c r="R13" s="71">
        <f>'FS-AD Daily '!W17</f>
        <v>0</v>
      </c>
      <c r="S13" s="71">
        <f t="shared" si="0"/>
        <v>192.5</v>
      </c>
      <c r="T13" s="71">
        <f>'FS-AD Daily '!AD17*3.516</f>
        <v>99094.944000000003</v>
      </c>
      <c r="U13" s="71">
        <f>('FS-AD Daily '!AF17)*1000</f>
        <v>43300</v>
      </c>
      <c r="V13" s="71">
        <f>('FS-AD Daily '!AG17)*1000</f>
        <v>35700</v>
      </c>
      <c r="W13" s="71">
        <f>'FS-AD Daily '!AH17*1000</f>
        <v>20100</v>
      </c>
      <c r="X13" s="71">
        <f>('FS-AD Daily '!AK17)*1000</f>
        <v>26200.000000004366</v>
      </c>
      <c r="Y13" s="71">
        <v>68</v>
      </c>
      <c r="Z13" s="115">
        <v>140</v>
      </c>
    </row>
    <row r="14" spans="1:26" x14ac:dyDescent="0.25">
      <c r="A14" s="114" t="s">
        <v>80</v>
      </c>
      <c r="B14" s="69">
        <f t="shared" si="1"/>
        <v>13</v>
      </c>
      <c r="C14" s="70">
        <v>7</v>
      </c>
      <c r="D14" s="69">
        <v>2020</v>
      </c>
      <c r="E14" s="71">
        <f>'FS-AD Daily '!B18</f>
        <v>4143</v>
      </c>
      <c r="F14" s="71">
        <f>'FS-AD Daily '!C18</f>
        <v>2248</v>
      </c>
      <c r="G14" s="71">
        <f>'FS-AD Daily '!D18</f>
        <v>851</v>
      </c>
      <c r="H14" s="71">
        <f>'FS-AD Daily '!E18</f>
        <v>4032</v>
      </c>
      <c r="I14" s="71">
        <f>'FS-AD Daily '!F18</f>
        <v>5148</v>
      </c>
      <c r="J14" s="71">
        <f>'FS-AD Daily '!G18</f>
        <v>3235</v>
      </c>
      <c r="K14" s="71">
        <f>'FS-AD Daily '!H18</f>
        <v>5070</v>
      </c>
      <c r="L14" s="71">
        <f>'FS-AD Daily '!I18</f>
        <v>2701</v>
      </c>
      <c r="M14" s="71">
        <f>'FS-AD Daily '!J18</f>
        <v>7087</v>
      </c>
      <c r="N14" s="71">
        <f>'FS-AD Daily '!T18</f>
        <v>121.16499999999999</v>
      </c>
      <c r="O14" s="71">
        <f>'FS-AD Daily '!R18</f>
        <v>59.989999999999995</v>
      </c>
      <c r="P14" s="71">
        <f>'FS-AD Daily '!Z18</f>
        <v>346.29999999993015</v>
      </c>
      <c r="Q14" s="71">
        <f>'FS-AD Daily '!V18</f>
        <v>180.5</v>
      </c>
      <c r="R14" s="71">
        <f>'FS-AD Daily '!W18</f>
        <v>0</v>
      </c>
      <c r="S14" s="71">
        <f t="shared" si="0"/>
        <v>165.79999999993015</v>
      </c>
      <c r="T14" s="71">
        <f>'FS-AD Daily '!AD18*3.516</f>
        <v>92105.135999999999</v>
      </c>
      <c r="U14" s="71">
        <f>('FS-AD Daily '!AF18)*1000</f>
        <v>41200</v>
      </c>
      <c r="V14" s="71">
        <f>('FS-AD Daily '!AG18)*1000</f>
        <v>26600</v>
      </c>
      <c r="W14" s="71">
        <f>'FS-AD Daily '!AH18*1000</f>
        <v>21000</v>
      </c>
      <c r="X14" s="71">
        <f>('FS-AD Daily '!AK18)*1000</f>
        <v>25500</v>
      </c>
      <c r="Y14" s="71">
        <v>72</v>
      </c>
      <c r="Z14" s="115">
        <v>145</v>
      </c>
    </row>
    <row r="15" spans="1:26" x14ac:dyDescent="0.25">
      <c r="A15" s="114" t="s">
        <v>80</v>
      </c>
      <c r="B15" s="69">
        <f t="shared" si="1"/>
        <v>14</v>
      </c>
      <c r="C15" s="70">
        <v>7</v>
      </c>
      <c r="D15" s="69">
        <v>2020</v>
      </c>
      <c r="E15" s="71">
        <f>'FS-AD Daily '!B19</f>
        <v>4091</v>
      </c>
      <c r="F15" s="71">
        <f>'FS-AD Daily '!C19</f>
        <v>2331</v>
      </c>
      <c r="G15" s="71">
        <f>'FS-AD Daily '!D19</f>
        <v>838</v>
      </c>
      <c r="H15" s="71">
        <f>'FS-AD Daily '!E19</f>
        <v>4030</v>
      </c>
      <c r="I15" s="71">
        <f>'FS-AD Daily '!F19</f>
        <v>5181</v>
      </c>
      <c r="J15" s="71">
        <f>'FS-AD Daily '!G19</f>
        <v>3480</v>
      </c>
      <c r="K15" s="71">
        <f>'FS-AD Daily '!H19</f>
        <v>5264</v>
      </c>
      <c r="L15" s="71">
        <f>'FS-AD Daily '!I19</f>
        <v>2720</v>
      </c>
      <c r="M15" s="71">
        <f>'FS-AD Daily '!J19</f>
        <v>7270</v>
      </c>
      <c r="N15" s="71">
        <f>'FS-AD Daily '!T19</f>
        <v>107.125</v>
      </c>
      <c r="O15" s="71">
        <f>'FS-AD Daily '!R19</f>
        <v>54.811999999999998</v>
      </c>
      <c r="P15" s="71">
        <f>'FS-AD Daily '!Z19</f>
        <v>341.70000000006985</v>
      </c>
      <c r="Q15" s="71">
        <f>'FS-AD Daily '!V19</f>
        <v>185.39999999996508</v>
      </c>
      <c r="R15" s="71">
        <f>'FS-AD Daily '!W19</f>
        <v>0</v>
      </c>
      <c r="S15" s="71">
        <f t="shared" si="0"/>
        <v>156.30000000010477</v>
      </c>
      <c r="T15" s="71">
        <f>'FS-AD Daily '!AD19*3.516</f>
        <v>88494.203999999998</v>
      </c>
      <c r="U15" s="71">
        <f>('FS-AD Daily '!AF19)*1000</f>
        <v>40600</v>
      </c>
      <c r="V15" s="71">
        <f>('FS-AD Daily '!AG19)*1000</f>
        <v>24800</v>
      </c>
      <c r="W15" s="71">
        <f>'FS-AD Daily '!AH19*1000</f>
        <v>21000</v>
      </c>
      <c r="X15" s="71">
        <f>('FS-AD Daily '!AK19)*1000</f>
        <v>23400.000000001455</v>
      </c>
      <c r="Y15" s="71">
        <v>72</v>
      </c>
      <c r="Z15" s="115">
        <v>142</v>
      </c>
    </row>
    <row r="16" spans="1:26" x14ac:dyDescent="0.25">
      <c r="A16" s="114" t="s">
        <v>80</v>
      </c>
      <c r="B16" s="69">
        <f t="shared" si="1"/>
        <v>15</v>
      </c>
      <c r="C16" s="70">
        <v>7</v>
      </c>
      <c r="D16" s="69">
        <v>2020</v>
      </c>
      <c r="E16" s="71">
        <f>'FS-AD Daily '!B20</f>
        <v>4065</v>
      </c>
      <c r="F16" s="71">
        <f>'FS-AD Daily '!C20</f>
        <v>2217</v>
      </c>
      <c r="G16" s="71">
        <f>'FS-AD Daily '!D20</f>
        <v>827</v>
      </c>
      <c r="H16" s="71">
        <f>'FS-AD Daily '!E20</f>
        <v>4221</v>
      </c>
      <c r="I16" s="71">
        <f>'FS-AD Daily '!F20</f>
        <v>5219</v>
      </c>
      <c r="J16" s="71">
        <f>'FS-AD Daily '!G20</f>
        <v>3597</v>
      </c>
      <c r="K16" s="71">
        <f>'FS-AD Daily '!H20</f>
        <v>7392</v>
      </c>
      <c r="L16" s="71">
        <f>'FS-AD Daily '!I20</f>
        <v>2660</v>
      </c>
      <c r="M16" s="71">
        <f>'FS-AD Daily '!J20</f>
        <v>7214</v>
      </c>
      <c r="N16" s="71">
        <f>'FS-AD Daily '!T20</f>
        <v>110.51</v>
      </c>
      <c r="O16" s="71">
        <f>'FS-AD Daily '!R20</f>
        <v>58.480999999999995</v>
      </c>
      <c r="P16" s="71">
        <f>'FS-AD Daily '!Z20</f>
        <v>339.29999999993015</v>
      </c>
      <c r="Q16" s="71">
        <f>'FS-AD Daily '!V20</f>
        <v>176.3</v>
      </c>
      <c r="R16" s="71">
        <f>'FS-AD Daily '!W20</f>
        <v>0</v>
      </c>
      <c r="S16" s="71">
        <f t="shared" si="0"/>
        <v>162.99999999993014</v>
      </c>
      <c r="T16" s="71">
        <f>'FS-AD Daily '!AD20*3.516</f>
        <v>100902.16800000001</v>
      </c>
      <c r="U16" s="71">
        <f>('FS-AD Daily '!AF20)*1000</f>
        <v>45700</v>
      </c>
      <c r="V16" s="71">
        <f>('FS-AD Daily '!AG20)*1000</f>
        <v>34300</v>
      </c>
      <c r="W16" s="71">
        <f>'FS-AD Daily '!AH20*1000</f>
        <v>20600</v>
      </c>
      <c r="X16" s="71">
        <f>('FS-AD Daily '!AK20)*1000</f>
        <v>27199.99999999709</v>
      </c>
      <c r="Y16" s="71">
        <v>83</v>
      </c>
      <c r="Z16" s="115">
        <v>162</v>
      </c>
    </row>
    <row r="17" spans="1:26" x14ac:dyDescent="0.25">
      <c r="A17" s="114" t="s">
        <v>80</v>
      </c>
      <c r="B17" s="69">
        <f t="shared" si="1"/>
        <v>16</v>
      </c>
      <c r="C17" s="70">
        <v>7</v>
      </c>
      <c r="D17" s="69">
        <v>2020</v>
      </c>
      <c r="E17" s="71">
        <f>'FS-AD Daily '!B21</f>
        <v>4225</v>
      </c>
      <c r="F17" s="71">
        <f>'FS-AD Daily '!C21</f>
        <v>2885</v>
      </c>
      <c r="G17" s="71">
        <f>'FS-AD Daily '!D21</f>
        <v>924</v>
      </c>
      <c r="H17" s="71">
        <f>'FS-AD Daily '!E21</f>
        <v>3917</v>
      </c>
      <c r="I17" s="71">
        <f>'FS-AD Daily '!F21</f>
        <v>5366</v>
      </c>
      <c r="J17" s="71">
        <f>'FS-AD Daily '!G21</f>
        <v>3409</v>
      </c>
      <c r="K17" s="71">
        <f>'FS-AD Daily '!H21</f>
        <v>6563</v>
      </c>
      <c r="L17" s="71">
        <f>'FS-AD Daily '!I21</f>
        <v>2651</v>
      </c>
      <c r="M17" s="71">
        <f>'FS-AD Daily '!J21</f>
        <v>7365</v>
      </c>
      <c r="N17" s="71">
        <f>'FS-AD Daily '!T21</f>
        <v>133.131</v>
      </c>
      <c r="O17" s="71">
        <f>'FS-AD Daily '!R21</f>
        <v>64.016999999999996</v>
      </c>
      <c r="P17" s="71">
        <f>'FS-AD Daily '!Z21</f>
        <v>399.80000000004657</v>
      </c>
      <c r="Q17" s="71">
        <f>'FS-AD Daily '!V21</f>
        <v>204.1</v>
      </c>
      <c r="R17" s="71">
        <f>'FS-AD Daily '!W21</f>
        <v>0</v>
      </c>
      <c r="S17" s="71">
        <f t="shared" si="0"/>
        <v>195.70000000004657</v>
      </c>
      <c r="T17" s="71">
        <f>'FS-AD Daily '!AD21*3.516</f>
        <v>104084.148</v>
      </c>
      <c r="U17" s="71">
        <f>('FS-AD Daily '!AF21)*1000</f>
        <v>48700</v>
      </c>
      <c r="V17" s="71">
        <f>('FS-AD Daily '!AG21)*1000</f>
        <v>31300</v>
      </c>
      <c r="W17" s="71">
        <f>'FS-AD Daily '!AH21*1000</f>
        <v>21400</v>
      </c>
      <c r="X17" s="71">
        <f>('FS-AD Daily '!AK21)*1000</f>
        <v>27800.00000000291</v>
      </c>
      <c r="Y17" s="71">
        <v>73</v>
      </c>
      <c r="Z17" s="115">
        <v>151</v>
      </c>
    </row>
    <row r="18" spans="1:26" x14ac:dyDescent="0.25">
      <c r="A18" s="114" t="s">
        <v>80</v>
      </c>
      <c r="B18" s="69">
        <f t="shared" si="1"/>
        <v>17</v>
      </c>
      <c r="C18" s="70">
        <v>7</v>
      </c>
      <c r="D18" s="69">
        <v>2020</v>
      </c>
      <c r="E18" s="71">
        <f>'FS-AD Daily '!B22</f>
        <v>4915</v>
      </c>
      <c r="F18" s="71">
        <f>'FS-AD Daily '!C22</f>
        <v>2206</v>
      </c>
      <c r="G18" s="71">
        <f>'FS-AD Daily '!D22</f>
        <v>887</v>
      </c>
      <c r="H18" s="71">
        <f>'FS-AD Daily '!E22</f>
        <v>3672</v>
      </c>
      <c r="I18" s="71">
        <f>'FS-AD Daily '!F22</f>
        <v>5174</v>
      </c>
      <c r="J18" s="71">
        <f>'FS-AD Daily '!G22</f>
        <v>3598</v>
      </c>
      <c r="K18" s="71">
        <f>'FS-AD Daily '!H22</f>
        <v>6528</v>
      </c>
      <c r="L18" s="71">
        <f>'FS-AD Daily '!I22</f>
        <v>2609</v>
      </c>
      <c r="M18" s="71">
        <f>'FS-AD Daily '!J22</f>
        <v>7421</v>
      </c>
      <c r="N18" s="71">
        <f>'FS-AD Daily '!T22</f>
        <v>135.53299999999999</v>
      </c>
      <c r="O18" s="71">
        <f>'FS-AD Daily '!R22</f>
        <v>83.792000000000002</v>
      </c>
      <c r="P18" s="71">
        <f>'FS-AD Daily '!Z22</f>
        <v>437.90000000002328</v>
      </c>
      <c r="Q18" s="71">
        <f>'FS-AD Daily '!V22</f>
        <v>239.2</v>
      </c>
      <c r="R18" s="71">
        <f>'FS-AD Daily '!W22</f>
        <v>0</v>
      </c>
      <c r="S18" s="71">
        <f t="shared" si="0"/>
        <v>198.70000000002329</v>
      </c>
      <c r="T18" s="71">
        <f>'FS-AD Daily '!AD22*3.516</f>
        <v>109649.976</v>
      </c>
      <c r="U18" s="71">
        <f>('FS-AD Daily '!AF22)*1000</f>
        <v>50300</v>
      </c>
      <c r="V18" s="71">
        <f>('FS-AD Daily '!AG22)*1000</f>
        <v>37500</v>
      </c>
      <c r="W18" s="71">
        <f>'FS-AD Daily '!AH22*1000</f>
        <v>21800</v>
      </c>
      <c r="X18" s="71">
        <f>('FS-AD Daily '!AK22)*1000</f>
        <v>28199.99999999709</v>
      </c>
      <c r="Y18" s="71">
        <v>80</v>
      </c>
      <c r="Z18" s="115">
        <v>154</v>
      </c>
    </row>
    <row r="19" spans="1:26" x14ac:dyDescent="0.25">
      <c r="A19" s="114" t="s">
        <v>80</v>
      </c>
      <c r="B19" s="69">
        <f t="shared" si="1"/>
        <v>18</v>
      </c>
      <c r="C19" s="70">
        <v>7</v>
      </c>
      <c r="D19" s="69">
        <v>2020</v>
      </c>
      <c r="E19" s="71">
        <f>'FS-AD Daily '!B23</f>
        <v>5809</v>
      </c>
      <c r="F19" s="71">
        <f>'FS-AD Daily '!C23</f>
        <v>2239</v>
      </c>
      <c r="G19" s="71">
        <f>'FS-AD Daily '!D23</f>
        <v>866</v>
      </c>
      <c r="H19" s="71">
        <f>'FS-AD Daily '!E23</f>
        <v>3711</v>
      </c>
      <c r="I19" s="71">
        <f>'FS-AD Daily '!F23</f>
        <v>5164</v>
      </c>
      <c r="J19" s="71">
        <f>'FS-AD Daily '!G23</f>
        <v>3700</v>
      </c>
      <c r="K19" s="71">
        <f>'FS-AD Daily '!H23</f>
        <v>7321</v>
      </c>
      <c r="L19" s="71">
        <f>'FS-AD Daily '!I23</f>
        <v>2736</v>
      </c>
      <c r="M19" s="71">
        <f>'FS-AD Daily '!J23</f>
        <v>7430</v>
      </c>
      <c r="N19" s="71">
        <f>'FS-AD Daily '!T23</f>
        <v>109.15</v>
      </c>
      <c r="O19" s="71">
        <f>'FS-AD Daily '!R23</f>
        <v>71.587000000000003</v>
      </c>
      <c r="P19" s="71">
        <f>'FS-AD Daily '!Z23</f>
        <v>430</v>
      </c>
      <c r="Q19" s="71">
        <f>'FS-AD Daily '!V23</f>
        <v>233.8</v>
      </c>
      <c r="R19" s="71">
        <f>'FS-AD Daily '!W23</f>
        <v>0</v>
      </c>
      <c r="S19" s="71">
        <f t="shared" si="0"/>
        <v>196.2</v>
      </c>
      <c r="T19" s="71">
        <f>'FS-AD Daily '!AD23*3.516</f>
        <v>114938.04</v>
      </c>
      <c r="U19" s="71">
        <f>('FS-AD Daily '!AF23)*1000</f>
        <v>52900</v>
      </c>
      <c r="V19" s="71">
        <f>('FS-AD Daily '!AG23)*1000</f>
        <v>40600</v>
      </c>
      <c r="W19" s="71">
        <f>'FS-AD Daily '!AH23*1000</f>
        <v>21500</v>
      </c>
      <c r="X19" s="71">
        <f>('FS-AD Daily '!AK23)*1000</f>
        <v>28800.00000000291</v>
      </c>
      <c r="Y19" s="71">
        <v>68</v>
      </c>
      <c r="Z19" s="115">
        <v>132</v>
      </c>
    </row>
    <row r="20" spans="1:26" x14ac:dyDescent="0.25">
      <c r="A20" s="114" t="s">
        <v>80</v>
      </c>
      <c r="B20" s="69">
        <f t="shared" si="1"/>
        <v>19</v>
      </c>
      <c r="C20" s="70">
        <v>7</v>
      </c>
      <c r="D20" s="69">
        <v>2020</v>
      </c>
      <c r="E20" s="71">
        <f>'FS-AD Daily '!B24</f>
        <v>5187</v>
      </c>
      <c r="F20" s="71">
        <f>'FS-AD Daily '!C24</f>
        <v>2616</v>
      </c>
      <c r="G20" s="71">
        <f>'FS-AD Daily '!D24</f>
        <v>871</v>
      </c>
      <c r="H20" s="71">
        <f>'FS-AD Daily '!E24</f>
        <v>3570</v>
      </c>
      <c r="I20" s="71">
        <f>'FS-AD Daily '!F24</f>
        <v>5145</v>
      </c>
      <c r="J20" s="71">
        <f>'FS-AD Daily '!G24</f>
        <v>3602</v>
      </c>
      <c r="K20" s="71">
        <f>'FS-AD Daily '!H24</f>
        <v>6067</v>
      </c>
      <c r="L20" s="71">
        <f>'FS-AD Daily '!I24</f>
        <v>2669</v>
      </c>
      <c r="M20" s="71">
        <f>'FS-AD Daily '!J24</f>
        <v>7227</v>
      </c>
      <c r="N20" s="71">
        <f>'FS-AD Daily '!T24</f>
        <v>110.53700000000001</v>
      </c>
      <c r="O20" s="71">
        <f>'FS-AD Daily '!R24</f>
        <v>59.561999999999998</v>
      </c>
      <c r="P20" s="71">
        <f>'FS-AD Daily '!Z24</f>
        <v>388.59999999997672</v>
      </c>
      <c r="Q20" s="71">
        <f>'FS-AD Daily '!V24</f>
        <v>224.1</v>
      </c>
      <c r="R20" s="71">
        <f>'FS-AD Daily '!W24</f>
        <v>9.5299999999988358</v>
      </c>
      <c r="S20" s="71">
        <f t="shared" si="0"/>
        <v>154.96999999997789</v>
      </c>
      <c r="T20" s="71">
        <f>'FS-AD Daily '!AD24*3.516</f>
        <v>105944.11199999999</v>
      </c>
      <c r="U20" s="71">
        <f>('FS-AD Daily '!AF24)*1000</f>
        <v>50600</v>
      </c>
      <c r="V20" s="71">
        <f>('FS-AD Daily '!AG24)*1000</f>
        <v>34100</v>
      </c>
      <c r="W20" s="71">
        <f>'FS-AD Daily '!AH24*1000</f>
        <v>21500</v>
      </c>
      <c r="X20" s="71">
        <f>('FS-AD Daily '!AK24)*1000</f>
        <v>26799.999999995634</v>
      </c>
      <c r="Y20" s="71">
        <v>71</v>
      </c>
      <c r="Z20" s="115">
        <v>140</v>
      </c>
    </row>
    <row r="21" spans="1:26" x14ac:dyDescent="0.25">
      <c r="A21" s="114" t="s">
        <v>80</v>
      </c>
      <c r="B21" s="69">
        <f t="shared" si="1"/>
        <v>20</v>
      </c>
      <c r="C21" s="70">
        <v>7</v>
      </c>
      <c r="D21" s="69">
        <v>2020</v>
      </c>
      <c r="E21" s="71">
        <f>'FS-AD Daily '!B25</f>
        <v>5619</v>
      </c>
      <c r="F21" s="71">
        <f>'FS-AD Daily '!C25</f>
        <v>2256</v>
      </c>
      <c r="G21" s="71">
        <f>'FS-AD Daily '!D25</f>
        <v>829</v>
      </c>
      <c r="H21" s="71">
        <f>'FS-AD Daily '!E25</f>
        <v>3598</v>
      </c>
      <c r="I21" s="71">
        <f>'FS-AD Daily '!F25</f>
        <v>4981</v>
      </c>
      <c r="J21" s="71">
        <f>'FS-AD Daily '!G25</f>
        <v>3486</v>
      </c>
      <c r="K21" s="71">
        <f>'FS-AD Daily '!H25</f>
        <v>5416</v>
      </c>
      <c r="L21" s="71">
        <f>'FS-AD Daily '!I25</f>
        <v>2539</v>
      </c>
      <c r="M21" s="71">
        <f>'FS-AD Daily '!J25</f>
        <v>7140</v>
      </c>
      <c r="N21" s="71">
        <f>'FS-AD Daily '!T25</f>
        <v>113.452</v>
      </c>
      <c r="O21" s="71">
        <f>'FS-AD Daily '!R25</f>
        <v>69.188000000000002</v>
      </c>
      <c r="P21" s="71">
        <f>'FS-AD Daily '!Z25</f>
        <v>387.69999999995343</v>
      </c>
      <c r="Q21" s="71">
        <f>'FS-AD Daily '!V25</f>
        <v>235.3</v>
      </c>
      <c r="R21" s="71">
        <f>'FS-AD Daily '!W25</f>
        <v>0</v>
      </c>
      <c r="S21" s="71">
        <f t="shared" si="0"/>
        <v>152.39999999995342</v>
      </c>
      <c r="T21" s="71">
        <f>'FS-AD Daily '!AD25*3.516</f>
        <v>108862.39200000001</v>
      </c>
      <c r="U21" s="71">
        <f>('FS-AD Daily '!AF25)*1000</f>
        <v>49700</v>
      </c>
      <c r="V21" s="71">
        <f>('FS-AD Daily '!AG25)*1000</f>
        <v>35800</v>
      </c>
      <c r="W21" s="71">
        <f>'FS-AD Daily '!AH25*1000</f>
        <v>22300</v>
      </c>
      <c r="X21" s="71">
        <f>('FS-AD Daily '!AK25)*1000</f>
        <v>27900.000000001455</v>
      </c>
      <c r="Y21" s="71">
        <v>74</v>
      </c>
      <c r="Z21" s="115">
        <v>143</v>
      </c>
    </row>
    <row r="22" spans="1:26" x14ac:dyDescent="0.25">
      <c r="A22" s="114" t="s">
        <v>80</v>
      </c>
      <c r="B22" s="69">
        <f t="shared" si="1"/>
        <v>21</v>
      </c>
      <c r="C22" s="70">
        <v>7</v>
      </c>
      <c r="D22" s="69">
        <v>2020</v>
      </c>
      <c r="E22" s="71">
        <f>'FS-AD Daily '!B26</f>
        <v>6011</v>
      </c>
      <c r="F22" s="71">
        <f>'FS-AD Daily '!C26</f>
        <v>2353</v>
      </c>
      <c r="G22" s="71">
        <f>'FS-AD Daily '!D26</f>
        <v>834</v>
      </c>
      <c r="H22" s="71">
        <f>'FS-AD Daily '!E26</f>
        <v>3620</v>
      </c>
      <c r="I22" s="71">
        <f>'FS-AD Daily '!F26</f>
        <v>5104</v>
      </c>
      <c r="J22" s="71">
        <f>'FS-AD Daily '!G26</f>
        <v>3532</v>
      </c>
      <c r="K22" s="71">
        <f>'FS-AD Daily '!H26</f>
        <v>5901</v>
      </c>
      <c r="L22" s="71">
        <f>'FS-AD Daily '!I26</f>
        <v>2681</v>
      </c>
      <c r="M22" s="71">
        <f>'FS-AD Daily '!J26</f>
        <v>7134</v>
      </c>
      <c r="N22" s="71">
        <f>'FS-AD Daily '!T26</f>
        <v>147.22900000000001</v>
      </c>
      <c r="O22" s="71">
        <f>'FS-AD Daily '!R26</f>
        <v>64.50200000000001</v>
      </c>
      <c r="P22" s="71">
        <f>'FS-AD Daily '!Z26</f>
        <v>405</v>
      </c>
      <c r="Q22" s="71">
        <f>'FS-AD Daily '!V26</f>
        <v>232.1</v>
      </c>
      <c r="R22" s="71">
        <f>'FS-AD Daily '!W26</f>
        <v>0</v>
      </c>
      <c r="S22" s="71">
        <f t="shared" si="0"/>
        <v>172.9</v>
      </c>
      <c r="T22" s="71">
        <f>'FS-AD Daily '!AD26*3.516</f>
        <v>114030.912</v>
      </c>
      <c r="U22" s="71">
        <f>('FS-AD Daily '!AF26)*1000</f>
        <v>54900</v>
      </c>
      <c r="V22" s="71">
        <f>('FS-AD Daily '!AG26)*1000</f>
        <v>38100</v>
      </c>
      <c r="W22" s="71">
        <f>'FS-AD Daily '!AH26*1000</f>
        <v>20900</v>
      </c>
      <c r="X22" s="71">
        <f>('FS-AD Daily '!AK26)*1000</f>
        <v>27400.000000001455</v>
      </c>
      <c r="Y22" s="71">
        <v>75</v>
      </c>
      <c r="Z22" s="115">
        <v>145</v>
      </c>
    </row>
    <row r="23" spans="1:26" x14ac:dyDescent="0.25">
      <c r="A23" s="114" t="s">
        <v>80</v>
      </c>
      <c r="B23" s="69">
        <f t="shared" si="1"/>
        <v>22</v>
      </c>
      <c r="C23" s="70">
        <v>7</v>
      </c>
      <c r="D23" s="69">
        <v>2020</v>
      </c>
      <c r="E23" s="71">
        <f>'FS-AD Daily '!B27</f>
        <v>4979</v>
      </c>
      <c r="F23" s="71">
        <f>'FS-AD Daily '!C27</f>
        <v>3368</v>
      </c>
      <c r="G23" s="71">
        <f>'FS-AD Daily '!D27</f>
        <v>863</v>
      </c>
      <c r="H23" s="71">
        <f>'FS-AD Daily '!E27</f>
        <v>3868</v>
      </c>
      <c r="I23" s="71">
        <f>'FS-AD Daily '!F27</f>
        <v>5236</v>
      </c>
      <c r="J23" s="71">
        <f>'FS-AD Daily '!G27</f>
        <v>3215</v>
      </c>
      <c r="K23" s="71">
        <f>'FS-AD Daily '!H27</f>
        <v>4452</v>
      </c>
      <c r="L23" s="71">
        <f>'FS-AD Daily '!I27</f>
        <v>2598</v>
      </c>
      <c r="M23" s="71">
        <f>'FS-AD Daily '!J27</f>
        <v>7227</v>
      </c>
      <c r="N23" s="71">
        <f>'FS-AD Daily '!T27</f>
        <v>114.13000000000001</v>
      </c>
      <c r="O23" s="71">
        <f>'FS-AD Daily '!R27</f>
        <v>60.574000000000005</v>
      </c>
      <c r="P23" s="71">
        <f>'FS-AD Daily '!Z27</f>
        <v>417.20000000006985</v>
      </c>
      <c r="Q23" s="71">
        <f>'FS-AD Daily '!V27</f>
        <v>245</v>
      </c>
      <c r="R23" s="71">
        <f>'FS-AD Daily '!W27</f>
        <v>0</v>
      </c>
      <c r="S23" s="71">
        <f t="shared" si="0"/>
        <v>172.20000000006985</v>
      </c>
      <c r="T23" s="71">
        <f>'FS-AD Daily '!AD27*3.516</f>
        <v>99341.063999999998</v>
      </c>
      <c r="U23" s="71">
        <f>('FS-AD Daily '!AF27)*1000</f>
        <v>46900</v>
      </c>
      <c r="V23" s="71">
        <f>('FS-AD Daily '!AG27)*1000</f>
        <v>30600</v>
      </c>
      <c r="W23" s="71">
        <f>'FS-AD Daily '!AH27*1000</f>
        <v>21399.999999997817</v>
      </c>
      <c r="X23" s="71">
        <f>('FS-AD Daily '!AK27)*1000</f>
        <v>25199.99999999709</v>
      </c>
      <c r="Y23" s="71">
        <v>84</v>
      </c>
      <c r="Z23" s="115">
        <v>150</v>
      </c>
    </row>
    <row r="24" spans="1:26" x14ac:dyDescent="0.25">
      <c r="A24" s="114" t="s">
        <v>80</v>
      </c>
      <c r="B24" s="69">
        <f t="shared" si="1"/>
        <v>23</v>
      </c>
      <c r="C24" s="70">
        <v>7</v>
      </c>
      <c r="D24" s="69">
        <v>2020</v>
      </c>
      <c r="E24" s="71">
        <f>'FS-AD Daily '!B28</f>
        <v>5140</v>
      </c>
      <c r="F24" s="71">
        <f>'FS-AD Daily '!C28</f>
        <v>2902</v>
      </c>
      <c r="G24" s="71">
        <f>'FS-AD Daily '!D28</f>
        <v>863</v>
      </c>
      <c r="H24" s="71">
        <f>'FS-AD Daily '!E28</f>
        <v>3853</v>
      </c>
      <c r="I24" s="71">
        <f>'FS-AD Daily '!F28</f>
        <v>5092</v>
      </c>
      <c r="J24" s="71">
        <f>'FS-AD Daily '!G28</f>
        <v>3104</v>
      </c>
      <c r="K24" s="71">
        <f>'FS-AD Daily '!H28</f>
        <v>5258</v>
      </c>
      <c r="L24" s="71">
        <f>'FS-AD Daily '!I28</f>
        <v>2547</v>
      </c>
      <c r="M24" s="71">
        <f>'FS-AD Daily '!J28</f>
        <v>7226</v>
      </c>
      <c r="N24" s="71">
        <f>'FS-AD Daily '!T28</f>
        <v>118.89099999999999</v>
      </c>
      <c r="O24" s="71">
        <f>'FS-AD Daily '!R28</f>
        <v>67.522000000000006</v>
      </c>
      <c r="P24" s="71">
        <f>'FS-AD Daily '!Z28</f>
        <v>424.79999999993015</v>
      </c>
      <c r="Q24" s="71">
        <f>'FS-AD Daily '!V28</f>
        <v>216.3</v>
      </c>
      <c r="R24" s="71">
        <f>'FS-AD Daily '!W28</f>
        <v>0</v>
      </c>
      <c r="S24" s="71">
        <f t="shared" si="0"/>
        <v>208.49999999993014</v>
      </c>
      <c r="T24" s="71">
        <f>'FS-AD Daily '!AD28*3.516</f>
        <v>101844.45600000001</v>
      </c>
      <c r="U24" s="71">
        <f>('FS-AD Daily '!AF28)*1000</f>
        <v>47500</v>
      </c>
      <c r="V24" s="71">
        <f>('FS-AD Daily '!AG28)*1000</f>
        <v>35500</v>
      </c>
      <c r="W24" s="71">
        <f>'FS-AD Daily '!AH28*1000</f>
        <v>19700</v>
      </c>
      <c r="X24" s="71">
        <f>('FS-AD Daily '!AK28)*1000</f>
        <v>25500</v>
      </c>
      <c r="Y24" s="71">
        <v>81</v>
      </c>
      <c r="Z24" s="115">
        <v>150</v>
      </c>
    </row>
    <row r="25" spans="1:26" x14ac:dyDescent="0.25">
      <c r="A25" s="114" t="s">
        <v>80</v>
      </c>
      <c r="B25" s="69">
        <f t="shared" si="1"/>
        <v>24</v>
      </c>
      <c r="C25" s="70">
        <v>7</v>
      </c>
      <c r="D25" s="69">
        <v>2020</v>
      </c>
      <c r="E25" s="71">
        <f>'FS-AD Daily '!B29</f>
        <v>5450</v>
      </c>
      <c r="F25" s="71">
        <f>'FS-AD Daily '!C29</f>
        <v>3371</v>
      </c>
      <c r="G25" s="71">
        <f>'FS-AD Daily '!D29</f>
        <v>863</v>
      </c>
      <c r="H25" s="71">
        <f>'FS-AD Daily '!E29</f>
        <v>3922</v>
      </c>
      <c r="I25" s="71">
        <f>'FS-AD Daily '!F29</f>
        <v>5125</v>
      </c>
      <c r="J25" s="71">
        <f>'FS-AD Daily '!G29</f>
        <v>3161</v>
      </c>
      <c r="K25" s="71">
        <f>'FS-AD Daily '!H29</f>
        <v>5636</v>
      </c>
      <c r="L25" s="71">
        <f>'FS-AD Daily '!I29</f>
        <v>2606</v>
      </c>
      <c r="M25" s="71">
        <f>'FS-AD Daily '!J29</f>
        <v>7430</v>
      </c>
      <c r="N25" s="71">
        <f>'FS-AD Daily '!T29</f>
        <v>159.77500000000001</v>
      </c>
      <c r="O25" s="71">
        <f>'FS-AD Daily '!R29</f>
        <v>70.099999999999994</v>
      </c>
      <c r="P25" s="71">
        <f>'FS-AD Daily '!Z29</f>
        <v>432.80000000004657</v>
      </c>
      <c r="Q25" s="71">
        <f>'FS-AD Daily '!V29</f>
        <v>238.1</v>
      </c>
      <c r="R25" s="71">
        <f>'FS-AD Daily '!W29</f>
        <v>0</v>
      </c>
      <c r="S25" s="71">
        <f t="shared" si="0"/>
        <v>194.70000000004657</v>
      </c>
      <c r="T25" s="71">
        <f>'FS-AD Daily '!AD29*3.516</f>
        <v>104541.228</v>
      </c>
      <c r="U25" s="71">
        <f>('FS-AD Daily '!AF29)*1000</f>
        <v>48600</v>
      </c>
      <c r="V25" s="71">
        <f>('FS-AD Daily '!AG29)*1000</f>
        <v>36900</v>
      </c>
      <c r="W25" s="71">
        <f>'FS-AD Daily '!AH29*1000</f>
        <v>19400</v>
      </c>
      <c r="X25" s="71">
        <f>('FS-AD Daily '!AK29)*1000</f>
        <v>25500</v>
      </c>
      <c r="Y25" s="71">
        <v>88</v>
      </c>
      <c r="Z25" s="115">
        <v>168</v>
      </c>
    </row>
    <row r="26" spans="1:26" x14ac:dyDescent="0.25">
      <c r="A26" s="114" t="s">
        <v>80</v>
      </c>
      <c r="B26" s="69">
        <f>B25+1</f>
        <v>25</v>
      </c>
      <c r="C26" s="70">
        <v>7</v>
      </c>
      <c r="D26" s="69">
        <v>2020</v>
      </c>
      <c r="E26" s="71">
        <f>'FS-AD Daily '!B30</f>
        <v>5379</v>
      </c>
      <c r="F26" s="71">
        <f>'FS-AD Daily '!C30</f>
        <v>3442</v>
      </c>
      <c r="G26" s="71">
        <f>'FS-AD Daily '!D30</f>
        <v>894</v>
      </c>
      <c r="H26" s="71">
        <f>'FS-AD Daily '!E30</f>
        <v>3935</v>
      </c>
      <c r="I26" s="71">
        <f>'FS-AD Daily '!F30</f>
        <v>5178</v>
      </c>
      <c r="J26" s="71">
        <f>'FS-AD Daily '!G30</f>
        <v>3312</v>
      </c>
      <c r="K26" s="71">
        <f>'FS-AD Daily '!H30</f>
        <v>5447</v>
      </c>
      <c r="L26" s="71">
        <f>'FS-AD Daily '!I30</f>
        <v>2666</v>
      </c>
      <c r="M26" s="71">
        <f>'FS-AD Daily '!J30</f>
        <v>7237</v>
      </c>
      <c r="N26" s="71">
        <f>'FS-AD Daily '!T30</f>
        <v>113.34400000000001</v>
      </c>
      <c r="O26" s="71">
        <f>'FS-AD Daily '!R30</f>
        <v>20.474</v>
      </c>
      <c r="P26" s="71">
        <f>'FS-AD Daily '!Z30</f>
        <v>413.5</v>
      </c>
      <c r="Q26" s="71">
        <f>'FS-AD Daily '!V30</f>
        <v>242.1</v>
      </c>
      <c r="R26" s="71">
        <f>'FS-AD Daily '!W30</f>
        <v>0</v>
      </c>
      <c r="S26" s="71">
        <f t="shared" si="0"/>
        <v>171.4</v>
      </c>
      <c r="T26" s="71">
        <f>'FS-AD Daily '!AD30*3.516</f>
        <v>104864.7</v>
      </c>
      <c r="U26" s="71">
        <f>('FS-AD Daily '!AF30)*1000</f>
        <v>47900</v>
      </c>
      <c r="V26" s="71">
        <f>('FS-AD Daily '!AG30)*1000</f>
        <v>37000</v>
      </c>
      <c r="W26" s="71">
        <f>'FS-AD Daily '!AH30*1000</f>
        <v>20700</v>
      </c>
      <c r="X26" s="71">
        <f>('FS-AD Daily '!AK30)*1000</f>
        <v>25599.999999998545</v>
      </c>
      <c r="Y26" s="71">
        <v>64</v>
      </c>
      <c r="Z26" s="115">
        <v>123</v>
      </c>
    </row>
    <row r="27" spans="1:26" x14ac:dyDescent="0.25">
      <c r="A27" s="114" t="s">
        <v>80</v>
      </c>
      <c r="B27" s="69">
        <f t="shared" si="1"/>
        <v>26</v>
      </c>
      <c r="C27" s="70">
        <v>7</v>
      </c>
      <c r="D27" s="69">
        <v>2020</v>
      </c>
      <c r="E27" s="71">
        <f>'FS-AD Daily '!B31</f>
        <v>5939</v>
      </c>
      <c r="F27" s="71">
        <f>'FS-AD Daily '!C31</f>
        <v>3631</v>
      </c>
      <c r="G27" s="71">
        <f>'FS-AD Daily '!D31</f>
        <v>842</v>
      </c>
      <c r="H27" s="71">
        <f>'FS-AD Daily '!E31</f>
        <v>3990</v>
      </c>
      <c r="I27" s="71">
        <f>'FS-AD Daily '!F31</f>
        <v>5189</v>
      </c>
      <c r="J27" s="71">
        <f>'FS-AD Daily '!G31</f>
        <v>3328</v>
      </c>
      <c r="K27" s="71">
        <f>'FS-AD Daily '!H31</f>
        <v>5743</v>
      </c>
      <c r="L27" s="71">
        <f>'FS-AD Daily '!I31</f>
        <v>2597</v>
      </c>
      <c r="M27" s="71">
        <f>'FS-AD Daily '!J31</f>
        <v>7161</v>
      </c>
      <c r="N27" s="71">
        <f>'FS-AD Daily '!T31</f>
        <v>106.151</v>
      </c>
      <c r="O27" s="71">
        <f>'FS-AD Daily '!R31</f>
        <v>57.190000000000005</v>
      </c>
      <c r="P27" s="71">
        <f>'FS-AD Daily '!Z31</f>
        <v>397.59999999997672</v>
      </c>
      <c r="Q27" s="71">
        <f>'FS-AD Daily '!V31</f>
        <v>213.2</v>
      </c>
      <c r="R27" s="71">
        <f>'FS-AD Daily '!W31</f>
        <v>0</v>
      </c>
      <c r="S27" s="71">
        <f t="shared" si="0"/>
        <v>184.39999999997673</v>
      </c>
      <c r="T27" s="71">
        <f>'FS-AD Daily '!AD31*3.516</f>
        <v>112241.268</v>
      </c>
      <c r="U27" s="71">
        <f>('FS-AD Daily '!AF31)*1000</f>
        <v>54400</v>
      </c>
      <c r="V27" s="71">
        <f>('FS-AD Daily '!AG31)*1000</f>
        <v>38600</v>
      </c>
      <c r="W27" s="71">
        <f>'FS-AD Daily '!AH31*1000</f>
        <v>20300</v>
      </c>
      <c r="X27" s="71">
        <f>('FS-AD Daily '!AK31)*1000</f>
        <v>25600.000000005821</v>
      </c>
      <c r="Y27" s="71">
        <v>78</v>
      </c>
      <c r="Z27" s="115">
        <v>147</v>
      </c>
    </row>
    <row r="28" spans="1:26" x14ac:dyDescent="0.25">
      <c r="A28" s="114" t="s">
        <v>80</v>
      </c>
      <c r="B28" s="69">
        <f t="shared" si="1"/>
        <v>27</v>
      </c>
      <c r="C28" s="70">
        <v>7</v>
      </c>
      <c r="D28" s="69">
        <v>2020</v>
      </c>
      <c r="E28" s="71">
        <f>'FS-AD Daily '!B32</f>
        <v>5310</v>
      </c>
      <c r="F28" s="71">
        <f>'FS-AD Daily '!C32</f>
        <v>3493</v>
      </c>
      <c r="G28" s="71">
        <f>'FS-AD Daily '!D32</f>
        <v>845</v>
      </c>
      <c r="H28" s="71">
        <f>'FS-AD Daily '!E32</f>
        <v>3806</v>
      </c>
      <c r="I28" s="71">
        <f>'FS-AD Daily '!F32</f>
        <v>5086</v>
      </c>
      <c r="J28" s="71">
        <f>'FS-AD Daily '!G32</f>
        <v>3197</v>
      </c>
      <c r="K28" s="71">
        <f>'FS-AD Daily '!H32</f>
        <v>5464</v>
      </c>
      <c r="L28" s="71">
        <f>'FS-AD Daily '!I32</f>
        <v>2600</v>
      </c>
      <c r="M28" s="71">
        <f>'FS-AD Daily '!J32</f>
        <v>7068</v>
      </c>
      <c r="N28" s="71">
        <f>'FS-AD Daily '!T32</f>
        <v>108.82300000000001</v>
      </c>
      <c r="O28" s="71">
        <f>'FS-AD Daily '!R32</f>
        <v>68.313000000000002</v>
      </c>
      <c r="P28" s="71">
        <f>'FS-AD Daily '!Z32</f>
        <v>410.90000000002328</v>
      </c>
      <c r="Q28" s="71">
        <f>'FS-AD Daily '!V32</f>
        <v>234.6</v>
      </c>
      <c r="R28" s="71">
        <f>'FS-AD Daily '!W32</f>
        <v>0</v>
      </c>
      <c r="S28" s="71">
        <f t="shared" si="0"/>
        <v>176.30000000002329</v>
      </c>
      <c r="T28" s="71">
        <f>'FS-AD Daily '!AD32*3.516</f>
        <v>107656.40399999999</v>
      </c>
      <c r="U28" s="71">
        <f>('FS-AD Daily '!AF32)*1000</f>
        <v>49500</v>
      </c>
      <c r="V28" s="71">
        <f>('FS-AD Daily '!AG32)*1000</f>
        <v>38600</v>
      </c>
      <c r="W28" s="71">
        <f>'FS-AD Daily '!AH32*1000</f>
        <v>20200</v>
      </c>
      <c r="X28" s="71">
        <f>('FS-AD Daily '!AK32)*1000</f>
        <v>25299.999999995634</v>
      </c>
      <c r="Y28" s="71">
        <v>90</v>
      </c>
      <c r="Z28" s="115">
        <v>161</v>
      </c>
    </row>
    <row r="29" spans="1:26" x14ac:dyDescent="0.25">
      <c r="A29" s="114" t="s">
        <v>80</v>
      </c>
      <c r="B29" s="69">
        <f t="shared" si="1"/>
        <v>28</v>
      </c>
      <c r="C29" s="70">
        <v>7</v>
      </c>
      <c r="D29" s="69">
        <v>2020</v>
      </c>
      <c r="E29" s="71">
        <f>'FS-AD Daily '!B33</f>
        <v>4677</v>
      </c>
      <c r="F29" s="71">
        <f>'FS-AD Daily '!C33</f>
        <v>3158</v>
      </c>
      <c r="G29" s="71">
        <f>'FS-AD Daily '!D33</f>
        <v>809</v>
      </c>
      <c r="H29" s="71">
        <f>'FS-AD Daily '!E33</f>
        <v>3735</v>
      </c>
      <c r="I29" s="71">
        <f>'FS-AD Daily '!F33</f>
        <v>4945</v>
      </c>
      <c r="J29" s="71">
        <f>'FS-AD Daily '!G33</f>
        <v>2975</v>
      </c>
      <c r="K29" s="71">
        <f>'FS-AD Daily '!H33</f>
        <v>4840</v>
      </c>
      <c r="L29" s="71">
        <f>'FS-AD Daily '!I33</f>
        <v>2531</v>
      </c>
      <c r="M29" s="71">
        <f>'FS-AD Daily '!J33</f>
        <v>6850</v>
      </c>
      <c r="N29" s="71">
        <f>'FS-AD Daily '!T33</f>
        <v>150.22</v>
      </c>
      <c r="O29" s="71">
        <f>'FS-AD Daily '!R33</f>
        <v>68.259</v>
      </c>
      <c r="P29" s="71">
        <f>'FS-AD Daily '!Z33</f>
        <v>416.5</v>
      </c>
      <c r="Q29" s="71">
        <f>'FS-AD Daily '!V33</f>
        <v>239.4</v>
      </c>
      <c r="R29" s="71">
        <f>'FS-AD Daily '!W33</f>
        <v>0</v>
      </c>
      <c r="S29" s="71">
        <f t="shared" si="0"/>
        <v>177.1</v>
      </c>
      <c r="T29" s="71">
        <f>'FS-AD Daily '!AD33*3.516</f>
        <v>103672.776</v>
      </c>
      <c r="U29" s="71">
        <f>('FS-AD Daily '!AF33)*1000</f>
        <v>45600</v>
      </c>
      <c r="V29" s="71">
        <f>('FS-AD Daily '!AG33)*1000</f>
        <v>35600</v>
      </c>
      <c r="W29" s="71">
        <f>'FS-AD Daily '!AH33*1000</f>
        <v>20900</v>
      </c>
      <c r="X29" s="71">
        <f>('FS-AD Daily '!AK33)*1000</f>
        <v>27000</v>
      </c>
      <c r="Y29" s="71">
        <v>87</v>
      </c>
      <c r="Z29" s="115">
        <v>159</v>
      </c>
    </row>
    <row r="30" spans="1:26" x14ac:dyDescent="0.25">
      <c r="A30" s="114" t="s">
        <v>80</v>
      </c>
      <c r="B30" s="69">
        <f t="shared" si="1"/>
        <v>29</v>
      </c>
      <c r="C30" s="70">
        <v>7</v>
      </c>
      <c r="D30" s="69">
        <v>2020</v>
      </c>
      <c r="E30" s="71">
        <f>'FS-AD Daily '!B34</f>
        <v>5319</v>
      </c>
      <c r="F30" s="71">
        <f>'FS-AD Daily '!C34</f>
        <v>2991</v>
      </c>
      <c r="G30" s="71">
        <f>'FS-AD Daily '!D34</f>
        <v>868</v>
      </c>
      <c r="H30" s="71">
        <f>'FS-AD Daily '!E34</f>
        <v>4069</v>
      </c>
      <c r="I30" s="71">
        <f>'FS-AD Daily '!F34</f>
        <v>5373</v>
      </c>
      <c r="J30" s="71">
        <f>'FS-AD Daily '!G34</f>
        <v>3487</v>
      </c>
      <c r="K30" s="71">
        <f>'FS-AD Daily '!H34</f>
        <v>5292</v>
      </c>
      <c r="L30" s="71">
        <f>'FS-AD Daily '!I34</f>
        <v>2670</v>
      </c>
      <c r="M30" s="71">
        <f>'FS-AD Daily '!J34</f>
        <v>7692</v>
      </c>
      <c r="N30" s="71">
        <f>'FS-AD Daily '!T34</f>
        <v>119.157</v>
      </c>
      <c r="O30" s="71">
        <f>'FS-AD Daily '!R34</f>
        <v>70.728000000000009</v>
      </c>
      <c r="P30" s="71">
        <f>'FS-AD Daily '!Z34</f>
        <v>429.30000000004657</v>
      </c>
      <c r="Q30" s="71">
        <f>'FS-AD Daily '!V34</f>
        <v>241.1</v>
      </c>
      <c r="R30" s="71">
        <f>'FS-AD Daily '!W34</f>
        <v>0</v>
      </c>
      <c r="S30" s="71">
        <f t="shared" si="0"/>
        <v>188.20000000004657</v>
      </c>
      <c r="T30" s="71">
        <f>'FS-AD Daily '!AD34*3.516</f>
        <v>106654.344</v>
      </c>
      <c r="U30" s="71">
        <f>('FS-AD Daily '!AF34)*1000</f>
        <v>48200</v>
      </c>
      <c r="V30" s="71">
        <f>('FS-AD Daily '!AG34)*1000</f>
        <v>36200</v>
      </c>
      <c r="W30" s="71">
        <f>'FS-AD Daily '!AH34*1000</f>
        <v>19900</v>
      </c>
      <c r="X30" s="71">
        <f>('FS-AD Daily '!AK34)*1000</f>
        <v>27599.999999998545</v>
      </c>
      <c r="Y30" s="71">
        <v>64</v>
      </c>
      <c r="Z30" s="115">
        <v>130</v>
      </c>
    </row>
    <row r="31" spans="1:26" x14ac:dyDescent="0.25">
      <c r="A31" s="114" t="s">
        <v>80</v>
      </c>
      <c r="B31" s="69">
        <f t="shared" si="1"/>
        <v>30</v>
      </c>
      <c r="C31" s="70">
        <v>7</v>
      </c>
      <c r="D31" s="69">
        <v>2020</v>
      </c>
      <c r="E31" s="71">
        <f>'FS-AD Daily '!B35</f>
        <v>5646</v>
      </c>
      <c r="F31" s="71">
        <f>'FS-AD Daily '!C35</f>
        <v>2470</v>
      </c>
      <c r="G31" s="71">
        <f>'FS-AD Daily '!D35</f>
        <v>874</v>
      </c>
      <c r="H31" s="71">
        <f>'FS-AD Daily '!E35</f>
        <v>3840</v>
      </c>
      <c r="I31" s="71">
        <f>'FS-AD Daily '!F35</f>
        <v>5227</v>
      </c>
      <c r="J31" s="71">
        <f>'FS-AD Daily '!G35</f>
        <v>3195</v>
      </c>
      <c r="K31" s="71">
        <f>'FS-AD Daily '!H35</f>
        <v>5667</v>
      </c>
      <c r="L31" s="71">
        <f>'FS-AD Daily '!I35</f>
        <v>2611</v>
      </c>
      <c r="M31" s="71">
        <f>'FS-AD Daily '!J35</f>
        <v>7425</v>
      </c>
      <c r="N31" s="71">
        <f>'FS-AD Daily '!T35</f>
        <v>146.32</v>
      </c>
      <c r="O31" s="71">
        <f>'FS-AD Daily '!R35</f>
        <v>73.046000000000006</v>
      </c>
      <c r="P31" s="71">
        <f>'FS-AD Daily '!Z35</f>
        <v>456.79999999993015</v>
      </c>
      <c r="Q31" s="71">
        <f>'FS-AD Daily '!V35</f>
        <v>243.4</v>
      </c>
      <c r="R31" s="71">
        <f>'FS-AD Daily '!W35</f>
        <v>0</v>
      </c>
      <c r="S31" s="71">
        <f t="shared" si="0"/>
        <v>213.39999999993015</v>
      </c>
      <c r="T31" s="71">
        <f>'FS-AD Daily '!AD35*3.516</f>
        <v>112874.148</v>
      </c>
      <c r="U31" s="71">
        <f>('FS-AD Daily '!AF35)*1000</f>
        <v>50000</v>
      </c>
      <c r="V31" s="71">
        <f>('FS-AD Daily '!AG35)*1000</f>
        <v>40300</v>
      </c>
      <c r="W31" s="71">
        <f>'FS-AD Daily '!AH35*1000</f>
        <v>18800</v>
      </c>
      <c r="X31" s="71">
        <f>('FS-AD Daily '!AK35)*1000</f>
        <v>29500</v>
      </c>
      <c r="Y31" s="71">
        <v>78</v>
      </c>
      <c r="Z31" s="115">
        <v>168</v>
      </c>
    </row>
    <row r="32" spans="1:26" ht="15.75" thickBot="1" x14ac:dyDescent="0.3">
      <c r="A32" s="116" t="s">
        <v>80</v>
      </c>
      <c r="B32" s="117">
        <f t="shared" si="1"/>
        <v>31</v>
      </c>
      <c r="C32" s="118">
        <v>7</v>
      </c>
      <c r="D32" s="117">
        <v>2020</v>
      </c>
      <c r="E32" s="119">
        <f>'FS-AD Daily '!B36</f>
        <v>5582</v>
      </c>
      <c r="F32" s="119">
        <f>'FS-AD Daily '!C36</f>
        <v>2335</v>
      </c>
      <c r="G32" s="119">
        <f>'FS-AD Daily '!D36</f>
        <v>932</v>
      </c>
      <c r="H32" s="119">
        <f>'FS-AD Daily '!E36</f>
        <v>3794</v>
      </c>
      <c r="I32" s="119">
        <f>'FS-AD Daily '!F36</f>
        <v>5164</v>
      </c>
      <c r="J32" s="119">
        <f>'FS-AD Daily '!G36</f>
        <v>3258</v>
      </c>
      <c r="K32" s="119">
        <f>'FS-AD Daily '!H36</f>
        <v>6835</v>
      </c>
      <c r="L32" s="119">
        <f>'FS-AD Daily '!I36</f>
        <v>2518</v>
      </c>
      <c r="M32" s="119">
        <f>'FS-AD Daily '!J36</f>
        <v>7521</v>
      </c>
      <c r="N32" s="119">
        <f>'FS-AD Daily '!T36</f>
        <v>173.91300000000001</v>
      </c>
      <c r="O32" s="119">
        <f>'FS-AD Daily '!R36</f>
        <v>72.63</v>
      </c>
      <c r="P32" s="119">
        <f>'FS-AD Daily '!Z36</f>
        <v>479.70000000006985</v>
      </c>
      <c r="Q32" s="119">
        <f>'FS-AD Daily '!V36</f>
        <v>240</v>
      </c>
      <c r="R32" s="119">
        <f>'FS-AD Daily '!W36</f>
        <v>0</v>
      </c>
      <c r="S32" s="119">
        <f t="shared" ref="S32" si="2">P32-Q32-R32</f>
        <v>239.70000000006985</v>
      </c>
      <c r="T32" s="119">
        <f>'FS-AD Daily '!AD36*3.516</f>
        <v>114361.416</v>
      </c>
      <c r="U32" s="119">
        <f>('FS-AD Daily '!AF36)*1000</f>
        <v>50300</v>
      </c>
      <c r="V32" s="119">
        <f>('FS-AD Daily '!AG36)*1000</f>
        <v>46000</v>
      </c>
      <c r="W32" s="119">
        <f>'FS-AD Daily '!AH36*1000</f>
        <v>17400</v>
      </c>
      <c r="X32" s="119">
        <f>('FS-AD Daily '!AK36)*1000</f>
        <v>29400.000000001455</v>
      </c>
      <c r="Y32" s="119">
        <v>108</v>
      </c>
      <c r="Z32" s="120">
        <v>229</v>
      </c>
    </row>
    <row r="33" spans="9:26" x14ac:dyDescent="0.25">
      <c r="I33" s="4">
        <f t="shared" ref="I33:W33" si="3">SUM(I2:I32)</f>
        <v>158532</v>
      </c>
      <c r="J33" s="4">
        <f t="shared" si="3"/>
        <v>105381</v>
      </c>
      <c r="K33" s="4">
        <f t="shared" si="3"/>
        <v>178688</v>
      </c>
      <c r="L33" s="4">
        <f t="shared" si="3"/>
        <v>82592</v>
      </c>
      <c r="M33" s="4">
        <f t="shared" si="3"/>
        <v>224695</v>
      </c>
      <c r="N33" s="4">
        <f t="shared" si="3"/>
        <v>3801.0319999999997</v>
      </c>
      <c r="O33" s="4">
        <f t="shared" si="3"/>
        <v>1925.0909999999999</v>
      </c>
      <c r="P33" s="4">
        <f t="shared" si="3"/>
        <v>12090.900000000023</v>
      </c>
      <c r="Q33" s="4">
        <f t="shared" si="3"/>
        <v>6423.2999999999665</v>
      </c>
      <c r="R33" s="4">
        <f t="shared" si="3"/>
        <v>9.5399999999988356</v>
      </c>
      <c r="S33" s="4">
        <f t="shared" si="3"/>
        <v>5658.0600000000586</v>
      </c>
      <c r="T33" s="4">
        <f t="shared" si="3"/>
        <v>3177711.5760000004</v>
      </c>
      <c r="U33" s="4">
        <f t="shared" si="3"/>
        <v>1442900</v>
      </c>
      <c r="V33" s="4">
        <f t="shared" si="3"/>
        <v>1092800</v>
      </c>
      <c r="W33" s="4">
        <f t="shared" si="3"/>
        <v>625799.99999999779</v>
      </c>
      <c r="X33" s="4">
        <f>'FS-AD Daily '!U38</f>
        <v>14707.377439999997</v>
      </c>
      <c r="Y33" s="4">
        <f>SUM(Y2:Y32)</f>
        <v>2210</v>
      </c>
      <c r="Z33" s="4">
        <f>SUM(Z2:Z32)</f>
        <v>4325</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Normal="100" workbookViewId="0">
      <pane xSplit="7" ySplit="4" topLeftCell="AH23" activePane="bottomRight" state="frozen"/>
      <selection pane="topRight" activeCell="H1" sqref="H1"/>
      <selection pane="bottomLeft" activeCell="A5" sqref="A5"/>
      <selection pane="bottomRight" activeCell="AQ35" sqref="AQ3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7" t="s">
        <v>14</v>
      </c>
      <c r="C1" s="147"/>
      <c r="D1" s="147"/>
      <c r="E1" s="147"/>
      <c r="F1" s="147"/>
      <c r="G1" s="147"/>
      <c r="H1" s="147"/>
      <c r="I1" s="147"/>
      <c r="J1" s="147"/>
      <c r="K1" s="25" t="s">
        <v>15</v>
      </c>
      <c r="L1" s="26" t="s">
        <v>16</v>
      </c>
      <c r="M1" s="27" t="s">
        <v>17</v>
      </c>
      <c r="N1" s="28" t="s">
        <v>18</v>
      </c>
      <c r="O1" s="28" t="s">
        <v>19</v>
      </c>
      <c r="P1" s="65" t="s">
        <v>20</v>
      </c>
      <c r="Q1" s="30" t="s">
        <v>21</v>
      </c>
      <c r="R1" s="31" t="s">
        <v>22</v>
      </c>
      <c r="S1" s="29" t="s">
        <v>23</v>
      </c>
      <c r="T1" s="32" t="s">
        <v>24</v>
      </c>
      <c r="U1" s="33" t="s">
        <v>25</v>
      </c>
      <c r="V1" s="32" t="s">
        <v>26</v>
      </c>
      <c r="W1" s="32" t="s">
        <v>27</v>
      </c>
      <c r="X1" s="148" t="s">
        <v>28</v>
      </c>
      <c r="Y1" s="148"/>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49" t="s">
        <v>41</v>
      </c>
      <c r="L2" s="151" t="s">
        <v>42</v>
      </c>
      <c r="M2" s="10"/>
      <c r="N2" s="10"/>
      <c r="O2" s="10"/>
      <c r="P2" s="10"/>
      <c r="Q2" s="10"/>
      <c r="R2" s="10"/>
      <c r="S2" s="153"/>
      <c r="T2" s="47"/>
      <c r="U2" s="154"/>
      <c r="V2" s="45"/>
      <c r="W2" s="45"/>
      <c r="X2" s="22">
        <v>1</v>
      </c>
      <c r="Y2" s="22">
        <v>2</v>
      </c>
      <c r="Z2" s="23"/>
      <c r="AA2" s="151" t="s">
        <v>101</v>
      </c>
      <c r="AB2" s="43"/>
      <c r="AC2" s="149" t="s">
        <v>43</v>
      </c>
      <c r="AD2" s="156"/>
      <c r="AE2" s="154" t="s">
        <v>100</v>
      </c>
      <c r="AF2" s="45"/>
      <c r="AG2" s="45"/>
      <c r="AH2" s="45"/>
      <c r="AI2" s="44"/>
      <c r="AJ2" s="44"/>
      <c r="AK2" s="44"/>
      <c r="AL2" s="44"/>
      <c r="AM2" s="154" t="s">
        <v>100</v>
      </c>
      <c r="AN2" s="157"/>
      <c r="AO2" s="155"/>
    </row>
    <row r="3" spans="1:44" ht="15" customHeight="1" x14ac:dyDescent="0.25">
      <c r="A3" s="9"/>
      <c r="B3" s="11" t="s">
        <v>44</v>
      </c>
      <c r="C3" s="11" t="s">
        <v>45</v>
      </c>
      <c r="D3" s="11" t="s">
        <v>46</v>
      </c>
      <c r="E3" s="11" t="s">
        <v>47</v>
      </c>
      <c r="F3" s="11" t="s">
        <v>48</v>
      </c>
      <c r="G3" s="11" t="s">
        <v>49</v>
      </c>
      <c r="H3" s="11" t="s">
        <v>50</v>
      </c>
      <c r="I3" s="11" t="s">
        <v>51</v>
      </c>
      <c r="J3" s="11" t="s">
        <v>52</v>
      </c>
      <c r="K3" s="150"/>
      <c r="L3" s="152"/>
      <c r="M3" s="10"/>
      <c r="N3" s="10"/>
      <c r="O3" s="10"/>
      <c r="P3" s="10"/>
      <c r="Q3" s="10"/>
      <c r="R3" s="10"/>
      <c r="S3" s="153"/>
      <c r="T3" s="47"/>
      <c r="U3" s="154"/>
      <c r="V3" s="45"/>
      <c r="W3" s="45"/>
      <c r="X3" s="11"/>
      <c r="Y3" s="11"/>
      <c r="Z3" s="12"/>
      <c r="AA3" s="151"/>
      <c r="AB3" s="43"/>
      <c r="AC3" s="149"/>
      <c r="AD3" s="156"/>
      <c r="AE3" s="154"/>
      <c r="AF3" s="45"/>
      <c r="AG3" s="45"/>
      <c r="AH3" s="45"/>
      <c r="AI3" s="13"/>
      <c r="AJ3" s="44"/>
      <c r="AK3" s="44"/>
      <c r="AL3" s="44"/>
      <c r="AM3" s="154"/>
      <c r="AN3" s="157"/>
      <c r="AO3" s="155"/>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3"/>
      <c r="T4" s="47"/>
      <c r="U4" s="154"/>
      <c r="V4" s="45"/>
      <c r="W4" s="45"/>
      <c r="X4" s="52"/>
      <c r="Y4" s="88">
        <v>667001.9</v>
      </c>
      <c r="Z4" s="12"/>
      <c r="AA4" s="151"/>
      <c r="AB4" s="87">
        <v>39533706</v>
      </c>
      <c r="AC4" s="149"/>
      <c r="AD4" s="156"/>
      <c r="AE4" s="154"/>
      <c r="AF4" s="45"/>
      <c r="AG4" s="45"/>
      <c r="AH4" s="45"/>
      <c r="AI4" s="43">
        <v>35859.1</v>
      </c>
      <c r="AJ4" s="43"/>
      <c r="AK4" s="43"/>
      <c r="AL4" s="43"/>
      <c r="AM4" s="154"/>
      <c r="AN4" s="157"/>
      <c r="AO4" s="155"/>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2" t="e">
        <f>SUM(#REF!)</f>
        <v>#REF!</v>
      </c>
    </row>
    <row r="6" spans="1:44" x14ac:dyDescent="0.25">
      <c r="A6" s="80">
        <v>44013</v>
      </c>
      <c r="B6" s="86">
        <v>3802</v>
      </c>
      <c r="C6" s="86">
        <v>1915</v>
      </c>
      <c r="D6" s="86">
        <v>853</v>
      </c>
      <c r="E6" s="86">
        <v>3901</v>
      </c>
      <c r="F6" s="86">
        <v>4926</v>
      </c>
      <c r="G6" s="86">
        <v>3501</v>
      </c>
      <c r="H6" s="86">
        <v>6699</v>
      </c>
      <c r="I6" s="86">
        <v>2750</v>
      </c>
      <c r="J6" s="86">
        <v>6992</v>
      </c>
      <c r="K6" s="63">
        <f>SUM(B6:H6)</f>
        <v>25597</v>
      </c>
      <c r="L6" s="40">
        <f>K6*0.2</f>
        <v>5119.4000000000005</v>
      </c>
      <c r="M6" s="85">
        <v>95.274000000000001</v>
      </c>
      <c r="N6" s="85">
        <v>4.01</v>
      </c>
      <c r="O6" s="85">
        <v>4.0229999999999997</v>
      </c>
      <c r="P6" s="83">
        <v>16.417000000000002</v>
      </c>
      <c r="Q6" s="85">
        <v>10.82</v>
      </c>
      <c r="R6" s="85">
        <f t="shared" ref="R6:R34" si="0">N6+O6+P6</f>
        <v>24.450000000000003</v>
      </c>
      <c r="S6" s="85">
        <f t="shared" ref="S6:S34" si="1">(N6+O6+P6)*7.84</f>
        <v>191.68800000000002</v>
      </c>
      <c r="T6" s="64">
        <f t="shared" ref="T6:T34" si="2">M6+Q6</f>
        <v>106.09399999999999</v>
      </c>
      <c r="U6" s="85">
        <f>T6*7.84</f>
        <v>831.77695999999992</v>
      </c>
      <c r="V6" s="85">
        <v>166.5</v>
      </c>
      <c r="W6" s="85">
        <v>0</v>
      </c>
      <c r="X6" s="86" t="s">
        <v>63</v>
      </c>
      <c r="Y6" s="86">
        <v>667348.19999999995</v>
      </c>
      <c r="Z6" s="61">
        <f>IF((Y6-Y5&lt;0), "0",Y6-Y4)</f>
        <v>346.29999999993015</v>
      </c>
      <c r="AA6" s="91">
        <f>Z6*6.47</f>
        <v>2240.5609999995481</v>
      </c>
      <c r="AB6" s="86">
        <v>39562050</v>
      </c>
      <c r="AC6" s="86">
        <v>39533706</v>
      </c>
      <c r="AD6" s="41">
        <f t="shared" ref="AD6:AD36" si="3">IF((AB6-AC6&lt;0), "0",AB6-AC6)</f>
        <v>28344</v>
      </c>
      <c r="AE6" s="85">
        <f>AD6*0.333415</f>
        <v>9450.3147600000011</v>
      </c>
      <c r="AF6" s="85">
        <v>43.2</v>
      </c>
      <c r="AG6" s="85">
        <v>40</v>
      </c>
      <c r="AH6" s="85">
        <v>18.399999999999999</v>
      </c>
      <c r="AI6" s="75">
        <v>35859.1</v>
      </c>
      <c r="AJ6" s="75">
        <v>35886.199999999997</v>
      </c>
      <c r="AK6" s="59">
        <f>IF((AJ6-AI6)&lt;0, "0",AJ6-AI6)</f>
        <v>27.099999999998545</v>
      </c>
      <c r="AL6" s="139">
        <f t="shared" ref="AL6:AL34" si="4">AK6*(284.34513609)</f>
        <v>7705.7531880385859</v>
      </c>
      <c r="AM6" s="85">
        <f>AL6*0.333415</f>
        <v>2569.2136991898851</v>
      </c>
      <c r="AN6" s="61">
        <f>Submetering!Y2</f>
        <v>48</v>
      </c>
      <c r="AO6" s="77">
        <f t="shared" ref="AO6:AO34" si="5">L6+U6+AA6+AE6</f>
        <v>17642.052719999549</v>
      </c>
    </row>
    <row r="7" spans="1:44" x14ac:dyDescent="0.25">
      <c r="A7" s="79">
        <v>44014</v>
      </c>
      <c r="B7" s="87">
        <v>3893</v>
      </c>
      <c r="C7" s="87">
        <v>1933</v>
      </c>
      <c r="D7" s="87">
        <v>890</v>
      </c>
      <c r="E7" s="87">
        <v>3970</v>
      </c>
      <c r="F7" s="87">
        <v>5069</v>
      </c>
      <c r="G7" s="87">
        <v>3470</v>
      </c>
      <c r="H7" s="87">
        <v>5354</v>
      </c>
      <c r="I7" s="87">
        <v>2755</v>
      </c>
      <c r="J7" s="87">
        <v>7099</v>
      </c>
      <c r="K7" s="87">
        <f>SUM(B7:H7)</f>
        <v>24579</v>
      </c>
      <c r="L7" s="14">
        <f>K7*0.2</f>
        <v>4915.8</v>
      </c>
      <c r="M7" s="84">
        <v>106.22799999999999</v>
      </c>
      <c r="N7" s="84">
        <v>2.5819999999999999</v>
      </c>
      <c r="O7" s="84">
        <v>3.9870000000000001</v>
      </c>
      <c r="P7" s="82">
        <v>47.186</v>
      </c>
      <c r="Q7" s="84">
        <v>11.795999999999999</v>
      </c>
      <c r="R7" s="84">
        <f t="shared" si="0"/>
        <v>53.755000000000003</v>
      </c>
      <c r="S7" s="84">
        <f>(N7+O7+P7)*7.84</f>
        <v>421.43920000000003</v>
      </c>
      <c r="T7" s="84">
        <f>M7+Q7</f>
        <v>118.024</v>
      </c>
      <c r="U7" s="84">
        <f>T7*7.84</f>
        <v>925.30816000000004</v>
      </c>
      <c r="V7" s="84">
        <v>178.9</v>
      </c>
      <c r="W7" s="84">
        <v>0</v>
      </c>
      <c r="X7" s="87" t="s">
        <v>63</v>
      </c>
      <c r="Y7" s="87">
        <v>667703.5</v>
      </c>
      <c r="Z7" s="5">
        <f>IF((Y7-Y6&lt;0), "0",Y7-Y6)</f>
        <v>355.30000000004657</v>
      </c>
      <c r="AA7" s="14">
        <f t="shared" ref="AA7:AA34" si="6">Z7*6.47</f>
        <v>2298.7910000003012</v>
      </c>
      <c r="AB7" s="87">
        <v>39589319</v>
      </c>
      <c r="AC7" s="87">
        <f>AB6</f>
        <v>39562050</v>
      </c>
      <c r="AD7" s="5">
        <f t="shared" si="3"/>
        <v>27269</v>
      </c>
      <c r="AE7" s="84">
        <f>AD7*0.333415</f>
        <v>9091.8936350000004</v>
      </c>
      <c r="AF7" s="84">
        <v>42.5</v>
      </c>
      <c r="AG7" s="84">
        <v>32</v>
      </c>
      <c r="AH7" s="84">
        <v>19.899999999999999</v>
      </c>
      <c r="AI7" s="88">
        <f>AJ6</f>
        <v>35886.199999999997</v>
      </c>
      <c r="AJ7" s="87">
        <v>35913.1</v>
      </c>
      <c r="AK7" s="48">
        <f t="shared" ref="AK7:AK34" si="7">IF((AJ7-AI7)&lt;0, "0",AJ7-AI7)</f>
        <v>26.900000000001455</v>
      </c>
      <c r="AL7" s="90">
        <f t="shared" si="4"/>
        <v>7648.8841608214134</v>
      </c>
      <c r="AM7" s="84">
        <f>AL7*0.333415</f>
        <v>2550.2527124802718</v>
      </c>
      <c r="AN7" s="5">
        <v>59</v>
      </c>
      <c r="AO7" s="78">
        <f t="shared" si="5"/>
        <v>17231.7927950003</v>
      </c>
    </row>
    <row r="8" spans="1:44" x14ac:dyDescent="0.25">
      <c r="A8" s="79">
        <v>44015</v>
      </c>
      <c r="B8" s="87">
        <v>3925</v>
      </c>
      <c r="C8" s="87">
        <v>1826</v>
      </c>
      <c r="D8" s="87">
        <v>905</v>
      </c>
      <c r="E8" s="87">
        <v>3965</v>
      </c>
      <c r="F8" s="87">
        <f>9415031-9410072</f>
        <v>4959</v>
      </c>
      <c r="G8" s="87">
        <v>3492</v>
      </c>
      <c r="H8" s="87">
        <v>5765</v>
      </c>
      <c r="I8" s="87">
        <v>2729</v>
      </c>
      <c r="J8" s="87">
        <v>7269</v>
      </c>
      <c r="K8" s="87">
        <f>SUM(B8:H8)</f>
        <v>24837</v>
      </c>
      <c r="L8" s="14">
        <f t="shared" ref="L8:L34" si="8">K8*0.2</f>
        <v>4967.4000000000005</v>
      </c>
      <c r="M8" s="84">
        <v>103.986</v>
      </c>
      <c r="N8" s="84">
        <v>2.496</v>
      </c>
      <c r="O8" s="84">
        <v>4.0209999999999999</v>
      </c>
      <c r="P8" s="82">
        <v>53.98</v>
      </c>
      <c r="Q8" s="84">
        <v>4.7249999999999996</v>
      </c>
      <c r="R8" s="84">
        <f t="shared" si="0"/>
        <v>60.497</v>
      </c>
      <c r="S8" s="84">
        <f>(N8+O8+P8)*7.84</f>
        <v>474.29647999999997</v>
      </c>
      <c r="T8" s="84">
        <f>M8+Q8</f>
        <v>108.711</v>
      </c>
      <c r="U8" s="84">
        <f>T8*7.84</f>
        <v>852.29423999999995</v>
      </c>
      <c r="V8" s="84">
        <v>187.1</v>
      </c>
      <c r="W8" s="84">
        <v>0</v>
      </c>
      <c r="X8" s="87" t="s">
        <v>63</v>
      </c>
      <c r="Y8" s="87">
        <v>668061.80000000005</v>
      </c>
      <c r="Z8" s="5">
        <f t="shared" ref="Z8:Z34" si="9">IF((Y8-Y7&lt;0), "0",Y8-Y7)</f>
        <v>358.30000000004657</v>
      </c>
      <c r="AA8" s="14">
        <f t="shared" si="6"/>
        <v>2318.2010000003011</v>
      </c>
      <c r="AB8" s="87">
        <v>39618150</v>
      </c>
      <c r="AC8" s="87">
        <f>AB7</f>
        <v>39589319</v>
      </c>
      <c r="AD8" s="5">
        <f t="shared" si="3"/>
        <v>28831</v>
      </c>
      <c r="AE8" s="84">
        <f t="shared" ref="AE8:AE36" si="10">AD8*0.333415</f>
        <v>9612.6878649999999</v>
      </c>
      <c r="AF8" s="84">
        <v>45.9</v>
      </c>
      <c r="AG8" s="84">
        <v>34.6</v>
      </c>
      <c r="AH8" s="84">
        <v>19.899999999999999</v>
      </c>
      <c r="AI8" s="88">
        <f t="shared" ref="AI8:AI35" si="11">AJ7</f>
        <v>35913.1</v>
      </c>
      <c r="AJ8" s="87">
        <v>35940.9</v>
      </c>
      <c r="AK8" s="48">
        <f t="shared" si="7"/>
        <v>27.80000000000291</v>
      </c>
      <c r="AL8" s="90">
        <f t="shared" si="4"/>
        <v>7904.7947833028275</v>
      </c>
      <c r="AM8" s="84">
        <f t="shared" ref="AM8:AM34" si="12">AL8*0.333415</f>
        <v>2635.5771526749122</v>
      </c>
      <c r="AN8" s="5">
        <v>66</v>
      </c>
      <c r="AO8" s="78">
        <f t="shared" si="5"/>
        <v>17750.583105000303</v>
      </c>
    </row>
    <row r="9" spans="1:44" x14ac:dyDescent="0.25">
      <c r="A9" s="79">
        <v>44016</v>
      </c>
      <c r="B9" s="87">
        <v>3843</v>
      </c>
      <c r="C9" s="87">
        <v>2042</v>
      </c>
      <c r="D9" s="87">
        <v>889</v>
      </c>
      <c r="E9" s="87">
        <v>4062</v>
      </c>
      <c r="F9" s="87">
        <v>5001</v>
      </c>
      <c r="G9" s="87">
        <v>3625</v>
      </c>
      <c r="H9" s="87">
        <v>7032</v>
      </c>
      <c r="I9" s="87">
        <v>2748</v>
      </c>
      <c r="J9" s="87">
        <v>7142</v>
      </c>
      <c r="K9" s="87">
        <f t="shared" ref="K9:K34" si="13">SUM(B9:H9)</f>
        <v>26494</v>
      </c>
      <c r="L9" s="14">
        <f t="shared" si="8"/>
        <v>5298.8</v>
      </c>
      <c r="M9" s="84">
        <v>124.318</v>
      </c>
      <c r="N9" s="84">
        <v>3.8210000000000002</v>
      </c>
      <c r="O9" s="84">
        <v>4.1260000000000003</v>
      </c>
      <c r="P9" s="82">
        <v>60.634999999999998</v>
      </c>
      <c r="Q9" s="84">
        <v>12.308999999999999</v>
      </c>
      <c r="R9" s="84">
        <f t="shared" si="0"/>
        <v>68.581999999999994</v>
      </c>
      <c r="S9" s="84">
        <f t="shared" si="1"/>
        <v>537.68287999999995</v>
      </c>
      <c r="T9" s="84">
        <f t="shared" si="2"/>
        <v>136.62700000000001</v>
      </c>
      <c r="U9" s="84">
        <f t="shared" ref="U9:U37" si="14">T9*7.84</f>
        <v>1071.1556800000001</v>
      </c>
      <c r="V9" s="84">
        <v>191.7</v>
      </c>
      <c r="W9" s="84">
        <v>0</v>
      </c>
      <c r="X9" s="87" t="s">
        <v>63</v>
      </c>
      <c r="Y9" s="87">
        <v>668433.19999999995</v>
      </c>
      <c r="Z9" s="5">
        <f t="shared" si="9"/>
        <v>371.39999999990687</v>
      </c>
      <c r="AA9" s="14">
        <f t="shared" si="6"/>
        <v>2402.9579999993975</v>
      </c>
      <c r="AB9" s="87">
        <v>39648778</v>
      </c>
      <c r="AC9" s="87">
        <f t="shared" ref="AC9" si="15">AB8</f>
        <v>39618150</v>
      </c>
      <c r="AD9" s="5">
        <f t="shared" si="3"/>
        <v>30628</v>
      </c>
      <c r="AE9" s="84">
        <f t="shared" si="10"/>
        <v>10211.83462</v>
      </c>
      <c r="AF9" s="84">
        <v>48.9</v>
      </c>
      <c r="AG9" s="84">
        <v>42.8</v>
      </c>
      <c r="AH9" s="84">
        <v>19.5</v>
      </c>
      <c r="AI9" s="88">
        <f t="shared" si="11"/>
        <v>35940.9</v>
      </c>
      <c r="AJ9" s="87">
        <v>35967.699999999997</v>
      </c>
      <c r="AK9" s="48">
        <f t="shared" si="7"/>
        <v>26.799999999995634</v>
      </c>
      <c r="AL9" s="90">
        <f t="shared" si="4"/>
        <v>7620.4496472107585</v>
      </c>
      <c r="AM9" s="84">
        <f t="shared" si="12"/>
        <v>2540.7722191247753</v>
      </c>
      <c r="AN9" s="5">
        <v>61</v>
      </c>
      <c r="AO9" s="78">
        <f t="shared" si="5"/>
        <v>18984.748299999395</v>
      </c>
    </row>
    <row r="10" spans="1:44" x14ac:dyDescent="0.25">
      <c r="A10" s="79">
        <v>44017</v>
      </c>
      <c r="B10" s="87">
        <v>3846</v>
      </c>
      <c r="C10" s="87">
        <v>1854</v>
      </c>
      <c r="D10" s="87">
        <v>848</v>
      </c>
      <c r="E10" s="87">
        <v>4101</v>
      </c>
      <c r="F10" s="87">
        <v>5096</v>
      </c>
      <c r="G10" s="87">
        <v>3346</v>
      </c>
      <c r="H10" s="87">
        <v>4987</v>
      </c>
      <c r="I10" s="87">
        <v>2765</v>
      </c>
      <c r="J10" s="87">
        <v>7335</v>
      </c>
      <c r="K10" s="87">
        <f t="shared" si="13"/>
        <v>24078</v>
      </c>
      <c r="L10" s="14">
        <f t="shared" si="8"/>
        <v>4815.6000000000004</v>
      </c>
      <c r="M10" s="84">
        <v>97.497</v>
      </c>
      <c r="N10" s="84">
        <v>2.004</v>
      </c>
      <c r="O10" s="84">
        <v>4.2489999999999997</v>
      </c>
      <c r="P10" s="82">
        <v>41.743000000000002</v>
      </c>
      <c r="Q10" s="84">
        <v>12.394</v>
      </c>
      <c r="R10" s="84">
        <f t="shared" si="0"/>
        <v>47.996000000000002</v>
      </c>
      <c r="S10" s="84">
        <f t="shared" si="1"/>
        <v>376.28863999999999</v>
      </c>
      <c r="T10" s="84">
        <f t="shared" si="2"/>
        <v>109.89100000000001</v>
      </c>
      <c r="U10" s="84">
        <f t="shared" si="14"/>
        <v>861.54543999999999</v>
      </c>
      <c r="V10" s="84">
        <v>177.1</v>
      </c>
      <c r="W10" s="84">
        <v>0</v>
      </c>
      <c r="X10" s="87" t="s">
        <v>63</v>
      </c>
      <c r="Y10" s="87">
        <v>668772.80000000005</v>
      </c>
      <c r="Z10" s="5">
        <f t="shared" si="9"/>
        <v>339.60000000009313</v>
      </c>
      <c r="AA10" s="14">
        <f t="shared" si="6"/>
        <v>2197.2120000006025</v>
      </c>
      <c r="AB10" s="87">
        <v>39675198</v>
      </c>
      <c r="AC10" s="87">
        <f>AB9</f>
        <v>39648778</v>
      </c>
      <c r="AD10" s="5">
        <f t="shared" si="3"/>
        <v>26420</v>
      </c>
      <c r="AE10" s="84">
        <f t="shared" si="10"/>
        <v>8808.8243000000002</v>
      </c>
      <c r="AF10" s="84">
        <v>39.700000000000003</v>
      </c>
      <c r="AG10" s="84">
        <v>31</v>
      </c>
      <c r="AH10" s="84">
        <v>19.899999999999999</v>
      </c>
      <c r="AI10" s="88">
        <f t="shared" si="11"/>
        <v>35967.699999999997</v>
      </c>
      <c r="AJ10" s="87">
        <v>35994.300000000003</v>
      </c>
      <c r="AK10" s="48">
        <f t="shared" si="7"/>
        <v>26.600000000005821</v>
      </c>
      <c r="AL10" s="90">
        <f t="shared" si="4"/>
        <v>7563.5806199956551</v>
      </c>
      <c r="AM10" s="84">
        <f t="shared" si="12"/>
        <v>2521.8112324158515</v>
      </c>
      <c r="AN10" s="5">
        <v>55</v>
      </c>
      <c r="AO10" s="78">
        <f t="shared" si="5"/>
        <v>16683.181740000604</v>
      </c>
    </row>
    <row r="11" spans="1:44" x14ac:dyDescent="0.25">
      <c r="A11" s="79">
        <v>44018</v>
      </c>
      <c r="B11" s="87">
        <v>3860</v>
      </c>
      <c r="C11" s="87">
        <v>2123</v>
      </c>
      <c r="D11" s="87">
        <v>854</v>
      </c>
      <c r="E11" s="87">
        <v>4257</v>
      </c>
      <c r="F11" s="87">
        <v>5128</v>
      </c>
      <c r="G11" s="87">
        <v>3346</v>
      </c>
      <c r="H11" s="87">
        <v>4300</v>
      </c>
      <c r="I11" s="87">
        <v>2785</v>
      </c>
      <c r="J11" s="87">
        <v>7209</v>
      </c>
      <c r="K11" s="87">
        <f t="shared" si="13"/>
        <v>23868</v>
      </c>
      <c r="L11" s="14">
        <f t="shared" si="8"/>
        <v>4773.6000000000004</v>
      </c>
      <c r="M11" s="84">
        <v>98.951999999999998</v>
      </c>
      <c r="N11" s="84">
        <v>2.0539999999999998</v>
      </c>
      <c r="O11" s="84">
        <v>4.6719999999999997</v>
      </c>
      <c r="P11" s="82">
        <v>40.642000000000003</v>
      </c>
      <c r="Q11" s="84">
        <v>10.379</v>
      </c>
      <c r="R11" s="84">
        <f t="shared" si="0"/>
        <v>47.368000000000002</v>
      </c>
      <c r="S11" s="84">
        <f t="shared" si="1"/>
        <v>371.36511999999999</v>
      </c>
      <c r="T11" s="84">
        <f t="shared" si="2"/>
        <v>109.331</v>
      </c>
      <c r="U11" s="84">
        <f t="shared" si="14"/>
        <v>857.15503999999999</v>
      </c>
      <c r="V11" s="84">
        <v>186.5</v>
      </c>
      <c r="W11" s="84">
        <v>0.01</v>
      </c>
      <c r="X11" s="87" t="s">
        <v>63</v>
      </c>
      <c r="Y11" s="87">
        <v>669136.4</v>
      </c>
      <c r="Z11" s="5">
        <f t="shared" si="9"/>
        <v>363.59999999997672</v>
      </c>
      <c r="AA11" s="14">
        <f t="shared" si="6"/>
        <v>2352.4919999998492</v>
      </c>
      <c r="AB11" s="87">
        <v>39699858</v>
      </c>
      <c r="AC11" s="87">
        <f t="shared" ref="AC11:AC36" si="16">AB10</f>
        <v>39675198</v>
      </c>
      <c r="AD11" s="5">
        <f t="shared" si="3"/>
        <v>24660</v>
      </c>
      <c r="AE11" s="84">
        <f t="shared" si="10"/>
        <v>8222.0138999999999</v>
      </c>
      <c r="AF11" s="84">
        <v>39.6</v>
      </c>
      <c r="AG11" s="84">
        <v>28</v>
      </c>
      <c r="AH11" s="84">
        <v>18.7</v>
      </c>
      <c r="AI11" s="88">
        <f t="shared" si="11"/>
        <v>35994.300000000003</v>
      </c>
      <c r="AJ11" s="87">
        <v>36018.699999999997</v>
      </c>
      <c r="AK11" s="48">
        <f t="shared" si="7"/>
        <v>24.399999999994179</v>
      </c>
      <c r="AL11" s="90">
        <f t="shared" si="4"/>
        <v>6938.0213205943446</v>
      </c>
      <c r="AM11" s="84">
        <f t="shared" si="12"/>
        <v>2313.2403786059635</v>
      </c>
      <c r="AN11" s="5">
        <v>64</v>
      </c>
      <c r="AO11" s="78">
        <f t="shared" si="5"/>
        <v>16205.260939999849</v>
      </c>
    </row>
    <row r="12" spans="1:44" x14ac:dyDescent="0.25">
      <c r="A12" s="79">
        <v>44019</v>
      </c>
      <c r="B12" s="87">
        <v>3944</v>
      </c>
      <c r="C12" s="87">
        <v>2037</v>
      </c>
      <c r="D12" s="87">
        <v>856</v>
      </c>
      <c r="E12" s="87">
        <v>3968</v>
      </c>
      <c r="F12" s="87">
        <v>5050</v>
      </c>
      <c r="G12" s="87">
        <v>3564</v>
      </c>
      <c r="H12" s="87">
        <v>6234</v>
      </c>
      <c r="I12" s="87">
        <v>2643</v>
      </c>
      <c r="J12" s="87">
        <v>7134</v>
      </c>
      <c r="K12" s="87">
        <f t="shared" si="13"/>
        <v>25653</v>
      </c>
      <c r="L12" s="14">
        <f t="shared" si="8"/>
        <v>5130.6000000000004</v>
      </c>
      <c r="M12" s="84">
        <v>95.409000000000006</v>
      </c>
      <c r="N12" s="84">
        <v>2.681</v>
      </c>
      <c r="O12" s="84">
        <v>4.8520000000000003</v>
      </c>
      <c r="P12" s="82">
        <v>63.841999999999999</v>
      </c>
      <c r="Q12" s="84">
        <v>7.56</v>
      </c>
      <c r="R12" s="84">
        <f t="shared" si="0"/>
        <v>71.375</v>
      </c>
      <c r="S12" s="84">
        <f t="shared" si="1"/>
        <v>559.58000000000004</v>
      </c>
      <c r="T12" s="84">
        <f t="shared" si="2"/>
        <v>102.96900000000001</v>
      </c>
      <c r="U12" s="84">
        <f t="shared" si="14"/>
        <v>807.27696000000003</v>
      </c>
      <c r="V12" s="84">
        <v>184</v>
      </c>
      <c r="W12" s="84">
        <v>0</v>
      </c>
      <c r="X12" s="87" t="s">
        <v>63</v>
      </c>
      <c r="Y12" s="87">
        <v>669486.1</v>
      </c>
      <c r="Z12" s="5">
        <f t="shared" si="9"/>
        <v>349.69999999995343</v>
      </c>
      <c r="AA12" s="14">
        <f t="shared" si="6"/>
        <v>2262.5589999996987</v>
      </c>
      <c r="AB12" s="87">
        <v>39728060</v>
      </c>
      <c r="AC12" s="87">
        <f t="shared" si="16"/>
        <v>39699858</v>
      </c>
      <c r="AD12" s="5">
        <f t="shared" si="3"/>
        <v>28202</v>
      </c>
      <c r="AE12" s="84">
        <f t="shared" si="10"/>
        <v>9402.96983</v>
      </c>
      <c r="AF12" s="84">
        <v>46.5</v>
      </c>
      <c r="AG12" s="84">
        <v>35</v>
      </c>
      <c r="AH12" s="84">
        <v>19.3</v>
      </c>
      <c r="AI12" s="88">
        <f t="shared" si="11"/>
        <v>36018.699999999997</v>
      </c>
      <c r="AJ12" s="87">
        <v>36043.599999999999</v>
      </c>
      <c r="AK12" s="48">
        <f t="shared" si="7"/>
        <v>24.900000000001455</v>
      </c>
      <c r="AL12" s="90">
        <f t="shared" si="4"/>
        <v>7080.1938886414137</v>
      </c>
      <c r="AM12" s="84">
        <f t="shared" si="12"/>
        <v>2360.6428453813769</v>
      </c>
      <c r="AN12" s="5">
        <v>68</v>
      </c>
      <c r="AO12" s="78">
        <f t="shared" si="5"/>
        <v>17603.405789999699</v>
      </c>
    </row>
    <row r="13" spans="1:44" x14ac:dyDescent="0.25">
      <c r="A13" s="79">
        <v>44020</v>
      </c>
      <c r="B13" s="87">
        <v>3880</v>
      </c>
      <c r="C13" s="87">
        <v>2033</v>
      </c>
      <c r="D13" s="87">
        <v>852</v>
      </c>
      <c r="E13" s="87">
        <v>4139</v>
      </c>
      <c r="F13" s="87">
        <v>5093</v>
      </c>
      <c r="G13" s="87">
        <f>7233864-7230147</f>
        <v>3717</v>
      </c>
      <c r="H13" s="87">
        <v>7345</v>
      </c>
      <c r="I13" s="87">
        <v>2651</v>
      </c>
      <c r="J13" s="87">
        <v>7252</v>
      </c>
      <c r="K13" s="87">
        <f t="shared" si="13"/>
        <v>27059</v>
      </c>
      <c r="L13" s="14">
        <f t="shared" si="8"/>
        <v>5411.8</v>
      </c>
      <c r="M13" s="84">
        <v>96.242000000000004</v>
      </c>
      <c r="N13" s="84">
        <v>3.161</v>
      </c>
      <c r="O13" s="84">
        <v>6.0129999999999999</v>
      </c>
      <c r="P13" s="82">
        <v>70.908000000000001</v>
      </c>
      <c r="Q13" s="84">
        <v>21.937999999999999</v>
      </c>
      <c r="R13" s="84">
        <f t="shared" si="0"/>
        <v>80.081999999999994</v>
      </c>
      <c r="S13" s="84">
        <f t="shared" si="1"/>
        <v>627.84287999999992</v>
      </c>
      <c r="T13" s="84">
        <f t="shared" si="2"/>
        <v>118.18</v>
      </c>
      <c r="U13" s="84">
        <f t="shared" si="14"/>
        <v>926.53120000000001</v>
      </c>
      <c r="V13" s="84">
        <v>113.3</v>
      </c>
      <c r="W13" s="84">
        <v>0</v>
      </c>
      <c r="X13" s="87" t="s">
        <v>63</v>
      </c>
      <c r="Y13" s="87">
        <v>669769.69999999995</v>
      </c>
      <c r="Z13" s="5">
        <f t="shared" si="9"/>
        <v>283.59999999997672</v>
      </c>
      <c r="AA13" s="14">
        <f t="shared" si="6"/>
        <v>1834.8919999998493</v>
      </c>
      <c r="AB13" s="87">
        <v>39758396</v>
      </c>
      <c r="AC13" s="87">
        <f t="shared" si="16"/>
        <v>39728060</v>
      </c>
      <c r="AD13" s="5">
        <f t="shared" si="3"/>
        <v>30336</v>
      </c>
      <c r="AE13" s="84">
        <f t="shared" si="10"/>
        <v>10114.477440000001</v>
      </c>
      <c r="AF13" s="84">
        <v>47.1</v>
      </c>
      <c r="AG13" s="84">
        <v>42</v>
      </c>
      <c r="AH13" s="84">
        <v>18.7</v>
      </c>
      <c r="AI13" s="88">
        <f t="shared" si="11"/>
        <v>36043.599999999999</v>
      </c>
      <c r="AJ13" s="87">
        <v>36071.300000000003</v>
      </c>
      <c r="AK13" s="48">
        <f t="shared" si="7"/>
        <v>27.700000000004366</v>
      </c>
      <c r="AL13" s="90">
        <f t="shared" si="4"/>
        <v>7876.3602696942407</v>
      </c>
      <c r="AM13" s="84">
        <f t="shared" si="12"/>
        <v>2626.0966593201056</v>
      </c>
      <c r="AN13" s="5">
        <v>61</v>
      </c>
      <c r="AO13" s="78">
        <f t="shared" si="5"/>
        <v>18287.70063999985</v>
      </c>
    </row>
    <row r="14" spans="1:44" x14ac:dyDescent="0.25">
      <c r="A14" s="79">
        <v>44021</v>
      </c>
      <c r="B14" s="87">
        <v>3793</v>
      </c>
      <c r="C14" s="87">
        <v>1918</v>
      </c>
      <c r="D14" s="87">
        <v>921</v>
      </c>
      <c r="E14" s="87">
        <v>4080</v>
      </c>
      <c r="F14" s="87">
        <v>5099</v>
      </c>
      <c r="G14" s="87">
        <v>3402</v>
      </c>
      <c r="H14" s="87">
        <v>5547</v>
      </c>
      <c r="I14" s="87">
        <v>2722</v>
      </c>
      <c r="J14" s="87">
        <v>7369</v>
      </c>
      <c r="K14" s="87">
        <f t="shared" si="13"/>
        <v>24760</v>
      </c>
      <c r="L14" s="14">
        <f t="shared" si="8"/>
        <v>4952</v>
      </c>
      <c r="M14" s="84">
        <v>142.19200000000001</v>
      </c>
      <c r="N14" s="84">
        <v>3.66</v>
      </c>
      <c r="O14" s="84">
        <v>5.508</v>
      </c>
      <c r="P14" s="82">
        <v>53.093000000000004</v>
      </c>
      <c r="Q14" s="84">
        <v>11.271000000000001</v>
      </c>
      <c r="R14" s="84">
        <f>N14+O14+P14</f>
        <v>62.261000000000003</v>
      </c>
      <c r="S14" s="84">
        <f t="shared" si="1"/>
        <v>488.12624</v>
      </c>
      <c r="T14" s="84">
        <f t="shared" si="2"/>
        <v>153.46300000000002</v>
      </c>
      <c r="U14" s="84">
        <f t="shared" si="14"/>
        <v>1203.1499200000001</v>
      </c>
      <c r="V14" s="84">
        <v>217</v>
      </c>
      <c r="W14" s="84">
        <v>0</v>
      </c>
      <c r="X14" s="87" t="s">
        <v>63</v>
      </c>
      <c r="Y14" s="88">
        <v>670194</v>
      </c>
      <c r="Z14" s="5">
        <f>IF((Y14-Y13&lt;0), "0",Y14-Y13)</f>
        <v>424.30000000004657</v>
      </c>
      <c r="AA14" s="14">
        <f t="shared" si="6"/>
        <v>2745.221000000301</v>
      </c>
      <c r="AB14" s="87">
        <v>39785106</v>
      </c>
      <c r="AC14" s="87">
        <f t="shared" si="16"/>
        <v>39758396</v>
      </c>
      <c r="AD14" s="5">
        <f t="shared" si="3"/>
        <v>26710</v>
      </c>
      <c r="AE14" s="84">
        <f t="shared" si="10"/>
        <v>8905.514650000001</v>
      </c>
      <c r="AF14" s="84">
        <v>41.4</v>
      </c>
      <c r="AG14" s="84">
        <v>32.9</v>
      </c>
      <c r="AH14" s="84">
        <v>19.399999999999999</v>
      </c>
      <c r="AI14" s="88">
        <f t="shared" si="11"/>
        <v>36071.300000000003</v>
      </c>
      <c r="AJ14" s="88">
        <v>36097</v>
      </c>
      <c r="AK14" s="48">
        <f t="shared" si="7"/>
        <v>25.69999999999709</v>
      </c>
      <c r="AL14" s="90">
        <f t="shared" si="4"/>
        <v>7307.6699975121719</v>
      </c>
      <c r="AM14" s="84">
        <f t="shared" si="12"/>
        <v>2436.4867922205208</v>
      </c>
      <c r="AN14" s="5">
        <v>57</v>
      </c>
      <c r="AO14" s="78">
        <f t="shared" si="5"/>
        <v>17805.885570000304</v>
      </c>
    </row>
    <row r="15" spans="1:44" x14ac:dyDescent="0.25">
      <c r="A15" s="79">
        <v>44022</v>
      </c>
      <c r="B15" s="87">
        <v>3981</v>
      </c>
      <c r="C15" s="87">
        <v>1973</v>
      </c>
      <c r="D15" s="87">
        <v>893</v>
      </c>
      <c r="E15" s="87">
        <v>4045</v>
      </c>
      <c r="F15" s="87">
        <v>5049</v>
      </c>
      <c r="G15" s="87">
        <v>3387</v>
      </c>
      <c r="H15" s="87">
        <v>4693</v>
      </c>
      <c r="I15" s="87">
        <v>2763</v>
      </c>
      <c r="J15" s="87">
        <v>7423</v>
      </c>
      <c r="K15" s="87">
        <f t="shared" si="13"/>
        <v>24021</v>
      </c>
      <c r="L15" s="14">
        <f t="shared" si="8"/>
        <v>4804.2</v>
      </c>
      <c r="M15" s="84">
        <v>94.68</v>
      </c>
      <c r="N15" s="84">
        <v>2.0920000000000001</v>
      </c>
      <c r="O15" s="84">
        <v>6.149</v>
      </c>
      <c r="P15" s="82">
        <v>58.707000000000001</v>
      </c>
      <c r="Q15" s="84">
        <v>6.0670000000000002</v>
      </c>
      <c r="R15" s="84">
        <f t="shared" si="0"/>
        <v>66.948000000000008</v>
      </c>
      <c r="S15" s="84">
        <f t="shared" si="1"/>
        <v>524.87232000000006</v>
      </c>
      <c r="T15" s="84">
        <f t="shared" si="2"/>
        <v>100.74700000000001</v>
      </c>
      <c r="U15" s="84">
        <f t="shared" si="14"/>
        <v>789.85648000000015</v>
      </c>
      <c r="V15" s="84">
        <v>193.8</v>
      </c>
      <c r="W15" s="84">
        <v>0</v>
      </c>
      <c r="X15" s="87" t="s">
        <v>63</v>
      </c>
      <c r="Y15" s="88">
        <v>670584.5</v>
      </c>
      <c r="Z15" s="5">
        <f t="shared" si="9"/>
        <v>390.5</v>
      </c>
      <c r="AA15" s="14">
        <f t="shared" si="6"/>
        <v>2526.5349999999999</v>
      </c>
      <c r="AB15" s="87">
        <v>39812273</v>
      </c>
      <c r="AC15" s="87">
        <f t="shared" si="16"/>
        <v>39785106</v>
      </c>
      <c r="AD15" s="5">
        <f t="shared" si="3"/>
        <v>27167</v>
      </c>
      <c r="AE15" s="84">
        <f t="shared" si="10"/>
        <v>9057.8853049999998</v>
      </c>
      <c r="AF15" s="84">
        <v>41.9</v>
      </c>
      <c r="AG15" s="84">
        <v>29.9</v>
      </c>
      <c r="AH15" s="84">
        <v>21.2</v>
      </c>
      <c r="AI15" s="88">
        <f t="shared" si="11"/>
        <v>36097</v>
      </c>
      <c r="AJ15" s="88">
        <v>36124.1</v>
      </c>
      <c r="AK15" s="48">
        <f t="shared" si="7"/>
        <v>27.099999999998545</v>
      </c>
      <c r="AL15" s="90">
        <f t="shared" si="4"/>
        <v>7705.7531880385859</v>
      </c>
      <c r="AM15" s="84">
        <f t="shared" si="12"/>
        <v>2569.2136991898851</v>
      </c>
      <c r="AN15" s="5">
        <v>59</v>
      </c>
      <c r="AO15" s="89">
        <f t="shared" si="5"/>
        <v>17178.476784999999</v>
      </c>
    </row>
    <row r="16" spans="1:44" x14ac:dyDescent="0.25">
      <c r="A16" s="79">
        <v>44023</v>
      </c>
      <c r="B16" s="87">
        <v>4124</v>
      </c>
      <c r="C16" s="87">
        <v>1938</v>
      </c>
      <c r="D16" s="87">
        <v>881</v>
      </c>
      <c r="E16" s="87">
        <v>4006</v>
      </c>
      <c r="F16" s="87">
        <v>4943</v>
      </c>
      <c r="G16" s="87">
        <v>3244</v>
      </c>
      <c r="H16" s="87">
        <v>4637</v>
      </c>
      <c r="I16" s="87">
        <v>2693</v>
      </c>
      <c r="J16" s="87">
        <v>7241</v>
      </c>
      <c r="K16" s="87">
        <f t="shared" si="13"/>
        <v>23773</v>
      </c>
      <c r="L16" s="14">
        <f t="shared" si="8"/>
        <v>4754.6000000000004</v>
      </c>
      <c r="M16" s="84">
        <v>92.718000000000004</v>
      </c>
      <c r="N16" s="84">
        <v>1.9279999999999999</v>
      </c>
      <c r="O16" s="84">
        <v>5.4560000000000004</v>
      </c>
      <c r="P16" s="82">
        <v>59.192999999999998</v>
      </c>
      <c r="Q16" s="84">
        <v>13.067</v>
      </c>
      <c r="R16" s="84">
        <f t="shared" si="0"/>
        <v>66.576999999999998</v>
      </c>
      <c r="S16" s="84">
        <f t="shared" si="1"/>
        <v>521.96367999999995</v>
      </c>
      <c r="T16" s="84">
        <f t="shared" si="2"/>
        <v>105.785</v>
      </c>
      <c r="U16" s="84">
        <f t="shared" si="14"/>
        <v>829.35439999999994</v>
      </c>
      <c r="V16" s="84">
        <v>180.9</v>
      </c>
      <c r="W16" s="84">
        <v>0</v>
      </c>
      <c r="X16" s="87" t="s">
        <v>63</v>
      </c>
      <c r="Y16" s="88">
        <v>670962.4</v>
      </c>
      <c r="Z16" s="5">
        <f t="shared" si="9"/>
        <v>377.90000000002328</v>
      </c>
      <c r="AA16" s="14">
        <f t="shared" si="6"/>
        <v>2445.0130000001504</v>
      </c>
      <c r="AB16" s="87">
        <v>39838471</v>
      </c>
      <c r="AC16" s="87">
        <f t="shared" si="16"/>
        <v>39812273</v>
      </c>
      <c r="AD16" s="5">
        <f t="shared" si="3"/>
        <v>26198</v>
      </c>
      <c r="AE16" s="84">
        <f t="shared" si="10"/>
        <v>8734.8061699999998</v>
      </c>
      <c r="AF16" s="84">
        <v>39.4</v>
      </c>
      <c r="AG16" s="84">
        <v>30.5</v>
      </c>
      <c r="AH16" s="84">
        <v>20.100000000000001</v>
      </c>
      <c r="AI16" s="88">
        <f t="shared" si="11"/>
        <v>36124.1</v>
      </c>
      <c r="AJ16" s="88">
        <v>36150.699999999997</v>
      </c>
      <c r="AK16" s="48">
        <f t="shared" si="7"/>
        <v>26.599999999998545</v>
      </c>
      <c r="AL16" s="90">
        <f t="shared" si="4"/>
        <v>7563.580619993586</v>
      </c>
      <c r="AM16" s="84">
        <f t="shared" si="12"/>
        <v>2521.8112324151616</v>
      </c>
      <c r="AN16" s="5">
        <v>54</v>
      </c>
      <c r="AO16" s="78">
        <f t="shared" si="5"/>
        <v>16763.77357000015</v>
      </c>
    </row>
    <row r="17" spans="1:41" x14ac:dyDescent="0.25">
      <c r="A17" s="79">
        <v>44024</v>
      </c>
      <c r="B17" s="87">
        <v>4221</v>
      </c>
      <c r="C17" s="87">
        <v>2131</v>
      </c>
      <c r="D17" s="87">
        <v>828</v>
      </c>
      <c r="E17" s="87">
        <v>4114</v>
      </c>
      <c r="F17" s="87">
        <v>5022</v>
      </c>
      <c r="G17" s="87">
        <v>3416</v>
      </c>
      <c r="H17" s="87">
        <v>5939</v>
      </c>
      <c r="I17" s="87">
        <v>2678</v>
      </c>
      <c r="J17" s="87">
        <v>7105</v>
      </c>
      <c r="K17" s="87">
        <f t="shared" si="13"/>
        <v>25671</v>
      </c>
      <c r="L17" s="14">
        <f t="shared" si="8"/>
        <v>5134.2000000000007</v>
      </c>
      <c r="M17" s="84">
        <v>120.057</v>
      </c>
      <c r="N17" s="84">
        <v>2.08</v>
      </c>
      <c r="O17" s="84">
        <v>5.64</v>
      </c>
      <c r="P17" s="82">
        <v>52.713000000000001</v>
      </c>
      <c r="Q17" s="84">
        <v>12.597</v>
      </c>
      <c r="R17" s="84">
        <f t="shared" si="0"/>
        <v>60.433</v>
      </c>
      <c r="S17" s="84">
        <f t="shared" si="1"/>
        <v>473.79471999999998</v>
      </c>
      <c r="T17" s="84">
        <f t="shared" si="2"/>
        <v>132.654</v>
      </c>
      <c r="U17" s="84">
        <f t="shared" si="14"/>
        <v>1040.0073600000001</v>
      </c>
      <c r="V17" s="84">
        <v>182.5</v>
      </c>
      <c r="W17" s="84">
        <v>0</v>
      </c>
      <c r="X17" s="87" t="s">
        <v>63</v>
      </c>
      <c r="Y17" s="88">
        <v>671337.4</v>
      </c>
      <c r="Z17" s="5">
        <f t="shared" si="9"/>
        <v>375</v>
      </c>
      <c r="AA17" s="14">
        <f t="shared" si="6"/>
        <v>2426.25</v>
      </c>
      <c r="AB17" s="87">
        <v>39866655</v>
      </c>
      <c r="AC17" s="87">
        <f t="shared" si="16"/>
        <v>39838471</v>
      </c>
      <c r="AD17" s="5">
        <f t="shared" si="3"/>
        <v>28184</v>
      </c>
      <c r="AE17" s="84">
        <f t="shared" si="10"/>
        <v>9396.9683600000008</v>
      </c>
      <c r="AF17" s="84">
        <v>43.3</v>
      </c>
      <c r="AG17" s="84">
        <v>35.700000000000003</v>
      </c>
      <c r="AH17" s="84">
        <v>20.100000000000001</v>
      </c>
      <c r="AI17" s="88">
        <f t="shared" si="11"/>
        <v>36150.699999999997</v>
      </c>
      <c r="AJ17" s="88">
        <v>36176.9</v>
      </c>
      <c r="AK17" s="48">
        <f t="shared" si="7"/>
        <v>26.200000000004366</v>
      </c>
      <c r="AL17" s="90">
        <f t="shared" si="4"/>
        <v>7449.8425655592409</v>
      </c>
      <c r="AM17" s="84">
        <f t="shared" si="12"/>
        <v>2483.8892589959346</v>
      </c>
      <c r="AN17" s="5">
        <v>68</v>
      </c>
      <c r="AO17" s="78">
        <f t="shared" si="5"/>
        <v>17997.425719999999</v>
      </c>
    </row>
    <row r="18" spans="1:41" x14ac:dyDescent="0.25">
      <c r="A18" s="79">
        <v>44025</v>
      </c>
      <c r="B18" s="87">
        <v>4143</v>
      </c>
      <c r="C18" s="87">
        <v>2248</v>
      </c>
      <c r="D18" s="87">
        <v>851</v>
      </c>
      <c r="E18" s="87">
        <v>4032</v>
      </c>
      <c r="F18" s="87">
        <v>5148</v>
      </c>
      <c r="G18" s="87">
        <v>3235</v>
      </c>
      <c r="H18" s="87">
        <v>5070</v>
      </c>
      <c r="I18" s="87">
        <v>2701</v>
      </c>
      <c r="J18" s="87">
        <v>7087</v>
      </c>
      <c r="K18" s="87">
        <f t="shared" si="13"/>
        <v>24727</v>
      </c>
      <c r="L18" s="14">
        <f t="shared" si="8"/>
        <v>4945.4000000000005</v>
      </c>
      <c r="M18" s="84">
        <v>106.869</v>
      </c>
      <c r="N18" s="84">
        <v>2.2850000000000001</v>
      </c>
      <c r="O18" s="84">
        <v>5.3140000000000001</v>
      </c>
      <c r="P18" s="82">
        <v>52.390999999999998</v>
      </c>
      <c r="Q18" s="84">
        <v>14.295999999999999</v>
      </c>
      <c r="R18" s="84">
        <f t="shared" si="0"/>
        <v>59.989999999999995</v>
      </c>
      <c r="S18" s="84">
        <f t="shared" si="1"/>
        <v>470.32159999999993</v>
      </c>
      <c r="T18" s="84">
        <f t="shared" si="2"/>
        <v>121.16499999999999</v>
      </c>
      <c r="U18" s="84">
        <f t="shared" si="14"/>
        <v>949.93359999999996</v>
      </c>
      <c r="V18" s="84">
        <v>180.5</v>
      </c>
      <c r="W18" s="84">
        <v>0</v>
      </c>
      <c r="X18" s="87" t="s">
        <v>63</v>
      </c>
      <c r="Y18" s="88">
        <v>671683.7</v>
      </c>
      <c r="Z18" s="5">
        <f t="shared" si="9"/>
        <v>346.29999999993015</v>
      </c>
      <c r="AA18" s="14">
        <f t="shared" si="6"/>
        <v>2240.5609999995481</v>
      </c>
      <c r="AB18" s="87">
        <v>39892851</v>
      </c>
      <c r="AC18" s="87">
        <f t="shared" si="16"/>
        <v>39866655</v>
      </c>
      <c r="AD18" s="5">
        <f t="shared" si="3"/>
        <v>26196</v>
      </c>
      <c r="AE18" s="84">
        <f t="shared" si="10"/>
        <v>8734.1393399999997</v>
      </c>
      <c r="AF18" s="82">
        <v>41.2</v>
      </c>
      <c r="AG18" s="82">
        <v>26.6</v>
      </c>
      <c r="AH18" s="82">
        <v>21</v>
      </c>
      <c r="AI18" s="88">
        <f t="shared" si="11"/>
        <v>36176.9</v>
      </c>
      <c r="AJ18" s="88">
        <v>36202.400000000001</v>
      </c>
      <c r="AK18" s="48">
        <f t="shared" si="7"/>
        <v>25.5</v>
      </c>
      <c r="AL18" s="90">
        <f t="shared" si="4"/>
        <v>7250.8009702949994</v>
      </c>
      <c r="AM18" s="84">
        <f t="shared" si="12"/>
        <v>2417.5258055109075</v>
      </c>
      <c r="AN18" s="71">
        <v>72</v>
      </c>
      <c r="AO18" s="78">
        <f t="shared" si="5"/>
        <v>16870.03393999955</v>
      </c>
    </row>
    <row r="19" spans="1:41" x14ac:dyDescent="0.25">
      <c r="A19" s="79">
        <v>44026</v>
      </c>
      <c r="B19" s="87">
        <v>4091</v>
      </c>
      <c r="C19" s="87">
        <v>2331</v>
      </c>
      <c r="D19" s="87">
        <v>838</v>
      </c>
      <c r="E19" s="87">
        <v>4030</v>
      </c>
      <c r="F19" s="87">
        <v>5181</v>
      </c>
      <c r="G19" s="87">
        <v>3480</v>
      </c>
      <c r="H19" s="87">
        <v>5264</v>
      </c>
      <c r="I19" s="87">
        <v>2720</v>
      </c>
      <c r="J19" s="87">
        <v>7270</v>
      </c>
      <c r="K19" s="87">
        <f t="shared" si="13"/>
        <v>25215</v>
      </c>
      <c r="L19" s="14">
        <f t="shared" si="8"/>
        <v>5043</v>
      </c>
      <c r="M19" s="84">
        <v>97.867999999999995</v>
      </c>
      <c r="N19" s="84">
        <v>2.56</v>
      </c>
      <c r="O19" s="84">
        <v>5.1879999999999997</v>
      </c>
      <c r="P19" s="82">
        <v>47.064</v>
      </c>
      <c r="Q19" s="84">
        <v>9.2569999999999997</v>
      </c>
      <c r="R19" s="84">
        <f t="shared" si="0"/>
        <v>54.811999999999998</v>
      </c>
      <c r="S19" s="84">
        <f t="shared" si="1"/>
        <v>429.72607999999997</v>
      </c>
      <c r="T19" s="84">
        <f t="shared" si="2"/>
        <v>107.125</v>
      </c>
      <c r="U19" s="84">
        <f t="shared" si="14"/>
        <v>839.86</v>
      </c>
      <c r="V19" s="84">
        <f>278345.3-278159.9</f>
        <v>185.39999999996508</v>
      </c>
      <c r="W19" s="84">
        <v>0</v>
      </c>
      <c r="X19" s="87" t="s">
        <v>63</v>
      </c>
      <c r="Y19" s="88">
        <v>672025.4</v>
      </c>
      <c r="Z19" s="5">
        <f t="shared" si="9"/>
        <v>341.70000000006985</v>
      </c>
      <c r="AA19" s="14">
        <f t="shared" si="6"/>
        <v>2210.799000000452</v>
      </c>
      <c r="AB19" s="87">
        <v>39918020</v>
      </c>
      <c r="AC19" s="87">
        <f t="shared" si="16"/>
        <v>39892851</v>
      </c>
      <c r="AD19" s="5">
        <f t="shared" si="3"/>
        <v>25169</v>
      </c>
      <c r="AE19" s="84">
        <f t="shared" si="10"/>
        <v>8391.722135</v>
      </c>
      <c r="AF19" s="84">
        <v>40.6</v>
      </c>
      <c r="AG19" s="84">
        <v>24.8</v>
      </c>
      <c r="AH19" s="84">
        <v>21</v>
      </c>
      <c r="AI19" s="88">
        <f t="shared" si="11"/>
        <v>36202.400000000001</v>
      </c>
      <c r="AJ19" s="88">
        <v>36225.800000000003</v>
      </c>
      <c r="AK19" s="48">
        <f t="shared" si="7"/>
        <v>23.400000000001455</v>
      </c>
      <c r="AL19" s="90">
        <f t="shared" si="4"/>
        <v>6653.6761845064129</v>
      </c>
      <c r="AM19" s="84">
        <f t="shared" si="12"/>
        <v>2218.4354450572059</v>
      </c>
      <c r="AN19" s="71">
        <v>72</v>
      </c>
      <c r="AO19" s="78">
        <f t="shared" si="5"/>
        <v>16485.381135000451</v>
      </c>
    </row>
    <row r="20" spans="1:41" x14ac:dyDescent="0.25">
      <c r="A20" s="79">
        <v>44027</v>
      </c>
      <c r="B20" s="87">
        <v>4065</v>
      </c>
      <c r="C20" s="87">
        <v>2217</v>
      </c>
      <c r="D20" s="87">
        <v>827</v>
      </c>
      <c r="E20" s="87">
        <v>4221</v>
      </c>
      <c r="F20" s="87">
        <v>5219</v>
      </c>
      <c r="G20" s="87">
        <v>3597</v>
      </c>
      <c r="H20" s="87">
        <v>7392</v>
      </c>
      <c r="I20" s="87">
        <v>2660</v>
      </c>
      <c r="J20" s="87">
        <v>7214</v>
      </c>
      <c r="K20" s="87">
        <f t="shared" si="13"/>
        <v>27538</v>
      </c>
      <c r="L20" s="14">
        <f t="shared" si="8"/>
        <v>5507.6</v>
      </c>
      <c r="M20" s="84">
        <v>101.2</v>
      </c>
      <c r="N20" s="84">
        <v>3.1619999999999999</v>
      </c>
      <c r="O20" s="84">
        <v>5.08</v>
      </c>
      <c r="P20" s="82">
        <v>50.238999999999997</v>
      </c>
      <c r="Q20" s="84">
        <v>9.31</v>
      </c>
      <c r="R20" s="84">
        <f t="shared" si="0"/>
        <v>58.480999999999995</v>
      </c>
      <c r="S20" s="84">
        <f t="shared" si="1"/>
        <v>458.49103999999994</v>
      </c>
      <c r="T20" s="84">
        <f t="shared" si="2"/>
        <v>110.51</v>
      </c>
      <c r="U20" s="84">
        <f t="shared" si="14"/>
        <v>866.39840000000004</v>
      </c>
      <c r="V20" s="84">
        <v>176.3</v>
      </c>
      <c r="W20" s="84">
        <v>0</v>
      </c>
      <c r="X20" s="87" t="s">
        <v>63</v>
      </c>
      <c r="Y20" s="87">
        <v>672364.7</v>
      </c>
      <c r="Z20" s="5">
        <f t="shared" si="9"/>
        <v>339.29999999993015</v>
      </c>
      <c r="AA20" s="14">
        <f t="shared" si="6"/>
        <v>2195.2709999995482</v>
      </c>
      <c r="AB20" s="87">
        <v>39946718</v>
      </c>
      <c r="AC20" s="87">
        <f t="shared" si="16"/>
        <v>39918020</v>
      </c>
      <c r="AD20" s="5">
        <f t="shared" si="3"/>
        <v>28698</v>
      </c>
      <c r="AE20" s="84">
        <f t="shared" si="10"/>
        <v>9568.3436700000002</v>
      </c>
      <c r="AF20" s="84">
        <v>45.7</v>
      </c>
      <c r="AG20" s="84">
        <v>34.299999999999997</v>
      </c>
      <c r="AH20" s="84">
        <v>20.6</v>
      </c>
      <c r="AI20" s="88">
        <f t="shared" si="11"/>
        <v>36225.800000000003</v>
      </c>
      <c r="AJ20" s="88">
        <v>36253</v>
      </c>
      <c r="AK20" s="48">
        <f t="shared" si="7"/>
        <v>27.19999999999709</v>
      </c>
      <c r="AL20" s="90">
        <f t="shared" si="4"/>
        <v>7734.1877016471717</v>
      </c>
      <c r="AM20" s="84">
        <f t="shared" si="12"/>
        <v>2578.6941925446918</v>
      </c>
      <c r="AN20" s="71">
        <v>83</v>
      </c>
      <c r="AO20" s="78">
        <f t="shared" si="5"/>
        <v>18137.613069999548</v>
      </c>
    </row>
    <row r="21" spans="1:41" x14ac:dyDescent="0.25">
      <c r="A21" s="79">
        <v>44028</v>
      </c>
      <c r="B21" s="87">
        <v>4225</v>
      </c>
      <c r="C21" s="87">
        <v>2885</v>
      </c>
      <c r="D21" s="87">
        <v>924</v>
      </c>
      <c r="E21" s="87">
        <v>3917</v>
      </c>
      <c r="F21" s="87">
        <v>5366</v>
      </c>
      <c r="G21" s="87">
        <v>3409</v>
      </c>
      <c r="H21" s="87">
        <v>6563</v>
      </c>
      <c r="I21" s="87">
        <v>2651</v>
      </c>
      <c r="J21" s="87">
        <v>7365</v>
      </c>
      <c r="K21" s="87">
        <f t="shared" si="13"/>
        <v>27289</v>
      </c>
      <c r="L21" s="14">
        <f t="shared" si="8"/>
        <v>5457.8</v>
      </c>
      <c r="M21" s="84">
        <v>122.86199999999999</v>
      </c>
      <c r="N21" s="84">
        <v>2.66</v>
      </c>
      <c r="O21" s="84">
        <v>5.2869999999999999</v>
      </c>
      <c r="P21" s="82">
        <v>56.07</v>
      </c>
      <c r="Q21" s="84">
        <v>10.269</v>
      </c>
      <c r="R21" s="84">
        <f t="shared" si="0"/>
        <v>64.016999999999996</v>
      </c>
      <c r="S21" s="84">
        <f t="shared" si="1"/>
        <v>501.89327999999995</v>
      </c>
      <c r="T21" s="84">
        <f t="shared" si="2"/>
        <v>133.131</v>
      </c>
      <c r="U21" s="84">
        <f t="shared" si="14"/>
        <v>1043.74704</v>
      </c>
      <c r="V21" s="84">
        <v>204.1</v>
      </c>
      <c r="W21" s="84">
        <v>0</v>
      </c>
      <c r="X21" s="87" t="s">
        <v>63</v>
      </c>
      <c r="Y21" s="88">
        <v>672764.5</v>
      </c>
      <c r="Z21" s="5">
        <f t="shared" si="9"/>
        <v>399.80000000004657</v>
      </c>
      <c r="AA21" s="14">
        <f t="shared" si="6"/>
        <v>2586.7060000003012</v>
      </c>
      <c r="AB21" s="87">
        <v>39976321</v>
      </c>
      <c r="AC21" s="87">
        <f t="shared" si="16"/>
        <v>39946718</v>
      </c>
      <c r="AD21" s="5">
        <f t="shared" si="3"/>
        <v>29603</v>
      </c>
      <c r="AE21" s="84">
        <f t="shared" si="10"/>
        <v>9870.084245</v>
      </c>
      <c r="AF21" s="84">
        <v>48.7</v>
      </c>
      <c r="AG21" s="84">
        <v>31.3</v>
      </c>
      <c r="AH21" s="84">
        <v>21.4</v>
      </c>
      <c r="AI21" s="88">
        <f t="shared" si="11"/>
        <v>36253</v>
      </c>
      <c r="AJ21" s="88">
        <v>36280.800000000003</v>
      </c>
      <c r="AK21" s="48">
        <f t="shared" si="7"/>
        <v>27.80000000000291</v>
      </c>
      <c r="AL21" s="90">
        <f t="shared" si="4"/>
        <v>7904.7947833028275</v>
      </c>
      <c r="AM21" s="84">
        <f t="shared" si="12"/>
        <v>2635.5771526749122</v>
      </c>
      <c r="AN21" s="71">
        <v>73</v>
      </c>
      <c r="AO21" s="78">
        <f t="shared" si="5"/>
        <v>18958.3372850003</v>
      </c>
    </row>
    <row r="22" spans="1:41" x14ac:dyDescent="0.25">
      <c r="A22" s="79">
        <v>44029</v>
      </c>
      <c r="B22" s="87">
        <v>4915</v>
      </c>
      <c r="C22" s="87">
        <v>2206</v>
      </c>
      <c r="D22" s="87">
        <v>887</v>
      </c>
      <c r="E22" s="87">
        <v>3672</v>
      </c>
      <c r="F22" s="87">
        <v>5174</v>
      </c>
      <c r="G22" s="87">
        <v>3598</v>
      </c>
      <c r="H22" s="87">
        <v>6528</v>
      </c>
      <c r="I22" s="87">
        <v>2609</v>
      </c>
      <c r="J22" s="87">
        <v>7421</v>
      </c>
      <c r="K22" s="87">
        <f t="shared" si="13"/>
        <v>26980</v>
      </c>
      <c r="L22" s="14">
        <f t="shared" si="8"/>
        <v>5396</v>
      </c>
      <c r="M22" s="84">
        <v>131.559</v>
      </c>
      <c r="N22" s="84">
        <v>3.14</v>
      </c>
      <c r="O22" s="84">
        <v>5.4459999999999997</v>
      </c>
      <c r="P22" s="82">
        <v>75.206000000000003</v>
      </c>
      <c r="Q22" s="84">
        <v>3.9740000000000002</v>
      </c>
      <c r="R22" s="84">
        <f t="shared" si="0"/>
        <v>83.792000000000002</v>
      </c>
      <c r="S22" s="84">
        <f t="shared" si="1"/>
        <v>656.92927999999995</v>
      </c>
      <c r="T22" s="84">
        <f t="shared" si="2"/>
        <v>135.53299999999999</v>
      </c>
      <c r="U22" s="84">
        <f t="shared" si="14"/>
        <v>1062.57872</v>
      </c>
      <c r="V22" s="84">
        <v>239.2</v>
      </c>
      <c r="W22" s="84">
        <v>0</v>
      </c>
      <c r="X22" s="87" t="s">
        <v>63</v>
      </c>
      <c r="Y22" s="88">
        <v>673202.4</v>
      </c>
      <c r="Z22" s="5">
        <f t="shared" si="9"/>
        <v>437.90000000002328</v>
      </c>
      <c r="AA22" s="14">
        <f t="shared" si="6"/>
        <v>2833.2130000001507</v>
      </c>
      <c r="AB22" s="87">
        <v>40007507</v>
      </c>
      <c r="AC22" s="87">
        <f t="shared" si="16"/>
        <v>39976321</v>
      </c>
      <c r="AD22" s="5">
        <f t="shared" si="3"/>
        <v>31186</v>
      </c>
      <c r="AE22" s="84">
        <f t="shared" si="10"/>
        <v>10397.88019</v>
      </c>
      <c r="AF22" s="84">
        <v>50.3</v>
      </c>
      <c r="AG22" s="84">
        <v>37.5</v>
      </c>
      <c r="AH22" s="84">
        <v>21.8</v>
      </c>
      <c r="AI22" s="88">
        <f t="shared" si="11"/>
        <v>36280.800000000003</v>
      </c>
      <c r="AJ22" s="88">
        <v>36309</v>
      </c>
      <c r="AK22" s="48">
        <f t="shared" si="7"/>
        <v>28.19999999999709</v>
      </c>
      <c r="AL22" s="90">
        <f t="shared" si="4"/>
        <v>8018.5328377371716</v>
      </c>
      <c r="AM22" s="84">
        <f t="shared" si="12"/>
        <v>2673.4991260941392</v>
      </c>
      <c r="AN22" s="71">
        <v>80</v>
      </c>
      <c r="AO22" s="78">
        <f t="shared" si="5"/>
        <v>19689.67191000015</v>
      </c>
    </row>
    <row r="23" spans="1:41" x14ac:dyDescent="0.25">
      <c r="A23" s="79">
        <v>44030</v>
      </c>
      <c r="B23" s="87">
        <v>5809</v>
      </c>
      <c r="C23" s="87">
        <v>2239</v>
      </c>
      <c r="D23" s="87">
        <v>866</v>
      </c>
      <c r="E23" s="87">
        <v>3711</v>
      </c>
      <c r="F23" s="87">
        <v>5164</v>
      </c>
      <c r="G23" s="87">
        <v>3700</v>
      </c>
      <c r="H23" s="87">
        <v>7321</v>
      </c>
      <c r="I23" s="87">
        <v>2736</v>
      </c>
      <c r="J23" s="87">
        <v>7430</v>
      </c>
      <c r="K23" s="87">
        <f t="shared" si="13"/>
        <v>28810</v>
      </c>
      <c r="L23" s="14">
        <f t="shared" si="8"/>
        <v>5762</v>
      </c>
      <c r="M23" s="84">
        <v>98.625</v>
      </c>
      <c r="N23" s="84">
        <v>2.645</v>
      </c>
      <c r="O23" s="84">
        <v>5.2190000000000003</v>
      </c>
      <c r="P23" s="82">
        <v>63.722999999999999</v>
      </c>
      <c r="Q23" s="84">
        <v>10.525</v>
      </c>
      <c r="R23" s="84">
        <f t="shared" si="0"/>
        <v>71.587000000000003</v>
      </c>
      <c r="S23" s="84">
        <f t="shared" si="1"/>
        <v>561.24207999999999</v>
      </c>
      <c r="T23" s="84">
        <f t="shared" si="2"/>
        <v>109.15</v>
      </c>
      <c r="U23" s="84">
        <f t="shared" si="14"/>
        <v>855.73599999999999</v>
      </c>
      <c r="V23" s="84">
        <v>233.8</v>
      </c>
      <c r="W23" s="84">
        <v>0</v>
      </c>
      <c r="X23" s="87" t="s">
        <v>63</v>
      </c>
      <c r="Y23" s="88">
        <v>673632.4</v>
      </c>
      <c r="Z23" s="5">
        <f t="shared" si="9"/>
        <v>430</v>
      </c>
      <c r="AA23" s="14">
        <f t="shared" si="6"/>
        <v>2782.1</v>
      </c>
      <c r="AB23" s="87">
        <v>40040197</v>
      </c>
      <c r="AC23" s="87">
        <f t="shared" si="16"/>
        <v>40007507</v>
      </c>
      <c r="AD23" s="5">
        <f t="shared" si="3"/>
        <v>32690</v>
      </c>
      <c r="AE23" s="84">
        <f t="shared" si="10"/>
        <v>10899.336350000001</v>
      </c>
      <c r="AF23" s="84">
        <v>52.9</v>
      </c>
      <c r="AG23" s="84">
        <v>40.6</v>
      </c>
      <c r="AH23" s="84">
        <v>21.5</v>
      </c>
      <c r="AI23" s="88">
        <f t="shared" si="11"/>
        <v>36309</v>
      </c>
      <c r="AJ23" s="88">
        <v>36337.800000000003</v>
      </c>
      <c r="AK23" s="48">
        <f t="shared" si="7"/>
        <v>28.80000000000291</v>
      </c>
      <c r="AL23" s="90">
        <f t="shared" si="4"/>
        <v>8189.1399193928273</v>
      </c>
      <c r="AM23" s="84">
        <f t="shared" si="12"/>
        <v>2730.3820862243597</v>
      </c>
      <c r="AN23" s="71">
        <v>68</v>
      </c>
      <c r="AO23" s="78">
        <f t="shared" si="5"/>
        <v>20299.172350000001</v>
      </c>
    </row>
    <row r="24" spans="1:41" x14ac:dyDescent="0.25">
      <c r="A24" s="79">
        <v>44031</v>
      </c>
      <c r="B24" s="87">
        <v>5187</v>
      </c>
      <c r="C24" s="87">
        <v>2616</v>
      </c>
      <c r="D24" s="87">
        <v>871</v>
      </c>
      <c r="E24" s="87">
        <v>3570</v>
      </c>
      <c r="F24" s="87">
        <v>5145</v>
      </c>
      <c r="G24" s="87">
        <v>3602</v>
      </c>
      <c r="H24" s="87">
        <v>6067</v>
      </c>
      <c r="I24" s="87">
        <v>2669</v>
      </c>
      <c r="J24" s="87">
        <v>7227</v>
      </c>
      <c r="K24" s="87">
        <f t="shared" si="13"/>
        <v>27058</v>
      </c>
      <c r="L24" s="14">
        <f t="shared" si="8"/>
        <v>5411.6</v>
      </c>
      <c r="M24" s="84">
        <v>97.668000000000006</v>
      </c>
      <c r="N24" s="84">
        <v>2.7869999999999999</v>
      </c>
      <c r="O24" s="84">
        <v>5.0949999999999998</v>
      </c>
      <c r="P24" s="82">
        <v>51.68</v>
      </c>
      <c r="Q24" s="84">
        <v>12.869</v>
      </c>
      <c r="R24" s="84">
        <f t="shared" si="0"/>
        <v>59.561999999999998</v>
      </c>
      <c r="S24" s="84">
        <f t="shared" si="1"/>
        <v>466.96607999999998</v>
      </c>
      <c r="T24" s="84">
        <f t="shared" si="2"/>
        <v>110.53700000000001</v>
      </c>
      <c r="U24" s="84">
        <f t="shared" si="14"/>
        <v>866.61008000000004</v>
      </c>
      <c r="V24" s="84">
        <v>224.1</v>
      </c>
      <c r="W24" s="84">
        <f>129269.64-129260.11</f>
        <v>9.5299999999988358</v>
      </c>
      <c r="X24" s="87" t="s">
        <v>63</v>
      </c>
      <c r="Y24" s="88">
        <v>674021</v>
      </c>
      <c r="Z24" s="5">
        <f t="shared" si="9"/>
        <v>388.59999999997672</v>
      </c>
      <c r="AA24" s="14">
        <f t="shared" si="6"/>
        <v>2514.2419999998492</v>
      </c>
      <c r="AB24" s="87">
        <v>40070329</v>
      </c>
      <c r="AC24" s="87">
        <f t="shared" si="16"/>
        <v>40040197</v>
      </c>
      <c r="AD24" s="5">
        <f t="shared" si="3"/>
        <v>30132</v>
      </c>
      <c r="AE24" s="84">
        <f t="shared" si="10"/>
        <v>10046.460780000001</v>
      </c>
      <c r="AF24" s="84">
        <v>50.6</v>
      </c>
      <c r="AG24" s="84">
        <v>34.1</v>
      </c>
      <c r="AH24" s="84">
        <v>21.5</v>
      </c>
      <c r="AI24" s="88">
        <f t="shared" si="11"/>
        <v>36337.800000000003</v>
      </c>
      <c r="AJ24" s="88">
        <v>36364.6</v>
      </c>
      <c r="AK24" s="48">
        <f t="shared" si="7"/>
        <v>26.799999999995634</v>
      </c>
      <c r="AL24" s="90">
        <f t="shared" si="4"/>
        <v>7620.4496472107585</v>
      </c>
      <c r="AM24" s="84">
        <f t="shared" si="12"/>
        <v>2540.7722191247753</v>
      </c>
      <c r="AN24" s="71">
        <v>71</v>
      </c>
      <c r="AO24" s="78">
        <f t="shared" si="5"/>
        <v>18838.912859999851</v>
      </c>
    </row>
    <row r="25" spans="1:41" x14ac:dyDescent="0.25">
      <c r="A25" s="79">
        <v>44032</v>
      </c>
      <c r="B25" s="87">
        <v>5619</v>
      </c>
      <c r="C25" s="87">
        <v>2256</v>
      </c>
      <c r="D25" s="87">
        <v>829</v>
      </c>
      <c r="E25" s="87">
        <v>3598</v>
      </c>
      <c r="F25" s="87">
        <v>4981</v>
      </c>
      <c r="G25" s="87">
        <v>3486</v>
      </c>
      <c r="H25" s="87">
        <v>5416</v>
      </c>
      <c r="I25" s="87">
        <v>2539</v>
      </c>
      <c r="J25" s="87">
        <v>7140</v>
      </c>
      <c r="K25" s="87">
        <f t="shared" si="13"/>
        <v>26185</v>
      </c>
      <c r="L25" s="14">
        <f t="shared" si="8"/>
        <v>5237</v>
      </c>
      <c r="M25" s="84">
        <v>100.054</v>
      </c>
      <c r="N25" s="84">
        <v>5.5750000000000002</v>
      </c>
      <c r="O25" s="84">
        <v>5.157</v>
      </c>
      <c r="P25" s="82">
        <v>58.456000000000003</v>
      </c>
      <c r="Q25" s="84">
        <v>13.398</v>
      </c>
      <c r="R25" s="84">
        <f t="shared" si="0"/>
        <v>69.188000000000002</v>
      </c>
      <c r="S25" s="84">
        <f t="shared" si="1"/>
        <v>542.43392000000006</v>
      </c>
      <c r="T25" s="84">
        <f t="shared" si="2"/>
        <v>113.452</v>
      </c>
      <c r="U25" s="84">
        <f t="shared" si="14"/>
        <v>889.46367999999995</v>
      </c>
      <c r="V25" s="84">
        <v>235.3</v>
      </c>
      <c r="W25" s="84">
        <v>0</v>
      </c>
      <c r="X25" s="87" t="s">
        <v>63</v>
      </c>
      <c r="Y25" s="88">
        <v>674408.7</v>
      </c>
      <c r="Z25" s="5">
        <f t="shared" si="9"/>
        <v>387.69999999995343</v>
      </c>
      <c r="AA25" s="14">
        <f t="shared" si="6"/>
        <v>2508.4189999996988</v>
      </c>
      <c r="AB25" s="87">
        <v>40101291</v>
      </c>
      <c r="AC25" s="87">
        <f t="shared" si="16"/>
        <v>40070329</v>
      </c>
      <c r="AD25" s="5">
        <f t="shared" si="3"/>
        <v>30962</v>
      </c>
      <c r="AE25" s="84">
        <f t="shared" si="10"/>
        <v>10323.195230000001</v>
      </c>
      <c r="AF25" s="84">
        <v>49.7</v>
      </c>
      <c r="AG25" s="84">
        <v>35.799999999999997</v>
      </c>
      <c r="AH25" s="84">
        <v>22.3</v>
      </c>
      <c r="AI25" s="88">
        <f t="shared" si="11"/>
        <v>36364.6</v>
      </c>
      <c r="AJ25" s="88">
        <v>36392.5</v>
      </c>
      <c r="AK25" s="48">
        <f t="shared" si="7"/>
        <v>27.900000000001455</v>
      </c>
      <c r="AL25" s="90">
        <f t="shared" si="4"/>
        <v>7933.2292969114133</v>
      </c>
      <c r="AM25" s="84">
        <f t="shared" si="12"/>
        <v>2645.0576460297189</v>
      </c>
      <c r="AN25" s="71">
        <v>74</v>
      </c>
      <c r="AO25" s="78">
        <f t="shared" si="5"/>
        <v>18958.077909999702</v>
      </c>
    </row>
    <row r="26" spans="1:41" x14ac:dyDescent="0.25">
      <c r="A26" s="79">
        <v>44033</v>
      </c>
      <c r="B26" s="87">
        <v>6011</v>
      </c>
      <c r="C26" s="87">
        <v>2353</v>
      </c>
      <c r="D26" s="87">
        <v>834</v>
      </c>
      <c r="E26" s="87">
        <v>3620</v>
      </c>
      <c r="F26" s="87">
        <v>5104</v>
      </c>
      <c r="G26" s="87">
        <v>3532</v>
      </c>
      <c r="H26" s="87">
        <v>5901</v>
      </c>
      <c r="I26" s="87">
        <v>2681</v>
      </c>
      <c r="J26" s="87">
        <v>7134</v>
      </c>
      <c r="K26" s="87">
        <f t="shared" si="13"/>
        <v>27355</v>
      </c>
      <c r="L26" s="14">
        <f t="shared" si="8"/>
        <v>5471</v>
      </c>
      <c r="M26" s="84">
        <v>135.32400000000001</v>
      </c>
      <c r="N26" s="84">
        <v>4.085</v>
      </c>
      <c r="O26" s="84">
        <v>5.1040000000000001</v>
      </c>
      <c r="P26" s="82">
        <v>55.313000000000002</v>
      </c>
      <c r="Q26" s="84">
        <v>11.904999999999999</v>
      </c>
      <c r="R26" s="84">
        <f t="shared" si="0"/>
        <v>64.50200000000001</v>
      </c>
      <c r="S26" s="84">
        <f t="shared" si="1"/>
        <v>505.69568000000004</v>
      </c>
      <c r="T26" s="84">
        <f t="shared" si="2"/>
        <v>147.22900000000001</v>
      </c>
      <c r="U26" s="84">
        <f t="shared" si="14"/>
        <v>1154.2753600000001</v>
      </c>
      <c r="V26" s="84">
        <v>232.1</v>
      </c>
      <c r="W26" s="84">
        <v>0</v>
      </c>
      <c r="X26" s="87" t="s">
        <v>63</v>
      </c>
      <c r="Y26" s="87">
        <v>674813.7</v>
      </c>
      <c r="Z26" s="5">
        <f t="shared" si="9"/>
        <v>405</v>
      </c>
      <c r="AA26" s="14">
        <f t="shared" si="6"/>
        <v>2620.35</v>
      </c>
      <c r="AB26" s="87">
        <v>40133723</v>
      </c>
      <c r="AC26" s="87">
        <f t="shared" si="16"/>
        <v>40101291</v>
      </c>
      <c r="AD26" s="5">
        <f t="shared" si="3"/>
        <v>32432</v>
      </c>
      <c r="AE26" s="84">
        <f t="shared" si="10"/>
        <v>10813.315280000001</v>
      </c>
      <c r="AF26" s="84">
        <v>54.9</v>
      </c>
      <c r="AG26" s="84">
        <v>38.1</v>
      </c>
      <c r="AH26" s="84">
        <v>20.9</v>
      </c>
      <c r="AI26" s="88">
        <f t="shared" si="11"/>
        <v>36392.5</v>
      </c>
      <c r="AJ26" s="88">
        <v>36419.9</v>
      </c>
      <c r="AK26" s="48">
        <f t="shared" si="7"/>
        <v>27.400000000001455</v>
      </c>
      <c r="AL26" s="90">
        <f t="shared" si="4"/>
        <v>7791.0567288664133</v>
      </c>
      <c r="AM26" s="84">
        <f t="shared" si="12"/>
        <v>2597.6551792549953</v>
      </c>
      <c r="AN26" s="71">
        <v>75</v>
      </c>
      <c r="AO26" s="78">
        <f t="shared" si="5"/>
        <v>20058.940640000001</v>
      </c>
    </row>
    <row r="27" spans="1:41" x14ac:dyDescent="0.25">
      <c r="A27" s="79">
        <v>44034</v>
      </c>
      <c r="B27" s="87">
        <v>4979</v>
      </c>
      <c r="C27" s="87">
        <v>3368</v>
      </c>
      <c r="D27" s="87">
        <v>863</v>
      </c>
      <c r="E27" s="87">
        <v>3868</v>
      </c>
      <c r="F27" s="87">
        <v>5236</v>
      </c>
      <c r="G27" s="87">
        <v>3215</v>
      </c>
      <c r="H27" s="87">
        <v>4452</v>
      </c>
      <c r="I27" s="87">
        <v>2598</v>
      </c>
      <c r="J27" s="87">
        <v>7227</v>
      </c>
      <c r="K27" s="87">
        <f t="shared" si="13"/>
        <v>25981</v>
      </c>
      <c r="L27" s="14">
        <f t="shared" si="8"/>
        <v>5196.2000000000007</v>
      </c>
      <c r="M27" s="84">
        <v>101.13800000000001</v>
      </c>
      <c r="N27" s="84">
        <v>3.1539999999999999</v>
      </c>
      <c r="O27" s="84">
        <v>5.0190000000000001</v>
      </c>
      <c r="P27" s="82">
        <v>52.401000000000003</v>
      </c>
      <c r="Q27" s="84">
        <v>12.992000000000001</v>
      </c>
      <c r="R27" s="84">
        <f t="shared" si="0"/>
        <v>60.574000000000005</v>
      </c>
      <c r="S27" s="84">
        <f t="shared" si="1"/>
        <v>474.90016000000003</v>
      </c>
      <c r="T27" s="84">
        <f t="shared" si="2"/>
        <v>114.13000000000001</v>
      </c>
      <c r="U27" s="84">
        <f t="shared" si="14"/>
        <v>894.77920000000006</v>
      </c>
      <c r="V27" s="84">
        <v>245</v>
      </c>
      <c r="W27" s="84">
        <v>0</v>
      </c>
      <c r="X27" s="87" t="s">
        <v>63</v>
      </c>
      <c r="Y27" s="87">
        <v>675230.9</v>
      </c>
      <c r="Z27" s="5">
        <f t="shared" si="9"/>
        <v>417.20000000006985</v>
      </c>
      <c r="AA27" s="14">
        <f t="shared" si="6"/>
        <v>2699.2840000004517</v>
      </c>
      <c r="AB27" s="87">
        <v>40161977</v>
      </c>
      <c r="AC27" s="87">
        <f t="shared" si="16"/>
        <v>40133723</v>
      </c>
      <c r="AD27" s="5">
        <f t="shared" si="3"/>
        <v>28254</v>
      </c>
      <c r="AE27" s="84">
        <f t="shared" si="10"/>
        <v>9420.3074100000013</v>
      </c>
      <c r="AF27" s="84">
        <v>46.9</v>
      </c>
      <c r="AG27" s="84">
        <v>30.6</v>
      </c>
      <c r="AH27" s="84">
        <f>23408.6-23387.2</f>
        <v>21.399999999997817</v>
      </c>
      <c r="AI27" s="88">
        <f t="shared" si="11"/>
        <v>36419.9</v>
      </c>
      <c r="AJ27" s="88">
        <v>36445.1</v>
      </c>
      <c r="AK27" s="48">
        <f t="shared" si="7"/>
        <v>25.19999999999709</v>
      </c>
      <c r="AL27" s="90">
        <f t="shared" si="4"/>
        <v>7165.497429467172</v>
      </c>
      <c r="AM27" s="84">
        <f t="shared" si="12"/>
        <v>2389.0843254457973</v>
      </c>
      <c r="AN27" s="71">
        <v>84</v>
      </c>
      <c r="AO27" s="78">
        <f t="shared" si="5"/>
        <v>18210.570610000454</v>
      </c>
    </row>
    <row r="28" spans="1:41" x14ac:dyDescent="0.25">
      <c r="A28" s="79">
        <v>44035</v>
      </c>
      <c r="B28" s="87">
        <v>5140</v>
      </c>
      <c r="C28" s="87">
        <v>2902</v>
      </c>
      <c r="D28" s="87">
        <v>863</v>
      </c>
      <c r="E28" s="87">
        <v>3853</v>
      </c>
      <c r="F28" s="87">
        <v>5092</v>
      </c>
      <c r="G28" s="87">
        <v>3104</v>
      </c>
      <c r="H28" s="87">
        <v>5258</v>
      </c>
      <c r="I28" s="87">
        <v>2547</v>
      </c>
      <c r="J28" s="87">
        <v>7226</v>
      </c>
      <c r="K28" s="87">
        <f t="shared" si="13"/>
        <v>26212</v>
      </c>
      <c r="L28" s="14">
        <f t="shared" si="8"/>
        <v>5242.4000000000005</v>
      </c>
      <c r="M28" s="84">
        <v>107.538</v>
      </c>
      <c r="N28" s="84">
        <v>4.0330000000000004</v>
      </c>
      <c r="O28" s="84">
        <v>4.9370000000000003</v>
      </c>
      <c r="P28" s="82">
        <v>58.552</v>
      </c>
      <c r="Q28" s="84">
        <v>11.353</v>
      </c>
      <c r="R28" s="84">
        <f t="shared" si="0"/>
        <v>67.522000000000006</v>
      </c>
      <c r="S28" s="84">
        <f t="shared" si="1"/>
        <v>529.37248</v>
      </c>
      <c r="T28" s="84">
        <f t="shared" si="2"/>
        <v>118.89099999999999</v>
      </c>
      <c r="U28" s="84">
        <f t="shared" si="14"/>
        <v>932.10543999999993</v>
      </c>
      <c r="V28" s="84">
        <v>216.3</v>
      </c>
      <c r="W28" s="84">
        <v>0</v>
      </c>
      <c r="X28" s="87" t="s">
        <v>63</v>
      </c>
      <c r="Y28" s="87">
        <v>675655.7</v>
      </c>
      <c r="Z28" s="5">
        <f t="shared" si="9"/>
        <v>424.79999999993015</v>
      </c>
      <c r="AA28" s="14">
        <f t="shared" si="6"/>
        <v>2748.4559999995481</v>
      </c>
      <c r="AB28" s="87">
        <v>40190943</v>
      </c>
      <c r="AC28" s="87">
        <f t="shared" si="16"/>
        <v>40161977</v>
      </c>
      <c r="AD28" s="5">
        <f t="shared" si="3"/>
        <v>28966</v>
      </c>
      <c r="AE28" s="84">
        <f t="shared" si="10"/>
        <v>9657.6988899999997</v>
      </c>
      <c r="AF28" s="84">
        <v>47.5</v>
      </c>
      <c r="AG28" s="84">
        <v>35.5</v>
      </c>
      <c r="AH28" s="84">
        <v>19.7</v>
      </c>
      <c r="AI28" s="88">
        <f t="shared" si="11"/>
        <v>36445.1</v>
      </c>
      <c r="AJ28" s="88">
        <v>36470.6</v>
      </c>
      <c r="AK28" s="48">
        <f t="shared" si="7"/>
        <v>25.5</v>
      </c>
      <c r="AL28" s="90">
        <f t="shared" si="4"/>
        <v>7250.8009702949994</v>
      </c>
      <c r="AM28" s="84">
        <f t="shared" si="12"/>
        <v>2417.5258055109075</v>
      </c>
      <c r="AN28" s="71">
        <v>81</v>
      </c>
      <c r="AO28" s="78">
        <f t="shared" si="5"/>
        <v>18580.660329999548</v>
      </c>
    </row>
    <row r="29" spans="1:41" x14ac:dyDescent="0.25">
      <c r="A29" s="79">
        <v>44036</v>
      </c>
      <c r="B29" s="87">
        <v>5450</v>
      </c>
      <c r="C29" s="87">
        <v>3371</v>
      </c>
      <c r="D29" s="87">
        <v>863</v>
      </c>
      <c r="E29" s="87">
        <v>3922</v>
      </c>
      <c r="F29" s="87">
        <v>5125</v>
      </c>
      <c r="G29" s="87">
        <v>3161</v>
      </c>
      <c r="H29" s="87">
        <v>5636</v>
      </c>
      <c r="I29" s="87">
        <v>2606</v>
      </c>
      <c r="J29" s="87">
        <v>7430</v>
      </c>
      <c r="K29" s="87">
        <f t="shared" si="13"/>
        <v>27528</v>
      </c>
      <c r="L29" s="14">
        <f t="shared" si="8"/>
        <v>5505.6</v>
      </c>
      <c r="M29" s="84">
        <v>147.88200000000001</v>
      </c>
      <c r="N29" s="84">
        <v>4.5730000000000004</v>
      </c>
      <c r="O29" s="84">
        <v>4.7370000000000001</v>
      </c>
      <c r="P29" s="82">
        <v>60.79</v>
      </c>
      <c r="Q29" s="84">
        <v>11.893000000000001</v>
      </c>
      <c r="R29" s="84">
        <f t="shared" si="0"/>
        <v>70.099999999999994</v>
      </c>
      <c r="S29" s="84">
        <f t="shared" si="1"/>
        <v>549.58399999999995</v>
      </c>
      <c r="T29" s="84">
        <f t="shared" si="2"/>
        <v>159.77500000000001</v>
      </c>
      <c r="U29" s="84">
        <f t="shared" si="14"/>
        <v>1252.636</v>
      </c>
      <c r="V29" s="84">
        <v>238.1</v>
      </c>
      <c r="W29" s="84">
        <v>0</v>
      </c>
      <c r="X29" s="87" t="s">
        <v>63</v>
      </c>
      <c r="Y29" s="87">
        <v>676088.5</v>
      </c>
      <c r="Z29" s="5">
        <f t="shared" si="9"/>
        <v>432.80000000004657</v>
      </c>
      <c r="AA29" s="14">
        <f t="shared" si="6"/>
        <v>2800.2160000003014</v>
      </c>
      <c r="AB29" s="87">
        <v>40220676</v>
      </c>
      <c r="AC29" s="87">
        <f t="shared" si="16"/>
        <v>40190943</v>
      </c>
      <c r="AD29" s="5">
        <f t="shared" si="3"/>
        <v>29733</v>
      </c>
      <c r="AE29" s="84">
        <f t="shared" si="10"/>
        <v>9913.4281950000004</v>
      </c>
      <c r="AF29" s="84">
        <v>48.6</v>
      </c>
      <c r="AG29" s="84">
        <v>36.9</v>
      </c>
      <c r="AH29" s="84">
        <v>19.399999999999999</v>
      </c>
      <c r="AI29" s="88">
        <f t="shared" si="11"/>
        <v>36470.6</v>
      </c>
      <c r="AJ29" s="88">
        <v>36496.1</v>
      </c>
      <c r="AK29" s="48">
        <f t="shared" si="7"/>
        <v>25.5</v>
      </c>
      <c r="AL29" s="90">
        <f t="shared" si="4"/>
        <v>7250.8009702949994</v>
      </c>
      <c r="AM29" s="84">
        <f t="shared" si="12"/>
        <v>2417.5258055109075</v>
      </c>
      <c r="AN29" s="71">
        <v>88</v>
      </c>
      <c r="AO29" s="78">
        <f t="shared" si="5"/>
        <v>19471.880195000304</v>
      </c>
    </row>
    <row r="30" spans="1:41" x14ac:dyDescent="0.25">
      <c r="A30" s="79">
        <v>44037</v>
      </c>
      <c r="B30" s="87">
        <v>5379</v>
      </c>
      <c r="C30" s="87">
        <v>3442</v>
      </c>
      <c r="D30" s="87">
        <v>894</v>
      </c>
      <c r="E30" s="87">
        <v>3935</v>
      </c>
      <c r="F30" s="87">
        <v>5178</v>
      </c>
      <c r="G30" s="87">
        <v>3312</v>
      </c>
      <c r="H30" s="87">
        <v>5447</v>
      </c>
      <c r="I30" s="87">
        <v>2666</v>
      </c>
      <c r="J30" s="87">
        <v>7237</v>
      </c>
      <c r="K30" s="87">
        <f t="shared" si="13"/>
        <v>27587</v>
      </c>
      <c r="L30" s="14">
        <f t="shared" si="8"/>
        <v>5517.4000000000005</v>
      </c>
      <c r="M30" s="84">
        <v>103.819</v>
      </c>
      <c r="N30" s="84">
        <v>1.643</v>
      </c>
      <c r="O30" s="84">
        <v>4.3849999999999998</v>
      </c>
      <c r="P30" s="82">
        <v>14.446</v>
      </c>
      <c r="Q30" s="84">
        <v>9.5250000000000004</v>
      </c>
      <c r="R30" s="84">
        <f t="shared" si="0"/>
        <v>20.474</v>
      </c>
      <c r="S30" s="84">
        <f t="shared" si="1"/>
        <v>160.51615999999999</v>
      </c>
      <c r="T30" s="84">
        <f t="shared" si="2"/>
        <v>113.34400000000001</v>
      </c>
      <c r="U30" s="84">
        <f t="shared" si="14"/>
        <v>888.61696000000006</v>
      </c>
      <c r="V30" s="84">
        <v>242.1</v>
      </c>
      <c r="W30" s="84">
        <v>0</v>
      </c>
      <c r="X30" s="87" t="s">
        <v>63</v>
      </c>
      <c r="Y30" s="88">
        <v>676502</v>
      </c>
      <c r="Z30" s="5">
        <f t="shared" si="9"/>
        <v>413.5</v>
      </c>
      <c r="AA30" s="14">
        <f t="shared" si="6"/>
        <v>2675.3449999999998</v>
      </c>
      <c r="AB30" s="87">
        <v>40250501</v>
      </c>
      <c r="AC30" s="87">
        <f t="shared" si="16"/>
        <v>40220676</v>
      </c>
      <c r="AD30" s="5">
        <f t="shared" si="3"/>
        <v>29825</v>
      </c>
      <c r="AE30" s="84">
        <f t="shared" si="10"/>
        <v>9944.1023750000004</v>
      </c>
      <c r="AF30" s="84">
        <v>47.9</v>
      </c>
      <c r="AG30" s="84">
        <v>37</v>
      </c>
      <c r="AH30" s="84">
        <v>20.7</v>
      </c>
      <c r="AI30" s="88">
        <f t="shared" si="11"/>
        <v>36496.1</v>
      </c>
      <c r="AJ30" s="88">
        <v>36521.699999999997</v>
      </c>
      <c r="AK30" s="48">
        <f t="shared" si="7"/>
        <v>25.599999999998545</v>
      </c>
      <c r="AL30" s="90">
        <f t="shared" si="4"/>
        <v>7279.2354839035861</v>
      </c>
      <c r="AM30" s="84">
        <f t="shared" si="12"/>
        <v>2427.0062988657141</v>
      </c>
      <c r="AN30" s="71">
        <v>64</v>
      </c>
      <c r="AO30" s="78">
        <f t="shared" si="5"/>
        <v>19025.464335000001</v>
      </c>
    </row>
    <row r="31" spans="1:41" x14ac:dyDescent="0.25">
      <c r="A31" s="79">
        <v>44038</v>
      </c>
      <c r="B31" s="87">
        <v>5939</v>
      </c>
      <c r="C31" s="87">
        <v>3631</v>
      </c>
      <c r="D31" s="87">
        <v>842</v>
      </c>
      <c r="E31" s="87">
        <v>3990</v>
      </c>
      <c r="F31" s="87">
        <v>5189</v>
      </c>
      <c r="G31" s="87">
        <v>3328</v>
      </c>
      <c r="H31" s="87">
        <v>5743</v>
      </c>
      <c r="I31" s="87">
        <v>2597</v>
      </c>
      <c r="J31" s="87">
        <v>7161</v>
      </c>
      <c r="K31" s="87">
        <f t="shared" si="13"/>
        <v>28662</v>
      </c>
      <c r="L31" s="14">
        <f t="shared" si="8"/>
        <v>5732.4000000000005</v>
      </c>
      <c r="M31" s="84">
        <v>94.900999999999996</v>
      </c>
      <c r="N31" s="84">
        <v>2.8159999999999998</v>
      </c>
      <c r="O31" s="84">
        <v>4.625</v>
      </c>
      <c r="P31" s="82">
        <v>49.749000000000002</v>
      </c>
      <c r="Q31" s="84">
        <v>11.25</v>
      </c>
      <c r="R31" s="84">
        <f t="shared" si="0"/>
        <v>57.190000000000005</v>
      </c>
      <c r="S31" s="84">
        <f t="shared" si="1"/>
        <v>448.36960000000005</v>
      </c>
      <c r="T31" s="84">
        <f t="shared" si="2"/>
        <v>106.151</v>
      </c>
      <c r="U31" s="84">
        <f t="shared" si="14"/>
        <v>832.22384</v>
      </c>
      <c r="V31" s="84">
        <v>213.2</v>
      </c>
      <c r="W31" s="84">
        <v>0</v>
      </c>
      <c r="X31" s="87" t="s">
        <v>63</v>
      </c>
      <c r="Y31" s="87">
        <v>676899.6</v>
      </c>
      <c r="Z31" s="5">
        <f t="shared" si="9"/>
        <v>397.59999999997672</v>
      </c>
      <c r="AA31" s="14">
        <f t="shared" si="6"/>
        <v>2572.4719999998492</v>
      </c>
      <c r="AB31" s="87">
        <v>40282424</v>
      </c>
      <c r="AC31" s="87">
        <f t="shared" si="16"/>
        <v>40250501</v>
      </c>
      <c r="AD31" s="5">
        <f t="shared" si="3"/>
        <v>31923</v>
      </c>
      <c r="AE31" s="84">
        <f t="shared" si="10"/>
        <v>10643.607045000001</v>
      </c>
      <c r="AF31" s="84">
        <v>54.4</v>
      </c>
      <c r="AG31" s="84">
        <v>38.6</v>
      </c>
      <c r="AH31" s="84">
        <v>20.3</v>
      </c>
      <c r="AI31" s="88">
        <f t="shared" si="11"/>
        <v>36521.699999999997</v>
      </c>
      <c r="AJ31" s="88">
        <v>36547.300000000003</v>
      </c>
      <c r="AK31" s="48">
        <f t="shared" si="7"/>
        <v>25.600000000005821</v>
      </c>
      <c r="AL31" s="90">
        <f t="shared" si="4"/>
        <v>7279.2354839056543</v>
      </c>
      <c r="AM31" s="84">
        <f t="shared" si="12"/>
        <v>2427.006298866404</v>
      </c>
      <c r="AN31" s="71">
        <v>78</v>
      </c>
      <c r="AO31" s="78">
        <f t="shared" si="5"/>
        <v>19780.70288499985</v>
      </c>
    </row>
    <row r="32" spans="1:41" x14ac:dyDescent="0.25">
      <c r="A32" s="79">
        <v>44039</v>
      </c>
      <c r="B32" s="87">
        <v>5310</v>
      </c>
      <c r="C32" s="87">
        <v>3493</v>
      </c>
      <c r="D32" s="87">
        <v>845</v>
      </c>
      <c r="E32" s="87">
        <v>3806</v>
      </c>
      <c r="F32" s="87">
        <v>5086</v>
      </c>
      <c r="G32" s="87">
        <v>3197</v>
      </c>
      <c r="H32" s="87">
        <v>5464</v>
      </c>
      <c r="I32" s="87">
        <v>2600</v>
      </c>
      <c r="J32" s="87">
        <v>7068</v>
      </c>
      <c r="K32" s="87">
        <f t="shared" si="13"/>
        <v>27201</v>
      </c>
      <c r="L32" s="14">
        <f t="shared" si="8"/>
        <v>5440.2000000000007</v>
      </c>
      <c r="M32" s="84">
        <v>96.241</v>
      </c>
      <c r="N32" s="84">
        <v>2.8719999999999999</v>
      </c>
      <c r="O32" s="84">
        <v>5.141</v>
      </c>
      <c r="P32" s="82">
        <v>60.3</v>
      </c>
      <c r="Q32" s="84">
        <v>12.582000000000001</v>
      </c>
      <c r="R32" s="84">
        <f t="shared" si="0"/>
        <v>68.313000000000002</v>
      </c>
      <c r="S32" s="84">
        <f t="shared" si="1"/>
        <v>535.57392000000004</v>
      </c>
      <c r="T32" s="84">
        <f t="shared" si="2"/>
        <v>108.82300000000001</v>
      </c>
      <c r="U32" s="84">
        <f t="shared" si="14"/>
        <v>853.17232000000001</v>
      </c>
      <c r="V32" s="84">
        <v>234.6</v>
      </c>
      <c r="W32" s="84">
        <v>0</v>
      </c>
      <c r="X32" s="87" t="s">
        <v>63</v>
      </c>
      <c r="Y32" s="87">
        <v>677310.5</v>
      </c>
      <c r="Z32" s="5">
        <f t="shared" si="9"/>
        <v>410.90000000002328</v>
      </c>
      <c r="AA32" s="14">
        <f t="shared" si="6"/>
        <v>2658.5230000001507</v>
      </c>
      <c r="AB32" s="87">
        <v>40313043</v>
      </c>
      <c r="AC32" s="87">
        <f t="shared" si="16"/>
        <v>40282424</v>
      </c>
      <c r="AD32" s="5">
        <f t="shared" si="3"/>
        <v>30619</v>
      </c>
      <c r="AE32" s="84">
        <f t="shared" si="10"/>
        <v>10208.833885</v>
      </c>
      <c r="AF32" s="84">
        <v>49.5</v>
      </c>
      <c r="AG32" s="84">
        <v>38.6</v>
      </c>
      <c r="AH32" s="84">
        <v>20.2</v>
      </c>
      <c r="AI32" s="88">
        <f t="shared" si="11"/>
        <v>36547.300000000003</v>
      </c>
      <c r="AJ32" s="87">
        <v>36572.6</v>
      </c>
      <c r="AK32" s="48">
        <f t="shared" si="7"/>
        <v>25.299999999995634</v>
      </c>
      <c r="AL32" s="90">
        <f t="shared" si="4"/>
        <v>7193.9319430757587</v>
      </c>
      <c r="AM32" s="84">
        <f t="shared" si="12"/>
        <v>2398.5648188006044</v>
      </c>
      <c r="AN32" s="71">
        <v>90</v>
      </c>
      <c r="AO32" s="78">
        <f t="shared" si="5"/>
        <v>19160.729205000149</v>
      </c>
    </row>
    <row r="33" spans="1:41" x14ac:dyDescent="0.25">
      <c r="A33" s="79">
        <v>44040</v>
      </c>
      <c r="B33" s="87">
        <v>4677</v>
      </c>
      <c r="C33" s="87">
        <v>3158</v>
      </c>
      <c r="D33" s="87">
        <v>809</v>
      </c>
      <c r="E33" s="87">
        <v>3735</v>
      </c>
      <c r="F33" s="87">
        <v>4945</v>
      </c>
      <c r="G33" s="87">
        <v>2975</v>
      </c>
      <c r="H33" s="87">
        <v>4840</v>
      </c>
      <c r="I33" s="87">
        <v>2531</v>
      </c>
      <c r="J33" s="87">
        <v>6850</v>
      </c>
      <c r="K33" s="87">
        <f t="shared" si="13"/>
        <v>25139</v>
      </c>
      <c r="L33" s="14">
        <f t="shared" si="8"/>
        <v>5027.8</v>
      </c>
      <c r="M33" s="84">
        <v>137.649</v>
      </c>
      <c r="N33" s="84">
        <v>1.746</v>
      </c>
      <c r="O33" s="84">
        <v>4.9749999999999996</v>
      </c>
      <c r="P33" s="82">
        <v>61.537999999999997</v>
      </c>
      <c r="Q33" s="84">
        <v>12.571</v>
      </c>
      <c r="R33" s="84">
        <f t="shared" si="0"/>
        <v>68.259</v>
      </c>
      <c r="S33" s="84">
        <f t="shared" si="1"/>
        <v>535.15056000000004</v>
      </c>
      <c r="T33" s="84">
        <f t="shared" si="2"/>
        <v>150.22</v>
      </c>
      <c r="U33" s="84">
        <f t="shared" si="14"/>
        <v>1177.7248</v>
      </c>
      <c r="V33" s="84">
        <v>239.4</v>
      </c>
      <c r="W33" s="84">
        <v>0</v>
      </c>
      <c r="X33" s="87" t="s">
        <v>63</v>
      </c>
      <c r="Y33" s="88">
        <v>677727</v>
      </c>
      <c r="Z33" s="5">
        <f t="shared" si="9"/>
        <v>416.5</v>
      </c>
      <c r="AA33" s="14">
        <f t="shared" si="6"/>
        <v>2694.7550000000001</v>
      </c>
      <c r="AB33" s="87">
        <v>40342529</v>
      </c>
      <c r="AC33" s="87">
        <f t="shared" si="16"/>
        <v>40313043</v>
      </c>
      <c r="AD33" s="5">
        <f t="shared" si="3"/>
        <v>29486</v>
      </c>
      <c r="AE33" s="84">
        <f t="shared" si="10"/>
        <v>9831.0746900000013</v>
      </c>
      <c r="AF33" s="84">
        <v>45.6</v>
      </c>
      <c r="AG33" s="84">
        <v>35.6</v>
      </c>
      <c r="AH33" s="84">
        <v>20.9</v>
      </c>
      <c r="AI33" s="88">
        <f t="shared" si="11"/>
        <v>36572.6</v>
      </c>
      <c r="AJ33" s="87">
        <v>36599.599999999999</v>
      </c>
      <c r="AK33" s="48">
        <f t="shared" si="7"/>
        <v>27</v>
      </c>
      <c r="AL33" s="90">
        <f t="shared" si="4"/>
        <v>7677.3186744299992</v>
      </c>
      <c r="AM33" s="84">
        <f t="shared" si="12"/>
        <v>2559.7332058350785</v>
      </c>
      <c r="AN33" s="71">
        <v>87</v>
      </c>
      <c r="AO33" s="78">
        <f t="shared" si="5"/>
        <v>18731.354490000002</v>
      </c>
    </row>
    <row r="34" spans="1:41" x14ac:dyDescent="0.25">
      <c r="A34" s="79">
        <v>44041</v>
      </c>
      <c r="B34" s="87">
        <v>5319</v>
      </c>
      <c r="C34" s="87">
        <v>2991</v>
      </c>
      <c r="D34" s="87">
        <v>868</v>
      </c>
      <c r="E34" s="87">
        <v>4069</v>
      </c>
      <c r="F34" s="87">
        <v>5373</v>
      </c>
      <c r="G34" s="87">
        <v>3487</v>
      </c>
      <c r="H34" s="87">
        <v>5292</v>
      </c>
      <c r="I34" s="87">
        <v>2670</v>
      </c>
      <c r="J34" s="87">
        <v>7692</v>
      </c>
      <c r="K34" s="87">
        <f t="shared" si="13"/>
        <v>27399</v>
      </c>
      <c r="L34" s="14">
        <f t="shared" si="8"/>
        <v>5479.8</v>
      </c>
      <c r="M34" s="84">
        <v>103.91</v>
      </c>
      <c r="N34" s="84">
        <v>2.5569999999999999</v>
      </c>
      <c r="O34" s="84">
        <v>5.0039999999999996</v>
      </c>
      <c r="P34" s="82">
        <v>63.167000000000002</v>
      </c>
      <c r="Q34" s="84">
        <v>15.247</v>
      </c>
      <c r="R34" s="84">
        <f t="shared" si="0"/>
        <v>70.728000000000009</v>
      </c>
      <c r="S34" s="84">
        <f t="shared" si="1"/>
        <v>554.50752000000011</v>
      </c>
      <c r="T34" s="84">
        <f t="shared" si="2"/>
        <v>119.157</v>
      </c>
      <c r="U34" s="84">
        <f t="shared" si="14"/>
        <v>934.19087999999999</v>
      </c>
      <c r="V34" s="84">
        <v>241.1</v>
      </c>
      <c r="W34" s="84">
        <v>0</v>
      </c>
      <c r="X34" s="87" t="s">
        <v>63</v>
      </c>
      <c r="Y34" s="87">
        <v>678156.3</v>
      </c>
      <c r="Z34" s="5">
        <f t="shared" si="9"/>
        <v>429.30000000004657</v>
      </c>
      <c r="AA34" s="14">
        <f t="shared" si="6"/>
        <v>2777.571000000301</v>
      </c>
      <c r="AB34" s="87">
        <v>40372863</v>
      </c>
      <c r="AC34" s="87">
        <f t="shared" si="16"/>
        <v>40342529</v>
      </c>
      <c r="AD34" s="5">
        <f t="shared" si="3"/>
        <v>30334</v>
      </c>
      <c r="AE34" s="84">
        <f t="shared" si="10"/>
        <v>10113.81061</v>
      </c>
      <c r="AF34" s="84">
        <v>48.2</v>
      </c>
      <c r="AG34" s="84">
        <v>36.200000000000003</v>
      </c>
      <c r="AH34" s="84">
        <v>19.899999999999999</v>
      </c>
      <c r="AI34" s="88">
        <f t="shared" si="11"/>
        <v>36599.599999999999</v>
      </c>
      <c r="AJ34" s="88">
        <v>36627.199999999997</v>
      </c>
      <c r="AK34" s="48">
        <f t="shared" si="7"/>
        <v>27.599999999998545</v>
      </c>
      <c r="AL34" s="90">
        <f t="shared" si="4"/>
        <v>7847.9257560835858</v>
      </c>
      <c r="AM34" s="84">
        <f t="shared" si="12"/>
        <v>2616.6161659646091</v>
      </c>
      <c r="AN34" s="71">
        <v>64</v>
      </c>
      <c r="AO34" s="78">
        <f t="shared" si="5"/>
        <v>19305.3724900003</v>
      </c>
    </row>
    <row r="35" spans="1:41" x14ac:dyDescent="0.25">
      <c r="A35" s="79">
        <v>44042</v>
      </c>
      <c r="B35" s="87">
        <v>5646</v>
      </c>
      <c r="C35" s="87">
        <v>2470</v>
      </c>
      <c r="D35" s="87">
        <v>874</v>
      </c>
      <c r="E35" s="87">
        <v>3840</v>
      </c>
      <c r="F35" s="87">
        <v>5227</v>
      </c>
      <c r="G35" s="87">
        <v>3195</v>
      </c>
      <c r="H35" s="87">
        <v>5667</v>
      </c>
      <c r="I35" s="87">
        <v>2611</v>
      </c>
      <c r="J35" s="87">
        <v>7425</v>
      </c>
      <c r="K35" s="87">
        <f t="shared" ref="K35:K36" si="17">SUM(B35:H35)</f>
        <v>26919</v>
      </c>
      <c r="L35" s="14">
        <f t="shared" ref="L35:L36" si="18">K35*0.2</f>
        <v>5383.8</v>
      </c>
      <c r="M35" s="84">
        <v>133.108</v>
      </c>
      <c r="N35" s="84">
        <v>4.2009999999999996</v>
      </c>
      <c r="O35" s="84">
        <v>5.1970000000000001</v>
      </c>
      <c r="P35" s="82">
        <v>63.648000000000003</v>
      </c>
      <c r="Q35" s="84">
        <v>13.212</v>
      </c>
      <c r="R35" s="84">
        <f t="shared" ref="R35:R36" si="19">N35+O35+P35</f>
        <v>73.046000000000006</v>
      </c>
      <c r="S35" s="84">
        <f t="shared" ref="S35:S36" si="20">(N35+O35+P35)*7.84</f>
        <v>572.68064000000004</v>
      </c>
      <c r="T35" s="84">
        <f t="shared" ref="T35:T36" si="21">M35+Q35</f>
        <v>146.32</v>
      </c>
      <c r="U35" s="84">
        <f t="shared" ref="U35:U36" si="22">T35*7.84</f>
        <v>1147.1487999999999</v>
      </c>
      <c r="V35" s="84">
        <v>243.4</v>
      </c>
      <c r="W35" s="84">
        <v>0</v>
      </c>
      <c r="X35" s="87" t="s">
        <v>103</v>
      </c>
      <c r="Y35" s="87">
        <v>678613.1</v>
      </c>
      <c r="Z35" s="5">
        <f t="shared" ref="Z35:Z36" si="23">IF((Y35-Y34&lt;0), "0",Y35-Y34)</f>
        <v>456.79999999993015</v>
      </c>
      <c r="AA35" s="14">
        <f t="shared" ref="AA35:AA36" si="24">Z35*6.47</f>
        <v>2955.4959999995481</v>
      </c>
      <c r="AB35" s="87">
        <v>40404966</v>
      </c>
      <c r="AC35" s="87">
        <f t="shared" si="16"/>
        <v>40372863</v>
      </c>
      <c r="AD35" s="5">
        <f t="shared" si="3"/>
        <v>32103</v>
      </c>
      <c r="AE35" s="84">
        <f t="shared" si="10"/>
        <v>10703.621745</v>
      </c>
      <c r="AF35" s="84">
        <v>50</v>
      </c>
      <c r="AG35" s="84">
        <v>40.299999999999997</v>
      </c>
      <c r="AH35" s="84">
        <v>18.8</v>
      </c>
      <c r="AI35" s="88">
        <f t="shared" si="11"/>
        <v>36627.199999999997</v>
      </c>
      <c r="AJ35" s="88">
        <v>36656.699999999997</v>
      </c>
      <c r="AK35" s="48">
        <f t="shared" ref="AK35:AK36" si="25">IF((AJ35-AI35)&lt;0, "0",AJ35-AI35)</f>
        <v>29.5</v>
      </c>
      <c r="AL35" s="90">
        <f t="shared" ref="AL35:AL36" si="26">AK35*(284.34513609)</f>
        <v>8388.1815146549998</v>
      </c>
      <c r="AM35" s="84">
        <f t="shared" ref="AM35:AM36" si="27">AL35*0.333415</f>
        <v>2796.7455397086969</v>
      </c>
      <c r="AN35" s="71">
        <v>78</v>
      </c>
      <c r="AO35" s="78">
        <f t="shared" ref="AO35:AO36" si="28">L35+U35+AA35+AE35</f>
        <v>20190.06654499955</v>
      </c>
    </row>
    <row r="36" spans="1:41" ht="21.75" thickBot="1" x14ac:dyDescent="0.3">
      <c r="A36" s="92">
        <v>44043</v>
      </c>
      <c r="B36" s="93">
        <v>5582</v>
      </c>
      <c r="C36" s="93">
        <v>2335</v>
      </c>
      <c r="D36" s="93">
        <v>932</v>
      </c>
      <c r="E36" s="93">
        <v>3794</v>
      </c>
      <c r="F36" s="93">
        <v>5164</v>
      </c>
      <c r="G36" s="93">
        <v>3258</v>
      </c>
      <c r="H36" s="93">
        <v>6835</v>
      </c>
      <c r="I36" s="93">
        <v>2518</v>
      </c>
      <c r="J36" s="93">
        <v>7521</v>
      </c>
      <c r="K36" s="93">
        <f t="shared" si="17"/>
        <v>27900</v>
      </c>
      <c r="L36" s="94">
        <f t="shared" si="18"/>
        <v>5580</v>
      </c>
      <c r="M36" s="95">
        <v>161.21</v>
      </c>
      <c r="N36" s="95">
        <v>2.0710000000000002</v>
      </c>
      <c r="O36" s="95">
        <v>5.0149999999999997</v>
      </c>
      <c r="P36" s="96">
        <v>65.543999999999997</v>
      </c>
      <c r="Q36" s="95">
        <v>12.702999999999999</v>
      </c>
      <c r="R36" s="95">
        <f t="shared" si="19"/>
        <v>72.63</v>
      </c>
      <c r="S36" s="95">
        <f t="shared" si="20"/>
        <v>569.41919999999993</v>
      </c>
      <c r="T36" s="95">
        <f t="shared" si="21"/>
        <v>173.91300000000001</v>
      </c>
      <c r="U36" s="95">
        <f t="shared" si="22"/>
        <v>1363.47792</v>
      </c>
      <c r="V36" s="95">
        <v>240</v>
      </c>
      <c r="W36" s="95">
        <v>0</v>
      </c>
      <c r="X36" s="93" t="s">
        <v>104</v>
      </c>
      <c r="Y36" s="93">
        <v>679092.8</v>
      </c>
      <c r="Z36" s="97">
        <f t="shared" si="23"/>
        <v>479.70000000006985</v>
      </c>
      <c r="AA36" s="94">
        <f t="shared" si="24"/>
        <v>3103.6590000004517</v>
      </c>
      <c r="AB36" s="93">
        <v>40437492</v>
      </c>
      <c r="AC36" s="93">
        <f t="shared" si="16"/>
        <v>40404966</v>
      </c>
      <c r="AD36" s="97">
        <f t="shared" si="3"/>
        <v>32526</v>
      </c>
      <c r="AE36" s="95">
        <f t="shared" si="10"/>
        <v>10844.656290000001</v>
      </c>
      <c r="AF36" s="95">
        <v>50.3</v>
      </c>
      <c r="AG36" s="95">
        <v>46</v>
      </c>
      <c r="AH36" s="95">
        <v>17.399999999999999</v>
      </c>
      <c r="AI36" s="98">
        <f>AJ35</f>
        <v>36656.699999999997</v>
      </c>
      <c r="AJ36" s="98">
        <v>36686.1</v>
      </c>
      <c r="AK36" s="99">
        <f t="shared" si="25"/>
        <v>29.400000000001455</v>
      </c>
      <c r="AL36" s="100">
        <f t="shared" si="26"/>
        <v>8359.7470010464131</v>
      </c>
      <c r="AM36" s="95">
        <f t="shared" si="27"/>
        <v>2787.2650463538898</v>
      </c>
      <c r="AN36" s="119">
        <v>108</v>
      </c>
      <c r="AO36" s="101">
        <f t="shared" si="28"/>
        <v>20891.793210000455</v>
      </c>
    </row>
    <row r="37" spans="1:41" x14ac:dyDescent="0.25">
      <c r="A37" s="76"/>
      <c r="D37" s="6">
        <f>SUM(D6:D36)</f>
        <v>26850</v>
      </c>
      <c r="E37" s="6" t="s">
        <v>93</v>
      </c>
      <c r="G37" s="6">
        <f t="shared" ref="G37:L37" si="29">SUM(G6:G36)</f>
        <v>105381</v>
      </c>
      <c r="H37" s="6">
        <f t="shared" si="29"/>
        <v>178688</v>
      </c>
      <c r="I37" s="6">
        <f t="shared" si="29"/>
        <v>82592</v>
      </c>
      <c r="J37" s="6">
        <f t="shared" si="29"/>
        <v>224695</v>
      </c>
      <c r="K37" s="6">
        <f t="shared" si="29"/>
        <v>812075</v>
      </c>
      <c r="L37" s="15">
        <f t="shared" si="29"/>
        <v>162414.99999999997</v>
      </c>
      <c r="R37" s="16">
        <f>SUM(R6:R36)</f>
        <v>1925.0909999999999</v>
      </c>
      <c r="T37" s="16">
        <f>SUM(T6:T36)</f>
        <v>3801.0319999999997</v>
      </c>
      <c r="U37" s="16">
        <f t="shared" si="14"/>
        <v>29800.090879999996</v>
      </c>
      <c r="Z37" s="17">
        <f>SUM(Z6:Z36)</f>
        <v>12090.900000000023</v>
      </c>
      <c r="AA37" s="17">
        <f>SUM(AA6:AA36)</f>
        <v>78228.123000000138</v>
      </c>
      <c r="AD37" s="17">
        <f>SUM(AD6:AD36)</f>
        <v>903786</v>
      </c>
      <c r="AE37" s="16">
        <f>AD37*0.334569</f>
        <v>302378.77823400003</v>
      </c>
      <c r="AF37" s="16">
        <f>SUM(AF6:AF36)</f>
        <v>1442.9</v>
      </c>
      <c r="AG37" s="16">
        <f>SUM(AG6:AG36)</f>
        <v>1092.8000000000002</v>
      </c>
      <c r="AH37" s="16">
        <f>SUM(AH6:AH36)</f>
        <v>625.79999999999768</v>
      </c>
      <c r="AK37" s="42">
        <f>SUM(AK6:AK36)</f>
        <v>827</v>
      </c>
      <c r="AL37" s="42">
        <f>SUM(AL6:AL36)</f>
        <v>235153.42754643003</v>
      </c>
      <c r="AM37" s="42">
        <f>SUM(AM6:AM36)</f>
        <v>78403.680045392946</v>
      </c>
      <c r="AN37" s="42">
        <f>SUM(AN6:AN36)</f>
        <v>2210</v>
      </c>
      <c r="AO37" s="42">
        <f>SUM(AO6:AO36)</f>
        <v>571779.02307000034</v>
      </c>
    </row>
    <row r="38" spans="1:41" x14ac:dyDescent="0.25">
      <c r="D38" s="6" t="e">
        <f>#REF!*24</f>
        <v>#REF!</v>
      </c>
      <c r="E38" s="6" t="s">
        <v>1</v>
      </c>
      <c r="R38" s="16">
        <v>7.84</v>
      </c>
      <c r="T38" s="16" t="s">
        <v>99</v>
      </c>
      <c r="U38" s="16">
        <f>U37-R39</f>
        <v>14707.377439999997</v>
      </c>
    </row>
    <row r="39" spans="1:41" x14ac:dyDescent="0.25">
      <c r="D39" s="6" t="e">
        <f>D38*31</f>
        <v>#REF!</v>
      </c>
      <c r="E39" s="6" t="s">
        <v>2</v>
      </c>
      <c r="F39" s="6" t="s">
        <v>94</v>
      </c>
      <c r="G39" s="6" t="e">
        <f>D39*0.2</f>
        <v>#REF!</v>
      </c>
      <c r="R39" s="16">
        <f>R37*R38</f>
        <v>15092.71344</v>
      </c>
      <c r="U39" s="16">
        <f>U38/R38</f>
        <v>1875.9409999999996</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2020-08-04T07:04:42Z</dcterms:modified>
</cp:coreProperties>
</file>