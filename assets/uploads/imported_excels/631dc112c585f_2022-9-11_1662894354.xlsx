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9"/>
  <workbookPr filterPrivacy="1" defaultThemeVersion="124226"/>
  <xr:revisionPtr revIDLastSave="0" documentId="13_ncr:1_{1AFF9D79-C006-4A1D-8142-BC67FE077D61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4" i="2"/>
  <c r="D15" i="8" l="1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4" i="2"/>
  <c r="C13" i="8"/>
  <c r="I20" i="2" l="1"/>
  <c r="I21" i="2"/>
  <c r="M19" i="8"/>
  <c r="M20" i="8"/>
  <c r="I33" i="6"/>
  <c r="G33" i="6"/>
  <c r="E33" i="6"/>
  <c r="B36" i="4"/>
  <c r="G11" i="8"/>
  <c r="O33" i="6"/>
  <c r="N33" i="6"/>
  <c r="M33" i="6"/>
  <c r="X35" i="1"/>
  <c r="W35" i="1"/>
  <c r="V35" i="1"/>
  <c r="B25" i="8"/>
  <c r="B27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R13" i="8" s="1"/>
  <c r="Q14" i="8"/>
  <c r="Q15" i="8"/>
  <c r="Q16" i="8"/>
  <c r="Q17" i="8"/>
  <c r="Q18" i="8"/>
  <c r="Q19" i="8"/>
  <c r="Q20" i="8"/>
  <c r="Q21" i="8"/>
  <c r="Q22" i="8"/>
  <c r="R22" i="8" s="1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T33" i="8" s="1"/>
  <c r="S34" i="8"/>
  <c r="U5" i="8"/>
  <c r="U6" i="8"/>
  <c r="U7" i="8"/>
  <c r="U8" i="8"/>
  <c r="U9" i="8"/>
  <c r="U10" i="8"/>
  <c r="U11" i="8"/>
  <c r="U12" i="8"/>
  <c r="U13" i="8"/>
  <c r="V13" i="8" s="1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X13" i="8" s="1"/>
  <c r="W14" i="8"/>
  <c r="W15" i="8"/>
  <c r="X15" i="8" s="1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X31" i="8" s="1"/>
  <c r="W32" i="8"/>
  <c r="W33" i="8"/>
  <c r="W34" i="8"/>
  <c r="W5" i="8"/>
  <c r="W4" i="8"/>
  <c r="Q24" i="2"/>
  <c r="Q25" i="2"/>
  <c r="M16" i="2"/>
  <c r="L16" i="2"/>
  <c r="Q16" i="2"/>
  <c r="R16" i="2"/>
  <c r="S16" i="2"/>
  <c r="T16" i="2"/>
  <c r="U16" i="2"/>
  <c r="K15" i="4" s="1"/>
  <c r="K33" i="6"/>
  <c r="B5" i="8"/>
  <c r="D5" i="8" s="1"/>
  <c r="B6" i="8"/>
  <c r="D6" i="8" s="1"/>
  <c r="B7" i="8"/>
  <c r="B8" i="8"/>
  <c r="B9" i="8"/>
  <c r="B10" i="8"/>
  <c r="B11" i="8"/>
  <c r="B12" i="8"/>
  <c r="B13" i="8"/>
  <c r="D13" i="8" s="1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 s="1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N8" i="8" s="1"/>
  <c r="M9" i="8"/>
  <c r="M10" i="8"/>
  <c r="M11" i="8"/>
  <c r="M12" i="8"/>
  <c r="M13" i="8"/>
  <c r="N13" i="8" s="1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L13" i="8" s="1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L31" i="8" s="1"/>
  <c r="K32" i="8"/>
  <c r="K33" i="8"/>
  <c r="K34" i="8"/>
  <c r="K4" i="8"/>
  <c r="I5" i="8"/>
  <c r="I6" i="8"/>
  <c r="I7" i="8"/>
  <c r="I8" i="8"/>
  <c r="I9" i="8"/>
  <c r="I10" i="8"/>
  <c r="I11" i="8"/>
  <c r="I12" i="8"/>
  <c r="I13" i="8"/>
  <c r="J13" i="8" s="1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F13" i="8" s="1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J5" i="8" s="1"/>
  <c r="C6" i="8"/>
  <c r="C7" i="8"/>
  <c r="C8" i="8"/>
  <c r="C9" i="8"/>
  <c r="C10" i="8"/>
  <c r="C11" i="8"/>
  <c r="C12" i="8"/>
  <c r="C14" i="8"/>
  <c r="D14" i="8" s="1"/>
  <c r="C15" i="8"/>
  <c r="C16" i="8"/>
  <c r="C17" i="8"/>
  <c r="C18" i="8"/>
  <c r="R18" i="8" s="1"/>
  <c r="C19" i="8"/>
  <c r="X19" i="8" s="1"/>
  <c r="C20" i="8"/>
  <c r="C21" i="8"/>
  <c r="C22" i="8"/>
  <c r="C23" i="8"/>
  <c r="C24" i="8"/>
  <c r="C25" i="8"/>
  <c r="C26" i="8"/>
  <c r="P26" i="8" s="1"/>
  <c r="C27" i="8"/>
  <c r="C28" i="8"/>
  <c r="C29" i="8"/>
  <c r="F29" i="8" s="1"/>
  <c r="C30" i="8"/>
  <c r="C31" i="8"/>
  <c r="V31" i="8" s="1"/>
  <c r="C32" i="8"/>
  <c r="H32" i="8" s="1"/>
  <c r="C33" i="8"/>
  <c r="C34" i="8"/>
  <c r="V34" i="8" s="1"/>
  <c r="C4" i="8"/>
  <c r="T4" i="8" s="1"/>
  <c r="C27" i="2"/>
  <c r="C26" i="4" s="1"/>
  <c r="C28" i="2"/>
  <c r="C27" i="4" s="1"/>
  <c r="C29" i="2"/>
  <c r="C30" i="2"/>
  <c r="C29" i="4" s="1"/>
  <c r="C31" i="2"/>
  <c r="C32" i="2"/>
  <c r="C31" i="4" s="1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 s="1"/>
  <c r="C18" i="2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20" i="2"/>
  <c r="D19" i="4" s="1"/>
  <c r="D21" i="2"/>
  <c r="D20" i="4" s="1"/>
  <c r="D22" i="2"/>
  <c r="D21" i="4" s="1"/>
  <c r="D24" i="2"/>
  <c r="D23" i="4" s="1"/>
  <c r="D25" i="2"/>
  <c r="D26" i="2"/>
  <c r="D25" i="4" s="1"/>
  <c r="D27" i="2"/>
  <c r="D26" i="4" s="1"/>
  <c r="D28" i="2"/>
  <c r="D27" i="4" s="1"/>
  <c r="D29" i="2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E7" i="3" s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C32" i="3" s="1"/>
  <c r="B33" i="3"/>
  <c r="K33" i="3" s="1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U5" i="2"/>
  <c r="K4" i="4" s="1"/>
  <c r="A30" i="3"/>
  <c r="A31" i="3"/>
  <c r="A32" i="3"/>
  <c r="F32" i="2"/>
  <c r="G32" i="2"/>
  <c r="H32" i="2"/>
  <c r="I32" i="2"/>
  <c r="K32" i="2"/>
  <c r="M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H15" i="2"/>
  <c r="I12" i="2"/>
  <c r="G11" i="2"/>
  <c r="F11" i="2"/>
  <c r="C11" i="2"/>
  <c r="U10" i="2"/>
  <c r="K9" i="4" s="1"/>
  <c r="T10" i="2"/>
  <c r="S10" i="2"/>
  <c r="R10" i="2"/>
  <c r="Q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 s="1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D12" i="3" s="1"/>
  <c r="C14" i="2"/>
  <c r="C13" i="4" s="1"/>
  <c r="C15" i="2"/>
  <c r="C14" i="4" s="1"/>
  <c r="C16" i="2"/>
  <c r="D15" i="3" s="1"/>
  <c r="C20" i="2"/>
  <c r="C25" i="2"/>
  <c r="C24" i="4" s="1"/>
  <c r="C26" i="2"/>
  <c r="C25" i="4" s="1"/>
  <c r="U6" i="2"/>
  <c r="K5" i="4" s="1"/>
  <c r="U11" i="2"/>
  <c r="U12" i="2"/>
  <c r="K11" i="4" s="1"/>
  <c r="U13" i="2"/>
  <c r="U14" i="2"/>
  <c r="K13" i="4" s="1"/>
  <c r="U15" i="2"/>
  <c r="K14" i="4" s="1"/>
  <c r="U17" i="2"/>
  <c r="K16" i="4" s="1"/>
  <c r="U18" i="2"/>
  <c r="U19" i="2"/>
  <c r="U20" i="2"/>
  <c r="K19" i="4" s="1"/>
  <c r="U21" i="2"/>
  <c r="U22" i="2"/>
  <c r="K21" i="4" s="1"/>
  <c r="U24" i="2"/>
  <c r="K23" i="4" s="1"/>
  <c r="U25" i="2"/>
  <c r="K24" i="4" s="1"/>
  <c r="U26" i="2"/>
  <c r="U27" i="2"/>
  <c r="K26" i="4" s="1"/>
  <c r="U28" i="2"/>
  <c r="K27" i="4" s="1"/>
  <c r="U29" i="2"/>
  <c r="K28" i="4" s="1"/>
  <c r="U30" i="2"/>
  <c r="U31" i="2"/>
  <c r="K30" i="4" s="1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7" i="2"/>
  <c r="E6" i="4" s="1"/>
  <c r="E11" i="2"/>
  <c r="E10" i="4" s="1"/>
  <c r="E12" i="2"/>
  <c r="E11" i="4" s="1"/>
  <c r="E13" i="2"/>
  <c r="F12" i="3" s="1"/>
  <c r="E14" i="2"/>
  <c r="E15" i="2"/>
  <c r="E14" i="4" s="1"/>
  <c r="E16" i="2"/>
  <c r="F15" i="3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6" i="4" s="1"/>
  <c r="E28" i="2"/>
  <c r="E27" i="4" s="1"/>
  <c r="E29" i="2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I28" i="3" s="1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J19" i="4" s="1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G32" i="4"/>
  <c r="V24" i="8"/>
  <c r="P25" i="8"/>
  <c r="V33" i="8"/>
  <c r="V7" i="8"/>
  <c r="V23" i="8"/>
  <c r="F24" i="8"/>
  <c r="N15" i="8"/>
  <c r="N33" i="8"/>
  <c r="G20" i="4"/>
  <c r="H33" i="8"/>
  <c r="T13" i="8"/>
  <c r="V8" i="8"/>
  <c r="H16" i="3"/>
  <c r="C28" i="4"/>
  <c r="T14" i="8"/>
  <c r="X23" i="8"/>
  <c r="H13" i="8"/>
  <c r="P15" i="8"/>
  <c r="T23" i="8"/>
  <c r="T6" i="8"/>
  <c r="P23" i="8"/>
  <c r="P22" i="8"/>
  <c r="P31" i="8"/>
  <c r="X22" i="8"/>
  <c r="F23" i="8"/>
  <c r="H23" i="8"/>
  <c r="V16" i="8"/>
  <c r="L15" i="8"/>
  <c r="T22" i="8"/>
  <c r="V15" i="8"/>
  <c r="P6" i="8"/>
  <c r="T30" i="8"/>
  <c r="P16" i="8"/>
  <c r="D9" i="8" l="1"/>
  <c r="D11" i="8"/>
  <c r="D8" i="8"/>
  <c r="D7" i="8"/>
  <c r="C10" i="3"/>
  <c r="X12" i="8"/>
  <c r="D12" i="8"/>
  <c r="H11" i="4"/>
  <c r="R10" i="8"/>
  <c r="D10" i="8"/>
  <c r="I9" i="3"/>
  <c r="T9" i="8"/>
  <c r="T7" i="8"/>
  <c r="X6" i="8"/>
  <c r="L6" i="8"/>
  <c r="R6" i="8"/>
  <c r="T5" i="8"/>
  <c r="X5" i="8"/>
  <c r="F5" i="8"/>
  <c r="G11" i="4"/>
  <c r="P9" i="8"/>
  <c r="V11" i="8"/>
  <c r="L33" i="8"/>
  <c r="N5" i="8"/>
  <c r="H9" i="8"/>
  <c r="T25" i="8"/>
  <c r="T17" i="8"/>
  <c r="H12" i="4"/>
  <c r="D4" i="3"/>
  <c r="H25" i="4"/>
  <c r="C26" i="3"/>
  <c r="C25" i="3"/>
  <c r="C9" i="3"/>
  <c r="I4" i="3"/>
  <c r="C24" i="3"/>
  <c r="C16" i="3"/>
  <c r="C8" i="3"/>
  <c r="C17" i="3"/>
  <c r="C15" i="3"/>
  <c r="L9" i="8"/>
  <c r="N32" i="8"/>
  <c r="N6" i="8"/>
  <c r="P5" i="8"/>
  <c r="X33" i="8"/>
  <c r="R16" i="8"/>
  <c r="H4" i="3"/>
  <c r="J9" i="4"/>
  <c r="L23" i="8"/>
  <c r="N25" i="8"/>
  <c r="L28" i="3"/>
  <c r="X25" i="8"/>
  <c r="N24" i="8"/>
  <c r="J21" i="8"/>
  <c r="G21" i="4"/>
  <c r="K31" i="3"/>
  <c r="E15" i="3"/>
  <c r="F33" i="8"/>
  <c r="J25" i="8"/>
  <c r="R23" i="8"/>
  <c r="G3" i="4"/>
  <c r="I12" i="3"/>
  <c r="H31" i="4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H29" i="4"/>
  <c r="F31" i="3"/>
  <c r="F23" i="3"/>
  <c r="L12" i="3"/>
  <c r="L22" i="3"/>
  <c r="J33" i="4"/>
  <c r="E8" i="3"/>
  <c r="H4" i="4"/>
  <c r="E31" i="3"/>
  <c r="C33" i="3"/>
  <c r="J16" i="8"/>
  <c r="G13" i="4"/>
  <c r="H12" i="3"/>
  <c r="K12" i="4"/>
  <c r="I7" i="3"/>
  <c r="E25" i="3"/>
  <c r="D32" i="3"/>
  <c r="G12" i="4"/>
  <c r="G8" i="4"/>
  <c r="E15" i="4"/>
  <c r="F33" i="4"/>
  <c r="E30" i="3"/>
  <c r="D6" i="3"/>
  <c r="J33" i="3"/>
  <c r="H29" i="3"/>
  <c r="H25" i="3"/>
  <c r="H21" i="3"/>
  <c r="L13" i="3"/>
  <c r="L33" i="3"/>
  <c r="I33" i="3"/>
  <c r="D25" i="3"/>
  <c r="H9" i="3"/>
  <c r="I23" i="4"/>
  <c r="I17" i="3"/>
  <c r="X24" i="8"/>
  <c r="J22" i="8"/>
  <c r="F32" i="3"/>
  <c r="F19" i="4"/>
  <c r="L15" i="3"/>
  <c r="F24" i="3"/>
  <c r="E23" i="3"/>
  <c r="C7" i="3"/>
  <c r="F7" i="3"/>
  <c r="H5" i="4"/>
  <c r="L17" i="3"/>
  <c r="H33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 s="1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I15" i="4"/>
  <c r="X18" i="8"/>
  <c r="X10" i="8"/>
  <c r="H17" i="8"/>
  <c r="V22" i="8"/>
  <c r="T12" i="8"/>
  <c r="R33" i="8"/>
  <c r="R25" i="8"/>
  <c r="R9" i="8"/>
  <c r="H5" i="8"/>
  <c r="F6" i="3"/>
  <c r="F5" i="3"/>
  <c r="F11" i="4"/>
  <c r="J33" i="8"/>
  <c r="J12" i="4"/>
  <c r="D22" i="3"/>
  <c r="L32" i="3"/>
  <c r="L11" i="8"/>
  <c r="L21" i="8"/>
  <c r="F16" i="4"/>
  <c r="F4" i="4"/>
  <c r="I25" i="4"/>
  <c r="J16" i="3"/>
  <c r="K3" i="4"/>
  <c r="G5" i="4"/>
  <c r="K32" i="3"/>
  <c r="E19" i="3"/>
  <c r="F13" i="3"/>
  <c r="F3" i="4"/>
  <c r="G16" i="3"/>
  <c r="F13" i="4"/>
  <c r="F6" i="4"/>
  <c r="H15" i="4"/>
  <c r="G7" i="4"/>
  <c r="K4" i="3"/>
  <c r="J32" i="3"/>
  <c r="G33" i="3"/>
  <c r="F17" i="3"/>
  <c r="K9" i="3"/>
  <c r="N9" i="8"/>
  <c r="E12" i="3"/>
  <c r="F16" i="3"/>
  <c r="L21" i="3"/>
  <c r="N11" i="8"/>
  <c r="J6" i="4"/>
  <c r="L29" i="3"/>
  <c r="L30" i="3"/>
  <c r="T29" i="8"/>
  <c r="P11" i="8"/>
  <c r="D10" i="3"/>
  <c r="C23" i="3"/>
  <c r="L16" i="8"/>
  <c r="V32" i="8"/>
  <c r="J18" i="8"/>
  <c r="J10" i="8"/>
  <c r="L25" i="8"/>
  <c r="Y8" i="8"/>
  <c r="Z8" i="8" s="1"/>
  <c r="N23" i="8"/>
  <c r="Y13" i="8"/>
  <c r="Z13" i="8" s="1"/>
  <c r="Y20" i="8"/>
  <c r="Z20" i="8" s="1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 s="1"/>
  <c r="X32" i="8"/>
  <c r="X16" i="8"/>
  <c r="H15" i="8"/>
  <c r="H6" i="8"/>
  <c r="V12" i="8"/>
  <c r="S35" i="8"/>
  <c r="R15" i="8"/>
  <c r="H21" i="8"/>
  <c r="N21" i="8"/>
  <c r="T21" i="8"/>
  <c r="J24" i="8"/>
  <c r="F21" i="8"/>
  <c r="J32" i="8"/>
  <c r="F15" i="8"/>
  <c r="J15" i="8"/>
  <c r="F32" i="8"/>
  <c r="H16" i="8"/>
  <c r="R29" i="8"/>
  <c r="E9" i="3"/>
  <c r="F31" i="4"/>
  <c r="V6" i="2"/>
  <c r="M5" i="3" s="1"/>
  <c r="C12" i="4"/>
  <c r="J20" i="3"/>
  <c r="H17" i="4"/>
  <c r="J27" i="4"/>
  <c r="V12" i="2"/>
  <c r="M11" i="3" s="1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H31" i="3"/>
  <c r="I32" i="4"/>
  <c r="D3" i="3"/>
  <c r="G18" i="3"/>
  <c r="H7" i="4"/>
  <c r="C30" i="3"/>
  <c r="G10" i="3"/>
  <c r="C31" i="3"/>
  <c r="C22" i="3"/>
  <c r="D18" i="3"/>
  <c r="F10" i="3"/>
  <c r="C29" i="3"/>
  <c r="C12" i="3"/>
  <c r="J22" i="3"/>
  <c r="I30" i="3"/>
  <c r="L18" i="3"/>
  <c r="F8" i="3"/>
  <c r="G7" i="3"/>
  <c r="G14" i="3"/>
  <c r="E18" i="3"/>
  <c r="H32" i="3"/>
  <c r="J7" i="3"/>
  <c r="Y31" i="8"/>
  <c r="Z31" i="8" s="1"/>
  <c r="X30" i="8"/>
  <c r="H31" i="8"/>
  <c r="N31" i="8"/>
  <c r="J30" i="8"/>
  <c r="R31" i="8"/>
  <c r="R30" i="8"/>
  <c r="F31" i="8"/>
  <c r="J31" i="8"/>
  <c r="P30" i="8"/>
  <c r="H30" i="4"/>
  <c r="K30" i="3"/>
  <c r="G23" i="4"/>
  <c r="G28" i="4"/>
  <c r="I29" i="4"/>
  <c r="F29" i="4"/>
  <c r="H28" i="4"/>
  <c r="J29" i="4"/>
  <c r="N29" i="8"/>
  <c r="Y30" i="8"/>
  <c r="Z30" i="8" s="1"/>
  <c r="U35" i="8"/>
  <c r="P29" i="8"/>
  <c r="V30" i="8"/>
  <c r="H30" i="8"/>
  <c r="V29" i="8"/>
  <c r="H29" i="8"/>
  <c r="L30" i="8"/>
  <c r="V34" i="2"/>
  <c r="M33" i="3" s="1"/>
  <c r="D27" i="3"/>
  <c r="N12" i="8"/>
  <c r="D17" i="3"/>
  <c r="E33" i="3"/>
  <c r="V17" i="2"/>
  <c r="M16" i="3" s="1"/>
  <c r="N30" i="8"/>
  <c r="V10" i="8"/>
  <c r="G4" i="3"/>
  <c r="H23" i="3"/>
  <c r="E27" i="3"/>
  <c r="C27" i="3"/>
  <c r="G31" i="3"/>
  <c r="L19" i="8"/>
  <c r="D33" i="3"/>
  <c r="K17" i="4"/>
  <c r="Y15" i="8"/>
  <c r="Z15" i="8" s="1"/>
  <c r="F33" i="3"/>
  <c r="F22" i="3"/>
  <c r="D31" i="3"/>
  <c r="R11" i="8"/>
  <c r="E17" i="3"/>
  <c r="K27" i="3"/>
  <c r="I25" i="3"/>
  <c r="V5" i="2"/>
  <c r="M4" i="3" s="1"/>
  <c r="V6" i="8"/>
  <c r="L19" i="3"/>
  <c r="H33" i="4"/>
  <c r="G33" i="4"/>
  <c r="I20" i="4"/>
  <c r="H10" i="8"/>
  <c r="Y6" i="8"/>
  <c r="Z6" i="8" s="1"/>
  <c r="L27" i="3"/>
  <c r="H19" i="3"/>
  <c r="N22" i="8"/>
  <c r="F10" i="4"/>
  <c r="L26" i="3"/>
  <c r="E16" i="3"/>
  <c r="J4" i="4"/>
  <c r="H18" i="8"/>
  <c r="R12" i="8"/>
  <c r="J32" i="4"/>
  <c r="J16" i="4"/>
  <c r="J27" i="3"/>
  <c r="H32" i="4"/>
  <c r="H30" i="3"/>
  <c r="R24" i="8"/>
  <c r="C18" i="3"/>
  <c r="X14" i="8"/>
  <c r="T32" i="8"/>
  <c r="T16" i="8"/>
  <c r="R5" i="8"/>
  <c r="J12" i="8"/>
  <c r="F9" i="4"/>
  <c r="C10" i="4"/>
  <c r="G31" i="4"/>
  <c r="E11" i="3"/>
  <c r="H26" i="3"/>
  <c r="G29" i="3"/>
  <c r="F11" i="3"/>
  <c r="K18" i="4"/>
  <c r="L16" i="3"/>
  <c r="D23" i="3"/>
  <c r="V19" i="8"/>
  <c r="G3" i="3"/>
  <c r="L4" i="3"/>
  <c r="D26" i="3"/>
  <c r="P18" i="8"/>
  <c r="E3" i="3"/>
  <c r="J14" i="4"/>
  <c r="J11" i="4"/>
  <c r="F3" i="3"/>
  <c r="I31" i="3"/>
  <c r="H6" i="4"/>
  <c r="G29" i="4"/>
  <c r="F30" i="8"/>
  <c r="J14" i="8"/>
  <c r="L29" i="8"/>
  <c r="Y9" i="8"/>
  <c r="Z9" i="8" s="1"/>
  <c r="J15" i="3"/>
  <c r="V9" i="8"/>
  <c r="T31" i="8"/>
  <c r="T15" i="8"/>
  <c r="V10" i="2"/>
  <c r="M9" i="3" s="1"/>
  <c r="G26" i="3"/>
  <c r="F11" i="8"/>
  <c r="P19" i="8"/>
  <c r="F30" i="3"/>
  <c r="J25" i="3"/>
  <c r="X11" i="8"/>
  <c r="J31" i="4"/>
  <c r="E22" i="3"/>
  <c r="F19" i="3"/>
  <c r="C11" i="3"/>
  <c r="G22" i="3"/>
  <c r="I10" i="3"/>
  <c r="F12" i="8"/>
  <c r="J30" i="4"/>
  <c r="K10" i="3"/>
  <c r="H9" i="4"/>
  <c r="J29" i="8"/>
  <c r="L28" i="8"/>
  <c r="G19" i="3"/>
  <c r="K26" i="3"/>
  <c r="H10" i="3"/>
  <c r="C19" i="3"/>
  <c r="H11" i="3"/>
  <c r="H27" i="3"/>
  <c r="J8" i="3"/>
  <c r="F26" i="3"/>
  <c r="L10" i="8"/>
  <c r="F4" i="3"/>
  <c r="D24" i="3"/>
  <c r="I7" i="4"/>
  <c r="J29" i="3"/>
  <c r="E26" i="3"/>
  <c r="E10" i="3"/>
  <c r="F14" i="4"/>
  <c r="G11" i="3"/>
  <c r="G10" i="4"/>
  <c r="L9" i="3"/>
  <c r="L31" i="3"/>
  <c r="Y29" i="8"/>
  <c r="Z29" i="8" s="1"/>
  <c r="V28" i="8"/>
  <c r="X29" i="8"/>
  <c r="J28" i="8"/>
  <c r="H28" i="8"/>
  <c r="F28" i="8"/>
  <c r="P28" i="8"/>
  <c r="T28" i="8"/>
  <c r="X28" i="8"/>
  <c r="R28" i="8"/>
  <c r="G27" i="4"/>
  <c r="V28" i="2"/>
  <c r="M27" i="3" s="1"/>
  <c r="I27" i="4"/>
  <c r="F26" i="4"/>
  <c r="V29" i="2"/>
  <c r="M28" i="3" s="1"/>
  <c r="F27" i="4"/>
  <c r="I26" i="3"/>
  <c r="J28" i="4"/>
  <c r="J26" i="4"/>
  <c r="J25" i="4"/>
  <c r="F25" i="3"/>
  <c r="H26" i="4"/>
  <c r="V27" i="2"/>
  <c r="M26" i="3" s="1"/>
  <c r="Y26" i="8"/>
  <c r="Z26" i="8" s="1"/>
  <c r="Y25" i="8"/>
  <c r="Z25" i="8" s="1"/>
  <c r="H25" i="8"/>
  <c r="V25" i="8"/>
  <c r="G25" i="4"/>
  <c r="U35" i="2"/>
  <c r="L23" i="3"/>
  <c r="L24" i="3"/>
  <c r="F23" i="4"/>
  <c r="G24" i="3"/>
  <c r="G23" i="3"/>
  <c r="I24" i="3"/>
  <c r="K25" i="3"/>
  <c r="J24" i="4"/>
  <c r="T24" i="8"/>
  <c r="H24" i="8"/>
  <c r="O35" i="2"/>
  <c r="I22" i="3"/>
  <c r="J23" i="3"/>
  <c r="V24" i="2"/>
  <c r="M23" i="3" s="1"/>
  <c r="H23" i="4"/>
  <c r="H22" i="4"/>
  <c r="Y23" i="8"/>
  <c r="Z23" i="8" s="1"/>
  <c r="J23" i="8"/>
  <c r="L22" i="8"/>
  <c r="F22" i="8"/>
  <c r="I22" i="4"/>
  <c r="D20" i="3"/>
  <c r="J21" i="3"/>
  <c r="F21" i="4"/>
  <c r="G21" i="3"/>
  <c r="I20" i="3"/>
  <c r="N35" i="2"/>
  <c r="V22" i="2"/>
  <c r="M21" i="3" s="1"/>
  <c r="H20" i="4"/>
  <c r="Y21" i="8"/>
  <c r="Z21" i="8" s="1"/>
  <c r="R21" i="8"/>
  <c r="X21" i="8"/>
  <c r="K35" i="8"/>
  <c r="H18" i="4"/>
  <c r="I19" i="3"/>
  <c r="D18" i="4"/>
  <c r="J18" i="4"/>
  <c r="K18" i="3"/>
  <c r="H19" i="4"/>
  <c r="I18" i="3"/>
  <c r="C17" i="4"/>
  <c r="H17" i="3"/>
  <c r="R35" i="2"/>
  <c r="K35" i="2"/>
  <c r="V18" i="2"/>
  <c r="M17" i="3" s="1"/>
  <c r="J17" i="4"/>
  <c r="K16" i="3"/>
  <c r="K17" i="3"/>
  <c r="Y16" i="8"/>
  <c r="Z16" i="8" s="1"/>
  <c r="L18" i="8"/>
  <c r="T18" i="8"/>
  <c r="Q35" i="8"/>
  <c r="Y17" i="8"/>
  <c r="Z17" i="8" s="1"/>
  <c r="R17" i="8"/>
  <c r="P17" i="8"/>
  <c r="V18" i="8"/>
  <c r="V17" i="8"/>
  <c r="E18" i="4"/>
  <c r="F18" i="3"/>
  <c r="L4" i="8"/>
  <c r="P4" i="8"/>
  <c r="C35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J26" i="8"/>
  <c r="X26" i="8"/>
  <c r="L26" i="8"/>
  <c r="T26" i="8"/>
  <c r="R26" i="8"/>
  <c r="X4" i="8"/>
  <c r="D24" i="4"/>
  <c r="E24" i="3"/>
  <c r="V25" i="2"/>
  <c r="M24" i="3" s="1"/>
  <c r="L35" i="2"/>
  <c r="N26" i="8"/>
  <c r="L10" i="3"/>
  <c r="K10" i="4"/>
  <c r="G6" i="3"/>
  <c r="K6" i="3"/>
  <c r="E6" i="3"/>
  <c r="D4" i="4"/>
  <c r="E4" i="3"/>
  <c r="F8" i="4"/>
  <c r="G8" i="3"/>
  <c r="D35" i="2"/>
  <c r="V11" i="2"/>
  <c r="M10" i="3" s="1"/>
  <c r="V33" i="2"/>
  <c r="M32" i="3" s="1"/>
  <c r="H3" i="4"/>
  <c r="G27" i="3"/>
  <c r="E23" i="4"/>
  <c r="N34" i="8"/>
  <c r="E14" i="3"/>
  <c r="K14" i="3"/>
  <c r="H26" i="8"/>
  <c r="I3" i="3"/>
  <c r="K20" i="4"/>
  <c r="L20" i="3"/>
  <c r="L14" i="3"/>
  <c r="F29" i="3"/>
  <c r="I29" i="3"/>
  <c r="E29" i="3"/>
  <c r="K29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4" i="4"/>
  <c r="I33" i="4"/>
  <c r="V21" i="2"/>
  <c r="M20" i="3" s="1"/>
  <c r="S35" i="2"/>
  <c r="K7" i="3"/>
  <c r="J7" i="4"/>
  <c r="D8" i="3"/>
  <c r="V9" i="2"/>
  <c r="M8" i="3" s="1"/>
  <c r="C35" i="2"/>
  <c r="F7" i="4"/>
  <c r="V8" i="2"/>
  <c r="M7" i="3" s="1"/>
  <c r="L8" i="8"/>
  <c r="J8" i="8"/>
  <c r="R8" i="8"/>
  <c r="X8" i="8"/>
  <c r="H8" i="8"/>
  <c r="F8" i="8"/>
  <c r="F7" i="8"/>
  <c r="Y7" i="8"/>
  <c r="Z7" i="8" s="1"/>
  <c r="J7" i="8"/>
  <c r="L5" i="8"/>
  <c r="Y5" i="8"/>
  <c r="Z5" i="8" s="1"/>
  <c r="N28" i="8"/>
  <c r="Y28" i="8"/>
  <c r="Z28" i="8" s="1"/>
  <c r="Y18" i="8"/>
  <c r="Z18" i="8" s="1"/>
  <c r="N18" i="8"/>
  <c r="Y10" i="8"/>
  <c r="Z10" i="8" s="1"/>
  <c r="N10" i="8"/>
  <c r="P33" i="8"/>
  <c r="Y33" i="8"/>
  <c r="Z33" i="8" s="1"/>
  <c r="K15" i="3"/>
  <c r="J15" i="4"/>
  <c r="I24" i="4"/>
  <c r="J24" i="3"/>
  <c r="W35" i="8"/>
  <c r="H27" i="8"/>
  <c r="V26" i="8"/>
  <c r="T8" i="8"/>
  <c r="N20" i="8"/>
  <c r="C19" i="4"/>
  <c r="D19" i="3"/>
  <c r="D30" i="3"/>
  <c r="C30" i="4"/>
  <c r="V31" i="2"/>
  <c r="M30" i="3" s="1"/>
  <c r="L27" i="8"/>
  <c r="P27" i="8"/>
  <c r="V27" i="8"/>
  <c r="F27" i="8"/>
  <c r="T27" i="8"/>
  <c r="J27" i="8"/>
  <c r="X27" i="8"/>
  <c r="R27" i="8"/>
  <c r="V19" i="2"/>
  <c r="M18" i="3" s="1"/>
  <c r="H4" i="8"/>
  <c r="P34" i="8"/>
  <c r="R34" i="8"/>
  <c r="F34" i="8"/>
  <c r="T34" i="8"/>
  <c r="L34" i="8"/>
  <c r="I35" i="2"/>
  <c r="I32" i="3"/>
  <c r="J34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F15" i="4"/>
  <c r="G15" i="3"/>
  <c r="V13" i="2"/>
  <c r="M12" i="3" s="1"/>
  <c r="F12" i="4"/>
  <c r="F35" i="2"/>
  <c r="H35" i="2"/>
  <c r="J10" i="3"/>
  <c r="I10" i="4"/>
  <c r="K29" i="4"/>
  <c r="K25" i="4"/>
  <c r="J31" i="3"/>
  <c r="I31" i="4"/>
  <c r="K28" i="3"/>
  <c r="C28" i="3"/>
  <c r="D28" i="3"/>
  <c r="G20" i="3"/>
  <c r="F20" i="3"/>
  <c r="H20" i="3"/>
  <c r="C20" i="3"/>
  <c r="E20" i="3"/>
  <c r="E28" i="3"/>
  <c r="D28" i="4"/>
  <c r="N7" i="8"/>
  <c r="R7" i="8"/>
  <c r="H7" i="8"/>
  <c r="L7" i="8"/>
  <c r="P7" i="8"/>
  <c r="Y14" i="8"/>
  <c r="Z14" i="8" s="1"/>
  <c r="F14" i="8"/>
  <c r="F6" i="8"/>
  <c r="E35" i="8"/>
  <c r="J6" i="8"/>
  <c r="I35" i="8"/>
  <c r="L12" i="8"/>
  <c r="Y12" i="8"/>
  <c r="Z12" i="8" s="1"/>
  <c r="Y4" i="8"/>
  <c r="M35" i="8"/>
  <c r="N4" i="8"/>
  <c r="N27" i="8"/>
  <c r="Y27" i="8"/>
  <c r="Z27" i="8" s="1"/>
  <c r="Y32" i="8"/>
  <c r="Z32" i="8" s="1"/>
  <c r="P32" i="8"/>
  <c r="P24" i="8"/>
  <c r="Y24" i="8"/>
  <c r="Z24" i="8" s="1"/>
  <c r="O35" i="8"/>
  <c r="P8" i="8"/>
  <c r="Y34" i="8"/>
  <c r="Z34" i="8" s="1"/>
  <c r="H34" i="8"/>
  <c r="G35" i="8"/>
  <c r="H12" i="8"/>
  <c r="R20" i="8"/>
  <c r="J13" i="3"/>
  <c r="P35" i="2"/>
  <c r="J5" i="3"/>
  <c r="I5" i="4"/>
  <c r="N19" i="8"/>
  <c r="Y19" i="8"/>
  <c r="Z19" i="8" s="1"/>
  <c r="E35" i="2"/>
  <c r="V16" i="2"/>
  <c r="M15" i="3" s="1"/>
  <c r="C15" i="4"/>
  <c r="I16" i="3"/>
  <c r="H16" i="4"/>
  <c r="H20" i="8"/>
  <c r="G30" i="4"/>
  <c r="I23" i="3"/>
  <c r="H14" i="4"/>
  <c r="I14" i="3"/>
  <c r="G25" i="3"/>
  <c r="F25" i="4"/>
  <c r="G17" i="3"/>
  <c r="F17" i="4"/>
  <c r="G35" i="2"/>
  <c r="G5" i="3"/>
  <c r="J28" i="3"/>
  <c r="I28" i="4"/>
  <c r="I19" i="4"/>
  <c r="J19" i="3"/>
  <c r="I6" i="4"/>
  <c r="M35" i="2"/>
  <c r="V30" i="2"/>
  <c r="M29" i="3" s="1"/>
  <c r="G15" i="4"/>
  <c r="H15" i="3"/>
  <c r="J17" i="3"/>
  <c r="I17" i="4"/>
  <c r="I11" i="4"/>
  <c r="J11" i="3"/>
  <c r="I4" i="4"/>
  <c r="J4" i="3"/>
  <c r="I9" i="4"/>
  <c r="J9" i="3"/>
  <c r="L6" i="3"/>
  <c r="V32" i="2"/>
  <c r="M31" i="3" s="1"/>
  <c r="P14" i="8"/>
  <c r="L14" i="8"/>
  <c r="H14" i="8"/>
  <c r="N14" i="8"/>
  <c r="V14" i="8"/>
  <c r="R14" i="8"/>
  <c r="J22" i="4"/>
  <c r="K22" i="3"/>
  <c r="T35" i="2"/>
  <c r="J3" i="4"/>
  <c r="K21" i="3"/>
  <c r="J21" i="4"/>
  <c r="F30" i="4"/>
  <c r="G30" i="3"/>
  <c r="V20" i="2"/>
  <c r="M19" i="3" s="1"/>
  <c r="V26" i="2"/>
  <c r="M25" i="3" s="1"/>
  <c r="F5" i="4"/>
  <c r="E32" i="3"/>
  <c r="H24" i="4"/>
  <c r="X34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5" i="2"/>
  <c r="G6" i="4"/>
  <c r="H6" i="3"/>
  <c r="I30" i="4"/>
  <c r="J30" i="3"/>
  <c r="I26" i="4"/>
  <c r="J26" i="3"/>
  <c r="I21" i="4"/>
  <c r="J14" i="3"/>
  <c r="I14" i="4"/>
  <c r="Q35" i="2"/>
  <c r="J3" i="3"/>
  <c r="I3" i="4"/>
  <c r="G32" i="3"/>
  <c r="F32" i="4"/>
  <c r="X20" i="8"/>
  <c r="C14" i="3"/>
  <c r="K19" i="3"/>
  <c r="V7" i="2"/>
  <c r="V15" i="2"/>
  <c r="M14" i="3" s="1"/>
  <c r="C6" i="3"/>
  <c r="L16" i="4" l="1"/>
  <c r="L33" i="4"/>
  <c r="L13" i="4"/>
  <c r="L12" i="4"/>
  <c r="L15" i="4"/>
  <c r="L34" i="3"/>
  <c r="L30" i="4"/>
  <c r="L32" i="4"/>
  <c r="L8" i="4"/>
  <c r="L29" i="4"/>
  <c r="L14" i="4"/>
  <c r="L22" i="4"/>
  <c r="L31" i="4"/>
  <c r="L9" i="4"/>
  <c r="L10" i="4"/>
  <c r="L25" i="4"/>
  <c r="L27" i="4"/>
  <c r="F34" i="3"/>
  <c r="L28" i="4"/>
  <c r="L26" i="4"/>
  <c r="L23" i="4"/>
  <c r="E34" i="3"/>
  <c r="C34" i="4"/>
  <c r="C36" i="4" s="1"/>
  <c r="L20" i="4"/>
  <c r="J34" i="4"/>
  <c r="J36" i="4" s="1"/>
  <c r="K34" i="3"/>
  <c r="L18" i="4"/>
  <c r="G34" i="4"/>
  <c r="G36" i="4" s="1"/>
  <c r="H34" i="3"/>
  <c r="L17" i="4"/>
  <c r="R35" i="8"/>
  <c r="N35" i="8"/>
  <c r="X35" i="8"/>
  <c r="P35" i="8"/>
  <c r="Y35" i="8"/>
  <c r="Z35" i="8" s="1"/>
  <c r="Z4" i="8"/>
  <c r="L4" i="4"/>
  <c r="D34" i="4"/>
  <c r="D36" i="4" s="1"/>
  <c r="H34" i="4"/>
  <c r="H36" i="4" s="1"/>
  <c r="L7" i="4"/>
  <c r="D34" i="3"/>
  <c r="I34" i="3"/>
  <c r="L19" i="4"/>
  <c r="L24" i="4"/>
  <c r="L5" i="4"/>
  <c r="F34" i="4"/>
  <c r="F36" i="4" s="1"/>
  <c r="J35" i="8"/>
  <c r="I34" i="4"/>
  <c r="I36" i="4" s="1"/>
  <c r="K34" i="4"/>
  <c r="K36" i="4" s="1"/>
  <c r="T35" i="8"/>
  <c r="D35" i="8"/>
  <c r="V35" i="8"/>
  <c r="L35" i="8"/>
  <c r="L11" i="4"/>
  <c r="L3" i="4"/>
  <c r="E34" i="4"/>
  <c r="E36" i="4" s="1"/>
  <c r="G34" i="3"/>
  <c r="H35" i="8"/>
  <c r="J34" i="3"/>
  <c r="L21" i="4"/>
  <c r="F35" i="8"/>
  <c r="L6" i="4"/>
  <c r="M6" i="3"/>
  <c r="L34" i="4" l="1"/>
  <c r="L36" i="4" s="1"/>
  <c r="M36" i="4" s="1"/>
  <c r="M34" i="4" l="1"/>
  <c r="C3" i="3"/>
  <c r="C34" i="3" s="1"/>
  <c r="B35" i="2"/>
  <c r="V4" i="2"/>
  <c r="V35" i="2" s="1"/>
  <c r="M3" i="3" l="1"/>
  <c r="M34" i="3" s="1"/>
  <c r="N34" i="3" s="1"/>
</calcChain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<sst xmlns="http://schemas.openxmlformats.org/spreadsheetml/2006/main" count="205" uniqueCount="131">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</sst>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6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-627640</c:v>
                </c:pt>
                <c:pt idx="1">
                  <c:v>-3499200</c:v>
                </c:pt>
                <c:pt idx="2">
                  <c:v>-336100.00000000006</c:v>
                </c:pt>
                <c:pt idx="3">
                  <c:v>-1331400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-62092</c:v>
                </c:pt>
                <c:pt idx="1">
                  <c:v>2.2724344898257942</c:v>
                </c:pt>
                <c:pt idx="2" formatCode="_(* #,##0.00_);_(* \(#,##0.00\);_(* &quot;-&quot;??_);_(@_)">
                  <c:v>-279331</c:v>
                </c:pt>
                <c:pt idx="3">
                  <c:v>10.222917581613233</c:v>
                </c:pt>
                <c:pt idx="4" formatCode="0.00">
                  <c:v>-31826</c:v>
                </c:pt>
                <c:pt idx="5">
                  <c:v>1.164763577807056</c:v>
                </c:pt>
                <c:pt idx="6" formatCode="0.00">
                  <c:v>-46106</c:v>
                </c:pt>
                <c:pt idx="7">
                  <c:v>1.6873810569462744</c:v>
                </c:pt>
                <c:pt idx="8" formatCode="0.00">
                  <c:v>-541</c:v>
                </c:pt>
                <c:pt idx="9">
                  <c:v>1.9799443712487191E-2</c:v>
                </c:pt>
                <c:pt idx="10" formatCode="0.00">
                  <c:v>-1973</c:v>
                </c:pt>
                <c:pt idx="11">
                  <c:v>7.2207583077148293E-2</c:v>
                </c:pt>
                <c:pt idx="12" formatCode="0.00">
                  <c:v>-67247</c:v>
                </c:pt>
                <c:pt idx="13">
                  <c:v>2.4610964719660373</c:v>
                </c:pt>
                <c:pt idx="14" formatCode="_(* #,##0.00_);_(* \(#,##0.00\);_(* &quot;-&quot;??_);_(@_)">
                  <c:v>-277071</c:v>
                </c:pt>
                <c:pt idx="15">
                  <c:v>10.140206411945542</c:v>
                </c:pt>
                <c:pt idx="16" formatCode="0.00">
                  <c:v>-121821</c:v>
                </c:pt>
                <c:pt idx="17">
                  <c:v>4.458388230127361</c:v>
                </c:pt>
                <c:pt idx="18" formatCode="0.00">
                  <c:v>-23343</c:v>
                </c:pt>
                <c:pt idx="19">
                  <c:v>0.85430390865173478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-27324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-911351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J28" sqref="J28"/>
    </sheetView>
  </sheetViews>
  <sheetFormatPr defaultRowHeight="12.75" x14ac:dyDescent="0.2"/>
  <cols>
    <col min="1" max="1" width="23" style="41" bestFit="1" customWidth="1"/>
    <col min="2" max="4" width="9.140625" style="41"/>
    <col min="5" max="5" width="11" style="41" customWidth="1"/>
    <col min="6" max="6" width="12.140625" style="41" customWidth="1"/>
    <col min="7" max="7" width="10.28515625" style="41" customWidth="1"/>
    <col min="8" max="8" width="10.42578125" style="41" customWidth="1"/>
    <col min="9" max="9" width="10.85546875" style="41" customWidth="1"/>
    <col min="10" max="11" width="9.85546875" style="41" customWidth="1"/>
    <col min="12" max="12" width="9.5703125" style="41" customWidth="1"/>
    <col min="13" max="15" width="10.28515625" style="41" bestFit="1" customWidth="1"/>
    <col min="16" max="16384" width="9.140625" style="41"/>
  </cols>
  <sheetData>
    <row r="1" spans="1:15" ht="75" x14ac:dyDescent="0.2">
      <c r="A1" s="36" t="s">
        <v>0</v>
      </c>
      <c r="B1" s="36" t="s">
        <v>1</v>
      </c>
      <c r="C1" s="37" t="s">
        <v>2</v>
      </c>
      <c r="D1" s="36" t="s">
        <v>3</v>
      </c>
      <c r="E1" s="107" t="s">
        <v>4</v>
      </c>
      <c r="F1" s="104" t="s">
        <v>5</v>
      </c>
      <c r="G1" s="38" t="s">
        <v>129</v>
      </c>
      <c r="H1" s="105" t="s">
        <v>121</v>
      </c>
      <c r="I1" s="38" t="s">
        <v>122</v>
      </c>
      <c r="J1" s="39" t="s">
        <v>123</v>
      </c>
      <c r="K1" s="38" t="s">
        <v>128</v>
      </c>
      <c r="L1" s="40" t="s">
        <v>120</v>
      </c>
      <c r="M1" s="38" t="s">
        <v>6</v>
      </c>
      <c r="N1" s="38" t="s">
        <v>7</v>
      </c>
      <c r="O1" s="38" t="s">
        <v>8</v>
      </c>
    </row>
    <row r="2" spans="1:15" ht="15" x14ac:dyDescent="0.25">
      <c r="A2" s="42" t="s">
        <v>9</v>
      </c>
      <c r="B2" s="43">
        <v>1</v>
      </c>
      <c r="C2" s="44">
        <v>9</v>
      </c>
      <c r="D2" s="106">
        <v>2022</v>
      </c>
      <c r="E2" s="51">
        <v>16579.999999999472</v>
      </c>
      <c r="F2" s="110"/>
      <c r="G2" s="96">
        <v>4552</v>
      </c>
      <c r="H2" s="111"/>
      <c r="I2" s="58">
        <v>326</v>
      </c>
      <c r="J2" s="67"/>
      <c r="K2" s="93"/>
      <c r="L2" s="67"/>
      <c r="M2" s="64">
        <v>15</v>
      </c>
      <c r="N2" s="64">
        <v>48</v>
      </c>
      <c r="O2" s="64">
        <v>109</v>
      </c>
    </row>
    <row r="3" spans="1:15" ht="15" x14ac:dyDescent="0.25">
      <c r="A3" s="42" t="s">
        <v>9</v>
      </c>
      <c r="B3" s="43">
        <f>B2+1</f>
        <v>2</v>
      </c>
      <c r="C3" s="44">
        <v>9</v>
      </c>
      <c r="D3" s="106">
        <v>2022</v>
      </c>
      <c r="E3" s="51">
        <v>17580.000000001972</v>
      </c>
      <c r="F3" s="110"/>
      <c r="G3" s="96">
        <v>4881</v>
      </c>
      <c r="H3" s="111"/>
      <c r="I3" s="58">
        <v>254</v>
      </c>
      <c r="J3" s="67"/>
      <c r="K3" s="93"/>
      <c r="L3" s="67"/>
      <c r="M3" s="64">
        <v>15</v>
      </c>
      <c r="N3" s="64">
        <v>55</v>
      </c>
      <c r="O3" s="64">
        <v>124</v>
      </c>
    </row>
    <row r="4" spans="1:15" ht="15" x14ac:dyDescent="0.25">
      <c r="A4" s="42" t="s">
        <v>9</v>
      </c>
      <c r="B4" s="43">
        <f t="shared" ref="B4:B32" si="0">B3+1</f>
        <v>3</v>
      </c>
      <c r="C4" s="44">
        <v>9</v>
      </c>
      <c r="D4" s="106">
        <v>2022</v>
      </c>
      <c r="E4" s="51">
        <v>17819.99999999789</v>
      </c>
      <c r="F4" s="110"/>
      <c r="G4" s="96">
        <v>4921</v>
      </c>
      <c r="H4" s="111"/>
      <c r="I4" s="58">
        <v>320</v>
      </c>
      <c r="J4" s="67"/>
      <c r="K4" s="93"/>
      <c r="L4" s="67"/>
      <c r="M4" s="64">
        <v>16</v>
      </c>
      <c r="N4" s="64">
        <v>51</v>
      </c>
      <c r="O4" s="64">
        <v>94</v>
      </c>
    </row>
    <row r="5" spans="1:15" ht="15" x14ac:dyDescent="0.25">
      <c r="A5" s="42" t="s">
        <v>9</v>
      </c>
      <c r="B5" s="43">
        <f t="shared" si="0"/>
        <v>4</v>
      </c>
      <c r="C5" s="44">
        <v>9</v>
      </c>
      <c r="D5" s="106">
        <v>2022</v>
      </c>
      <c r="E5" s="51">
        <v>15660.000000002583</v>
      </c>
      <c r="F5" s="110"/>
      <c r="G5" s="96">
        <v>4465</v>
      </c>
      <c r="H5" s="111"/>
      <c r="I5" s="58">
        <v>375</v>
      </c>
      <c r="J5" s="67"/>
      <c r="K5" s="93"/>
      <c r="L5" s="67"/>
      <c r="M5" s="64">
        <v>11</v>
      </c>
      <c r="N5" s="64">
        <v>37</v>
      </c>
      <c r="O5" s="64">
        <v>72</v>
      </c>
    </row>
    <row r="6" spans="1:15" ht="15" x14ac:dyDescent="0.25">
      <c r="A6" s="42" t="s">
        <v>9</v>
      </c>
      <c r="B6" s="43">
        <f t="shared" si="0"/>
        <v>5</v>
      </c>
      <c r="C6" s="44">
        <v>9</v>
      </c>
      <c r="D6" s="106">
        <v>2022</v>
      </c>
      <c r="E6" s="51">
        <v>16029.999999999518</v>
      </c>
      <c r="F6" s="110"/>
      <c r="G6" s="96">
        <v>4316</v>
      </c>
      <c r="H6" s="111"/>
      <c r="I6" s="58">
        <v>306</v>
      </c>
      <c r="J6" s="67"/>
      <c r="K6" s="93"/>
      <c r="L6" s="67"/>
      <c r="M6" s="64">
        <v>14</v>
      </c>
      <c r="N6" s="64">
        <v>35</v>
      </c>
      <c r="O6" s="64">
        <v>75</v>
      </c>
    </row>
    <row r="7" spans="1:15" ht="15" x14ac:dyDescent="0.25">
      <c r="A7" s="42" t="s">
        <v>9</v>
      </c>
      <c r="B7" s="43">
        <f t="shared" si="0"/>
        <v>6</v>
      </c>
      <c r="C7" s="44">
        <v>9</v>
      </c>
      <c r="D7" s="106">
        <v>2022</v>
      </c>
      <c r="E7" s="51">
        <v>15969.9999999998</v>
      </c>
      <c r="F7" s="110"/>
      <c r="G7" s="96">
        <v>4404</v>
      </c>
      <c r="H7" s="111"/>
      <c r="I7" s="58">
        <v>285</v>
      </c>
      <c r="J7" s="67"/>
      <c r="K7" s="93"/>
      <c r="L7" s="67"/>
      <c r="M7" s="64">
        <v>17</v>
      </c>
      <c r="N7" s="64">
        <v>46</v>
      </c>
      <c r="O7" s="64">
        <v>114</v>
      </c>
    </row>
    <row r="8" spans="1:15" ht="15" x14ac:dyDescent="0.25">
      <c r="A8" s="42" t="s">
        <v>9</v>
      </c>
      <c r="B8" s="43">
        <f t="shared" si="0"/>
        <v>7</v>
      </c>
      <c r="C8" s="44">
        <v>9</v>
      </c>
      <c r="D8" s="106">
        <v>2022</v>
      </c>
      <c r="E8" s="96">
        <v>17849.999999998545</v>
      </c>
      <c r="F8" s="110"/>
      <c r="G8" s="96">
        <v>4483</v>
      </c>
      <c r="H8" s="111"/>
      <c r="I8" s="58">
        <v>337</v>
      </c>
      <c r="J8" s="67"/>
      <c r="K8" s="93"/>
      <c r="L8" s="67"/>
      <c r="M8" s="64">
        <v>13</v>
      </c>
      <c r="N8" s="64">
        <v>31</v>
      </c>
      <c r="O8" s="64">
        <v>81</v>
      </c>
    </row>
    <row r="9" spans="1:15" ht="15" x14ac:dyDescent="0.25">
      <c r="A9" s="42" t="s">
        <v>9</v>
      </c>
      <c r="B9" s="43">
        <f t="shared" si="0"/>
        <v>8</v>
      </c>
      <c r="C9" s="44">
        <v>9</v>
      </c>
      <c r="D9" s="106">
        <v>2022</v>
      </c>
      <c r="E9" s="96">
        <v>17320.000000000393</v>
      </c>
      <c r="F9" s="110"/>
      <c r="G9" s="59">
        <v>5219</v>
      </c>
      <c r="H9" s="111"/>
      <c r="I9" s="58">
        <v>296</v>
      </c>
      <c r="J9" s="67"/>
      <c r="K9" s="93"/>
      <c r="L9" s="67"/>
      <c r="M9" s="64">
        <v>18</v>
      </c>
      <c r="N9" s="64">
        <v>52</v>
      </c>
      <c r="O9" s="64">
        <v>130</v>
      </c>
    </row>
    <row r="10" spans="1:15" ht="15" x14ac:dyDescent="0.25">
      <c r="A10" s="42" t="s">
        <v>9</v>
      </c>
      <c r="B10" s="43">
        <f t="shared" si="0"/>
        <v>9</v>
      </c>
      <c r="C10" s="44">
        <v>9</v>
      </c>
      <c r="D10" s="106">
        <v>2022</v>
      </c>
      <c r="E10" s="96">
        <v>17710.000000001401</v>
      </c>
      <c r="F10" s="110"/>
      <c r="G10" s="96">
        <v>4889</v>
      </c>
      <c r="H10" s="111"/>
      <c r="I10" s="58">
        <v>312</v>
      </c>
      <c r="J10" s="67"/>
      <c r="K10" s="93"/>
      <c r="L10" s="67"/>
      <c r="M10" s="64">
        <v>21</v>
      </c>
      <c r="N10" s="64">
        <v>70</v>
      </c>
      <c r="O10" s="64">
        <v>155</v>
      </c>
    </row>
    <row r="11" spans="1:15" ht="15" x14ac:dyDescent="0.25">
      <c r="A11" s="42" t="s">
        <v>9</v>
      </c>
      <c r="B11" s="43">
        <f t="shared" si="0"/>
        <v>10</v>
      </c>
      <c r="C11" s="44">
        <v>9</v>
      </c>
      <c r="D11" s="106">
        <v>2022</v>
      </c>
      <c r="E11" s="96">
        <v>18639.999999999418</v>
      </c>
      <c r="F11" s="110"/>
      <c r="G11" s="96">
        <v>5237</v>
      </c>
      <c r="H11" s="111"/>
      <c r="I11" s="58">
        <v>335</v>
      </c>
      <c r="J11" s="67"/>
      <c r="K11" s="93"/>
      <c r="L11" s="67"/>
      <c r="M11" s="64"/>
      <c r="N11" s="64"/>
      <c r="O11" s="64"/>
    </row>
    <row r="12" spans="1:15" ht="15" x14ac:dyDescent="0.25">
      <c r="A12" s="42" t="s">
        <v>9</v>
      </c>
      <c r="B12" s="43">
        <f t="shared" si="0"/>
        <v>11</v>
      </c>
      <c r="C12" s="44">
        <v>9</v>
      </c>
      <c r="D12" s="106">
        <v>2022</v>
      </c>
      <c r="E12" s="96"/>
      <c r="F12" s="110"/>
      <c r="G12" s="96"/>
      <c r="H12" s="111"/>
      <c r="I12" s="58"/>
      <c r="J12" s="67"/>
      <c r="K12" s="93"/>
      <c r="L12" s="67"/>
      <c r="M12" s="64"/>
      <c r="N12" s="64"/>
      <c r="O12" s="64"/>
    </row>
    <row r="13" spans="1:15" ht="15" x14ac:dyDescent="0.25">
      <c r="A13" s="42" t="s">
        <v>9</v>
      </c>
      <c r="B13" s="43">
        <f t="shared" si="0"/>
        <v>12</v>
      </c>
      <c r="C13" s="44">
        <v>9</v>
      </c>
      <c r="D13" s="106">
        <v>2022</v>
      </c>
      <c r="E13" s="96"/>
      <c r="F13" s="110"/>
      <c r="G13" s="96"/>
      <c r="H13" s="111"/>
      <c r="I13" s="58"/>
      <c r="J13" s="67"/>
      <c r="K13" s="93"/>
      <c r="L13" s="67"/>
      <c r="M13" s="64"/>
      <c r="N13" s="64"/>
      <c r="O13" s="64"/>
    </row>
    <row r="14" spans="1:15" ht="15" x14ac:dyDescent="0.25">
      <c r="A14" s="42" t="s">
        <v>9</v>
      </c>
      <c r="B14" s="43">
        <f t="shared" si="0"/>
        <v>13</v>
      </c>
      <c r="C14" s="44">
        <v>9</v>
      </c>
      <c r="D14" s="106">
        <v>2022</v>
      </c>
      <c r="E14" s="96"/>
      <c r="F14" s="110"/>
      <c r="G14" s="96"/>
      <c r="H14" s="111"/>
      <c r="I14" s="58"/>
      <c r="J14" s="67"/>
      <c r="K14" s="93"/>
      <c r="L14" s="67"/>
      <c r="M14" s="64"/>
      <c r="N14" s="64"/>
      <c r="O14" s="64"/>
    </row>
    <row r="15" spans="1:15" ht="15" x14ac:dyDescent="0.25">
      <c r="A15" s="42" t="s">
        <v>9</v>
      </c>
      <c r="B15" s="43">
        <f t="shared" si="0"/>
        <v>14</v>
      </c>
      <c r="C15" s="44">
        <v>9</v>
      </c>
      <c r="D15" s="106">
        <v>2022</v>
      </c>
      <c r="E15" s="96"/>
      <c r="F15" s="110"/>
      <c r="G15" s="96"/>
      <c r="H15" s="111"/>
      <c r="I15" s="58"/>
      <c r="J15" s="67"/>
      <c r="K15" s="93"/>
      <c r="L15" s="67"/>
      <c r="M15" s="64"/>
      <c r="N15" s="64"/>
      <c r="O15" s="64"/>
    </row>
    <row r="16" spans="1:15" ht="15" x14ac:dyDescent="0.25">
      <c r="A16" s="42" t="s">
        <v>9</v>
      </c>
      <c r="B16" s="43">
        <f t="shared" si="0"/>
        <v>15</v>
      </c>
      <c r="C16" s="44">
        <v>9</v>
      </c>
      <c r="D16" s="106">
        <v>2022</v>
      </c>
      <c r="E16" s="96"/>
      <c r="F16" s="110"/>
      <c r="G16" s="96"/>
      <c r="H16" s="111"/>
      <c r="I16" s="58"/>
      <c r="J16" s="67"/>
      <c r="K16" s="93"/>
      <c r="L16" s="67"/>
      <c r="M16" s="64"/>
      <c r="N16" s="64"/>
      <c r="O16" s="64"/>
    </row>
    <row r="17" spans="1:15" ht="15" x14ac:dyDescent="0.25">
      <c r="A17" s="42" t="s">
        <v>9</v>
      </c>
      <c r="B17" s="43">
        <f t="shared" si="0"/>
        <v>16</v>
      </c>
      <c r="C17" s="44">
        <v>9</v>
      </c>
      <c r="D17" s="106">
        <v>2022</v>
      </c>
      <c r="E17" s="96"/>
      <c r="F17" s="110"/>
      <c r="G17" s="96"/>
      <c r="H17" s="111"/>
      <c r="I17" s="58"/>
      <c r="J17" s="67"/>
      <c r="K17" s="93"/>
      <c r="L17" s="67"/>
      <c r="M17" s="64"/>
      <c r="N17" s="64"/>
      <c r="O17" s="64"/>
    </row>
    <row r="18" spans="1:15" ht="15" x14ac:dyDescent="0.25">
      <c r="A18" s="42" t="s">
        <v>9</v>
      </c>
      <c r="B18" s="43">
        <f t="shared" si="0"/>
        <v>17</v>
      </c>
      <c r="C18" s="44">
        <v>9</v>
      </c>
      <c r="D18" s="106">
        <v>2022</v>
      </c>
      <c r="E18" s="96"/>
      <c r="F18" s="110"/>
      <c r="G18" s="96"/>
      <c r="H18" s="111"/>
      <c r="I18" s="58"/>
      <c r="J18" s="67"/>
      <c r="K18" s="93"/>
      <c r="L18" s="67"/>
      <c r="M18" s="64"/>
      <c r="N18" s="64"/>
      <c r="O18" s="64"/>
    </row>
    <row r="19" spans="1:15" ht="15" x14ac:dyDescent="0.25">
      <c r="A19" s="42" t="s">
        <v>9</v>
      </c>
      <c r="B19" s="43">
        <f t="shared" si="0"/>
        <v>18</v>
      </c>
      <c r="C19" s="44">
        <v>9</v>
      </c>
      <c r="D19" s="106">
        <v>2022</v>
      </c>
      <c r="E19" s="96"/>
      <c r="F19" s="110"/>
      <c r="G19" s="96"/>
      <c r="H19" s="111"/>
      <c r="I19" s="58"/>
      <c r="J19" s="67"/>
      <c r="K19" s="93"/>
      <c r="L19" s="67"/>
      <c r="M19" s="64"/>
      <c r="N19" s="64"/>
      <c r="O19" s="64"/>
    </row>
    <row r="20" spans="1:15" ht="15" x14ac:dyDescent="0.25">
      <c r="A20" s="42" t="s">
        <v>9</v>
      </c>
      <c r="B20" s="43">
        <f t="shared" si="0"/>
        <v>19</v>
      </c>
      <c r="C20" s="44">
        <v>9</v>
      </c>
      <c r="D20" s="106">
        <v>2022</v>
      </c>
      <c r="E20" s="96"/>
      <c r="F20" s="110"/>
      <c r="G20" s="96"/>
      <c r="H20" s="111"/>
      <c r="I20" s="58"/>
      <c r="J20" s="67"/>
      <c r="K20" s="93"/>
      <c r="L20" s="67"/>
      <c r="M20" s="64"/>
      <c r="N20" s="64"/>
      <c r="O20" s="64"/>
    </row>
    <row r="21" spans="1:15" ht="15" x14ac:dyDescent="0.25">
      <c r="A21" s="42" t="s">
        <v>9</v>
      </c>
      <c r="B21" s="43">
        <f t="shared" si="0"/>
        <v>20</v>
      </c>
      <c r="C21" s="44">
        <v>9</v>
      </c>
      <c r="D21" s="106">
        <v>2022</v>
      </c>
      <c r="E21" s="96"/>
      <c r="F21" s="110"/>
      <c r="G21" s="96"/>
      <c r="H21" s="111"/>
      <c r="I21" s="58"/>
      <c r="J21" s="67"/>
      <c r="K21" s="93"/>
      <c r="L21" s="67"/>
      <c r="M21" s="64"/>
      <c r="N21" s="64"/>
      <c r="O21" s="64"/>
    </row>
    <row r="22" spans="1:15" ht="15" x14ac:dyDescent="0.25">
      <c r="A22" s="42" t="s">
        <v>9</v>
      </c>
      <c r="B22" s="43">
        <f t="shared" si="0"/>
        <v>21</v>
      </c>
      <c r="C22" s="44">
        <v>9</v>
      </c>
      <c r="D22" s="106">
        <v>2022</v>
      </c>
      <c r="E22" s="96"/>
      <c r="F22" s="110"/>
      <c r="G22" s="96"/>
      <c r="H22" s="111"/>
      <c r="I22" s="58"/>
      <c r="J22" s="67"/>
      <c r="K22" s="93"/>
      <c r="L22" s="67"/>
      <c r="M22" s="64"/>
      <c r="N22" s="64"/>
      <c r="O22" s="64"/>
    </row>
    <row r="23" spans="1:15" ht="15" x14ac:dyDescent="0.25">
      <c r="A23" s="42" t="s">
        <v>9</v>
      </c>
      <c r="B23" s="43">
        <f t="shared" si="0"/>
        <v>22</v>
      </c>
      <c r="C23" s="44">
        <v>9</v>
      </c>
      <c r="D23" s="106">
        <v>2022</v>
      </c>
      <c r="E23" s="96"/>
      <c r="F23" s="110"/>
      <c r="G23" s="96"/>
      <c r="H23" s="111"/>
      <c r="I23" s="58"/>
      <c r="J23" s="67"/>
      <c r="K23" s="93"/>
      <c r="L23" s="67"/>
      <c r="M23" s="64"/>
      <c r="N23" s="64"/>
      <c r="O23" s="64"/>
    </row>
    <row r="24" spans="1:15" ht="15" x14ac:dyDescent="0.25">
      <c r="A24" s="42" t="s">
        <v>9</v>
      </c>
      <c r="B24" s="43">
        <f t="shared" si="0"/>
        <v>23</v>
      </c>
      <c r="C24" s="44">
        <v>9</v>
      </c>
      <c r="D24" s="106">
        <v>2022</v>
      </c>
      <c r="E24" s="96"/>
      <c r="F24" s="110"/>
      <c r="G24" s="96"/>
      <c r="H24" s="111"/>
      <c r="I24" s="58"/>
      <c r="J24" s="67"/>
      <c r="K24" s="93"/>
      <c r="L24" s="67"/>
      <c r="M24" s="64"/>
      <c r="N24" s="64"/>
      <c r="O24" s="64"/>
    </row>
    <row r="25" spans="1:15" ht="15" x14ac:dyDescent="0.25">
      <c r="A25" s="42" t="s">
        <v>9</v>
      </c>
      <c r="B25" s="43">
        <f t="shared" si="0"/>
        <v>24</v>
      </c>
      <c r="C25" s="44">
        <v>9</v>
      </c>
      <c r="D25" s="106">
        <v>2022</v>
      </c>
      <c r="E25" s="96"/>
      <c r="F25" s="110"/>
      <c r="G25" s="96"/>
      <c r="H25" s="111"/>
      <c r="I25" s="58"/>
      <c r="J25" s="67"/>
      <c r="K25" s="93"/>
      <c r="L25" s="67"/>
      <c r="M25" s="64"/>
      <c r="N25" s="64"/>
      <c r="O25" s="64"/>
    </row>
    <row r="26" spans="1:15" ht="15" x14ac:dyDescent="0.25">
      <c r="A26" s="42" t="s">
        <v>9</v>
      </c>
      <c r="B26" s="43">
        <f>B25+1</f>
        <v>25</v>
      </c>
      <c r="C26" s="44">
        <v>9</v>
      </c>
      <c r="D26" s="106">
        <v>2022</v>
      </c>
      <c r="E26" s="96"/>
      <c r="F26" s="110"/>
      <c r="G26" s="96"/>
      <c r="H26" s="111"/>
      <c r="I26" s="58"/>
      <c r="J26" s="67"/>
      <c r="K26" s="93"/>
      <c r="L26" s="67"/>
      <c r="M26" s="64"/>
      <c r="N26" s="64"/>
      <c r="O26" s="64"/>
    </row>
    <row r="27" spans="1:15" ht="15" x14ac:dyDescent="0.25">
      <c r="A27" s="42" t="s">
        <v>9</v>
      </c>
      <c r="B27" s="43">
        <f t="shared" si="0"/>
        <v>26</v>
      </c>
      <c r="C27" s="44">
        <v>9</v>
      </c>
      <c r="D27" s="106">
        <v>2022</v>
      </c>
      <c r="E27" s="96"/>
      <c r="F27" s="110"/>
      <c r="G27" s="96"/>
      <c r="H27" s="111"/>
      <c r="I27" s="58"/>
      <c r="J27" s="67"/>
      <c r="K27" s="93"/>
      <c r="L27" s="67"/>
      <c r="M27" s="64"/>
      <c r="N27" s="64"/>
      <c r="O27" s="64"/>
    </row>
    <row r="28" spans="1:15" ht="15" x14ac:dyDescent="0.25">
      <c r="A28" s="42" t="s">
        <v>9</v>
      </c>
      <c r="B28" s="43">
        <f t="shared" si="0"/>
        <v>27</v>
      </c>
      <c r="C28" s="44">
        <v>9</v>
      </c>
      <c r="D28" s="106">
        <v>2022</v>
      </c>
      <c r="E28" s="96"/>
      <c r="F28" s="110"/>
      <c r="G28" s="96"/>
      <c r="H28" s="111"/>
      <c r="I28" s="58"/>
      <c r="J28" s="67"/>
      <c r="K28" s="93"/>
      <c r="L28" s="67"/>
      <c r="M28" s="64"/>
      <c r="N28" s="64"/>
      <c r="O28" s="64"/>
    </row>
    <row r="29" spans="1:15" ht="15" x14ac:dyDescent="0.25">
      <c r="A29" s="42" t="s">
        <v>9</v>
      </c>
      <c r="B29" s="43">
        <f t="shared" si="0"/>
        <v>28</v>
      </c>
      <c r="C29" s="44">
        <v>9</v>
      </c>
      <c r="D29" s="106">
        <v>2022</v>
      </c>
      <c r="E29" s="96"/>
      <c r="F29" s="110"/>
      <c r="G29" s="96"/>
      <c r="H29" s="111"/>
      <c r="I29" s="58"/>
      <c r="J29" s="67"/>
      <c r="K29" s="93"/>
      <c r="L29" s="67"/>
      <c r="M29" s="64"/>
      <c r="N29" s="64"/>
      <c r="O29" s="64"/>
    </row>
    <row r="30" spans="1:15" ht="15" x14ac:dyDescent="0.25">
      <c r="A30" s="42" t="s">
        <v>9</v>
      </c>
      <c r="B30" s="43">
        <f t="shared" si="0"/>
        <v>29</v>
      </c>
      <c r="C30" s="44">
        <v>9</v>
      </c>
      <c r="D30" s="106">
        <v>2022</v>
      </c>
      <c r="E30" s="96"/>
      <c r="F30" s="110"/>
      <c r="G30" s="96"/>
      <c r="H30" s="111"/>
      <c r="I30" s="58"/>
      <c r="J30" s="67"/>
      <c r="K30" s="93"/>
      <c r="L30" s="67"/>
      <c r="M30" s="64"/>
      <c r="N30" s="64"/>
      <c r="O30" s="64"/>
    </row>
    <row r="31" spans="1:15" ht="15" x14ac:dyDescent="0.25">
      <c r="A31" s="42" t="s">
        <v>9</v>
      </c>
      <c r="B31" s="43">
        <f t="shared" si="0"/>
        <v>30</v>
      </c>
      <c r="C31" s="44">
        <v>9</v>
      </c>
      <c r="D31" s="106">
        <v>2022</v>
      </c>
      <c r="E31" s="92"/>
      <c r="F31" s="110"/>
      <c r="G31" s="92"/>
      <c r="H31" s="111"/>
      <c r="I31" s="58"/>
      <c r="J31" s="67"/>
      <c r="K31" s="93"/>
      <c r="L31" s="67"/>
      <c r="M31" s="64"/>
      <c r="N31" s="64"/>
      <c r="O31" s="64"/>
    </row>
    <row r="32" spans="1:15" ht="15" x14ac:dyDescent="0.25">
      <c r="A32" s="42" t="s">
        <v>9</v>
      </c>
      <c r="B32" s="43">
        <f t="shared" si="0"/>
        <v>31</v>
      </c>
      <c r="C32" s="44">
        <v>9</v>
      </c>
      <c r="D32" s="106">
        <v>2022</v>
      </c>
      <c r="E32" s="92"/>
      <c r="F32" s="110"/>
      <c r="G32" s="92"/>
      <c r="H32" s="111"/>
      <c r="I32" s="58"/>
      <c r="J32" s="67"/>
      <c r="K32" s="93"/>
      <c r="L32" s="67"/>
      <c r="M32" s="64"/>
      <c r="N32" s="64"/>
      <c r="O32" s="64"/>
    </row>
    <row r="33" spans="1:15" ht="18.75" customHeight="1" x14ac:dyDescent="0.2">
      <c r="A33" s="128" t="s">
        <v>51</v>
      </c>
      <c r="B33" s="128"/>
      <c r="C33" s="128"/>
      <c r="D33" s="128"/>
      <c r="E33" s="91">
        <f>SUM(E2:E32)</f>
        <v>171160.00000000099</v>
      </c>
      <c r="F33" s="89">
        <v>0</v>
      </c>
      <c r="G33" s="91">
        <f>SUM(G2:G32)</f>
        <v>47367</v>
      </c>
      <c r="H33" s="88">
        <v>0</v>
      </c>
      <c r="I33" s="91">
        <f>SUM(I2:I32)</f>
        <v>3146</v>
      </c>
      <c r="J33" s="89">
        <v>0</v>
      </c>
      <c r="K33" s="90">
        <f>SUM(K2:K32)</f>
        <v>0</v>
      </c>
      <c r="L33" s="88">
        <v>0</v>
      </c>
      <c r="M33" s="91">
        <f>SUM(M2:M32)</f>
        <v>140</v>
      </c>
      <c r="N33" s="91">
        <f>SUM(N2:N32)</f>
        <v>425</v>
      </c>
      <c r="O33" s="91">
        <f>SUM(O2:O32)</f>
        <v>954</v>
      </c>
    </row>
    <row r="40" spans="1:15" x14ac:dyDescent="0.2">
      <c r="C40" s="41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M29" sqref="M2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9" t="s">
        <v>10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68"/>
      <c r="V1" s="68"/>
    </row>
    <row r="2" spans="1:25" s="16" customFormat="1" ht="33" customHeight="1" x14ac:dyDescent="0.25">
      <c r="A2" s="27" t="s">
        <v>2</v>
      </c>
      <c r="B2" s="136" t="s">
        <v>124</v>
      </c>
      <c r="C2" s="136" t="s">
        <v>11</v>
      </c>
      <c r="D2" s="136" t="s">
        <v>12</v>
      </c>
      <c r="E2" s="136" t="s">
        <v>13</v>
      </c>
      <c r="F2" s="136" t="s">
        <v>14</v>
      </c>
      <c r="G2" s="131" t="s">
        <v>130</v>
      </c>
      <c r="H2" s="133" t="s">
        <v>15</v>
      </c>
      <c r="I2" s="136" t="s">
        <v>16</v>
      </c>
      <c r="J2" s="138" t="s">
        <v>17</v>
      </c>
      <c r="K2" s="139"/>
      <c r="L2" s="140"/>
      <c r="M2" s="131" t="s">
        <v>18</v>
      </c>
      <c r="N2" s="133" t="s">
        <v>19</v>
      </c>
      <c r="O2" s="134" t="s">
        <v>20</v>
      </c>
      <c r="P2" s="133" t="s">
        <v>21</v>
      </c>
      <c r="Q2" s="141" t="s">
        <v>22</v>
      </c>
      <c r="R2" s="136" t="s">
        <v>23</v>
      </c>
      <c r="S2" s="136" t="s">
        <v>24</v>
      </c>
      <c r="T2" s="136" t="s">
        <v>25</v>
      </c>
      <c r="V2" s="143" t="s">
        <v>6</v>
      </c>
      <c r="W2" s="143" t="s">
        <v>7</v>
      </c>
      <c r="X2" s="143" t="s">
        <v>8</v>
      </c>
    </row>
    <row r="3" spans="1:25" s="16" customFormat="1" ht="45" customHeight="1" x14ac:dyDescent="0.25">
      <c r="A3" s="28"/>
      <c r="B3" s="137"/>
      <c r="C3" s="137"/>
      <c r="D3" s="137"/>
      <c r="E3" s="137"/>
      <c r="F3" s="137"/>
      <c r="G3" s="132"/>
      <c r="H3" s="133"/>
      <c r="I3" s="137"/>
      <c r="J3" s="17" t="s">
        <v>26</v>
      </c>
      <c r="K3" s="17" t="s">
        <v>27</v>
      </c>
      <c r="L3" s="17" t="s">
        <v>28</v>
      </c>
      <c r="M3" s="132"/>
      <c r="N3" s="133"/>
      <c r="O3" s="135"/>
      <c r="P3" s="133"/>
      <c r="Q3" s="142"/>
      <c r="R3" s="137"/>
      <c r="S3" s="137"/>
      <c r="T3" s="137"/>
      <c r="V3" s="143"/>
      <c r="W3" s="143"/>
      <c r="X3" s="143"/>
    </row>
    <row r="4" spans="1:25" ht="21" customHeight="1" x14ac:dyDescent="0.25">
      <c r="A4" s="8">
        <v>44805</v>
      </c>
      <c r="B4" s="98">
        <v>1.4756</v>
      </c>
      <c r="C4" s="99">
        <v>336.1</v>
      </c>
      <c r="D4" s="99">
        <v>8354674.3300000001</v>
      </c>
      <c r="E4" s="99">
        <v>9372842.1300000008</v>
      </c>
      <c r="F4" s="99">
        <v>3.4992000000000001</v>
      </c>
      <c r="G4" s="99">
        <v>1.1162000000000001</v>
      </c>
      <c r="H4" s="99">
        <v>1.0358000000000001</v>
      </c>
      <c r="I4" s="99">
        <v>365.28</v>
      </c>
      <c r="J4" s="99">
        <v>511.97</v>
      </c>
      <c r="K4" s="99">
        <v>486.22</v>
      </c>
      <c r="L4" s="99">
        <v>333.21</v>
      </c>
      <c r="M4" s="99">
        <v>838.08</v>
      </c>
      <c r="N4" s="99">
        <v>757.34</v>
      </c>
      <c r="O4" s="99">
        <v>242.36</v>
      </c>
      <c r="P4" s="99">
        <v>1.0174000000000001</v>
      </c>
      <c r="Q4" s="99">
        <v>751.73</v>
      </c>
      <c r="R4" s="99">
        <v>190.15</v>
      </c>
      <c r="S4" s="99">
        <v>173.93</v>
      </c>
      <c r="T4" s="99">
        <v>627.64</v>
      </c>
      <c r="V4" s="64"/>
      <c r="W4" s="64"/>
      <c r="X4" s="64"/>
      <c r="Y4" s="16"/>
    </row>
    <row r="5" spans="1:25" ht="21" customHeight="1" x14ac:dyDescent="0.25">
      <c r="A5" s="8">
        <v>44806</v>
      </c>
      <c r="B5" s="100">
        <v>1.4764999999999999</v>
      </c>
      <c r="C5" s="101">
        <v>336.39</v>
      </c>
      <c r="D5" s="101">
        <v>8356048.9299999997</v>
      </c>
      <c r="E5" s="101">
        <v>9374873.4499999993</v>
      </c>
      <c r="F5" s="101">
        <v>3.5015999999999998</v>
      </c>
      <c r="G5" s="101">
        <v>1.1168</v>
      </c>
      <c r="H5" s="101">
        <v>1.0364</v>
      </c>
      <c r="I5" s="101">
        <v>365.52</v>
      </c>
      <c r="J5" s="101">
        <v>512.34</v>
      </c>
      <c r="K5" s="101">
        <v>486.53</v>
      </c>
      <c r="L5" s="101">
        <v>333.43</v>
      </c>
      <c r="M5" s="101">
        <v>838.62</v>
      </c>
      <c r="N5" s="101">
        <v>757.72</v>
      </c>
      <c r="O5" s="101">
        <v>242.56</v>
      </c>
      <c r="P5" s="101">
        <v>1.0179</v>
      </c>
      <c r="Q5" s="101">
        <v>751.94</v>
      </c>
      <c r="R5" s="99">
        <v>190.15</v>
      </c>
      <c r="S5" s="101">
        <v>174.07</v>
      </c>
      <c r="T5" s="101">
        <v>628.09</v>
      </c>
      <c r="V5" s="64"/>
      <c r="W5" s="64"/>
      <c r="X5" s="64"/>
      <c r="Y5" s="16"/>
    </row>
    <row r="6" spans="1:25" ht="21" customHeight="1" x14ac:dyDescent="0.25">
      <c r="A6" s="8">
        <v>44807</v>
      </c>
      <c r="B6" s="100">
        <v>1.4775</v>
      </c>
      <c r="C6" s="101">
        <v>336.64</v>
      </c>
      <c r="D6" s="101">
        <v>8357631.2800000003</v>
      </c>
      <c r="E6" s="101">
        <v>9376871.9000000004</v>
      </c>
      <c r="F6" s="101">
        <v>3.5041000000000002</v>
      </c>
      <c r="G6" s="101">
        <v>1.1174999999999999</v>
      </c>
      <c r="H6" s="101">
        <v>1.0369999999999999</v>
      </c>
      <c r="I6" s="101">
        <v>365.83</v>
      </c>
      <c r="J6" s="101">
        <v>512.70000000000005</v>
      </c>
      <c r="K6" s="101">
        <v>486.85</v>
      </c>
      <c r="L6" s="101">
        <v>333.64</v>
      </c>
      <c r="M6" s="101">
        <v>839.12</v>
      </c>
      <c r="N6" s="101">
        <v>758.13</v>
      </c>
      <c r="O6" s="101">
        <v>242.77</v>
      </c>
      <c r="P6" s="101">
        <v>1.0185999999999999</v>
      </c>
      <c r="Q6" s="101">
        <v>752.19</v>
      </c>
      <c r="R6" s="99">
        <v>190.15</v>
      </c>
      <c r="S6" s="101">
        <v>174.22</v>
      </c>
      <c r="T6" s="101">
        <v>628.36</v>
      </c>
      <c r="V6" s="64"/>
      <c r="W6" s="64"/>
      <c r="X6" s="64"/>
      <c r="Y6" s="16"/>
    </row>
    <row r="7" spans="1:25" ht="21" customHeight="1" x14ac:dyDescent="0.25">
      <c r="A7" s="8">
        <v>44808</v>
      </c>
      <c r="B7" s="100">
        <v>1.4784999999999999</v>
      </c>
      <c r="C7" s="101">
        <v>336.87</v>
      </c>
      <c r="D7" s="101">
        <v>8359182.6600000001</v>
      </c>
      <c r="E7" s="101">
        <v>9379195.7599999998</v>
      </c>
      <c r="F7" s="101">
        <v>3.5066999999999999</v>
      </c>
      <c r="G7" s="101">
        <v>1.1181000000000001</v>
      </c>
      <c r="H7" s="101">
        <v>1.0375000000000001</v>
      </c>
      <c r="I7" s="101">
        <v>366.14</v>
      </c>
      <c r="J7" s="101">
        <v>513.04</v>
      </c>
      <c r="K7" s="101">
        <v>487.11</v>
      </c>
      <c r="L7" s="101">
        <v>333.84</v>
      </c>
      <c r="M7" s="101">
        <v>839.67</v>
      </c>
      <c r="N7" s="101">
        <v>758.67</v>
      </c>
      <c r="O7" s="101">
        <v>242.97</v>
      </c>
      <c r="P7" s="101">
        <v>1.0192000000000001</v>
      </c>
      <c r="Q7" s="101">
        <v>752.42</v>
      </c>
      <c r="R7" s="99">
        <v>190.15</v>
      </c>
      <c r="S7" s="101">
        <v>174.39</v>
      </c>
      <c r="T7" s="101">
        <v>628.84</v>
      </c>
      <c r="V7" s="64"/>
      <c r="W7" s="64"/>
      <c r="X7" s="64"/>
      <c r="Y7" s="16"/>
    </row>
    <row r="8" spans="1:25" ht="21" customHeight="1" x14ac:dyDescent="0.25">
      <c r="A8" s="8">
        <v>44809</v>
      </c>
      <c r="B8" s="100">
        <v>1.4794</v>
      </c>
      <c r="C8" s="101">
        <v>337.16</v>
      </c>
      <c r="D8" s="101">
        <v>8360408.8099999996</v>
      </c>
      <c r="E8" s="101">
        <v>9381215.5999999996</v>
      </c>
      <c r="F8" s="101">
        <v>3.5093000000000001</v>
      </c>
      <c r="G8" s="101">
        <v>1.1187</v>
      </c>
      <c r="H8" s="101">
        <v>1.0381</v>
      </c>
      <c r="I8" s="101">
        <v>366.39</v>
      </c>
      <c r="J8" s="101">
        <v>513.64</v>
      </c>
      <c r="K8" s="101">
        <v>487.44</v>
      </c>
      <c r="L8" s="101">
        <v>334.08</v>
      </c>
      <c r="M8" s="101">
        <v>840.17</v>
      </c>
      <c r="N8" s="101">
        <v>758.87</v>
      </c>
      <c r="O8" s="101">
        <v>243.19</v>
      </c>
      <c r="P8" s="101">
        <v>1.0198</v>
      </c>
      <c r="Q8" s="101">
        <v>752.58</v>
      </c>
      <c r="R8" s="99">
        <v>190.15</v>
      </c>
      <c r="S8" s="101">
        <v>174.54</v>
      </c>
      <c r="T8" s="101">
        <v>629.28</v>
      </c>
      <c r="V8" s="95"/>
      <c r="W8" s="95"/>
      <c r="X8" s="114"/>
      <c r="Y8" s="16"/>
    </row>
    <row r="9" spans="1:25" ht="21" customHeight="1" x14ac:dyDescent="0.25">
      <c r="A9" s="8">
        <v>44810</v>
      </c>
      <c r="B9" s="102">
        <v>1.4802</v>
      </c>
      <c r="C9" s="101">
        <v>337.39</v>
      </c>
      <c r="D9" s="101">
        <v>8361501.1399999997</v>
      </c>
      <c r="E9" s="101">
        <v>9382945.9199999999</v>
      </c>
      <c r="F9" s="101">
        <v>3.5114000000000001</v>
      </c>
      <c r="G9" s="101">
        <v>1.1193</v>
      </c>
      <c r="H9" s="101">
        <v>1.0386</v>
      </c>
      <c r="I9" s="101">
        <v>366.61</v>
      </c>
      <c r="J9" s="101">
        <v>513.97</v>
      </c>
      <c r="K9" s="101">
        <v>487.64</v>
      </c>
      <c r="L9" s="101">
        <v>334.26</v>
      </c>
      <c r="M9" s="101">
        <v>840.66</v>
      </c>
      <c r="N9" s="101">
        <v>759.15</v>
      </c>
      <c r="O9" s="101">
        <v>243.34</v>
      </c>
      <c r="P9" s="101">
        <v>1.0203</v>
      </c>
      <c r="Q9" s="101">
        <v>752.71</v>
      </c>
      <c r="R9" s="99">
        <v>190.15</v>
      </c>
      <c r="S9" s="101">
        <v>174.68</v>
      </c>
      <c r="T9" s="101">
        <v>629.72</v>
      </c>
      <c r="V9" s="95"/>
      <c r="W9" s="95"/>
      <c r="X9" s="114"/>
      <c r="Y9" s="16"/>
    </row>
    <row r="10" spans="1:25" ht="21" customHeight="1" x14ac:dyDescent="0.25">
      <c r="A10" s="8">
        <v>44811</v>
      </c>
      <c r="B10" s="98">
        <v>1.4812000000000001</v>
      </c>
      <c r="C10" s="99">
        <v>337.66</v>
      </c>
      <c r="D10" s="99">
        <v>8362713.4800000004</v>
      </c>
      <c r="E10" s="99">
        <v>9384796.0899999999</v>
      </c>
      <c r="F10" s="99">
        <v>3.5139</v>
      </c>
      <c r="G10" s="99">
        <v>1.1198999999999999</v>
      </c>
      <c r="H10" s="99">
        <v>1.0390999999999999</v>
      </c>
      <c r="I10" s="99">
        <v>366.89</v>
      </c>
      <c r="J10" s="101">
        <v>514.29999999999995</v>
      </c>
      <c r="K10" s="101">
        <v>487.87</v>
      </c>
      <c r="L10" s="101">
        <v>334.47</v>
      </c>
      <c r="M10" s="101">
        <v>841.14</v>
      </c>
      <c r="N10" s="101">
        <v>759.52</v>
      </c>
      <c r="O10" s="101">
        <v>243.49</v>
      </c>
      <c r="P10" s="101">
        <v>1.0208999999999999</v>
      </c>
      <c r="Q10" s="101">
        <v>752.88</v>
      </c>
      <c r="R10" s="99">
        <v>190.15</v>
      </c>
      <c r="S10" s="101">
        <v>174.82</v>
      </c>
      <c r="T10" s="101">
        <v>630.16</v>
      </c>
      <c r="V10" s="95"/>
      <c r="W10" s="95"/>
      <c r="X10" s="95"/>
      <c r="Y10" s="16"/>
    </row>
    <row r="11" spans="1:25" ht="21" customHeight="1" x14ac:dyDescent="0.25">
      <c r="A11" s="8">
        <v>44812</v>
      </c>
      <c r="B11" s="100">
        <v>1.4821</v>
      </c>
      <c r="C11" s="101">
        <v>337.91</v>
      </c>
      <c r="D11" s="101">
        <v>8364120.0899999999</v>
      </c>
      <c r="E11" s="101">
        <v>9387057.7799999993</v>
      </c>
      <c r="F11" s="101">
        <v>3.5160999999999998</v>
      </c>
      <c r="G11" s="101">
        <v>1.1205000000000001</v>
      </c>
      <c r="H11" s="101">
        <v>1.0396000000000001</v>
      </c>
      <c r="I11" s="101">
        <v>367.18</v>
      </c>
      <c r="J11" s="101">
        <v>514.63</v>
      </c>
      <c r="K11" s="101">
        <v>488.11</v>
      </c>
      <c r="L11" s="101">
        <v>334.66</v>
      </c>
      <c r="M11" s="101">
        <v>841.67</v>
      </c>
      <c r="N11" s="101">
        <v>759.97</v>
      </c>
      <c r="O11" s="101">
        <v>243.69</v>
      </c>
      <c r="P11" s="101">
        <v>1.0216000000000001</v>
      </c>
      <c r="Q11" s="101">
        <v>753.14</v>
      </c>
      <c r="R11" s="99">
        <v>190.15</v>
      </c>
      <c r="S11" s="101">
        <v>174.96</v>
      </c>
      <c r="T11" s="101">
        <v>630.66</v>
      </c>
      <c r="V11" s="95"/>
      <c r="W11" s="95"/>
      <c r="X11" s="95"/>
      <c r="Y11" s="16"/>
    </row>
    <row r="12" spans="1:25" ht="21" customHeight="1" x14ac:dyDescent="0.25">
      <c r="A12" s="8">
        <v>44813</v>
      </c>
      <c r="B12" s="100">
        <v>1.4833000000000001</v>
      </c>
      <c r="C12" s="101">
        <v>338.16</v>
      </c>
      <c r="D12" s="101">
        <v>8365911.1900000004</v>
      </c>
      <c r="E12" s="101">
        <v>9389758.1400000006</v>
      </c>
      <c r="F12" s="101">
        <v>3.5164</v>
      </c>
      <c r="G12" s="101">
        <v>1.1211</v>
      </c>
      <c r="H12" s="101">
        <v>1.0403</v>
      </c>
      <c r="I12" s="101">
        <v>367.5</v>
      </c>
      <c r="J12" s="101">
        <v>514.99</v>
      </c>
      <c r="K12" s="101">
        <v>488.45</v>
      </c>
      <c r="L12" s="101">
        <v>334.94</v>
      </c>
      <c r="M12" s="101">
        <v>842.24</v>
      </c>
      <c r="N12" s="101">
        <v>760.44</v>
      </c>
      <c r="O12" s="101">
        <v>243.89</v>
      </c>
      <c r="P12" s="101">
        <v>1.0224</v>
      </c>
      <c r="Q12" s="101">
        <v>753.38</v>
      </c>
      <c r="R12" s="101">
        <v>190.15</v>
      </c>
      <c r="S12" s="101">
        <v>175.12</v>
      </c>
      <c r="T12" s="101">
        <v>631.14</v>
      </c>
      <c r="V12" s="95"/>
      <c r="W12" s="95"/>
      <c r="X12" s="95"/>
      <c r="Y12" s="16"/>
    </row>
    <row r="13" spans="1:25" ht="21" customHeight="1" x14ac:dyDescent="0.25">
      <c r="A13" s="8">
        <v>44814</v>
      </c>
      <c r="B13" s="100">
        <v>1.4841</v>
      </c>
      <c r="C13" s="102">
        <v>338.39</v>
      </c>
      <c r="D13" s="101">
        <v>8367594.21</v>
      </c>
      <c r="E13" s="101">
        <v>9391614.6699999999</v>
      </c>
      <c r="F13" s="101">
        <v>3.5164</v>
      </c>
      <c r="G13" s="101">
        <v>1.1216999999999999</v>
      </c>
      <c r="H13" s="101">
        <v>1.0407</v>
      </c>
      <c r="I13" s="101">
        <v>367.77</v>
      </c>
      <c r="J13" s="101">
        <v>515.27</v>
      </c>
      <c r="K13" s="101">
        <v>488.66</v>
      </c>
      <c r="L13" s="101">
        <v>335.06</v>
      </c>
      <c r="M13" s="101">
        <v>842.63</v>
      </c>
      <c r="N13" s="101">
        <v>760.8</v>
      </c>
      <c r="O13" s="101">
        <v>244.06</v>
      </c>
      <c r="P13" s="101">
        <v>1.0229999999999999</v>
      </c>
      <c r="Q13" s="101">
        <v>753.57</v>
      </c>
      <c r="R13" s="101">
        <v>190.15</v>
      </c>
      <c r="S13" s="101">
        <v>175.25</v>
      </c>
      <c r="T13" s="101">
        <v>631.46</v>
      </c>
      <c r="V13" s="95"/>
      <c r="W13" s="95"/>
      <c r="X13" s="95"/>
      <c r="Y13" s="16"/>
    </row>
    <row r="14" spans="1:25" ht="21" customHeight="1" x14ac:dyDescent="0.25">
      <c r="A14" s="8">
        <v>44815</v>
      </c>
      <c r="B14" s="100">
        <v>1.4852000000000001</v>
      </c>
      <c r="C14" s="102">
        <v>338.64</v>
      </c>
      <c r="D14" s="101">
        <v>8369421.9699999997</v>
      </c>
      <c r="E14" s="101">
        <v>9393951.1400000006</v>
      </c>
      <c r="F14" s="101">
        <v>3.5164</v>
      </c>
      <c r="G14" s="101">
        <v>1.1224000000000001</v>
      </c>
      <c r="H14" s="101">
        <v>1.0414000000000001</v>
      </c>
      <c r="I14" s="101">
        <v>368.08</v>
      </c>
      <c r="J14" s="101">
        <v>515.72</v>
      </c>
      <c r="K14" s="101">
        <v>488.98</v>
      </c>
      <c r="L14" s="101">
        <v>335.3</v>
      </c>
      <c r="M14" s="101">
        <v>843.06</v>
      </c>
      <c r="N14" s="101">
        <v>761.21</v>
      </c>
      <c r="O14" s="101">
        <v>244.28</v>
      </c>
      <c r="P14" s="101">
        <v>1.0237000000000001</v>
      </c>
      <c r="Q14" s="101">
        <v>753.82</v>
      </c>
      <c r="R14" s="101">
        <v>190.15</v>
      </c>
      <c r="S14" s="101">
        <v>175.4</v>
      </c>
      <c r="T14" s="101">
        <v>631.92999999999995</v>
      </c>
      <c r="V14" s="95"/>
      <c r="W14" s="95"/>
      <c r="X14" s="95"/>
      <c r="Y14" s="16"/>
    </row>
    <row r="15" spans="1:25" ht="21" customHeight="1" x14ac:dyDescent="0.25">
      <c r="A15" s="8">
        <v>44816</v>
      </c>
      <c r="B15" s="100"/>
      <c r="C15" s="100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V15" s="95"/>
      <c r="W15" s="95"/>
      <c r="X15" s="95"/>
      <c r="Y15" s="16"/>
    </row>
    <row r="16" spans="1:25" ht="21" customHeight="1" x14ac:dyDescent="0.25">
      <c r="A16" s="8">
        <v>44817</v>
      </c>
      <c r="B16" s="100"/>
      <c r="C16" s="100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V16" s="95"/>
      <c r="W16" s="95"/>
      <c r="X16" s="95"/>
      <c r="Y16" s="16"/>
    </row>
    <row r="17" spans="1:25" ht="21" customHeight="1" x14ac:dyDescent="0.25">
      <c r="A17" s="8">
        <v>44818</v>
      </c>
      <c r="B17" s="100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V17" s="95"/>
      <c r="W17" s="95"/>
      <c r="X17" s="95"/>
      <c r="Y17" s="16"/>
    </row>
    <row r="18" spans="1:25" ht="21" customHeight="1" x14ac:dyDescent="0.25">
      <c r="A18" s="8">
        <v>44819</v>
      </c>
      <c r="B18" s="100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V18" s="95"/>
      <c r="W18" s="95"/>
      <c r="X18" s="95"/>
      <c r="Y18" s="16"/>
    </row>
    <row r="19" spans="1:25" ht="21" customHeight="1" x14ac:dyDescent="0.25">
      <c r="A19" s="8">
        <v>44820</v>
      </c>
      <c r="B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15"/>
      <c r="P19" s="101"/>
      <c r="Q19" s="101"/>
      <c r="R19" s="101"/>
      <c r="S19" s="101"/>
      <c r="T19" s="101"/>
      <c r="V19" s="95"/>
      <c r="W19" s="95"/>
      <c r="X19" s="95"/>
      <c r="Y19" s="16"/>
    </row>
    <row r="20" spans="1:25" ht="21" customHeight="1" x14ac:dyDescent="0.25">
      <c r="A20" s="8">
        <v>44821</v>
      </c>
      <c r="B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V20" s="95"/>
      <c r="W20" s="95"/>
      <c r="X20" s="95"/>
      <c r="Y20" s="16"/>
    </row>
    <row r="21" spans="1:25" ht="21" customHeight="1" x14ac:dyDescent="0.25">
      <c r="A21" s="8">
        <v>44822</v>
      </c>
      <c r="B21" s="100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V21" s="95"/>
      <c r="W21" s="95"/>
      <c r="X21" s="95"/>
      <c r="Y21" s="16"/>
    </row>
    <row r="22" spans="1:25" ht="21" customHeight="1" x14ac:dyDescent="0.25">
      <c r="A22" s="8">
        <v>44823</v>
      </c>
      <c r="B22" s="100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V22" s="95"/>
      <c r="W22" s="95"/>
      <c r="X22" s="95"/>
      <c r="Y22" s="16"/>
    </row>
    <row r="23" spans="1:25" ht="21" customHeight="1" x14ac:dyDescent="0.25">
      <c r="A23" s="8">
        <v>44824</v>
      </c>
      <c r="B23" s="100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V23" s="95"/>
      <c r="W23" s="95"/>
      <c r="X23" s="95"/>
      <c r="Y23" s="16"/>
    </row>
    <row r="24" spans="1:25" ht="21" customHeight="1" x14ac:dyDescent="0.25">
      <c r="A24" s="8">
        <v>44825</v>
      </c>
      <c r="B24" s="100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V24" s="95"/>
      <c r="W24" s="95"/>
      <c r="X24" s="95"/>
      <c r="Y24" s="16"/>
    </row>
    <row r="25" spans="1:25" ht="21" customHeight="1" x14ac:dyDescent="0.25">
      <c r="A25" s="8">
        <v>44826</v>
      </c>
      <c r="B25" s="100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V25" s="95"/>
      <c r="W25" s="95"/>
      <c r="X25" s="95"/>
      <c r="Y25" s="16"/>
    </row>
    <row r="26" spans="1:25" ht="21" customHeight="1" x14ac:dyDescent="0.25">
      <c r="A26" s="8">
        <v>44827</v>
      </c>
      <c r="B26" s="100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V26" s="95"/>
      <c r="W26" s="95"/>
      <c r="X26" s="95"/>
      <c r="Y26" s="16"/>
    </row>
    <row r="27" spans="1:25" s="120" customFormat="1" ht="21" customHeight="1" x14ac:dyDescent="0.25">
      <c r="A27" s="8">
        <v>44828</v>
      </c>
      <c r="B27" s="122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V27" s="123"/>
      <c r="W27" s="123"/>
      <c r="X27" s="123"/>
      <c r="Y27" s="124"/>
    </row>
    <row r="28" spans="1:25" ht="21" customHeight="1" x14ac:dyDescent="0.25">
      <c r="A28" s="8">
        <v>44829</v>
      </c>
      <c r="B28" s="100"/>
      <c r="C28" s="101"/>
      <c r="D28" s="101"/>
      <c r="E28" s="101"/>
      <c r="F28" s="101"/>
      <c r="G28" s="101"/>
      <c r="H28" s="115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V28" s="95"/>
      <c r="W28" s="95"/>
      <c r="X28" s="95"/>
      <c r="Y28" s="16"/>
    </row>
    <row r="29" spans="1:25" ht="21" customHeight="1" x14ac:dyDescent="0.25">
      <c r="A29" s="8">
        <v>44830</v>
      </c>
      <c r="B29" s="100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V29" s="95"/>
      <c r="W29" s="95"/>
      <c r="X29" s="95"/>
      <c r="Y29" s="16"/>
    </row>
    <row r="30" spans="1:25" ht="21" customHeight="1" x14ac:dyDescent="0.25">
      <c r="A30" s="8">
        <v>44831</v>
      </c>
      <c r="B30" s="100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V30" s="95"/>
      <c r="W30" s="95"/>
      <c r="X30" s="95"/>
      <c r="Y30" s="16"/>
    </row>
    <row r="31" spans="1:25" ht="21" customHeight="1" x14ac:dyDescent="0.25">
      <c r="A31" s="8">
        <v>44832</v>
      </c>
      <c r="B31" s="100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V31" s="95"/>
      <c r="W31" s="95"/>
      <c r="X31" s="95"/>
      <c r="Y31" s="16"/>
    </row>
    <row r="32" spans="1:25" ht="21" customHeight="1" x14ac:dyDescent="0.25">
      <c r="A32" s="8">
        <v>44833</v>
      </c>
      <c r="B32" s="98"/>
      <c r="C32" s="98"/>
      <c r="D32" s="98"/>
      <c r="E32" s="103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101"/>
      <c r="S32" s="98"/>
      <c r="T32" s="98"/>
      <c r="V32" s="95"/>
      <c r="W32" s="95"/>
      <c r="X32" s="95"/>
      <c r="Y32" s="16"/>
    </row>
    <row r="33" spans="1:25" ht="19.5" customHeight="1" x14ac:dyDescent="0.25">
      <c r="A33" s="8">
        <v>44834</v>
      </c>
      <c r="B33" s="98"/>
      <c r="C33" s="98"/>
      <c r="D33" s="98"/>
      <c r="E33" s="103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101"/>
      <c r="S33" s="98"/>
      <c r="T33" s="98"/>
      <c r="V33" s="95"/>
      <c r="W33" s="95"/>
      <c r="X33" s="95"/>
      <c r="Y33" s="16"/>
    </row>
    <row r="34" spans="1:25" ht="19.5" customHeight="1" x14ac:dyDescent="0.25">
      <c r="A34" s="8">
        <v>44835</v>
      </c>
      <c r="B34" s="109"/>
      <c r="C34" s="109"/>
      <c r="D34" s="1"/>
      <c r="E34" s="1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98"/>
      <c r="S34" s="109"/>
      <c r="T34" s="109"/>
      <c r="V34" s="95"/>
      <c r="W34" s="95"/>
      <c r="X34" s="95"/>
    </row>
    <row r="35" spans="1:25" ht="21" customHeight="1" x14ac:dyDescent="0.25">
      <c r="A35" s="8"/>
      <c r="B35" s="1"/>
      <c r="C35" s="10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69">
        <f>SUM(V4:V34)</f>
        <v>0</v>
      </c>
      <c r="W35" s="69">
        <f>SUM(W4:W34)</f>
        <v>0</v>
      </c>
      <c r="X35" s="69">
        <f>SUM(X4:X34)</f>
        <v>0</v>
      </c>
    </row>
    <row r="36" spans="1:25" x14ac:dyDescent="0.25">
      <c r="S36" s="102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U47" sqref="U47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4" t="s">
        <v>30</v>
      </c>
      <c r="B2" s="136" t="s">
        <v>31</v>
      </c>
      <c r="C2" s="136" t="s">
        <v>32</v>
      </c>
      <c r="D2" s="136" t="s">
        <v>118</v>
      </c>
      <c r="E2" s="134" t="s">
        <v>33</v>
      </c>
      <c r="F2" s="144" t="s">
        <v>34</v>
      </c>
      <c r="G2" s="145"/>
      <c r="H2" s="146"/>
      <c r="I2" s="147" t="s">
        <v>35</v>
      </c>
      <c r="J2" s="147" t="s">
        <v>36</v>
      </c>
      <c r="K2" s="147" t="s">
        <v>37</v>
      </c>
      <c r="L2" s="147" t="s">
        <v>38</v>
      </c>
      <c r="M2" s="148" t="s">
        <v>39</v>
      </c>
      <c r="N2" s="148"/>
      <c r="O2" s="148"/>
      <c r="P2" s="148"/>
      <c r="Q2" s="148"/>
      <c r="R2" s="148"/>
      <c r="S2" s="147" t="s">
        <v>40</v>
      </c>
      <c r="T2" s="147"/>
      <c r="U2" s="149" t="s">
        <v>41</v>
      </c>
      <c r="V2" s="147" t="s">
        <v>42</v>
      </c>
    </row>
    <row r="3" spans="1:22" x14ac:dyDescent="0.25">
      <c r="A3" s="135"/>
      <c r="B3" s="137"/>
      <c r="C3" s="137"/>
      <c r="D3" s="137"/>
      <c r="E3" s="135"/>
      <c r="F3" s="6" t="s">
        <v>26</v>
      </c>
      <c r="G3" s="6" t="s">
        <v>27</v>
      </c>
      <c r="H3" s="6" t="s">
        <v>28</v>
      </c>
      <c r="I3" s="147"/>
      <c r="J3" s="147"/>
      <c r="K3" s="147"/>
      <c r="L3" s="147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49"/>
      <c r="V3" s="147"/>
    </row>
    <row r="4" spans="1:22" x14ac:dyDescent="0.25">
      <c r="A4" s="3">
        <f>'Kwh Reading'!A4</f>
        <v>44805</v>
      </c>
      <c r="B4" s="127">
        <f>TOTAL!E2</f>
        <v>16579.999999999472</v>
      </c>
      <c r="C4" s="4">
        <f>('Kwh Reading'!T5-'Kwh Reading'!T4)*1000</f>
        <v>450.00000000004547</v>
      </c>
      <c r="D4" s="2">
        <f>('Kwh Reading'!F5-'Kwh Reading'!F4)*1000000</f>
        <v>2399.9999999997358</v>
      </c>
      <c r="E4" s="2">
        <f>('Kwh Reading'!C5-'Kwh Reading'!C4)*1000</f>
        <v>289.99999999996362</v>
      </c>
      <c r="F4" s="2">
        <f>('Kwh Reading'!J5-'Kwh Reading'!J4)*1000</f>
        <v>370.00000000000455</v>
      </c>
      <c r="G4" s="2">
        <f>('Kwh Reading'!K5-'Kwh Reading'!K4)*1000</f>
        <v>309.99999999994543</v>
      </c>
      <c r="H4" s="2">
        <f>('Kwh Reading'!L5-'Kwh Reading'!L4)*1000</f>
        <v>220.00000000002728</v>
      </c>
      <c r="I4" s="2">
        <f>('Kwh Reading'!R5-'Kwh Reading'!R4)*1000</f>
        <v>0</v>
      </c>
      <c r="J4" s="2">
        <f>('Kwh Reading'!S5-'Kwh Reading'!S4)*1000</f>
        <v>139.99999999998636</v>
      </c>
      <c r="K4" s="2">
        <f>('Kwh Reading'!I5-'Kwh Reading'!I4)*1000</f>
        <v>240.00000000000909</v>
      </c>
      <c r="L4" s="2">
        <f>('Kwh Reading'!B5-'Kwh Reading'!B4)*1000000</f>
        <v>899.99999999990087</v>
      </c>
      <c r="M4" s="2">
        <f>('Kwh Reading'!M5-'Kwh Reading'!M4)*1000</f>
        <v>539.99999999996362</v>
      </c>
      <c r="N4" s="2">
        <f>('Kwh Reading'!H5-'Kwh Reading'!H4)*1000000</f>
        <v>599.99999999993395</v>
      </c>
      <c r="O4" s="2">
        <f>('Kwh Reading'!P5-'Kwh Reading'!P4)*1000000</f>
        <v>499.99999999994492</v>
      </c>
      <c r="P4" s="2">
        <f>('Kwh Reading'!G5-'Kwh Reading'!G4)*1000000</f>
        <v>599.99999999993395</v>
      </c>
      <c r="Q4" s="2">
        <f>('Kwh Reading'!Q5-'Kwh Reading'!Q4)*1000</f>
        <v>210.00000000003638</v>
      </c>
      <c r="R4" s="2">
        <f>('Kwh Reading'!N5-'Kwh Reading'!N4)*1000</f>
        <v>379.99999999999545</v>
      </c>
      <c r="S4" s="2">
        <f>'Kwh Reading'!E5-'Kwh Reading'!E4</f>
        <v>2031.3199999984354</v>
      </c>
      <c r="T4" s="2">
        <f>'Kwh Reading'!D5-'Kwh Reading'!D4</f>
        <v>1374.5999999996275</v>
      </c>
      <c r="U4" s="26">
        <f>('Kwh Reading'!O5-'Kwh Reading'!O4)*1000</f>
        <v>199.99999999998863</v>
      </c>
      <c r="V4" s="1">
        <f>B4-(SUM(C4:U4))</f>
        <v>4824.0800000019954</v>
      </c>
    </row>
    <row r="5" spans="1:22" x14ac:dyDescent="0.25">
      <c r="A5" s="3">
        <f>'Kwh Reading'!A5</f>
        <v>44806</v>
      </c>
      <c r="B5" s="25">
        <f>TOTAL!E3</f>
        <v>17580.000000001972</v>
      </c>
      <c r="C5" s="4">
        <f>('Kwh Reading'!T6-'Kwh Reading'!T5)*1000</f>
        <v>269.99999999998181</v>
      </c>
      <c r="D5" s="2">
        <f>('Kwh Reading'!F6-'Kwh Reading'!F5)*1000000</f>
        <v>2500.0000000003906</v>
      </c>
      <c r="E5" s="2">
        <f>('Kwh Reading'!C6-'Kwh Reading'!C5)*1000</f>
        <v>250</v>
      </c>
      <c r="F5" s="2">
        <f>('Kwh Reading'!J6-'Kwh Reading'!J5)*1000</f>
        <v>360.00000000001364</v>
      </c>
      <c r="G5" s="2">
        <f>('Kwh Reading'!K6-'Kwh Reading'!K5)*1000</f>
        <v>320.00000000005002</v>
      </c>
      <c r="H5" s="2">
        <f>('Kwh Reading'!L6-'Kwh Reading'!L5)*1000</f>
        <v>209.99999999997954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310.00000000000227</v>
      </c>
      <c r="L5" s="2">
        <f>('Kwh Reading'!B6-'Kwh Reading'!B5)*1000000</f>
        <v>1000.0000000001119</v>
      </c>
      <c r="M5" s="2">
        <f>('Kwh Reading'!M6-'Kwh Reading'!M5)*1000</f>
        <v>500</v>
      </c>
      <c r="N5" s="2">
        <f>('Kwh Reading'!H6-'Kwh Reading'!H5)*1000000</f>
        <v>599.99999999993395</v>
      </c>
      <c r="O5" s="2">
        <f>('Kwh Reading'!P6-'Kwh Reading'!P5)*1000000</f>
        <v>699.99999999992292</v>
      </c>
      <c r="P5" s="2">
        <f>('Kwh Reading'!G6-'Kwh Reading'!G5)*1000000</f>
        <v>699.99999999992292</v>
      </c>
      <c r="Q5" s="2">
        <f>('Kwh Reading'!Q6-'Kwh Reading'!Q5)*1000</f>
        <v>250</v>
      </c>
      <c r="R5" s="2">
        <f>('Kwh Reading'!N6-'Kwh Reading'!N5)*1000</f>
        <v>409.99999999996817</v>
      </c>
      <c r="S5" s="2">
        <f>'Kwh Reading'!E6-'Kwh Reading'!E5</f>
        <v>1998.4500000011176</v>
      </c>
      <c r="T5" s="2">
        <f>'Kwh Reading'!D6-'Kwh Reading'!D5</f>
        <v>1582.3500000005588</v>
      </c>
      <c r="U5" s="26">
        <f>('Kwh Reading'!O6-'Kwh Reading'!O5)*1000</f>
        <v>210.00000000000796</v>
      </c>
      <c r="V5" s="1">
        <f t="shared" ref="V5:V11" si="0">B5-(SUM(C5:U5))</f>
        <v>5259.2000000000044</v>
      </c>
    </row>
    <row r="6" spans="1:22" x14ac:dyDescent="0.25">
      <c r="A6" s="3">
        <f>'Kwh Reading'!A6</f>
        <v>44807</v>
      </c>
      <c r="B6" s="25">
        <f>TOTAL!E4</f>
        <v>17819.99999999789</v>
      </c>
      <c r="C6" s="4">
        <f>('Kwh Reading'!T7-'Kwh Reading'!T6)*1000</f>
        <v>480.00000000001819</v>
      </c>
      <c r="D6" s="2">
        <f>('Kwh Reading'!F7-'Kwh Reading'!F6)*1000000</f>
        <v>2599.9999999997135</v>
      </c>
      <c r="E6" s="2">
        <f>('Kwh Reading'!C7-'Kwh Reading'!C6)*1000</f>
        <v>230.00000000001819</v>
      </c>
      <c r="F6" s="2">
        <f>('Kwh Reading'!J7-'Kwh Reading'!J6)*1000</f>
        <v>339.99999999991815</v>
      </c>
      <c r="G6" s="2">
        <f>('Kwh Reading'!K7-'Kwh Reading'!K6)*1000</f>
        <v>259.99999999999091</v>
      </c>
      <c r="H6" s="2">
        <f>('Kwh Reading'!L7-'Kwh Reading'!L6)*1000</f>
        <v>199.99999999998863</v>
      </c>
      <c r="I6" s="2">
        <f>('Kwh Reading'!R7-'Kwh Reading'!R6)*1000</f>
        <v>0</v>
      </c>
      <c r="J6" s="2">
        <f>('Kwh Reading'!S7-'Kwh Reading'!S6)*1000</f>
        <v>169.99999999998749</v>
      </c>
      <c r="K6" s="2">
        <f>('Kwh Reading'!I7-'Kwh Reading'!I6)*1000</f>
        <v>310.00000000000227</v>
      </c>
      <c r="L6" s="2">
        <f>('Kwh Reading'!B7-'Kwh Reading'!B6)*1000000</f>
        <v>999.99999999988984</v>
      </c>
      <c r="M6" s="2">
        <f>('Kwh Reading'!M7-'Kwh Reading'!M6)*1000</f>
        <v>549.99999999995453</v>
      </c>
      <c r="N6" s="2">
        <f>('Kwh Reading'!H7-'Kwh Reading'!H6)*1000000</f>
        <v>500.00000000016701</v>
      </c>
      <c r="O6" s="2">
        <f>('Kwh Reading'!P7-'Kwh Reading'!P6)*1000000</f>
        <v>600.00000000015598</v>
      </c>
      <c r="P6" s="2">
        <f>('Kwh Reading'!G7-'Kwh Reading'!G6)*1000000</f>
        <v>600.00000000015598</v>
      </c>
      <c r="Q6" s="2">
        <f>('Kwh Reading'!Q7-'Kwh Reading'!Q6)*1000</f>
        <v>229.9999999999045</v>
      </c>
      <c r="R6" s="2">
        <f>('Kwh Reading'!N7-'Kwh Reading'!N6)*1000</f>
        <v>539.99999999996362</v>
      </c>
      <c r="S6" s="2">
        <f>'Kwh Reading'!E7-'Kwh Reading'!E6</f>
        <v>2323.859999999404</v>
      </c>
      <c r="T6" s="2">
        <f>'Kwh Reading'!D7-'Kwh Reading'!D6</f>
        <v>1551.3799999998882</v>
      </c>
      <c r="U6" s="26">
        <f>('Kwh Reading'!O7-'Kwh Reading'!O6)*1000</f>
        <v>199.99999999998863</v>
      </c>
      <c r="V6" s="1">
        <f t="shared" si="0"/>
        <v>5134.7599999987797</v>
      </c>
    </row>
    <row r="7" spans="1:22" x14ac:dyDescent="0.25">
      <c r="A7" s="3">
        <f>'Kwh Reading'!A7</f>
        <v>44808</v>
      </c>
      <c r="B7" s="25">
        <f>TOTAL!E5</f>
        <v>15660.000000002583</v>
      </c>
      <c r="C7" s="4">
        <f>('Kwh Reading'!T8-'Kwh Reading'!T7)*1000</f>
        <v>439.99999999994088</v>
      </c>
      <c r="D7" s="2">
        <f>('Kwh Reading'!F8-'Kwh Reading'!F7)*1000000</f>
        <v>2600.0000000001578</v>
      </c>
      <c r="E7" s="2">
        <f>('Kwh Reading'!C8-'Kwh Reading'!C7)*1000</f>
        <v>290.00000000002046</v>
      </c>
      <c r="F7" s="2">
        <f>('Kwh Reading'!J8-'Kwh Reading'!J7)*1000</f>
        <v>600.00000000002274</v>
      </c>
      <c r="G7" s="2">
        <f>('Kwh Reading'!K8-'Kwh Reading'!K7)*1000</f>
        <v>329.99999999998408</v>
      </c>
      <c r="H7" s="2">
        <f>('Kwh Reading'!L8-'Kwh Reading'!L7)*1000</f>
        <v>240.00000000000909</v>
      </c>
      <c r="I7" s="2">
        <f>('Kwh Reading'!R8-'Kwh Reading'!R7)*1000</f>
        <v>0</v>
      </c>
      <c r="J7" s="2">
        <f>('Kwh Reading'!S8-'Kwh Reading'!S7)*1000</f>
        <v>150.00000000000568</v>
      </c>
      <c r="K7" s="2">
        <f>('Kwh Reading'!I8-'Kwh Reading'!I7)*1000</f>
        <v>250</v>
      </c>
      <c r="L7" s="2">
        <f>('Kwh Reading'!B8-'Kwh Reading'!B7)*1000000</f>
        <v>900.0000000001229</v>
      </c>
      <c r="M7" s="2">
        <f>('Kwh Reading'!M8-'Kwh Reading'!M7)*1000</f>
        <v>500</v>
      </c>
      <c r="N7" s="2">
        <f>('Kwh Reading'!H8-'Kwh Reading'!H7)*1000000</f>
        <v>599.99999999993395</v>
      </c>
      <c r="O7" s="2">
        <f>('Kwh Reading'!P8-'Kwh Reading'!P7)*1000000</f>
        <v>599.99999999993395</v>
      </c>
      <c r="P7" s="2">
        <f>('Kwh Reading'!G8-'Kwh Reading'!G7)*1000000</f>
        <v>599.99999999993395</v>
      </c>
      <c r="Q7" s="2">
        <f>('Kwh Reading'!Q8-'Kwh Reading'!Q7)*1000</f>
        <v>160.00000000008185</v>
      </c>
      <c r="R7" s="2">
        <f>('Kwh Reading'!N8-'Kwh Reading'!N7)*1000</f>
        <v>200.00000000004547</v>
      </c>
      <c r="S7" s="2">
        <f>'Kwh Reading'!E8-'Kwh Reading'!E7</f>
        <v>2019.839999999851</v>
      </c>
      <c r="T7" s="2">
        <f>'Kwh Reading'!D8-'Kwh Reading'!D7</f>
        <v>1226.1499999994412</v>
      </c>
      <c r="U7" s="26">
        <f>('Kwh Reading'!O8-'Kwh Reading'!O7)*1000</f>
        <v>219.99999999999886</v>
      </c>
      <c r="V7" s="1">
        <f t="shared" si="0"/>
        <v>3734.0100000031016</v>
      </c>
    </row>
    <row r="8" spans="1:22" x14ac:dyDescent="0.25">
      <c r="A8" s="3">
        <f>'Kwh Reading'!A8</f>
        <v>44809</v>
      </c>
      <c r="B8" s="25">
        <f>TOTAL!E6</f>
        <v>16029.999999999518</v>
      </c>
      <c r="C8" s="4">
        <f>('Kwh Reading'!T9-'Kwh Reading'!T8)*1000</f>
        <v>440.00000000005457</v>
      </c>
      <c r="D8" s="2">
        <f>('Kwh Reading'!F9-'Kwh Reading'!F8)*1000000</f>
        <v>2099.9999999999909</v>
      </c>
      <c r="E8" s="2">
        <f>('Kwh Reading'!C9-'Kwh Reading'!C8)*1000</f>
        <v>229.99999999996135</v>
      </c>
      <c r="F8" s="2">
        <f>('Kwh Reading'!J9-'Kwh Reading'!J8)*1000</f>
        <v>330.00000000004093</v>
      </c>
      <c r="G8" s="2">
        <f>('Kwh Reading'!K9-'Kwh Reading'!K8)*1000</f>
        <v>199.99999999998863</v>
      </c>
      <c r="H8" s="2">
        <f>('Kwh Reading'!L9-'Kwh Reading'!L8)*1000</f>
        <v>180.00000000000682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220.00000000002728</v>
      </c>
      <c r="L8" s="2">
        <f>('Kwh Reading'!B9-'Kwh Reading'!B8)*1000000</f>
        <v>799.99999999991189</v>
      </c>
      <c r="M8" s="2">
        <f>('Kwh Reading'!M9-'Kwh Reading'!M8)*1000</f>
        <v>490.00000000000909</v>
      </c>
      <c r="N8" s="2">
        <f>('Kwh Reading'!H9-'Kwh Reading'!H8)*1000000</f>
        <v>499.99999999994492</v>
      </c>
      <c r="O8" s="2">
        <f>('Kwh Reading'!P9-'Kwh Reading'!P8)*1000000</f>
        <v>499.99999999994492</v>
      </c>
      <c r="P8" s="2">
        <f>('Kwh Reading'!G9-'Kwh Reading'!G8)*1000000</f>
        <v>599.99999999993395</v>
      </c>
      <c r="Q8" s="2">
        <f>('Kwh Reading'!Q9-'Kwh Reading'!Q8)*1000</f>
        <v>129.99999999999545</v>
      </c>
      <c r="R8" s="2">
        <f>('Kwh Reading'!N9-'Kwh Reading'!N8)*1000</f>
        <v>279.99999999997272</v>
      </c>
      <c r="S8" s="2">
        <f>'Kwh Reading'!E9-'Kwh Reading'!E8</f>
        <v>1730.320000000298</v>
      </c>
      <c r="T8" s="2">
        <f>'Kwh Reading'!D9-'Kwh Reading'!D8</f>
        <v>1092.3300000000745</v>
      </c>
      <c r="U8" s="26">
        <f>('Kwh Reading'!O9-'Kwh Reading'!O8)*1000</f>
        <v>150.00000000000568</v>
      </c>
      <c r="V8" s="1">
        <f t="shared" si="0"/>
        <v>5917.3499999993437</v>
      </c>
    </row>
    <row r="9" spans="1:22" x14ac:dyDescent="0.25">
      <c r="A9" s="3">
        <f>'Kwh Reading'!A9</f>
        <v>44810</v>
      </c>
      <c r="B9" s="25">
        <f>TOTAL!E7</f>
        <v>15969.9999999998</v>
      </c>
      <c r="C9" s="4">
        <f>('Kwh Reading'!T10-'Kwh Reading'!T9)*1000</f>
        <v>439.99999999994088</v>
      </c>
      <c r="D9" s="2">
        <f>('Kwh Reading'!F10-'Kwh Reading'!F9)*1000000</f>
        <v>2499.9999999999468</v>
      </c>
      <c r="E9" s="2">
        <f>('Kwh Reading'!C10-'Kwh Reading'!C9)*1000</f>
        <v>270.00000000003865</v>
      </c>
      <c r="F9" s="2">
        <f>('Kwh Reading'!J10-'Kwh Reading'!J9)*1000</f>
        <v>329.99999999992724</v>
      </c>
      <c r="G9" s="2">
        <f>('Kwh Reading'!K10-'Kwh Reading'!K9)*1000</f>
        <v>230.00000000001819</v>
      </c>
      <c r="H9" s="2">
        <f>('Kwh Reading'!L10-'Kwh Reading'!L9)*1000</f>
        <v>210.00000000003638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279.99999999997272</v>
      </c>
      <c r="L9" s="2">
        <f>('Kwh Reading'!B10-'Kwh Reading'!B9)*1000000</f>
        <v>1000.0000000001119</v>
      </c>
      <c r="M9" s="2">
        <f>('Kwh Reading'!M10-'Kwh Reading'!M9)*1000</f>
        <v>480.00000000001819</v>
      </c>
      <c r="N9" s="2">
        <f>('Kwh Reading'!H10-'Kwh Reading'!H9)*1000000</f>
        <v>499.99999999994492</v>
      </c>
      <c r="O9" s="2">
        <f>('Kwh Reading'!P10-'Kwh Reading'!P9)*1000000</f>
        <v>599.99999999993395</v>
      </c>
      <c r="P9" s="2">
        <f>('Kwh Reading'!G10-'Kwh Reading'!G9)*1000000</f>
        <v>599.99999999993395</v>
      </c>
      <c r="Q9" s="2">
        <f>('Kwh Reading'!Q10-'Kwh Reading'!Q9)*1000</f>
        <v>169.99999999995907</v>
      </c>
      <c r="R9" s="2">
        <f>('Kwh Reading'!N10-'Kwh Reading'!N9)*1000</f>
        <v>370.00000000000455</v>
      </c>
      <c r="S9" s="2">
        <f>'Kwh Reading'!E10-'Kwh Reading'!E9</f>
        <v>1850.1699999999255</v>
      </c>
      <c r="T9" s="2">
        <f>'Kwh Reading'!D10-'Kwh Reading'!D9</f>
        <v>1212.3400000007823</v>
      </c>
      <c r="U9" s="26">
        <f>('Kwh Reading'!O10-'Kwh Reading'!O9)*1000</f>
        <v>150.00000000000568</v>
      </c>
      <c r="V9" s="1">
        <f t="shared" si="0"/>
        <v>4637.489999999314</v>
      </c>
    </row>
    <row r="10" spans="1:22" x14ac:dyDescent="0.25">
      <c r="A10" s="3">
        <f>'Kwh Reading'!A10</f>
        <v>44811</v>
      </c>
      <c r="B10" s="25">
        <f>TOTAL!E8</f>
        <v>17849.999999998545</v>
      </c>
      <c r="C10" s="4">
        <f>('Kwh Reading'!T11-'Kwh Reading'!T10)*1000</f>
        <v>500</v>
      </c>
      <c r="D10" s="2">
        <f>('Kwh Reading'!F11-'Kwh Reading'!F10)*1000000</f>
        <v>2199.9999999997576</v>
      </c>
      <c r="E10" s="2">
        <f>('Kwh Reading'!C11-'Kwh Reading'!C10)*1000</f>
        <v>250</v>
      </c>
      <c r="F10" s="2">
        <f>('Kwh Reading'!J11-'Kwh Reading'!J10)*1000</f>
        <v>330.00000000004093</v>
      </c>
      <c r="G10" s="2">
        <f>('Kwh Reading'!K11-'Kwh Reading'!K10)*1000</f>
        <v>240.00000000000909</v>
      </c>
      <c r="H10" s="2">
        <f>('Kwh Reading'!L11-'Kwh Reading'!L10)*1000</f>
        <v>189.99999999999773</v>
      </c>
      <c r="I10" s="2">
        <f>('Kwh Reading'!R11-'Kwh Reading'!R10)*1000</f>
        <v>0</v>
      </c>
      <c r="J10" s="2">
        <f>('Kwh Reading'!S11-'Kwh Reading'!S10)*1000</f>
        <v>140.00000000001478</v>
      </c>
      <c r="K10" s="2">
        <f>('Kwh Reading'!I11-'Kwh Reading'!I10)*1000</f>
        <v>290.00000000002046</v>
      </c>
      <c r="L10" s="2">
        <f>('Kwh Reading'!B11-'Kwh Reading'!B10)*1000000</f>
        <v>899.99999999990087</v>
      </c>
      <c r="M10" s="2">
        <f>('Kwh Reading'!M11-'Kwh Reading'!M10)*1000</f>
        <v>529.99999999997272</v>
      </c>
      <c r="N10" s="2">
        <f>('Kwh Reading'!H11-'Kwh Reading'!H10)*1000000</f>
        <v>500.00000000016701</v>
      </c>
      <c r="O10" s="2">
        <f>('Kwh Reading'!P11-'Kwh Reading'!P10)*1000000</f>
        <v>700.00000000014495</v>
      </c>
      <c r="P10" s="2">
        <f>('Kwh Reading'!G11-'Kwh Reading'!G10)*1000000</f>
        <v>600.00000000015598</v>
      </c>
      <c r="Q10" s="2">
        <f>('Kwh Reading'!Q11-'Kwh Reading'!Q10)*1000</f>
        <v>259.99999999999091</v>
      </c>
      <c r="R10" s="2">
        <f>('Kwh Reading'!N11-'Kwh Reading'!N10)*1000</f>
        <v>450.00000000004547</v>
      </c>
      <c r="S10" s="31">
        <f>'Kwh Reading'!E11-'Kwh Reading'!E10</f>
        <v>2261.6899999994785</v>
      </c>
      <c r="T10" s="31">
        <f>'Kwh Reading'!D11-'Kwh Reading'!D10</f>
        <v>1406.609999999404</v>
      </c>
      <c r="U10" s="26">
        <f>('Kwh Reading'!O11-'Kwh Reading'!O10)*1000</f>
        <v>199.99999999998863</v>
      </c>
      <c r="V10" s="1">
        <f t="shared" si="0"/>
        <v>5901.699999999455</v>
      </c>
    </row>
    <row r="11" spans="1:22" x14ac:dyDescent="0.25">
      <c r="A11" s="3">
        <f>'Kwh Reading'!A11</f>
        <v>44812</v>
      </c>
      <c r="B11" s="25">
        <f>TOTAL!E9</f>
        <v>17320.000000000393</v>
      </c>
      <c r="C11" s="4">
        <f>('Kwh Reading'!T12-'Kwh Reading'!T11)*1000</f>
        <v>480.00000000001819</v>
      </c>
      <c r="D11" s="2">
        <f>('Kwh Reading'!F12-'Kwh Reading'!F11)*1000000</f>
        <v>300.000000000189</v>
      </c>
      <c r="E11" s="2">
        <f>('Kwh Reading'!C12-'Kwh Reading'!C11)*1000</f>
        <v>250</v>
      </c>
      <c r="F11" s="2">
        <f>('Kwh Reading'!J12-'Kwh Reading'!J11)*1000</f>
        <v>360.00000000001364</v>
      </c>
      <c r="G11" s="2">
        <f>('Kwh Reading'!K12-'Kwh Reading'!K11)*1000</f>
        <v>339.99999999997499</v>
      </c>
      <c r="H11" s="2">
        <f>('Kwh Reading'!L12-'Kwh Reading'!L11)*1000</f>
        <v>279.99999999997272</v>
      </c>
      <c r="I11" s="2">
        <f>('Kwh Reading'!R12-'Kwh Reading'!R11)*1000</f>
        <v>0</v>
      </c>
      <c r="J11" s="2">
        <f>('Kwh Reading'!S12-'Kwh Reading'!S11)*1000</f>
        <v>159.99999999999659</v>
      </c>
      <c r="K11" s="2">
        <f>('Kwh Reading'!I12-'Kwh Reading'!I11)*1000</f>
        <v>319.99999999999318</v>
      </c>
      <c r="L11" s="2">
        <f>('Kwh Reading'!B12-'Kwh Reading'!B11)*1000000</f>
        <v>1200.0000000000898</v>
      </c>
      <c r="M11" s="2">
        <f>('Kwh Reading'!M12-'Kwh Reading'!M11)*1000</f>
        <v>570.00000000005002</v>
      </c>
      <c r="N11" s="2">
        <f>('Kwh Reading'!H12-'Kwh Reading'!H11)*1000000</f>
        <v>699.99999999992292</v>
      </c>
      <c r="O11" s="2">
        <f>('Kwh Reading'!P12-'Kwh Reading'!P11)*1000000</f>
        <v>799.99999999991189</v>
      </c>
      <c r="P11" s="2">
        <f>('Kwh Reading'!G12-'Kwh Reading'!G11)*1000000</f>
        <v>599.99999999993395</v>
      </c>
      <c r="Q11" s="2">
        <f>('Kwh Reading'!Q12-'Kwh Reading'!Q11)*1000</f>
        <v>240.00000000000909</v>
      </c>
      <c r="R11" s="2">
        <f>('Kwh Reading'!N12-'Kwh Reading'!N11)*1000</f>
        <v>470.00000000002728</v>
      </c>
      <c r="S11" s="31">
        <f>'Kwh Reading'!E12-'Kwh Reading'!E11</f>
        <v>2700.3600000012666</v>
      </c>
      <c r="T11" s="31">
        <f>'Kwh Reading'!D12-'Kwh Reading'!D11</f>
        <v>1791.1000000005588</v>
      </c>
      <c r="U11" s="26">
        <f>('Kwh Reading'!O12-'Kwh Reading'!O11)*1000</f>
        <v>199.99999999998863</v>
      </c>
      <c r="V11" s="1">
        <f t="shared" si="0"/>
        <v>5558.5399999984766</v>
      </c>
    </row>
    <row r="12" spans="1:22" x14ac:dyDescent="0.25">
      <c r="A12" s="3">
        <f>'Kwh Reading'!A12</f>
        <v>44813</v>
      </c>
      <c r="B12" s="25">
        <f>TOTAL!E10</f>
        <v>17710.000000001401</v>
      </c>
      <c r="C12" s="4">
        <f>('Kwh Reading'!T13-'Kwh Reading'!T12)*1000</f>
        <v>320.00000000005002</v>
      </c>
      <c r="D12" s="2">
        <f>('Kwh Reading'!F13-'Kwh Reading'!F12)*1000000</f>
        <v>0</v>
      </c>
      <c r="E12" s="2">
        <f>('Kwh Reading'!C13-'Kwh Reading'!C12)*1000</f>
        <v>229.99999999996135</v>
      </c>
      <c r="F12" s="2">
        <f>('Kwh Reading'!J13-'Kwh Reading'!J12)*1000</f>
        <v>279.99999999997272</v>
      </c>
      <c r="G12" s="2">
        <f>('Kwh Reading'!K13-'Kwh Reading'!K12)*1000</f>
        <v>210.00000000003638</v>
      </c>
      <c r="H12" s="2">
        <f>('Kwh Reading'!L13-'Kwh Reading'!L12)*1000</f>
        <v>120.00000000000455</v>
      </c>
      <c r="I12" s="2">
        <f>('Kwh Reading'!R13-'Kwh Reading'!R12)*1000</f>
        <v>0</v>
      </c>
      <c r="J12" s="2">
        <f>('Kwh Reading'!S13-'Kwh Reading'!S12)*1000</f>
        <v>129.99999999999545</v>
      </c>
      <c r="K12" s="2">
        <f>('Kwh Reading'!I13-'Kwh Reading'!I12)*1000</f>
        <v>269.99999999998181</v>
      </c>
      <c r="L12" s="2">
        <f>('Kwh Reading'!B13-'Kwh Reading'!B12)*1000000</f>
        <v>799.99999999991189</v>
      </c>
      <c r="M12" s="2">
        <f>('Kwh Reading'!M13-'Kwh Reading'!M12)*1000</f>
        <v>389.99999999998636</v>
      </c>
      <c r="N12" s="2">
        <f>('Kwh Reading'!H13-'Kwh Reading'!H12)*1000000</f>
        <v>399.99999999995595</v>
      </c>
      <c r="O12" s="2">
        <f>('Kwh Reading'!P13-'Kwh Reading'!P12)*1000000</f>
        <v>599.99999999993395</v>
      </c>
      <c r="P12" s="2">
        <f>('Kwh Reading'!G13-'Kwh Reading'!G12)*1000000</f>
        <v>599.99999999993395</v>
      </c>
      <c r="Q12" s="2">
        <f>('Kwh Reading'!Q13-'Kwh Reading'!Q12)*1000</f>
        <v>190.00000000005457</v>
      </c>
      <c r="R12" s="2">
        <f>('Kwh Reading'!N13-'Kwh Reading'!N12)*1000</f>
        <v>359.99999999989996</v>
      </c>
      <c r="S12" s="31">
        <f>'Kwh Reading'!E13-'Kwh Reading'!E12</f>
        <v>1856.5299999993294</v>
      </c>
      <c r="T12" s="31">
        <f>'Kwh Reading'!D13-'Kwh Reading'!D12</f>
        <v>1683.019999999553</v>
      </c>
      <c r="U12" s="26">
        <f>('Kwh Reading'!O13-'Kwh Reading'!O12)*1000</f>
        <v>170.00000000001592</v>
      </c>
      <c r="V12" s="1">
        <f t="shared" ref="V12:V34" si="1">B12-(SUM(C12:U12))</f>
        <v>9100.450000002822</v>
      </c>
    </row>
    <row r="13" spans="1:22" x14ac:dyDescent="0.25">
      <c r="A13" s="3">
        <f>'Kwh Reading'!A13</f>
        <v>44814</v>
      </c>
      <c r="B13" s="25">
        <f>TOTAL!E11</f>
        <v>18639.999999999418</v>
      </c>
      <c r="C13" s="4">
        <f>('Kwh Reading'!T14-'Kwh Reading'!T13)*1000</f>
        <v>469.9999999999136</v>
      </c>
      <c r="D13" s="2">
        <f>('Kwh Reading'!F14-'Kwh Reading'!F13)*1000000</f>
        <v>0</v>
      </c>
      <c r="E13" s="2">
        <f>('Kwh Reading'!C14-'Kwh Reading'!C13)*1000</f>
        <v>250</v>
      </c>
      <c r="F13" s="2">
        <f>('Kwh Reading'!J14-'Kwh Reading'!J13)*1000</f>
        <v>450.00000000004547</v>
      </c>
      <c r="G13" s="2">
        <f>('Kwh Reading'!K14-'Kwh Reading'!K13)*1000</f>
        <v>319.99999999999318</v>
      </c>
      <c r="H13" s="2">
        <f>('Kwh Reading'!L14-'Kwh Reading'!L13)*1000</f>
        <v>240.00000000000909</v>
      </c>
      <c r="I13" s="2">
        <f>('Kwh Reading'!R14-'Kwh Reading'!R13)*1000</f>
        <v>0</v>
      </c>
      <c r="J13" s="2">
        <f>('Kwh Reading'!S14-'Kwh Reading'!S13)*1000</f>
        <v>150.00000000000568</v>
      </c>
      <c r="K13" s="2">
        <f>('Kwh Reading'!I14-'Kwh Reading'!I13)*1000</f>
        <v>310.00000000000227</v>
      </c>
      <c r="L13" s="2">
        <f>('Kwh Reading'!B14-'Kwh Reading'!B13)*1000000</f>
        <v>1100.000000000101</v>
      </c>
      <c r="M13" s="2">
        <f>('Kwh Reading'!M14-'Kwh Reading'!M13)*1000</f>
        <v>429.99999999994998</v>
      </c>
      <c r="N13" s="2">
        <f>('Kwh Reading'!H14-'Kwh Reading'!H13)*1000000</f>
        <v>700.00000000014495</v>
      </c>
      <c r="O13" s="2">
        <f>('Kwh Reading'!P14-'Kwh Reading'!P13)*1000000</f>
        <v>700.00000000014495</v>
      </c>
      <c r="P13" s="2">
        <f>('Kwh Reading'!G14-'Kwh Reading'!G13)*1000000</f>
        <v>700.00000000014495</v>
      </c>
      <c r="Q13" s="2">
        <f>('Kwh Reading'!Q14-'Kwh Reading'!Q13)*1000</f>
        <v>250</v>
      </c>
      <c r="R13" s="2">
        <f>('Kwh Reading'!N14-'Kwh Reading'!N13)*1000</f>
        <v>410.00000000008185</v>
      </c>
      <c r="S13" s="31">
        <f>'Kwh Reading'!E14-'Kwh Reading'!E13</f>
        <v>2336.4700000006706</v>
      </c>
      <c r="T13" s="31">
        <f>'Kwh Reading'!D14-'Kwh Reading'!D13</f>
        <v>1827.7599999997765</v>
      </c>
      <c r="U13" s="26">
        <f>('Kwh Reading'!O14-'Kwh Reading'!O13)*1000</f>
        <v>219.99999999999886</v>
      </c>
      <c r="V13" s="1">
        <f t="shared" si="1"/>
        <v>7775.7699999984379</v>
      </c>
    </row>
    <row r="14" spans="1:22" x14ac:dyDescent="0.25">
      <c r="A14" s="3">
        <f>'Kwh Reading'!A14</f>
        <v>44815</v>
      </c>
      <c r="B14" s="25">
        <f>TOTAL!E12</f>
        <v>0</v>
      </c>
      <c r="C14" s="4">
        <f>('Kwh Reading'!T15-'Kwh Reading'!T14)*1000</f>
        <v>-631930</v>
      </c>
      <c r="D14" s="2">
        <f>('Kwh Reading'!F15-'Kwh Reading'!F14)*1000000</f>
        <v>-3516400</v>
      </c>
      <c r="E14" s="2">
        <f>('Kwh Reading'!C15-'Kwh Reading'!C14)*1000</f>
        <v>-338640</v>
      </c>
      <c r="F14" s="2">
        <f>('Kwh Reading'!J15-'Kwh Reading'!J14)*1000</f>
        <v>-515720</v>
      </c>
      <c r="G14" s="2">
        <f>('Kwh Reading'!K15-'Kwh Reading'!K14)*1000</f>
        <v>-488980</v>
      </c>
      <c r="H14" s="2">
        <f>('Kwh Reading'!L15-'Kwh Reading'!L14)*1000</f>
        <v>-335300</v>
      </c>
      <c r="I14" s="2">
        <f>('Kwh Reading'!R15-'Kwh Reading'!R14)*1000</f>
        <v>-190150</v>
      </c>
      <c r="J14" s="2">
        <f>('Kwh Reading'!S15-'Kwh Reading'!S14)*1000</f>
        <v>-175400</v>
      </c>
      <c r="K14" s="2">
        <f>('Kwh Reading'!I15-'Kwh Reading'!I14)*1000</f>
        <v>-368080</v>
      </c>
      <c r="L14" s="2">
        <f>('Kwh Reading'!B15-'Kwh Reading'!B14)*1000000</f>
        <v>-1485200</v>
      </c>
      <c r="M14" s="2">
        <f>('Kwh Reading'!M15-'Kwh Reading'!M14)*1000</f>
        <v>-843060</v>
      </c>
      <c r="N14" s="2">
        <f>('Kwh Reading'!H15-'Kwh Reading'!H14)*1000000</f>
        <v>-1041400.0000000001</v>
      </c>
      <c r="O14" s="2">
        <f>('Kwh Reading'!P15-'Kwh Reading'!P14)*1000000</f>
        <v>-1023700</v>
      </c>
      <c r="P14" s="2">
        <f>('Kwh Reading'!G15-'Kwh Reading'!G14)*1000000</f>
        <v>-1122400</v>
      </c>
      <c r="Q14" s="2">
        <f>('Kwh Reading'!Q15-'Kwh Reading'!Q14)*1000</f>
        <v>-753820</v>
      </c>
      <c r="R14" s="2">
        <f>('Kwh Reading'!N15-'Kwh Reading'!N14)*1000</f>
        <v>-761210</v>
      </c>
      <c r="S14" s="31">
        <f>'Kwh Reading'!E15-'Kwh Reading'!E14</f>
        <v>-9393951.1400000006</v>
      </c>
      <c r="T14" s="31">
        <f>'Kwh Reading'!D15-'Kwh Reading'!D14</f>
        <v>-8369421.9699999997</v>
      </c>
      <c r="U14" s="26">
        <f>('Kwh Reading'!O15-'Kwh Reading'!O14)*1000</f>
        <v>-244280</v>
      </c>
      <c r="V14" s="1">
        <f t="shared" si="1"/>
        <v>31599043.109999999</v>
      </c>
    </row>
    <row r="15" spans="1:22" x14ac:dyDescent="0.25">
      <c r="A15" s="3">
        <f>'Kwh Reading'!A15</f>
        <v>44816</v>
      </c>
      <c r="B15" s="25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6">
        <f>('Kwh Reading'!M16-'Kwh Reading'!M15)*1000</f>
        <v>0</v>
      </c>
      <c r="N15" s="2">
        <f>('Kwh Reading'!H16-'Kwh Reading'!H15)*1000000</f>
        <v>0</v>
      </c>
      <c r="O15" s="2">
        <f>('Kwh Reading'!P16-'Kwh Reading'!P15)*1000000</f>
        <v>0</v>
      </c>
      <c r="P15" s="2">
        <f>('Kwh Reading'!G16-'Kwh Reading'!G15)*1000000</f>
        <v>0</v>
      </c>
      <c r="Q15" s="2">
        <f>('Kwh Reading'!Q16-'Kwh Reading'!Q15)*1000</f>
        <v>0</v>
      </c>
      <c r="R15" s="2">
        <f>('Kwh Reading'!N16-'Kwh Reading'!N15)*1000</f>
        <v>0</v>
      </c>
      <c r="S15" s="31">
        <f>'Kwh Reading'!E16-'Kwh Reading'!E15</f>
        <v>0</v>
      </c>
      <c r="T15" s="31">
        <f>'Kwh Reading'!D16-'Kwh Reading'!D15</f>
        <v>0</v>
      </c>
      <c r="U15" s="26">
        <f>('Kwh Reading'!O16-'Kwh Reading'!O15)*1000</f>
        <v>0</v>
      </c>
      <c r="V15" s="1">
        <f t="shared" si="1"/>
        <v>0</v>
      </c>
    </row>
    <row r="16" spans="1:22" x14ac:dyDescent="0.25">
      <c r="A16" s="3">
        <f>'Kwh Reading'!A16</f>
        <v>44817</v>
      </c>
      <c r="B16" s="25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Reading'!H16)*1000000</f>
        <v>0</v>
      </c>
      <c r="O16" s="2">
        <f>('Kwh Reading'!P17-'Kwh Reading'!P16)*1000000</f>
        <v>0</v>
      </c>
      <c r="P16" s="2">
        <f>('Kwh Reading'!G17-'Kwh Reading'!G16)*1000000</f>
        <v>0</v>
      </c>
      <c r="Q16" s="2">
        <f>('Kwh Reading'!Q17-'Kwh Reading'!Q16)*1000</f>
        <v>0</v>
      </c>
      <c r="R16" s="2">
        <f>('Kwh Reading'!N17-'Kwh Reading'!N16)*1000</f>
        <v>0</v>
      </c>
      <c r="S16" s="31">
        <f>'Kwh Reading'!E17-'Kwh Reading'!E16</f>
        <v>0</v>
      </c>
      <c r="T16" s="31">
        <f>'Kwh Reading'!D17-'Kwh Reading'!D16</f>
        <v>0</v>
      </c>
      <c r="U16" s="26">
        <f>('Kwh Reading'!O17-'Kwh Reading'!O16)*1000</f>
        <v>0</v>
      </c>
      <c r="V16" s="1">
        <f t="shared" si="1"/>
        <v>0</v>
      </c>
    </row>
    <row r="17" spans="1:22" x14ac:dyDescent="0.25">
      <c r="A17" s="3">
        <f>'Kwh Reading'!A17</f>
        <v>44818</v>
      </c>
      <c r="B17" s="25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Reading'!H17)*1000000</f>
        <v>0</v>
      </c>
      <c r="O17" s="2">
        <f>('Kwh Reading'!P18-'Kwh Reading'!P17)*1000000</f>
        <v>0</v>
      </c>
      <c r="P17" s="2">
        <f>('Kwh Reading'!G18-'Kwh Reading'!G17)*1000000</f>
        <v>0</v>
      </c>
      <c r="Q17" s="2">
        <f>('Kwh Reading'!Q18-'Kwh Reading'!Q17)*1000</f>
        <v>0</v>
      </c>
      <c r="R17" s="2">
        <f>('Kwh Reading'!N18-'Kwh Reading'!N17)*1000</f>
        <v>0</v>
      </c>
      <c r="S17" s="31">
        <f>'Kwh Reading'!E18-'Kwh Reading'!E17</f>
        <v>0</v>
      </c>
      <c r="T17" s="31">
        <f>'Kwh Reading'!D18-'Kwh Reading'!D17</f>
        <v>0</v>
      </c>
      <c r="U17" s="26">
        <f>('Kwh Reading'!O18-'Kwh Reading'!O17)*1000</f>
        <v>0</v>
      </c>
      <c r="V17" s="1">
        <f t="shared" si="1"/>
        <v>0</v>
      </c>
    </row>
    <row r="18" spans="1:22" x14ac:dyDescent="0.25">
      <c r="A18" s="3">
        <f>'Kwh Reading'!A18</f>
        <v>44819</v>
      </c>
      <c r="B18" s="25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Reading'!H18)*1000000</f>
        <v>0</v>
      </c>
      <c r="O18" s="2">
        <f>('Kwh Reading'!P19-'Kwh Reading'!P18)*1000000</f>
        <v>0</v>
      </c>
      <c r="P18" s="2">
        <f>('Kwh Reading'!G19-'Kwh Reading'!G18)*1000000</f>
        <v>0</v>
      </c>
      <c r="Q18" s="2">
        <f>('Kwh Reading'!Q19-'Kwh Reading'!Q18)*1000</f>
        <v>0</v>
      </c>
      <c r="R18" s="2">
        <f>('Kwh Reading'!N19-'Kwh Reading'!N18)*1000</f>
        <v>0</v>
      </c>
      <c r="S18" s="31">
        <f>'Kwh Reading'!E19-'Kwh Reading'!E18</f>
        <v>0</v>
      </c>
      <c r="T18" s="31">
        <f>'Kwh Reading'!D19-'Kwh Reading'!D18</f>
        <v>0</v>
      </c>
      <c r="U18" s="26">
        <f>('Kwh Reading'!O19-'Kwh Reading'!O18)*1000</f>
        <v>0</v>
      </c>
      <c r="V18" s="1">
        <f t="shared" si="1"/>
        <v>0</v>
      </c>
    </row>
    <row r="19" spans="1:22" x14ac:dyDescent="0.25">
      <c r="A19" s="3">
        <f>'Kwh Reading'!A19</f>
        <v>44820</v>
      </c>
      <c r="B19" s="25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Reading'!H19)*1000000</f>
        <v>0</v>
      </c>
      <c r="O19" s="2">
        <f>('Kwh Reading'!P20-'Kwh Reading'!P19)*1000000</f>
        <v>0</v>
      </c>
      <c r="P19" s="2">
        <f>('Kwh Reading'!G20-'Kwh Reading'!G19)*1000000</f>
        <v>0</v>
      </c>
      <c r="Q19" s="2">
        <f>('Kwh Reading'!Q20-'Kwh Reading'!Q19)*1000</f>
        <v>0</v>
      </c>
      <c r="R19" s="2">
        <f>('Kwh Reading'!N20-'Kwh Reading'!N19)*1000</f>
        <v>0</v>
      </c>
      <c r="S19" s="31">
        <f>'Kwh Reading'!E20-'Kwh Reading'!E19</f>
        <v>0</v>
      </c>
      <c r="T19" s="31">
        <f>'Kwh Reading'!D20-'Kwh Reading'!D19</f>
        <v>0</v>
      </c>
      <c r="U19" s="26">
        <f>('Kwh Reading'!O20-'Kwh Reading'!O19)*1000</f>
        <v>0</v>
      </c>
      <c r="V19" s="1">
        <f t="shared" si="1"/>
        <v>0</v>
      </c>
    </row>
    <row r="20" spans="1:22" x14ac:dyDescent="0.25">
      <c r="A20" s="3">
        <f>'Kwh Reading'!A20</f>
        <v>44821</v>
      </c>
      <c r="B20" s="25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6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Reading'!H20)*1000000</f>
        <v>0</v>
      </c>
      <c r="O20" s="2">
        <f>('Kwh Reading'!P21-'Kwh Reading'!P20)*1000000</f>
        <v>0</v>
      </c>
      <c r="P20" s="2">
        <f>('Kwh Reading'!G21-'Kwh Reading'!G20)*1000000</f>
        <v>0</v>
      </c>
      <c r="Q20" s="2">
        <f>('Kwh Reading'!Q21-'Kwh Reading'!Q20)*1000</f>
        <v>0</v>
      </c>
      <c r="R20" s="2">
        <f>('Kwh Reading'!N21-'Kwh Reading'!N20)*1000</f>
        <v>0</v>
      </c>
      <c r="S20" s="31">
        <f>'Kwh Reading'!E21-'Kwh Reading'!E20</f>
        <v>0</v>
      </c>
      <c r="T20" s="31">
        <f>'Kwh Reading'!D21-'Kwh Reading'!D20</f>
        <v>0</v>
      </c>
      <c r="U20" s="26">
        <f>('Kwh Reading'!O21-'Kwh Reading'!O20)*1000</f>
        <v>0</v>
      </c>
      <c r="V20" s="1">
        <f t="shared" si="1"/>
        <v>0</v>
      </c>
    </row>
    <row r="21" spans="1:22" ht="16.5" customHeight="1" x14ac:dyDescent="0.25">
      <c r="A21" s="3">
        <f>'Kwh Reading'!A21</f>
        <v>44822</v>
      </c>
      <c r="B21" s="25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Reading'!H21)*1000000</f>
        <v>0</v>
      </c>
      <c r="O21" s="2">
        <f>('Kwh Reading'!P22-'Kwh Reading'!P21)*1000000</f>
        <v>0</v>
      </c>
      <c r="P21" s="2">
        <f>('Kwh Reading'!G22-'Kwh Reading'!G21)*1000000</f>
        <v>0</v>
      </c>
      <c r="Q21" s="2">
        <f>('Kwh Reading'!Q22-'Kwh Reading'!Q21)*1000</f>
        <v>0</v>
      </c>
      <c r="R21" s="2">
        <f>('Kwh Reading'!N22-'Kwh Reading'!N21)*1000</f>
        <v>0</v>
      </c>
      <c r="S21" s="31">
        <f>'Kwh Reading'!E22-'Kwh Reading'!E21</f>
        <v>0</v>
      </c>
      <c r="T21" s="31">
        <f>'Kwh Reading'!D22-'Kwh Reading'!D21</f>
        <v>0</v>
      </c>
      <c r="U21" s="26">
        <f>('Kwh Reading'!O22-'Kwh Reading'!O21)*1000</f>
        <v>0</v>
      </c>
      <c r="V21" s="1">
        <f t="shared" si="1"/>
        <v>0</v>
      </c>
    </row>
    <row r="22" spans="1:22" x14ac:dyDescent="0.25">
      <c r="A22" s="3">
        <f>'Kwh Reading'!A22</f>
        <v>44823</v>
      </c>
      <c r="B22" s="25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Reading'!H22)*1000000</f>
        <v>0</v>
      </c>
      <c r="O22" s="2">
        <f>('Kwh Reading'!P23-'Kwh Reading'!P22)*1000000</f>
        <v>0</v>
      </c>
      <c r="P22" s="2">
        <f>('Kwh Reading'!G23-'Kwh Reading'!G22)*1000000</f>
        <v>0</v>
      </c>
      <c r="Q22" s="2">
        <f>('Kwh Reading'!Q23-'Kwh Reading'!Q22)*1000</f>
        <v>0</v>
      </c>
      <c r="R22" s="2">
        <f>('Kwh Reading'!N23-'Kwh Reading'!N22)*1000</f>
        <v>0</v>
      </c>
      <c r="S22" s="31">
        <f>'Kwh Reading'!E23-'Kwh Reading'!E22</f>
        <v>0</v>
      </c>
      <c r="T22" s="31">
        <f>'Kwh Reading'!D23-'Kwh Reading'!D22</f>
        <v>0</v>
      </c>
      <c r="U22" s="26">
        <f>('Kwh Reading'!O23-'Kwh Reading'!O22)*1000</f>
        <v>0</v>
      </c>
      <c r="V22" s="1">
        <f t="shared" si="1"/>
        <v>0</v>
      </c>
    </row>
    <row r="23" spans="1:22" x14ac:dyDescent="0.25">
      <c r="A23" s="3">
        <f>'Kwh Reading'!A23</f>
        <v>44824</v>
      </c>
      <c r="B23" s="25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Reading'!H23)*1000000</f>
        <v>0</v>
      </c>
      <c r="O23" s="2">
        <f>('Kwh Reading'!P24-'Kwh Reading'!P23)*1000000</f>
        <v>0</v>
      </c>
      <c r="P23" s="2">
        <f>('Kwh Reading'!G24-'Kwh Reading'!G23)*1000000</f>
        <v>0</v>
      </c>
      <c r="Q23" s="2">
        <f>('Kwh Reading'!Q24-'Kwh Reading'!Q23)*1000</f>
        <v>0</v>
      </c>
      <c r="R23" s="2">
        <f>('Kwh Reading'!N24-'Kwh Reading'!N23)*1000</f>
        <v>0</v>
      </c>
      <c r="S23" s="31">
        <f>'Kwh Reading'!E24-'Kwh Reading'!E23</f>
        <v>0</v>
      </c>
      <c r="T23" s="31">
        <f>'Kwh Reading'!D24-'Kwh Reading'!D23</f>
        <v>0</v>
      </c>
      <c r="U23" s="26">
        <f>('Kwh Reading'!O24-'Kwh Reading'!O23)*1000</f>
        <v>0</v>
      </c>
      <c r="V23" s="116">
        <f t="shared" si="1"/>
        <v>0</v>
      </c>
    </row>
    <row r="24" spans="1:22" x14ac:dyDescent="0.25">
      <c r="A24" s="3">
        <f>'Kwh Reading'!A24</f>
        <v>44825</v>
      </c>
      <c r="B24" s="25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Reading'!H24)*1000000</f>
        <v>0</v>
      </c>
      <c r="O24" s="2">
        <f>('Kwh Reading'!P25-'Kwh Reading'!P24)*1000000</f>
        <v>0</v>
      </c>
      <c r="P24" s="2">
        <f>('Kwh Reading'!G25-'Kwh Reading'!G24)*1000000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6">
        <f>('Kwh Reading'!O25-'Kwh Reading'!O24)*1000</f>
        <v>0</v>
      </c>
      <c r="V24" s="1">
        <f t="shared" si="1"/>
        <v>0</v>
      </c>
    </row>
    <row r="25" spans="1:22" x14ac:dyDescent="0.25">
      <c r="A25" s="3">
        <f>'Kwh Reading'!A25</f>
        <v>44826</v>
      </c>
      <c r="B25" s="25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Reading'!H25)*1000000</f>
        <v>0</v>
      </c>
      <c r="O25" s="2">
        <f>('Kwh Reading'!P26-'Kwh Reading'!P25)*1000000</f>
        <v>0</v>
      </c>
      <c r="P25" s="2">
        <f>('Kwh Reading'!G26-'Kwh Reading'!G25)*1000000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6">
        <f>('Kwh Reading'!O26-'Kwh Reading'!O25)*1000</f>
        <v>0</v>
      </c>
      <c r="V25" s="1">
        <f t="shared" si="1"/>
        <v>0</v>
      </c>
    </row>
    <row r="26" spans="1:22" x14ac:dyDescent="0.25">
      <c r="A26" s="3">
        <f>'Kwh Reading'!A26</f>
        <v>44827</v>
      </c>
      <c r="B26" s="25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Reading'!H26)*1000000</f>
        <v>0</v>
      </c>
      <c r="O26" s="2">
        <f>('Kwh Reading'!P27-'Kwh Reading'!P26)*1000000</f>
        <v>0</v>
      </c>
      <c r="P26" s="2">
        <f>('Kwh Reading'!G27-'Kwh Reading'!G26)*1000000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6">
        <f>('Kwh Reading'!O27-'Kwh Reading'!O26)*1000</f>
        <v>0</v>
      </c>
      <c r="V26" s="1">
        <f t="shared" si="1"/>
        <v>0</v>
      </c>
    </row>
    <row r="27" spans="1:22" s="120" customFormat="1" x14ac:dyDescent="0.25">
      <c r="A27" s="118">
        <f>'Kwh Reading'!A27</f>
        <v>44828</v>
      </c>
      <c r="B27" s="25">
        <f>TOTAL!E25</f>
        <v>0</v>
      </c>
      <c r="C27" s="119">
        <f>('Kwh Reading'!T28-'Kwh Reading'!T27)*1000</f>
        <v>0</v>
      </c>
      <c r="D27" s="26">
        <f>('Kwh Reading'!F28-'Kwh Reading'!F27)*1000000</f>
        <v>0</v>
      </c>
      <c r="E27" s="26">
        <f>('Kwh Reading'!C28-'Kwh Reading'!C27)*1000</f>
        <v>0</v>
      </c>
      <c r="F27" s="26">
        <f>('Kwh Reading'!J28-'Kwh Reading'!J27)*1000</f>
        <v>0</v>
      </c>
      <c r="G27" s="26">
        <f>('Kwh Reading'!K28-'Kwh Reading'!K27)*1000</f>
        <v>0</v>
      </c>
      <c r="H27" s="26">
        <f>('Kwh Reading'!L28-'Kwh Reading'!L27)*1000</f>
        <v>0</v>
      </c>
      <c r="I27" s="26">
        <f>('Kwh Reading'!R28-'Kwh Reading'!R27)*1000</f>
        <v>0</v>
      </c>
      <c r="J27" s="26">
        <f>('Kwh Reading'!S28-'Kwh Reading'!S27)*1000</f>
        <v>0</v>
      </c>
      <c r="K27" s="26">
        <f>('Kwh Reading'!I28-'Kwh Reading'!I27)*1000</f>
        <v>0</v>
      </c>
      <c r="L27" s="26">
        <f>('Kwh Reading'!B28-'Kwh Reading'!B27)*1000000</f>
        <v>0</v>
      </c>
      <c r="M27" s="26">
        <f>('Kwh Reading'!M28-'Kwh Reading'!M27)*1000</f>
        <v>0</v>
      </c>
      <c r="N27" s="2">
        <f>('Kwh Reading'!H28-'Kwh Reading'!H27)*1000000</f>
        <v>0</v>
      </c>
      <c r="O27" s="2">
        <f>('Kwh Reading'!P28-'Kwh Reading'!P27)*1000000</f>
        <v>0</v>
      </c>
      <c r="P27" s="26">
        <f>('Kwh Reading'!G28-'Kwh Reading'!G27)*1000000</f>
        <v>0</v>
      </c>
      <c r="Q27" s="26">
        <f>('Kwh Reading'!Q28-'Kwh Reading'!Q27)*1000</f>
        <v>0</v>
      </c>
      <c r="R27" s="26">
        <f>('Kwh Reading'!N28-'Kwh Reading'!N27)*1000</f>
        <v>0</v>
      </c>
      <c r="S27" s="26">
        <f>'Kwh Reading'!E28-'Kwh Reading'!E27</f>
        <v>0</v>
      </c>
      <c r="T27" s="26">
        <f>'Kwh Reading'!D28-'Kwh Reading'!D27</f>
        <v>0</v>
      </c>
      <c r="U27" s="26">
        <f>('Kwh Reading'!O28-'Kwh Reading'!O27)*1000</f>
        <v>0</v>
      </c>
      <c r="V27" s="116">
        <f t="shared" si="1"/>
        <v>0</v>
      </c>
    </row>
    <row r="28" spans="1:22" s="120" customFormat="1" x14ac:dyDescent="0.25">
      <c r="A28" s="118">
        <f>'Kwh Reading'!A28</f>
        <v>44829</v>
      </c>
      <c r="B28" s="25">
        <f>TOTAL!E26</f>
        <v>0</v>
      </c>
      <c r="C28" s="119">
        <f>('Kwh Reading'!T29-'Kwh Reading'!T28)*1000</f>
        <v>0</v>
      </c>
      <c r="D28" s="26">
        <f>('Kwh Reading'!F29-'Kwh Reading'!F28)*1000000</f>
        <v>0</v>
      </c>
      <c r="E28" s="26">
        <f>('Kwh Reading'!C29-'Kwh Reading'!C28)*1000</f>
        <v>0</v>
      </c>
      <c r="F28" s="26">
        <f>('Kwh Reading'!J29-'Kwh Reading'!J28)*1000</f>
        <v>0</v>
      </c>
      <c r="G28" s="26">
        <f>('Kwh Reading'!K29-'Kwh Reading'!K28)*1000</f>
        <v>0</v>
      </c>
      <c r="H28" s="26">
        <f>('Kwh Reading'!L29-'Kwh Reading'!L28)*1000</f>
        <v>0</v>
      </c>
      <c r="I28" s="26">
        <f>('Kwh Reading'!R29-'Kwh Reading'!R28)*1000</f>
        <v>0</v>
      </c>
      <c r="J28" s="26">
        <f>('Kwh Reading'!S29-'Kwh Reading'!S28)*1000</f>
        <v>0</v>
      </c>
      <c r="K28" s="26">
        <f>('Kwh Reading'!I29-'Kwh Reading'!I28)*1000</f>
        <v>0</v>
      </c>
      <c r="L28" s="26">
        <f>('Kwh Reading'!B29-'Kwh Reading'!B28)*1000000</f>
        <v>0</v>
      </c>
      <c r="M28" s="26">
        <f>('Kwh Reading'!M29-'Kwh Reading'!M28)*1000</f>
        <v>0</v>
      </c>
      <c r="N28" s="2">
        <f>('Kwh Reading'!H29-'Kwh Reading'!H28)*1000000</f>
        <v>0</v>
      </c>
      <c r="O28" s="2">
        <f>('Kwh Reading'!P29-'Kwh Reading'!P28)*1000000</f>
        <v>0</v>
      </c>
      <c r="P28" s="26">
        <f>('Kwh Reading'!G29-'Kwh Reading'!G28)*1000000</f>
        <v>0</v>
      </c>
      <c r="Q28" s="26">
        <f>('Kwh Reading'!Q29-'Kwh Reading'!Q28)*1000</f>
        <v>0</v>
      </c>
      <c r="R28" s="26">
        <f>('Kwh Reading'!N29-'Kwh Reading'!N28)*1000</f>
        <v>0</v>
      </c>
      <c r="S28" s="26">
        <f>'Kwh Reading'!E29-'Kwh Reading'!E28</f>
        <v>0</v>
      </c>
      <c r="T28" s="26">
        <f>'Kwh Reading'!D29-'Kwh Reading'!D28</f>
        <v>0</v>
      </c>
      <c r="U28" s="26">
        <f>('Kwh Reading'!O29-'Kwh Reading'!O28)*1000</f>
        <v>0</v>
      </c>
      <c r="V28" s="116">
        <f t="shared" si="1"/>
        <v>0</v>
      </c>
    </row>
    <row r="29" spans="1:22" x14ac:dyDescent="0.25">
      <c r="A29" s="3">
        <f>'Kwh Reading'!A29</f>
        <v>44830</v>
      </c>
      <c r="B29" s="25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Reading'!H29)*1000000</f>
        <v>0</v>
      </c>
      <c r="O29" s="2">
        <f>('Kwh Reading'!P30-'Kwh Reading'!P29)*1000000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6">
        <f>('Kwh Reading'!O30-'Kwh Reading'!O29)*1000</f>
        <v>0</v>
      </c>
      <c r="V29" s="1">
        <f t="shared" si="1"/>
        <v>0</v>
      </c>
    </row>
    <row r="30" spans="1:22" x14ac:dyDescent="0.25">
      <c r="A30" s="3">
        <f>'Kwh Reading'!A30</f>
        <v>44831</v>
      </c>
      <c r="B30" s="25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Reading'!H30)*1000000</f>
        <v>0</v>
      </c>
      <c r="O30" s="2">
        <f>('Kwh Reading'!P31-'Kwh Reading'!P30)*1000000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6">
        <f>('Kwh Reading'!O31-'Kwh Reading'!O30)*1000</f>
        <v>0</v>
      </c>
      <c r="V30" s="1">
        <f t="shared" si="1"/>
        <v>0</v>
      </c>
    </row>
    <row r="31" spans="1:22" s="120" customFormat="1" x14ac:dyDescent="0.25">
      <c r="A31" s="118">
        <f>'Kwh Reading'!A31</f>
        <v>44832</v>
      </c>
      <c r="B31" s="25">
        <f>TOTAL!E29</f>
        <v>0</v>
      </c>
      <c r="C31" s="119">
        <f>('Kwh Reading'!T32-'Kwh Reading'!T31)*1000</f>
        <v>0</v>
      </c>
      <c r="D31" s="26">
        <f>('Kwh Reading'!F32-'Kwh Reading'!F31)*1000000</f>
        <v>0</v>
      </c>
      <c r="E31" s="26">
        <f>('Kwh Reading'!C32-'Kwh Reading'!C31)*1000</f>
        <v>0</v>
      </c>
      <c r="F31" s="26">
        <f>('Kwh Reading'!J32-'Kwh Reading'!J31)*1000</f>
        <v>0</v>
      </c>
      <c r="G31" s="26">
        <f>('Kwh Reading'!K32-'Kwh Reading'!K31)*1000</f>
        <v>0</v>
      </c>
      <c r="H31" s="26">
        <f>('Kwh Reading'!L32-'Kwh Reading'!L31)*1000</f>
        <v>0</v>
      </c>
      <c r="I31" s="26">
        <f>('Kwh Reading'!R32-'Kwh Reading'!R31)*1000</f>
        <v>0</v>
      </c>
      <c r="J31" s="26">
        <f>('Kwh Reading'!S32-'Kwh Reading'!S31)*1000</f>
        <v>0</v>
      </c>
      <c r="K31" s="26">
        <f>('Kwh Reading'!I32-'Kwh Reading'!I31)*1000</f>
        <v>0</v>
      </c>
      <c r="L31" s="26">
        <f>('Kwh Reading'!B32-'Kwh Reading'!B31)*1000000</f>
        <v>0</v>
      </c>
      <c r="M31" s="26">
        <f>('Kwh Reading'!M32-'Kwh Reading'!M31)*1000</f>
        <v>0</v>
      </c>
      <c r="N31" s="2">
        <f>('Kwh Reading'!H32-'Kwh Reading'!H31)*1000000</f>
        <v>0</v>
      </c>
      <c r="O31" s="2">
        <f>('Kwh Reading'!P32-'Kwh Reading'!P31)*1000000</f>
        <v>0</v>
      </c>
      <c r="P31" s="26">
        <f>('Kwh Reading'!G32-'Kwh Reading'!G31)*1000000</f>
        <v>0</v>
      </c>
      <c r="Q31" s="26">
        <f>('Kwh Reading'!Q32-'Kwh Reading'!Q31)*1000</f>
        <v>0</v>
      </c>
      <c r="R31" s="26">
        <f>('Kwh Reading'!N32-'Kwh Reading'!N31)*1000</f>
        <v>0</v>
      </c>
      <c r="S31" s="26">
        <f>'Kwh Reading'!E32-'Kwh Reading'!E31</f>
        <v>0</v>
      </c>
      <c r="T31" s="26">
        <f>'Kwh Reading'!D32-'Kwh Reading'!D31</f>
        <v>0</v>
      </c>
      <c r="U31" s="26">
        <f>('Kwh Reading'!O32-'Kwh Reading'!O31)*1000</f>
        <v>0</v>
      </c>
      <c r="V31" s="116">
        <f t="shared" si="1"/>
        <v>0</v>
      </c>
    </row>
    <row r="32" spans="1:22" x14ac:dyDescent="0.25">
      <c r="A32" s="3">
        <f>'Kwh Reading'!A32</f>
        <v>44833</v>
      </c>
      <c r="B32" s="25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Reading'!H32)*1000000</f>
        <v>0</v>
      </c>
      <c r="O32" s="2">
        <f>('Kwh Reading'!P33-'Kwh Reading'!P32)*1000000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6">
        <f>('Kwh Reading'!O33-'Kwh Reading'!O32)*1000</f>
        <v>0</v>
      </c>
      <c r="V32" s="1">
        <f t="shared" si="1"/>
        <v>0</v>
      </c>
    </row>
    <row r="33" spans="1:22" x14ac:dyDescent="0.25">
      <c r="A33" s="3">
        <f>'Kwh Reading'!A33</f>
        <v>44834</v>
      </c>
      <c r="B33" s="25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Reading'!H33)*1000000</f>
        <v>0</v>
      </c>
      <c r="O33" s="2">
        <f>('Kwh Reading'!P34-'Kwh Reading'!P33)*1000000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6">
        <f>('Kwh Reading'!O34-'Kwh Reading'!O33)*1000</f>
        <v>0</v>
      </c>
      <c r="V33" s="1">
        <f t="shared" si="1"/>
        <v>0</v>
      </c>
    </row>
    <row r="34" spans="1:22" x14ac:dyDescent="0.25">
      <c r="A34" s="3">
        <f>'Kwh Reading'!A34</f>
        <v>44835</v>
      </c>
      <c r="B34" s="25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Reading'!H34)*1000000</f>
        <v>0</v>
      </c>
      <c r="O34" s="2">
        <f>('Kwh Reading'!P35-'Kwh Reading'!P34)*1000000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6">
        <f>('Kwh Reading'!O35-'Kwh Reading'!O34)*1000</f>
        <v>0</v>
      </c>
      <c r="V34" s="1">
        <f t="shared" si="1"/>
        <v>0</v>
      </c>
    </row>
    <row r="35" spans="1:22" x14ac:dyDescent="0.25">
      <c r="A35" s="71" t="s">
        <v>51</v>
      </c>
      <c r="B35" s="70">
        <f>SUM(B4:B34)</f>
        <v>171160.00000000099</v>
      </c>
      <c r="C35" s="66">
        <f t="shared" ref="C35" si="2">SUM(C4:C34)</f>
        <v>-627640</v>
      </c>
      <c r="D35" s="66">
        <f t="shared" ref="D35" si="3">SUM(D4:D34)</f>
        <v>-3499200</v>
      </c>
      <c r="E35" s="66">
        <f t="shared" ref="E35" si="4">SUM(E4:E34)</f>
        <v>-336100.00000000006</v>
      </c>
      <c r="F35" s="66">
        <f t="shared" ref="F35" si="5">SUM(F4:F34)</f>
        <v>-511970</v>
      </c>
      <c r="G35" s="66">
        <f t="shared" ref="G35:U35" si="6">SUM(G4:G34)</f>
        <v>-486220</v>
      </c>
      <c r="H35" s="66">
        <f t="shared" si="6"/>
        <v>-333209.99999999994</v>
      </c>
      <c r="I35" s="66">
        <f t="shared" si="6"/>
        <v>-190150</v>
      </c>
      <c r="J35" s="66">
        <f t="shared" si="6"/>
        <v>-173930</v>
      </c>
      <c r="K35" s="66">
        <f t="shared" si="6"/>
        <v>-365280</v>
      </c>
      <c r="L35" s="66">
        <f t="shared" si="6"/>
        <v>-1475600</v>
      </c>
      <c r="M35" s="66">
        <f t="shared" si="6"/>
        <v>-838080.00000000012</v>
      </c>
      <c r="N35" s="66">
        <f t="shared" si="6"/>
        <v>-1035800.0000000001</v>
      </c>
      <c r="O35" s="66">
        <f t="shared" si="6"/>
        <v>-1017400</v>
      </c>
      <c r="P35" s="66">
        <f t="shared" si="6"/>
        <v>-1116200</v>
      </c>
      <c r="Q35" s="66">
        <f t="shared" si="6"/>
        <v>-751730</v>
      </c>
      <c r="R35" s="66">
        <f t="shared" si="6"/>
        <v>-757340</v>
      </c>
      <c r="S35" s="66">
        <f t="shared" si="6"/>
        <v>-9372842.1300000008</v>
      </c>
      <c r="T35" s="66">
        <f t="shared" si="6"/>
        <v>-8354674.3300000001</v>
      </c>
      <c r="U35" s="66">
        <f t="shared" si="6"/>
        <v>-242360</v>
      </c>
      <c r="V35" s="66">
        <f>SUM(V4:V34)</f>
        <v>31656886.460000001</v>
      </c>
    </row>
    <row r="40" spans="1:22" x14ac:dyDescent="0.25">
      <c r="S40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31</v>
      </c>
      <c r="C2" s="32" t="s">
        <v>52</v>
      </c>
      <c r="D2" s="32" t="s">
        <v>53</v>
      </c>
      <c r="E2" s="32" t="s">
        <v>54</v>
      </c>
      <c r="F2" s="32" t="s">
        <v>55</v>
      </c>
      <c r="G2" s="19" t="s">
        <v>56</v>
      </c>
      <c r="H2" s="35" t="s">
        <v>57</v>
      </c>
      <c r="I2" s="22" t="s">
        <v>39</v>
      </c>
      <c r="J2" s="22" t="s">
        <v>58</v>
      </c>
      <c r="K2" s="22" t="s">
        <v>59</v>
      </c>
      <c r="L2" s="35" t="s">
        <v>60</v>
      </c>
    </row>
    <row r="3" spans="1:12" x14ac:dyDescent="0.25">
      <c r="A3" s="14">
        <f>'Kwh Reading'!A4</f>
        <v>44805</v>
      </c>
      <c r="B3" s="74">
        <f>TOTAL!E2</f>
        <v>16579.999999999472</v>
      </c>
      <c r="C3" s="1">
        <f>'Kwh Consumption'!C4</f>
        <v>450.00000000004547</v>
      </c>
      <c r="D3" s="1">
        <f>'Kwh Consumption'!D4</f>
        <v>2399.9999999997358</v>
      </c>
      <c r="E3" s="1">
        <f>'Kwh Consumption'!E4</f>
        <v>289.99999999996362</v>
      </c>
      <c r="F3" s="1">
        <f>('Kwh Consumption'!F4+'Kwh Consumption'!G4+'Kwh Consumption'!H4)</f>
        <v>899.99999999997726</v>
      </c>
      <c r="G3" s="1">
        <f>('Kwh Consumption'!I4+'Kwh Consumption'!J4)</f>
        <v>139.99999999998636</v>
      </c>
      <c r="H3" s="1">
        <f>('Kwh Consumption'!K4+'Kwh Consumption'!L4)</f>
        <v>1139.99999999991</v>
      </c>
      <c r="I3" s="1">
        <f>('Kwh Consumption'!M4+'Kwh Consumption'!N4+'Kwh Consumption'!O4+'Kwh Consumption'!P4+'Kwh Consumption'!Q4+'Kwh Consumption'!R4)</f>
        <v>2829.9999999998086</v>
      </c>
      <c r="J3" s="1">
        <f>('Kwh Consumption'!S4+'Kwh Consumption'!T4)</f>
        <v>3405.9199999980628</v>
      </c>
      <c r="K3" s="1">
        <f>'Kwh Consumption'!U4</f>
        <v>199.99999999998863</v>
      </c>
      <c r="L3" s="29">
        <f t="shared" ref="L3:L33" si="0">B3-C3-D3-E3-F3-G3-H3-I3-J3-K3</f>
        <v>4824.0800000019935</v>
      </c>
    </row>
    <row r="4" spans="1:12" x14ac:dyDescent="0.25">
      <c r="A4" s="14">
        <f>'Kwh Reading'!A5</f>
        <v>44806</v>
      </c>
      <c r="B4" s="74">
        <f>TOTAL!E3</f>
        <v>17580.000000001972</v>
      </c>
      <c r="C4" s="1">
        <f>'Kwh Consumption'!C5</f>
        <v>269.99999999998181</v>
      </c>
      <c r="D4" s="1">
        <f>'Kwh Consumption'!D5</f>
        <v>2500.0000000003906</v>
      </c>
      <c r="E4" s="1">
        <f>'Kwh Consumption'!E5</f>
        <v>250</v>
      </c>
      <c r="F4" s="1">
        <f>('Kwh Consumption'!F5+'Kwh Consumption'!G5+'Kwh Consumption'!H5)</f>
        <v>890.0000000000432</v>
      </c>
      <c r="G4" s="1">
        <f>('Kwh Consumption'!I5+'Kwh Consumption'!J5)</f>
        <v>150.00000000000568</v>
      </c>
      <c r="H4" s="1">
        <f>('Kwh Consumption'!K5+'Kwh Consumption'!L5)</f>
        <v>1310.0000000001141</v>
      </c>
      <c r="I4" s="1">
        <f>('Kwh Consumption'!M5+'Kwh Consumption'!N5+'Kwh Consumption'!O5+'Kwh Consumption'!P5+'Kwh Consumption'!Q5+'Kwh Consumption'!R5)</f>
        <v>3159.9999999997481</v>
      </c>
      <c r="J4" s="1">
        <f>('Kwh Consumption'!S5+'Kwh Consumption'!T5)</f>
        <v>3580.8000000016764</v>
      </c>
      <c r="K4" s="1">
        <f>'Kwh Consumption'!U5</f>
        <v>210.00000000000796</v>
      </c>
      <c r="L4" s="29">
        <f t="shared" si="0"/>
        <v>5259.2000000000035</v>
      </c>
    </row>
    <row r="5" spans="1:12" x14ac:dyDescent="0.25">
      <c r="A5" s="14">
        <f>'Kwh Reading'!A6</f>
        <v>44807</v>
      </c>
      <c r="B5" s="74">
        <f>TOTAL!E4</f>
        <v>17819.99999999789</v>
      </c>
      <c r="C5" s="1">
        <f>'Kwh Consumption'!C6</f>
        <v>480.00000000001819</v>
      </c>
      <c r="D5" s="1">
        <f>'Kwh Consumption'!D6</f>
        <v>2599.9999999997135</v>
      </c>
      <c r="E5" s="1">
        <f>'Kwh Consumption'!E6</f>
        <v>230.00000000001819</v>
      </c>
      <c r="F5" s="1">
        <f>('Kwh Consumption'!F6+'Kwh Consumption'!G6+'Kwh Consumption'!H6)</f>
        <v>799.99999999989768</v>
      </c>
      <c r="G5" s="1">
        <f>('Kwh Consumption'!I6+'Kwh Consumption'!J6)</f>
        <v>169.99999999998749</v>
      </c>
      <c r="H5" s="1">
        <f>('Kwh Consumption'!K6+'Kwh Consumption'!L6)</f>
        <v>1309.9999999998922</v>
      </c>
      <c r="I5" s="1">
        <f>('Kwh Consumption'!M6+'Kwh Consumption'!N6+'Kwh Consumption'!O6+'Kwh Consumption'!P6+'Kwh Consumption'!Q6+'Kwh Consumption'!R6)</f>
        <v>3020.0000000003015</v>
      </c>
      <c r="J5" s="1">
        <f>('Kwh Consumption'!S6+'Kwh Consumption'!T6)</f>
        <v>3875.2399999992922</v>
      </c>
      <c r="K5" s="1">
        <f>'Kwh Consumption'!U6</f>
        <v>199.99999999998863</v>
      </c>
      <c r="L5" s="29">
        <f t="shared" si="0"/>
        <v>5134.7599999987797</v>
      </c>
    </row>
    <row r="6" spans="1:12" x14ac:dyDescent="0.25">
      <c r="A6" s="14">
        <f>'Kwh Reading'!A7</f>
        <v>44808</v>
      </c>
      <c r="B6" s="74">
        <f>TOTAL!E5</f>
        <v>15660.000000002583</v>
      </c>
      <c r="C6" s="1">
        <f>'Kwh Consumption'!C7</f>
        <v>439.99999999994088</v>
      </c>
      <c r="D6" s="1">
        <f>'Kwh Consumption'!D7</f>
        <v>2600.0000000001578</v>
      </c>
      <c r="E6" s="1">
        <f>'Kwh Consumption'!E7</f>
        <v>290.00000000002046</v>
      </c>
      <c r="F6" s="1">
        <f>('Kwh Consumption'!F7+'Kwh Consumption'!G7+'Kwh Consumption'!H7)</f>
        <v>1170.0000000000159</v>
      </c>
      <c r="G6" s="1">
        <f>('Kwh Consumption'!I7+'Kwh Consumption'!J7)</f>
        <v>150.00000000000568</v>
      </c>
      <c r="H6" s="1">
        <f>('Kwh Consumption'!K7+'Kwh Consumption'!L7)</f>
        <v>1150.0000000001228</v>
      </c>
      <c r="I6" s="1">
        <f>('Kwh Consumption'!M7+'Kwh Consumption'!N7+'Kwh Consumption'!O7+'Kwh Consumption'!P7+'Kwh Consumption'!Q7+'Kwh Consumption'!R7)</f>
        <v>2659.9999999999295</v>
      </c>
      <c r="J6" s="1">
        <f>('Kwh Consumption'!S7+'Kwh Consumption'!T7)</f>
        <v>3245.9899999992922</v>
      </c>
      <c r="K6" s="1">
        <f>'Kwh Consumption'!U7</f>
        <v>219.99999999999886</v>
      </c>
      <c r="L6" s="29">
        <f t="shared" si="0"/>
        <v>3734.010000003097</v>
      </c>
    </row>
    <row r="7" spans="1:12" x14ac:dyDescent="0.25">
      <c r="A7" s="14">
        <f>'Kwh Reading'!A8</f>
        <v>44809</v>
      </c>
      <c r="B7" s="74">
        <f>TOTAL!E6</f>
        <v>16029.999999999518</v>
      </c>
      <c r="C7" s="1">
        <f>'Kwh Consumption'!C8</f>
        <v>440.00000000005457</v>
      </c>
      <c r="D7" s="1">
        <f>'Kwh Consumption'!D8</f>
        <v>2099.9999999999909</v>
      </c>
      <c r="E7" s="1">
        <f>'Kwh Consumption'!E8</f>
        <v>229.99999999996135</v>
      </c>
      <c r="F7" s="1">
        <f>('Kwh Consumption'!F8+'Kwh Consumption'!G8+'Kwh Consumption'!H8)</f>
        <v>710.00000000003638</v>
      </c>
      <c r="G7" s="1">
        <f>('Kwh Consumption'!I8+'Kwh Consumption'!J8)</f>
        <v>140.00000000001478</v>
      </c>
      <c r="H7" s="1">
        <f>('Kwh Consumption'!K8+'Kwh Consumption'!L8)</f>
        <v>1019.9999999999392</v>
      </c>
      <c r="I7" s="1">
        <f>('Kwh Consumption'!M8+'Kwh Consumption'!N8+'Kwh Consumption'!O8+'Kwh Consumption'!P8+'Kwh Consumption'!Q8+'Kwh Consumption'!R8)</f>
        <v>2499.9999999998013</v>
      </c>
      <c r="J7" s="1">
        <f>('Kwh Consumption'!S8+'Kwh Consumption'!T8)</f>
        <v>2822.6500000003725</v>
      </c>
      <c r="K7" s="1">
        <f>'Kwh Consumption'!U8</f>
        <v>150.00000000000568</v>
      </c>
      <c r="L7" s="29">
        <f t="shared" si="0"/>
        <v>5917.3499999993401</v>
      </c>
    </row>
    <row r="8" spans="1:12" x14ac:dyDescent="0.25">
      <c r="A8" s="14">
        <f>'Kwh Reading'!A9</f>
        <v>44810</v>
      </c>
      <c r="B8" s="74">
        <f>TOTAL!E7</f>
        <v>15969.9999999998</v>
      </c>
      <c r="C8" s="1">
        <f>'Kwh Consumption'!C9</f>
        <v>439.99999999994088</v>
      </c>
      <c r="D8" s="1">
        <f>'Kwh Consumption'!D9</f>
        <v>2499.9999999999468</v>
      </c>
      <c r="E8" s="1">
        <f>'Kwh Consumption'!E9</f>
        <v>270.00000000003865</v>
      </c>
      <c r="F8" s="1">
        <f>('Kwh Consumption'!F9+'Kwh Consumption'!G9+'Kwh Consumption'!H9)</f>
        <v>769.99999999998181</v>
      </c>
      <c r="G8" s="1">
        <f>('Kwh Consumption'!I9+'Kwh Consumption'!J9)</f>
        <v>139.99999999998636</v>
      </c>
      <c r="H8" s="1">
        <f>('Kwh Consumption'!K9+'Kwh Consumption'!L9)</f>
        <v>1280.0000000000846</v>
      </c>
      <c r="I8" s="1">
        <f>('Kwh Consumption'!M9+'Kwh Consumption'!N9+'Kwh Consumption'!O9+'Kwh Consumption'!P9+'Kwh Consumption'!Q9+'Kwh Consumption'!R9)</f>
        <v>2719.9999999997949</v>
      </c>
      <c r="J8" s="1">
        <f>('Kwh Consumption'!S9+'Kwh Consumption'!T9)</f>
        <v>3062.5100000007078</v>
      </c>
      <c r="K8" s="1">
        <f>'Kwh Consumption'!U9</f>
        <v>150.00000000000568</v>
      </c>
      <c r="L8" s="29">
        <f t="shared" si="0"/>
        <v>4637.489999999314</v>
      </c>
    </row>
    <row r="9" spans="1:12" x14ac:dyDescent="0.25">
      <c r="A9" s="14">
        <f>'Kwh Reading'!A10</f>
        <v>44811</v>
      </c>
      <c r="B9" s="74">
        <f>TOTAL!E8</f>
        <v>17849.999999998545</v>
      </c>
      <c r="C9" s="1">
        <f>'Kwh Consumption'!C10</f>
        <v>500</v>
      </c>
      <c r="D9" s="1">
        <f>'Kwh Consumption'!D10</f>
        <v>2199.9999999997576</v>
      </c>
      <c r="E9" s="1">
        <f>'Kwh Consumption'!E10</f>
        <v>250</v>
      </c>
      <c r="F9" s="1">
        <f>('Kwh Consumption'!F10+'Kwh Consumption'!G10+'Kwh Consumption'!H10)</f>
        <v>760.00000000004775</v>
      </c>
      <c r="G9" s="1">
        <f>('Kwh Consumption'!I10+'Kwh Consumption'!J10)</f>
        <v>140.00000000001478</v>
      </c>
      <c r="H9" s="1">
        <f>('Kwh Consumption'!K10+'Kwh Consumption'!L10)</f>
        <v>1189.9999999999213</v>
      </c>
      <c r="I9" s="1">
        <f>('Kwh Consumption'!M10+'Kwh Consumption'!N10+'Kwh Consumption'!O10+'Kwh Consumption'!P10+'Kwh Consumption'!Q10+'Kwh Consumption'!R10)</f>
        <v>3040.000000000477</v>
      </c>
      <c r="J9" s="1">
        <f>('Kwh Consumption'!S10+'Kwh Consumption'!T10)</f>
        <v>3668.2999999988824</v>
      </c>
      <c r="K9" s="1">
        <f>'Kwh Consumption'!U10</f>
        <v>199.99999999998863</v>
      </c>
      <c r="L9" s="29">
        <f t="shared" si="0"/>
        <v>5901.699999999455</v>
      </c>
    </row>
    <row r="10" spans="1:12" x14ac:dyDescent="0.25">
      <c r="A10" s="14">
        <f>'Kwh Reading'!A11</f>
        <v>44812</v>
      </c>
      <c r="B10" s="74">
        <f>TOTAL!E9</f>
        <v>17320.000000000393</v>
      </c>
      <c r="C10" s="1">
        <f>'Kwh Consumption'!C11</f>
        <v>480.00000000001819</v>
      </c>
      <c r="D10" s="1">
        <f>'Kwh Consumption'!D11</f>
        <v>300.000000000189</v>
      </c>
      <c r="E10" s="1">
        <f>'Kwh Consumption'!E11</f>
        <v>250</v>
      </c>
      <c r="F10" s="1">
        <f>('Kwh Consumption'!F11+'Kwh Consumption'!G11+'Kwh Consumption'!H11)</f>
        <v>979.99999999996135</v>
      </c>
      <c r="G10" s="1">
        <f>('Kwh Consumption'!I11+'Kwh Consumption'!J11)</f>
        <v>159.99999999999659</v>
      </c>
      <c r="H10" s="1">
        <f>('Kwh Consumption'!K11+'Kwh Consumption'!L11)</f>
        <v>1520.000000000083</v>
      </c>
      <c r="I10" s="1">
        <f>('Kwh Consumption'!M11+'Kwh Consumption'!N11+'Kwh Consumption'!O11+'Kwh Consumption'!P11+'Kwh Consumption'!Q11+'Kwh Consumption'!R11)</f>
        <v>3379.9999999998554</v>
      </c>
      <c r="J10" s="1">
        <f>('Kwh Consumption'!S11+'Kwh Consumption'!T11)</f>
        <v>4491.4600000018254</v>
      </c>
      <c r="K10" s="1">
        <f>'Kwh Consumption'!U11</f>
        <v>199.99999999998863</v>
      </c>
      <c r="L10" s="29">
        <f t="shared" si="0"/>
        <v>5558.5399999984729</v>
      </c>
    </row>
    <row r="11" spans="1:12" x14ac:dyDescent="0.25">
      <c r="A11" s="14">
        <f>'Kwh Reading'!A12</f>
        <v>44813</v>
      </c>
      <c r="B11" s="74">
        <f>TOTAL!E10</f>
        <v>17710.000000001401</v>
      </c>
      <c r="C11" s="1">
        <f>'Kwh Consumption'!C12</f>
        <v>320.00000000005002</v>
      </c>
      <c r="D11" s="1">
        <f>'Kwh Consumption'!D12</f>
        <v>0</v>
      </c>
      <c r="E11" s="1">
        <f>'Kwh Consumption'!E12</f>
        <v>229.99999999996135</v>
      </c>
      <c r="F11" s="1">
        <f>('Kwh Consumption'!F12+'Kwh Consumption'!G12+'Kwh Consumption'!H12)</f>
        <v>610.00000000001364</v>
      </c>
      <c r="G11" s="1">
        <f>('Kwh Consumption'!I12+'Kwh Consumption'!J12)</f>
        <v>129.99999999999545</v>
      </c>
      <c r="H11" s="1">
        <f>('Kwh Consumption'!K12+'Kwh Consumption'!L12)</f>
        <v>1069.9999999998936</v>
      </c>
      <c r="I11" s="1">
        <f>('Kwh Consumption'!M12+'Kwh Consumption'!N12+'Kwh Consumption'!O12+'Kwh Consumption'!P12+'Kwh Consumption'!Q12+'Kwh Consumption'!R12)</f>
        <v>2539.9999999997649</v>
      </c>
      <c r="J11" s="1">
        <f>('Kwh Consumption'!S12+'Kwh Consumption'!T12)</f>
        <v>3539.5499999988824</v>
      </c>
      <c r="K11" s="1">
        <f>'Kwh Consumption'!U12</f>
        <v>170.00000000001592</v>
      </c>
      <c r="L11" s="29">
        <f t="shared" si="0"/>
        <v>9100.4500000028202</v>
      </c>
    </row>
    <row r="12" spans="1:12" x14ac:dyDescent="0.25">
      <c r="A12" s="14">
        <f>'Kwh Reading'!A13</f>
        <v>44814</v>
      </c>
      <c r="B12" s="74">
        <f>TOTAL!E11</f>
        <v>18639.999999999418</v>
      </c>
      <c r="C12" s="1">
        <f>'Kwh Consumption'!C13</f>
        <v>469.9999999999136</v>
      </c>
      <c r="D12" s="1">
        <f>'Kwh Consumption'!D13</f>
        <v>0</v>
      </c>
      <c r="E12" s="1">
        <f>'Kwh Consumption'!E13</f>
        <v>250</v>
      </c>
      <c r="F12" s="1">
        <f>('Kwh Consumption'!F13+'Kwh Consumption'!G13+'Kwh Consumption'!H13)</f>
        <v>1010.0000000000477</v>
      </c>
      <c r="G12" s="1">
        <f>('Kwh Consumption'!I13+'Kwh Consumption'!J13)</f>
        <v>150.00000000000568</v>
      </c>
      <c r="H12" s="1">
        <f>('Kwh Consumption'!K13+'Kwh Consumption'!L13)</f>
        <v>1410.0000000001032</v>
      </c>
      <c r="I12" s="1">
        <f>('Kwh Consumption'!M13+'Kwh Consumption'!N13+'Kwh Consumption'!O13+'Kwh Consumption'!P13+'Kwh Consumption'!Q13+'Kwh Consumption'!R13)</f>
        <v>3190.000000000467</v>
      </c>
      <c r="J12" s="1">
        <f>('Kwh Consumption'!S13+'Kwh Consumption'!T13)</f>
        <v>4164.230000000447</v>
      </c>
      <c r="K12" s="1">
        <f>'Kwh Consumption'!U13</f>
        <v>219.99999999999886</v>
      </c>
      <c r="L12" s="29">
        <f t="shared" si="0"/>
        <v>7775.7699999984334</v>
      </c>
    </row>
    <row r="13" spans="1:12" x14ac:dyDescent="0.25">
      <c r="A13" s="14">
        <f>'Kwh Reading'!A14</f>
        <v>44815</v>
      </c>
      <c r="B13" s="74">
        <f>TOTAL!E12</f>
        <v>0</v>
      </c>
      <c r="C13" s="1">
        <f>'Kwh Consumption'!C14</f>
        <v>-631930</v>
      </c>
      <c r="D13" s="1">
        <f>'Kwh Consumption'!D14</f>
        <v>-3516400</v>
      </c>
      <c r="E13" s="1">
        <f>'Kwh Consumption'!E14</f>
        <v>-338640</v>
      </c>
      <c r="F13" s="1">
        <f>('Kwh Consumption'!F14+'Kwh Consumption'!G14+'Kwh Consumption'!H14)</f>
        <v>-1340000</v>
      </c>
      <c r="G13" s="1">
        <f>('Kwh Consumption'!I14+'Kwh Consumption'!J14)</f>
        <v>-365550</v>
      </c>
      <c r="H13" s="1">
        <f>('Kwh Consumption'!K14+'Kwh Consumption'!L14)</f>
        <v>-1853280</v>
      </c>
      <c r="I13" s="1">
        <f>('Kwh Consumption'!M14+'Kwh Consumption'!N14+'Kwh Consumption'!O14+'Kwh Consumption'!P14+'Kwh Consumption'!Q14+'Kwh Consumption'!R14)</f>
        <v>-5545590</v>
      </c>
      <c r="J13" s="1">
        <f>('Kwh Consumption'!S14+'Kwh Consumption'!T14)</f>
        <v>-17763373.109999999</v>
      </c>
      <c r="K13" s="1">
        <f>'Kwh Consumption'!U14</f>
        <v>-244280</v>
      </c>
      <c r="L13" s="29">
        <f t="shared" si="0"/>
        <v>31599043.109999999</v>
      </c>
    </row>
    <row r="14" spans="1:12" x14ac:dyDescent="0.25">
      <c r="A14" s="14">
        <f>'Kwh Reading'!A15</f>
        <v>44816</v>
      </c>
      <c r="B14" s="74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29">
        <f t="shared" si="0"/>
        <v>0</v>
      </c>
    </row>
    <row r="15" spans="1:12" x14ac:dyDescent="0.25">
      <c r="A15" s="14">
        <f>'Kwh Reading'!A16</f>
        <v>44817</v>
      </c>
      <c r="B15" s="74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29">
        <f t="shared" si="0"/>
        <v>0</v>
      </c>
    </row>
    <row r="16" spans="1:12" x14ac:dyDescent="0.25">
      <c r="A16" s="14">
        <f>'Kwh Reading'!A17</f>
        <v>44818</v>
      </c>
      <c r="B16" s="74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29">
        <f t="shared" si="0"/>
        <v>0</v>
      </c>
    </row>
    <row r="17" spans="1:12" x14ac:dyDescent="0.25">
      <c r="A17" s="14">
        <f>'Kwh Reading'!A18</f>
        <v>44819</v>
      </c>
      <c r="B17" s="74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1">
        <f>'Kwh Consumption'!U18</f>
        <v>0</v>
      </c>
      <c r="L17" s="29">
        <f t="shared" si="0"/>
        <v>0</v>
      </c>
    </row>
    <row r="18" spans="1:12" x14ac:dyDescent="0.25">
      <c r="A18" s="14">
        <f>'Kwh Reading'!A19</f>
        <v>44820</v>
      </c>
      <c r="B18" s="74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1">
        <f>'Kwh Consumption'!U19</f>
        <v>0</v>
      </c>
      <c r="L18" s="29">
        <f t="shared" si="0"/>
        <v>0</v>
      </c>
    </row>
    <row r="19" spans="1:12" x14ac:dyDescent="0.25">
      <c r="A19" s="14">
        <f>'Kwh Reading'!A20</f>
        <v>44821</v>
      </c>
      <c r="B19" s="74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29">
        <f t="shared" si="0"/>
        <v>0</v>
      </c>
    </row>
    <row r="20" spans="1:12" x14ac:dyDescent="0.25">
      <c r="A20" s="14">
        <f>'Kwh Reading'!A21</f>
        <v>44822</v>
      </c>
      <c r="B20" s="74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29">
        <f t="shared" si="0"/>
        <v>0</v>
      </c>
    </row>
    <row r="21" spans="1:12" x14ac:dyDescent="0.25">
      <c r="A21" s="14">
        <f>'Kwh Reading'!A22</f>
        <v>44823</v>
      </c>
      <c r="B21" s="74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29">
        <f t="shared" si="0"/>
        <v>0</v>
      </c>
    </row>
    <row r="22" spans="1:12" x14ac:dyDescent="0.25">
      <c r="A22" s="14">
        <f>'Kwh Reading'!A23</f>
        <v>44824</v>
      </c>
      <c r="B22" s="74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29">
        <f t="shared" si="0"/>
        <v>0</v>
      </c>
    </row>
    <row r="23" spans="1:12" x14ac:dyDescent="0.25">
      <c r="A23" s="14">
        <f>'Kwh Reading'!A24</f>
        <v>44825</v>
      </c>
      <c r="B23" s="74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29">
        <f t="shared" si="0"/>
        <v>0</v>
      </c>
    </row>
    <row r="24" spans="1:12" x14ac:dyDescent="0.25">
      <c r="A24" s="14">
        <f>'Kwh Reading'!A25</f>
        <v>44826</v>
      </c>
      <c r="B24" s="74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29">
        <f t="shared" si="0"/>
        <v>0</v>
      </c>
    </row>
    <row r="25" spans="1:12" x14ac:dyDescent="0.25">
      <c r="A25" s="14">
        <f>'Kwh Reading'!A26</f>
        <v>44827</v>
      </c>
      <c r="B25" s="74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29">
        <f t="shared" si="0"/>
        <v>0</v>
      </c>
    </row>
    <row r="26" spans="1:12" x14ac:dyDescent="0.25">
      <c r="A26" s="14">
        <f>'Kwh Reading'!A27</f>
        <v>44828</v>
      </c>
      <c r="B26" s="74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29">
        <f t="shared" si="0"/>
        <v>0</v>
      </c>
    </row>
    <row r="27" spans="1:12" x14ac:dyDescent="0.25">
      <c r="A27" s="14">
        <f>'Kwh Reading'!A28</f>
        <v>44829</v>
      </c>
      <c r="B27" s="74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29">
        <f t="shared" si="0"/>
        <v>0</v>
      </c>
    </row>
    <row r="28" spans="1:12" x14ac:dyDescent="0.25">
      <c r="A28" s="14">
        <f>'Kwh Reading'!A29</f>
        <v>44830</v>
      </c>
      <c r="B28" s="74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29">
        <f t="shared" si="0"/>
        <v>0</v>
      </c>
    </row>
    <row r="29" spans="1:12" x14ac:dyDescent="0.25">
      <c r="A29" s="14">
        <f>'Kwh Reading'!A30</f>
        <v>44831</v>
      </c>
      <c r="B29" s="74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29">
        <f t="shared" si="0"/>
        <v>0</v>
      </c>
    </row>
    <row r="30" spans="1:12" x14ac:dyDescent="0.25">
      <c r="A30" s="14">
        <f>'Kwh Reading'!A31</f>
        <v>44832</v>
      </c>
      <c r="B30" s="74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29">
        <f t="shared" si="0"/>
        <v>0</v>
      </c>
    </row>
    <row r="31" spans="1:12" x14ac:dyDescent="0.25">
      <c r="A31" s="14">
        <f>'Kwh Reading'!A32</f>
        <v>44833</v>
      </c>
      <c r="B31" s="74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29">
        <f t="shared" si="0"/>
        <v>0</v>
      </c>
    </row>
    <row r="32" spans="1:12" x14ac:dyDescent="0.25">
      <c r="A32" s="14">
        <f>'Kwh Reading'!A33</f>
        <v>44834</v>
      </c>
      <c r="B32" s="74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29">
        <f t="shared" si="0"/>
        <v>0</v>
      </c>
    </row>
    <row r="33" spans="1:13" x14ac:dyDescent="0.25">
      <c r="A33" s="14">
        <f>'Kwh Reading'!A34</f>
        <v>44835</v>
      </c>
      <c r="B33" s="74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29">
        <f t="shared" si="0"/>
        <v>0</v>
      </c>
    </row>
    <row r="34" spans="1:13" ht="15.75" x14ac:dyDescent="0.25">
      <c r="A34" s="76" t="s">
        <v>119</v>
      </c>
      <c r="B34" s="66">
        <f>SUM(B3:B33)</f>
        <v>171160.00000000099</v>
      </c>
      <c r="C34" s="66">
        <f>SUM(C3:C33)</f>
        <v>-627640</v>
      </c>
      <c r="D34" s="66">
        <f t="shared" ref="D34:L34" si="1">SUM(D3:D33)</f>
        <v>-3499200</v>
      </c>
      <c r="E34" s="66">
        <f t="shared" si="1"/>
        <v>-336100.00000000006</v>
      </c>
      <c r="F34" s="66">
        <f t="shared" si="1"/>
        <v>-1331400</v>
      </c>
      <c r="G34" s="66">
        <f t="shared" si="1"/>
        <v>-364080</v>
      </c>
      <c r="H34" s="66">
        <f t="shared" si="1"/>
        <v>-1840880</v>
      </c>
      <c r="I34" s="66">
        <f t="shared" si="1"/>
        <v>-5516550</v>
      </c>
      <c r="J34" s="66">
        <f t="shared" si="1"/>
        <v>-17727516.460000001</v>
      </c>
      <c r="K34" s="66">
        <f t="shared" si="1"/>
        <v>-242360</v>
      </c>
      <c r="L34" s="66">
        <f t="shared" si="1"/>
        <v>31656886.460000001</v>
      </c>
      <c r="M34" s="75">
        <f>C34+D34+E34+F34+G34+H34+I34+J34+K34+L34</f>
        <v>171160</v>
      </c>
    </row>
    <row r="36" spans="1:13" ht="15.75" x14ac:dyDescent="0.25">
      <c r="A36" s="76" t="s">
        <v>62</v>
      </c>
      <c r="B36" s="112">
        <f>TOTAL!F2</f>
        <v>0</v>
      </c>
      <c r="C36" s="66">
        <f>C34*B36</f>
        <v>0</v>
      </c>
      <c r="D36" s="66">
        <f>D34*B36</f>
        <v>0</v>
      </c>
      <c r="E36" s="66">
        <f>E34*B36</f>
        <v>0</v>
      </c>
      <c r="F36" s="66">
        <f>F34*B36</f>
        <v>0</v>
      </c>
      <c r="G36" s="66">
        <f>G34*B36</f>
        <v>0</v>
      </c>
      <c r="H36" s="66">
        <f>H34*B36</f>
        <v>0</v>
      </c>
      <c r="I36" s="66">
        <f>I34*B36</f>
        <v>0</v>
      </c>
      <c r="J36" s="66">
        <f>J34*B36</f>
        <v>0</v>
      </c>
      <c r="K36" s="66">
        <f>K34*B36</f>
        <v>0</v>
      </c>
      <c r="L36" s="66">
        <f>L34*B36</f>
        <v>0</v>
      </c>
      <c r="M36" s="75">
        <f>C36+D36+E36+F36+G36+H36+I36+J36+K36+L36</f>
        <v>0</v>
      </c>
    </row>
    <row r="37" spans="1:13" x14ac:dyDescent="0.25">
      <c r="J37" s="73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3" sqref="E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4" t="s">
        <v>61</v>
      </c>
      <c r="C2" s="33" t="s">
        <v>62</v>
      </c>
      <c r="D2" s="32" t="s">
        <v>63</v>
      </c>
      <c r="E2" s="32" t="s">
        <v>64</v>
      </c>
      <c r="F2" s="33" t="s">
        <v>65</v>
      </c>
      <c r="G2" s="32" t="s">
        <v>66</v>
      </c>
      <c r="H2" s="19" t="s">
        <v>67</v>
      </c>
      <c r="I2" s="20" t="s">
        <v>68</v>
      </c>
      <c r="J2" s="21" t="s">
        <v>69</v>
      </c>
      <c r="K2" s="22" t="s">
        <v>70</v>
      </c>
      <c r="L2" s="24" t="s">
        <v>71</v>
      </c>
      <c r="M2" s="24" t="s">
        <v>72</v>
      </c>
    </row>
    <row r="3" spans="1:13" x14ac:dyDescent="0.25">
      <c r="A3" s="14">
        <f>'Kwh Reading'!A4</f>
        <v>44805</v>
      </c>
      <c r="B3" s="11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29">
        <f>('Kwh Consumption'!S4+'Kwh Consumption'!T4)*' Kwh area wise $ '!B3</f>
        <v>0</v>
      </c>
      <c r="L3" s="1">
        <f>'Kwh Consumption'!U4*' Kwh area wise $ '!B3</f>
        <v>0</v>
      </c>
      <c r="M3" s="29">
        <f>'Kwh Consumption'!V4*' Kwh area wise $ '!B3</f>
        <v>0</v>
      </c>
    </row>
    <row r="4" spans="1:13" x14ac:dyDescent="0.25">
      <c r="A4" s="14">
        <f>'Kwh Reading'!A5</f>
        <v>44806</v>
      </c>
      <c r="B4" s="11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29">
        <f>('Kwh Consumption'!S5+'Kwh Consumption'!T5)*' Kwh area wise $ '!B4</f>
        <v>0</v>
      </c>
      <c r="L4" s="1">
        <f>'Kwh Consumption'!U5*' Kwh area wise $ '!B4</f>
        <v>0</v>
      </c>
      <c r="M4" s="29">
        <f>'Kwh Consumption'!V5*' Kwh area wise $ '!B4</f>
        <v>0</v>
      </c>
    </row>
    <row r="5" spans="1:13" x14ac:dyDescent="0.25">
      <c r="A5" s="14">
        <f>'Kwh Reading'!A6</f>
        <v>44807</v>
      </c>
      <c r="B5" s="11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29">
        <f>('Kwh Consumption'!S6+'Kwh Consumption'!T6)*' Kwh area wise $ '!B5</f>
        <v>0</v>
      </c>
      <c r="L5" s="1">
        <f>'Kwh Consumption'!U6*' Kwh area wise $ '!B5</f>
        <v>0</v>
      </c>
      <c r="M5" s="29">
        <f>'Kwh Consumption'!V6*' Kwh area wise $ '!B5</f>
        <v>0</v>
      </c>
    </row>
    <row r="6" spans="1:13" x14ac:dyDescent="0.25">
      <c r="A6" s="14">
        <f>'Kwh Reading'!A7</f>
        <v>44808</v>
      </c>
      <c r="B6" s="11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29">
        <f>('Kwh Consumption'!S7+'Kwh Consumption'!T7)*' Kwh area wise $ '!B6</f>
        <v>0</v>
      </c>
      <c r="L6" s="1">
        <f>'Kwh Consumption'!U7*' Kwh area wise $ '!B6</f>
        <v>0</v>
      </c>
      <c r="M6" s="29">
        <f>'Kwh Consumption'!V7*' Kwh area wise $ '!B6</f>
        <v>0</v>
      </c>
    </row>
    <row r="7" spans="1:13" x14ac:dyDescent="0.25">
      <c r="A7" s="14">
        <f>'Kwh Reading'!A8</f>
        <v>44809</v>
      </c>
      <c r="B7" s="11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29">
        <f>('Kwh Consumption'!S8+'Kwh Consumption'!T8)*' Kwh area wise $ '!B7</f>
        <v>0</v>
      </c>
      <c r="L7" s="1">
        <f>'Kwh Consumption'!U8*' Kwh area wise $ '!B7</f>
        <v>0</v>
      </c>
      <c r="M7" s="29">
        <f>'Kwh Consumption'!V8*' Kwh area wise $ '!B7</f>
        <v>0</v>
      </c>
    </row>
    <row r="8" spans="1:13" x14ac:dyDescent="0.25">
      <c r="A8" s="14">
        <f>'Kwh Reading'!A9</f>
        <v>44810</v>
      </c>
      <c r="B8" s="11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29">
        <f>('Kwh Consumption'!S9+'Kwh Consumption'!T9)*' Kwh area wise $ '!B8</f>
        <v>0</v>
      </c>
      <c r="L8" s="1">
        <f>'Kwh Consumption'!U9*' Kwh area wise $ '!B8</f>
        <v>0</v>
      </c>
      <c r="M8" s="29">
        <f>'Kwh Consumption'!V9*' Kwh area wise $ '!B8</f>
        <v>0</v>
      </c>
    </row>
    <row r="9" spans="1:13" x14ac:dyDescent="0.25">
      <c r="A9" s="14">
        <f>'Kwh Reading'!A10</f>
        <v>44811</v>
      </c>
      <c r="B9" s="11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29">
        <f>('Kwh Consumption'!S10+'Kwh Consumption'!T10)*' Kwh area wise $ '!B9</f>
        <v>0</v>
      </c>
      <c r="L9" s="1">
        <f>'Kwh Consumption'!U10*' Kwh area wise $ '!B9</f>
        <v>0</v>
      </c>
      <c r="M9" s="29">
        <f>'Kwh Consumption'!V10*' Kwh area wise $ '!B9</f>
        <v>0</v>
      </c>
    </row>
    <row r="10" spans="1:13" x14ac:dyDescent="0.25">
      <c r="A10" s="14">
        <f>'Kwh Reading'!A11</f>
        <v>44812</v>
      </c>
      <c r="B10" s="11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29">
        <f>('Kwh Consumption'!S11+'Kwh Consumption'!T11)*' Kwh area wise $ '!B10</f>
        <v>0</v>
      </c>
      <c r="L10" s="1">
        <f>'Kwh Consumption'!U11*' Kwh area wise $ '!B10</f>
        <v>0</v>
      </c>
      <c r="M10" s="29">
        <f>'Kwh Consumption'!V11*' Kwh area wise $ '!B10</f>
        <v>0</v>
      </c>
    </row>
    <row r="11" spans="1:13" x14ac:dyDescent="0.25">
      <c r="A11" s="14">
        <f>'Kwh Reading'!A12</f>
        <v>44813</v>
      </c>
      <c r="B11" s="11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29">
        <f>('Kwh Consumption'!S12+'Kwh Consumption'!T12)*' Kwh area wise $ '!B11</f>
        <v>0</v>
      </c>
      <c r="L11" s="1">
        <f>'Kwh Consumption'!U12*' Kwh area wise $ '!B11</f>
        <v>0</v>
      </c>
      <c r="M11" s="29">
        <f>'Kwh Consumption'!V12*' Kwh area wise $ '!B11</f>
        <v>0</v>
      </c>
    </row>
    <row r="12" spans="1:13" x14ac:dyDescent="0.25">
      <c r="A12" s="14">
        <f>'Kwh Reading'!A13</f>
        <v>44814</v>
      </c>
      <c r="B12" s="11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29">
        <f>('Kwh Consumption'!S13+'Kwh Consumption'!T13)*' Kwh area wise $ '!B12</f>
        <v>0</v>
      </c>
      <c r="L12" s="1">
        <f>'Kwh Consumption'!U13*' Kwh area wise $ '!B12</f>
        <v>0</v>
      </c>
      <c r="M12" s="29">
        <f>'Kwh Consumption'!V13*' Kwh area wise $ '!B12</f>
        <v>0</v>
      </c>
    </row>
    <row r="13" spans="1:13" x14ac:dyDescent="0.25">
      <c r="A13" s="14">
        <f>'Kwh Reading'!A14</f>
        <v>44815</v>
      </c>
      <c r="B13" s="11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29">
        <f>('Kwh Consumption'!S14+'Kwh Consumption'!T14)*' Kwh area wise $ '!B13</f>
        <v>0</v>
      </c>
      <c r="L13" s="1">
        <f>'Kwh Consumption'!U14*' Kwh area wise $ '!B13</f>
        <v>0</v>
      </c>
      <c r="M13" s="29">
        <f>'Kwh Consumption'!V14*' Kwh area wise $ '!B13</f>
        <v>0</v>
      </c>
    </row>
    <row r="14" spans="1:13" x14ac:dyDescent="0.25">
      <c r="A14" s="14">
        <f>'Kwh Reading'!A15</f>
        <v>44816</v>
      </c>
      <c r="B14" s="11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29">
        <f>('Kwh Consumption'!S15+'Kwh Consumption'!T15)*' Kwh area wise $ '!B14</f>
        <v>0</v>
      </c>
      <c r="L14" s="1">
        <f>'Kwh Consumption'!U15*' Kwh area wise $ '!B14</f>
        <v>0</v>
      </c>
      <c r="M14" s="29">
        <f>'Kwh Consumption'!V15*' Kwh area wise $ '!B14</f>
        <v>0</v>
      </c>
    </row>
    <row r="15" spans="1:13" x14ac:dyDescent="0.25">
      <c r="A15" s="14">
        <f>'Kwh Reading'!A16</f>
        <v>44817</v>
      </c>
      <c r="B15" s="11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29">
        <f>('Kwh Consumption'!S16+'Kwh Consumption'!T16)*' Kwh area wise $ '!B15</f>
        <v>0</v>
      </c>
      <c r="L15" s="1">
        <f>'Kwh Consumption'!U16*' Kwh area wise $ '!B15</f>
        <v>0</v>
      </c>
      <c r="M15" s="29">
        <f>'Kwh Consumption'!V16*' Kwh area wise $ '!B15</f>
        <v>0</v>
      </c>
    </row>
    <row r="16" spans="1:13" x14ac:dyDescent="0.25">
      <c r="A16" s="14">
        <f>'Kwh Reading'!A17</f>
        <v>44818</v>
      </c>
      <c r="B16" s="11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29">
        <f>('Kwh Consumption'!S17+'Kwh Consumption'!T17)*' Kwh area wise $ '!B16</f>
        <v>0</v>
      </c>
      <c r="L16" s="1">
        <f>'Kwh Consumption'!U17*' Kwh area wise $ '!B16</f>
        <v>0</v>
      </c>
      <c r="M16" s="29">
        <f>'Kwh Consumption'!V17*' Kwh area wise $ '!B16</f>
        <v>0</v>
      </c>
    </row>
    <row r="17" spans="1:13" x14ac:dyDescent="0.25">
      <c r="A17" s="14">
        <f>'Kwh Reading'!A18</f>
        <v>44819</v>
      </c>
      <c r="B17" s="11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29">
        <f>('Kwh Consumption'!S18+'Kwh Consumption'!T18)*' Kwh area wise $ '!B17</f>
        <v>0</v>
      </c>
      <c r="L17" s="1">
        <f>'Kwh Consumption'!U18*' Kwh area wise $ '!B17</f>
        <v>0</v>
      </c>
      <c r="M17" s="29">
        <f>'Kwh Consumption'!V18*' Kwh area wise $ '!B17</f>
        <v>0</v>
      </c>
    </row>
    <row r="18" spans="1:13" x14ac:dyDescent="0.25">
      <c r="A18" s="14">
        <f>'Kwh Reading'!A19</f>
        <v>44820</v>
      </c>
      <c r="B18" s="11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29">
        <f>('Kwh Consumption'!S19+'Kwh Consumption'!T19)*' Kwh area wise $ '!B18</f>
        <v>0</v>
      </c>
      <c r="L18" s="1">
        <f>'Kwh Consumption'!U19*' Kwh area wise $ '!B18</f>
        <v>0</v>
      </c>
      <c r="M18" s="29">
        <f>'Kwh Consumption'!V19*' Kwh area wise $ '!B18</f>
        <v>0</v>
      </c>
    </row>
    <row r="19" spans="1:13" x14ac:dyDescent="0.25">
      <c r="A19" s="14">
        <f>'Kwh Reading'!A20</f>
        <v>44821</v>
      </c>
      <c r="B19" s="11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29">
        <f>('Kwh Consumption'!S20+'Kwh Consumption'!T20)*' Kwh area wise $ '!B19</f>
        <v>0</v>
      </c>
      <c r="L19" s="1">
        <f>'Kwh Consumption'!U20*' Kwh area wise $ '!B19</f>
        <v>0</v>
      </c>
      <c r="M19" s="29">
        <f>'Kwh Consumption'!V20*' Kwh area wise $ '!B19</f>
        <v>0</v>
      </c>
    </row>
    <row r="20" spans="1:13" x14ac:dyDescent="0.25">
      <c r="A20" s="14">
        <f>'Kwh Reading'!A21</f>
        <v>44822</v>
      </c>
      <c r="B20" s="11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29">
        <f>('Kwh Consumption'!S21+'Kwh Consumption'!T21)*' Kwh area wise $ '!B20</f>
        <v>0</v>
      </c>
      <c r="L20" s="1">
        <f>'Kwh Consumption'!U21*' Kwh area wise $ '!B20</f>
        <v>0</v>
      </c>
      <c r="M20" s="29">
        <f>'Kwh Consumption'!V21*' Kwh area wise $ '!B20</f>
        <v>0</v>
      </c>
    </row>
    <row r="21" spans="1:13" x14ac:dyDescent="0.25">
      <c r="A21" s="14">
        <f>'Kwh Reading'!A22</f>
        <v>44823</v>
      </c>
      <c r="B21" s="11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29">
        <f>('Kwh Consumption'!S22+'Kwh Consumption'!T22)*' Kwh area wise $ '!B21</f>
        <v>0</v>
      </c>
      <c r="L21" s="1">
        <f>'Kwh Consumption'!U22*' Kwh area wise $ '!B21</f>
        <v>0</v>
      </c>
      <c r="M21" s="29">
        <f>'Kwh Consumption'!V22*' Kwh area wise $ '!B21</f>
        <v>0</v>
      </c>
    </row>
    <row r="22" spans="1:13" x14ac:dyDescent="0.25">
      <c r="A22" s="14">
        <f>'Kwh Reading'!A23</f>
        <v>44824</v>
      </c>
      <c r="B22" s="11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29">
        <f>('Kwh Consumption'!S23+'Kwh Consumption'!T23)*' Kwh area wise $ '!B22</f>
        <v>0</v>
      </c>
      <c r="L22" s="1">
        <f>'Kwh Consumption'!U23*' Kwh area wise $ '!B22</f>
        <v>0</v>
      </c>
      <c r="M22" s="29">
        <f>'Kwh Consumption'!V23*' Kwh area wise $ '!B22</f>
        <v>0</v>
      </c>
    </row>
    <row r="23" spans="1:13" x14ac:dyDescent="0.25">
      <c r="A23" s="14">
        <f>'Kwh Reading'!A24</f>
        <v>44825</v>
      </c>
      <c r="B23" s="11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29">
        <f>('Kwh Consumption'!S24+'Kwh Consumption'!T24)*' Kwh area wise $ '!B23</f>
        <v>0</v>
      </c>
      <c r="L23" s="1">
        <f>'Kwh Consumption'!U24*' Kwh area wise $ '!B23</f>
        <v>0</v>
      </c>
      <c r="M23" s="29">
        <f>'Kwh Consumption'!V24*' Kwh area wise $ '!B23</f>
        <v>0</v>
      </c>
    </row>
    <row r="24" spans="1:13" x14ac:dyDescent="0.25">
      <c r="A24" s="14">
        <f>'Kwh Reading'!A25</f>
        <v>44826</v>
      </c>
      <c r="B24" s="11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29">
        <f>('Kwh Consumption'!S25+'Kwh Consumption'!T25)*' Kwh area wise $ '!B24</f>
        <v>0</v>
      </c>
      <c r="L24" s="1">
        <f>'Kwh Consumption'!U25*' Kwh area wise $ '!B24</f>
        <v>0</v>
      </c>
      <c r="M24" s="29">
        <f>'Kwh Consumption'!V25*' Kwh area wise $ '!B24</f>
        <v>0</v>
      </c>
    </row>
    <row r="25" spans="1:13" x14ac:dyDescent="0.25">
      <c r="A25" s="14">
        <f>'Kwh Reading'!A26</f>
        <v>44827</v>
      </c>
      <c r="B25" s="11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29">
        <f>('Kwh Consumption'!S26+'Kwh Consumption'!T26)*' Kwh area wise $ '!B25</f>
        <v>0</v>
      </c>
      <c r="L25" s="1">
        <f>'Kwh Consumption'!U26*' Kwh area wise $ '!B25</f>
        <v>0</v>
      </c>
      <c r="M25" s="29">
        <f>'Kwh Consumption'!V26*' Kwh area wise $ '!B25</f>
        <v>0</v>
      </c>
    </row>
    <row r="26" spans="1:13" x14ac:dyDescent="0.25">
      <c r="A26" s="14">
        <f>'Kwh Reading'!A27</f>
        <v>44828</v>
      </c>
      <c r="B26" s="11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29">
        <f>('Kwh Consumption'!S27+'Kwh Consumption'!T27)*' Kwh area wise $ '!B26</f>
        <v>0</v>
      </c>
      <c r="L26" s="1">
        <f>'Kwh Consumption'!U27*' Kwh area wise $ '!B26</f>
        <v>0</v>
      </c>
      <c r="M26" s="29">
        <f>'Kwh Consumption'!V27*' Kwh area wise $ '!B26</f>
        <v>0</v>
      </c>
    </row>
    <row r="27" spans="1:13" x14ac:dyDescent="0.25">
      <c r="A27" s="14">
        <f>'Kwh Reading'!A28</f>
        <v>44829</v>
      </c>
      <c r="B27" s="11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29">
        <f>('Kwh Consumption'!S28+'Kwh Consumption'!T28)*' Kwh area wise $ '!B27</f>
        <v>0</v>
      </c>
      <c r="L27" s="1">
        <f>'Kwh Consumption'!U28*' Kwh area wise $ '!B27</f>
        <v>0</v>
      </c>
      <c r="M27" s="29">
        <f>'Kwh Consumption'!V28*' Kwh area wise $ '!B27</f>
        <v>0</v>
      </c>
    </row>
    <row r="28" spans="1:13" x14ac:dyDescent="0.25">
      <c r="A28" s="14">
        <f>'Kwh Reading'!A29</f>
        <v>44830</v>
      </c>
      <c r="B28" s="11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29">
        <f>('Kwh Consumption'!S29+'Kwh Consumption'!T29)*' Kwh area wise $ '!B28</f>
        <v>0</v>
      </c>
      <c r="L28" s="1">
        <f>'Kwh Consumption'!U29*' Kwh area wise $ '!B28</f>
        <v>0</v>
      </c>
      <c r="M28" s="29">
        <f>'Kwh Consumption'!V29*' Kwh area wise $ '!B28</f>
        <v>0</v>
      </c>
    </row>
    <row r="29" spans="1:13" x14ac:dyDescent="0.25">
      <c r="A29" s="14">
        <f>'Kwh Reading'!A30</f>
        <v>44831</v>
      </c>
      <c r="B29" s="11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29">
        <f>('Kwh Consumption'!S30+'Kwh Consumption'!T30)*' Kwh area wise $ '!B29</f>
        <v>0</v>
      </c>
      <c r="L29" s="1">
        <f>'Kwh Consumption'!U30*' Kwh area wise $ '!B29</f>
        <v>0</v>
      </c>
      <c r="M29" s="29">
        <f>'Kwh Consumption'!V30*' Kwh area wise $ '!B29</f>
        <v>0</v>
      </c>
    </row>
    <row r="30" spans="1:13" x14ac:dyDescent="0.25">
      <c r="A30" s="14">
        <f>'Kwh Reading'!A31</f>
        <v>44832</v>
      </c>
      <c r="B30" s="11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29">
        <f>('Kwh Consumption'!S31+'Kwh Consumption'!T31)*' Kwh area wise $ '!B30</f>
        <v>0</v>
      </c>
      <c r="L30" s="1">
        <f>'Kwh Consumption'!U31*' Kwh area wise $ '!B30</f>
        <v>0</v>
      </c>
      <c r="M30" s="29">
        <f>'Kwh Consumption'!V31*' Kwh area wise $ '!B30</f>
        <v>0</v>
      </c>
    </row>
    <row r="31" spans="1:13" x14ac:dyDescent="0.25">
      <c r="A31" s="14">
        <f>'Kwh Reading'!A32</f>
        <v>44833</v>
      </c>
      <c r="B31" s="11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29">
        <f>('Kwh Consumption'!S32+'Kwh Consumption'!T32)*' Kwh area wise $ '!B31</f>
        <v>0</v>
      </c>
      <c r="L31" s="1">
        <f>'Kwh Consumption'!U32*' Kwh area wise $ '!B31</f>
        <v>0</v>
      </c>
      <c r="M31" s="29">
        <f>'Kwh Consumption'!V32*' Kwh area wise $ '!B31</f>
        <v>0</v>
      </c>
    </row>
    <row r="32" spans="1:13" x14ac:dyDescent="0.25">
      <c r="A32" s="14">
        <f>'Kwh Reading'!A33</f>
        <v>44834</v>
      </c>
      <c r="B32" s="11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29">
        <f>('Kwh Consumption'!S33+'Kwh Consumption'!T33)*' Kwh area wise $ '!B32</f>
        <v>0</v>
      </c>
      <c r="L32" s="1">
        <f>'Kwh Consumption'!U33*' Kwh area wise $ '!B32</f>
        <v>0</v>
      </c>
      <c r="M32" s="29">
        <f>'Kwh Consumption'!V33*' Kwh area wise $ '!B32</f>
        <v>0</v>
      </c>
    </row>
    <row r="33" spans="1:14" x14ac:dyDescent="0.25">
      <c r="A33" s="14">
        <f>'Kwh Reading'!A34</f>
        <v>44835</v>
      </c>
      <c r="B33" s="113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29">
        <f>('Kwh Consumption'!S34+'Kwh Consumption'!T34)*' Kwh area wise $ '!B33</f>
        <v>0</v>
      </c>
      <c r="L33" s="1">
        <f>'Kwh Consumption'!U34*' Kwh area wise $ '!B33</f>
        <v>0</v>
      </c>
      <c r="M33" s="29">
        <f>'Kwh Consumption'!V34*' Kwh area wise $ '!B33</f>
        <v>0</v>
      </c>
    </row>
    <row r="34" spans="1:14" ht="15.75" x14ac:dyDescent="0.25">
      <c r="A34" s="150" t="s">
        <v>51</v>
      </c>
      <c r="B34" s="150"/>
      <c r="C34" s="66">
        <f t="shared" ref="C34:L34" si="0">SUM(C3:C33)</f>
        <v>0</v>
      </c>
      <c r="D34" s="66">
        <f t="shared" si="0"/>
        <v>0</v>
      </c>
      <c r="E34" s="66">
        <f t="shared" si="0"/>
        <v>0</v>
      </c>
      <c r="F34" s="66">
        <f t="shared" si="0"/>
        <v>0</v>
      </c>
      <c r="G34" s="66">
        <f t="shared" si="0"/>
        <v>0</v>
      </c>
      <c r="H34" s="66">
        <f t="shared" si="0"/>
        <v>0</v>
      </c>
      <c r="I34" s="66">
        <f t="shared" si="0"/>
        <v>0</v>
      </c>
      <c r="J34" s="66">
        <f t="shared" si="0"/>
        <v>0</v>
      </c>
      <c r="K34" s="66">
        <f t="shared" si="0"/>
        <v>0</v>
      </c>
      <c r="L34" s="66">
        <f t="shared" si="0"/>
        <v>0</v>
      </c>
      <c r="M34" s="66">
        <f>SUM(M3:M33)</f>
        <v>0</v>
      </c>
      <c r="N34" s="75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T14" sqref="T1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82</v>
      </c>
      <c r="L1" s="45" t="s">
        <v>83</v>
      </c>
      <c r="M1" s="45" t="s">
        <v>84</v>
      </c>
      <c r="N1" s="45" t="s">
        <v>85</v>
      </c>
      <c r="O1" s="45" t="s">
        <v>86</v>
      </c>
      <c r="P1" s="45" t="s">
        <v>87</v>
      </c>
      <c r="Q1" s="45" t="s">
        <v>88</v>
      </c>
      <c r="R1" s="45" t="s">
        <v>89</v>
      </c>
    </row>
    <row r="2" spans="1:21" s="49" customFormat="1" ht="30.75" thickTop="1" x14ac:dyDescent="0.25">
      <c r="A2" s="46" t="s">
        <v>30</v>
      </c>
      <c r="B2" s="47" t="s">
        <v>90</v>
      </c>
      <c r="C2" s="47" t="s">
        <v>91</v>
      </c>
      <c r="D2" s="108" t="s">
        <v>92</v>
      </c>
      <c r="E2" s="108" t="s">
        <v>93</v>
      </c>
      <c r="F2" s="108" t="s">
        <v>94</v>
      </c>
      <c r="G2" s="108" t="s">
        <v>95</v>
      </c>
      <c r="H2" s="108" t="s">
        <v>96</v>
      </c>
      <c r="I2" s="108" t="s">
        <v>97</v>
      </c>
      <c r="J2" s="48" t="s">
        <v>98</v>
      </c>
      <c r="K2" s="48" t="s">
        <v>99</v>
      </c>
      <c r="L2" s="48" t="s">
        <v>100</v>
      </c>
      <c r="M2" s="48" t="s">
        <v>101</v>
      </c>
      <c r="N2" s="48" t="s">
        <v>102</v>
      </c>
      <c r="O2" s="48" t="s">
        <v>103</v>
      </c>
      <c r="P2" s="48" t="s">
        <v>104</v>
      </c>
      <c r="Q2" s="48" t="s">
        <v>105</v>
      </c>
      <c r="R2" s="48" t="s">
        <v>106</v>
      </c>
    </row>
    <row r="3" spans="1:21" x14ac:dyDescent="0.25">
      <c r="A3" s="50">
        <v>44805</v>
      </c>
      <c r="B3" s="30">
        <v>11571</v>
      </c>
      <c r="C3" s="30">
        <v>15753</v>
      </c>
      <c r="D3" s="30">
        <v>281835</v>
      </c>
      <c r="E3" s="30">
        <v>277071</v>
      </c>
      <c r="F3" s="30">
        <v>67247</v>
      </c>
      <c r="G3" s="30">
        <v>121821</v>
      </c>
      <c r="H3" s="51">
        <v>62092</v>
      </c>
      <c r="I3" s="30">
        <v>77932</v>
      </c>
      <c r="J3" s="30">
        <v>23343</v>
      </c>
      <c r="K3" s="30">
        <v>1024</v>
      </c>
      <c r="L3" s="30">
        <v>19158</v>
      </c>
      <c r="M3" s="30">
        <v>28039</v>
      </c>
      <c r="N3" s="30">
        <v>8848</v>
      </c>
      <c r="O3" s="30">
        <v>2295</v>
      </c>
      <c r="P3" s="30">
        <v>31826</v>
      </c>
      <c r="Q3" s="30">
        <v>1973</v>
      </c>
      <c r="R3" s="30">
        <v>541</v>
      </c>
    </row>
    <row r="4" spans="1:21" x14ac:dyDescent="0.25">
      <c r="A4" s="50">
        <v>44806</v>
      </c>
      <c r="B4" s="30">
        <v>11681</v>
      </c>
      <c r="C4" s="30">
        <v>15914</v>
      </c>
      <c r="D4" s="30">
        <v>281957</v>
      </c>
      <c r="E4" s="30">
        <v>277142</v>
      </c>
      <c r="F4" s="30">
        <v>67248</v>
      </c>
      <c r="G4" s="30">
        <v>121842</v>
      </c>
      <c r="H4" s="30">
        <v>62092</v>
      </c>
      <c r="I4" s="30">
        <v>77948</v>
      </c>
      <c r="J4" s="51">
        <v>23349</v>
      </c>
      <c r="K4" s="30">
        <v>1024</v>
      </c>
      <c r="L4" s="96">
        <v>19162</v>
      </c>
      <c r="M4" s="96">
        <v>28046</v>
      </c>
      <c r="N4" s="96">
        <v>8849</v>
      </c>
      <c r="O4" s="96">
        <v>2296</v>
      </c>
      <c r="P4" s="96">
        <v>31828</v>
      </c>
      <c r="Q4" s="96">
        <v>1979</v>
      </c>
      <c r="R4" s="96">
        <v>546</v>
      </c>
    </row>
    <row r="5" spans="1:21" x14ac:dyDescent="0.25">
      <c r="A5" s="50">
        <v>44807</v>
      </c>
      <c r="B5" s="30">
        <v>11799</v>
      </c>
      <c r="C5" s="30">
        <v>16084</v>
      </c>
      <c r="D5" s="30">
        <v>282093</v>
      </c>
      <c r="E5" s="30">
        <v>277211</v>
      </c>
      <c r="F5" s="30">
        <v>67248</v>
      </c>
      <c r="G5" s="30">
        <v>121866</v>
      </c>
      <c r="H5" s="30">
        <v>62092</v>
      </c>
      <c r="I5" s="30">
        <v>77967</v>
      </c>
      <c r="J5" s="30">
        <v>23355</v>
      </c>
      <c r="K5" s="30">
        <v>1024</v>
      </c>
      <c r="L5" s="96">
        <v>19165</v>
      </c>
      <c r="M5" s="96">
        <v>28053</v>
      </c>
      <c r="N5" s="96">
        <v>8851</v>
      </c>
      <c r="O5" s="96">
        <v>2297</v>
      </c>
      <c r="P5" s="96">
        <v>31830</v>
      </c>
      <c r="Q5" s="96">
        <v>1981</v>
      </c>
      <c r="R5" s="96">
        <v>546</v>
      </c>
    </row>
    <row r="6" spans="1:21" x14ac:dyDescent="0.25">
      <c r="A6" s="50">
        <v>44808</v>
      </c>
      <c r="B6" s="30">
        <v>11944</v>
      </c>
      <c r="C6" s="30">
        <v>16293</v>
      </c>
      <c r="D6" s="30">
        <v>282302</v>
      </c>
      <c r="E6" s="30">
        <v>277280</v>
      </c>
      <c r="F6" s="30">
        <v>67249</v>
      </c>
      <c r="G6" s="30">
        <v>121884</v>
      </c>
      <c r="H6" s="30">
        <v>62092</v>
      </c>
      <c r="I6" s="30">
        <v>77984</v>
      </c>
      <c r="J6" s="51">
        <v>23361</v>
      </c>
      <c r="K6" s="30">
        <v>1024</v>
      </c>
      <c r="L6" s="96">
        <v>19167</v>
      </c>
      <c r="M6" s="96">
        <v>28058</v>
      </c>
      <c r="N6" s="96">
        <v>8852</v>
      </c>
      <c r="O6" s="96">
        <v>2299</v>
      </c>
      <c r="P6" s="96">
        <v>31830</v>
      </c>
      <c r="Q6" s="96">
        <v>1981</v>
      </c>
      <c r="R6" s="96">
        <v>549</v>
      </c>
    </row>
    <row r="7" spans="1:21" x14ac:dyDescent="0.25">
      <c r="A7" s="50">
        <v>44809</v>
      </c>
      <c r="B7" s="51">
        <v>12099</v>
      </c>
      <c r="C7" s="30">
        <v>16520</v>
      </c>
      <c r="D7" s="96">
        <v>282533</v>
      </c>
      <c r="E7" s="96">
        <v>277351</v>
      </c>
      <c r="F7" s="30">
        <v>67249</v>
      </c>
      <c r="G7" s="96">
        <v>121909</v>
      </c>
      <c r="H7" s="96">
        <v>62092</v>
      </c>
      <c r="I7" s="96">
        <v>77999</v>
      </c>
      <c r="J7" s="96">
        <v>23366</v>
      </c>
      <c r="K7" s="30">
        <v>1024</v>
      </c>
      <c r="L7" s="96">
        <v>19170</v>
      </c>
      <c r="M7" s="96">
        <v>28066</v>
      </c>
      <c r="N7" s="96">
        <v>8854</v>
      </c>
      <c r="O7" s="96">
        <v>2301</v>
      </c>
      <c r="P7" s="96">
        <v>31830</v>
      </c>
      <c r="Q7" s="96">
        <v>1984</v>
      </c>
      <c r="R7" s="96">
        <v>551</v>
      </c>
    </row>
    <row r="8" spans="1:21" x14ac:dyDescent="0.25">
      <c r="A8" s="50">
        <v>44810</v>
      </c>
      <c r="B8" s="51">
        <v>12217</v>
      </c>
      <c r="C8" s="30">
        <v>16691</v>
      </c>
      <c r="D8" s="96">
        <v>282689</v>
      </c>
      <c r="E8" s="96">
        <v>277411</v>
      </c>
      <c r="F8" s="96">
        <v>67250</v>
      </c>
      <c r="G8" s="96">
        <v>121924</v>
      </c>
      <c r="H8" s="96">
        <v>62092</v>
      </c>
      <c r="I8" s="96">
        <v>78010</v>
      </c>
      <c r="J8" s="96">
        <v>23371</v>
      </c>
      <c r="K8" s="30">
        <v>1024</v>
      </c>
      <c r="L8" s="96">
        <v>19172</v>
      </c>
      <c r="M8" s="96">
        <v>28072</v>
      </c>
      <c r="N8" s="96">
        <v>8856</v>
      </c>
      <c r="O8" s="96">
        <v>2302</v>
      </c>
      <c r="P8" s="96">
        <v>31834</v>
      </c>
      <c r="Q8" s="96">
        <v>1985</v>
      </c>
      <c r="R8" s="96">
        <v>555</v>
      </c>
    </row>
    <row r="9" spans="1:21" x14ac:dyDescent="0.25">
      <c r="A9" s="50">
        <v>44811</v>
      </c>
      <c r="B9" s="51">
        <v>12344</v>
      </c>
      <c r="C9" s="30">
        <v>16875</v>
      </c>
      <c r="D9" s="96">
        <v>282869</v>
      </c>
      <c r="E9" s="96">
        <v>277480</v>
      </c>
      <c r="F9" s="96">
        <v>67250</v>
      </c>
      <c r="G9" s="96">
        <v>121942</v>
      </c>
      <c r="H9" s="96">
        <v>62092</v>
      </c>
      <c r="I9" s="96">
        <v>78031</v>
      </c>
      <c r="J9" s="96">
        <v>23377</v>
      </c>
      <c r="K9" s="30">
        <v>1024</v>
      </c>
      <c r="L9" s="96">
        <v>19175</v>
      </c>
      <c r="M9" s="96">
        <v>28077</v>
      </c>
      <c r="N9" s="96">
        <v>8859</v>
      </c>
      <c r="O9" s="96">
        <v>2304</v>
      </c>
      <c r="P9" s="96">
        <v>31834</v>
      </c>
      <c r="Q9" s="96">
        <v>1987</v>
      </c>
      <c r="R9" s="96">
        <v>557</v>
      </c>
    </row>
    <row r="10" spans="1:21" x14ac:dyDescent="0.25">
      <c r="A10" s="50">
        <v>44812</v>
      </c>
      <c r="B10" s="30">
        <v>12470</v>
      </c>
      <c r="C10" s="51">
        <v>17058</v>
      </c>
      <c r="D10" s="96">
        <v>283031</v>
      </c>
      <c r="E10" s="96">
        <v>277543</v>
      </c>
      <c r="F10" s="96">
        <v>67251</v>
      </c>
      <c r="G10" s="96">
        <v>121959</v>
      </c>
      <c r="H10" s="96">
        <v>62092</v>
      </c>
      <c r="I10" s="96">
        <v>78056</v>
      </c>
      <c r="J10" s="96">
        <v>23382</v>
      </c>
      <c r="K10" s="30">
        <v>1024</v>
      </c>
      <c r="L10" s="96">
        <v>19177</v>
      </c>
      <c r="M10" s="96">
        <v>28083</v>
      </c>
      <c r="N10" s="96">
        <v>8862</v>
      </c>
      <c r="O10" s="96">
        <v>2305</v>
      </c>
      <c r="P10" s="96">
        <v>31847</v>
      </c>
      <c r="Q10" s="96">
        <v>1987</v>
      </c>
      <c r="R10" s="96">
        <v>560</v>
      </c>
    </row>
    <row r="11" spans="1:21" x14ac:dyDescent="0.25">
      <c r="A11" s="50">
        <v>44813</v>
      </c>
      <c r="B11" s="51">
        <v>12615</v>
      </c>
      <c r="C11" s="30">
        <v>17267</v>
      </c>
      <c r="D11" s="96">
        <v>283203</v>
      </c>
      <c r="E11" s="96">
        <v>277624</v>
      </c>
      <c r="F11" s="96">
        <v>67252</v>
      </c>
      <c r="G11" s="96">
        <v>121983</v>
      </c>
      <c r="H11" s="96">
        <v>62092</v>
      </c>
      <c r="I11" s="96">
        <v>78079</v>
      </c>
      <c r="J11" s="96">
        <v>23389</v>
      </c>
      <c r="K11" s="96">
        <v>1024</v>
      </c>
      <c r="L11" s="96">
        <v>19188</v>
      </c>
      <c r="M11" s="96">
        <v>28091</v>
      </c>
      <c r="N11" s="96">
        <v>8864</v>
      </c>
      <c r="O11" s="96">
        <v>2307</v>
      </c>
      <c r="P11" s="96">
        <v>31852</v>
      </c>
      <c r="Q11" s="96">
        <v>1988</v>
      </c>
      <c r="R11" s="96">
        <v>566</v>
      </c>
    </row>
    <row r="12" spans="1:21" x14ac:dyDescent="0.25">
      <c r="A12" s="50">
        <v>44814</v>
      </c>
      <c r="B12" s="30">
        <v>12739</v>
      </c>
      <c r="C12" s="51">
        <v>17422</v>
      </c>
      <c r="D12" s="96">
        <v>283315</v>
      </c>
      <c r="E12" s="96">
        <v>277696</v>
      </c>
      <c r="F12" s="96">
        <v>67252</v>
      </c>
      <c r="G12" s="96">
        <v>121998</v>
      </c>
      <c r="H12" s="96">
        <v>62092</v>
      </c>
      <c r="I12" s="96">
        <v>78117</v>
      </c>
      <c r="J12" s="30">
        <v>23394</v>
      </c>
      <c r="K12" s="96">
        <v>1024</v>
      </c>
      <c r="L12" s="96">
        <v>19183</v>
      </c>
      <c r="M12" s="96">
        <v>28097</v>
      </c>
      <c r="N12" s="96">
        <v>8867</v>
      </c>
      <c r="O12" s="96">
        <v>2308</v>
      </c>
      <c r="P12" s="96">
        <v>31872</v>
      </c>
      <c r="Q12" s="96">
        <v>1993</v>
      </c>
      <c r="R12" s="96">
        <v>566</v>
      </c>
    </row>
    <row r="13" spans="1:21" x14ac:dyDescent="0.25">
      <c r="A13" s="50">
        <v>44815</v>
      </c>
      <c r="B13" s="51">
        <v>12870</v>
      </c>
      <c r="C13" s="30">
        <v>17610</v>
      </c>
      <c r="D13" s="96">
        <v>283460</v>
      </c>
      <c r="E13" s="96">
        <v>277776</v>
      </c>
      <c r="F13" s="96">
        <v>67252</v>
      </c>
      <c r="G13" s="96">
        <v>122019</v>
      </c>
      <c r="H13" s="96">
        <v>62092</v>
      </c>
      <c r="I13" s="96">
        <v>78150</v>
      </c>
      <c r="J13" s="51">
        <v>23400</v>
      </c>
      <c r="K13" s="96">
        <v>1024</v>
      </c>
      <c r="L13" s="96">
        <v>19186</v>
      </c>
      <c r="M13" s="96">
        <v>28104</v>
      </c>
      <c r="N13" s="96">
        <v>8869</v>
      </c>
      <c r="O13" s="96">
        <v>2410</v>
      </c>
      <c r="P13" s="121">
        <v>31885</v>
      </c>
      <c r="Q13" s="96">
        <v>1995</v>
      </c>
      <c r="R13" s="96">
        <v>570</v>
      </c>
    </row>
    <row r="14" spans="1:21" x14ac:dyDescent="0.25">
      <c r="A14" s="50">
        <v>44816</v>
      </c>
      <c r="B14" s="30"/>
      <c r="C14" s="30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</row>
    <row r="15" spans="1:21" x14ac:dyDescent="0.25">
      <c r="A15" s="50">
        <v>44817</v>
      </c>
      <c r="B15" s="30"/>
      <c r="C15" s="30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T15" s="94"/>
      <c r="U15" s="94"/>
    </row>
    <row r="16" spans="1:21" x14ac:dyDescent="0.25">
      <c r="A16" s="50">
        <v>44818</v>
      </c>
      <c r="B16" s="30"/>
      <c r="C16" s="51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</row>
    <row r="17" spans="1:21" x14ac:dyDescent="0.25">
      <c r="A17" s="50">
        <v>44819</v>
      </c>
      <c r="B17" s="30"/>
      <c r="C17" s="30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</row>
    <row r="18" spans="1:21" x14ac:dyDescent="0.25">
      <c r="A18" s="50">
        <v>44820</v>
      </c>
      <c r="B18" s="30"/>
      <c r="C18" s="51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U18" s="94"/>
    </row>
    <row r="19" spans="1:21" x14ac:dyDescent="0.25">
      <c r="A19" s="50">
        <v>44821</v>
      </c>
      <c r="B19" s="30"/>
      <c r="C19" s="30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</row>
    <row r="20" spans="1:21" x14ac:dyDescent="0.25">
      <c r="A20" s="50">
        <v>44822</v>
      </c>
      <c r="B20" s="30"/>
      <c r="C20" s="51"/>
      <c r="D20" s="97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</row>
    <row r="21" spans="1:21" x14ac:dyDescent="0.25">
      <c r="A21" s="50">
        <v>44823</v>
      </c>
      <c r="B21" s="30"/>
      <c r="C21" s="30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</row>
    <row r="22" spans="1:21" x14ac:dyDescent="0.25">
      <c r="A22" s="50">
        <v>44824</v>
      </c>
      <c r="B22" s="30"/>
      <c r="C22" s="51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</row>
    <row r="23" spans="1:21" x14ac:dyDescent="0.25">
      <c r="A23" s="50">
        <v>44825</v>
      </c>
      <c r="B23" s="30"/>
      <c r="C23" s="30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10" t="s">
        <v>125</v>
      </c>
    </row>
    <row r="24" spans="1:21" x14ac:dyDescent="0.25">
      <c r="A24" s="50">
        <v>44826</v>
      </c>
      <c r="B24" s="30"/>
      <c r="C24" s="51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10" t="s">
        <v>127</v>
      </c>
    </row>
    <row r="25" spans="1:21" x14ac:dyDescent="0.25">
      <c r="A25" s="50">
        <v>44827</v>
      </c>
      <c r="B25" s="30"/>
      <c r="C25" s="30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</row>
    <row r="26" spans="1:21" x14ac:dyDescent="0.25">
      <c r="A26" s="50">
        <v>44828</v>
      </c>
      <c r="B26" s="30"/>
      <c r="C26" s="51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</row>
    <row r="27" spans="1:21" x14ac:dyDescent="0.25">
      <c r="A27" s="50">
        <v>44829</v>
      </c>
      <c r="B27" s="30"/>
      <c r="C27" s="30"/>
      <c r="D27" s="96"/>
      <c r="E27" s="96"/>
      <c r="F27" s="96"/>
      <c r="G27" s="96"/>
      <c r="H27" s="96"/>
      <c r="I27" s="121"/>
      <c r="J27" s="96"/>
      <c r="K27" s="96"/>
      <c r="L27" s="96"/>
      <c r="M27" s="96"/>
      <c r="N27" s="96"/>
      <c r="O27" s="96"/>
      <c r="P27" s="96"/>
      <c r="Q27" s="96"/>
      <c r="R27" s="96"/>
    </row>
    <row r="28" spans="1:21" x14ac:dyDescent="0.25">
      <c r="A28" s="50">
        <v>44830</v>
      </c>
      <c r="B28" s="30"/>
      <c r="C28" s="51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</row>
    <row r="29" spans="1:21" x14ac:dyDescent="0.25">
      <c r="A29" s="50">
        <v>44831</v>
      </c>
      <c r="B29" s="30"/>
      <c r="C29" s="30"/>
      <c r="D29" s="96"/>
      <c r="E29" s="96"/>
      <c r="F29" s="96"/>
      <c r="G29" s="96"/>
      <c r="H29" s="96"/>
      <c r="I29" s="97"/>
      <c r="J29" s="96"/>
      <c r="K29" s="96"/>
      <c r="L29" s="96"/>
      <c r="M29" s="96"/>
      <c r="N29" s="96"/>
      <c r="O29" s="96"/>
      <c r="P29" s="96"/>
      <c r="Q29" s="96"/>
      <c r="R29" s="96"/>
    </row>
    <row r="30" spans="1:21" x14ac:dyDescent="0.25">
      <c r="A30" s="50">
        <v>44832</v>
      </c>
      <c r="B30" s="30"/>
      <c r="C30" s="51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</row>
    <row r="31" spans="1:21" x14ac:dyDescent="0.25">
      <c r="A31" s="50">
        <v>44833</v>
      </c>
      <c r="B31" s="30"/>
      <c r="C31" s="30"/>
      <c r="D31" s="30"/>
      <c r="F31" s="30"/>
      <c r="G31" s="30"/>
      <c r="H31" s="30"/>
      <c r="I31" s="30"/>
      <c r="K31" s="96"/>
      <c r="L31" s="30"/>
      <c r="M31" s="30"/>
      <c r="N31" s="30"/>
      <c r="O31" s="30"/>
      <c r="P31" s="30"/>
      <c r="Q31" s="30"/>
      <c r="R31" s="30"/>
    </row>
    <row r="32" spans="1:21" x14ac:dyDescent="0.25">
      <c r="A32" s="50">
        <v>44834</v>
      </c>
      <c r="B32" s="30"/>
      <c r="C32" s="51"/>
      <c r="D32" s="30"/>
      <c r="E32" s="30"/>
      <c r="F32" s="30"/>
      <c r="G32" s="30"/>
      <c r="H32" s="51"/>
      <c r="I32" s="30"/>
      <c r="J32" s="30"/>
      <c r="K32" s="96"/>
      <c r="L32" s="30"/>
      <c r="M32" s="30"/>
      <c r="N32" s="30"/>
      <c r="O32" s="30"/>
      <c r="P32" s="30"/>
      <c r="Q32" s="30"/>
      <c r="R32" s="30"/>
    </row>
    <row r="33" spans="1:18" x14ac:dyDescent="0.25">
      <c r="A33" s="50">
        <v>44835</v>
      </c>
      <c r="B33" s="30"/>
      <c r="C33" s="30"/>
      <c r="D33" s="30"/>
      <c r="E33" s="30"/>
      <c r="F33" s="30"/>
      <c r="G33" s="30"/>
      <c r="H33" s="51"/>
      <c r="I33" s="30"/>
      <c r="J33" s="30"/>
      <c r="K33" s="96"/>
      <c r="L33" s="30"/>
      <c r="M33" s="30"/>
      <c r="N33" s="30"/>
      <c r="O33" s="30"/>
      <c r="P33" s="30"/>
      <c r="Q33" s="30"/>
      <c r="R33" s="30"/>
    </row>
    <row r="34" spans="1:18" x14ac:dyDescent="0.25">
      <c r="A34" s="50"/>
      <c r="B34" s="30"/>
      <c r="C34" s="51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</row>
    <row r="37" spans="1:18" x14ac:dyDescent="0.25">
      <c r="B37" s="94"/>
      <c r="C37" s="94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D4" sqref="D4"/>
    </sheetView>
  </sheetViews>
  <sheetFormatPr defaultRowHeight="15" x14ac:dyDescent="0.25"/>
  <cols>
    <col min="1" max="1" width="13" style="15" customWidth="1"/>
    <col min="2" max="2" width="14.42578125" style="15" customWidth="1"/>
    <col min="3" max="3" width="15.7109375" style="15" customWidth="1"/>
    <col min="4" max="4" width="16.14062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2" customFormat="1" ht="45" customHeight="1" thickTop="1" x14ac:dyDescent="0.25">
      <c r="A2" s="151" t="s">
        <v>30</v>
      </c>
      <c r="B2" s="152" t="s">
        <v>107</v>
      </c>
      <c r="C2" s="152" t="s">
        <v>108</v>
      </c>
      <c r="D2" s="152"/>
      <c r="E2" s="153" t="s">
        <v>96</v>
      </c>
      <c r="F2" s="154"/>
      <c r="G2" s="155" t="s">
        <v>111</v>
      </c>
      <c r="H2" s="154"/>
      <c r="I2" s="155" t="s">
        <v>109</v>
      </c>
      <c r="J2" s="154"/>
      <c r="K2" s="155" t="s">
        <v>110</v>
      </c>
      <c r="L2" s="154"/>
      <c r="M2" s="155" t="s">
        <v>106</v>
      </c>
      <c r="N2" s="154"/>
      <c r="O2" s="155" t="s">
        <v>105</v>
      </c>
      <c r="P2" s="154"/>
      <c r="Q2" s="155" t="s">
        <v>112</v>
      </c>
      <c r="R2" s="154"/>
      <c r="S2" s="155" t="s">
        <v>113</v>
      </c>
      <c r="T2" s="154"/>
      <c r="U2" s="155" t="s">
        <v>114</v>
      </c>
      <c r="V2" s="154"/>
      <c r="W2" s="155" t="s">
        <v>98</v>
      </c>
      <c r="X2" s="156"/>
      <c r="Y2" s="157" t="s">
        <v>51</v>
      </c>
      <c r="Z2" s="157"/>
    </row>
    <row r="3" spans="1:26" ht="30" x14ac:dyDescent="0.35">
      <c r="A3" s="151"/>
      <c r="B3" s="152"/>
      <c r="C3" s="53" t="s">
        <v>115</v>
      </c>
      <c r="D3" s="53" t="s">
        <v>116</v>
      </c>
      <c r="E3" s="65" t="s">
        <v>115</v>
      </c>
      <c r="F3" s="55" t="s">
        <v>117</v>
      </c>
      <c r="G3" s="54" t="s">
        <v>115</v>
      </c>
      <c r="H3" s="55" t="s">
        <v>117</v>
      </c>
      <c r="I3" s="54" t="s">
        <v>115</v>
      </c>
      <c r="J3" s="55" t="s">
        <v>117</v>
      </c>
      <c r="K3" s="54" t="s">
        <v>115</v>
      </c>
      <c r="L3" s="55" t="s">
        <v>117</v>
      </c>
      <c r="M3" s="54" t="s">
        <v>115</v>
      </c>
      <c r="N3" s="55" t="s">
        <v>117</v>
      </c>
      <c r="O3" s="54" t="s">
        <v>115</v>
      </c>
      <c r="P3" s="55" t="s">
        <v>117</v>
      </c>
      <c r="Q3" s="54" t="s">
        <v>115</v>
      </c>
      <c r="R3" s="55" t="s">
        <v>117</v>
      </c>
      <c r="S3" s="54" t="s">
        <v>115</v>
      </c>
      <c r="T3" s="55" t="s">
        <v>117</v>
      </c>
      <c r="U3" s="54" t="s">
        <v>115</v>
      </c>
      <c r="V3" s="55" t="s">
        <v>117</v>
      </c>
      <c r="W3" s="54" t="s">
        <v>115</v>
      </c>
      <c r="X3" s="56" t="s">
        <v>117</v>
      </c>
      <c r="Y3" s="57" t="s">
        <v>115</v>
      </c>
      <c r="Z3" s="57" t="s">
        <v>117</v>
      </c>
    </row>
    <row r="4" spans="1:26" x14ac:dyDescent="0.25">
      <c r="A4" s="8">
        <f>'Water Reading'!A3</f>
        <v>44805</v>
      </c>
      <c r="B4" s="58">
        <f>TOTAL!I2</f>
        <v>326</v>
      </c>
      <c r="C4" s="59">
        <f>('Water Reading'!B4-'Water Reading'!B3)+('Water Reading'!C4-'Water Reading'!C3)</f>
        <v>271</v>
      </c>
      <c r="D4" s="60">
        <f>C4/B4</f>
        <v>0.83128834355828218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111</v>
      </c>
      <c r="H4" s="78">
        <f>G4/C4</f>
        <v>0.40959409594095941</v>
      </c>
      <c r="I4" s="79">
        <f>'Water Reading'!P4-'Water Reading'!P3</f>
        <v>2</v>
      </c>
      <c r="J4" s="61">
        <f>I4/C4</f>
        <v>7.3800738007380072E-3</v>
      </c>
      <c r="K4" s="80">
        <f>('Water Reading'!I4-'Water Reading'!I3)-('Water Reading'!P4-'Water Reading'!P3)</f>
        <v>14</v>
      </c>
      <c r="L4" s="61">
        <f>K4/C4</f>
        <v>5.1660516605166053E-2</v>
      </c>
      <c r="M4" s="79">
        <f>'Water Reading'!R4-'Water Reading'!R3</f>
        <v>5</v>
      </c>
      <c r="N4" s="81">
        <f>M4/C4</f>
        <v>1.8450184501845018E-2</v>
      </c>
      <c r="O4" s="79">
        <f>'Water Reading'!Q4-'Water Reading'!Q3</f>
        <v>6</v>
      </c>
      <c r="P4" s="86">
        <f>O4/C4</f>
        <v>2.2140221402214021E-2</v>
      </c>
      <c r="Q4" s="80">
        <f>'Water Reading'!F4-'Water Reading'!F3</f>
        <v>1</v>
      </c>
      <c r="R4" s="87">
        <f>Q4/C4</f>
        <v>3.6900369003690036E-3</v>
      </c>
      <c r="S4" s="79">
        <f>'Water Reading'!E4-'Water Reading'!E3</f>
        <v>71</v>
      </c>
      <c r="T4" s="87">
        <f>S4/C4</f>
        <v>0.26199261992619927</v>
      </c>
      <c r="U4" s="79">
        <f>'Water Reading'!G4-'Water Reading'!G3</f>
        <v>21</v>
      </c>
      <c r="V4" s="87">
        <f>U4/C4</f>
        <v>7.7490774907749083E-2</v>
      </c>
      <c r="W4" s="80">
        <f>'Water Reading'!J4-'Water Reading'!J3</f>
        <v>6</v>
      </c>
      <c r="X4" s="87">
        <f>W4/C4</f>
        <v>2.2140221402214021E-2</v>
      </c>
      <c r="Y4" s="59">
        <f t="shared" ref="Y4:Y34" si="0">E4+I4+K4+M4+O4+G4+Q4+S4+U4+W4</f>
        <v>237</v>
      </c>
      <c r="Z4" s="60">
        <f t="shared" ref="Z4:Z35" si="1">Y4/B4</f>
        <v>0.72699386503067487</v>
      </c>
    </row>
    <row r="5" spans="1:26" x14ac:dyDescent="0.25">
      <c r="A5" s="8">
        <f>'Water Reading'!A4</f>
        <v>44806</v>
      </c>
      <c r="B5" s="58">
        <f>TOTAL!I3</f>
        <v>254</v>
      </c>
      <c r="C5" s="59">
        <f>('Water Reading'!B5-'Water Reading'!B4)+('Water Reading'!C5-'Water Reading'!C4)</f>
        <v>288</v>
      </c>
      <c r="D5" s="60">
        <f t="shared" ref="D5:D34" si="2">C5/B5</f>
        <v>1.1338582677165354</v>
      </c>
      <c r="E5" s="77">
        <f>'Water Reading'!H5-'Water Reading'!H4</f>
        <v>0</v>
      </c>
      <c r="F5" s="78">
        <f t="shared" ref="F5:F34" si="3">E5/C5</f>
        <v>0</v>
      </c>
      <c r="G5" s="82">
        <f>('Water Reading'!D5-'Water Reading'!D4)-('Water Reading'!R5-'Water Reading'!R4)-('Water Reading'!Q5-'Water Reading'!Q4)</f>
        <v>134</v>
      </c>
      <c r="H5" s="78">
        <f t="shared" ref="H5:H34" si="4">G5/C5</f>
        <v>0.46527777777777779</v>
      </c>
      <c r="I5" s="79">
        <f>'Water Reading'!P5-'Water Reading'!P4</f>
        <v>2</v>
      </c>
      <c r="J5" s="61">
        <f t="shared" ref="J5:J34" si="5">I5/C5</f>
        <v>6.9444444444444441E-3</v>
      </c>
      <c r="K5" s="80">
        <f>('Water Reading'!I5-'Water Reading'!I4)-('Water Reading'!P5-'Water Reading'!P4)</f>
        <v>17</v>
      </c>
      <c r="L5" s="61">
        <f t="shared" ref="L5:L34" si="6">K5/C5</f>
        <v>5.9027777777777776E-2</v>
      </c>
      <c r="M5" s="79">
        <f>'Water Reading'!R5-'Water Reading'!R4</f>
        <v>0</v>
      </c>
      <c r="N5" s="81">
        <f t="shared" ref="N5:N34" si="7">M5/C5</f>
        <v>0</v>
      </c>
      <c r="O5" s="79">
        <f>'Water Reading'!Q5-'Water Reading'!Q4</f>
        <v>2</v>
      </c>
      <c r="P5" s="86">
        <f t="shared" ref="P5:P34" si="8">O5/C5</f>
        <v>6.9444444444444441E-3</v>
      </c>
      <c r="Q5" s="80">
        <f>'Water Reading'!F5-'Water Reading'!F4</f>
        <v>0</v>
      </c>
      <c r="R5" s="87">
        <f t="shared" ref="R5:R34" si="9">Q5/C5</f>
        <v>0</v>
      </c>
      <c r="S5" s="79">
        <f>'Water Reading'!E5-'Water Reading'!E4</f>
        <v>69</v>
      </c>
      <c r="T5" s="87">
        <f t="shared" ref="T5:T34" si="10">S5/C5</f>
        <v>0.23958333333333334</v>
      </c>
      <c r="U5" s="79">
        <f>'Water Reading'!G5-'Water Reading'!G4</f>
        <v>24</v>
      </c>
      <c r="V5" s="87">
        <f t="shared" ref="V5:V34" si="11">U5/C5</f>
        <v>8.3333333333333329E-2</v>
      </c>
      <c r="W5" s="80">
        <f>'Water Reading'!J5-'Water Reading'!J4</f>
        <v>6</v>
      </c>
      <c r="X5" s="87">
        <f t="shared" ref="X5:X34" si="12">W5/C5</f>
        <v>2.0833333333333332E-2</v>
      </c>
      <c r="Y5" s="59">
        <f t="shared" si="0"/>
        <v>254</v>
      </c>
      <c r="Z5" s="60">
        <f t="shared" si="1"/>
        <v>1</v>
      </c>
    </row>
    <row r="6" spans="1:26" x14ac:dyDescent="0.25">
      <c r="A6" s="8">
        <f>'Water Reading'!A5</f>
        <v>44807</v>
      </c>
      <c r="B6" s="58">
        <f>TOTAL!I4</f>
        <v>320</v>
      </c>
      <c r="C6" s="59">
        <f>('Water Reading'!B6-'Water Reading'!B5)+('Water Reading'!C6-'Water Reading'!C5)</f>
        <v>354</v>
      </c>
      <c r="D6" s="60">
        <f t="shared" si="2"/>
        <v>1.10625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206</v>
      </c>
      <c r="H6" s="78">
        <f t="shared" si="4"/>
        <v>0.58192090395480223</v>
      </c>
      <c r="I6" s="79">
        <f>'Water Reading'!P6-'Water Reading'!P5</f>
        <v>0</v>
      </c>
      <c r="J6" s="61">
        <f t="shared" si="5"/>
        <v>0</v>
      </c>
      <c r="K6" s="80">
        <f>('Water Reading'!I6-'Water Reading'!I5)-('Water Reading'!P6-'Water Reading'!P5)</f>
        <v>17</v>
      </c>
      <c r="L6" s="61">
        <f t="shared" si="6"/>
        <v>4.8022598870056499E-2</v>
      </c>
      <c r="M6" s="79">
        <f>'Water Reading'!R6-'Water Reading'!R5</f>
        <v>3</v>
      </c>
      <c r="N6" s="81">
        <f t="shared" si="7"/>
        <v>8.4745762711864406E-3</v>
      </c>
      <c r="O6" s="79">
        <f>'Water Reading'!Q6-'Water Reading'!Q5</f>
        <v>0</v>
      </c>
      <c r="P6" s="86">
        <f t="shared" si="8"/>
        <v>0</v>
      </c>
      <c r="Q6" s="80">
        <f>'Water Reading'!F6-'Water Reading'!F5</f>
        <v>1</v>
      </c>
      <c r="R6" s="87">
        <f t="shared" si="9"/>
        <v>2.8248587570621469E-3</v>
      </c>
      <c r="S6" s="79">
        <f>'Water Reading'!E6-'Water Reading'!E5</f>
        <v>69</v>
      </c>
      <c r="T6" s="87">
        <f t="shared" si="10"/>
        <v>0.19491525423728814</v>
      </c>
      <c r="U6" s="79">
        <f>'Water Reading'!G6-'Water Reading'!G5</f>
        <v>18</v>
      </c>
      <c r="V6" s="87">
        <f t="shared" si="11"/>
        <v>5.0847457627118647E-2</v>
      </c>
      <c r="W6" s="80">
        <f>'Water Reading'!J6-'Water Reading'!J5</f>
        <v>6</v>
      </c>
      <c r="X6" s="87">
        <f t="shared" si="12"/>
        <v>1.6949152542372881E-2</v>
      </c>
      <c r="Y6" s="59">
        <f t="shared" si="0"/>
        <v>320</v>
      </c>
      <c r="Z6" s="60">
        <f t="shared" si="1"/>
        <v>1</v>
      </c>
    </row>
    <row r="7" spans="1:26" x14ac:dyDescent="0.25">
      <c r="A7" s="8">
        <f>'Water Reading'!A6</f>
        <v>44808</v>
      </c>
      <c r="B7" s="58">
        <f>TOTAL!I5</f>
        <v>375</v>
      </c>
      <c r="C7" s="59">
        <f>('Water Reading'!B7-'Water Reading'!B6)+('Water Reading'!C7-'Water Reading'!C6)</f>
        <v>382</v>
      </c>
      <c r="D7" s="60">
        <f t="shared" si="2"/>
        <v>1.0186666666666666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226</v>
      </c>
      <c r="H7" s="78">
        <f t="shared" si="4"/>
        <v>0.59162303664921467</v>
      </c>
      <c r="I7" s="79">
        <f>'Water Reading'!P7-'Water Reading'!P6</f>
        <v>0</v>
      </c>
      <c r="J7" s="61">
        <f t="shared" si="5"/>
        <v>0</v>
      </c>
      <c r="K7" s="80">
        <f>('Water Reading'!I7-'Water Reading'!I6)-('Water Reading'!P7-'Water Reading'!P6)</f>
        <v>15</v>
      </c>
      <c r="L7" s="61">
        <f t="shared" si="6"/>
        <v>3.9267015706806283E-2</v>
      </c>
      <c r="M7" s="79">
        <f>'Water Reading'!R7-'Water Reading'!R6</f>
        <v>2</v>
      </c>
      <c r="N7" s="81">
        <f t="shared" si="7"/>
        <v>5.235602094240838E-3</v>
      </c>
      <c r="O7" s="79">
        <f>'Water Reading'!Q7-'Water Reading'!Q6</f>
        <v>3</v>
      </c>
      <c r="P7" s="86">
        <f t="shared" si="8"/>
        <v>7.8534031413612562E-3</v>
      </c>
      <c r="Q7" s="80">
        <f>'Water Reading'!F7-'Water Reading'!F6</f>
        <v>0</v>
      </c>
      <c r="R7" s="87">
        <f t="shared" si="9"/>
        <v>0</v>
      </c>
      <c r="S7" s="79">
        <f>'Water Reading'!E7-'Water Reading'!E6</f>
        <v>71</v>
      </c>
      <c r="T7" s="87">
        <f t="shared" si="10"/>
        <v>0.18586387434554974</v>
      </c>
      <c r="U7" s="79">
        <f>'Water Reading'!G7-'Water Reading'!G6</f>
        <v>25</v>
      </c>
      <c r="V7" s="87">
        <f t="shared" si="11"/>
        <v>6.5445026178010471E-2</v>
      </c>
      <c r="W7" s="80">
        <f>'Water Reading'!J7-'Water Reading'!J6</f>
        <v>5</v>
      </c>
      <c r="X7" s="87">
        <f t="shared" si="12"/>
        <v>1.3089005235602094E-2</v>
      </c>
      <c r="Y7" s="59">
        <f t="shared" si="0"/>
        <v>347</v>
      </c>
      <c r="Z7" s="60">
        <f t="shared" si="1"/>
        <v>0.92533333333333334</v>
      </c>
    </row>
    <row r="8" spans="1:26" x14ac:dyDescent="0.25">
      <c r="A8" s="8">
        <f>'Water Reading'!A7</f>
        <v>44809</v>
      </c>
      <c r="B8" s="58">
        <f>TOTAL!I6</f>
        <v>306</v>
      </c>
      <c r="C8" s="59">
        <f>('Water Reading'!B8-'Water Reading'!B7)+('Water Reading'!C8-'Water Reading'!C7)</f>
        <v>289</v>
      </c>
      <c r="D8" s="60">
        <f t="shared" si="2"/>
        <v>0.94444444444444442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151</v>
      </c>
      <c r="H8" s="78">
        <f t="shared" si="4"/>
        <v>0.52249134948096887</v>
      </c>
      <c r="I8" s="79">
        <f>'Water Reading'!P8-'Water Reading'!P7</f>
        <v>4</v>
      </c>
      <c r="J8" s="61">
        <f t="shared" si="5"/>
        <v>1.384083044982699E-2</v>
      </c>
      <c r="K8" s="80">
        <f>('Water Reading'!I8-'Water Reading'!I7)-('Water Reading'!P8-'Water Reading'!P7)</f>
        <v>7</v>
      </c>
      <c r="L8" s="61">
        <f t="shared" si="6"/>
        <v>2.4221453287197232E-2</v>
      </c>
      <c r="M8" s="79">
        <f>'Water Reading'!R8-'Water Reading'!R7</f>
        <v>4</v>
      </c>
      <c r="N8" s="81">
        <f t="shared" si="7"/>
        <v>1.384083044982699E-2</v>
      </c>
      <c r="O8" s="79">
        <f>'Water Reading'!Q8-'Water Reading'!Q7</f>
        <v>1</v>
      </c>
      <c r="P8" s="86">
        <f t="shared" si="8"/>
        <v>3.4602076124567475E-3</v>
      </c>
      <c r="Q8" s="80">
        <f>'Water Reading'!F8-'Water Reading'!F7</f>
        <v>1</v>
      </c>
      <c r="R8" s="87">
        <f t="shared" si="9"/>
        <v>3.4602076124567475E-3</v>
      </c>
      <c r="S8" s="79">
        <f>'Water Reading'!E8-'Water Reading'!E7</f>
        <v>60</v>
      </c>
      <c r="T8" s="87">
        <f t="shared" si="10"/>
        <v>0.20761245674740483</v>
      </c>
      <c r="U8" s="79">
        <f>'Water Reading'!G8-'Water Reading'!G7</f>
        <v>15</v>
      </c>
      <c r="V8" s="87">
        <f t="shared" si="11"/>
        <v>5.1903114186851208E-2</v>
      </c>
      <c r="W8" s="80">
        <f>'Water Reading'!J8-'Water Reading'!J7</f>
        <v>5</v>
      </c>
      <c r="X8" s="87">
        <f t="shared" si="12"/>
        <v>1.7301038062283738E-2</v>
      </c>
      <c r="Y8" s="59">
        <f t="shared" si="0"/>
        <v>248</v>
      </c>
      <c r="Z8" s="60">
        <f t="shared" si="1"/>
        <v>0.81045751633986929</v>
      </c>
    </row>
    <row r="9" spans="1:26" x14ac:dyDescent="0.25">
      <c r="A9" s="8">
        <f>'Water Reading'!A8</f>
        <v>44810</v>
      </c>
      <c r="B9" s="58">
        <f>TOTAL!I7</f>
        <v>285</v>
      </c>
      <c r="C9" s="59">
        <f>('Water Reading'!B9-'Water Reading'!B8)+('Water Reading'!C9-'Water Reading'!C8)</f>
        <v>311</v>
      </c>
      <c r="D9" s="60">
        <f t="shared" si="2"/>
        <v>1.0912280701754387</v>
      </c>
      <c r="E9" s="77">
        <f>'Water Reading'!H9-'Water Reading'!H8</f>
        <v>0</v>
      </c>
      <c r="F9" s="78">
        <f t="shared" si="3"/>
        <v>0</v>
      </c>
      <c r="G9" s="82">
        <f>('Water Reading'!D9-'Water Reading'!D8)-('Water Reading'!R9-'Water Reading'!R8)-('Water Reading'!Q9-'Water Reading'!Q8)</f>
        <v>176</v>
      </c>
      <c r="H9" s="78">
        <f t="shared" si="4"/>
        <v>0.56591639871382637</v>
      </c>
      <c r="I9" s="79">
        <f>'Water Reading'!P9-'Water Reading'!P8</f>
        <v>0</v>
      </c>
      <c r="J9" s="61">
        <f t="shared" si="5"/>
        <v>0</v>
      </c>
      <c r="K9" s="80">
        <f>('Water Reading'!I9-'Water Reading'!I8)-('Water Reading'!P9-'Water Reading'!P8)</f>
        <v>21</v>
      </c>
      <c r="L9" s="61">
        <f t="shared" si="6"/>
        <v>6.7524115755627015E-2</v>
      </c>
      <c r="M9" s="125">
        <f>'Water Reading'!R9-'Water Reading'!R8</f>
        <v>2</v>
      </c>
      <c r="N9" s="81">
        <f t="shared" si="7"/>
        <v>6.4308681672025723E-3</v>
      </c>
      <c r="O9" s="79">
        <f>'Water Reading'!Q9-'Water Reading'!Q8</f>
        <v>2</v>
      </c>
      <c r="P9" s="86">
        <f t="shared" si="8"/>
        <v>6.4308681672025723E-3</v>
      </c>
      <c r="Q9" s="80">
        <f>'Water Reading'!F9-'Water Reading'!F8</f>
        <v>0</v>
      </c>
      <c r="R9" s="87">
        <f t="shared" si="9"/>
        <v>0</v>
      </c>
      <c r="S9" s="79">
        <f>'Water Reading'!E9-'Water Reading'!E8</f>
        <v>69</v>
      </c>
      <c r="T9" s="87">
        <f t="shared" si="10"/>
        <v>0.22186495176848875</v>
      </c>
      <c r="U9" s="79">
        <f>'Water Reading'!G9-'Water Reading'!G8</f>
        <v>18</v>
      </c>
      <c r="V9" s="87">
        <f t="shared" si="11"/>
        <v>5.7877813504823149E-2</v>
      </c>
      <c r="W9" s="80">
        <f>'Water Reading'!J9-'Water Reading'!J8</f>
        <v>6</v>
      </c>
      <c r="X9" s="87">
        <f t="shared" si="12"/>
        <v>1.9292604501607719E-2</v>
      </c>
      <c r="Y9" s="59">
        <f t="shared" si="0"/>
        <v>294</v>
      </c>
      <c r="Z9" s="60">
        <f t="shared" si="1"/>
        <v>1.0315789473684212</v>
      </c>
    </row>
    <row r="10" spans="1:26" x14ac:dyDescent="0.25">
      <c r="A10" s="8">
        <f>'Water Reading'!A9</f>
        <v>44811</v>
      </c>
      <c r="B10" s="58">
        <f>TOTAL!I8</f>
        <v>337</v>
      </c>
      <c r="C10" s="59">
        <f>('Water Reading'!B10-'Water Reading'!B9)+('Water Reading'!C10-'Water Reading'!C9)</f>
        <v>309</v>
      </c>
      <c r="D10" s="60">
        <f t="shared" si="2"/>
        <v>0.91691394658753711</v>
      </c>
      <c r="E10" s="77">
        <f>'Water Reading'!H10-'Water Reading'!H9</f>
        <v>0</v>
      </c>
      <c r="F10" s="78">
        <f t="shared" si="3"/>
        <v>0</v>
      </c>
      <c r="G10" s="82">
        <f>('Water Reading'!D10-'Water Reading'!D9)-('Water Reading'!R10-'Water Reading'!R9)-('Water Reading'!Q10-'Water Reading'!Q9)</f>
        <v>159</v>
      </c>
      <c r="H10" s="78">
        <f t="shared" si="4"/>
        <v>0.5145631067961165</v>
      </c>
      <c r="I10" s="79">
        <f>'Water Reading'!P10-'Water Reading'!P9</f>
        <v>13</v>
      </c>
      <c r="J10" s="61">
        <f t="shared" si="5"/>
        <v>4.2071197411003236E-2</v>
      </c>
      <c r="K10" s="117">
        <f>('Water Reading'!I10-'Water Reading'!I9)-('Water Reading'!P10-'Water Reading'!P9)</f>
        <v>12</v>
      </c>
      <c r="L10" s="61">
        <f t="shared" si="6"/>
        <v>3.8834951456310676E-2</v>
      </c>
      <c r="M10" s="79">
        <f>'Water Reading'!R10-'Water Reading'!R9</f>
        <v>3</v>
      </c>
      <c r="N10" s="81">
        <f t="shared" si="7"/>
        <v>9.7087378640776691E-3</v>
      </c>
      <c r="O10" s="79">
        <f>'Water Reading'!Q10-'Water Reading'!Q9</f>
        <v>0</v>
      </c>
      <c r="P10" s="86">
        <f t="shared" si="8"/>
        <v>0</v>
      </c>
      <c r="Q10" s="80">
        <f>'Water Reading'!F10-'Water Reading'!F9</f>
        <v>1</v>
      </c>
      <c r="R10" s="87">
        <f t="shared" si="9"/>
        <v>3.2362459546925568E-3</v>
      </c>
      <c r="S10" s="79">
        <f>'Water Reading'!E10-'Water Reading'!E9</f>
        <v>63</v>
      </c>
      <c r="T10" s="87">
        <f t="shared" si="10"/>
        <v>0.20388349514563106</v>
      </c>
      <c r="U10" s="79">
        <f>'Water Reading'!G10-'Water Reading'!G9</f>
        <v>17</v>
      </c>
      <c r="V10" s="87">
        <f t="shared" si="11"/>
        <v>5.5016181229773461E-2</v>
      </c>
      <c r="W10" s="80">
        <f>'Water Reading'!J10-'Water Reading'!J9</f>
        <v>5</v>
      </c>
      <c r="X10" s="87">
        <f t="shared" si="12"/>
        <v>1.6181229773462782E-2</v>
      </c>
      <c r="Y10" s="59">
        <f t="shared" si="0"/>
        <v>273</v>
      </c>
      <c r="Z10" s="60">
        <f t="shared" si="1"/>
        <v>0.81008902077151335</v>
      </c>
    </row>
    <row r="11" spans="1:26" x14ac:dyDescent="0.25">
      <c r="A11" s="8">
        <f>'Water Reading'!A10</f>
        <v>44812</v>
      </c>
      <c r="B11" s="58">
        <f>TOTAL!I9</f>
        <v>296</v>
      </c>
      <c r="C11" s="59">
        <f>('Water Reading'!B11-'Water Reading'!B10)+('Water Reading'!C11-'Water Reading'!C10)</f>
        <v>354</v>
      </c>
      <c r="D11" s="60">
        <f t="shared" si="2"/>
        <v>1.1959459459459461</v>
      </c>
      <c r="E11" s="77">
        <f>'Water Reading'!H11-'Water Reading'!H10</f>
        <v>0</v>
      </c>
      <c r="F11" s="78">
        <f t="shared" si="3"/>
        <v>0</v>
      </c>
      <c r="G11" s="82">
        <f>('Water Reading'!D11-'Water Reading'!D10)-('Water Reading'!R11-'Water Reading'!R10)-('Water Reading'!Q11-'Water Reading'!Q10)</f>
        <v>165</v>
      </c>
      <c r="H11" s="78">
        <f t="shared" si="4"/>
        <v>0.46610169491525422</v>
      </c>
      <c r="I11" s="79">
        <f>'Water Reading'!P11-'Water Reading'!P10</f>
        <v>5</v>
      </c>
      <c r="J11" s="61">
        <f t="shared" si="5"/>
        <v>1.4124293785310734E-2</v>
      </c>
      <c r="K11" s="80">
        <f>('Water Reading'!I11-'Water Reading'!I10)-('Water Reading'!P11-'Water Reading'!P10)</f>
        <v>18</v>
      </c>
      <c r="L11" s="61">
        <f t="shared" si="6"/>
        <v>5.0847457627118647E-2</v>
      </c>
      <c r="M11" s="79">
        <f>'Water Reading'!R11-'Water Reading'!R10</f>
        <v>6</v>
      </c>
      <c r="N11" s="81">
        <f t="shared" si="7"/>
        <v>1.6949152542372881E-2</v>
      </c>
      <c r="O11" s="79">
        <f>'Water Reading'!Q11-'Water Reading'!Q10</f>
        <v>1</v>
      </c>
      <c r="P11" s="86">
        <f t="shared" si="8"/>
        <v>2.8248587570621469E-3</v>
      </c>
      <c r="Q11" s="80">
        <f>'Water Reading'!F11-'Water Reading'!F10</f>
        <v>1</v>
      </c>
      <c r="R11" s="87">
        <f t="shared" si="9"/>
        <v>2.8248587570621469E-3</v>
      </c>
      <c r="S11" s="79">
        <f>'Water Reading'!E11-'Water Reading'!E10</f>
        <v>81</v>
      </c>
      <c r="T11" s="87">
        <f t="shared" si="10"/>
        <v>0.2288135593220339</v>
      </c>
      <c r="U11" s="79">
        <f>'Water Reading'!G11-'Water Reading'!G10</f>
        <v>24</v>
      </c>
      <c r="V11" s="87">
        <f t="shared" si="11"/>
        <v>6.7796610169491525E-2</v>
      </c>
      <c r="W11" s="80">
        <f>'Water Reading'!J11-'Water Reading'!J10</f>
        <v>7</v>
      </c>
      <c r="X11" s="87">
        <f t="shared" si="12"/>
        <v>1.977401129943503E-2</v>
      </c>
      <c r="Y11" s="59">
        <f t="shared" si="0"/>
        <v>308</v>
      </c>
      <c r="Z11" s="60">
        <f t="shared" si="1"/>
        <v>1.0405405405405406</v>
      </c>
    </row>
    <row r="12" spans="1:26" x14ac:dyDescent="0.25">
      <c r="A12" s="8">
        <f>'Water Reading'!A11</f>
        <v>44813</v>
      </c>
      <c r="B12" s="58">
        <f>TOTAL!I10</f>
        <v>312</v>
      </c>
      <c r="C12" s="59">
        <f>('Water Reading'!B12-'Water Reading'!B11)+('Water Reading'!C12-'Water Reading'!C11)</f>
        <v>279</v>
      </c>
      <c r="D12" s="60">
        <f t="shared" si="2"/>
        <v>0.89423076923076927</v>
      </c>
      <c r="E12" s="77">
        <f>'Water Reading'!H12-'Water Reading'!H11</f>
        <v>0</v>
      </c>
      <c r="F12" s="78">
        <f t="shared" si="3"/>
        <v>0</v>
      </c>
      <c r="G12" s="82">
        <f>('Water Reading'!D12-'Water Reading'!D11)-('Water Reading'!R12-'Water Reading'!R11)-('Water Reading'!Q12-'Water Reading'!Q11)</f>
        <v>107</v>
      </c>
      <c r="H12" s="78">
        <f t="shared" si="4"/>
        <v>0.38351254480286739</v>
      </c>
      <c r="I12" s="79">
        <f>'Water Reading'!P12-'Water Reading'!P11</f>
        <v>20</v>
      </c>
      <c r="J12" s="61">
        <f t="shared" si="5"/>
        <v>7.1684587813620068E-2</v>
      </c>
      <c r="K12" s="80">
        <f>('Water Reading'!I12-'Water Reading'!I11)-('Water Reading'!P12-'Water Reading'!P11)</f>
        <v>18</v>
      </c>
      <c r="L12" s="61">
        <f t="shared" si="6"/>
        <v>6.4516129032258063E-2</v>
      </c>
      <c r="M12" s="79">
        <f>'Water Reading'!R12-'Water Reading'!R11</f>
        <v>0</v>
      </c>
      <c r="N12" s="81">
        <f t="shared" si="7"/>
        <v>0</v>
      </c>
      <c r="O12" s="79">
        <f>'Water Reading'!Q12-'Water Reading'!Q11</f>
        <v>5</v>
      </c>
      <c r="P12" s="86">
        <f t="shared" si="8"/>
        <v>1.7921146953405017E-2</v>
      </c>
      <c r="Q12" s="80">
        <f>'Water Reading'!F12-'Water Reading'!F11</f>
        <v>0</v>
      </c>
      <c r="R12" s="87">
        <f t="shared" si="9"/>
        <v>0</v>
      </c>
      <c r="S12" s="79">
        <f>'Water Reading'!E12-'Water Reading'!E11</f>
        <v>72</v>
      </c>
      <c r="T12" s="87">
        <f t="shared" si="10"/>
        <v>0.25806451612903225</v>
      </c>
      <c r="U12" s="79">
        <f>'Water Reading'!G12-'Water Reading'!G11</f>
        <v>15</v>
      </c>
      <c r="V12" s="87">
        <f t="shared" si="11"/>
        <v>5.3763440860215055E-2</v>
      </c>
      <c r="W12" s="80">
        <f>'Water Reading'!J12-'Water Reading'!J11</f>
        <v>5</v>
      </c>
      <c r="X12" s="87">
        <f t="shared" si="12"/>
        <v>1.7921146953405017E-2</v>
      </c>
      <c r="Y12" s="59">
        <f t="shared" si="0"/>
        <v>242</v>
      </c>
      <c r="Z12" s="60">
        <f t="shared" si="1"/>
        <v>0.77564102564102566</v>
      </c>
    </row>
    <row r="13" spans="1:26" x14ac:dyDescent="0.25">
      <c r="A13" s="8">
        <f>'Water Reading'!A12</f>
        <v>44814</v>
      </c>
      <c r="B13" s="58">
        <f>TOTAL!I11</f>
        <v>335</v>
      </c>
      <c r="C13" s="59">
        <f>('Water Reading'!B13-'Water Reading'!B12)+('Water Reading'!C13-'Water Reading'!C12)</f>
        <v>319</v>
      </c>
      <c r="D13" s="60">
        <f t="shared" si="2"/>
        <v>0.9522388059701492</v>
      </c>
      <c r="E13" s="77">
        <f>'Water Reading'!H13-'Water Reading'!H12</f>
        <v>0</v>
      </c>
      <c r="F13" s="78">
        <f t="shared" si="3"/>
        <v>0</v>
      </c>
      <c r="G13" s="82">
        <f>('Water Reading'!D13-'Water Reading'!D12)-('Water Reading'!R13-'Water Reading'!R12)-('Water Reading'!Q13-'Water Reading'!Q12)</f>
        <v>139</v>
      </c>
      <c r="H13" s="78">
        <f t="shared" si="4"/>
        <v>0.43573667711598746</v>
      </c>
      <c r="I13" s="79">
        <f>'Water Reading'!P13-'Water Reading'!P12</f>
        <v>13</v>
      </c>
      <c r="J13" s="61">
        <f t="shared" si="5"/>
        <v>4.0752351097178681E-2</v>
      </c>
      <c r="K13" s="80">
        <f>('Water Reading'!I13-'Water Reading'!I12)-('Water Reading'!P13-'Water Reading'!P12)</f>
        <v>20</v>
      </c>
      <c r="L13" s="61">
        <f t="shared" si="6"/>
        <v>6.2695924764890276E-2</v>
      </c>
      <c r="M13" s="79">
        <f>'Water Reading'!R13-'Water Reading'!R12</f>
        <v>4</v>
      </c>
      <c r="N13" s="81">
        <f t="shared" si="7"/>
        <v>1.2539184952978056E-2</v>
      </c>
      <c r="O13" s="79">
        <f>'Water Reading'!Q13-'Water Reading'!Q12</f>
        <v>2</v>
      </c>
      <c r="P13" s="86">
        <f t="shared" si="8"/>
        <v>6.269592476489028E-3</v>
      </c>
      <c r="Q13" s="80">
        <f>'Water Reading'!F13-'Water Reading'!F12</f>
        <v>0</v>
      </c>
      <c r="R13" s="87">
        <f t="shared" si="9"/>
        <v>0</v>
      </c>
      <c r="S13" s="79">
        <f>'Water Reading'!E13-'Water Reading'!E12</f>
        <v>80</v>
      </c>
      <c r="T13" s="87">
        <f t="shared" si="10"/>
        <v>0.2507836990595611</v>
      </c>
      <c r="U13" s="79">
        <f>'Water Reading'!G13-'Water Reading'!G12</f>
        <v>21</v>
      </c>
      <c r="V13" s="87">
        <f t="shared" si="11"/>
        <v>6.5830721003134793E-2</v>
      </c>
      <c r="W13" s="80">
        <f>'Water Reading'!J13-'Water Reading'!J12</f>
        <v>6</v>
      </c>
      <c r="X13" s="87">
        <f t="shared" si="12"/>
        <v>1.8808777429467086E-2</v>
      </c>
      <c r="Y13" s="59">
        <f t="shared" si="0"/>
        <v>285</v>
      </c>
      <c r="Z13" s="60">
        <f t="shared" si="1"/>
        <v>0.85074626865671643</v>
      </c>
    </row>
    <row r="14" spans="1:26" x14ac:dyDescent="0.25">
      <c r="A14" s="8">
        <f>'Water Reading'!A13</f>
        <v>44815</v>
      </c>
      <c r="B14" s="58">
        <f>TOTAL!I12</f>
        <v>0</v>
      </c>
      <c r="C14" s="59">
        <f>('Water Reading'!B14-'Water Reading'!B13)+('Water Reading'!C14-'Water Reading'!C13)</f>
        <v>-30480</v>
      </c>
      <c r="D14" s="60" t="e">
        <f t="shared" si="2"/>
        <v>#DIV/0!</v>
      </c>
      <c r="E14" s="77">
        <f>'Water Reading'!H14-'Water Reading'!H13</f>
        <v>-62092</v>
      </c>
      <c r="F14" s="78">
        <f t="shared" si="3"/>
        <v>2.0371391076115484</v>
      </c>
      <c r="G14" s="82">
        <f>('Water Reading'!D14-'Water Reading'!D13)-('Water Reading'!R14-'Water Reading'!R13)-('Water Reading'!Q14-'Water Reading'!Q13)</f>
        <v>-280895</v>
      </c>
      <c r="H14" s="78">
        <f t="shared" si="4"/>
        <v>9.2157152230971136</v>
      </c>
      <c r="I14" s="79">
        <f>'Water Reading'!P14-'Water Reading'!P13</f>
        <v>-31885</v>
      </c>
      <c r="J14" s="61">
        <f t="shared" si="5"/>
        <v>1.0460958005249343</v>
      </c>
      <c r="K14" s="80">
        <f>('Water Reading'!I14-'Water Reading'!I13)-('Water Reading'!P14-'Water Reading'!P13)</f>
        <v>-46265</v>
      </c>
      <c r="L14" s="61">
        <f t="shared" si="6"/>
        <v>1.5178805774278215</v>
      </c>
      <c r="M14" s="79">
        <f>'Water Reading'!R14-'Water Reading'!R13</f>
        <v>-570</v>
      </c>
      <c r="N14" s="81">
        <f t="shared" si="7"/>
        <v>1.8700787401574805E-2</v>
      </c>
      <c r="O14" s="79">
        <f>'Water Reading'!Q14-'Water Reading'!Q13</f>
        <v>-1995</v>
      </c>
      <c r="P14" s="86">
        <f t="shared" si="8"/>
        <v>6.5452755905511806E-2</v>
      </c>
      <c r="Q14" s="80">
        <f>'Water Reading'!F14-'Water Reading'!F13</f>
        <v>-67252</v>
      </c>
      <c r="R14" s="87">
        <f t="shared" si="9"/>
        <v>2.2064304461942257</v>
      </c>
      <c r="S14" s="79">
        <f>'Water Reading'!E14-'Water Reading'!E13</f>
        <v>-277776</v>
      </c>
      <c r="T14" s="87">
        <f t="shared" si="10"/>
        <v>9.113385826771653</v>
      </c>
      <c r="U14" s="79">
        <f>'Water Reading'!G14-'Water Reading'!G13</f>
        <v>-122019</v>
      </c>
      <c r="V14" s="87">
        <f t="shared" si="11"/>
        <v>4.0032480314960628</v>
      </c>
      <c r="W14" s="80">
        <f>'Water Reading'!J14-'Water Reading'!J13</f>
        <v>-23400</v>
      </c>
      <c r="X14" s="87">
        <f t="shared" si="12"/>
        <v>0.76771653543307083</v>
      </c>
      <c r="Y14" s="59">
        <f t="shared" si="0"/>
        <v>-914149</v>
      </c>
      <c r="Z14" s="60" t="e">
        <f t="shared" si="1"/>
        <v>#DIV/0!</v>
      </c>
    </row>
    <row r="15" spans="1:26" x14ac:dyDescent="0.25">
      <c r="A15" s="8">
        <f>'Water Reading'!A14</f>
        <v>44816</v>
      </c>
      <c r="B15" s="58">
        <f>TOTAL!I13</f>
        <v>0</v>
      </c>
      <c r="C15" s="59">
        <f>('Water Reading'!B15-'Water Reading'!B14)+('Water Reading'!C15-'Water Reading'!C14)</f>
        <v>0</v>
      </c>
      <c r="D15" s="60" t="e">
        <f t="shared" si="2"/>
        <v>#DIV/0!</v>
      </c>
      <c r="E15" s="77">
        <f>'Water Reading'!H15-'Water Reading'!H14</f>
        <v>0</v>
      </c>
      <c r="F15" s="78" t="e">
        <f t="shared" si="3"/>
        <v>#DIV/0!</v>
      </c>
      <c r="G15" s="82">
        <f>('Water Reading'!D15-'Water Reading'!D14)-('Water Reading'!R15-'Water Reading'!R14)-('Water Reading'!Q15-'Water Reading'!Q14)</f>
        <v>0</v>
      </c>
      <c r="H15" s="78" t="e">
        <f t="shared" si="4"/>
        <v>#DIV/0!</v>
      </c>
      <c r="I15" s="79">
        <f>'Water Reading'!P15-'Water Reading'!P14</f>
        <v>0</v>
      </c>
      <c r="J15" s="61" t="e">
        <f t="shared" si="5"/>
        <v>#DIV/0!</v>
      </c>
      <c r="K15" s="80">
        <f>('Water Reading'!I15-'Water Reading'!I14)-('Water Reading'!P15-'Water Reading'!P14)</f>
        <v>0</v>
      </c>
      <c r="L15" s="61" t="e">
        <f t="shared" si="6"/>
        <v>#DIV/0!</v>
      </c>
      <c r="M15" s="79">
        <f>'Water Reading'!R15-'Water Reading'!R14</f>
        <v>0</v>
      </c>
      <c r="N15" s="81" t="e">
        <f t="shared" si="7"/>
        <v>#DIV/0!</v>
      </c>
      <c r="O15" s="79">
        <f>'Water Reading'!Q15-'Water Reading'!Q14</f>
        <v>0</v>
      </c>
      <c r="P15" s="86" t="e">
        <f t="shared" si="8"/>
        <v>#DIV/0!</v>
      </c>
      <c r="Q15" s="80">
        <f>'Water Reading'!F15-'Water Reading'!F14</f>
        <v>0</v>
      </c>
      <c r="R15" s="87" t="e">
        <f t="shared" si="9"/>
        <v>#DIV/0!</v>
      </c>
      <c r="S15" s="79">
        <f>'Water Reading'!E15-'Water Reading'!E14</f>
        <v>0</v>
      </c>
      <c r="T15" s="87" t="e">
        <f t="shared" si="10"/>
        <v>#DIV/0!</v>
      </c>
      <c r="U15" s="79">
        <f>'Water Reading'!G15-'Water Reading'!G14</f>
        <v>0</v>
      </c>
      <c r="V15" s="87" t="e">
        <f t="shared" si="11"/>
        <v>#DIV/0!</v>
      </c>
      <c r="W15" s="80">
        <f>'Water Reading'!J15-'Water Reading'!J14</f>
        <v>0</v>
      </c>
      <c r="X15" s="87" t="e">
        <f t="shared" si="12"/>
        <v>#DIV/0!</v>
      </c>
      <c r="Y15" s="59">
        <f t="shared" si="0"/>
        <v>0</v>
      </c>
      <c r="Z15" s="60" t="e">
        <f t="shared" si="1"/>
        <v>#DIV/0!</v>
      </c>
    </row>
    <row r="16" spans="1:26" x14ac:dyDescent="0.25">
      <c r="A16" s="8">
        <f>'Water Reading'!A15</f>
        <v>44817</v>
      </c>
      <c r="B16" s="58">
        <f>TOTAL!I14</f>
        <v>0</v>
      </c>
      <c r="C16" s="59">
        <f>('Water Reading'!B16-'Water Reading'!B15)+('Water Reading'!C16-'Water Reading'!C15)</f>
        <v>0</v>
      </c>
      <c r="D16" s="60" t="e">
        <f t="shared" si="2"/>
        <v>#DIV/0!</v>
      </c>
      <c r="E16" s="77">
        <f>'Water Reading'!H16-'Water Reading'!H15</f>
        <v>0</v>
      </c>
      <c r="F16" s="78" t="e">
        <f t="shared" si="3"/>
        <v>#DIV/0!</v>
      </c>
      <c r="G16" s="82">
        <f>('Water Reading'!D16-'Water Reading'!D15)-('Water Reading'!R16-'Water Reading'!R15)-('Water Reading'!Q16-'Water Reading'!Q15)</f>
        <v>0</v>
      </c>
      <c r="H16" s="78" t="e">
        <f t="shared" si="4"/>
        <v>#DIV/0!</v>
      </c>
      <c r="I16" s="79">
        <f>'Water Reading'!P16-'Water Reading'!P15</f>
        <v>0</v>
      </c>
      <c r="J16" s="61" t="e">
        <f t="shared" si="5"/>
        <v>#DIV/0!</v>
      </c>
      <c r="K16" s="80">
        <f>('Water Reading'!I16-'Water Reading'!I15)-('Water Reading'!P16-'Water Reading'!P15)</f>
        <v>0</v>
      </c>
      <c r="L16" s="61" t="e">
        <f t="shared" si="6"/>
        <v>#DIV/0!</v>
      </c>
      <c r="M16" s="79">
        <f>'Water Reading'!R16-'Water Reading'!R15</f>
        <v>0</v>
      </c>
      <c r="N16" s="81" t="e">
        <f t="shared" si="7"/>
        <v>#DIV/0!</v>
      </c>
      <c r="O16" s="79">
        <f>'Water Reading'!Q16-'Water Reading'!Q15</f>
        <v>0</v>
      </c>
      <c r="P16" s="86" t="e">
        <f t="shared" si="8"/>
        <v>#DIV/0!</v>
      </c>
      <c r="Q16" s="80">
        <f>'Water Reading'!F16-'Water Reading'!F15</f>
        <v>0</v>
      </c>
      <c r="R16" s="87" t="e">
        <f t="shared" si="9"/>
        <v>#DIV/0!</v>
      </c>
      <c r="S16" s="79">
        <f>'Water Reading'!E16-'Water Reading'!E15</f>
        <v>0</v>
      </c>
      <c r="T16" s="87" t="e">
        <f t="shared" si="10"/>
        <v>#DIV/0!</v>
      </c>
      <c r="U16" s="79">
        <f>'Water Reading'!G16-'Water Reading'!G15</f>
        <v>0</v>
      </c>
      <c r="V16" s="87" t="e">
        <f t="shared" si="11"/>
        <v>#DIV/0!</v>
      </c>
      <c r="W16" s="80">
        <f>'Water Reading'!J16-'Water Reading'!J15</f>
        <v>0</v>
      </c>
      <c r="X16" s="87" t="e">
        <f t="shared" si="12"/>
        <v>#DIV/0!</v>
      </c>
      <c r="Y16" s="59">
        <f t="shared" si="0"/>
        <v>0</v>
      </c>
      <c r="Z16" s="60" t="e">
        <f t="shared" si="1"/>
        <v>#DIV/0!</v>
      </c>
    </row>
    <row r="17" spans="1:26" x14ac:dyDescent="0.25">
      <c r="A17" s="8">
        <f>'Water Reading'!A16</f>
        <v>44818</v>
      </c>
      <c r="B17" s="58">
        <f>TOTAL!I15</f>
        <v>0</v>
      </c>
      <c r="C17" s="59">
        <f>('Water Reading'!B17-'Water Reading'!B16)+('Water Reading'!C17-'Water Reading'!C16)</f>
        <v>0</v>
      </c>
      <c r="D17" s="60" t="e">
        <f t="shared" si="2"/>
        <v>#DIV/0!</v>
      </c>
      <c r="E17" s="77">
        <f>'Water Reading'!H17-'Water Reading'!H16</f>
        <v>0</v>
      </c>
      <c r="F17" s="78" t="e">
        <f t="shared" si="3"/>
        <v>#DIV/0!</v>
      </c>
      <c r="G17" s="82">
        <f>('Water Reading'!D17-'Water Reading'!D16)-('Water Reading'!R17-'Water Reading'!R16)-('Water Reading'!Q17-'Water Reading'!Q16)</f>
        <v>0</v>
      </c>
      <c r="H17" s="78" t="e">
        <f t="shared" si="4"/>
        <v>#DIV/0!</v>
      </c>
      <c r="I17" s="79">
        <f>'Water Reading'!P17-'Water Reading'!P16</f>
        <v>0</v>
      </c>
      <c r="J17" s="61" t="e">
        <f t="shared" si="5"/>
        <v>#DIV/0!</v>
      </c>
      <c r="K17" s="80">
        <f>('Water Reading'!I17-'Water Reading'!I16)-('Water Reading'!P17-'Water Reading'!P16)</f>
        <v>0</v>
      </c>
      <c r="L17" s="61" t="e">
        <f t="shared" si="6"/>
        <v>#DIV/0!</v>
      </c>
      <c r="M17" s="79">
        <f>'Water Reading'!R17-'Water Reading'!R16</f>
        <v>0</v>
      </c>
      <c r="N17" s="81" t="e">
        <f t="shared" si="7"/>
        <v>#DIV/0!</v>
      </c>
      <c r="O17" s="79">
        <f>'Water Reading'!Q17-'Water Reading'!Q16</f>
        <v>0</v>
      </c>
      <c r="P17" s="86" t="e">
        <f t="shared" si="8"/>
        <v>#DIV/0!</v>
      </c>
      <c r="Q17" s="80">
        <f>'Water Reading'!F17-'Water Reading'!F16</f>
        <v>0</v>
      </c>
      <c r="R17" s="87" t="e">
        <f t="shared" si="9"/>
        <v>#DIV/0!</v>
      </c>
      <c r="S17" s="79">
        <f>'Water Reading'!E17-'Water Reading'!E16</f>
        <v>0</v>
      </c>
      <c r="T17" s="87" t="e">
        <f t="shared" si="10"/>
        <v>#DIV/0!</v>
      </c>
      <c r="U17" s="79">
        <f>'Water Reading'!G17-'Water Reading'!G16</f>
        <v>0</v>
      </c>
      <c r="V17" s="87" t="e">
        <f t="shared" si="11"/>
        <v>#DIV/0!</v>
      </c>
      <c r="W17" s="80">
        <f>'Water Reading'!J17-'Water Reading'!J16</f>
        <v>0</v>
      </c>
      <c r="X17" s="87" t="e">
        <f t="shared" si="12"/>
        <v>#DIV/0!</v>
      </c>
      <c r="Y17" s="59">
        <f t="shared" si="0"/>
        <v>0</v>
      </c>
      <c r="Z17" s="60" t="e">
        <f t="shared" si="1"/>
        <v>#DIV/0!</v>
      </c>
    </row>
    <row r="18" spans="1:26" x14ac:dyDescent="0.25">
      <c r="A18" s="8">
        <f>'Water Reading'!A17</f>
        <v>44819</v>
      </c>
      <c r="B18" s="58">
        <f>TOTAL!I16</f>
        <v>0</v>
      </c>
      <c r="C18" s="59">
        <f>('Water Reading'!B18-'Water Reading'!B17)+('Water Reading'!C18-'Water Reading'!C17)</f>
        <v>0</v>
      </c>
      <c r="D18" s="60" t="e">
        <f t="shared" si="2"/>
        <v>#DIV/0!</v>
      </c>
      <c r="E18" s="77">
        <f>'Water Reading'!H18-'Water Reading'!H17</f>
        <v>0</v>
      </c>
      <c r="F18" s="78" t="e">
        <f t="shared" si="3"/>
        <v>#DIV/0!</v>
      </c>
      <c r="G18" s="82">
        <f>('Water Reading'!D18-'Water Reading'!D17)-('Water Reading'!R18-'Water Reading'!R17)-('Water Reading'!Q18-'Water Reading'!Q17)</f>
        <v>0</v>
      </c>
      <c r="H18" s="78" t="e">
        <f t="shared" si="4"/>
        <v>#DIV/0!</v>
      </c>
      <c r="I18" s="79">
        <f>'Water Reading'!P18-'Water Reading'!P17</f>
        <v>0</v>
      </c>
      <c r="J18" s="61" t="e">
        <f t="shared" si="5"/>
        <v>#DIV/0!</v>
      </c>
      <c r="K18" s="80">
        <f>('Water Reading'!I18-'Water Reading'!I17)-('Water Reading'!P18-'Water Reading'!P17)</f>
        <v>0</v>
      </c>
      <c r="L18" s="61" t="e">
        <f t="shared" si="6"/>
        <v>#DIV/0!</v>
      </c>
      <c r="M18" s="79">
        <f>'Water Reading'!R18-'Water Reading'!R17</f>
        <v>0</v>
      </c>
      <c r="N18" s="81" t="e">
        <f t="shared" si="7"/>
        <v>#DIV/0!</v>
      </c>
      <c r="O18" s="79">
        <f>'Water Reading'!Q18-'Water Reading'!Q17</f>
        <v>0</v>
      </c>
      <c r="P18" s="86" t="e">
        <f t="shared" si="8"/>
        <v>#DIV/0!</v>
      </c>
      <c r="Q18" s="80">
        <f>'Water Reading'!F18-'Water Reading'!F17</f>
        <v>0</v>
      </c>
      <c r="R18" s="87" t="e">
        <f t="shared" si="9"/>
        <v>#DIV/0!</v>
      </c>
      <c r="S18" s="79">
        <f>'Water Reading'!E18-'Water Reading'!E17</f>
        <v>0</v>
      </c>
      <c r="T18" s="87" t="e">
        <f t="shared" si="10"/>
        <v>#DIV/0!</v>
      </c>
      <c r="U18" s="79">
        <f>'Water Reading'!G18-'Water Reading'!G17</f>
        <v>0</v>
      </c>
      <c r="V18" s="87" t="e">
        <f t="shared" si="11"/>
        <v>#DIV/0!</v>
      </c>
      <c r="W18" s="80">
        <f>'Water Reading'!J18-'Water Reading'!J17</f>
        <v>0</v>
      </c>
      <c r="X18" s="87" t="e">
        <f t="shared" si="12"/>
        <v>#DIV/0!</v>
      </c>
      <c r="Y18" s="59">
        <f t="shared" si="0"/>
        <v>0</v>
      </c>
      <c r="Z18" s="60" t="e">
        <f t="shared" si="1"/>
        <v>#DIV/0!</v>
      </c>
    </row>
    <row r="19" spans="1:26" x14ac:dyDescent="0.25">
      <c r="A19" s="8">
        <f>'Water Reading'!A18</f>
        <v>44820</v>
      </c>
      <c r="B19" s="58">
        <f>TOTAL!I17</f>
        <v>0</v>
      </c>
      <c r="C19" s="59">
        <f>('Water Reading'!B19-'Water Reading'!B18)+('Water Reading'!C19-'Water Reading'!C18)</f>
        <v>0</v>
      </c>
      <c r="D19" s="60" t="e">
        <f t="shared" si="2"/>
        <v>#DIV/0!</v>
      </c>
      <c r="E19" s="77">
        <f>'Water Reading'!H19-'Water Reading'!H18</f>
        <v>0</v>
      </c>
      <c r="F19" s="78" t="e">
        <f t="shared" si="3"/>
        <v>#DIV/0!</v>
      </c>
      <c r="G19" s="82">
        <f>('Water Reading'!D19-'Water Reading'!D18)-('Water Reading'!R19-'Water Reading'!R18)-('Water Reading'!Q19-'Water Reading'!Q18)</f>
        <v>0</v>
      </c>
      <c r="H19" s="78" t="e">
        <f t="shared" si="4"/>
        <v>#DIV/0!</v>
      </c>
      <c r="I19" s="79">
        <f>'Water Reading'!P19-'Water Reading'!P18</f>
        <v>0</v>
      </c>
      <c r="J19" s="61" t="e">
        <f t="shared" si="5"/>
        <v>#DIV/0!</v>
      </c>
      <c r="K19" s="80">
        <f>('Water Reading'!I19-'Water Reading'!I18)-('Water Reading'!P19-'Water Reading'!P18)</f>
        <v>0</v>
      </c>
      <c r="L19" s="61" t="e">
        <f t="shared" si="6"/>
        <v>#DIV/0!</v>
      </c>
      <c r="M19" s="79">
        <f>'Water Reading'!R19-'Water Reading'!R18</f>
        <v>0</v>
      </c>
      <c r="N19" s="81" t="e">
        <f t="shared" si="7"/>
        <v>#DIV/0!</v>
      </c>
      <c r="O19" s="79">
        <f>'Water Reading'!Q19-'Water Reading'!Q18</f>
        <v>0</v>
      </c>
      <c r="P19" s="86" t="e">
        <f t="shared" si="8"/>
        <v>#DIV/0!</v>
      </c>
      <c r="Q19" s="80">
        <f>'Water Reading'!F19-'Water Reading'!F18</f>
        <v>0</v>
      </c>
      <c r="R19" s="87" t="e">
        <f t="shared" si="9"/>
        <v>#DIV/0!</v>
      </c>
      <c r="S19" s="79">
        <f>'Water Reading'!E19-'Water Reading'!E18</f>
        <v>0</v>
      </c>
      <c r="T19" s="87" t="e">
        <f t="shared" si="10"/>
        <v>#DIV/0!</v>
      </c>
      <c r="U19" s="79">
        <f>'Water Reading'!G19-'Water Reading'!G18</f>
        <v>0</v>
      </c>
      <c r="V19" s="87" t="e">
        <f t="shared" si="11"/>
        <v>#DIV/0!</v>
      </c>
      <c r="W19" s="80">
        <f>'Water Reading'!J19-'Water Reading'!J18</f>
        <v>0</v>
      </c>
      <c r="X19" s="87" t="e">
        <f t="shared" si="12"/>
        <v>#DIV/0!</v>
      </c>
      <c r="Y19" s="59">
        <f t="shared" si="0"/>
        <v>0</v>
      </c>
      <c r="Z19" s="60" t="e">
        <f t="shared" si="1"/>
        <v>#DIV/0!</v>
      </c>
    </row>
    <row r="20" spans="1:26" x14ac:dyDescent="0.25">
      <c r="A20" s="8">
        <f>'Water Reading'!A19</f>
        <v>44821</v>
      </c>
      <c r="B20" s="58">
        <f>TOTAL!I18</f>
        <v>0</v>
      </c>
      <c r="C20" s="59">
        <f>('Water Reading'!B20-'Water Reading'!B19)+('Water Reading'!C20-'Water Reading'!C19)</f>
        <v>0</v>
      </c>
      <c r="D20" s="60" t="e">
        <f t="shared" si="2"/>
        <v>#DIV/0!</v>
      </c>
      <c r="E20" s="77">
        <f>'Water Reading'!H20-'Water Reading'!H19</f>
        <v>0</v>
      </c>
      <c r="F20" s="78" t="e">
        <f t="shared" si="3"/>
        <v>#DIV/0!</v>
      </c>
      <c r="G20" s="82">
        <f>('Water Reading'!D20-'Water Reading'!D19)-(7)-(3)</f>
        <v>-10</v>
      </c>
      <c r="H20" s="78" t="e">
        <f t="shared" si="4"/>
        <v>#DIV/0!</v>
      </c>
      <c r="I20" s="79">
        <f>'Water Reading'!P20-'Water Reading'!P19</f>
        <v>0</v>
      </c>
      <c r="J20" s="61" t="e">
        <f t="shared" si="5"/>
        <v>#DIV/0!</v>
      </c>
      <c r="K20" s="80">
        <f>('Water Reading'!I20-'Water Reading'!I19)-('Water Reading'!P20-'Water Reading'!P19)</f>
        <v>0</v>
      </c>
      <c r="L20" s="61" t="e">
        <f t="shared" si="6"/>
        <v>#DIV/0!</v>
      </c>
      <c r="M20" s="79">
        <f>'Water Reading'!R20-'Water Reading'!R19</f>
        <v>0</v>
      </c>
      <c r="N20" s="81" t="e">
        <f t="shared" si="7"/>
        <v>#DIV/0!</v>
      </c>
      <c r="O20" s="79">
        <f>'Water Reading'!Q20-'Water Reading'!Q19</f>
        <v>0</v>
      </c>
      <c r="P20" s="86" t="e">
        <f t="shared" si="8"/>
        <v>#DIV/0!</v>
      </c>
      <c r="Q20" s="80">
        <f>'Water Reading'!F20-'Water Reading'!F19</f>
        <v>0</v>
      </c>
      <c r="R20" s="87" t="e">
        <f t="shared" si="9"/>
        <v>#DIV/0!</v>
      </c>
      <c r="S20" s="79">
        <f>'Water Reading'!E20-'Water Reading'!E19</f>
        <v>0</v>
      </c>
      <c r="T20" s="87" t="e">
        <f t="shared" si="10"/>
        <v>#DIV/0!</v>
      </c>
      <c r="U20" s="79">
        <f>'Water Reading'!G20-'Water Reading'!G19</f>
        <v>0</v>
      </c>
      <c r="V20" s="87" t="e">
        <f t="shared" si="11"/>
        <v>#DIV/0!</v>
      </c>
      <c r="W20" s="117">
        <f>'Water Reading'!J20-'Water Reading'!J19</f>
        <v>0</v>
      </c>
      <c r="X20" s="87" t="e">
        <f t="shared" si="12"/>
        <v>#DIV/0!</v>
      </c>
      <c r="Y20" s="59">
        <f t="shared" si="0"/>
        <v>-10</v>
      </c>
      <c r="Z20" s="60" t="e">
        <f t="shared" si="1"/>
        <v>#DIV/0!</v>
      </c>
    </row>
    <row r="21" spans="1:26" x14ac:dyDescent="0.25">
      <c r="A21" s="8">
        <f>'Water Reading'!A20</f>
        <v>44822</v>
      </c>
      <c r="B21" s="58">
        <f>TOTAL!I19</f>
        <v>0</v>
      </c>
      <c r="C21" s="59">
        <f>('Water Reading'!B21-'Water Reading'!B20)+('Water Reading'!C21-'Water Reading'!C20)</f>
        <v>0</v>
      </c>
      <c r="D21" s="60" t="e">
        <f t="shared" si="2"/>
        <v>#DIV/0!</v>
      </c>
      <c r="E21" s="77">
        <f>'Water Reading'!H21-'Water Reading'!H20</f>
        <v>0</v>
      </c>
      <c r="F21" s="78" t="e">
        <f t="shared" si="3"/>
        <v>#DIV/0!</v>
      </c>
      <c r="G21" s="82">
        <f>('Water Reading'!D21-'Water Reading'!D20)-('Water Reading'!R21-'Water Reading'!R20)-('Water Reading'!Q21-'Water Reading'!Q20)</f>
        <v>0</v>
      </c>
      <c r="H21" s="78" t="e">
        <f t="shared" si="4"/>
        <v>#DIV/0!</v>
      </c>
      <c r="I21" s="79">
        <f>'Water Reading'!P21-'Water Reading'!P20</f>
        <v>0</v>
      </c>
      <c r="J21" s="61" t="e">
        <f t="shared" si="5"/>
        <v>#DIV/0!</v>
      </c>
      <c r="K21" s="80">
        <f>('Water Reading'!I21-'Water Reading'!I20)-('Water Reading'!P21-'Water Reading'!P20)</f>
        <v>0</v>
      </c>
      <c r="L21" s="61" t="e">
        <f t="shared" si="6"/>
        <v>#DIV/0!</v>
      </c>
      <c r="M21" s="79">
        <f>'Water Reading'!R21-'Water Reading'!R20</f>
        <v>0</v>
      </c>
      <c r="N21" s="81" t="e">
        <f t="shared" si="7"/>
        <v>#DIV/0!</v>
      </c>
      <c r="O21" s="79">
        <f>'Water Reading'!Q21-'Water Reading'!Q20</f>
        <v>0</v>
      </c>
      <c r="P21" s="86" t="e">
        <f t="shared" si="8"/>
        <v>#DIV/0!</v>
      </c>
      <c r="Q21" s="80">
        <f>'Water Reading'!F21-'Water Reading'!F20</f>
        <v>0</v>
      </c>
      <c r="R21" s="87" t="e">
        <f t="shared" si="9"/>
        <v>#DIV/0!</v>
      </c>
      <c r="S21" s="79">
        <f>'Water Reading'!E21-'Water Reading'!E20</f>
        <v>0</v>
      </c>
      <c r="T21" s="87" t="e">
        <f t="shared" si="10"/>
        <v>#DIV/0!</v>
      </c>
      <c r="U21" s="79">
        <f>'Water Reading'!G21-'Water Reading'!G20</f>
        <v>0</v>
      </c>
      <c r="V21" s="87" t="e">
        <f t="shared" si="11"/>
        <v>#DIV/0!</v>
      </c>
      <c r="W21" s="80">
        <f>'Water Reading'!J21-'Water Reading'!J20</f>
        <v>0</v>
      </c>
      <c r="X21" s="87" t="e">
        <f t="shared" si="12"/>
        <v>#DIV/0!</v>
      </c>
      <c r="Y21" s="59">
        <f t="shared" si="0"/>
        <v>0</v>
      </c>
      <c r="Z21" s="60" t="e">
        <f t="shared" si="1"/>
        <v>#DIV/0!</v>
      </c>
    </row>
    <row r="22" spans="1:26" x14ac:dyDescent="0.25">
      <c r="A22" s="8">
        <f>'Water Reading'!A21</f>
        <v>44823</v>
      </c>
      <c r="B22" s="58">
        <f>TOTAL!I20</f>
        <v>0</v>
      </c>
      <c r="C22" s="59">
        <f>('Water Reading'!B22-'Water Reading'!B21)+('Water Reading'!C22-'Water Reading'!C21)</f>
        <v>0</v>
      </c>
      <c r="D22" s="60" t="e">
        <f t="shared" si="2"/>
        <v>#DIV/0!</v>
      </c>
      <c r="E22" s="77">
        <f>'Water Reading'!H22-'Water Reading'!H21</f>
        <v>0</v>
      </c>
      <c r="F22" s="78" t="e">
        <f t="shared" si="3"/>
        <v>#DIV/0!</v>
      </c>
      <c r="G22" s="82">
        <f>('Water Reading'!D22-'Water Reading'!D21)-('Water Reading'!R22-'Water Reading'!R21)-('Water Reading'!Q22-'Water Reading'!Q21)</f>
        <v>0</v>
      </c>
      <c r="H22" s="78" t="e">
        <f t="shared" si="4"/>
        <v>#DIV/0!</v>
      </c>
      <c r="I22" s="125">
        <f>'Water Reading'!P22-'Water Reading'!P21</f>
        <v>0</v>
      </c>
      <c r="J22" s="61" t="e">
        <f t="shared" si="5"/>
        <v>#DIV/0!</v>
      </c>
      <c r="K22" s="80">
        <f>('Water Reading'!I22-'Water Reading'!I21)-('Water Reading'!P22-'Water Reading'!P21)</f>
        <v>0</v>
      </c>
      <c r="L22" s="61" t="e">
        <f t="shared" si="6"/>
        <v>#DIV/0!</v>
      </c>
      <c r="M22" s="79">
        <f>'Water Reading'!R22-'Water Reading'!R21</f>
        <v>0</v>
      </c>
      <c r="N22" s="81" t="e">
        <f t="shared" si="7"/>
        <v>#DIV/0!</v>
      </c>
      <c r="O22" s="79">
        <f>'Water Reading'!Q22-'Water Reading'!Q21</f>
        <v>0</v>
      </c>
      <c r="P22" s="86" t="e">
        <f t="shared" si="8"/>
        <v>#DIV/0!</v>
      </c>
      <c r="Q22" s="80">
        <f>'Water Reading'!F22-'Water Reading'!F21</f>
        <v>0</v>
      </c>
      <c r="R22" s="87" t="e">
        <f t="shared" si="9"/>
        <v>#DIV/0!</v>
      </c>
      <c r="S22" s="79">
        <f>'Water Reading'!E22-'Water Reading'!E21</f>
        <v>0</v>
      </c>
      <c r="T22" s="87" t="e">
        <f t="shared" si="10"/>
        <v>#DIV/0!</v>
      </c>
      <c r="U22" s="79">
        <f>'Water Reading'!G22-'Water Reading'!G21</f>
        <v>0</v>
      </c>
      <c r="V22" s="87" t="e">
        <f t="shared" si="11"/>
        <v>#DIV/0!</v>
      </c>
      <c r="W22" s="80">
        <f>'Water Reading'!J22-'Water Reading'!J21</f>
        <v>0</v>
      </c>
      <c r="X22" s="87" t="e">
        <f t="shared" si="12"/>
        <v>#DIV/0!</v>
      </c>
      <c r="Y22" s="59">
        <f t="shared" si="0"/>
        <v>0</v>
      </c>
      <c r="Z22" s="60" t="e">
        <f t="shared" si="1"/>
        <v>#DIV/0!</v>
      </c>
    </row>
    <row r="23" spans="1:26" x14ac:dyDescent="0.25">
      <c r="A23" s="8">
        <f>'Water Reading'!A22</f>
        <v>44824</v>
      </c>
      <c r="B23" s="58">
        <f>TOTAL!I21</f>
        <v>0</v>
      </c>
      <c r="C23" s="59">
        <f>('Water Reading'!B23-'Water Reading'!B22)+('Water Reading'!C23-'Water Reading'!C22)</f>
        <v>0</v>
      </c>
      <c r="D23" s="60" t="e">
        <f t="shared" si="2"/>
        <v>#DIV/0!</v>
      </c>
      <c r="E23" s="77">
        <f>'Water Reading'!H23-'Water Reading'!H22</f>
        <v>0</v>
      </c>
      <c r="F23" s="78" t="e">
        <f t="shared" si="3"/>
        <v>#DIV/0!</v>
      </c>
      <c r="G23" s="82">
        <f>('Water Reading'!D23-'Water Reading'!D22)-('Water Reading'!R23-'Water Reading'!R22)-('Water Reading'!Q23-'Water Reading'!Q22)</f>
        <v>0</v>
      </c>
      <c r="H23" s="78" t="e">
        <f t="shared" si="4"/>
        <v>#DIV/0!</v>
      </c>
      <c r="I23" s="125">
        <f>'Water Reading'!P23-'Water Reading'!P22</f>
        <v>0</v>
      </c>
      <c r="J23" s="61" t="e">
        <f t="shared" si="5"/>
        <v>#DIV/0!</v>
      </c>
      <c r="K23" s="80">
        <f>('Water Reading'!I23-'Water Reading'!I22)-('Water Reading'!P23-'Water Reading'!P22)</f>
        <v>0</v>
      </c>
      <c r="L23" s="61" t="e">
        <f t="shared" si="6"/>
        <v>#DIV/0!</v>
      </c>
      <c r="M23" s="79">
        <f>'Water Reading'!R23-'Water Reading'!R22</f>
        <v>0</v>
      </c>
      <c r="N23" s="81" t="e">
        <f t="shared" si="7"/>
        <v>#DIV/0!</v>
      </c>
      <c r="O23" s="79">
        <f>'Water Reading'!Q23-'Water Reading'!Q22</f>
        <v>0</v>
      </c>
      <c r="P23" s="86" t="e">
        <f t="shared" si="8"/>
        <v>#DIV/0!</v>
      </c>
      <c r="Q23" s="80">
        <f>'Water Reading'!F23-'Water Reading'!F22</f>
        <v>0</v>
      </c>
      <c r="R23" s="87" t="e">
        <f t="shared" si="9"/>
        <v>#DIV/0!</v>
      </c>
      <c r="S23" s="79">
        <f>'Water Reading'!E23-'Water Reading'!E22</f>
        <v>0</v>
      </c>
      <c r="T23" s="87" t="e">
        <f t="shared" si="10"/>
        <v>#DIV/0!</v>
      </c>
      <c r="U23" s="79">
        <f>'Water Reading'!G23-'Water Reading'!G22</f>
        <v>0</v>
      </c>
      <c r="V23" s="87" t="e">
        <f t="shared" si="11"/>
        <v>#DIV/0!</v>
      </c>
      <c r="W23" s="80">
        <f>'Water Reading'!J23-'Water Reading'!J22</f>
        <v>0</v>
      </c>
      <c r="X23" s="87" t="e">
        <f t="shared" si="12"/>
        <v>#DIV/0!</v>
      </c>
      <c r="Y23" s="59">
        <f t="shared" si="0"/>
        <v>0</v>
      </c>
      <c r="Z23" s="60" t="e">
        <f t="shared" si="1"/>
        <v>#DIV/0!</v>
      </c>
    </row>
    <row r="24" spans="1:26" x14ac:dyDescent="0.25">
      <c r="A24" s="8">
        <f>'Water Reading'!A23</f>
        <v>44825</v>
      </c>
      <c r="B24" s="58">
        <f>TOTAL!I22</f>
        <v>0</v>
      </c>
      <c r="C24" s="59">
        <f>('Water Reading'!B24-'Water Reading'!B23)+('Water Reading'!C24-'Water Reading'!C23)</f>
        <v>0</v>
      </c>
      <c r="D24" s="60" t="e">
        <f t="shared" si="2"/>
        <v>#DIV/0!</v>
      </c>
      <c r="E24" s="77">
        <f>'Water Reading'!H24-'Water Reading'!H23</f>
        <v>0</v>
      </c>
      <c r="F24" s="78" t="e">
        <f t="shared" si="3"/>
        <v>#DIV/0!</v>
      </c>
      <c r="G24" s="82">
        <f>('Water Reading'!D24-'Water Reading'!D23)-('Water Reading'!R24-'Water Reading'!R23)-('Water Reading'!Q24-'Water Reading'!Q23)</f>
        <v>0</v>
      </c>
      <c r="H24" s="78" t="e">
        <f t="shared" si="4"/>
        <v>#DIV/0!</v>
      </c>
      <c r="I24" s="79">
        <f>'Water Reading'!P24-'Water Reading'!P23</f>
        <v>0</v>
      </c>
      <c r="J24" s="61" t="e">
        <f t="shared" si="5"/>
        <v>#DIV/0!</v>
      </c>
      <c r="K24" s="80">
        <f>('Water Reading'!I24-'Water Reading'!I23)-('Water Reading'!P24-'Water Reading'!P23)</f>
        <v>0</v>
      </c>
      <c r="L24" s="61" t="e">
        <f t="shared" si="6"/>
        <v>#DIV/0!</v>
      </c>
      <c r="M24" s="79">
        <f>'Water Reading'!R24-'Water Reading'!R23</f>
        <v>0</v>
      </c>
      <c r="N24" s="81" t="e">
        <f t="shared" si="7"/>
        <v>#DIV/0!</v>
      </c>
      <c r="O24" s="79">
        <f>'Water Reading'!Q24-'Water Reading'!Q23</f>
        <v>0</v>
      </c>
      <c r="P24" s="86" t="e">
        <f t="shared" si="8"/>
        <v>#DIV/0!</v>
      </c>
      <c r="Q24" s="80">
        <f>'Water Reading'!F24-'Water Reading'!F23</f>
        <v>0</v>
      </c>
      <c r="R24" s="87" t="e">
        <f t="shared" si="9"/>
        <v>#DIV/0!</v>
      </c>
      <c r="S24" s="79">
        <f>'Water Reading'!E24-'Water Reading'!E23</f>
        <v>0</v>
      </c>
      <c r="T24" s="87" t="e">
        <f t="shared" si="10"/>
        <v>#DIV/0!</v>
      </c>
      <c r="U24" s="79">
        <f>'Water Reading'!G24-'Water Reading'!G23</f>
        <v>0</v>
      </c>
      <c r="V24" s="87" t="e">
        <f t="shared" si="11"/>
        <v>#DIV/0!</v>
      </c>
      <c r="W24" s="80">
        <f>'Water Reading'!J24-'Water Reading'!J23</f>
        <v>0</v>
      </c>
      <c r="X24" s="87" t="e">
        <f t="shared" si="12"/>
        <v>#DIV/0!</v>
      </c>
      <c r="Y24" s="59">
        <f t="shared" si="0"/>
        <v>0</v>
      </c>
      <c r="Z24" s="60" t="e">
        <f t="shared" si="1"/>
        <v>#DIV/0!</v>
      </c>
    </row>
    <row r="25" spans="1:26" x14ac:dyDescent="0.25">
      <c r="A25" s="8">
        <f>'Water Reading'!A24</f>
        <v>44826</v>
      </c>
      <c r="B25" s="58">
        <f>TOTAL!I23</f>
        <v>0</v>
      </c>
      <c r="C25" s="59">
        <f>('Water Reading'!B25-'Water Reading'!B24)+('Water Reading'!C25-'Water Reading'!C24)</f>
        <v>0</v>
      </c>
      <c r="D25" s="60" t="e">
        <f t="shared" si="2"/>
        <v>#DIV/0!</v>
      </c>
      <c r="E25" s="77">
        <f>'Water Reading'!H25-'Water Reading'!H24</f>
        <v>0</v>
      </c>
      <c r="F25" s="78" t="e">
        <f t="shared" si="3"/>
        <v>#DIV/0!</v>
      </c>
      <c r="G25" s="82">
        <f>('Water Reading'!D25-'Water Reading'!D24)-('Water Reading'!R25-'Water Reading'!R24)-('Water Reading'!Q25-'Water Reading'!Q24)</f>
        <v>0</v>
      </c>
      <c r="H25" s="78" t="e">
        <f t="shared" si="4"/>
        <v>#DIV/0!</v>
      </c>
      <c r="I25" s="79">
        <f>'Water Reading'!P25-'Water Reading'!P24</f>
        <v>0</v>
      </c>
      <c r="J25" s="61" t="e">
        <f t="shared" si="5"/>
        <v>#DIV/0!</v>
      </c>
      <c r="K25" s="80">
        <f>('Water Reading'!I25-'Water Reading'!I24)-('Water Reading'!P25-'Water Reading'!P24)</f>
        <v>0</v>
      </c>
      <c r="L25" s="61" t="e">
        <f t="shared" si="6"/>
        <v>#DIV/0!</v>
      </c>
      <c r="M25" s="79">
        <f>'Water Reading'!R25-'Water Reading'!R24</f>
        <v>0</v>
      </c>
      <c r="N25" s="81" t="e">
        <f t="shared" si="7"/>
        <v>#DIV/0!</v>
      </c>
      <c r="O25" s="79">
        <f>'Water Reading'!Q25-'Water Reading'!Q24</f>
        <v>0</v>
      </c>
      <c r="P25" s="86" t="e">
        <f t="shared" si="8"/>
        <v>#DIV/0!</v>
      </c>
      <c r="Q25" s="80">
        <f>'Water Reading'!F25-'Water Reading'!F24</f>
        <v>0</v>
      </c>
      <c r="R25" s="87" t="e">
        <f t="shared" si="9"/>
        <v>#DIV/0!</v>
      </c>
      <c r="S25" s="79">
        <f>'Water Reading'!E25-'Water Reading'!E24</f>
        <v>0</v>
      </c>
      <c r="T25" s="87" t="e">
        <f t="shared" si="10"/>
        <v>#DIV/0!</v>
      </c>
      <c r="U25" s="79">
        <f>'Water Reading'!G25-'Water Reading'!G24</f>
        <v>0</v>
      </c>
      <c r="V25" s="87" t="e">
        <f t="shared" si="11"/>
        <v>#DIV/0!</v>
      </c>
      <c r="W25" s="80">
        <f>'Water Reading'!J25-'Water Reading'!J24</f>
        <v>0</v>
      </c>
      <c r="X25" s="87" t="e">
        <f t="shared" si="12"/>
        <v>#DIV/0!</v>
      </c>
      <c r="Y25" s="59">
        <f t="shared" si="0"/>
        <v>0</v>
      </c>
      <c r="Z25" s="60" t="e">
        <f t="shared" si="1"/>
        <v>#DIV/0!</v>
      </c>
    </row>
    <row r="26" spans="1:26" x14ac:dyDescent="0.25">
      <c r="A26" s="8">
        <f>'Water Reading'!A25</f>
        <v>44827</v>
      </c>
      <c r="B26" s="58">
        <f>TOTAL!I24</f>
        <v>0</v>
      </c>
      <c r="C26" s="59">
        <f>('Water Reading'!B26-'Water Reading'!B25)+('Water Reading'!C26-'Water Reading'!C25)</f>
        <v>0</v>
      </c>
      <c r="D26" s="60" t="e">
        <f t="shared" si="2"/>
        <v>#DIV/0!</v>
      </c>
      <c r="E26" s="77">
        <f>'Water Reading'!H26-'Water Reading'!H25</f>
        <v>0</v>
      </c>
      <c r="F26" s="78" t="e">
        <f t="shared" si="3"/>
        <v>#DIV/0!</v>
      </c>
      <c r="G26" s="82">
        <f>('Water Reading'!D26-'Water Reading'!D25)-('Water Reading'!R26-'Water Reading'!R25)-('Water Reading'!Q26-'Water Reading'!Q25)</f>
        <v>0</v>
      </c>
      <c r="H26" s="78" t="e">
        <f t="shared" si="4"/>
        <v>#DIV/0!</v>
      </c>
      <c r="I26" s="79">
        <f>'Water Reading'!P26-'Water Reading'!P25</f>
        <v>0</v>
      </c>
      <c r="J26" s="61" t="e">
        <f t="shared" si="5"/>
        <v>#DIV/0!</v>
      </c>
      <c r="K26" s="80">
        <f>('Water Reading'!I26-'Water Reading'!I25)-('Water Reading'!P26-'Water Reading'!P25)</f>
        <v>0</v>
      </c>
      <c r="L26" s="61" t="e">
        <f t="shared" si="6"/>
        <v>#DIV/0!</v>
      </c>
      <c r="M26" s="79">
        <f>'Water Reading'!R26-'Water Reading'!R25</f>
        <v>0</v>
      </c>
      <c r="N26" s="81" t="e">
        <f t="shared" si="7"/>
        <v>#DIV/0!</v>
      </c>
      <c r="O26" s="79">
        <f>'Water Reading'!Q26-'Water Reading'!Q25</f>
        <v>0</v>
      </c>
      <c r="P26" s="86" t="e">
        <f t="shared" si="8"/>
        <v>#DIV/0!</v>
      </c>
      <c r="Q26" s="80">
        <f>'Water Reading'!F26-'Water Reading'!F25</f>
        <v>0</v>
      </c>
      <c r="R26" s="87" t="e">
        <f t="shared" si="9"/>
        <v>#DIV/0!</v>
      </c>
      <c r="S26" s="79">
        <f>'Water Reading'!E26-'Water Reading'!E25</f>
        <v>0</v>
      </c>
      <c r="T26" s="87" t="e">
        <f t="shared" si="10"/>
        <v>#DIV/0!</v>
      </c>
      <c r="U26" s="79">
        <f>'Water Reading'!G26-'Water Reading'!G25</f>
        <v>0</v>
      </c>
      <c r="V26" s="87" t="e">
        <f t="shared" si="11"/>
        <v>#DIV/0!</v>
      </c>
      <c r="W26" s="80">
        <f>'Water Reading'!J26-'Water Reading'!J25</f>
        <v>0</v>
      </c>
      <c r="X26" s="87" t="e">
        <f t="shared" si="12"/>
        <v>#DIV/0!</v>
      </c>
      <c r="Y26" s="59">
        <f t="shared" si="0"/>
        <v>0</v>
      </c>
      <c r="Z26" s="60" t="e">
        <f t="shared" si="1"/>
        <v>#DIV/0!</v>
      </c>
    </row>
    <row r="27" spans="1:26" x14ac:dyDescent="0.25">
      <c r="A27" s="8">
        <f>'Water Reading'!A26</f>
        <v>44828</v>
      </c>
      <c r="B27" s="58">
        <f>TOTAL!I25</f>
        <v>0</v>
      </c>
      <c r="C27" s="59">
        <f>('Water Reading'!B27-'Water Reading'!B26)+('Water Reading'!C27-'Water Reading'!C26)</f>
        <v>0</v>
      </c>
      <c r="D27" s="60" t="e">
        <f t="shared" si="2"/>
        <v>#DIV/0!</v>
      </c>
      <c r="E27" s="77">
        <f>'Water Reading'!H27-'Water Reading'!H26</f>
        <v>0</v>
      </c>
      <c r="F27" s="78" t="e">
        <f t="shared" si="3"/>
        <v>#DIV/0!</v>
      </c>
      <c r="G27" s="82">
        <f>('Water Reading'!D27-'Water Reading'!D26)-('Water Reading'!R27-'Water Reading'!R26)-('Water Reading'!Q27-'Water Reading'!Q26)</f>
        <v>0</v>
      </c>
      <c r="H27" s="78" t="e">
        <f t="shared" si="4"/>
        <v>#DIV/0!</v>
      </c>
      <c r="I27" s="79">
        <f>'Water Reading'!P27-'Water Reading'!P26</f>
        <v>0</v>
      </c>
      <c r="J27" s="61" t="e">
        <f t="shared" si="5"/>
        <v>#DIV/0!</v>
      </c>
      <c r="K27" s="80">
        <f>('Water Reading'!I27-'Water Reading'!I26)-('Water Reading'!P27-'Water Reading'!P26)</f>
        <v>0</v>
      </c>
      <c r="L27" s="61" t="e">
        <f t="shared" si="6"/>
        <v>#DIV/0!</v>
      </c>
      <c r="M27" s="79">
        <f>'Water Reading'!R27-'Water Reading'!R26</f>
        <v>0</v>
      </c>
      <c r="N27" s="81" t="e">
        <f t="shared" si="7"/>
        <v>#DIV/0!</v>
      </c>
      <c r="O27" s="79">
        <f>'Water Reading'!Q27-'Water Reading'!Q26</f>
        <v>0</v>
      </c>
      <c r="P27" s="86" t="e">
        <f t="shared" si="8"/>
        <v>#DIV/0!</v>
      </c>
      <c r="Q27" s="80">
        <f>'Water Reading'!F27-'Water Reading'!F26</f>
        <v>0</v>
      </c>
      <c r="R27" s="87" t="e">
        <f t="shared" si="9"/>
        <v>#DIV/0!</v>
      </c>
      <c r="S27" s="79">
        <f>'Water Reading'!E27-'Water Reading'!E26</f>
        <v>0</v>
      </c>
      <c r="T27" s="87" t="e">
        <f t="shared" si="10"/>
        <v>#DIV/0!</v>
      </c>
      <c r="U27" s="79">
        <f>'Water Reading'!G27-'Water Reading'!G26</f>
        <v>0</v>
      </c>
      <c r="V27" s="87" t="e">
        <f t="shared" si="11"/>
        <v>#DIV/0!</v>
      </c>
      <c r="W27" s="80">
        <f>'Water Reading'!J27-'Water Reading'!J26</f>
        <v>0</v>
      </c>
      <c r="X27" s="87" t="e">
        <f t="shared" si="12"/>
        <v>#DIV/0!</v>
      </c>
      <c r="Y27" s="59">
        <f t="shared" si="0"/>
        <v>0</v>
      </c>
      <c r="Z27" s="60" t="e">
        <f t="shared" si="1"/>
        <v>#DIV/0!</v>
      </c>
    </row>
    <row r="28" spans="1:26" x14ac:dyDescent="0.25">
      <c r="A28" s="8">
        <f>'Water Reading'!A27</f>
        <v>44829</v>
      </c>
      <c r="B28" s="58">
        <f>TOTAL!I26</f>
        <v>0</v>
      </c>
      <c r="C28" s="59">
        <f>('Water Reading'!B28-'Water Reading'!B27)+('Water Reading'!C28-'Water Reading'!C27)</f>
        <v>0</v>
      </c>
      <c r="D28" s="60" t="e">
        <f t="shared" si="2"/>
        <v>#DIV/0!</v>
      </c>
      <c r="E28" s="77">
        <f>'Water Reading'!H28-'Water Reading'!H27</f>
        <v>0</v>
      </c>
      <c r="F28" s="78" t="e">
        <f t="shared" si="3"/>
        <v>#DIV/0!</v>
      </c>
      <c r="G28" s="82">
        <f>('Water Reading'!D28-'Water Reading'!D27)-('Water Reading'!R28-'Water Reading'!R27)-('Water Reading'!Q28-'Water Reading'!Q27)</f>
        <v>0</v>
      </c>
      <c r="H28" s="78" t="e">
        <f t="shared" si="4"/>
        <v>#DIV/0!</v>
      </c>
      <c r="I28" s="79">
        <f>'Water Reading'!P28-'Water Reading'!P27</f>
        <v>0</v>
      </c>
      <c r="J28" s="61" t="e">
        <f t="shared" si="5"/>
        <v>#DIV/0!</v>
      </c>
      <c r="K28" s="117">
        <f>('Water Reading'!I28-'Water Reading'!I27)-('Water Reading'!P28-'Water Reading'!P27)</f>
        <v>0</v>
      </c>
      <c r="L28" s="126" t="e">
        <f t="shared" si="6"/>
        <v>#DIV/0!</v>
      </c>
      <c r="M28" s="79">
        <f>'Water Reading'!R28-'Water Reading'!R27</f>
        <v>0</v>
      </c>
      <c r="N28" s="81" t="e">
        <f t="shared" si="7"/>
        <v>#DIV/0!</v>
      </c>
      <c r="O28" s="79">
        <f>'Water Reading'!Q28-'Water Reading'!Q27</f>
        <v>0</v>
      </c>
      <c r="P28" s="86" t="e">
        <f t="shared" si="8"/>
        <v>#DIV/0!</v>
      </c>
      <c r="Q28" s="80">
        <f>'Water Reading'!F28-'Water Reading'!F27</f>
        <v>0</v>
      </c>
      <c r="R28" s="87" t="e">
        <f t="shared" si="9"/>
        <v>#DIV/0!</v>
      </c>
      <c r="S28" s="79">
        <f>'Water Reading'!E28-'Water Reading'!E27</f>
        <v>0</v>
      </c>
      <c r="T28" s="87" t="e">
        <f t="shared" si="10"/>
        <v>#DIV/0!</v>
      </c>
      <c r="U28" s="79">
        <f>'Water Reading'!G28-'Water Reading'!G27</f>
        <v>0</v>
      </c>
      <c r="V28" s="87" t="e">
        <f t="shared" si="11"/>
        <v>#DIV/0!</v>
      </c>
      <c r="W28" s="80">
        <f>'Water Reading'!J28-'Water Reading'!J27</f>
        <v>0</v>
      </c>
      <c r="X28" s="87" t="e">
        <f t="shared" si="12"/>
        <v>#DIV/0!</v>
      </c>
      <c r="Y28" s="59">
        <f t="shared" si="0"/>
        <v>0</v>
      </c>
      <c r="Z28" s="60" t="e">
        <f t="shared" si="1"/>
        <v>#DIV/0!</v>
      </c>
    </row>
    <row r="29" spans="1:26" x14ac:dyDescent="0.25">
      <c r="A29" s="8">
        <f>'Water Reading'!A28</f>
        <v>44830</v>
      </c>
      <c r="B29" s="58">
        <f>TOTAL!I27</f>
        <v>0</v>
      </c>
      <c r="C29" s="59">
        <f>('Water Reading'!B29-'Water Reading'!B28)+('Water Reading'!C29-'Water Reading'!C28)</f>
        <v>0</v>
      </c>
      <c r="D29" s="60" t="e">
        <f t="shared" si="2"/>
        <v>#DIV/0!</v>
      </c>
      <c r="E29" s="77">
        <f>'Water Reading'!H29-'Water Reading'!H28</f>
        <v>0</v>
      </c>
      <c r="F29" s="78" t="e">
        <f t="shared" si="3"/>
        <v>#DIV/0!</v>
      </c>
      <c r="G29" s="82">
        <f>('Water Reading'!D29-'Water Reading'!D28)-('Water Reading'!R29-'Water Reading'!R28)-('Water Reading'!Q29-'Water Reading'!Q28)</f>
        <v>0</v>
      </c>
      <c r="H29" s="78" t="e">
        <f t="shared" si="4"/>
        <v>#DIV/0!</v>
      </c>
      <c r="I29" s="79">
        <f>'Water Reading'!P29-'Water Reading'!P28</f>
        <v>0</v>
      </c>
      <c r="J29" s="61" t="e">
        <f t="shared" si="5"/>
        <v>#DIV/0!</v>
      </c>
      <c r="K29" s="80">
        <f>('Water Reading'!I29-'Water Reading'!I28)-('Water Reading'!P29-'Water Reading'!P28)</f>
        <v>0</v>
      </c>
      <c r="L29" s="61" t="e">
        <f t="shared" si="6"/>
        <v>#DIV/0!</v>
      </c>
      <c r="M29" s="79">
        <f>'Water Reading'!R29-'Water Reading'!R28</f>
        <v>0</v>
      </c>
      <c r="N29" s="81" t="e">
        <f t="shared" si="7"/>
        <v>#DIV/0!</v>
      </c>
      <c r="O29" s="79">
        <f>'Water Reading'!Q29-'Water Reading'!Q28</f>
        <v>0</v>
      </c>
      <c r="P29" s="86" t="e">
        <f t="shared" si="8"/>
        <v>#DIV/0!</v>
      </c>
      <c r="Q29" s="80">
        <f>'Water Reading'!F29-'Water Reading'!F28</f>
        <v>0</v>
      </c>
      <c r="R29" s="87" t="e">
        <f t="shared" si="9"/>
        <v>#DIV/0!</v>
      </c>
      <c r="S29" s="79">
        <f>'Water Reading'!E29-'Water Reading'!E28</f>
        <v>0</v>
      </c>
      <c r="T29" s="87" t="e">
        <f t="shared" si="10"/>
        <v>#DIV/0!</v>
      </c>
      <c r="U29" s="79">
        <f>'Water Reading'!G29-'Water Reading'!G28</f>
        <v>0</v>
      </c>
      <c r="V29" s="87" t="e">
        <f t="shared" si="11"/>
        <v>#DIV/0!</v>
      </c>
      <c r="W29" s="80">
        <f>'Water Reading'!J29-'Water Reading'!J28</f>
        <v>0</v>
      </c>
      <c r="X29" s="87" t="e">
        <f t="shared" si="12"/>
        <v>#DIV/0!</v>
      </c>
      <c r="Y29" s="59">
        <f t="shared" si="0"/>
        <v>0</v>
      </c>
      <c r="Z29" s="60" t="e">
        <f t="shared" si="1"/>
        <v>#DIV/0!</v>
      </c>
    </row>
    <row r="30" spans="1:26" x14ac:dyDescent="0.25">
      <c r="A30" s="8">
        <f>'Water Reading'!A29</f>
        <v>44831</v>
      </c>
      <c r="B30" s="58">
        <f>TOTAL!I28</f>
        <v>0</v>
      </c>
      <c r="C30" s="59">
        <f>('Water Reading'!B30-'Water Reading'!B29)+('Water Reading'!C30-'Water Reading'!C29)</f>
        <v>0</v>
      </c>
      <c r="D30" s="60" t="e">
        <f t="shared" si="2"/>
        <v>#DIV/0!</v>
      </c>
      <c r="E30" s="77">
        <f>'Water Reading'!H30-'Water Reading'!H29</f>
        <v>0</v>
      </c>
      <c r="F30" s="78" t="e">
        <f t="shared" si="3"/>
        <v>#DIV/0!</v>
      </c>
      <c r="G30" s="82">
        <f>('Water Reading'!D30-'Water Reading'!D29)-('Water Reading'!R30-'Water Reading'!R29)-('Water Reading'!Q30-'Water Reading'!Q29)</f>
        <v>0</v>
      </c>
      <c r="H30" s="78" t="e">
        <f t="shared" si="4"/>
        <v>#DIV/0!</v>
      </c>
      <c r="I30" s="79">
        <f>'Water Reading'!P30-'Water Reading'!P29</f>
        <v>0</v>
      </c>
      <c r="J30" s="61" t="e">
        <f t="shared" si="5"/>
        <v>#DIV/0!</v>
      </c>
      <c r="K30" s="80">
        <f>('Water Reading'!I30-'Water Reading'!I29)-('Water Reading'!P30-'Water Reading'!P29)</f>
        <v>0</v>
      </c>
      <c r="L30" s="61" t="e">
        <f t="shared" si="6"/>
        <v>#DIV/0!</v>
      </c>
      <c r="M30" s="79">
        <f>'Water Reading'!R30-'Water Reading'!R29</f>
        <v>0</v>
      </c>
      <c r="N30" s="81" t="e">
        <f t="shared" si="7"/>
        <v>#DIV/0!</v>
      </c>
      <c r="O30" s="79">
        <f>'Water Reading'!Q30-'Water Reading'!Q29</f>
        <v>0</v>
      </c>
      <c r="P30" s="86" t="e">
        <f t="shared" si="8"/>
        <v>#DIV/0!</v>
      </c>
      <c r="Q30" s="80">
        <f>'Water Reading'!F30-'Water Reading'!F29</f>
        <v>0</v>
      </c>
      <c r="R30" s="87" t="e">
        <f t="shared" si="9"/>
        <v>#DIV/0!</v>
      </c>
      <c r="S30" s="79">
        <f>'Water Reading'!E30-'Water Reading'!E29</f>
        <v>0</v>
      </c>
      <c r="T30" s="87" t="e">
        <f t="shared" si="10"/>
        <v>#DIV/0!</v>
      </c>
      <c r="U30" s="79">
        <f>'Water Reading'!G30-'Water Reading'!G29</f>
        <v>0</v>
      </c>
      <c r="V30" s="87" t="e">
        <f t="shared" si="11"/>
        <v>#DIV/0!</v>
      </c>
      <c r="W30" s="80">
        <f>'Water Reading'!J30-'Water Reading'!J29</f>
        <v>0</v>
      </c>
      <c r="X30" s="87" t="e">
        <f t="shared" si="12"/>
        <v>#DIV/0!</v>
      </c>
      <c r="Y30" s="59">
        <f t="shared" si="0"/>
        <v>0</v>
      </c>
      <c r="Z30" s="60" t="e">
        <f t="shared" si="1"/>
        <v>#DIV/0!</v>
      </c>
    </row>
    <row r="31" spans="1:26" x14ac:dyDescent="0.25">
      <c r="A31" s="8">
        <f>'Water Reading'!A30</f>
        <v>44832</v>
      </c>
      <c r="B31" s="58">
        <f>TOTAL!I29</f>
        <v>0</v>
      </c>
      <c r="C31" s="59">
        <f>('Water Reading'!B31-'Water Reading'!B30)+('Water Reading'!C31-'Water Reading'!C30)</f>
        <v>0</v>
      </c>
      <c r="D31" s="60" t="e">
        <f t="shared" si="2"/>
        <v>#DIV/0!</v>
      </c>
      <c r="E31" s="77">
        <f>'Water Reading'!H31-'Water Reading'!H30</f>
        <v>0</v>
      </c>
      <c r="F31" s="78" t="e">
        <f t="shared" si="3"/>
        <v>#DIV/0!</v>
      </c>
      <c r="G31" s="82">
        <f>('Water Reading'!D31-'Water Reading'!D30)-('Water Reading'!R31-'Water Reading'!R30)-('Water Reading'!Q31-'Water Reading'!Q30)</f>
        <v>0</v>
      </c>
      <c r="H31" s="78" t="e">
        <f t="shared" si="4"/>
        <v>#DIV/0!</v>
      </c>
      <c r="I31" s="79">
        <f>'Water Reading'!P31-'Water Reading'!P30</f>
        <v>0</v>
      </c>
      <c r="J31" s="61" t="e">
        <f t="shared" si="5"/>
        <v>#DIV/0!</v>
      </c>
      <c r="K31" s="80">
        <f>('Water Reading'!I31-'Water Reading'!I30)-('Water Reading'!P31-'Water Reading'!P30)</f>
        <v>0</v>
      </c>
      <c r="L31" s="61" t="e">
        <f t="shared" si="6"/>
        <v>#DIV/0!</v>
      </c>
      <c r="M31" s="79">
        <f>'Water Reading'!R31-'Water Reading'!R30</f>
        <v>0</v>
      </c>
      <c r="N31" s="81" t="e">
        <f t="shared" si="7"/>
        <v>#DIV/0!</v>
      </c>
      <c r="O31" s="79">
        <f>'Water Reading'!Q31-'Water Reading'!Q30</f>
        <v>0</v>
      </c>
      <c r="P31" s="86" t="e">
        <f t="shared" si="8"/>
        <v>#DIV/0!</v>
      </c>
      <c r="Q31" s="80">
        <f>'Water Reading'!F31-'Water Reading'!F30</f>
        <v>0</v>
      </c>
      <c r="R31" s="87" t="e">
        <f t="shared" si="9"/>
        <v>#DIV/0!</v>
      </c>
      <c r="S31" s="79">
        <f>'Water Reading'!E31-'Water Reading'!E30</f>
        <v>0</v>
      </c>
      <c r="T31" s="87" t="e">
        <f t="shared" si="10"/>
        <v>#DIV/0!</v>
      </c>
      <c r="U31" s="79">
        <f>'Water Reading'!G31-'Water Reading'!G30</f>
        <v>0</v>
      </c>
      <c r="V31" s="87" t="e">
        <f t="shared" si="11"/>
        <v>#DIV/0!</v>
      </c>
      <c r="W31" s="80">
        <f>'Water Reading'!J31-'Water Reading'!J30</f>
        <v>0</v>
      </c>
      <c r="X31" s="87" t="e">
        <f t="shared" si="12"/>
        <v>#DIV/0!</v>
      </c>
      <c r="Y31" s="59">
        <f t="shared" si="0"/>
        <v>0</v>
      </c>
      <c r="Z31" s="60" t="e">
        <f t="shared" si="1"/>
        <v>#DIV/0!</v>
      </c>
    </row>
    <row r="32" spans="1:26" x14ac:dyDescent="0.25">
      <c r="A32" s="8">
        <f>'Water Reading'!A31</f>
        <v>44833</v>
      </c>
      <c r="B32" s="58">
        <f>TOTAL!I30</f>
        <v>0</v>
      </c>
      <c r="C32" s="59">
        <f>('Water Reading'!B32-'Water Reading'!B31)+('Water Reading'!C32-'Water Reading'!C31)</f>
        <v>0</v>
      </c>
      <c r="D32" s="60" t="e">
        <f t="shared" si="2"/>
        <v>#DIV/0!</v>
      </c>
      <c r="E32" s="77">
        <f>'Water Reading'!H32-'Water Reading'!H31</f>
        <v>0</v>
      </c>
      <c r="F32" s="78" t="e">
        <f t="shared" si="3"/>
        <v>#DIV/0!</v>
      </c>
      <c r="G32" s="82">
        <f>('Water Reading'!D32-'Water Reading'!D31)-('Water Reading'!R32-'Water Reading'!R31)-('Water Reading'!Q32-'Water Reading'!Q31)</f>
        <v>0</v>
      </c>
      <c r="H32" s="78" t="e">
        <f t="shared" si="4"/>
        <v>#DIV/0!</v>
      </c>
      <c r="I32" s="79">
        <f>'Water Reading'!P32-'Water Reading'!P31</f>
        <v>0</v>
      </c>
      <c r="J32" s="61" t="e">
        <f t="shared" si="5"/>
        <v>#DIV/0!</v>
      </c>
      <c r="K32" s="80">
        <f>('Water Reading'!I32-'Water Reading'!I31)-('Water Reading'!P32-'Water Reading'!P31)</f>
        <v>0</v>
      </c>
      <c r="L32" s="61" t="e">
        <f t="shared" si="6"/>
        <v>#DIV/0!</v>
      </c>
      <c r="M32" s="79">
        <f>'Water Reading'!R32-'Water Reading'!R31</f>
        <v>0</v>
      </c>
      <c r="N32" s="81" t="e">
        <f t="shared" si="7"/>
        <v>#DIV/0!</v>
      </c>
      <c r="O32" s="79">
        <f>'Water Reading'!Q32-'Water Reading'!Q31</f>
        <v>0</v>
      </c>
      <c r="P32" s="86" t="e">
        <f t="shared" si="8"/>
        <v>#DIV/0!</v>
      </c>
      <c r="Q32" s="80">
        <f>'Water Reading'!F32-'Water Reading'!F31</f>
        <v>0</v>
      </c>
      <c r="R32" s="87" t="e">
        <f t="shared" si="9"/>
        <v>#DIV/0!</v>
      </c>
      <c r="S32" s="79">
        <f>'Water Reading'!E32-'Water Reading'!E31</f>
        <v>0</v>
      </c>
      <c r="T32" s="87" t="e">
        <f t="shared" si="10"/>
        <v>#DIV/0!</v>
      </c>
      <c r="U32" s="79">
        <f>'Water Reading'!G32-'Water Reading'!G31</f>
        <v>0</v>
      </c>
      <c r="V32" s="87" t="e">
        <f t="shared" si="11"/>
        <v>#DIV/0!</v>
      </c>
      <c r="W32" s="80">
        <f>'Water Reading'!J32-'Water Reading'!J31</f>
        <v>0</v>
      </c>
      <c r="X32" s="87" t="e">
        <f t="shared" si="12"/>
        <v>#DIV/0!</v>
      </c>
      <c r="Y32" s="59">
        <f t="shared" si="0"/>
        <v>0</v>
      </c>
      <c r="Z32" s="60" t="e">
        <f t="shared" si="1"/>
        <v>#DIV/0!</v>
      </c>
    </row>
    <row r="33" spans="1:26" x14ac:dyDescent="0.25">
      <c r="A33" s="8">
        <f>'Water Reading'!A32</f>
        <v>44834</v>
      </c>
      <c r="B33" s="58">
        <f>TOTAL!I31</f>
        <v>0</v>
      </c>
      <c r="C33" s="59">
        <f>('Water Reading'!B33-'Water Reading'!B32)+('Water Reading'!C33-'Water Reading'!C32)</f>
        <v>0</v>
      </c>
      <c r="D33" s="60" t="e">
        <f t="shared" si="2"/>
        <v>#DIV/0!</v>
      </c>
      <c r="E33" s="77">
        <f>'Water Reading'!H33-'Water Reading'!H32</f>
        <v>0</v>
      </c>
      <c r="F33" s="78" t="e">
        <f t="shared" si="3"/>
        <v>#DIV/0!</v>
      </c>
      <c r="G33" s="82">
        <f>('Water Reading'!D33-'Water Reading'!D32)-('Water Reading'!R33-'Water Reading'!R32)-('Water Reading'!Q33-'Water Reading'!Q32)</f>
        <v>0</v>
      </c>
      <c r="H33" s="78" t="e">
        <f t="shared" si="4"/>
        <v>#DIV/0!</v>
      </c>
      <c r="I33" s="79">
        <f>'Water Reading'!P33-'Water Reading'!P32</f>
        <v>0</v>
      </c>
      <c r="J33" s="61" t="e">
        <f t="shared" si="5"/>
        <v>#DIV/0!</v>
      </c>
      <c r="K33" s="80">
        <f>('Water Reading'!I33-'Water Reading'!I32)-('Water Reading'!P33-'Water Reading'!P32)</f>
        <v>0</v>
      </c>
      <c r="L33" s="61" t="e">
        <f t="shared" si="6"/>
        <v>#DIV/0!</v>
      </c>
      <c r="M33" s="79">
        <f>'Water Reading'!R33-'Water Reading'!R32</f>
        <v>0</v>
      </c>
      <c r="N33" s="81" t="e">
        <f t="shared" si="7"/>
        <v>#DIV/0!</v>
      </c>
      <c r="O33" s="79">
        <f>'Water Reading'!Q33-'Water Reading'!Q32</f>
        <v>0</v>
      </c>
      <c r="P33" s="86" t="e">
        <f t="shared" si="8"/>
        <v>#DIV/0!</v>
      </c>
      <c r="Q33" s="80">
        <f>'Water Reading'!F33-'Water Reading'!F32</f>
        <v>0</v>
      </c>
      <c r="R33" s="87" t="e">
        <f t="shared" si="9"/>
        <v>#DIV/0!</v>
      </c>
      <c r="S33" s="79">
        <f>'Water Reading'!E33-'Water Reading'!E32</f>
        <v>0</v>
      </c>
      <c r="T33" s="87" t="e">
        <f t="shared" si="10"/>
        <v>#DIV/0!</v>
      </c>
      <c r="U33" s="79">
        <f>'Water Reading'!G33-'Water Reading'!G32</f>
        <v>0</v>
      </c>
      <c r="V33" s="87" t="e">
        <f t="shared" si="11"/>
        <v>#DIV/0!</v>
      </c>
      <c r="W33" s="80">
        <f>'Water Reading'!J33-'Water Reading'!J32</f>
        <v>0</v>
      </c>
      <c r="X33" s="87" t="e">
        <f t="shared" si="12"/>
        <v>#DIV/0!</v>
      </c>
      <c r="Y33" s="59">
        <f t="shared" si="0"/>
        <v>0</v>
      </c>
      <c r="Z33" s="60" t="e">
        <f t="shared" si="1"/>
        <v>#DIV/0!</v>
      </c>
    </row>
    <row r="34" spans="1:26" x14ac:dyDescent="0.25">
      <c r="A34" s="8">
        <f>'Water Reading'!A33</f>
        <v>44835</v>
      </c>
      <c r="B34" s="58">
        <f>TOTAL!I32</f>
        <v>0</v>
      </c>
      <c r="C34" s="59">
        <f>('Water Reading'!B34-'Water Reading'!B33)+('Water Reading'!C34-'Water Reading'!C33)</f>
        <v>0</v>
      </c>
      <c r="D34" s="60" t="e">
        <f t="shared" si="2"/>
        <v>#DIV/0!</v>
      </c>
      <c r="E34" s="77">
        <f>'Water Reading'!H34-'Water Reading'!H33</f>
        <v>0</v>
      </c>
      <c r="F34" s="78" t="e">
        <f t="shared" si="3"/>
        <v>#DIV/0!</v>
      </c>
      <c r="G34" s="82">
        <f>('Water Reading'!D34-'Water Reading'!D33)-('Water Reading'!R34-'Water Reading'!R33)-('Water Reading'!Q34-'Water Reading'!Q33)</f>
        <v>0</v>
      </c>
      <c r="H34" s="78" t="e">
        <f t="shared" si="4"/>
        <v>#DIV/0!</v>
      </c>
      <c r="I34" s="79">
        <f>'Water Reading'!P34-'Water Reading'!P33</f>
        <v>0</v>
      </c>
      <c r="J34" s="61" t="e">
        <f t="shared" si="5"/>
        <v>#DIV/0!</v>
      </c>
      <c r="K34" s="80">
        <f>('Water Reading'!I34-'Water Reading'!I33)-('Water Reading'!P34-'Water Reading'!P33)</f>
        <v>0</v>
      </c>
      <c r="L34" s="61" t="e">
        <f t="shared" si="6"/>
        <v>#DIV/0!</v>
      </c>
      <c r="M34" s="79">
        <f>'Water Reading'!R34-'Water Reading'!R33</f>
        <v>0</v>
      </c>
      <c r="N34" s="81" t="e">
        <f t="shared" si="7"/>
        <v>#DIV/0!</v>
      </c>
      <c r="O34" s="79">
        <f>'Water Reading'!Q34-'Water Reading'!Q33</f>
        <v>0</v>
      </c>
      <c r="P34" s="86" t="e">
        <f t="shared" si="8"/>
        <v>#DIV/0!</v>
      </c>
      <c r="Q34" s="80">
        <f>'Water Reading'!F34-'Water Reading'!F33</f>
        <v>0</v>
      </c>
      <c r="R34" s="87" t="e">
        <f t="shared" si="9"/>
        <v>#DIV/0!</v>
      </c>
      <c r="S34" s="79">
        <f>'Water Reading'!E34-'Water Reading'!E33</f>
        <v>0</v>
      </c>
      <c r="T34" s="87" t="e">
        <f t="shared" si="10"/>
        <v>#DIV/0!</v>
      </c>
      <c r="U34" s="79">
        <f>'Water Reading'!G34-'Water Reading'!G33</f>
        <v>0</v>
      </c>
      <c r="V34" s="87" t="e">
        <f t="shared" si="11"/>
        <v>#DIV/0!</v>
      </c>
      <c r="W34" s="80">
        <f>'Water Reading'!J34-'Water Reading'!J33</f>
        <v>0</v>
      </c>
      <c r="X34" s="87" t="e">
        <f t="shared" si="12"/>
        <v>#DIV/0!</v>
      </c>
      <c r="Y34" s="59">
        <f t="shared" si="0"/>
        <v>0</v>
      </c>
      <c r="Z34" s="60" t="e">
        <f t="shared" si="1"/>
        <v>#DIV/0!</v>
      </c>
    </row>
    <row r="35" spans="1:26" ht="24" customHeight="1" x14ac:dyDescent="0.25">
      <c r="A35" s="62" t="s">
        <v>51</v>
      </c>
      <c r="B35" s="85" t="s">
        <v>127</v>
      </c>
      <c r="C35" s="66">
        <f>SUM(C4:C34)</f>
        <v>-27324</v>
      </c>
      <c r="D35" s="84" t="e">
        <f>C35/B35</f>
        <v>#VALUE!</v>
      </c>
      <c r="E35" s="7">
        <f>SUM(E4:E34)</f>
        <v>-62092</v>
      </c>
      <c r="F35" s="83">
        <f>E35/C35</f>
        <v>2.2724344898257942</v>
      </c>
      <c r="G35" s="66">
        <f>SUM(G4:G34)</f>
        <v>-279331</v>
      </c>
      <c r="H35" s="83">
        <f>G35/C35</f>
        <v>10.222917581613233</v>
      </c>
      <c r="I35" s="7">
        <f>SUM(I4:I34)</f>
        <v>-31826</v>
      </c>
      <c r="J35" s="83">
        <f>I35/C35</f>
        <v>1.164763577807056</v>
      </c>
      <c r="K35" s="7">
        <f>SUM(K4:K34)</f>
        <v>-46106</v>
      </c>
      <c r="L35" s="83">
        <f>K35/C35</f>
        <v>1.6873810569462744</v>
      </c>
      <c r="M35" s="7">
        <f>SUM(M4:M34)</f>
        <v>-541</v>
      </c>
      <c r="N35" s="83">
        <f>M35/C35</f>
        <v>1.9799443712487191E-2</v>
      </c>
      <c r="O35" s="7">
        <f>SUM(O4:O34)</f>
        <v>-1973</v>
      </c>
      <c r="P35" s="83">
        <f>O35/C35</f>
        <v>7.2207583077148293E-2</v>
      </c>
      <c r="Q35" s="7">
        <f>SUM(Q4:Q34)</f>
        <v>-67247</v>
      </c>
      <c r="R35" s="83">
        <f>Q35/C35</f>
        <v>2.4610964719660373</v>
      </c>
      <c r="S35" s="66">
        <f>SUM(S4:S34)</f>
        <v>-277071</v>
      </c>
      <c r="T35" s="83">
        <f>S35/C35</f>
        <v>10.140206411945542</v>
      </c>
      <c r="U35" s="7">
        <f>SUM(U4:U34)</f>
        <v>-121821</v>
      </c>
      <c r="V35" s="83">
        <f>U35/C35</f>
        <v>4.458388230127361</v>
      </c>
      <c r="W35" s="7">
        <f>SUM(W4:W34)</f>
        <v>-23343</v>
      </c>
      <c r="X35" s="83">
        <f>W35/C35</f>
        <v>0.85430390865173478</v>
      </c>
      <c r="Y35" s="66">
        <f>SUM(Y4:Y34)</f>
        <v>-911351</v>
      </c>
      <c r="Z35" s="83" t="e">
        <f t="shared" si="1"/>
        <v>#VALUE!</v>
      </c>
    </row>
    <row r="44" spans="1:26" x14ac:dyDescent="0.25">
      <c r="Y44" s="72"/>
    </row>
    <row r="64" spans="4:4" x14ac:dyDescent="0.25">
      <c r="D64" s="63"/>
    </row>
    <row r="65" spans="4:4" x14ac:dyDescent="0.25">
      <c r="D65" s="63"/>
    </row>
    <row r="66" spans="4:4" x14ac:dyDescent="0.25">
      <c r="D66" s="63"/>
    </row>
    <row r="67" spans="4:4" x14ac:dyDescent="0.25">
      <c r="D67" s="63"/>
    </row>
    <row r="68" spans="4:4" x14ac:dyDescent="0.25">
      <c r="D68" s="63"/>
    </row>
    <row r="69" spans="4:4" x14ac:dyDescent="0.25">
      <c r="D69" s="63"/>
    </row>
    <row r="70" spans="4:4" x14ac:dyDescent="0.25">
      <c r="D70" s="63"/>
    </row>
    <row r="71" spans="4:4" x14ac:dyDescent="0.25">
      <c r="D71" s="63"/>
    </row>
    <row r="72" spans="4:4" x14ac:dyDescent="0.25">
      <c r="D72" s="63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2022-09-11T10:59:08Z</dcterms:modified>
  <cp:category/>
  <cp:contentStatus/>
</cp:coreProperties>
</file>