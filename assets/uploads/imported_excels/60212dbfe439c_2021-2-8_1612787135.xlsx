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M5" i="7" s="1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s="1"/>
  <c r="CM6" i="7" l="1"/>
  <c r="CM7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<sst xmlns="http://schemas.openxmlformats.org/spreadsheetml/2006/main" count="313" uniqueCount="148">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</sst>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30" sqref="N3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2021</v>
      </c>
      <c r="E2" s="12">
        <f>Submetering!E2+Submetering!F2+Submetering!G2+Submetering!H2+Submetering!J2-Submetering!AV2</f>
        <v>4639.9999999998454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31.599999999999909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2021</v>
      </c>
      <c r="E3" s="12">
        <f>Submetering!E3+Submetering!F3+Submetering!G3+Submetering!H3+Submetering!J3-Submetering!AV3</f>
        <v>4089.9999999999809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24.700000000000273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29" si="0">B3+1</f>
        <v>3</v>
      </c>
      <c r="C4" s="11">
        <v>2</v>
      </c>
      <c r="D4" s="1">
        <v>2021</v>
      </c>
      <c r="E4" s="12">
        <f>Submetering!E4+Submetering!F4+Submetering!G4+Submetering!H4+Submetering!J4-Submetering!AV4</f>
        <v>4069.9999999997763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20.099999999999909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2021</v>
      </c>
      <c r="E5" s="12">
        <f>Submetering!E5+Submetering!F5+Submetering!G5+Submetering!H5+Submetering!J5-Submetering!AV5</f>
        <v>4300.0000000002792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29.5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2021</v>
      </c>
      <c r="E6" s="12">
        <f>Submetering!E6+Submetering!F6+Submetering!G6+Submetering!H6+Submetering!J6-Submetering!AV6</f>
        <v>4369.9999999997426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2021</v>
      </c>
      <c r="E7" s="12">
        <f>Submetering!E7+Submetering!F7+Submetering!G7+Submetering!H7+Submetering!J7-Submetering!AV7</f>
        <v>4159.9999999999964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22.599999999999909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2021</v>
      </c>
      <c r="E8" s="12">
        <f>Submetering!E8+Submetering!F8+Submetering!G8+Submetering!H8+Submetering!J8-Submetering!AV8</f>
        <v>3780.0000000005748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19.800000000000182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2021</v>
      </c>
      <c r="E9" s="12" t="e">
        <f>Submetering!E9+Submetering!F9+Submetering!G9+Submetering!H9+Submetering!J9-Submetering!AV9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 t="e">
        <f>'FS Desroches Daily'!CM11</f>
        <v>#VALUE!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/>
      <c r="C30" s="11"/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/>
      <c r="C31" s="11"/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/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K1" workbookViewId="0">
      <selection activeCell="BE25" sqref="BE2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2021</v>
      </c>
      <c r="E2" s="31">
        <f>'FS Desroches Daily'!D4</f>
        <v>899.99999999967883</v>
      </c>
      <c r="F2" s="32">
        <f>'FS Desroches Daily'!F4</f>
        <v>800.00000000035595</v>
      </c>
      <c r="G2" s="31">
        <f>'FS Desroches Daily'!H4</f>
        <v>1900.0000000000127</v>
      </c>
      <c r="H2" s="32">
        <f>'FS Desroches Daily'!J4</f>
        <v>899.99999999990087</v>
      </c>
      <c r="I2" s="31">
        <f>'FS Desroches Daily'!L4</f>
        <v>1999.9999999997797</v>
      </c>
      <c r="J2" s="32">
        <f>'FS Desroches Daily'!N4</f>
        <v>599.99999999993395</v>
      </c>
      <c r="K2" s="13">
        <f>'FS Desroches Daily'!P4</f>
        <v>0</v>
      </c>
      <c r="L2" s="31">
        <f>'FS Desroches Daily'!R4</f>
        <v>4</v>
      </c>
      <c r="M2" s="31">
        <f>'FS Desroches Daily'!T4</f>
        <v>409.39999999990687</v>
      </c>
      <c r="N2" s="31">
        <f>'FS Desroches Daily'!V4</f>
        <v>223.20000000001164</v>
      </c>
      <c r="O2" s="31">
        <f>'FS Desroches Daily'!X4</f>
        <v>200.00000000004547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149.99999999997726</v>
      </c>
      <c r="S2" s="31">
        <f>'FS Desroches Daily'!AF4</f>
        <v>220.00000000002728</v>
      </c>
      <c r="T2" s="31">
        <f>'FS Desroches Daily'!AH4</f>
        <v>1.5</v>
      </c>
      <c r="U2" s="35">
        <f>'FS Desroches Daily'!AJ4</f>
        <v>279.99999999997272</v>
      </c>
      <c r="V2" s="35">
        <f>'FS Desroches Daily'!AL4</f>
        <v>39.999999999992042</v>
      </c>
      <c r="W2" s="35">
        <f>'FS Desroches Daily'!AN4</f>
        <v>39.999999999992042</v>
      </c>
      <c r="X2" s="35">
        <f>'FS Desroches Daily'!AP4</f>
        <v>40.000000000020464</v>
      </c>
      <c r="Y2" s="35">
        <f>'FS Desroches Daily'!AR4</f>
        <v>20.000000000010232</v>
      </c>
      <c r="Z2" s="35">
        <f>'FS Desroches Daily'!AT4</f>
        <v>20.000000000038654</v>
      </c>
      <c r="AA2" s="35">
        <f>'FS Desroches Daily'!AT4</f>
        <v>20.000000000038654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9.9999999999909051</v>
      </c>
      <c r="AF2" s="31">
        <f>'FS Desroches Daily'!BF4</f>
        <v>22</v>
      </c>
      <c r="AG2" s="32">
        <f>'FS Desroches Daily'!BH4</f>
        <v>30.000000000001137</v>
      </c>
      <c r="AH2" s="32">
        <f>'FS Desroches Daily'!BJ4</f>
        <v>40.000000000020464</v>
      </c>
      <c r="AI2" s="32">
        <f>'FS Desroches Daily'!BL4</f>
        <v>0</v>
      </c>
      <c r="AJ2" s="32">
        <f>'FS Desroches Daily'!BN4</f>
        <v>19.99999999998181</v>
      </c>
      <c r="AK2" s="32">
        <f>'FS Desroches Daily'!BP4</f>
        <v>9.9999999999909051</v>
      </c>
      <c r="AL2" s="32">
        <f>'FS Desroches Daily'!BR4</f>
        <v>6</v>
      </c>
      <c r="AM2" s="32">
        <f>'FS Desroches Daily'!BT4</f>
        <v>9.9999999999909051</v>
      </c>
      <c r="AN2" s="32">
        <f>'FS Desroches Daily'!BV4</f>
        <v>10</v>
      </c>
      <c r="AO2" s="32">
        <f>'FS Desroches Daily'!BX4</f>
        <v>20.000000000010232</v>
      </c>
      <c r="AP2" s="32">
        <f>'FS Desroches Daily'!BZ4</f>
        <v>15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50.399999999994179</v>
      </c>
      <c r="AU2" s="31">
        <f>'FS Desroches Daily'!CJ4</f>
        <v>235</v>
      </c>
      <c r="AV2" s="31">
        <f>'FS Desroches Daily'!CL4</f>
        <v>460.00000000003638</v>
      </c>
      <c r="AW2" s="31">
        <f>'FS Desroches Daily'!CM4</f>
        <v>31.599999999999909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2021</v>
      </c>
      <c r="E3" s="31">
        <f>'FS Desroches Daily'!D5</f>
        <v>1000.000000000334</v>
      </c>
      <c r="F3" s="32">
        <f>'FS Desroches Daily'!F5</f>
        <v>699.99999999970089</v>
      </c>
      <c r="G3" s="31">
        <f>'FS Desroches Daily'!H5</f>
        <v>1599.9999999998238</v>
      </c>
      <c r="H3" s="32">
        <f>'FS Desroches Daily'!J5</f>
        <v>800.00000000013392</v>
      </c>
      <c r="I3" s="31">
        <f>'FS Desroches Daily'!L5</f>
        <v>1800.0000000002458</v>
      </c>
      <c r="J3" s="32">
        <f>'FS Desroches Daily'!N5</f>
        <v>399.99999999995595</v>
      </c>
      <c r="K3" s="13">
        <f>'FS Desroches Daily'!P5</f>
        <v>1</v>
      </c>
      <c r="L3" s="31">
        <f>'FS Desroches Daily'!R5</f>
        <v>2</v>
      </c>
      <c r="M3" s="31">
        <f>'FS Desroches Daily'!T5</f>
        <v>244</v>
      </c>
      <c r="N3" s="31">
        <f>'FS Desroches Daily'!V5</f>
        <v>174.59999999997672</v>
      </c>
      <c r="O3" s="31">
        <f>'FS Desroches Daily'!X6</f>
        <v>109.9999999999568</v>
      </c>
      <c r="P3" s="31">
        <f>'FS Desroches Daily'!Z5</f>
        <v>399.99999999995595</v>
      </c>
      <c r="Q3" s="31">
        <f>'FS Desroches Daily'!AB5</f>
        <v>80.000000000040927</v>
      </c>
      <c r="R3" s="31">
        <f>'FS Desroches Daily'!AD5</f>
        <v>110.00000000001364</v>
      </c>
      <c r="S3" s="31">
        <f>'FS Desroches Daily'!AF5</f>
        <v>169.99999999995907</v>
      </c>
      <c r="T3" s="31">
        <f>'FS Desroches Daily'!AH5</f>
        <v>1.7999999999999545</v>
      </c>
      <c r="U3" s="35">
        <f>'FS Desroches Daily'!AJ5</f>
        <v>230.00000000001819</v>
      </c>
      <c r="V3" s="35">
        <f>'FS Desroches Daily'!AL5</f>
        <v>30.000000000001137</v>
      </c>
      <c r="W3" s="35">
        <f>'FS Desroches Daily'!AN5</f>
        <v>9.9999999999909051</v>
      </c>
      <c r="X3" s="35">
        <f>'FS Desroches Daily'!AP5</f>
        <v>9.9999999999909051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50.000000000011369</v>
      </c>
      <c r="AE3" s="35">
        <f>'FS Desroches Daily'!BD5</f>
        <v>9.9999999999909051</v>
      </c>
      <c r="AF3" s="31">
        <f>'FS Desroches Daily'!BF5</f>
        <v>21</v>
      </c>
      <c r="AG3" s="32">
        <f>'FS Desroches Daily'!BH5</f>
        <v>9.9999999999909051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20.000000000010232</v>
      </c>
      <c r="AK3" s="32">
        <f>'FS Desroches Daily'!BP5</f>
        <v>20.000000000038654</v>
      </c>
      <c r="AL3" s="32">
        <f>'FS Desroches Daily'!BR5</f>
        <v>6</v>
      </c>
      <c r="AM3" s="32">
        <f>'FS Desroches Daily'!BT5</f>
        <v>9.9999999999909051</v>
      </c>
      <c r="AN3" s="32">
        <f>'FS Desroches Daily'!BV5</f>
        <v>8</v>
      </c>
      <c r="AO3" s="32">
        <f>'FS Desroches Daily'!BX5</f>
        <v>9.9999999999909051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24</v>
      </c>
      <c r="AU3" s="31">
        <f>'FS Desroches Daily'!CJ5</f>
        <v>225</v>
      </c>
      <c r="AV3" s="31">
        <f>'FS Desroches Daily'!CL5</f>
        <v>409.99999999996817</v>
      </c>
      <c r="AW3" s="31">
        <f>'FS Desroches Daily'!CM5</f>
        <v>24.700000000000273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29" si="0">B3+1</f>
        <v>3</v>
      </c>
      <c r="C4" s="18">
        <v>2</v>
      </c>
      <c r="D4" s="27">
        <v>2021</v>
      </c>
      <c r="E4" s="31">
        <f>'FS Desroches Daily'!D6</f>
        <v>899.99999999967883</v>
      </c>
      <c r="F4" s="32">
        <f>'FS Desroches Daily'!F6</f>
        <v>700.00000000014495</v>
      </c>
      <c r="G4" s="31">
        <f>'FS Desroches Daily'!H6</f>
        <v>1599.9999999998238</v>
      </c>
      <c r="H4" s="32">
        <f>'FS Desroches Daily'!J6</f>
        <v>799.99999999991189</v>
      </c>
      <c r="I4" s="31">
        <f>'FS Desroches Daily'!L6</f>
        <v>1700.0000000000348</v>
      </c>
      <c r="J4" s="32">
        <f>'FS Desroches Daily'!N6</f>
        <v>500.00000000016701</v>
      </c>
      <c r="K4" s="13">
        <f>'FS Desroches Daily'!P6</f>
        <v>0</v>
      </c>
      <c r="L4" s="31">
        <f>'FS Desroches Daily'!R6</f>
        <v>1</v>
      </c>
      <c r="M4" s="31">
        <f>'FS Desroches Daily'!T6</f>
        <v>174.40000000002328</v>
      </c>
      <c r="N4" s="31">
        <f>'FS Desroches Daily'!V6</f>
        <v>148.90000000002328</v>
      </c>
      <c r="O4" s="31">
        <f>'FS Desroches Daily'!X7</f>
        <v>100.00000000002274</v>
      </c>
      <c r="P4" s="31">
        <f>'FS Desroches Daily'!Z6</f>
        <v>500.00000000016701</v>
      </c>
      <c r="Q4" s="31">
        <f>'FS Desroches Daily'!AB6</f>
        <v>69.999999999993179</v>
      </c>
      <c r="R4" s="31">
        <f>'FS Desroches Daily'!AD6</f>
        <v>89.999999999974989</v>
      </c>
      <c r="S4" s="31">
        <f>'FS Desroches Daily'!AF6</f>
        <v>159.99999999996817</v>
      </c>
      <c r="T4" s="31">
        <f>'FS Desroches Daily'!AH6</f>
        <v>1.5</v>
      </c>
      <c r="U4" s="35">
        <f>'FS Desroches Daily'!AJ6</f>
        <v>220.00000000002728</v>
      </c>
      <c r="V4" s="35">
        <f>'FS Desroches Daily'!AL6</f>
        <v>19.99999999998181</v>
      </c>
      <c r="W4" s="35">
        <f>'FS Desroches Daily'!AN6</f>
        <v>20.000000000010232</v>
      </c>
      <c r="X4" s="35">
        <f>'FS Desroches Daily'!AP6</f>
        <v>20.000000000010232</v>
      </c>
      <c r="Y4" s="35">
        <f>'FS Desroches Daily'!AR6</f>
        <v>19.99999999998181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29.999999999972715</v>
      </c>
      <c r="AE4" s="35">
        <f>'FS Desroches Daily'!BD6</f>
        <v>10.000000000019327</v>
      </c>
      <c r="AF4" s="31">
        <f>'FS Desroches Daily'!BF6</f>
        <v>23</v>
      </c>
      <c r="AG4" s="32">
        <f>'FS Desroches Daily'!BH6</f>
        <v>20.000000000010232</v>
      </c>
      <c r="AH4" s="32">
        <f>'FS Desroches Daily'!BJ6</f>
        <v>30.000000000029559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4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9.9999999999909051</v>
      </c>
      <c r="AP4" s="32">
        <f>'FS Desroches Daily'!BZ6</f>
        <v>12</v>
      </c>
      <c r="AQ4" s="31">
        <f>'FS Desroches Daily'!CB6</f>
        <v>5</v>
      </c>
      <c r="AR4" s="31">
        <f>'FS Desroches Daily'!CD6</f>
        <v>0</v>
      </c>
      <c r="AS4" s="31">
        <f>'FS Desroches Daily'!CF6</f>
        <v>0</v>
      </c>
      <c r="AT4" s="31">
        <f>'FS Desroches Daily'!CH6</f>
        <v>43.5</v>
      </c>
      <c r="AU4" s="31">
        <f>'FS Desroches Daily'!CJ6</f>
        <v>227</v>
      </c>
      <c r="AV4" s="31">
        <f>'FS Desroches Daily'!CL6</f>
        <v>429.99999999994998</v>
      </c>
      <c r="AW4" s="31">
        <f>'FS Desroches Daily'!CM6</f>
        <v>20.099999999999909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2021</v>
      </c>
      <c r="E5" s="31">
        <f>'FS Desroches Daily'!D7</f>
        <v>1000.000000000334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1799.9999999998017</v>
      </c>
      <c r="J5" s="32">
        <f>'FS Desroches Daily'!N7</f>
        <v>499.99999999994492</v>
      </c>
      <c r="K5" s="13">
        <f>'FS Desroches Daily'!P7</f>
        <v>1</v>
      </c>
      <c r="L5" s="31">
        <f>'FS Desroches Daily'!R7</f>
        <v>3</v>
      </c>
      <c r="M5" s="31">
        <f>'FS Desroches Daily'!T7</f>
        <v>258.40000000002328</v>
      </c>
      <c r="N5" s="31">
        <f>'FS Desroches Daily'!V7</f>
        <v>188.39999999996508</v>
      </c>
      <c r="O5" s="31">
        <f>'FS Desroches Daily'!X8</f>
        <v>139.99999999998636</v>
      </c>
      <c r="P5" s="31">
        <f>'FS Desroches Daily'!Z7</f>
        <v>499.99999999972289</v>
      </c>
      <c r="Q5" s="31">
        <f>'FS Desroches Daily'!AB7</f>
        <v>79.999999999984084</v>
      </c>
      <c r="R5" s="31">
        <f>'FS Desroches Daily'!AD7</f>
        <v>150.00000000003411</v>
      </c>
      <c r="S5" s="31">
        <f>'FS Desroches Daily'!AF7</f>
        <v>180.00000000006366</v>
      </c>
      <c r="T5" s="31">
        <f>'FS Desroches Daily'!AH7</f>
        <v>0.59999999999990905</v>
      </c>
      <c r="U5" s="35">
        <f>'FS Desroches Daily'!AJ7</f>
        <v>259.99999999999091</v>
      </c>
      <c r="V5" s="35">
        <f>'FS Desroches Daily'!AL7</f>
        <v>30.000000000001137</v>
      </c>
      <c r="W5" s="35">
        <f>'FS Desroches Daily'!AN7</f>
        <v>20.000000000010232</v>
      </c>
      <c r="X5" s="35">
        <f>'FS Desroches Daily'!AP7</f>
        <v>19.99999999998181</v>
      </c>
      <c r="Y5" s="35">
        <f>'FS Desroches Daily'!AR7</f>
        <v>20.000000000010232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49.999999999954525</v>
      </c>
      <c r="AC5" s="35">
        <f>'FS Desroches Daily'!AZ7</f>
        <v>10.000000000047748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28</v>
      </c>
      <c r="AG5" s="32">
        <f>'FS Desroches Daily'!BH7</f>
        <v>9.9999999999909051</v>
      </c>
      <c r="AH5" s="32">
        <f>'FS Desroches Daily'!BJ7</f>
        <v>29.999999999972715</v>
      </c>
      <c r="AI5" s="32">
        <f>'FS Desroches Daily'!BL7</f>
        <v>0</v>
      </c>
      <c r="AJ5" s="32">
        <f>'FS Desroches Daily'!BN7</f>
        <v>19.99999999998181</v>
      </c>
      <c r="AK5" s="32">
        <f>'FS Desroches Daily'!BP7</f>
        <v>9.9999999999909051</v>
      </c>
      <c r="AL5" s="32">
        <f>'FS Desroches Daily'!BR7</f>
        <v>6</v>
      </c>
      <c r="AM5" s="32">
        <f>'FS Desroches Daily'!BT7</f>
        <v>9.9999999999909051</v>
      </c>
      <c r="AN5" s="32">
        <f>'FS Desroches Daily'!BV7</f>
        <v>10</v>
      </c>
      <c r="AO5" s="32">
        <f>'FS Desroches Daily'!BX7</f>
        <v>20.000000000010232</v>
      </c>
      <c r="AP5" s="32">
        <f>'FS Desroches Daily'!BZ7</f>
        <v>16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46.600000000005821</v>
      </c>
      <c r="AU5" s="31">
        <f>'FS Desroches Daily'!CJ7</f>
        <v>234</v>
      </c>
      <c r="AV5" s="31">
        <f>'FS Desroches Daily'!CL7</f>
        <v>400.00000000009095</v>
      </c>
      <c r="AW5" s="31">
        <f>'FS Desroches Daily'!CM7</f>
        <v>29.5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2021</v>
      </c>
      <c r="E6" s="31">
        <f>'FS Desroches Daily'!D8</f>
        <v>999.99999999988984</v>
      </c>
      <c r="F6" s="32">
        <f>'FS Desroches Daily'!F8</f>
        <v>699.99999999970089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1800.0000000002458</v>
      </c>
      <c r="J6" s="32">
        <f>'FS Desroches Daily'!N8</f>
        <v>599.99999999993395</v>
      </c>
      <c r="K6" s="13">
        <f>'FS Desroches Daily'!P8</f>
        <v>0</v>
      </c>
      <c r="L6" s="31">
        <f>'FS Desroches Daily'!R8</f>
        <v>0</v>
      </c>
      <c r="M6" s="31">
        <f>'FS Desroches Daily'!T8</f>
        <v>296.19999999995343</v>
      </c>
      <c r="N6" s="31">
        <f>'FS Desroches Daily'!V8</f>
        <v>197.80000000004657</v>
      </c>
      <c r="O6" s="31">
        <f>'FS Desroches Daily'!X8</f>
        <v>139.99999999998636</v>
      </c>
      <c r="P6" s="31">
        <f>'FS Desroches Daily'!Z8</f>
        <v>500.00000000016701</v>
      </c>
      <c r="Q6" s="31">
        <f>'FS Desroches Daily'!AB8</f>
        <v>69.999999999993179</v>
      </c>
      <c r="R6" s="31">
        <f>'FS Desroches Daily'!AD8</f>
        <v>159.99999999996817</v>
      </c>
      <c r="S6" s="31">
        <f>'FS Desroches Daily'!AF8</f>
        <v>240.00000000000909</v>
      </c>
      <c r="T6" s="31">
        <f>'FS Desroches Daily'!AH8</f>
        <v>2.9000000000000909</v>
      </c>
      <c r="U6" s="35">
        <f>'FS Desroches Daily'!AJ8</f>
        <v>250</v>
      </c>
      <c r="V6" s="35">
        <f>'FS Desroches Daily'!AL8</f>
        <v>40.000000000020464</v>
      </c>
      <c r="W6" s="35">
        <f>'FS Desroches Daily'!AN8</f>
        <v>29.999999999972715</v>
      </c>
      <c r="X6" s="35">
        <f>'FS Desroches Daily'!AP8</f>
        <v>30.000000000001137</v>
      </c>
      <c r="Y6" s="35">
        <f>'FS Desroches Daily'!AR8</f>
        <v>20.000000000010232</v>
      </c>
      <c r="Z6" s="35">
        <f>'FS Desroches Daily'!AT8</f>
        <v>20.000000000038654</v>
      </c>
      <c r="AA6" s="35">
        <f>'FS Desroches Daily'!AT8</f>
        <v>20.000000000038654</v>
      </c>
      <c r="AB6" s="35">
        <f>'FS Desroches Daily'!AV8</f>
        <v>10.000000000047748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9.9999999999909051</v>
      </c>
      <c r="AF6" s="31">
        <f>'FS Desroches Daily'!BF8</f>
        <v>26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9.9999999999909051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7</v>
      </c>
      <c r="AM6" s="32">
        <f>'FS Desroches Daily'!BT8</f>
        <v>9.9999999999909051</v>
      </c>
      <c r="AN6" s="32">
        <f>'FS Desroches Daily'!BV8</f>
        <v>9</v>
      </c>
      <c r="AO6" s="32">
        <f>'FS Desroches Daily'!BX8</f>
        <v>20.000000000010232</v>
      </c>
      <c r="AP6" s="32">
        <f>'FS Desroches Daily'!BZ8</f>
        <v>18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49.69999999999709</v>
      </c>
      <c r="AU6" s="31">
        <f>'FS Desroches Daily'!CJ8</f>
        <v>227</v>
      </c>
      <c r="AV6" s="31">
        <f>'FS Desroches Daily'!CL8</f>
        <v>429.99999999994998</v>
      </c>
      <c r="AW6" s="31">
        <f>'FS Desroches Daily'!CM8</f>
        <v>24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2021</v>
      </c>
      <c r="E7" s="31">
        <f>'FS Desroches Daily'!D9</f>
        <v>900.0000000001229</v>
      </c>
      <c r="F7" s="32">
        <f>'FS Desroches Daily'!F9</f>
        <v>599.99999999993395</v>
      </c>
      <c r="G7" s="31">
        <f>'FS Desroches Daily'!H9</f>
        <v>1700.0000000000348</v>
      </c>
      <c r="H7" s="32">
        <f>'FS Desroches Daily'!J9</f>
        <v>899.99999999990087</v>
      </c>
      <c r="I7" s="31">
        <f>'FS Desroches Daily'!L9</f>
        <v>1799.9999999998017</v>
      </c>
      <c r="J7" s="32">
        <f>'FS Desroches Daily'!N9</f>
        <v>499.99999999994492</v>
      </c>
      <c r="K7" s="13">
        <f>'FS Desroches Daily'!P9</f>
        <v>0</v>
      </c>
      <c r="L7" s="31">
        <f>'FS Desroches Daily'!R9</f>
        <v>6</v>
      </c>
      <c r="M7" s="31">
        <f>'FS Desroches Daily'!T9</f>
        <v>201</v>
      </c>
      <c r="N7" s="31">
        <f>'FS Desroches Daily'!V9</f>
        <v>190</v>
      </c>
      <c r="O7" s="31">
        <f>'FS Desroches Daily'!X9</f>
        <v>90.000000000031832</v>
      </c>
      <c r="P7" s="31">
        <f>'FS Desroches Daily'!Z9</f>
        <v>399.99999999995595</v>
      </c>
      <c r="Q7" s="31">
        <f>'FS Desroches Daily'!AB9</f>
        <v>79.999999999984084</v>
      </c>
      <c r="R7" s="31">
        <f>'FS Desroches Daily'!AD9</f>
        <v>140.0000000000432</v>
      </c>
      <c r="S7" s="31">
        <f>'FS Desroches Daily'!AF9</f>
        <v>189.99999999994088</v>
      </c>
      <c r="T7" s="31">
        <f>'FS Desroches Daily'!AH9</f>
        <v>1.5999999999999091</v>
      </c>
      <c r="U7" s="35">
        <f>'FS Desroches Daily'!AJ9</f>
        <v>240.00000000000909</v>
      </c>
      <c r="V7" s="35">
        <f>'FS Desroches Daily'!AL9</f>
        <v>19.99999999998181</v>
      </c>
      <c r="W7" s="35">
        <f>'FS Desroches Daily'!AN9</f>
        <v>10.000000000019327</v>
      </c>
      <c r="X7" s="35">
        <f>'FS Desroches Daily'!AP9</f>
        <v>20.000000000010232</v>
      </c>
      <c r="Y7" s="35">
        <f>'FS Desroches Daily'!AR9</f>
        <v>9.9999999999909051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29.999999999972715</v>
      </c>
      <c r="AI7" s="32">
        <f>'FS Desroches Daily'!BL9</f>
        <v>10.000000000019327</v>
      </c>
      <c r="AJ7" s="32">
        <f>'FS Desroches Daily'!BN9</f>
        <v>30.000000000001137</v>
      </c>
      <c r="AK7" s="32">
        <f>'FS Desroches Daily'!BP9</f>
        <v>9.9999999999909051</v>
      </c>
      <c r="AL7" s="32">
        <f>'FS Desroches Daily'!BR9</f>
        <v>6</v>
      </c>
      <c r="AM7" s="32">
        <f>'FS Desroches Daily'!BT9</f>
        <v>10.000000000019327</v>
      </c>
      <c r="AN7" s="32">
        <f>'FS Desroches Daily'!BV9</f>
        <v>4</v>
      </c>
      <c r="AO7" s="32">
        <f>'FS Desroches Daily'!BX9</f>
        <v>9.9999999999909051</v>
      </c>
      <c r="AP7" s="32">
        <f>'FS Desroches Daily'!BZ9</f>
        <v>14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49.5</v>
      </c>
      <c r="AU7" s="31">
        <f>'FS Desroches Daily'!CJ9</f>
        <v>203</v>
      </c>
      <c r="AV7" s="31">
        <f>'FS Desroches Daily'!CL9</f>
        <v>439.99999999994088</v>
      </c>
      <c r="AW7" s="31">
        <f>'FS Desroches Daily'!CM9</f>
        <v>22.599999999999909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2021</v>
      </c>
      <c r="E8" s="31">
        <f>'FS Desroches Daily'!D10</f>
        <v>899.99999999967883</v>
      </c>
      <c r="F8" s="32">
        <f>'FS Desroches Daily'!F10</f>
        <v>600.00000000037801</v>
      </c>
      <c r="G8" s="31">
        <f>'FS Desroches Daily'!H10</f>
        <v>1400.0000000002899</v>
      </c>
      <c r="H8" s="32">
        <f>'FS Desroches Daily'!J10</f>
        <v>800.00000000013392</v>
      </c>
      <c r="I8" s="31">
        <f>'FS Desroches Daily'!L10</f>
        <v>1800.0000000002458</v>
      </c>
      <c r="J8" s="32">
        <f>'FS Desroches Daily'!N10</f>
        <v>500.00000000016701</v>
      </c>
      <c r="K8" s="13">
        <f>'FS Desroches Daily'!P10</f>
        <v>0</v>
      </c>
      <c r="L8" s="31">
        <f>'FS Desroches Daily'!R10</f>
        <v>5</v>
      </c>
      <c r="M8" s="31">
        <f>'FS Desroches Daily'!T10</f>
        <v>92.200000000069849</v>
      </c>
      <c r="N8" s="31">
        <f>'FS Desroches Daily'!V10</f>
        <v>32.599999999976717</v>
      </c>
      <c r="O8" s="31">
        <f>'FS Desroches Daily'!X10</f>
        <v>129.99999999999545</v>
      </c>
      <c r="P8" s="31">
        <f>'FS Desroches Daily'!Z10</f>
        <v>399.99999999995595</v>
      </c>
      <c r="Q8" s="31">
        <f>'FS Desroches Daily'!AB10</f>
        <v>100.00000000002274</v>
      </c>
      <c r="R8" s="31">
        <f>'FS Desroches Daily'!AD10</f>
        <v>139.99999999998636</v>
      </c>
      <c r="S8" s="31">
        <f>'FS Desroches Daily'!AF10</f>
        <v>190.00000000005457</v>
      </c>
      <c r="T8" s="31">
        <f>'FS Desroches Daily'!AH10</f>
        <v>1.6000000000001364</v>
      </c>
      <c r="U8" s="35">
        <f>'FS Desroches Daily'!AJ10</f>
        <v>250</v>
      </c>
      <c r="V8" s="35">
        <f>'FS Desroches Daily'!AL10</f>
        <v>20.000000000010232</v>
      </c>
      <c r="W8" s="35">
        <f>'FS Desroches Daily'!AN10</f>
        <v>9.9999999999909051</v>
      </c>
      <c r="X8" s="35">
        <f>'FS Desroches Daily'!AP10</f>
        <v>0</v>
      </c>
      <c r="Y8" s="35">
        <f>'FS Desroches Daily'!AR10</f>
        <v>9.9999999999909051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9.9999999999909051</v>
      </c>
      <c r="AC8" s="35">
        <f>'FS Desroches Daily'!AZ10</f>
        <v>20.000000000038654</v>
      </c>
      <c r="AD8" s="35">
        <f>'FS Desroches Daily'!BB10</f>
        <v>20.000000000038654</v>
      </c>
      <c r="AE8" s="35">
        <f>'FS Desroches Daily'!BD10</f>
        <v>9.9999999999909051</v>
      </c>
      <c r="AF8" s="31">
        <f>'FS Desroches Daily'!BF10</f>
        <v>40</v>
      </c>
      <c r="AG8" s="32">
        <f>'FS Desroches Daily'!BH10</f>
        <v>30.000000000001137</v>
      </c>
      <c r="AH8" s="32">
        <f>'FS Desroches Daily'!BJ10</f>
        <v>40.000000000020464</v>
      </c>
      <c r="AI8" s="32">
        <f>'FS Desroches Daily'!BL10</f>
        <v>9.9999999999909051</v>
      </c>
      <c r="AJ8" s="32">
        <f>'FS Desroches Daily'!BN10</f>
        <v>19.99999999998181</v>
      </c>
      <c r="AK8" s="32">
        <f>'FS Desroches Daily'!BP10</f>
        <v>20.000000000038654</v>
      </c>
      <c r="AL8" s="32">
        <f>'FS Desroches Daily'!BR10</f>
        <v>8</v>
      </c>
      <c r="AM8" s="32">
        <f>'FS Desroches Daily'!BT10</f>
        <v>19.99999999998181</v>
      </c>
      <c r="AN8" s="32">
        <f>'FS Desroches Daily'!BV10</f>
        <v>17</v>
      </c>
      <c r="AO8" s="32">
        <f>'FS Desroches Daily'!BX10</f>
        <v>20.000000000010232</v>
      </c>
      <c r="AP8" s="32">
        <f>'FS Desroches Daily'!BZ10</f>
        <v>21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26.5</v>
      </c>
      <c r="AU8" s="31">
        <f>'FS Desroches Daily'!CJ10</f>
        <v>204</v>
      </c>
      <c r="AV8" s="31">
        <f>'FS Desroches Daily'!CL10</f>
        <v>420.00000000007276</v>
      </c>
      <c r="AW8" s="31">
        <f>'FS Desroches Daily'!CM10</f>
        <v>19.800000000000182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 t="str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2021</v>
      </c>
      <c r="E9" s="31" t="str">
        <f>'FS Desroches Daily'!D11</f>
        <v>0</v>
      </c>
      <c r="F9" s="32" t="str">
        <f>'FS Desroches Daily'!F11</f>
        <v>0</v>
      </c>
      <c r="G9" s="31" t="str">
        <f>'FS Desroches Daily'!H11</f>
        <v>0</v>
      </c>
      <c r="H9" s="32" t="str">
        <f>'FS Desroches Daily'!J11</f>
        <v>0</v>
      </c>
      <c r="I9" s="31" t="str">
        <f>'FS Desroches Daily'!L11</f>
        <v>0</v>
      </c>
      <c r="J9" s="32" t="str">
        <f>'FS Desroches Daily'!N11</f>
        <v/>
      </c>
      <c r="K9" s="13" t="str">
        <f>'FS Desroches Daily'!P11</f>
        <v/>
      </c>
      <c r="L9" s="31" t="str">
        <f>'FS Desroches Daily'!R11</f>
        <v/>
      </c>
      <c r="M9" s="31" t="str">
        <f>'FS Desroches Daily'!T11</f>
        <v/>
      </c>
      <c r="N9" s="31" t="str">
        <f>'FS Desroches Daily'!V11</f>
        <v/>
      </c>
      <c r="O9" s="31" t="str">
        <f>'FS Desroches Daily'!X11</f>
        <v/>
      </c>
      <c r="P9" s="31" t="str">
        <f>'FS Desroches Daily'!Z11</f>
        <v/>
      </c>
      <c r="Q9" s="31" t="str">
        <f>'FS Desroches Daily'!AB11</f>
        <v/>
      </c>
      <c r="R9" s="31" t="str">
        <f>'FS Desroches Daily'!AD11</f>
        <v/>
      </c>
      <c r="S9" s="31" t="str">
        <f>'FS Desroches Daily'!AF11</f>
        <v/>
      </c>
      <c r="T9" s="31" t="str">
        <f>'FS Desroches Daily'!AH11</f>
        <v/>
      </c>
      <c r="U9" s="35" t="str">
        <f>'FS Desroches Daily'!AJ11</f>
        <v/>
      </c>
      <c r="V9" s="35" t="str">
        <f>'FS Desroches Daily'!AL11</f>
        <v/>
      </c>
      <c r="W9" s="35" t="str">
        <f>'FS Desroches Daily'!AN11</f>
        <v/>
      </c>
      <c r="X9" s="35" t="str">
        <f>'FS Desroches Daily'!AP11</f>
        <v/>
      </c>
      <c r="Y9" s="35" t="str">
        <f>'FS Desroches Daily'!AR11</f>
        <v/>
      </c>
      <c r="Z9" s="35" t="str">
        <f>'FS Desroches Daily'!AT11</f>
        <v/>
      </c>
      <c r="AA9" s="35" t="str">
        <f>'FS Desroches Daily'!AT11</f>
        <v/>
      </c>
      <c r="AB9" s="35" t="str">
        <f>'FS Desroches Daily'!AV11</f>
        <v/>
      </c>
      <c r="AC9" s="35" t="str">
        <f>'FS Desroches Daily'!AZ11</f>
        <v/>
      </c>
      <c r="AD9" s="35" t="str">
        <f>'FS Desroches Daily'!BB11</f>
        <v/>
      </c>
      <c r="AE9" s="35" t="str">
        <f>'FS Desroches Daily'!BD11</f>
        <v/>
      </c>
      <c r="AF9" s="31" t="str">
        <f>'FS Desroches Daily'!BF11</f>
        <v/>
      </c>
      <c r="AG9" s="32" t="str">
        <f>'FS Desroches Daily'!BH11</f>
        <v/>
      </c>
      <c r="AH9" s="32" t="str">
        <f>'FS Desroches Daily'!BJ11</f>
        <v/>
      </c>
      <c r="AI9" s="32" t="str">
        <f>'FS Desroches Daily'!BL11</f>
        <v/>
      </c>
      <c r="AJ9" s="32" t="str">
        <f>'FS Desroches Daily'!BN11</f>
        <v/>
      </c>
      <c r="AK9" s="32" t="str">
        <f>'FS Desroches Daily'!BP11</f>
        <v/>
      </c>
      <c r="AL9" s="32" t="str">
        <f>'FS Desroches Daily'!BR11</f>
        <v/>
      </c>
      <c r="AM9" s="32" t="str">
        <f>'FS Desroches Daily'!BT11</f>
        <v/>
      </c>
      <c r="AN9" s="32" t="str">
        <f>'FS Desroches Daily'!BV11</f>
        <v/>
      </c>
      <c r="AO9" s="32" t="str">
        <f>'FS Desroches Daily'!BX11</f>
        <v/>
      </c>
      <c r="AP9" s="32" t="str">
        <f>'FS Desroches Daily'!BZ11</f>
        <v/>
      </c>
      <c r="AQ9" s="31" t="str">
        <f>'FS Desroches Daily'!CB11</f>
        <v/>
      </c>
      <c r="AR9" s="31" t="str">
        <f>'FS Desroches Daily'!CD11</f>
        <v/>
      </c>
      <c r="AS9" s="31" t="str">
        <f>'FS Desroches Daily'!CF11</f>
        <v/>
      </c>
      <c r="AT9" s="31" t="str">
        <f>'FS Desroches Daily'!CH11</f>
        <v/>
      </c>
      <c r="AU9" s="31" t="str">
        <f>'FS Desroches Daily'!CJ11</f>
        <v/>
      </c>
      <c r="AV9" s="31" t="str">
        <f>'FS Desroches Daily'!CL11</f>
        <v/>
      </c>
      <c r="AW9" s="31" t="e">
        <f>'FS Desroches Daily'!CM11</f>
        <v>#VALUE!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/>
      <c r="C30" s="18"/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/>
      <c r="C31" s="18"/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/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6599.9999999997171</v>
      </c>
      <c r="F33" s="17">
        <f t="shared" ref="F33:BC33" si="1">SUM(F2:F32)</f>
        <v>4800.0000000003602</v>
      </c>
      <c r="G33" s="17">
        <f t="shared" si="1"/>
        <v>11600.000000000053</v>
      </c>
      <c r="H33" s="17">
        <f t="shared" si="1"/>
        <v>5800.0000000000273</v>
      </c>
      <c r="I33" s="17">
        <f t="shared" si="1"/>
        <v>12700.000000000155</v>
      </c>
      <c r="J33" s="17">
        <f t="shared" si="1"/>
        <v>3600.0000000000477</v>
      </c>
      <c r="K33" s="17">
        <f t="shared" si="1"/>
        <v>2</v>
      </c>
      <c r="L33" s="17">
        <f t="shared" si="1"/>
        <v>21</v>
      </c>
      <c r="M33" s="17">
        <f t="shared" si="1"/>
        <v>1675.5999999999767</v>
      </c>
      <c r="N33" s="17">
        <f t="shared" si="1"/>
        <v>1155.5</v>
      </c>
      <c r="O33" s="17">
        <f t="shared" si="1"/>
        <v>910.00000000002501</v>
      </c>
      <c r="P33" s="17">
        <f t="shared" si="1"/>
        <v>3199.9999999996476</v>
      </c>
      <c r="Q33" s="17">
        <f t="shared" si="1"/>
        <v>560.00000000000227</v>
      </c>
      <c r="R33" s="17">
        <f t="shared" si="1"/>
        <v>939.99999999999773</v>
      </c>
      <c r="S33" s="17">
        <f t="shared" si="1"/>
        <v>1350.0000000000227</v>
      </c>
      <c r="T33" s="17">
        <f t="shared" si="1"/>
        <v>11.5</v>
      </c>
      <c r="U33" s="35">
        <f t="shared" si="1"/>
        <v>1730.0000000000182</v>
      </c>
      <c r="V33" s="35">
        <f t="shared" si="1"/>
        <v>199.99999999998863</v>
      </c>
      <c r="W33" s="35">
        <f t="shared" si="1"/>
        <v>139.99999999998636</v>
      </c>
      <c r="X33" s="35">
        <f t="shared" si="1"/>
        <v>140.00000000001478</v>
      </c>
      <c r="Y33" s="35">
        <f t="shared" si="1"/>
        <v>120.00000000000455</v>
      </c>
      <c r="Z33" s="35">
        <f t="shared" si="1"/>
        <v>129.99999999999545</v>
      </c>
      <c r="AA33" s="35">
        <f t="shared" si="1"/>
        <v>129.99999999999545</v>
      </c>
      <c r="AB33" s="35">
        <f t="shared" si="1"/>
        <v>139.99999999998636</v>
      </c>
      <c r="AC33" s="35">
        <f t="shared" si="1"/>
        <v>139.99999999998636</v>
      </c>
      <c r="AD33" s="35">
        <f t="shared" si="1"/>
        <v>180.00000000000682</v>
      </c>
      <c r="AE33" s="35">
        <f t="shared" si="1"/>
        <v>79.999999999984084</v>
      </c>
      <c r="AF33" s="17">
        <f t="shared" si="1"/>
        <v>180</v>
      </c>
      <c r="AG33" s="32">
        <f t="shared" si="1"/>
        <v>129.99999999999545</v>
      </c>
      <c r="AH33" s="32">
        <f t="shared" si="1"/>
        <v>240.00000000000909</v>
      </c>
      <c r="AI33" s="32">
        <f t="shared" si="1"/>
        <v>50.000000000011369</v>
      </c>
      <c r="AJ33" s="32">
        <f t="shared" si="1"/>
        <v>149.99999999997726</v>
      </c>
      <c r="AK33" s="32">
        <f t="shared" si="1"/>
        <v>100.00000000002274</v>
      </c>
      <c r="AL33" s="32">
        <f t="shared" si="1"/>
        <v>43</v>
      </c>
      <c r="AM33" s="32">
        <f t="shared" si="1"/>
        <v>79.999999999984084</v>
      </c>
      <c r="AN33" s="32">
        <f t="shared" si="1"/>
        <v>65</v>
      </c>
      <c r="AO33" s="32">
        <f t="shared" si="1"/>
        <v>110.00000000001364</v>
      </c>
      <c r="AP33" s="32">
        <f t="shared" si="1"/>
        <v>112</v>
      </c>
      <c r="AQ33" s="17">
        <f t="shared" si="1"/>
        <v>5</v>
      </c>
      <c r="AR33" s="17">
        <f t="shared" si="1"/>
        <v>0</v>
      </c>
      <c r="AS33" s="17">
        <f t="shared" si="1"/>
        <v>0</v>
      </c>
      <c r="AT33" s="17">
        <f t="shared" si="1"/>
        <v>290.19999999999709</v>
      </c>
      <c r="AU33" s="17">
        <f t="shared" si="1"/>
        <v>1555</v>
      </c>
      <c r="AV33" s="17">
        <f t="shared" si="1"/>
        <v>2990.0000000000091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0.28039765485596307</v>
      </c>
      <c r="G35" s="29">
        <f>G33-M36</f>
        <v>8768.900000000076</v>
      </c>
      <c r="AE35" s="35">
        <f>SUM(U33:AE33)</f>
        <v>3129.9999999999673</v>
      </c>
      <c r="AG35" s="32">
        <f>SUM(AG33:AP33)</f>
        <v>1080.0000000000136</v>
      </c>
    </row>
    <row r="36" spans="5:55" x14ac:dyDescent="0.25">
      <c r="G36" s="29">
        <f>G35-633*14</f>
        <v>-93.099999999923966</v>
      </c>
      <c r="M36" s="29">
        <f>M33+N33</f>
        <v>2831.0999999999767</v>
      </c>
    </row>
    <row r="37" spans="5:55" x14ac:dyDescent="0.25">
      <c r="E37" s="17">
        <f>E33+F33+G33+H33+J33-633*14</f>
        <v>23538.000000000207</v>
      </c>
      <c r="G37" s="37">
        <f>M36/E37</f>
        <v>0.12027784858526433</v>
      </c>
      <c r="M37" s="35">
        <f>AE35</f>
        <v>3129.9999999999673</v>
      </c>
    </row>
    <row r="38" spans="5:55" x14ac:dyDescent="0.25">
      <c r="L38" s="27">
        <f>M38/E37</f>
        <v>4.5883252612796507E-2</v>
      </c>
      <c r="M38" s="29">
        <f>AG35</f>
        <v>1080.0000000000136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I1" zoomScale="87" zoomScaleNormal="87" workbookViewId="0">
      <pane ySplit="1" topLeftCell="A2" activePane="bottomLeft" state="frozen"/>
      <selection pane="bottomLeft" activeCell="R12" sqref="R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44227</v>
      </c>
      <c r="B3" s="68"/>
      <c r="C3" s="58">
        <v>2.0430000000000001</v>
      </c>
      <c r="D3" s="64"/>
      <c r="E3" s="58">
        <v>2.9127999999999998</v>
      </c>
      <c r="F3" s="64"/>
      <c r="G3" s="58">
        <v>2.9666000000000001</v>
      </c>
      <c r="H3" s="64"/>
      <c r="I3" s="58">
        <v>1.4511000000000001</v>
      </c>
      <c r="J3" s="64"/>
      <c r="K3" s="58">
        <v>2.3382000000000001</v>
      </c>
      <c r="L3" s="64"/>
      <c r="M3" s="58">
        <v>1.3323</v>
      </c>
      <c r="N3" s="64"/>
      <c r="O3" s="58">
        <v>12736</v>
      </c>
      <c r="P3" s="67"/>
      <c r="Q3" s="58">
        <v>262</v>
      </c>
      <c r="R3" s="67"/>
      <c r="S3" s="58">
        <v>896114.8</v>
      </c>
      <c r="T3" s="67"/>
      <c r="U3" s="58">
        <v>370667.5</v>
      </c>
      <c r="V3" s="67"/>
      <c r="W3" s="58">
        <v>360.52</v>
      </c>
      <c r="X3" s="65"/>
      <c r="Y3" s="58">
        <v>2.5424000000000002</v>
      </c>
      <c r="Z3" s="65"/>
      <c r="AA3" s="58">
        <v>355.06</v>
      </c>
      <c r="AB3" s="65"/>
      <c r="AC3" s="58">
        <v>340.61</v>
      </c>
      <c r="AD3" s="65"/>
      <c r="AE3" s="58">
        <v>527.48</v>
      </c>
      <c r="AF3" s="65"/>
      <c r="AG3" s="58">
        <v>1551.9</v>
      </c>
      <c r="AH3" s="67"/>
      <c r="AI3" s="58">
        <v>527.35</v>
      </c>
      <c r="AJ3" s="65"/>
      <c r="AK3" s="58">
        <v>181.3</v>
      </c>
      <c r="AL3" s="65"/>
      <c r="AM3" s="58">
        <v>179.27</v>
      </c>
      <c r="AN3" s="65"/>
      <c r="AO3" s="58">
        <v>170.92</v>
      </c>
      <c r="AP3" s="65"/>
      <c r="AQ3" s="58">
        <v>229.2</v>
      </c>
      <c r="AR3" s="65"/>
      <c r="AS3" s="58">
        <v>356.71</v>
      </c>
      <c r="AT3" s="65"/>
      <c r="AU3" s="58">
        <v>275.55</v>
      </c>
      <c r="AV3" s="65"/>
      <c r="AW3" s="58">
        <v>308.76</v>
      </c>
      <c r="AX3" s="65"/>
      <c r="AY3" s="58">
        <v>356.72</v>
      </c>
      <c r="AZ3" s="65"/>
      <c r="BA3" s="58">
        <v>377.92</v>
      </c>
      <c r="BB3" s="65"/>
      <c r="BC3" s="58">
        <v>236.65</v>
      </c>
      <c r="BD3" s="65"/>
      <c r="BE3" s="59">
        <v>35107</v>
      </c>
      <c r="BF3" s="67"/>
      <c r="BG3" s="60">
        <v>228.84</v>
      </c>
      <c r="BH3" s="65"/>
      <c r="BI3" s="60">
        <v>287.7</v>
      </c>
      <c r="BJ3" s="65"/>
      <c r="BK3" s="60">
        <v>232.98</v>
      </c>
      <c r="BL3" s="65"/>
      <c r="BM3" s="60">
        <v>218.24</v>
      </c>
      <c r="BN3" s="65"/>
      <c r="BO3" s="60">
        <v>283.51</v>
      </c>
      <c r="BP3" s="65"/>
      <c r="BQ3" s="60">
        <v>41789</v>
      </c>
      <c r="BR3" s="65"/>
      <c r="BS3" s="60">
        <v>196.74</v>
      </c>
      <c r="BT3" s="65"/>
      <c r="BU3" s="60">
        <v>35291</v>
      </c>
      <c r="BV3" s="65"/>
      <c r="BW3" s="60">
        <v>228.22</v>
      </c>
      <c r="BX3" s="65"/>
      <c r="BY3" s="60">
        <v>53909</v>
      </c>
      <c r="BZ3" s="67"/>
      <c r="CA3" s="60">
        <v>28611.4</v>
      </c>
      <c r="CB3" s="67"/>
      <c r="CC3" s="60">
        <v>11255.6</v>
      </c>
      <c r="CD3" s="67"/>
      <c r="CE3" s="60">
        <v>5623</v>
      </c>
      <c r="CF3" s="67"/>
      <c r="CG3" s="60">
        <v>54514.3</v>
      </c>
      <c r="CH3" s="67"/>
      <c r="CI3" s="60">
        <v>908920</v>
      </c>
      <c r="CJ3" s="67"/>
      <c r="CK3" s="60">
        <v>673.49</v>
      </c>
      <c r="CL3" s="64"/>
      <c r="CM3" s="65"/>
      <c r="CN3" s="62">
        <v>0</v>
      </c>
      <c r="CO3" s="62">
        <v>0</v>
      </c>
      <c r="CP3" s="68">
        <v>3735.1</v>
      </c>
      <c r="CQ3" s="68"/>
      <c r="CR3" s="68">
        <v>11870</v>
      </c>
      <c r="CS3" s="68"/>
      <c r="CT3" s="75">
        <v>4586</v>
      </c>
      <c r="CU3" s="68"/>
      <c r="CV3" s="68">
        <v>11938</v>
      </c>
      <c r="CW3" s="75"/>
      <c r="CX3" s="76"/>
    </row>
    <row r="4" spans="1:102" ht="25.5" customHeight="1" thickBot="1" x14ac:dyDescent="0.45">
      <c r="A4" s="63">
        <v>44228</v>
      </c>
      <c r="B4" s="68"/>
      <c r="C4" s="58">
        <v>2.0438999999999998</v>
      </c>
      <c r="D4" s="64">
        <f t="shared" ref="D4:D34" si="0">IF((C4-C3&lt;0), "0",(C4-C3)*1000000)</f>
        <v>899.99999999967883</v>
      </c>
      <c r="E4" s="58">
        <v>2.9136000000000002</v>
      </c>
      <c r="F4" s="64">
        <f t="shared" ref="F4:F34" si="1">IF((E4-E3&lt;0), "0",(E4-E3)*1000000)</f>
        <v>800.00000000035595</v>
      </c>
      <c r="G4" s="58">
        <v>2.9685000000000001</v>
      </c>
      <c r="H4" s="64">
        <f t="shared" ref="H4:H34" si="2">IF((G4-G3&lt;0), "0",(G4-G3)*1000000)</f>
        <v>1900.0000000000127</v>
      </c>
      <c r="I4" s="58">
        <v>1.452</v>
      </c>
      <c r="J4" s="64">
        <f t="shared" ref="J4:J34" si="3">IF((I4-I3&lt;0), "0",(I4-I3)*1000000)</f>
        <v>899.99999999990087</v>
      </c>
      <c r="K4" s="58">
        <v>2.3401999999999998</v>
      </c>
      <c r="L4" s="64">
        <f>IF((K4-K3&lt;0), "0",(K4-K3)*1000000)</f>
        <v>1999.9999999997797</v>
      </c>
      <c r="M4" s="58">
        <v>1.3329</v>
      </c>
      <c r="N4" s="64">
        <f t="shared" ref="N4:N34" si="4">IF((M4-M3&lt;0), "",(M4-M3)*1000000)</f>
        <v>599.99999999993395</v>
      </c>
      <c r="O4" s="58">
        <v>12736</v>
      </c>
      <c r="P4" s="67">
        <f t="shared" ref="P4:P10" si="5">IF((O4-O3&lt;0), "",O4-O3)</f>
        <v>0</v>
      </c>
      <c r="Q4" s="58">
        <v>266</v>
      </c>
      <c r="R4" s="67">
        <f t="shared" ref="R4:R34" si="6">IF((Q4-Q3&lt;0), "",Q4-Q3)</f>
        <v>4</v>
      </c>
      <c r="S4" s="58">
        <v>896524.2</v>
      </c>
      <c r="T4" s="67">
        <f t="shared" ref="T4:T34" si="7">IF((S4-S3&lt;0), "",S4-S3)</f>
        <v>409.39999999990687</v>
      </c>
      <c r="U4" s="58">
        <v>370890.7</v>
      </c>
      <c r="V4" s="67">
        <f t="shared" ref="V4:V34" si="8">IF((U4-U3&lt;0), "",U4-U3)</f>
        <v>223.20000000001164</v>
      </c>
      <c r="W4" s="58">
        <v>360.72</v>
      </c>
      <c r="X4" s="65">
        <f t="shared" ref="X4:X34" si="9">IF((W4-W3&lt;0), "",(W4-W3)*1000)</f>
        <v>200.00000000004547</v>
      </c>
      <c r="Y4" s="58">
        <v>2.5428999999999999</v>
      </c>
      <c r="Z4" s="65">
        <f t="shared" ref="Z4:Z34" si="10">IF((Y4-Y3&lt;0), "",(Y4-Y3)*1000000)</f>
        <v>499.99999999972289</v>
      </c>
      <c r="AA4" s="58">
        <v>355.14</v>
      </c>
      <c r="AB4" s="65">
        <f t="shared" ref="AB4:AB34" si="11">IF((AA4-AA3&lt;0), "",(AA4-AA3)*1000)</f>
        <v>79.999999999984084</v>
      </c>
      <c r="AC4" s="58">
        <v>340.76</v>
      </c>
      <c r="AD4" s="65">
        <f t="shared" ref="AD4:AD34" si="12">IF((AC4-AC3&lt;0), "",(AC4-AC3)*1000)</f>
        <v>149.99999999997726</v>
      </c>
      <c r="AE4" s="58">
        <v>527.70000000000005</v>
      </c>
      <c r="AF4" s="65">
        <f t="shared" ref="AF4:AF34" si="13">IF((AE4-AE3&lt;0), "",(AE4-AE3)*1000)</f>
        <v>220.00000000002728</v>
      </c>
      <c r="AG4" s="58">
        <v>1553.4</v>
      </c>
      <c r="AH4" s="67">
        <f t="shared" ref="AH4:AH34" si="14">IF((AG4-AG3&lt;0), "",AG4-AG3)</f>
        <v>1.5</v>
      </c>
      <c r="AI4" s="58">
        <v>527.63</v>
      </c>
      <c r="AJ4" s="65">
        <f t="shared" ref="AJ4:AP34" si="15">IF((AI4-AI3&lt;0), "",(AI4-AI3)*1000)</f>
        <v>279.99999999997272</v>
      </c>
      <c r="AK4" s="58">
        <v>181.34</v>
      </c>
      <c r="AL4" s="65">
        <f t="shared" si="15"/>
        <v>39.999999999992042</v>
      </c>
      <c r="AM4" s="58">
        <v>179.31</v>
      </c>
      <c r="AN4" s="65">
        <f t="shared" si="15"/>
        <v>39.999999999992042</v>
      </c>
      <c r="AO4" s="58">
        <v>170.96</v>
      </c>
      <c r="AP4" s="65">
        <f t="shared" si="15"/>
        <v>40.000000000020464</v>
      </c>
      <c r="AQ4" s="58">
        <v>229.22</v>
      </c>
      <c r="AR4" s="65">
        <f t="shared" ref="AR4:AR34" si="16">IF((AQ4-AQ3&lt;0), "",(AQ4-AQ3)*1000)</f>
        <v>20.000000000010232</v>
      </c>
      <c r="AS4" s="58">
        <v>356.73</v>
      </c>
      <c r="AT4" s="65">
        <f t="shared" ref="AT4:AT34" si="17">IF((AS4-AS3&lt;0), "",(AS4-AS3)*1000)</f>
        <v>20.000000000038654</v>
      </c>
      <c r="AU4" s="58">
        <v>275.57</v>
      </c>
      <c r="AV4" s="65">
        <f t="shared" ref="AV4:AV34" si="18">IF((AU4-AU3&lt;0), "",(AU4-AU3)*1000)</f>
        <v>19.99999999998181</v>
      </c>
      <c r="AW4" s="58">
        <v>309.07</v>
      </c>
      <c r="AX4" s="65">
        <f t="shared" ref="AX4:AX34" si="19">IF((AW4-AW3&lt;0), "",(AW4-AW3)*1000)</f>
        <v>310.00000000000227</v>
      </c>
      <c r="AY4" s="58">
        <v>356.74</v>
      </c>
      <c r="AZ4" s="65">
        <f t="shared" ref="AZ4:AZ34" si="20">IF((AY4-AY3&lt;0), "",(AY4-AY3)*1000)</f>
        <v>19.99999999998181</v>
      </c>
      <c r="BA4" s="58">
        <v>377.93</v>
      </c>
      <c r="BB4" s="65">
        <f t="shared" ref="BB4:BB34" si="21">IF((BA4-BA3&lt;0), "",(BA4-BA3)*1000)</f>
        <v>9.9999999999909051</v>
      </c>
      <c r="BC4" s="58">
        <v>236.66</v>
      </c>
      <c r="BD4" s="65">
        <f t="shared" ref="BD4:BD34" si="22">IF((BC4-BC3&lt;0), "",(BC4-BC3)*1000)</f>
        <v>9.9999999999909051</v>
      </c>
      <c r="BE4" s="59">
        <v>35129</v>
      </c>
      <c r="BF4" s="67">
        <f>IF((BE4-BE3&lt;0), "",BE4-BE3)</f>
        <v>22</v>
      </c>
      <c r="BG4" s="60">
        <v>228.87</v>
      </c>
      <c r="BH4" s="65">
        <f t="shared" ref="BH4:BH34" si="23">IF((BG4-BG3&lt;0), "",(BG4-BG3)*1000)</f>
        <v>30.000000000001137</v>
      </c>
      <c r="BI4" s="60">
        <v>287.74</v>
      </c>
      <c r="BJ4" s="65">
        <f>IF((BI4-BI3&lt;0), "",(BI4-BI3)*1000)</f>
        <v>40.000000000020464</v>
      </c>
      <c r="BK4" s="60">
        <v>232.98</v>
      </c>
      <c r="BL4" s="65">
        <f t="shared" ref="BL4:BL34" si="24">IF((BK4-BK3&lt;0), "",(BK4-BK3)*1000)</f>
        <v>0</v>
      </c>
      <c r="BM4" s="60">
        <v>218.26</v>
      </c>
      <c r="BN4" s="65">
        <f t="shared" ref="BN4:BN33" si="25">IF((BM4-BM3&lt;0), "",(BM4-BM3)*1000)</f>
        <v>19.99999999998181</v>
      </c>
      <c r="BO4" s="60">
        <v>283.52</v>
      </c>
      <c r="BP4" s="65">
        <f t="shared" ref="BP4:BP34" si="26">IF((BO4-BO3&lt;0), "",(BO4-BO3)*1000)</f>
        <v>9.9999999999909051</v>
      </c>
      <c r="BQ4" s="60">
        <v>41795</v>
      </c>
      <c r="BR4" s="65">
        <f t="shared" ref="BR4:BR34" si="27">IF((BQ4-BQ3&lt;0), "",BQ4-BQ3)</f>
        <v>6</v>
      </c>
      <c r="BS4" s="60">
        <v>196.75</v>
      </c>
      <c r="BT4" s="65">
        <f>IF((BS4-BS3&lt;0), "",(BS4-BS3)*1000)</f>
        <v>9.9999999999909051</v>
      </c>
      <c r="BU4" s="60">
        <v>35301</v>
      </c>
      <c r="BV4" s="65">
        <f t="shared" ref="BV4:BV35" si="28">IF((BU4-BU3&lt;0), "",BU4-BU3)</f>
        <v>10</v>
      </c>
      <c r="BW4" s="60">
        <v>228.24</v>
      </c>
      <c r="BX4" s="65">
        <f t="shared" ref="BX4:BX34" si="29">IF((BW4-BW3&lt;0), "",(BW4-BW3)*1000)</f>
        <v>20.000000000010232</v>
      </c>
      <c r="BY4" s="60">
        <v>53924</v>
      </c>
      <c r="BZ4" s="67">
        <f t="shared" ref="BZ4:BZ34" si="30">IF((BY4-BY3&lt;0), "",BY4-BY3)</f>
        <v>15</v>
      </c>
      <c r="CA4" s="60">
        <v>28611.4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54564.7</v>
      </c>
      <c r="CH4" s="67">
        <f t="shared" ref="CH4:CH34" si="34">IF((CG4-CG3&lt;0), "",CG4-CG3)</f>
        <v>50.399999999994179</v>
      </c>
      <c r="CI4" s="60">
        <v>909155</v>
      </c>
      <c r="CJ4" s="67">
        <f t="shared" ref="CJ4:CJ34" si="35">IF((CI4-CI3&lt;0), "",CI4-CI3)</f>
        <v>235</v>
      </c>
      <c r="CK4" s="60">
        <v>673.95</v>
      </c>
      <c r="CL4" s="64">
        <f t="shared" ref="CL4:CL34" si="36">IF((CK4-CK3&lt;0), "",(CK4-CK3)*1000)</f>
        <v>460.00000000003638</v>
      </c>
      <c r="CM4" s="65">
        <f t="shared" ref="CM4:CM34" si="37">CQ4+CS4</f>
        <v>31.599999999999909</v>
      </c>
      <c r="CN4" s="62">
        <v>0</v>
      </c>
      <c r="CO4" s="62">
        <v>0</v>
      </c>
      <c r="CP4" s="68">
        <v>3755.2</v>
      </c>
      <c r="CQ4" s="67">
        <f t="shared" ref="CQ4:CW34" si="38">IF((CP4-CP3&lt;0), "",CP4-CP3)</f>
        <v>20.099999999999909</v>
      </c>
      <c r="CR4" s="68">
        <v>11881.5</v>
      </c>
      <c r="CS4" s="67">
        <f t="shared" si="38"/>
        <v>11.5</v>
      </c>
      <c r="CT4" s="75">
        <v>4599</v>
      </c>
      <c r="CU4" s="67">
        <f t="shared" si="38"/>
        <v>13</v>
      </c>
      <c r="CV4" s="68">
        <v>11963</v>
      </c>
      <c r="CW4" s="67">
        <f t="shared" si="38"/>
        <v>25</v>
      </c>
    </row>
    <row r="5" spans="1:102" ht="25.5" customHeight="1" thickBot="1" x14ac:dyDescent="0.45">
      <c r="A5" s="63">
        <v>44229</v>
      </c>
      <c r="B5" s="44"/>
      <c r="C5" s="58">
        <v>2.0449000000000002</v>
      </c>
      <c r="D5" s="64">
        <f t="shared" si="0"/>
        <v>1000.000000000334</v>
      </c>
      <c r="E5" s="58">
        <v>2.9142999999999999</v>
      </c>
      <c r="F5" s="64">
        <f t="shared" si="1"/>
        <v>699.99999999970089</v>
      </c>
      <c r="G5" s="58">
        <v>2.9701</v>
      </c>
      <c r="H5" s="64">
        <f t="shared" si="2"/>
        <v>1599.9999999998238</v>
      </c>
      <c r="I5" s="58">
        <v>1.4528000000000001</v>
      </c>
      <c r="J5" s="64">
        <f t="shared" si="3"/>
        <v>800.00000000013392</v>
      </c>
      <c r="K5" s="58">
        <v>2.3420000000000001</v>
      </c>
      <c r="L5" s="64">
        <f t="shared" ref="L5:L34" si="39">IF((K5-K4&lt;0), "0",(K5-K4)*1000000)</f>
        <v>1800.0000000002458</v>
      </c>
      <c r="M5" s="58">
        <v>1.3332999999999999</v>
      </c>
      <c r="N5" s="64">
        <f t="shared" si="4"/>
        <v>399.99999999995595</v>
      </c>
      <c r="O5" s="58">
        <v>12737</v>
      </c>
      <c r="P5" s="67">
        <f t="shared" si="5"/>
        <v>1</v>
      </c>
      <c r="Q5" s="58">
        <v>268</v>
      </c>
      <c r="R5" s="67">
        <f t="shared" si="6"/>
        <v>2</v>
      </c>
      <c r="S5" s="58">
        <v>896768.2</v>
      </c>
      <c r="T5" s="67">
        <f t="shared" si="7"/>
        <v>244</v>
      </c>
      <c r="U5" s="58">
        <v>371065.3</v>
      </c>
      <c r="V5" s="67">
        <f t="shared" si="8"/>
        <v>174.59999999997672</v>
      </c>
      <c r="W5" s="58">
        <v>360.85</v>
      </c>
      <c r="X5" s="65">
        <f t="shared" si="9"/>
        <v>129.99999999999545</v>
      </c>
      <c r="Y5" s="58">
        <v>2.5432999999999999</v>
      </c>
      <c r="Z5" s="65">
        <f t="shared" si="10"/>
        <v>399.99999999995595</v>
      </c>
      <c r="AA5" s="58">
        <v>355.22</v>
      </c>
      <c r="AB5" s="65">
        <f t="shared" si="11"/>
        <v>80.000000000040927</v>
      </c>
      <c r="AC5" s="58">
        <v>340.87</v>
      </c>
      <c r="AD5" s="65">
        <f t="shared" si="12"/>
        <v>110.00000000001364</v>
      </c>
      <c r="AE5" s="58">
        <v>527.87</v>
      </c>
      <c r="AF5" s="65">
        <f t="shared" si="13"/>
        <v>169.99999999995907</v>
      </c>
      <c r="AG5" s="58">
        <v>1555.2</v>
      </c>
      <c r="AH5" s="67">
        <f t="shared" si="14"/>
        <v>1.7999999999999545</v>
      </c>
      <c r="AI5" s="58">
        <v>527.86</v>
      </c>
      <c r="AJ5" s="65">
        <f t="shared" si="15"/>
        <v>230.00000000001819</v>
      </c>
      <c r="AK5" s="58">
        <v>181.37</v>
      </c>
      <c r="AL5" s="65">
        <f t="shared" si="15"/>
        <v>30.000000000001137</v>
      </c>
      <c r="AM5" s="58">
        <v>179.32</v>
      </c>
      <c r="AN5" s="65">
        <f t="shared" si="15"/>
        <v>9.9999999999909051</v>
      </c>
      <c r="AO5" s="58">
        <v>170.97</v>
      </c>
      <c r="AP5" s="65">
        <f t="shared" si="15"/>
        <v>9.9999999999909051</v>
      </c>
      <c r="AQ5" s="58">
        <v>229.24</v>
      </c>
      <c r="AR5" s="65">
        <f t="shared" si="16"/>
        <v>20.000000000010232</v>
      </c>
      <c r="AS5" s="58">
        <v>356.74</v>
      </c>
      <c r="AT5" s="65">
        <f t="shared" si="17"/>
        <v>9.9999999999909051</v>
      </c>
      <c r="AU5" s="58">
        <v>275.58999999999997</v>
      </c>
      <c r="AV5" s="65">
        <f t="shared" si="18"/>
        <v>19.99999999998181</v>
      </c>
      <c r="AW5" s="58">
        <v>309.35000000000002</v>
      </c>
      <c r="AX5" s="65">
        <f t="shared" si="19"/>
        <v>280.00000000002956</v>
      </c>
      <c r="AY5" s="58">
        <v>356.76</v>
      </c>
      <c r="AZ5" s="65">
        <f t="shared" si="20"/>
        <v>19.99999999998181</v>
      </c>
      <c r="BA5" s="58">
        <v>377.98</v>
      </c>
      <c r="BB5" s="65">
        <f t="shared" si="21"/>
        <v>50.000000000011369</v>
      </c>
      <c r="BC5" s="58">
        <v>236.67</v>
      </c>
      <c r="BD5" s="65">
        <f t="shared" si="22"/>
        <v>9.9999999999909051</v>
      </c>
      <c r="BE5" s="59">
        <v>35150</v>
      </c>
      <c r="BF5" s="67">
        <f t="shared" ref="BF5:BF34" si="40">IF((BE5-BE4&lt;0), "",BE5-BE4)</f>
        <v>21</v>
      </c>
      <c r="BG5" s="60">
        <v>228.88</v>
      </c>
      <c r="BH5" s="65">
        <f t="shared" si="23"/>
        <v>9.9999999999909051</v>
      </c>
      <c r="BI5" s="60">
        <v>287.77</v>
      </c>
      <c r="BJ5" s="65">
        <f t="shared" ref="BJ5:BJ34" si="41">IF((BI5-BI4&lt;0), "",(BI5-BI4)*1000)</f>
        <v>29.999999999972715</v>
      </c>
      <c r="BK5" s="60">
        <v>232.99</v>
      </c>
      <c r="BL5" s="65">
        <f t="shared" si="24"/>
        <v>10.000000000019327</v>
      </c>
      <c r="BM5" s="60">
        <v>218.28</v>
      </c>
      <c r="BN5" s="65">
        <f t="shared" si="25"/>
        <v>20.000000000010232</v>
      </c>
      <c r="BO5" s="60">
        <v>283.54000000000002</v>
      </c>
      <c r="BP5" s="65">
        <f t="shared" si="26"/>
        <v>20.000000000038654</v>
      </c>
      <c r="BQ5" s="60">
        <v>41801</v>
      </c>
      <c r="BR5" s="65">
        <f t="shared" si="27"/>
        <v>6</v>
      </c>
      <c r="BS5" s="60">
        <v>196.76</v>
      </c>
      <c r="BT5" s="65">
        <f>IF((BS5-BS4&lt;0), "",(BS5-BS4)*1000)</f>
        <v>9.9999999999909051</v>
      </c>
      <c r="BU5" s="60">
        <v>35309</v>
      </c>
      <c r="BV5" s="65">
        <f t="shared" si="28"/>
        <v>8</v>
      </c>
      <c r="BW5" s="60">
        <v>228.25</v>
      </c>
      <c r="BX5" s="65">
        <f t="shared" si="29"/>
        <v>9.9999999999909051</v>
      </c>
      <c r="BY5" s="60">
        <v>53940</v>
      </c>
      <c r="BZ5" s="67">
        <f t="shared" si="30"/>
        <v>16</v>
      </c>
      <c r="CA5" s="60">
        <v>28611.4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54588.7</v>
      </c>
      <c r="CH5" s="67">
        <f t="shared" si="34"/>
        <v>24</v>
      </c>
      <c r="CI5" s="60">
        <v>909380</v>
      </c>
      <c r="CJ5" s="67">
        <f t="shared" si="35"/>
        <v>225</v>
      </c>
      <c r="CK5" s="60">
        <v>674.36</v>
      </c>
      <c r="CL5" s="64">
        <f t="shared" si="36"/>
        <v>409.99999999996817</v>
      </c>
      <c r="CM5" s="65">
        <f t="shared" si="37"/>
        <v>24.700000000000273</v>
      </c>
      <c r="CN5" s="62">
        <v>0</v>
      </c>
      <c r="CO5" s="62">
        <v>0</v>
      </c>
      <c r="CP5" s="68">
        <v>3768.4</v>
      </c>
      <c r="CQ5" s="67">
        <f t="shared" si="38"/>
        <v>13.200000000000273</v>
      </c>
      <c r="CR5" s="68">
        <v>11893</v>
      </c>
      <c r="CS5" s="67">
        <f t="shared" si="38"/>
        <v>11.5</v>
      </c>
      <c r="CT5" s="75">
        <v>4612</v>
      </c>
      <c r="CU5" s="67">
        <f t="shared" si="38"/>
        <v>13</v>
      </c>
      <c r="CV5" s="68">
        <v>11981</v>
      </c>
      <c r="CW5" s="67">
        <f t="shared" si="38"/>
        <v>18</v>
      </c>
    </row>
    <row r="6" spans="1:102" ht="24.75" customHeight="1" thickBot="1" x14ac:dyDescent="0.45">
      <c r="A6" s="63">
        <v>44230</v>
      </c>
      <c r="B6" s="44"/>
      <c r="C6" s="58">
        <v>2.0457999999999998</v>
      </c>
      <c r="D6" s="64">
        <f t="shared" si="0"/>
        <v>899.99999999967883</v>
      </c>
      <c r="E6" s="58">
        <v>2.915</v>
      </c>
      <c r="F6" s="64">
        <f t="shared" si="1"/>
        <v>700.00000000014495</v>
      </c>
      <c r="G6" s="58">
        <v>2.9716999999999998</v>
      </c>
      <c r="H6" s="64">
        <f t="shared" si="2"/>
        <v>1599.9999999998238</v>
      </c>
      <c r="I6" s="58">
        <v>1.4536</v>
      </c>
      <c r="J6" s="64">
        <f t="shared" si="3"/>
        <v>799.99999999991189</v>
      </c>
      <c r="K6" s="58">
        <v>2.3437000000000001</v>
      </c>
      <c r="L6" s="64">
        <f t="shared" si="39"/>
        <v>1700.0000000000348</v>
      </c>
      <c r="M6" s="58">
        <v>1.3338000000000001</v>
      </c>
      <c r="N6" s="64">
        <f t="shared" si="4"/>
        <v>500.00000000016701</v>
      </c>
      <c r="O6" s="58">
        <v>12737</v>
      </c>
      <c r="P6" s="67">
        <f t="shared" si="5"/>
        <v>0</v>
      </c>
      <c r="Q6" s="58">
        <v>269</v>
      </c>
      <c r="R6" s="67">
        <f t="shared" si="6"/>
        <v>1</v>
      </c>
      <c r="S6" s="58">
        <v>896942.6</v>
      </c>
      <c r="T6" s="67">
        <f t="shared" si="7"/>
        <v>174.40000000002328</v>
      </c>
      <c r="U6" s="58">
        <v>371214.2</v>
      </c>
      <c r="V6" s="67">
        <f t="shared" si="8"/>
        <v>148.90000000002328</v>
      </c>
      <c r="W6" s="58">
        <v>360.96</v>
      </c>
      <c r="X6" s="65">
        <f t="shared" si="9"/>
        <v>109.9999999999568</v>
      </c>
      <c r="Y6" s="58">
        <v>2.5438000000000001</v>
      </c>
      <c r="Z6" s="65">
        <f t="shared" si="10"/>
        <v>500.00000000016701</v>
      </c>
      <c r="AA6" s="58">
        <v>355.29</v>
      </c>
      <c r="AB6" s="65">
        <f t="shared" si="11"/>
        <v>69.999999999993179</v>
      </c>
      <c r="AC6" s="58">
        <v>340.96</v>
      </c>
      <c r="AD6" s="65">
        <f t="shared" si="12"/>
        <v>89.999999999974989</v>
      </c>
      <c r="AE6" s="58">
        <v>528.03</v>
      </c>
      <c r="AF6" s="65">
        <f t="shared" si="13"/>
        <v>159.99999999996817</v>
      </c>
      <c r="AG6" s="58">
        <v>1556.7</v>
      </c>
      <c r="AH6" s="67">
        <f t="shared" si="14"/>
        <v>1.5</v>
      </c>
      <c r="AI6" s="58">
        <v>528.08000000000004</v>
      </c>
      <c r="AJ6" s="65">
        <f t="shared" si="15"/>
        <v>220.00000000002728</v>
      </c>
      <c r="AK6" s="58">
        <v>181.39</v>
      </c>
      <c r="AL6" s="65">
        <f t="shared" si="15"/>
        <v>19.99999999998181</v>
      </c>
      <c r="AM6" s="58">
        <v>179.34</v>
      </c>
      <c r="AN6" s="65">
        <f t="shared" si="15"/>
        <v>20.000000000010232</v>
      </c>
      <c r="AO6" s="58">
        <v>170.99</v>
      </c>
      <c r="AP6" s="65">
        <f t="shared" si="15"/>
        <v>20.000000000010232</v>
      </c>
      <c r="AQ6" s="58">
        <v>229.26</v>
      </c>
      <c r="AR6" s="65">
        <f t="shared" si="16"/>
        <v>19.99999999998181</v>
      </c>
      <c r="AS6" s="58">
        <v>356.76</v>
      </c>
      <c r="AT6" s="65">
        <f t="shared" si="17"/>
        <v>19.99999999998181</v>
      </c>
      <c r="AU6" s="58">
        <v>275.60000000000002</v>
      </c>
      <c r="AV6" s="65">
        <f t="shared" si="18"/>
        <v>10.000000000047748</v>
      </c>
      <c r="AW6" s="58">
        <v>309.63</v>
      </c>
      <c r="AX6" s="65">
        <f t="shared" si="19"/>
        <v>279.99999999997272</v>
      </c>
      <c r="AY6" s="58">
        <v>356.78</v>
      </c>
      <c r="AZ6" s="65">
        <f t="shared" si="20"/>
        <v>19.99999999998181</v>
      </c>
      <c r="BA6" s="58">
        <v>378.01</v>
      </c>
      <c r="BB6" s="65">
        <f t="shared" si="21"/>
        <v>29.999999999972715</v>
      </c>
      <c r="BC6" s="58">
        <v>236.68</v>
      </c>
      <c r="BD6" s="65">
        <f t="shared" si="22"/>
        <v>10.000000000019327</v>
      </c>
      <c r="BE6" s="59">
        <v>35173</v>
      </c>
      <c r="BF6" s="67">
        <f t="shared" si="40"/>
        <v>23</v>
      </c>
      <c r="BG6" s="60">
        <v>228.9</v>
      </c>
      <c r="BH6" s="65">
        <f t="shared" si="23"/>
        <v>20.000000000010232</v>
      </c>
      <c r="BI6" s="60">
        <v>287.8</v>
      </c>
      <c r="BJ6" s="65">
        <f t="shared" si="41"/>
        <v>30.000000000029559</v>
      </c>
      <c r="BK6" s="60">
        <v>233</v>
      </c>
      <c r="BL6" s="65">
        <f t="shared" si="24"/>
        <v>9.9999999999909051</v>
      </c>
      <c r="BM6" s="60">
        <v>218.3</v>
      </c>
      <c r="BN6" s="65">
        <f t="shared" si="25"/>
        <v>20.000000000010232</v>
      </c>
      <c r="BO6" s="60">
        <v>283.55</v>
      </c>
      <c r="BP6" s="65">
        <f t="shared" si="26"/>
        <v>9.9999999999909051</v>
      </c>
      <c r="BQ6" s="60">
        <v>41805</v>
      </c>
      <c r="BR6" s="65">
        <f t="shared" si="27"/>
        <v>4</v>
      </c>
      <c r="BS6" s="60">
        <v>196.77</v>
      </c>
      <c r="BT6" s="65">
        <f t="shared" ref="BT6:BT35" si="42">IF((BS6-BS5&lt;0), "",(BS6-BS5)*1000)</f>
        <v>10.000000000019327</v>
      </c>
      <c r="BU6" s="60">
        <v>35316</v>
      </c>
      <c r="BV6" s="65">
        <f t="shared" si="28"/>
        <v>7</v>
      </c>
      <c r="BW6" s="60">
        <v>228.26</v>
      </c>
      <c r="BX6" s="65">
        <f t="shared" si="29"/>
        <v>9.9999999999909051</v>
      </c>
      <c r="BY6" s="60">
        <v>53952</v>
      </c>
      <c r="BZ6" s="67">
        <f t="shared" si="30"/>
        <v>12</v>
      </c>
      <c r="CA6" s="60">
        <v>28616.400000000001</v>
      </c>
      <c r="CB6" s="67">
        <f t="shared" si="31"/>
        <v>5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54632.2</v>
      </c>
      <c r="CH6" s="67">
        <f t="shared" si="34"/>
        <v>43.5</v>
      </c>
      <c r="CI6" s="60">
        <v>909607</v>
      </c>
      <c r="CJ6" s="67">
        <f t="shared" si="35"/>
        <v>227</v>
      </c>
      <c r="CK6" s="60">
        <v>674.79</v>
      </c>
      <c r="CL6" s="64">
        <f t="shared" si="36"/>
        <v>429.99999999994998</v>
      </c>
      <c r="CM6" s="65">
        <f t="shared" si="37"/>
        <v>20.099999999999909</v>
      </c>
      <c r="CN6" s="62">
        <v>0</v>
      </c>
      <c r="CO6" s="62">
        <v>0</v>
      </c>
      <c r="CP6" s="68">
        <v>3782.5</v>
      </c>
      <c r="CQ6" s="67">
        <f t="shared" si="38"/>
        <v>14.099999999999909</v>
      </c>
      <c r="CR6" s="68">
        <v>11899</v>
      </c>
      <c r="CS6" s="67">
        <f t="shared" si="38"/>
        <v>6</v>
      </c>
      <c r="CT6" s="68">
        <v>4623</v>
      </c>
      <c r="CU6" s="67">
        <f t="shared" si="38"/>
        <v>11</v>
      </c>
      <c r="CV6" s="68">
        <v>12000</v>
      </c>
      <c r="CW6" s="67">
        <f t="shared" si="38"/>
        <v>19</v>
      </c>
    </row>
    <row r="7" spans="1:102" ht="25.5" customHeight="1" thickBot="1" x14ac:dyDescent="0.45">
      <c r="A7" s="63">
        <v>44231</v>
      </c>
      <c r="B7" s="44"/>
      <c r="C7" s="58">
        <v>2.0468000000000002</v>
      </c>
      <c r="D7" s="64">
        <f t="shared" si="0"/>
        <v>1000.000000000334</v>
      </c>
      <c r="E7" s="58">
        <v>2.9157000000000002</v>
      </c>
      <c r="F7" s="64">
        <f t="shared" si="1"/>
        <v>700.00000000014495</v>
      </c>
      <c r="G7" s="58">
        <v>2.9733999999999998</v>
      </c>
      <c r="H7" s="64">
        <f t="shared" si="2"/>
        <v>1700.0000000000348</v>
      </c>
      <c r="I7" s="58">
        <v>1.4543999999999999</v>
      </c>
      <c r="J7" s="64">
        <f t="shared" si="3"/>
        <v>799.99999999991189</v>
      </c>
      <c r="K7" s="58">
        <v>2.3454999999999999</v>
      </c>
      <c r="L7" s="64">
        <f t="shared" si="39"/>
        <v>1799.9999999998017</v>
      </c>
      <c r="M7" s="58">
        <v>1.3343</v>
      </c>
      <c r="N7" s="64">
        <f t="shared" si="4"/>
        <v>499.99999999994492</v>
      </c>
      <c r="O7" s="58">
        <v>12738</v>
      </c>
      <c r="P7" s="67">
        <f t="shared" si="5"/>
        <v>1</v>
      </c>
      <c r="Q7" s="58">
        <v>272</v>
      </c>
      <c r="R7" s="67">
        <f t="shared" si="6"/>
        <v>3</v>
      </c>
      <c r="S7" s="58">
        <v>897201</v>
      </c>
      <c r="T7" s="67">
        <f t="shared" si="7"/>
        <v>258.40000000002328</v>
      </c>
      <c r="U7" s="58">
        <v>371402.6</v>
      </c>
      <c r="V7" s="67">
        <f t="shared" si="8"/>
        <v>188.39999999996508</v>
      </c>
      <c r="W7" s="58">
        <v>361.06</v>
      </c>
      <c r="X7" s="65">
        <f t="shared" si="9"/>
        <v>100.00000000002274</v>
      </c>
      <c r="Y7" s="58">
        <v>2.5442999999999998</v>
      </c>
      <c r="Z7" s="65">
        <f t="shared" si="10"/>
        <v>499.99999999972289</v>
      </c>
      <c r="AA7" s="58">
        <v>355.37</v>
      </c>
      <c r="AB7" s="65">
        <f t="shared" si="11"/>
        <v>79.999999999984084</v>
      </c>
      <c r="AC7" s="58">
        <v>341.11</v>
      </c>
      <c r="AD7" s="65">
        <f t="shared" si="12"/>
        <v>150.00000000003411</v>
      </c>
      <c r="AE7" s="58">
        <v>528.21</v>
      </c>
      <c r="AF7" s="65">
        <f t="shared" si="13"/>
        <v>180.00000000006366</v>
      </c>
      <c r="AG7" s="58">
        <v>1557.3</v>
      </c>
      <c r="AH7" s="67">
        <f t="shared" si="14"/>
        <v>0.59999999999990905</v>
      </c>
      <c r="AI7" s="58">
        <v>528.34</v>
      </c>
      <c r="AJ7" s="65">
        <f t="shared" si="15"/>
        <v>259.99999999999091</v>
      </c>
      <c r="AK7" s="58">
        <v>181.42</v>
      </c>
      <c r="AL7" s="65">
        <f t="shared" si="15"/>
        <v>30.000000000001137</v>
      </c>
      <c r="AM7" s="58">
        <v>179.36</v>
      </c>
      <c r="AN7" s="65">
        <f t="shared" si="15"/>
        <v>20.000000000010232</v>
      </c>
      <c r="AO7" s="58">
        <v>171.01</v>
      </c>
      <c r="AP7" s="65">
        <f t="shared" si="15"/>
        <v>19.99999999998181</v>
      </c>
      <c r="AQ7" s="58">
        <v>229.28</v>
      </c>
      <c r="AR7" s="65">
        <f t="shared" si="16"/>
        <v>20.000000000010232</v>
      </c>
      <c r="AS7" s="58">
        <v>356.78</v>
      </c>
      <c r="AT7" s="65">
        <f t="shared" si="17"/>
        <v>19.99999999998181</v>
      </c>
      <c r="AU7" s="58">
        <v>275.64999999999998</v>
      </c>
      <c r="AV7" s="65">
        <f t="shared" si="18"/>
        <v>49.999999999954525</v>
      </c>
      <c r="AW7" s="58">
        <v>309.95</v>
      </c>
      <c r="AX7" s="65">
        <f t="shared" si="19"/>
        <v>319.99999999999318</v>
      </c>
      <c r="AY7" s="58">
        <v>356.79</v>
      </c>
      <c r="AZ7" s="65">
        <f t="shared" si="20"/>
        <v>10.000000000047748</v>
      </c>
      <c r="BA7" s="58">
        <v>378.03</v>
      </c>
      <c r="BB7" s="65">
        <f t="shared" si="21"/>
        <v>19.99999999998181</v>
      </c>
      <c r="BC7" s="58">
        <v>236.69</v>
      </c>
      <c r="BD7" s="65">
        <f t="shared" si="22"/>
        <v>9.9999999999909051</v>
      </c>
      <c r="BE7" s="59">
        <v>35201</v>
      </c>
      <c r="BF7" s="67">
        <f t="shared" si="40"/>
        <v>28</v>
      </c>
      <c r="BG7" s="60">
        <v>228.91</v>
      </c>
      <c r="BH7" s="65">
        <f t="shared" si="23"/>
        <v>9.9999999999909051</v>
      </c>
      <c r="BI7" s="60">
        <v>287.83</v>
      </c>
      <c r="BJ7" s="65">
        <f t="shared" si="41"/>
        <v>29.999999999972715</v>
      </c>
      <c r="BK7" s="60">
        <v>233</v>
      </c>
      <c r="BL7" s="65">
        <f t="shared" si="24"/>
        <v>0</v>
      </c>
      <c r="BM7" s="60">
        <v>218.32</v>
      </c>
      <c r="BN7" s="65">
        <f t="shared" si="25"/>
        <v>19.99999999998181</v>
      </c>
      <c r="BO7" s="60">
        <v>283.56</v>
      </c>
      <c r="BP7" s="65">
        <f t="shared" si="26"/>
        <v>9.9999999999909051</v>
      </c>
      <c r="BQ7" s="60">
        <v>41811</v>
      </c>
      <c r="BR7" s="65">
        <f t="shared" si="27"/>
        <v>6</v>
      </c>
      <c r="BS7" s="60">
        <v>196.78</v>
      </c>
      <c r="BT7" s="65">
        <f t="shared" si="42"/>
        <v>9.9999999999909051</v>
      </c>
      <c r="BU7" s="60">
        <v>35326</v>
      </c>
      <c r="BV7" s="65">
        <f t="shared" si="28"/>
        <v>10</v>
      </c>
      <c r="BW7" s="60">
        <v>228.28</v>
      </c>
      <c r="BX7" s="65">
        <f t="shared" si="29"/>
        <v>20.000000000010232</v>
      </c>
      <c r="BY7" s="60">
        <v>53968</v>
      </c>
      <c r="BZ7" s="67">
        <f t="shared" si="30"/>
        <v>16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54678.8</v>
      </c>
      <c r="CH7" s="67">
        <f t="shared" si="34"/>
        <v>46.600000000005821</v>
      </c>
      <c r="CI7" s="60">
        <v>909841</v>
      </c>
      <c r="CJ7" s="67">
        <f t="shared" si="35"/>
        <v>234</v>
      </c>
      <c r="CK7" s="60">
        <v>675.19</v>
      </c>
      <c r="CL7" s="64">
        <f t="shared" si="36"/>
        <v>400.00000000009095</v>
      </c>
      <c r="CM7" s="65">
        <f t="shared" si="37"/>
        <v>29.5</v>
      </c>
      <c r="CN7" s="62">
        <v>0</v>
      </c>
      <c r="CO7" s="62">
        <v>0</v>
      </c>
      <c r="CP7" s="68">
        <v>3804</v>
      </c>
      <c r="CQ7" s="67">
        <f t="shared" si="38"/>
        <v>21.5</v>
      </c>
      <c r="CR7" s="68">
        <v>11907</v>
      </c>
      <c r="CS7" s="67">
        <f t="shared" si="38"/>
        <v>8</v>
      </c>
      <c r="CT7" s="75">
        <v>4634</v>
      </c>
      <c r="CU7" s="67">
        <f t="shared" si="38"/>
        <v>11</v>
      </c>
      <c r="CV7" s="68">
        <v>12022</v>
      </c>
      <c r="CW7" s="67">
        <f t="shared" si="38"/>
        <v>22</v>
      </c>
    </row>
    <row r="8" spans="1:102" ht="25.5" customHeight="1" thickBot="1" x14ac:dyDescent="0.45">
      <c r="A8" s="63">
        <v>44232</v>
      </c>
      <c r="B8" s="44"/>
      <c r="C8" s="58">
        <v>2.0478000000000001</v>
      </c>
      <c r="D8" s="64">
        <f t="shared" si="0"/>
        <v>999.99999999988984</v>
      </c>
      <c r="E8" s="58">
        <v>2.9163999999999999</v>
      </c>
      <c r="F8" s="64">
        <f t="shared" si="1"/>
        <v>699.99999999970089</v>
      </c>
      <c r="G8" s="58">
        <v>2.9750999999999999</v>
      </c>
      <c r="H8" s="64">
        <f t="shared" si="2"/>
        <v>1700.0000000000348</v>
      </c>
      <c r="I8" s="58">
        <v>1.4552</v>
      </c>
      <c r="J8" s="64">
        <f t="shared" si="3"/>
        <v>800.00000000013392</v>
      </c>
      <c r="K8" s="58">
        <v>2.3473000000000002</v>
      </c>
      <c r="L8" s="64">
        <f t="shared" si="39"/>
        <v>1800.0000000002458</v>
      </c>
      <c r="M8" s="58">
        <v>1.3349</v>
      </c>
      <c r="N8" s="64">
        <f t="shared" si="4"/>
        <v>599.99999999993395</v>
      </c>
      <c r="O8" s="58">
        <v>12738</v>
      </c>
      <c r="P8" s="67">
        <f t="shared" si="5"/>
        <v>0</v>
      </c>
      <c r="Q8" s="58">
        <v>272</v>
      </c>
      <c r="R8" s="67">
        <f t="shared" si="6"/>
        <v>0</v>
      </c>
      <c r="S8" s="58">
        <v>897497.2</v>
      </c>
      <c r="T8" s="67">
        <f t="shared" si="7"/>
        <v>296.19999999995343</v>
      </c>
      <c r="U8" s="58">
        <v>371600.4</v>
      </c>
      <c r="V8" s="67">
        <f t="shared" si="8"/>
        <v>197.80000000004657</v>
      </c>
      <c r="W8" s="58">
        <v>361.2</v>
      </c>
      <c r="X8" s="65">
        <f t="shared" si="9"/>
        <v>139.99999999998636</v>
      </c>
      <c r="Y8" s="58">
        <v>2.5448</v>
      </c>
      <c r="Z8" s="65">
        <f t="shared" si="10"/>
        <v>500.00000000016701</v>
      </c>
      <c r="AA8" s="58">
        <v>355.44</v>
      </c>
      <c r="AB8" s="65">
        <f t="shared" si="11"/>
        <v>69.999999999993179</v>
      </c>
      <c r="AC8" s="58">
        <v>341.27</v>
      </c>
      <c r="AD8" s="65">
        <f t="shared" si="12"/>
        <v>159.99999999996817</v>
      </c>
      <c r="AE8" s="58">
        <v>528.45000000000005</v>
      </c>
      <c r="AF8" s="65">
        <f t="shared" si="13"/>
        <v>240.00000000000909</v>
      </c>
      <c r="AG8" s="58">
        <v>1560.2</v>
      </c>
      <c r="AH8" s="67">
        <f t="shared" si="14"/>
        <v>2.9000000000000909</v>
      </c>
      <c r="AI8" s="58">
        <v>528.59</v>
      </c>
      <c r="AJ8" s="65">
        <f t="shared" si="15"/>
        <v>250</v>
      </c>
      <c r="AK8" s="58">
        <v>181.46</v>
      </c>
      <c r="AL8" s="65">
        <f t="shared" si="15"/>
        <v>40.000000000020464</v>
      </c>
      <c r="AM8" s="58">
        <v>179.39</v>
      </c>
      <c r="AN8" s="65">
        <f t="shared" si="15"/>
        <v>29.999999999972715</v>
      </c>
      <c r="AO8" s="58">
        <v>171.04</v>
      </c>
      <c r="AP8" s="65">
        <f t="shared" si="15"/>
        <v>30.000000000001137</v>
      </c>
      <c r="AQ8" s="58">
        <v>229.3</v>
      </c>
      <c r="AR8" s="65">
        <f t="shared" si="16"/>
        <v>20.000000000010232</v>
      </c>
      <c r="AS8" s="58">
        <v>356.8</v>
      </c>
      <c r="AT8" s="65">
        <f t="shared" si="17"/>
        <v>20.000000000038654</v>
      </c>
      <c r="AU8" s="58">
        <v>275.66000000000003</v>
      </c>
      <c r="AV8" s="65">
        <f t="shared" si="18"/>
        <v>10.000000000047748</v>
      </c>
      <c r="AW8" s="58">
        <v>310.3</v>
      </c>
      <c r="AX8" s="65">
        <f t="shared" si="19"/>
        <v>350.00000000002274</v>
      </c>
      <c r="AY8" s="58">
        <v>356.82</v>
      </c>
      <c r="AZ8" s="65">
        <f t="shared" si="20"/>
        <v>29.999999999972715</v>
      </c>
      <c r="BA8" s="58">
        <v>378.05</v>
      </c>
      <c r="BB8" s="65">
        <f t="shared" si="21"/>
        <v>20.000000000038654</v>
      </c>
      <c r="BC8" s="58">
        <v>236.7</v>
      </c>
      <c r="BD8" s="65">
        <f t="shared" si="22"/>
        <v>9.9999999999909051</v>
      </c>
      <c r="BE8" s="59">
        <v>35227</v>
      </c>
      <c r="BF8" s="67">
        <f t="shared" si="40"/>
        <v>26</v>
      </c>
      <c r="BG8" s="60">
        <v>228.93</v>
      </c>
      <c r="BH8" s="65">
        <f t="shared" si="23"/>
        <v>20.000000000010232</v>
      </c>
      <c r="BI8" s="60">
        <v>287.87</v>
      </c>
      <c r="BJ8" s="65">
        <f t="shared" si="41"/>
        <v>40.000000000020464</v>
      </c>
      <c r="BK8" s="60">
        <v>233.01</v>
      </c>
      <c r="BL8" s="65">
        <f t="shared" si="24"/>
        <v>9.9999999999909051</v>
      </c>
      <c r="BM8" s="60">
        <v>218.34</v>
      </c>
      <c r="BN8" s="65">
        <f t="shared" si="25"/>
        <v>20.000000000010232</v>
      </c>
      <c r="BO8" s="60">
        <v>283.58</v>
      </c>
      <c r="BP8" s="65">
        <f t="shared" si="26"/>
        <v>19.99999999998181</v>
      </c>
      <c r="BQ8" s="60">
        <v>41818</v>
      </c>
      <c r="BR8" s="65">
        <f t="shared" si="27"/>
        <v>7</v>
      </c>
      <c r="BS8" s="60">
        <v>196.79</v>
      </c>
      <c r="BT8" s="65">
        <f t="shared" si="42"/>
        <v>9.9999999999909051</v>
      </c>
      <c r="BU8" s="60">
        <v>35335</v>
      </c>
      <c r="BV8" s="65">
        <f t="shared" si="28"/>
        <v>9</v>
      </c>
      <c r="BW8" s="60">
        <v>228.3</v>
      </c>
      <c r="BX8" s="65">
        <f t="shared" si="29"/>
        <v>20.000000000010232</v>
      </c>
      <c r="BY8" s="60">
        <v>53986</v>
      </c>
      <c r="BZ8" s="67">
        <f t="shared" si="30"/>
        <v>18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54728.5</v>
      </c>
      <c r="CH8" s="67">
        <f t="shared" si="34"/>
        <v>49.69999999999709</v>
      </c>
      <c r="CI8" s="60">
        <v>910068</v>
      </c>
      <c r="CJ8" s="67">
        <f t="shared" si="35"/>
        <v>227</v>
      </c>
      <c r="CK8" s="60">
        <v>675.62</v>
      </c>
      <c r="CL8" s="64">
        <f t="shared" si="36"/>
        <v>429.99999999994998</v>
      </c>
      <c r="CM8" s="65">
        <f t="shared" si="37"/>
        <v>24</v>
      </c>
      <c r="CN8" s="62">
        <v>0</v>
      </c>
      <c r="CO8" s="62">
        <v>0</v>
      </c>
      <c r="CP8" s="68">
        <v>3820</v>
      </c>
      <c r="CQ8" s="67">
        <f t="shared" si="38"/>
        <v>16</v>
      </c>
      <c r="CR8" s="68">
        <v>11915</v>
      </c>
      <c r="CS8" s="67">
        <f t="shared" si="38"/>
        <v>8</v>
      </c>
      <c r="CT8" s="75">
        <v>4646</v>
      </c>
      <c r="CU8" s="67">
        <f t="shared" si="38"/>
        <v>12</v>
      </c>
      <c r="CV8" s="68">
        <v>12040</v>
      </c>
      <c r="CW8" s="67">
        <f t="shared" si="38"/>
        <v>18</v>
      </c>
    </row>
    <row r="9" spans="1:102" ht="25.5" customHeight="1" thickBot="1" x14ac:dyDescent="0.45">
      <c r="A9" s="63">
        <v>44233</v>
      </c>
      <c r="B9" s="44"/>
      <c r="C9" s="58">
        <v>2.0487000000000002</v>
      </c>
      <c r="D9" s="64">
        <f t="shared" si="0"/>
        <v>900.0000000001229</v>
      </c>
      <c r="E9" s="58">
        <v>2.9169999999999998</v>
      </c>
      <c r="F9" s="64">
        <f t="shared" si="1"/>
        <v>599.99999999993395</v>
      </c>
      <c r="G9" s="58">
        <v>2.9767999999999999</v>
      </c>
      <c r="H9" s="64">
        <f t="shared" si="2"/>
        <v>1700.0000000000348</v>
      </c>
      <c r="I9" s="58">
        <v>1.4560999999999999</v>
      </c>
      <c r="J9" s="64">
        <f t="shared" si="3"/>
        <v>899.99999999990087</v>
      </c>
      <c r="K9" s="58">
        <v>2.3491</v>
      </c>
      <c r="L9" s="64">
        <f t="shared" si="39"/>
        <v>1799.9999999998017</v>
      </c>
      <c r="M9" s="58">
        <v>1.3353999999999999</v>
      </c>
      <c r="N9" s="64">
        <f t="shared" si="4"/>
        <v>499.99999999994492</v>
      </c>
      <c r="O9" s="58">
        <v>12738</v>
      </c>
      <c r="P9" s="67">
        <f t="shared" si="5"/>
        <v>0</v>
      </c>
      <c r="Q9" s="58">
        <v>278</v>
      </c>
      <c r="R9" s="67">
        <f t="shared" si="6"/>
        <v>6</v>
      </c>
      <c r="S9" s="58">
        <v>897698.2</v>
      </c>
      <c r="T9" s="67">
        <f t="shared" si="7"/>
        <v>201</v>
      </c>
      <c r="U9" s="58">
        <v>371790.4</v>
      </c>
      <c r="V9" s="67">
        <f t="shared" si="8"/>
        <v>190</v>
      </c>
      <c r="W9" s="58">
        <v>361.29</v>
      </c>
      <c r="X9" s="65">
        <f t="shared" si="9"/>
        <v>90.000000000031832</v>
      </c>
      <c r="Y9" s="58">
        <v>2.5451999999999999</v>
      </c>
      <c r="Z9" s="65">
        <f t="shared" si="10"/>
        <v>399.99999999995595</v>
      </c>
      <c r="AA9" s="58">
        <v>355.52</v>
      </c>
      <c r="AB9" s="65">
        <f t="shared" si="11"/>
        <v>79.999999999984084</v>
      </c>
      <c r="AC9" s="58">
        <v>341.41</v>
      </c>
      <c r="AD9" s="65">
        <f t="shared" si="12"/>
        <v>140.0000000000432</v>
      </c>
      <c r="AE9" s="58">
        <v>528.64</v>
      </c>
      <c r="AF9" s="65">
        <f t="shared" si="13"/>
        <v>189.99999999994088</v>
      </c>
      <c r="AG9" s="58">
        <v>1561.8</v>
      </c>
      <c r="AH9" s="67">
        <f t="shared" si="14"/>
        <v>1.5999999999999091</v>
      </c>
      <c r="AI9" s="58">
        <v>528.83000000000004</v>
      </c>
      <c r="AJ9" s="65">
        <f t="shared" si="15"/>
        <v>240.00000000000909</v>
      </c>
      <c r="AK9" s="58">
        <v>181.48</v>
      </c>
      <c r="AL9" s="65">
        <f t="shared" si="15"/>
        <v>19.99999999998181</v>
      </c>
      <c r="AM9" s="58">
        <v>179.4</v>
      </c>
      <c r="AN9" s="65">
        <f t="shared" si="15"/>
        <v>10.000000000019327</v>
      </c>
      <c r="AO9" s="58">
        <v>171.06</v>
      </c>
      <c r="AP9" s="65">
        <f t="shared" si="15"/>
        <v>20.000000000010232</v>
      </c>
      <c r="AQ9" s="58">
        <v>229.31</v>
      </c>
      <c r="AR9" s="65">
        <f t="shared" si="16"/>
        <v>9.9999999999909051</v>
      </c>
      <c r="AS9" s="58">
        <v>356.82</v>
      </c>
      <c r="AT9" s="65">
        <f t="shared" si="17"/>
        <v>19.99999999998181</v>
      </c>
      <c r="AU9" s="58">
        <v>275.68</v>
      </c>
      <c r="AV9" s="65">
        <f t="shared" si="18"/>
        <v>19.99999999998181</v>
      </c>
      <c r="AW9" s="58">
        <v>310.58</v>
      </c>
      <c r="AX9" s="65">
        <f t="shared" si="19"/>
        <v>279.99999999997272</v>
      </c>
      <c r="AY9" s="58">
        <v>356.84</v>
      </c>
      <c r="AZ9" s="65">
        <f t="shared" si="20"/>
        <v>19.99999999998181</v>
      </c>
      <c r="BA9" s="58">
        <v>378.08</v>
      </c>
      <c r="BB9" s="65">
        <f t="shared" si="21"/>
        <v>29.999999999972715</v>
      </c>
      <c r="BC9" s="58">
        <v>236.72</v>
      </c>
      <c r="BD9" s="65">
        <f t="shared" si="22"/>
        <v>20.000000000010232</v>
      </c>
      <c r="BE9" s="59">
        <v>35247</v>
      </c>
      <c r="BF9" s="67">
        <f t="shared" si="40"/>
        <v>20</v>
      </c>
      <c r="BG9" s="60">
        <v>228.94</v>
      </c>
      <c r="BH9" s="65">
        <f t="shared" si="23"/>
        <v>9.9999999999909051</v>
      </c>
      <c r="BI9" s="60">
        <v>287.89999999999998</v>
      </c>
      <c r="BJ9" s="65">
        <f t="shared" si="41"/>
        <v>29.999999999972715</v>
      </c>
      <c r="BK9" s="60">
        <v>233.02</v>
      </c>
      <c r="BL9" s="65">
        <f t="shared" si="24"/>
        <v>10.000000000019327</v>
      </c>
      <c r="BM9" s="60">
        <v>218.37</v>
      </c>
      <c r="BN9" s="65">
        <f t="shared" si="25"/>
        <v>30.000000000001137</v>
      </c>
      <c r="BO9" s="60">
        <v>283.58999999999997</v>
      </c>
      <c r="BP9" s="65">
        <f t="shared" si="26"/>
        <v>9.9999999999909051</v>
      </c>
      <c r="BQ9" s="60">
        <v>41824</v>
      </c>
      <c r="BR9" s="65">
        <f t="shared" si="27"/>
        <v>6</v>
      </c>
      <c r="BS9" s="60">
        <v>196.8</v>
      </c>
      <c r="BT9" s="65">
        <f t="shared" si="42"/>
        <v>10.000000000019327</v>
      </c>
      <c r="BU9" s="60">
        <v>35339</v>
      </c>
      <c r="BV9" s="65">
        <f t="shared" si="28"/>
        <v>4</v>
      </c>
      <c r="BW9" s="60">
        <v>228.31</v>
      </c>
      <c r="BX9" s="65">
        <f t="shared" si="29"/>
        <v>9.9999999999909051</v>
      </c>
      <c r="BY9" s="60">
        <v>54000</v>
      </c>
      <c r="BZ9" s="67">
        <f t="shared" si="30"/>
        <v>14</v>
      </c>
      <c r="CA9" s="60">
        <v>28616.400000000001</v>
      </c>
      <c r="CB9" s="67">
        <f t="shared" si="31"/>
        <v>0</v>
      </c>
      <c r="CC9" s="60">
        <v>11255.6</v>
      </c>
      <c r="CD9" s="67">
        <f>IF((CC9-CC8&lt;0), "",CC9-CC8)</f>
        <v>0</v>
      </c>
      <c r="CE9" s="60">
        <v>5623</v>
      </c>
      <c r="CF9" s="67">
        <f t="shared" si="33"/>
        <v>0</v>
      </c>
      <c r="CG9" s="60">
        <v>54778</v>
      </c>
      <c r="CH9" s="67">
        <f t="shared" si="34"/>
        <v>49.5</v>
      </c>
      <c r="CI9" s="60">
        <v>910271</v>
      </c>
      <c r="CJ9" s="67">
        <f t="shared" si="35"/>
        <v>203</v>
      </c>
      <c r="CK9" s="60">
        <v>676.06</v>
      </c>
      <c r="CL9" s="64">
        <f t="shared" si="36"/>
        <v>439.99999999994088</v>
      </c>
      <c r="CM9" s="65">
        <f t="shared" si="37"/>
        <v>22.599999999999909</v>
      </c>
      <c r="CN9" s="62">
        <v>0</v>
      </c>
      <c r="CO9" s="62">
        <v>0</v>
      </c>
      <c r="CP9" s="68">
        <v>3832.6</v>
      </c>
      <c r="CQ9" s="67">
        <f t="shared" si="38"/>
        <v>12.599999999999909</v>
      </c>
      <c r="CR9" s="68">
        <v>11925</v>
      </c>
      <c r="CS9" s="67">
        <f t="shared" si="38"/>
        <v>10</v>
      </c>
      <c r="CT9" s="75">
        <v>4658</v>
      </c>
      <c r="CU9" s="67">
        <f t="shared" si="38"/>
        <v>12</v>
      </c>
      <c r="CV9" s="68">
        <v>12068</v>
      </c>
      <c r="CW9" s="67">
        <f t="shared" si="38"/>
        <v>28</v>
      </c>
    </row>
    <row r="10" spans="1:102" ht="25.5" customHeight="1" thickBot="1" x14ac:dyDescent="0.45">
      <c r="A10" s="63">
        <v>44234</v>
      </c>
      <c r="B10" s="44"/>
      <c r="C10" s="58">
        <v>2.0495999999999999</v>
      </c>
      <c r="D10" s="64">
        <f t="shared" si="0"/>
        <v>899.99999999967883</v>
      </c>
      <c r="E10" s="58">
        <v>2.9176000000000002</v>
      </c>
      <c r="F10" s="64">
        <f t="shared" si="1"/>
        <v>600.00000000037801</v>
      </c>
      <c r="G10" s="58">
        <v>2.9782000000000002</v>
      </c>
      <c r="H10" s="64">
        <f t="shared" si="2"/>
        <v>1400.0000000002899</v>
      </c>
      <c r="I10" s="58">
        <v>1.4569000000000001</v>
      </c>
      <c r="J10" s="64">
        <f t="shared" si="3"/>
        <v>800.00000000013392</v>
      </c>
      <c r="K10" s="58">
        <v>2.3509000000000002</v>
      </c>
      <c r="L10" s="64">
        <f t="shared" si="39"/>
        <v>1800.0000000002458</v>
      </c>
      <c r="M10" s="58">
        <v>1.3359000000000001</v>
      </c>
      <c r="N10" s="64">
        <f t="shared" si="4"/>
        <v>500.00000000016701</v>
      </c>
      <c r="O10" s="58">
        <v>12738</v>
      </c>
      <c r="P10" s="67">
        <f t="shared" si="5"/>
        <v>0</v>
      </c>
      <c r="Q10" s="58">
        <v>283</v>
      </c>
      <c r="R10" s="67">
        <f t="shared" si="6"/>
        <v>5</v>
      </c>
      <c r="S10" s="58">
        <v>897790.4</v>
      </c>
      <c r="T10" s="67">
        <f t="shared" si="7"/>
        <v>92.200000000069849</v>
      </c>
      <c r="U10" s="58">
        <v>371823</v>
      </c>
      <c r="V10" s="67">
        <f t="shared" si="8"/>
        <v>32.599999999976717</v>
      </c>
      <c r="W10" s="58">
        <v>361.42</v>
      </c>
      <c r="X10" s="65">
        <f t="shared" si="9"/>
        <v>129.99999999999545</v>
      </c>
      <c r="Y10" s="58">
        <v>2.5455999999999999</v>
      </c>
      <c r="Z10" s="65">
        <f t="shared" si="10"/>
        <v>399.99999999995595</v>
      </c>
      <c r="AA10" s="58">
        <v>355.62</v>
      </c>
      <c r="AB10" s="65">
        <f t="shared" si="11"/>
        <v>100.00000000002274</v>
      </c>
      <c r="AC10" s="58">
        <v>341.55</v>
      </c>
      <c r="AD10" s="65">
        <f t="shared" si="12"/>
        <v>139.99999999998636</v>
      </c>
      <c r="AE10" s="58">
        <v>528.83000000000004</v>
      </c>
      <c r="AF10" s="65">
        <f t="shared" si="13"/>
        <v>190.00000000005457</v>
      </c>
      <c r="AG10" s="58">
        <v>1563.4</v>
      </c>
      <c r="AH10" s="67">
        <f t="shared" si="14"/>
        <v>1.6000000000001364</v>
      </c>
      <c r="AI10" s="58">
        <v>529.08000000000004</v>
      </c>
      <c r="AJ10" s="65">
        <f t="shared" si="15"/>
        <v>250</v>
      </c>
      <c r="AK10" s="58">
        <v>181.5</v>
      </c>
      <c r="AL10" s="65">
        <f t="shared" si="15"/>
        <v>20.000000000010232</v>
      </c>
      <c r="AM10" s="58">
        <v>179.41</v>
      </c>
      <c r="AN10" s="65">
        <f t="shared" si="15"/>
        <v>9.9999999999909051</v>
      </c>
      <c r="AO10" s="58">
        <v>171.06</v>
      </c>
      <c r="AP10" s="65">
        <f t="shared" si="15"/>
        <v>0</v>
      </c>
      <c r="AQ10" s="58">
        <v>229.32</v>
      </c>
      <c r="AR10" s="65">
        <f t="shared" si="16"/>
        <v>9.9999999999909051</v>
      </c>
      <c r="AS10" s="58">
        <v>356.84</v>
      </c>
      <c r="AT10" s="65">
        <f t="shared" si="17"/>
        <v>19.99999999998181</v>
      </c>
      <c r="AU10" s="58">
        <v>275.69</v>
      </c>
      <c r="AV10" s="65">
        <f t="shared" si="18"/>
        <v>9.9999999999909051</v>
      </c>
      <c r="AW10" s="58">
        <v>310.89</v>
      </c>
      <c r="AX10" s="65">
        <f t="shared" si="19"/>
        <v>310.00000000000227</v>
      </c>
      <c r="AY10" s="58">
        <v>356.86</v>
      </c>
      <c r="AZ10" s="65">
        <f t="shared" si="20"/>
        <v>20.000000000038654</v>
      </c>
      <c r="BA10" s="58">
        <v>378.1</v>
      </c>
      <c r="BB10" s="65">
        <f t="shared" si="21"/>
        <v>20.000000000038654</v>
      </c>
      <c r="BC10" s="58">
        <v>236.73</v>
      </c>
      <c r="BD10" s="65">
        <f t="shared" si="22"/>
        <v>9.9999999999909051</v>
      </c>
      <c r="BE10" s="59">
        <v>35287</v>
      </c>
      <c r="BF10" s="67">
        <f t="shared" si="40"/>
        <v>40</v>
      </c>
      <c r="BG10" s="60">
        <v>228.97</v>
      </c>
      <c r="BH10" s="65">
        <f t="shared" si="23"/>
        <v>30.000000000001137</v>
      </c>
      <c r="BI10" s="60">
        <v>287.94</v>
      </c>
      <c r="BJ10" s="65">
        <f t="shared" si="41"/>
        <v>40.000000000020464</v>
      </c>
      <c r="BK10" s="60">
        <v>233.03</v>
      </c>
      <c r="BL10" s="65">
        <f t="shared" si="24"/>
        <v>9.9999999999909051</v>
      </c>
      <c r="BM10" s="60">
        <v>218.39</v>
      </c>
      <c r="BN10" s="65">
        <f t="shared" si="25"/>
        <v>19.99999999998181</v>
      </c>
      <c r="BO10" s="60">
        <v>283.61</v>
      </c>
      <c r="BP10" s="65">
        <f t="shared" si="26"/>
        <v>20.000000000038654</v>
      </c>
      <c r="BQ10" s="60">
        <v>41832</v>
      </c>
      <c r="BR10" s="65">
        <f t="shared" si="27"/>
        <v>8</v>
      </c>
      <c r="BS10" s="60">
        <v>196.82</v>
      </c>
      <c r="BT10" s="65">
        <f t="shared" si="42"/>
        <v>19.99999999998181</v>
      </c>
      <c r="BU10" s="60">
        <v>35356</v>
      </c>
      <c r="BV10" s="65">
        <f t="shared" si="28"/>
        <v>17</v>
      </c>
      <c r="BW10" s="60">
        <v>228.33</v>
      </c>
      <c r="BX10" s="65">
        <f t="shared" si="29"/>
        <v>20.000000000010232</v>
      </c>
      <c r="BY10" s="60">
        <v>54021</v>
      </c>
      <c r="BZ10" s="67">
        <f t="shared" si="30"/>
        <v>21</v>
      </c>
      <c r="CA10" s="60">
        <v>28616.400000000001</v>
      </c>
      <c r="CB10" s="67">
        <f t="shared" si="31"/>
        <v>0</v>
      </c>
      <c r="CC10" s="60">
        <v>11255.6</v>
      </c>
      <c r="CD10" s="67">
        <f>IF((CC10-CC9&lt;0), "",CC10-CC9)</f>
        <v>0</v>
      </c>
      <c r="CE10" s="60">
        <v>5623</v>
      </c>
      <c r="CF10" s="67">
        <f t="shared" si="33"/>
        <v>0</v>
      </c>
      <c r="CG10" s="60">
        <v>54804.5</v>
      </c>
      <c r="CH10" s="67">
        <f t="shared" si="34"/>
        <v>26.5</v>
      </c>
      <c r="CI10" s="60">
        <v>910475</v>
      </c>
      <c r="CJ10" s="67">
        <f t="shared" si="35"/>
        <v>204</v>
      </c>
      <c r="CK10" s="60">
        <v>676.48</v>
      </c>
      <c r="CL10" s="64">
        <f t="shared" si="36"/>
        <v>420.00000000007276</v>
      </c>
      <c r="CM10" s="65">
        <f t="shared" si="37"/>
        <v>19.800000000000182</v>
      </c>
      <c r="CN10" s="62">
        <v>0</v>
      </c>
      <c r="CO10" s="62">
        <v>0</v>
      </c>
      <c r="CP10" s="68">
        <v>3845.4</v>
      </c>
      <c r="CQ10" s="67">
        <f>IF((CP10-CP9&lt;0), "",CP10-CP9)</f>
        <v>12.800000000000182</v>
      </c>
      <c r="CR10" s="68">
        <v>11932</v>
      </c>
      <c r="CS10" s="67">
        <f t="shared" si="38"/>
        <v>7</v>
      </c>
      <c r="CT10" s="75">
        <v>4668</v>
      </c>
      <c r="CU10" s="67">
        <f t="shared" si="38"/>
        <v>10</v>
      </c>
      <c r="CV10" s="68">
        <v>12089</v>
      </c>
      <c r="CW10" s="67">
        <f t="shared" si="38"/>
        <v>21</v>
      </c>
    </row>
    <row r="11" spans="1:102" ht="25.5" customHeight="1" thickBot="1" x14ac:dyDescent="0.45">
      <c r="A11" s="63">
        <v>44235</v>
      </c>
      <c r="B11" s="44"/>
      <c r="C11" s="58"/>
      <c r="D11" s="64" t="str">
        <f t="shared" si="0"/>
        <v>0</v>
      </c>
      <c r="E11" s="58"/>
      <c r="F11" s="64" t="str">
        <f t="shared" si="1"/>
        <v>0</v>
      </c>
      <c r="G11" s="58"/>
      <c r="H11" s="64" t="str">
        <f t="shared" si="2"/>
        <v>0</v>
      </c>
      <c r="I11" s="58"/>
      <c r="J11" s="64" t="str">
        <f t="shared" si="3"/>
        <v>0</v>
      </c>
      <c r="K11" s="58"/>
      <c r="L11" s="64" t="str">
        <f t="shared" si="39"/>
        <v>0</v>
      </c>
      <c r="M11" s="58"/>
      <c r="N11" s="64" t="str">
        <f t="shared" si="4"/>
        <v/>
      </c>
      <c r="O11" s="58"/>
      <c r="P11" s="67" t="str">
        <f t="shared" ref="P11:P34" si="43">IF((O11-O10&lt;0), "",O11-O10)</f>
        <v/>
      </c>
      <c r="Q11" s="58"/>
      <c r="R11" s="67" t="str">
        <f t="shared" si="6"/>
        <v/>
      </c>
      <c r="S11" s="58"/>
      <c r="T11" s="67" t="str">
        <f t="shared" si="7"/>
        <v/>
      </c>
      <c r="U11" s="58"/>
      <c r="V11" s="67" t="str">
        <f t="shared" si="8"/>
        <v/>
      </c>
      <c r="W11" s="58"/>
      <c r="X11" s="65" t="str">
        <f t="shared" si="9"/>
        <v/>
      </c>
      <c r="Y11" s="58"/>
      <c r="Z11" s="65" t="str">
        <f t="shared" si="10"/>
        <v/>
      </c>
      <c r="AA11" s="58"/>
      <c r="AB11" s="65" t="str">
        <f t="shared" si="11"/>
        <v/>
      </c>
      <c r="AC11" s="58"/>
      <c r="AD11" s="65" t="str">
        <f t="shared" si="12"/>
        <v/>
      </c>
      <c r="AE11" s="58"/>
      <c r="AF11" s="65" t="str">
        <f t="shared" si="13"/>
        <v/>
      </c>
      <c r="AG11" s="58"/>
      <c r="AH11" s="67" t="str">
        <f t="shared" si="14"/>
        <v/>
      </c>
      <c r="AI11" s="58"/>
      <c r="AJ11" s="65" t="str">
        <f t="shared" si="15"/>
        <v/>
      </c>
      <c r="AK11" s="58"/>
      <c r="AL11" s="65" t="str">
        <f t="shared" si="15"/>
        <v/>
      </c>
      <c r="AM11" s="58"/>
      <c r="AN11" s="65" t="str">
        <f t="shared" si="15"/>
        <v/>
      </c>
      <c r="AO11" s="58"/>
      <c r="AP11" s="65" t="str">
        <f t="shared" si="15"/>
        <v/>
      </c>
      <c r="AQ11" s="58"/>
      <c r="AR11" s="65" t="str">
        <f t="shared" si="16"/>
        <v/>
      </c>
      <c r="AS11" s="58"/>
      <c r="AT11" s="65" t="str">
        <f t="shared" si="17"/>
        <v/>
      </c>
      <c r="AU11" s="58"/>
      <c r="AV11" s="65" t="str">
        <f t="shared" si="18"/>
        <v/>
      </c>
      <c r="AW11" s="58"/>
      <c r="AX11" s="65" t="str">
        <f t="shared" si="19"/>
        <v/>
      </c>
      <c r="AY11" s="58"/>
      <c r="AZ11" s="65" t="str">
        <f t="shared" si="20"/>
        <v/>
      </c>
      <c r="BA11" s="58"/>
      <c r="BB11" s="65" t="str">
        <f t="shared" si="21"/>
        <v/>
      </c>
      <c r="BC11" s="58"/>
      <c r="BD11" s="65" t="str">
        <f>IF((BC11-BC10&lt;0), "",(BC11-BC10)*1000)</f>
        <v/>
      </c>
      <c r="BE11" s="59"/>
      <c r="BF11" s="67" t="str">
        <f t="shared" si="40"/>
        <v/>
      </c>
      <c r="BG11" s="60"/>
      <c r="BH11" s="65" t="str">
        <f t="shared" si="23"/>
        <v/>
      </c>
      <c r="BI11" s="60"/>
      <c r="BJ11" s="65" t="str">
        <f t="shared" si="41"/>
        <v/>
      </c>
      <c r="BK11" s="60"/>
      <c r="BL11" s="65" t="str">
        <f t="shared" si="24"/>
        <v/>
      </c>
      <c r="BM11" s="60"/>
      <c r="BN11" s="65" t="str">
        <f t="shared" si="25"/>
        <v/>
      </c>
      <c r="BO11" s="60"/>
      <c r="BP11" s="65" t="str">
        <f t="shared" si="26"/>
        <v/>
      </c>
      <c r="BQ11" s="60"/>
      <c r="BR11" s="65" t="str">
        <f t="shared" si="27"/>
        <v/>
      </c>
      <c r="BS11" s="60"/>
      <c r="BT11" s="65" t="str">
        <f t="shared" si="42"/>
        <v/>
      </c>
      <c r="BU11" s="60"/>
      <c r="BV11" s="65" t="str">
        <f t="shared" si="28"/>
        <v/>
      </c>
      <c r="BW11" s="60"/>
      <c r="BX11" s="65" t="str">
        <f t="shared" si="29"/>
        <v/>
      </c>
      <c r="BY11" s="60"/>
      <c r="BZ11" s="67" t="str">
        <f t="shared" si="30"/>
        <v/>
      </c>
      <c r="CA11" s="60"/>
      <c r="CB11" s="67" t="str">
        <f t="shared" si="31"/>
        <v/>
      </c>
      <c r="CC11" s="60"/>
      <c r="CD11" s="67" t="str">
        <f t="shared" si="32"/>
        <v/>
      </c>
      <c r="CE11" s="60"/>
      <c r="CF11" s="67" t="str">
        <f t="shared" si="33"/>
        <v/>
      </c>
      <c r="CG11" s="60"/>
      <c r="CH11" s="67" t="str">
        <f t="shared" si="34"/>
        <v/>
      </c>
      <c r="CI11" s="60"/>
      <c r="CJ11" s="67" t="str">
        <f t="shared" si="35"/>
        <v/>
      </c>
      <c r="CK11" s="60"/>
      <c r="CL11" s="64" t="str">
        <f t="shared" si="36"/>
        <v/>
      </c>
      <c r="CM11" s="65" t="e">
        <f t="shared" si="37"/>
        <v>#VALUE!</v>
      </c>
      <c r="CN11" s="62">
        <v>0</v>
      </c>
      <c r="CO11" s="62">
        <v>0</v>
      </c>
      <c r="CP11" s="68"/>
      <c r="CQ11" s="67" t="str">
        <f>IF((CP11-CP10&lt;0), "",CP11-CP10)</f>
        <v/>
      </c>
      <c r="CR11" s="68"/>
      <c r="CS11" s="67" t="str">
        <f t="shared" si="38"/>
        <v/>
      </c>
      <c r="CT11" s="75"/>
      <c r="CU11" s="67" t="str">
        <f t="shared" si="38"/>
        <v/>
      </c>
      <c r="CV11" s="68"/>
      <c r="CW11" s="67" t="str">
        <f t="shared" si="38"/>
        <v/>
      </c>
    </row>
    <row r="12" spans="1:102" ht="25.5" customHeight="1" thickBot="1" x14ac:dyDescent="0.45">
      <c r="A12" s="63">
        <v>44236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39"/>
        <v>0</v>
      </c>
      <c r="M12" s="58"/>
      <c r="N12" s="64">
        <f t="shared" si="4"/>
        <v>0</v>
      </c>
      <c r="O12" s="58"/>
      <c r="P12" s="67">
        <f t="shared" si="43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40"/>
        <v>0</v>
      </c>
      <c r="BG12" s="60"/>
      <c r="BH12" s="65">
        <f t="shared" si="23"/>
        <v>0</v>
      </c>
      <c r="BI12" s="60"/>
      <c r="BJ12" s="65">
        <f t="shared" si="41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8"/>
        <v>0</v>
      </c>
      <c r="BW12" s="60"/>
      <c r="BX12" s="65">
        <f t="shared" si="29"/>
        <v>0</v>
      </c>
      <c r="BY12" s="60"/>
      <c r="BZ12" s="67">
        <f t="shared" si="30"/>
        <v>0</v>
      </c>
      <c r="CA12" s="60"/>
      <c r="CB12" s="67">
        <f t="shared" si="31"/>
        <v>0</v>
      </c>
      <c r="CC12" s="60"/>
      <c r="CD12" s="67">
        <f t="shared" si="32"/>
        <v>0</v>
      </c>
      <c r="CE12" s="60"/>
      <c r="CF12" s="67">
        <f t="shared" si="33"/>
        <v>0</v>
      </c>
      <c r="CG12" s="60"/>
      <c r="CH12" s="67">
        <f t="shared" si="34"/>
        <v>0</v>
      </c>
      <c r="CI12" s="60"/>
      <c r="CJ12" s="67">
        <f t="shared" si="35"/>
        <v>0</v>
      </c>
      <c r="CK12" s="60"/>
      <c r="CL12" s="64">
        <f t="shared" si="36"/>
        <v>0</v>
      </c>
      <c r="CM12" s="65">
        <f t="shared" si="37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44237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39"/>
        <v>0</v>
      </c>
      <c r="M13" s="58"/>
      <c r="N13" s="64">
        <f t="shared" si="4"/>
        <v>0</v>
      </c>
      <c r="O13" s="58"/>
      <c r="P13" s="67">
        <f t="shared" si="43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40"/>
        <v>0</v>
      </c>
      <c r="BG13" s="60"/>
      <c r="BH13" s="65">
        <f t="shared" si="23"/>
        <v>0</v>
      </c>
      <c r="BI13" s="60"/>
      <c r="BJ13" s="65">
        <f t="shared" si="41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8"/>
        <v>0</v>
      </c>
      <c r="BW13" s="60"/>
      <c r="BX13" s="65">
        <f t="shared" si="29"/>
        <v>0</v>
      </c>
      <c r="BY13" s="60"/>
      <c r="BZ13" s="67">
        <f t="shared" si="30"/>
        <v>0</v>
      </c>
      <c r="CA13" s="60"/>
      <c r="CB13" s="67">
        <f t="shared" si="31"/>
        <v>0</v>
      </c>
      <c r="CC13" s="60"/>
      <c r="CD13" s="67">
        <f t="shared" si="32"/>
        <v>0</v>
      </c>
      <c r="CE13" s="60"/>
      <c r="CF13" s="67">
        <f t="shared" si="33"/>
        <v>0</v>
      </c>
      <c r="CG13" s="60"/>
      <c r="CH13" s="67">
        <f t="shared" si="34"/>
        <v>0</v>
      </c>
      <c r="CI13" s="60"/>
      <c r="CJ13" s="67">
        <f t="shared" si="35"/>
        <v>0</v>
      </c>
      <c r="CK13" s="60"/>
      <c r="CL13" s="64">
        <f t="shared" si="36"/>
        <v>0</v>
      </c>
      <c r="CM13" s="65">
        <f t="shared" si="37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44238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39"/>
        <v>0</v>
      </c>
      <c r="M14" s="58"/>
      <c r="N14" s="64">
        <f t="shared" si="4"/>
        <v>0</v>
      </c>
      <c r="O14" s="58"/>
      <c r="P14" s="67">
        <f t="shared" si="43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40"/>
        <v>0</v>
      </c>
      <c r="BG14" s="60"/>
      <c r="BH14" s="65">
        <f t="shared" si="23"/>
        <v>0</v>
      </c>
      <c r="BI14" s="60"/>
      <c r="BJ14" s="65">
        <f t="shared" si="41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8"/>
        <v>0</v>
      </c>
      <c r="BW14" s="60"/>
      <c r="BX14" s="65">
        <f t="shared" si="29"/>
        <v>0</v>
      </c>
      <c r="BY14" s="60"/>
      <c r="BZ14" s="67">
        <f t="shared" si="30"/>
        <v>0</v>
      </c>
      <c r="CA14" s="60"/>
      <c r="CB14" s="67">
        <f t="shared" si="31"/>
        <v>0</v>
      </c>
      <c r="CC14" s="60"/>
      <c r="CD14" s="67">
        <f t="shared" si="32"/>
        <v>0</v>
      </c>
      <c r="CE14" s="60"/>
      <c r="CF14" s="67">
        <f t="shared" si="33"/>
        <v>0</v>
      </c>
      <c r="CG14" s="60"/>
      <c r="CH14" s="67">
        <f t="shared" si="34"/>
        <v>0</v>
      </c>
      <c r="CI14" s="60"/>
      <c r="CJ14" s="67">
        <f t="shared" si="35"/>
        <v>0</v>
      </c>
      <c r="CK14" s="60"/>
      <c r="CL14" s="64">
        <f t="shared" si="36"/>
        <v>0</v>
      </c>
      <c r="CM14" s="65">
        <f t="shared" si="37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44239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39"/>
        <v>0</v>
      </c>
      <c r="M15" s="58"/>
      <c r="N15" s="64">
        <f t="shared" si="4"/>
        <v>0</v>
      </c>
      <c r="O15" s="58"/>
      <c r="P15" s="67">
        <f t="shared" si="43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40"/>
        <v>0</v>
      </c>
      <c r="BG15" s="60"/>
      <c r="BH15" s="65">
        <f t="shared" si="23"/>
        <v>0</v>
      </c>
      <c r="BI15" s="60"/>
      <c r="BJ15" s="65">
        <f t="shared" si="41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8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37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44240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9"/>
        <v>0</v>
      </c>
      <c r="M16" s="58"/>
      <c r="N16" s="64">
        <f t="shared" si="4"/>
        <v>0</v>
      </c>
      <c r="O16" s="58"/>
      <c r="P16" s="67">
        <f t="shared" si="43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40"/>
        <v>0</v>
      </c>
      <c r="BG16" s="60"/>
      <c r="BH16" s="65">
        <f t="shared" si="23"/>
        <v>0</v>
      </c>
      <c r="BI16" s="60"/>
      <c r="BJ16" s="65">
        <f t="shared" si="41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8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 t="shared" si="31"/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37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44241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9"/>
        <v>0</v>
      </c>
      <c r="M17" s="58"/>
      <c r="N17" s="64">
        <f t="shared" si="4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40"/>
        <v>0</v>
      </c>
      <c r="BG17" s="60"/>
      <c r="BH17" s="65">
        <f t="shared" si="23"/>
        <v>0</v>
      </c>
      <c r="BI17" s="60"/>
      <c r="BJ17" s="65">
        <f t="shared" si="41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 t="shared" si="31"/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37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44242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9"/>
        <v>0</v>
      </c>
      <c r="M18" s="58"/>
      <c r="N18" s="64">
        <f t="shared" si="4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40"/>
        <v>0</v>
      </c>
      <c r="BG18" s="60"/>
      <c r="BH18" s="65">
        <f t="shared" si="23"/>
        <v>0</v>
      </c>
      <c r="BI18" s="60"/>
      <c r="BJ18" s="65">
        <f t="shared" si="41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 t="shared" si="31"/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37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44243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9"/>
        <v>0</v>
      </c>
      <c r="M19" s="58"/>
      <c r="N19" s="64">
        <f t="shared" si="4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40"/>
        <v>0</v>
      </c>
      <c r="BG19" s="60"/>
      <c r="BH19" s="65">
        <f t="shared" si="23"/>
        <v>0</v>
      </c>
      <c r="BI19" s="60"/>
      <c r="BJ19" s="65">
        <f t="shared" si="41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37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44244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9"/>
        <v>0</v>
      </c>
      <c r="M20" s="58"/>
      <c r="N20" s="64">
        <f t="shared" si="4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40"/>
        <v>0</v>
      </c>
      <c r="BG20" s="60"/>
      <c r="BH20" s="65">
        <f t="shared" si="23"/>
        <v>0</v>
      </c>
      <c r="BI20" s="60"/>
      <c r="BJ20" s="65">
        <f t="shared" si="41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37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44245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9"/>
        <v>0</v>
      </c>
      <c r="M21" s="58"/>
      <c r="N21" s="64">
        <f t="shared" si="4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40"/>
        <v>0</v>
      </c>
      <c r="BG21" s="60"/>
      <c r="BH21" s="65">
        <f t="shared" si="23"/>
        <v>0</v>
      </c>
      <c r="BI21" s="60"/>
      <c r="BJ21" s="65">
        <f t="shared" si="41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37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44246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9"/>
        <v>0</v>
      </c>
      <c r="M22" s="58"/>
      <c r="N22" s="64">
        <f t="shared" si="4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40"/>
        <v>0</v>
      </c>
      <c r="BG22" s="60"/>
      <c r="BH22" s="65">
        <f t="shared" si="23"/>
        <v>0</v>
      </c>
      <c r="BI22" s="60"/>
      <c r="BJ22" s="65">
        <f t="shared" si="41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37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44247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9"/>
        <v>0</v>
      </c>
      <c r="M23" s="58"/>
      <c r="N23" s="64">
        <f t="shared" si="4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40"/>
        <v>0</v>
      </c>
      <c r="BG23" s="60"/>
      <c r="BH23" s="65">
        <f t="shared" si="23"/>
        <v>0</v>
      </c>
      <c r="BI23" s="60"/>
      <c r="BJ23" s="65">
        <f t="shared" si="41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37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44248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44249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44250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44251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44252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44253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44254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44255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/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/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/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5"/>
  <sheetViews>
    <sheetView zoomScaleNormal="100" workbookViewId="0">
      <selection activeCell="E19" sqref="E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44228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1173</v>
      </c>
      <c r="N7" s="39">
        <v>85</v>
      </c>
      <c r="O7" s="39">
        <v>10</v>
      </c>
      <c r="P7" s="39">
        <v>85</v>
      </c>
      <c r="Q7" s="39">
        <v>3270</v>
      </c>
      <c r="R7" s="78">
        <v>79</v>
      </c>
      <c r="S7" s="78">
        <v>197</v>
      </c>
    </row>
    <row r="8" spans="1:20" x14ac:dyDescent="0.25">
      <c r="A8" s="73">
        <v>44229</v>
      </c>
      <c r="B8" s="40">
        <v>1</v>
      </c>
      <c r="C8" s="40">
        <v>1</v>
      </c>
      <c r="D8" s="40">
        <v>3</v>
      </c>
      <c r="E8" s="41">
        <v>85</v>
      </c>
      <c r="F8" s="41">
        <v>4857</v>
      </c>
      <c r="G8" s="41">
        <v>85</v>
      </c>
      <c r="H8" s="41">
        <v>1373</v>
      </c>
      <c r="I8" s="41">
        <v>85</v>
      </c>
      <c r="J8" s="41">
        <v>273</v>
      </c>
      <c r="K8" s="42">
        <v>85</v>
      </c>
      <c r="L8" s="42">
        <v>86</v>
      </c>
      <c r="M8" s="42">
        <v>1173</v>
      </c>
      <c r="N8" s="39">
        <v>85</v>
      </c>
      <c r="O8" s="39">
        <v>8</v>
      </c>
      <c r="P8" s="39">
        <v>85</v>
      </c>
      <c r="Q8" s="39">
        <v>3273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44230</v>
      </c>
      <c r="B9" s="40">
        <v>1</v>
      </c>
      <c r="C9" s="40">
        <v>1</v>
      </c>
      <c r="D9" s="40">
        <v>3</v>
      </c>
      <c r="E9" s="41">
        <v>85</v>
      </c>
      <c r="F9" s="41">
        <v>4857</v>
      </c>
      <c r="G9" s="41">
        <v>85</v>
      </c>
      <c r="H9" s="41">
        <v>1373</v>
      </c>
      <c r="I9" s="41">
        <v>85</v>
      </c>
      <c r="J9" s="41">
        <v>273</v>
      </c>
      <c r="K9" s="42">
        <v>85</v>
      </c>
      <c r="L9" s="42">
        <v>86</v>
      </c>
      <c r="M9" s="42">
        <v>1173</v>
      </c>
      <c r="N9" s="39">
        <v>85</v>
      </c>
      <c r="O9" s="39">
        <v>7</v>
      </c>
      <c r="P9" s="39">
        <v>85</v>
      </c>
      <c r="Q9" s="39">
        <v>3276</v>
      </c>
      <c r="R9" s="78">
        <v>79</v>
      </c>
      <c r="S9" s="78">
        <v>197</v>
      </c>
      <c r="T9">
        <f t="shared" ref="T9:T35" si="0">S9-S8</f>
        <v>0</v>
      </c>
    </row>
    <row r="10" spans="1:20" x14ac:dyDescent="0.25">
      <c r="A10" s="73">
        <v>44231</v>
      </c>
      <c r="B10" s="40">
        <v>1</v>
      </c>
      <c r="C10" s="40">
        <v>1</v>
      </c>
      <c r="D10" s="40">
        <v>3</v>
      </c>
      <c r="E10" s="41">
        <v>85</v>
      </c>
      <c r="F10" s="41">
        <v>4857</v>
      </c>
      <c r="G10" s="41">
        <v>85</v>
      </c>
      <c r="H10" s="41">
        <v>1373</v>
      </c>
      <c r="I10" s="41">
        <v>85</v>
      </c>
      <c r="J10" s="41">
        <v>273</v>
      </c>
      <c r="K10" s="42">
        <v>85</v>
      </c>
      <c r="L10" s="42">
        <v>86</v>
      </c>
      <c r="M10" s="42">
        <v>1173</v>
      </c>
      <c r="N10" s="39">
        <v>85</v>
      </c>
      <c r="O10" s="39">
        <v>5</v>
      </c>
      <c r="P10" s="39">
        <v>85</v>
      </c>
      <c r="Q10" s="39">
        <v>3278</v>
      </c>
      <c r="R10" s="78">
        <v>79</v>
      </c>
      <c r="S10" s="78">
        <v>197</v>
      </c>
      <c r="T10">
        <f t="shared" si="0"/>
        <v>0</v>
      </c>
    </row>
    <row r="11" spans="1:20" x14ac:dyDescent="0.25">
      <c r="A11" s="73">
        <v>44232</v>
      </c>
      <c r="B11" s="40">
        <v>1</v>
      </c>
      <c r="C11" s="40">
        <v>1</v>
      </c>
      <c r="D11" s="40">
        <v>3</v>
      </c>
      <c r="E11" s="41">
        <v>85</v>
      </c>
      <c r="F11" s="41">
        <v>4857</v>
      </c>
      <c r="G11" s="41">
        <v>85</v>
      </c>
      <c r="H11" s="41">
        <v>1373</v>
      </c>
      <c r="I11" s="41">
        <v>85</v>
      </c>
      <c r="J11" s="41">
        <v>273</v>
      </c>
      <c r="K11" s="42">
        <v>85</v>
      </c>
      <c r="L11" s="42">
        <v>86</v>
      </c>
      <c r="M11" s="42">
        <v>1173</v>
      </c>
      <c r="N11" s="39">
        <v>85</v>
      </c>
      <c r="O11" s="39">
        <v>1</v>
      </c>
      <c r="P11" s="39">
        <v>84</v>
      </c>
      <c r="Q11" s="39">
        <v>3281</v>
      </c>
      <c r="R11" s="78">
        <v>79</v>
      </c>
      <c r="S11" s="78">
        <v>197</v>
      </c>
      <c r="T11">
        <f t="shared" si="0"/>
        <v>0</v>
      </c>
    </row>
    <row r="12" spans="1:20" x14ac:dyDescent="0.25">
      <c r="A12" s="73">
        <v>44233</v>
      </c>
      <c r="B12" s="40">
        <v>1</v>
      </c>
      <c r="C12" s="40">
        <v>1</v>
      </c>
      <c r="D12" s="40">
        <v>3</v>
      </c>
      <c r="E12" s="41">
        <v>85</v>
      </c>
      <c r="F12" s="41">
        <v>4857</v>
      </c>
      <c r="G12" s="41">
        <v>85</v>
      </c>
      <c r="H12" s="41">
        <v>1373</v>
      </c>
      <c r="I12" s="41">
        <v>85</v>
      </c>
      <c r="J12" s="41">
        <v>273</v>
      </c>
      <c r="K12" s="42">
        <v>85</v>
      </c>
      <c r="L12" s="42">
        <v>86</v>
      </c>
      <c r="M12" s="42">
        <v>1173</v>
      </c>
      <c r="N12" s="39">
        <v>85</v>
      </c>
      <c r="O12" s="39">
        <v>1</v>
      </c>
      <c r="P12" s="39">
        <v>83</v>
      </c>
      <c r="Q12" s="39">
        <v>3285</v>
      </c>
      <c r="R12" s="78">
        <v>79</v>
      </c>
      <c r="S12" s="78">
        <v>197</v>
      </c>
      <c r="T12">
        <f t="shared" si="0"/>
        <v>0</v>
      </c>
    </row>
    <row r="13" spans="1:20" x14ac:dyDescent="0.25">
      <c r="A13" s="73">
        <v>44234</v>
      </c>
      <c r="B13" s="40">
        <v>1</v>
      </c>
      <c r="C13" s="40">
        <v>1</v>
      </c>
      <c r="D13" s="40">
        <v>3</v>
      </c>
      <c r="E13" s="41">
        <v>85</v>
      </c>
      <c r="F13" s="41">
        <v>4857</v>
      </c>
      <c r="G13" s="41">
        <v>85</v>
      </c>
      <c r="H13" s="41">
        <v>1373</v>
      </c>
      <c r="I13" s="41">
        <v>85</v>
      </c>
      <c r="J13" s="41">
        <v>273</v>
      </c>
      <c r="K13" s="42">
        <v>85</v>
      </c>
      <c r="L13" s="42">
        <v>86</v>
      </c>
      <c r="M13" s="42">
        <v>1173</v>
      </c>
      <c r="N13" s="39">
        <v>85</v>
      </c>
      <c r="O13" s="39">
        <v>1</v>
      </c>
      <c r="P13" s="39">
        <v>79</v>
      </c>
      <c r="Q13" s="39">
        <v>3289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44235</v>
      </c>
      <c r="B14" s="40">
        <v>1</v>
      </c>
      <c r="C14" s="40">
        <v>1</v>
      </c>
      <c r="D14" s="40">
        <v>3</v>
      </c>
      <c r="E14" s="41">
        <v>85</v>
      </c>
      <c r="F14" s="41">
        <v>4857</v>
      </c>
      <c r="G14" s="41">
        <v>85</v>
      </c>
      <c r="H14" s="41">
        <v>1373</v>
      </c>
      <c r="I14" s="41">
        <v>85</v>
      </c>
      <c r="J14" s="41">
        <v>273</v>
      </c>
      <c r="K14" s="42">
        <v>85</v>
      </c>
      <c r="L14" s="42">
        <v>86</v>
      </c>
      <c r="M14" s="42">
        <v>1173</v>
      </c>
      <c r="N14" s="39">
        <v>85</v>
      </c>
      <c r="O14" s="39">
        <v>1</v>
      </c>
      <c r="P14" s="39">
        <v>75</v>
      </c>
      <c r="Q14" s="39">
        <v>3291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44236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-197</v>
      </c>
    </row>
    <row r="16" spans="1:20" x14ac:dyDescent="0.25">
      <c r="A16" s="73">
        <v>44237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44238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44239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44240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44241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44242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44243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44244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44245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44246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44247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44248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44249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44250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44251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44252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44253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44254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44255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/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2021-02-08T12:24:00Z</dcterms:modified>
</cp:coreProperties>
</file>