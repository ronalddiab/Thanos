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5AB25399-0CDA-4F1E-A16F-C1856E6794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</externalReferences>
  <definedNames>
    <definedName name="_xlnm.Print_Area" localSheetId="5">Consp!$A$1:$BQ$40</definedName>
    <definedName name="_xlnm.Print_Area" localSheetId="2">Elect!$A$1:$BS$47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BC2" i="1"/>
  <c r="AL2" i="1"/>
  <c r="B48" i="2"/>
  <c r="A42" i="6"/>
  <c r="E26" i="2"/>
  <c r="E27" i="2"/>
  <c r="E28" i="2"/>
  <c r="E29" i="2"/>
  <c r="E30" i="2"/>
  <c r="AR25" i="1"/>
  <c r="AR26" i="1"/>
  <c r="AR27" i="1"/>
  <c r="AR28" i="1"/>
  <c r="AR29" i="1"/>
  <c r="AR30" i="1"/>
  <c r="AR31" i="1"/>
  <c r="AR32" i="1"/>
  <c r="AR33" i="1"/>
  <c r="AR34" i="1"/>
  <c r="AR35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18" i="1"/>
  <c r="AC19" i="1"/>
  <c r="C10" i="2" l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E4" i="12" s="1"/>
  <c r="E10" i="2"/>
  <c r="K8" i="9" s="1"/>
  <c r="E11" i="2"/>
  <c r="E12" i="2"/>
  <c r="K10" i="9" s="1"/>
  <c r="E13" i="2"/>
  <c r="K11" i="9" s="1"/>
  <c r="E14" i="2"/>
  <c r="E15" i="2"/>
  <c r="AE10" i="12" s="1"/>
  <c r="E16" i="2"/>
  <c r="K14" i="9" s="1"/>
  <c r="E17" i="2"/>
  <c r="K15" i="9" s="1"/>
  <c r="E18" i="2"/>
  <c r="O8" i="1"/>
  <c r="O9" i="1"/>
  <c r="G8" i="9" s="1"/>
  <c r="O10" i="1"/>
  <c r="G9" i="9" s="1"/>
  <c r="O11" i="1"/>
  <c r="AC6" i="1"/>
  <c r="AC7" i="1"/>
  <c r="L3" i="12" s="1"/>
  <c r="AC8" i="1"/>
  <c r="AC9" i="1"/>
  <c r="L5" i="12" s="1"/>
  <c r="W7" i="1"/>
  <c r="I3" i="12" s="1"/>
  <c r="W8" i="1"/>
  <c r="I4" i="12" s="1"/>
  <c r="W9" i="1"/>
  <c r="I5" i="12" s="1"/>
  <c r="W10" i="1"/>
  <c r="I6" i="12" s="1"/>
  <c r="W11" i="1"/>
  <c r="I7" i="12" s="1"/>
  <c r="AT25" i="1"/>
  <c r="T21" i="12" s="1"/>
  <c r="AT26" i="1"/>
  <c r="AT27" i="1"/>
  <c r="T23" i="12" s="1"/>
  <c r="AT28" i="1"/>
  <c r="AT29" i="1"/>
  <c r="T25" i="12" s="1"/>
  <c r="AT30" i="1"/>
  <c r="T26" i="12" s="1"/>
  <c r="BE14" i="1"/>
  <c r="Y10" i="12" s="1"/>
  <c r="BE15" i="1"/>
  <c r="Y11" i="12" s="1"/>
  <c r="BE16" i="1"/>
  <c r="Y12" i="12" s="1"/>
  <c r="BE17" i="1"/>
  <c r="Y13" i="12" s="1"/>
  <c r="S22" i="1"/>
  <c r="S23" i="1"/>
  <c r="S24" i="1"/>
  <c r="S25" i="1"/>
  <c r="S26" i="1"/>
  <c r="S21" i="1"/>
  <c r="E52" i="11"/>
  <c r="E42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P14" i="12"/>
  <c r="P15" i="12"/>
  <c r="P16" i="12"/>
  <c r="P17" i="12"/>
  <c r="P19" i="12"/>
  <c r="AK12" i="1"/>
  <c r="P8" i="12" s="1"/>
  <c r="AK13" i="1"/>
  <c r="P9" i="12" s="1"/>
  <c r="P10" i="12"/>
  <c r="P11" i="12"/>
  <c r="P12" i="12"/>
  <c r="P13" i="12"/>
  <c r="AK7" i="1"/>
  <c r="AK8" i="1"/>
  <c r="P4" i="12" s="1"/>
  <c r="AK9" i="1"/>
  <c r="AK10" i="1"/>
  <c r="P6" i="12" s="1"/>
  <c r="AK11" i="1"/>
  <c r="AX22" i="1"/>
  <c r="V18" i="12" s="1"/>
  <c r="AX23" i="1"/>
  <c r="V19" i="12" s="1"/>
  <c r="AZ22" i="1"/>
  <c r="W18" i="12" s="1"/>
  <c r="AZ23" i="1"/>
  <c r="BG22" i="1"/>
  <c r="BG23" i="1"/>
  <c r="BI22" i="1"/>
  <c r="AA18" i="12" s="1"/>
  <c r="BI23" i="1"/>
  <c r="BK22" i="1"/>
  <c r="AB18" i="12" s="1"/>
  <c r="BK23" i="1"/>
  <c r="AB19" i="12" s="1"/>
  <c r="BK24" i="1"/>
  <c r="AV22" i="1"/>
  <c r="AV23" i="1"/>
  <c r="U19" i="12" s="1"/>
  <c r="AT22" i="1"/>
  <c r="T18" i="12" s="1"/>
  <c r="AT23" i="1"/>
  <c r="T19" i="12" s="1"/>
  <c r="AN22" i="1"/>
  <c r="Q18" i="12" s="1"/>
  <c r="AN23" i="1"/>
  <c r="Q19" i="12" s="1"/>
  <c r="AP22" i="1"/>
  <c r="R18" i="12" s="1"/>
  <c r="AP23" i="1"/>
  <c r="R19" i="12" s="1"/>
  <c r="AR22" i="1"/>
  <c r="AR23" i="1"/>
  <c r="S19" i="12" s="1"/>
  <c r="O19" i="12"/>
  <c r="N20" i="12"/>
  <c r="L18" i="12"/>
  <c r="L20" i="12"/>
  <c r="AA22" i="1"/>
  <c r="AA23" i="1"/>
  <c r="K19" i="12" s="1"/>
  <c r="AA24" i="1"/>
  <c r="K20" i="12" s="1"/>
  <c r="AA25" i="1"/>
  <c r="Y22" i="1"/>
  <c r="J18" i="12" s="1"/>
  <c r="Y23" i="1"/>
  <c r="Y24" i="1"/>
  <c r="J20" i="12" s="1"/>
  <c r="W23" i="1"/>
  <c r="I19" i="12" s="1"/>
  <c r="W24" i="1"/>
  <c r="I20" i="12" s="1"/>
  <c r="W25" i="1"/>
  <c r="I21" i="12" s="1"/>
  <c r="Q22" i="1"/>
  <c r="H18" i="12" s="1"/>
  <c r="Q23" i="1"/>
  <c r="O22" i="1"/>
  <c r="G21" i="9" s="1"/>
  <c r="O23" i="1"/>
  <c r="O24" i="1"/>
  <c r="M22" i="1"/>
  <c r="M23" i="1"/>
  <c r="M24" i="1"/>
  <c r="E23" i="9" s="1"/>
  <c r="M25" i="1"/>
  <c r="E24" i="9" s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M35" i="1"/>
  <c r="E34" i="9" s="1"/>
  <c r="M36" i="1"/>
  <c r="J22" i="1"/>
  <c r="F18" i="12" s="1"/>
  <c r="J23" i="1"/>
  <c r="AE10" i="1"/>
  <c r="M6" i="12" s="1"/>
  <c r="AE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J27" i="12" s="1"/>
  <c r="L30" i="12"/>
  <c r="Q35" i="1"/>
  <c r="H31" i="12" s="1"/>
  <c r="Q33" i="1"/>
  <c r="Q34" i="1"/>
  <c r="H30" i="12" s="1"/>
  <c r="S7" i="1"/>
  <c r="S8" i="1"/>
  <c r="S9" i="1"/>
  <c r="S10" i="1"/>
  <c r="S11" i="1"/>
  <c r="G28" i="2"/>
  <c r="AF23" i="12" s="1"/>
  <c r="G29" i="2"/>
  <c r="G30" i="2"/>
  <c r="AF25" i="12" s="1"/>
  <c r="G31" i="2"/>
  <c r="AF26" i="12" s="1"/>
  <c r="G32" i="2"/>
  <c r="AF27" i="12" s="1"/>
  <c r="G33" i="2"/>
  <c r="G34" i="2"/>
  <c r="AF29" i="12" s="1"/>
  <c r="G35" i="2"/>
  <c r="G36" i="2"/>
  <c r="G37" i="2"/>
  <c r="AF32" i="12" s="1"/>
  <c r="AE23" i="12"/>
  <c r="E31" i="2"/>
  <c r="AE26" i="12" s="1"/>
  <c r="E32" i="2"/>
  <c r="E33" i="2"/>
  <c r="K31" i="9" s="1"/>
  <c r="E34" i="2"/>
  <c r="AE29" i="12" s="1"/>
  <c r="E35" i="2"/>
  <c r="AE30" i="12" s="1"/>
  <c r="E36" i="2"/>
  <c r="AE31" i="12" s="1"/>
  <c r="E37" i="2"/>
  <c r="AE32" i="12" s="1"/>
  <c r="C29" i="2"/>
  <c r="AD24" i="12" s="1"/>
  <c r="C30" i="2"/>
  <c r="AD25" i="12" s="1"/>
  <c r="C31" i="2"/>
  <c r="I29" i="9" s="1"/>
  <c r="C32" i="2"/>
  <c r="C33" i="2"/>
  <c r="C34" i="2"/>
  <c r="C35" i="2"/>
  <c r="AD30" i="12" s="1"/>
  <c r="C36" i="2"/>
  <c r="AD31" i="12" s="1"/>
  <c r="C37" i="2"/>
  <c r="AD32" i="12" s="1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BG16" i="1"/>
  <c r="BG17" i="1"/>
  <c r="Z13" i="12" s="1"/>
  <c r="D53" i="11"/>
  <c r="F53" i="11" s="1"/>
  <c r="G53" i="11" s="1"/>
  <c r="D52" i="11"/>
  <c r="Y6" i="1"/>
  <c r="J2" i="12" s="1"/>
  <c r="Y7" i="1"/>
  <c r="W6" i="1"/>
  <c r="I2" i="12" s="1"/>
  <c r="A1" i="2"/>
  <c r="BM37" i="1"/>
  <c r="BM38" i="1" s="1"/>
  <c r="E7" i="6"/>
  <c r="H7" i="6" s="1"/>
  <c r="E8" i="6"/>
  <c r="AI3" i="12" s="1"/>
  <c r="E9" i="6"/>
  <c r="AI4" i="12" s="1"/>
  <c r="E10" i="6"/>
  <c r="AI5" i="12" s="1"/>
  <c r="E11" i="6"/>
  <c r="AI6" i="12" s="1"/>
  <c r="E12" i="6"/>
  <c r="AI7" i="12" s="1"/>
  <c r="E13" i="6"/>
  <c r="AI8" i="12" s="1"/>
  <c r="E14" i="6"/>
  <c r="AI9" i="12" s="1"/>
  <c r="E15" i="6"/>
  <c r="H15" i="6" s="1"/>
  <c r="E16" i="6"/>
  <c r="AI11" i="12" s="1"/>
  <c r="E17" i="6"/>
  <c r="E18" i="6"/>
  <c r="AI13" i="12" s="1"/>
  <c r="E19" i="6"/>
  <c r="E20" i="6"/>
  <c r="AI15" i="12" s="1"/>
  <c r="E21" i="6"/>
  <c r="E22" i="6"/>
  <c r="AI17" i="12" s="1"/>
  <c r="E23" i="6"/>
  <c r="H23" i="6" s="1"/>
  <c r="E24" i="6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35" i="6"/>
  <c r="AI30" i="12" s="1"/>
  <c r="E36" i="6"/>
  <c r="AI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J13" i="12" s="1"/>
  <c r="C18" i="6"/>
  <c r="I18" i="6" s="1"/>
  <c r="C17" i="6"/>
  <c r="AH15" i="9" s="1"/>
  <c r="S17" i="1"/>
  <c r="S31" i="1"/>
  <c r="N21" i="12"/>
  <c r="AX8" i="1"/>
  <c r="V4" i="12" s="1"/>
  <c r="AX9" i="1"/>
  <c r="V5" i="12" s="1"/>
  <c r="AX10" i="1"/>
  <c r="V6" i="12" s="1"/>
  <c r="K38" i="2"/>
  <c r="I38" i="2"/>
  <c r="J36" i="1"/>
  <c r="F32" i="12" s="1"/>
  <c r="AE5" i="1"/>
  <c r="AZ27" i="1"/>
  <c r="W23" i="12" s="1"/>
  <c r="AN30" i="1"/>
  <c r="Q26" i="12" s="1"/>
  <c r="W30" i="1"/>
  <c r="I26" i="12" s="1"/>
  <c r="BE22" i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C21" i="2"/>
  <c r="AD16" i="12" s="1"/>
  <c r="AD5" i="12"/>
  <c r="C11" i="2"/>
  <c r="AD6" i="12" s="1"/>
  <c r="C12" i="2"/>
  <c r="AD7" i="12" s="1"/>
  <c r="C13" i="2"/>
  <c r="AD8" i="12" s="1"/>
  <c r="C14" i="2"/>
  <c r="AD9" i="12" s="1"/>
  <c r="C15" i="2"/>
  <c r="AD10" i="12" s="1"/>
  <c r="C16" i="2"/>
  <c r="AD11" i="12" s="1"/>
  <c r="C17" i="2"/>
  <c r="AD12" i="12" s="1"/>
  <c r="C18" i="2"/>
  <c r="AD13" i="12" s="1"/>
  <c r="C19" i="2"/>
  <c r="AD14" i="12" s="1"/>
  <c r="C20" i="2"/>
  <c r="AD15" i="12" s="1"/>
  <c r="J16" i="1"/>
  <c r="F12" i="12" s="1"/>
  <c r="V37" i="2"/>
  <c r="S37" i="2"/>
  <c r="O37" i="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P32" i="12"/>
  <c r="O32" i="12"/>
  <c r="M32" i="12"/>
  <c r="L32" i="12"/>
  <c r="AA36" i="1"/>
  <c r="K32" i="12" s="1"/>
  <c r="Y36" i="1"/>
  <c r="J32" i="12" s="1"/>
  <c r="W36" i="1"/>
  <c r="I32" i="12" s="1"/>
  <c r="S36" i="1"/>
  <c r="Q36" i="1"/>
  <c r="H32" i="12" s="1"/>
  <c r="O36" i="1"/>
  <c r="K36" i="1" s="1"/>
  <c r="G32" i="12" s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F41" i="11" s="1"/>
  <c r="G41" i="11" s="1"/>
  <c r="W34" i="1"/>
  <c r="I30" i="12" s="1"/>
  <c r="W35" i="1"/>
  <c r="I3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12" i="1"/>
  <c r="I8" i="12" s="1"/>
  <c r="W13" i="1"/>
  <c r="I9" i="12" s="1"/>
  <c r="W5" i="1"/>
  <c r="C30" i="6"/>
  <c r="I30" i="6" s="1"/>
  <c r="K24" i="9"/>
  <c r="AE22" i="12"/>
  <c r="M19" i="12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R26" i="12"/>
  <c r="R27" i="12"/>
  <c r="R28" i="12"/>
  <c r="R29" i="12"/>
  <c r="R30" i="12"/>
  <c r="R31" i="12"/>
  <c r="R20" i="12"/>
  <c r="R21" i="12"/>
  <c r="R22" i="12"/>
  <c r="R23" i="12"/>
  <c r="R24" i="12"/>
  <c r="R25" i="12"/>
  <c r="AP19" i="1"/>
  <c r="R15" i="12" s="1"/>
  <c r="C35" i="6"/>
  <c r="AH30" i="12" s="1"/>
  <c r="C36" i="6"/>
  <c r="G8" i="6"/>
  <c r="AJ3" i="12" s="1"/>
  <c r="G9" i="6"/>
  <c r="AJ6" i="12"/>
  <c r="AJ7" i="12"/>
  <c r="AJ8" i="12"/>
  <c r="AJ9" i="12"/>
  <c r="AJ10" i="12"/>
  <c r="AJ11" i="12"/>
  <c r="G19" i="6"/>
  <c r="J19" i="6" s="1"/>
  <c r="AJ17" i="9" s="1"/>
  <c r="G20" i="6"/>
  <c r="AJ15" i="12" s="1"/>
  <c r="G21" i="6"/>
  <c r="AJ16" i="12" s="1"/>
  <c r="G23" i="6"/>
  <c r="G24" i="6"/>
  <c r="J24" i="6" s="1"/>
  <c r="AJ22" i="9" s="1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3" i="6"/>
  <c r="AJ28" i="12" s="1"/>
  <c r="G34" i="6"/>
  <c r="AJ29" i="12" s="1"/>
  <c r="G35" i="6"/>
  <c r="AJ30" i="12" s="1"/>
  <c r="C8" i="6"/>
  <c r="I8" i="6" s="1"/>
  <c r="C9" i="6"/>
  <c r="C10" i="6"/>
  <c r="AH5" i="12" s="1"/>
  <c r="C11" i="6"/>
  <c r="AH6" i="12" s="1"/>
  <c r="C12" i="6"/>
  <c r="AH10" i="9" s="1"/>
  <c r="C13" i="6"/>
  <c r="C14" i="6"/>
  <c r="AH9" i="12" s="1"/>
  <c r="C15" i="6"/>
  <c r="I15" i="6" s="1"/>
  <c r="C16" i="6"/>
  <c r="I16" i="6" s="1"/>
  <c r="C19" i="6"/>
  <c r="AH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K5" i="12" s="1"/>
  <c r="AA10" i="1"/>
  <c r="AA11" i="1"/>
  <c r="K7" i="12" s="1"/>
  <c r="AA12" i="1"/>
  <c r="AA13" i="1"/>
  <c r="AA14" i="1"/>
  <c r="K10" i="12" s="1"/>
  <c r="AA15" i="1"/>
  <c r="AA16" i="1"/>
  <c r="K12" i="12" s="1"/>
  <c r="AA17" i="1"/>
  <c r="K13" i="12" s="1"/>
  <c r="AA18" i="1"/>
  <c r="AA19" i="1"/>
  <c r="AA20" i="1"/>
  <c r="K16" i="12" s="1"/>
  <c r="AA21" i="1"/>
  <c r="K17" i="12" s="1"/>
  <c r="K21" i="12"/>
  <c r="AA26" i="1"/>
  <c r="K22" i="12" s="1"/>
  <c r="AA27" i="1"/>
  <c r="K23" i="12" s="1"/>
  <c r="AA28" i="1"/>
  <c r="K24" i="12" s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Z16" i="12" s="1"/>
  <c r="BG21" i="1"/>
  <c r="Z17" i="12" s="1"/>
  <c r="Z19" i="12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9" i="12" s="1"/>
  <c r="BE18" i="1"/>
  <c r="Y14" i="12" s="1"/>
  <c r="BE19" i="1"/>
  <c r="Y15" i="12" s="1"/>
  <c r="BE20" i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AB4" i="12" s="1"/>
  <c r="BK9" i="1"/>
  <c r="BK10" i="1"/>
  <c r="AB6" i="12" s="1"/>
  <c r="BK11" i="1"/>
  <c r="AT10" i="9" s="1"/>
  <c r="BK12" i="1"/>
  <c r="BK13" i="1"/>
  <c r="AB9" i="12" s="1"/>
  <c r="BK14" i="1"/>
  <c r="BK15" i="1"/>
  <c r="AB11" i="12" s="1"/>
  <c r="BK16" i="1"/>
  <c r="AB12" i="12" s="1"/>
  <c r="BK17" i="1"/>
  <c r="AB13" i="12" s="1"/>
  <c r="BK18" i="1"/>
  <c r="AB14" i="12" s="1"/>
  <c r="BK19" i="1"/>
  <c r="AB15" i="12" s="1"/>
  <c r="BK20" i="1"/>
  <c r="AT19" i="9" s="1"/>
  <c r="BK21" i="1"/>
  <c r="AB17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AT30" i="9" s="1"/>
  <c r="BK32" i="1"/>
  <c r="AB28" i="12" s="1"/>
  <c r="BK33" i="1"/>
  <c r="BK34" i="1"/>
  <c r="AB30" i="12" s="1"/>
  <c r="BK35" i="1"/>
  <c r="BI7" i="1"/>
  <c r="AA3" i="12" s="1"/>
  <c r="BI8" i="1"/>
  <c r="AA4" i="12" s="1"/>
  <c r="BI9" i="1"/>
  <c r="AA5" i="12" s="1"/>
  <c r="BI10" i="1"/>
  <c r="AU9" i="9" s="1"/>
  <c r="BI11" i="1"/>
  <c r="AA7" i="12" s="1"/>
  <c r="BI12" i="1"/>
  <c r="AU11" i="9" s="1"/>
  <c r="BI13" i="1"/>
  <c r="AA9" i="12" s="1"/>
  <c r="BI14" i="1"/>
  <c r="AU13" i="9" s="1"/>
  <c r="BI15" i="1"/>
  <c r="AA11" i="12" s="1"/>
  <c r="BI16" i="1"/>
  <c r="AA12" i="12" s="1"/>
  <c r="BI17" i="1"/>
  <c r="AA13" i="12" s="1"/>
  <c r="BI18" i="1"/>
  <c r="BI19" i="1"/>
  <c r="BI20" i="1"/>
  <c r="AA16" i="12" s="1"/>
  <c r="BI21" i="1"/>
  <c r="BI24" i="1"/>
  <c r="AU23" i="9" s="1"/>
  <c r="BI25" i="1"/>
  <c r="BI26" i="1"/>
  <c r="AA22" i="12" s="1"/>
  <c r="BI27" i="1"/>
  <c r="BI28" i="1"/>
  <c r="AU27" i="9" s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9" i="12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U18" i="12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4" i="1"/>
  <c r="T20" i="12" s="1"/>
  <c r="T22" i="12"/>
  <c r="T24" i="12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S10" i="12" s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4" i="1"/>
  <c r="S20" i="12" s="1"/>
  <c r="S21" i="12"/>
  <c r="S22" i="12"/>
  <c r="S23" i="12"/>
  <c r="S24" i="12"/>
  <c r="S25" i="12"/>
  <c r="S26" i="12"/>
  <c r="S27" i="12"/>
  <c r="S28" i="12"/>
  <c r="S29" i="12"/>
  <c r="S30" i="12"/>
  <c r="S31" i="12"/>
  <c r="AN7" i="1"/>
  <c r="Q3" i="12" s="1"/>
  <c r="AN8" i="1"/>
  <c r="Q4" i="12" s="1"/>
  <c r="AN9" i="1"/>
  <c r="Q5" i="12" s="1"/>
  <c r="AN10" i="1"/>
  <c r="Q6" i="12" s="1"/>
  <c r="AN11" i="1"/>
  <c r="Q7" i="12" s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P3" i="12"/>
  <c r="P5" i="12"/>
  <c r="P7" i="12"/>
  <c r="P18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AI7" i="1"/>
  <c r="AI8" i="1"/>
  <c r="O4" i="12" s="1"/>
  <c r="AI9" i="1"/>
  <c r="O5" i="12" s="1"/>
  <c r="AI10" i="1"/>
  <c r="O6" i="12" s="1"/>
  <c r="AI11" i="1"/>
  <c r="O7" i="12" s="1"/>
  <c r="AI12" i="1"/>
  <c r="O8" i="12" s="1"/>
  <c r="O9" i="12"/>
  <c r="O10" i="12"/>
  <c r="O11" i="12"/>
  <c r="O12" i="12"/>
  <c r="O13" i="12"/>
  <c r="O15" i="12"/>
  <c r="O16" i="12"/>
  <c r="O17" i="12"/>
  <c r="O18" i="12"/>
  <c r="O21" i="12"/>
  <c r="O22" i="12"/>
  <c r="O23" i="12"/>
  <c r="O24" i="12"/>
  <c r="O25" i="12"/>
  <c r="O26" i="12"/>
  <c r="O27" i="12"/>
  <c r="O29" i="12"/>
  <c r="O30" i="12"/>
  <c r="O31" i="12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E7" i="1"/>
  <c r="AE8" i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E6" i="1"/>
  <c r="M2" i="12" s="1"/>
  <c r="AG6" i="1"/>
  <c r="N2" i="12" s="1"/>
  <c r="AG7" i="1"/>
  <c r="N3" i="12" s="1"/>
  <c r="AG8" i="1"/>
  <c r="AG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G22" i="9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E33" i="9"/>
  <c r="J6" i="1"/>
  <c r="F2" i="12" s="1"/>
  <c r="J7" i="1"/>
  <c r="C6" i="9" s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H2" i="12" s="1"/>
  <c r="S18" i="1"/>
  <c r="S16" i="1"/>
  <c r="S15" i="1"/>
  <c r="S14" i="1"/>
  <c r="S13" i="1"/>
  <c r="S12" i="1"/>
  <c r="BK6" i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46" i="1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AF21" i="12"/>
  <c r="AF22" i="12"/>
  <c r="AF24" i="12"/>
  <c r="AF28" i="12"/>
  <c r="AF30" i="12"/>
  <c r="K7" i="9"/>
  <c r="E19" i="2"/>
  <c r="E20" i="2"/>
  <c r="K18" i="9" s="1"/>
  <c r="E21" i="2"/>
  <c r="K19" i="9" s="1"/>
  <c r="E22" i="2"/>
  <c r="E23" i="2"/>
  <c r="AE18" i="12" s="1"/>
  <c r="E24" i="2"/>
  <c r="AE19" i="12" s="1"/>
  <c r="E25" i="2"/>
  <c r="C8" i="2"/>
  <c r="C9" i="2"/>
  <c r="I7" i="9" s="1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K5" i="9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Q44" i="1" s="1"/>
  <c r="BO42" i="1"/>
  <c r="BO43" i="1" s="1"/>
  <c r="BM42" i="1"/>
  <c r="BM43" i="1" s="1"/>
  <c r="BQ39" i="1"/>
  <c r="BQ40" i="1" s="1"/>
  <c r="BR40" i="1" s="1"/>
  <c r="BO39" i="1"/>
  <c r="BO41" i="1" s="1"/>
  <c r="BO40" i="1" s="1"/>
  <c r="BM39" i="1"/>
  <c r="BM41" i="1" s="1"/>
  <c r="BM40" i="1" s="1"/>
  <c r="S7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E35" i="1"/>
  <c r="Y31" i="12" s="1"/>
  <c r="BE34" i="1"/>
  <c r="BE33" i="1"/>
  <c r="Y29" i="12" s="1"/>
  <c r="D66" i="10"/>
  <c r="Y16" i="12"/>
  <c r="G17" i="4"/>
  <c r="K15" i="12"/>
  <c r="K14" i="12"/>
  <c r="K8" i="12"/>
  <c r="Y18" i="12"/>
  <c r="Q1112" i="10"/>
  <c r="Q1651" i="10"/>
  <c r="H66" i="10"/>
  <c r="G33" i="4"/>
  <c r="Q1100" i="10"/>
  <c r="Q576" i="10"/>
  <c r="Q1758" i="10"/>
  <c r="H31" i="6"/>
  <c r="H30" i="6"/>
  <c r="Q2088" i="10"/>
  <c r="Q607" i="10"/>
  <c r="Q1381" i="10"/>
  <c r="Q1944" i="10"/>
  <c r="Q797" i="10"/>
  <c r="Q1158" i="10"/>
  <c r="Q2229" i="10"/>
  <c r="Q222" i="10"/>
  <c r="Q2181" i="10"/>
  <c r="Q976" i="10"/>
  <c r="Q695" i="10"/>
  <c r="Q1334" i="10"/>
  <c r="Q1541" i="10"/>
  <c r="Q1906" i="10"/>
  <c r="Q1426" i="10"/>
  <c r="Q2024" i="10"/>
  <c r="Q965" i="10"/>
  <c r="Q114" i="10"/>
  <c r="Q685" i="10"/>
  <c r="Q53" i="10"/>
  <c r="Q2320" i="10"/>
  <c r="Q678" i="10"/>
  <c r="Q1645" i="10"/>
  <c r="Q2208" i="10"/>
  <c r="Q445" i="10"/>
  <c r="Q1973" i="10"/>
  <c r="Q1274" i="10"/>
  <c r="Q214" i="10"/>
  <c r="Q595" i="10"/>
  <c r="Q2200" i="10"/>
  <c r="Q138" i="10"/>
  <c r="Q489" i="10"/>
  <c r="Q319" i="10"/>
  <c r="Q257" i="10"/>
  <c r="Q951" i="10"/>
  <c r="Q1010" i="10"/>
  <c r="Q17" i="10"/>
  <c r="Q686" i="10"/>
  <c r="Q571" i="10"/>
  <c r="Q2241" i="10"/>
  <c r="P39" i="10"/>
  <c r="Q854" i="10"/>
  <c r="P2363" i="10"/>
  <c r="Q526" i="10"/>
  <c r="Q1266" i="10"/>
  <c r="Q1038" i="10"/>
  <c r="Q1194" i="10"/>
  <c r="Q1705" i="10"/>
  <c r="Q20" i="10"/>
  <c r="Q2276" i="10"/>
  <c r="Q444" i="10"/>
  <c r="Q1664" i="10"/>
  <c r="Q1943" i="10"/>
  <c r="Q700" i="10"/>
  <c r="P47" i="10"/>
  <c r="Q458" i="10"/>
  <c r="Q1602" i="10"/>
  <c r="Q334" i="10"/>
  <c r="Q1539" i="10"/>
  <c r="Q665" i="10"/>
  <c r="Q859" i="10"/>
  <c r="Q2206" i="10"/>
  <c r="Q1724" i="10"/>
  <c r="Q1593" i="10"/>
  <c r="Q2000" i="10"/>
  <c r="Q1561" i="10"/>
  <c r="Q1657" i="10"/>
  <c r="Q1920" i="10"/>
  <c r="Q876" i="10"/>
  <c r="Q1041" i="10"/>
  <c r="P2358" i="10"/>
  <c r="Q1751" i="10"/>
  <c r="Q347" i="10"/>
  <c r="Q1251" i="10"/>
  <c r="Q1110" i="10"/>
  <c r="Q1281" i="10"/>
  <c r="Q141" i="10"/>
  <c r="Q2297" i="10"/>
  <c r="Q486" i="10"/>
  <c r="Q495" i="10"/>
  <c r="Q916" i="10"/>
  <c r="Q1403" i="10"/>
  <c r="Q2307" i="10"/>
  <c r="Q207" i="10"/>
  <c r="Q2039" i="10"/>
  <c r="Q419" i="10"/>
  <c r="Q1400" i="10"/>
  <c r="Q1182" i="10"/>
  <c r="Q641" i="10"/>
  <c r="Q635" i="10"/>
  <c r="Q921" i="10"/>
  <c r="Q2334" i="10"/>
  <c r="Q991" i="10"/>
  <c r="Q515" i="10"/>
  <c r="Q1006" i="10"/>
  <c r="Q1660" i="10"/>
  <c r="Q212" i="10"/>
  <c r="Q1931" i="10"/>
  <c r="Q226" i="10"/>
  <c r="Q1506" i="10"/>
  <c r="Q1892" i="10"/>
  <c r="Q642" i="10"/>
  <c r="Q1129" i="10"/>
  <c r="Q491" i="10"/>
  <c r="Q950" i="10"/>
  <c r="Q2151" i="10"/>
  <c r="Q683" i="10"/>
  <c r="Q1977" i="10"/>
  <c r="Q1269" i="10"/>
  <c r="Q937" i="10"/>
  <c r="Q1989" i="10"/>
  <c r="Q2081" i="10"/>
  <c r="Q1196" i="10"/>
  <c r="Q1915" i="10"/>
  <c r="Q1725" i="10"/>
  <c r="Q335" i="10"/>
  <c r="Q1408" i="10"/>
  <c r="Q802" i="10"/>
  <c r="Q387" i="10"/>
  <c r="Q897" i="10"/>
  <c r="Q16" i="10"/>
  <c r="Q1214" i="10"/>
  <c r="Q194" i="10"/>
  <c r="Q2321" i="10"/>
  <c r="Q1492" i="10"/>
  <c r="Q699" i="10"/>
  <c r="Q840" i="10"/>
  <c r="Q1745" i="10"/>
  <c r="Q2119" i="10"/>
  <c r="Q1564" i="10"/>
  <c r="Q1247" i="10"/>
  <c r="Q2168" i="10"/>
  <c r="Q1405" i="10"/>
  <c r="Q2279" i="10"/>
  <c r="Q506" i="10"/>
  <c r="Q810" i="10"/>
  <c r="Q736" i="10"/>
  <c r="Q111" i="10"/>
  <c r="Q286" i="10"/>
  <c r="Q2079" i="10"/>
  <c r="Q2068" i="10"/>
  <c r="P32" i="10"/>
  <c r="Q531" i="10"/>
  <c r="Q389" i="10"/>
  <c r="Q482" i="10"/>
  <c r="Q954" i="10"/>
  <c r="Q650" i="10"/>
  <c r="Q1732" i="10"/>
  <c r="Q1086" i="10"/>
  <c r="Q1473" i="10"/>
  <c r="Q66" i="10"/>
  <c r="P16" i="10"/>
  <c r="Q351" i="10"/>
  <c r="Q691" i="10"/>
  <c r="Q1616" i="10"/>
  <c r="Q100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U29" i="9"/>
  <c r="J29" i="6"/>
  <c r="AJ27" i="9" s="1"/>
  <c r="H35" i="6"/>
  <c r="I24" i="9"/>
  <c r="AU6" i="9"/>
  <c r="AH25" i="9"/>
  <c r="C2353" i="10"/>
  <c r="C22" i="9"/>
  <c r="AU25" i="9"/>
  <c r="J30" i="6"/>
  <c r="AJ28" i="9" s="1"/>
  <c r="C10" i="9"/>
  <c r="C9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BO44" i="1"/>
  <c r="H29" i="6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AU20" i="9"/>
  <c r="G31" i="4"/>
  <c r="AU7" i="9"/>
  <c r="AT33" i="9"/>
  <c r="H33" i="6"/>
  <c r="AH22" i="12"/>
  <c r="BO36" i="9"/>
  <c r="H26" i="2"/>
  <c r="I25" i="9"/>
  <c r="H27" i="2"/>
  <c r="X27" i="2" s="1"/>
  <c r="BO25" i="9" s="1"/>
  <c r="K25" i="9"/>
  <c r="AT31" i="9"/>
  <c r="AU30" i="9"/>
  <c r="C27" i="9"/>
  <c r="AU18" i="9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G23" i="4"/>
  <c r="AE21" i="12"/>
  <c r="AT20" i="9"/>
  <c r="J14" i="6"/>
  <c r="AJ12" i="9" s="1"/>
  <c r="K27" i="6"/>
  <c r="C28" i="9"/>
  <c r="C17" i="9"/>
  <c r="AU15" i="9"/>
  <c r="AT29" i="9"/>
  <c r="AT17" i="9"/>
  <c r="J15" i="6"/>
  <c r="AJ13" i="9" s="1"/>
  <c r="AU12" i="9"/>
  <c r="J37" i="6"/>
  <c r="C25" i="7"/>
  <c r="AU32" i="9"/>
  <c r="C5" i="9"/>
  <c r="F66" i="10"/>
  <c r="AA2" i="12"/>
  <c r="AU5" i="9"/>
  <c r="L8" i="12"/>
  <c r="AU34" i="9"/>
  <c r="AA19" i="12"/>
  <c r="AU22" i="9"/>
  <c r="AB22" i="12"/>
  <c r="AT25" i="9"/>
  <c r="AH18" i="9"/>
  <c r="AD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C20" i="9"/>
  <c r="AL29" i="1"/>
  <c r="C25" i="9"/>
  <c r="AU19" i="9"/>
  <c r="AB16" i="12"/>
  <c r="AJ23" i="12"/>
  <c r="J28" i="6"/>
  <c r="AJ26" i="9" s="1"/>
  <c r="AD17" i="12"/>
  <c r="I20" i="9"/>
  <c r="C8" i="9"/>
  <c r="K25" i="1"/>
  <c r="G21" i="12" s="1"/>
  <c r="AA25" i="12"/>
  <c r="AU28" i="9"/>
  <c r="AA21" i="12"/>
  <c r="AU24" i="9"/>
  <c r="AB24" i="12"/>
  <c r="AT27" i="9"/>
  <c r="K11" i="12"/>
  <c r="AJ5" i="12"/>
  <c r="J10" i="6"/>
  <c r="AJ8" i="9" s="1"/>
  <c r="I35" i="6"/>
  <c r="C66" i="10"/>
  <c r="AF31" i="12"/>
  <c r="AH17" i="12"/>
  <c r="AH20" i="9"/>
  <c r="I22" i="6"/>
  <c r="J32" i="6"/>
  <c r="AJ30" i="9" s="1"/>
  <c r="J21" i="6"/>
  <c r="AJ19" i="9" s="1"/>
  <c r="Z12" i="12"/>
  <c r="H18" i="4"/>
  <c r="K21" i="9"/>
  <c r="K13" i="9"/>
  <c r="AF13" i="12"/>
  <c r="R20" i="9"/>
  <c r="K26" i="1"/>
  <c r="G22" i="12" s="1"/>
  <c r="E21" i="9"/>
  <c r="E13" i="9"/>
  <c r="K28" i="1"/>
  <c r="G24" i="12" s="1"/>
  <c r="G27" i="9"/>
  <c r="AL25" i="1"/>
  <c r="M21" i="12"/>
  <c r="M13" i="12"/>
  <c r="M3" i="12"/>
  <c r="O14" i="12"/>
  <c r="S15" i="12"/>
  <c r="H35" i="4"/>
  <c r="G35" i="4"/>
  <c r="H11" i="4"/>
  <c r="G11" i="4"/>
  <c r="K26" i="12"/>
  <c r="AH21" i="12"/>
  <c r="I26" i="6"/>
  <c r="AH24" i="9"/>
  <c r="H18" i="6"/>
  <c r="H29" i="4"/>
  <c r="G29" i="4"/>
  <c r="J26" i="6"/>
  <c r="AJ24" i="9" s="1"/>
  <c r="BM44" i="1"/>
  <c r="AE2" i="12"/>
  <c r="C31" i="9"/>
  <c r="G13" i="4"/>
  <c r="H39" i="4"/>
  <c r="G39" i="4"/>
  <c r="H24" i="4"/>
  <c r="AA6" i="12"/>
  <c r="AB10" i="12"/>
  <c r="AT13" i="9"/>
  <c r="AT9" i="9"/>
  <c r="AJ18" i="12"/>
  <c r="J23" i="6"/>
  <c r="AJ21" i="9" s="1"/>
  <c r="I11" i="9"/>
  <c r="AD26" i="12"/>
  <c r="H9" i="6"/>
  <c r="O3" i="12"/>
  <c r="AA30" i="12"/>
  <c r="AB27" i="12"/>
  <c r="AT18" i="9"/>
  <c r="K6" i="12"/>
  <c r="AH29" i="12"/>
  <c r="K29" i="6"/>
  <c r="I29" i="6"/>
  <c r="AH24" i="12"/>
  <c r="AH27" i="9"/>
  <c r="G21" i="4"/>
  <c r="H16" i="6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B29" i="12"/>
  <c r="AT32" i="9"/>
  <c r="AT21" i="9"/>
  <c r="AB7" i="12"/>
  <c r="O65" i="10"/>
  <c r="O2352" i="10"/>
  <c r="F23" i="12"/>
  <c r="C26" i="9"/>
  <c r="AA23" i="12"/>
  <c r="AU26" i="9"/>
  <c r="Z5" i="12"/>
  <c r="K9" i="12"/>
  <c r="AD18" i="12"/>
  <c r="Z26" i="12"/>
  <c r="BB30" i="1"/>
  <c r="X26" i="12" s="1"/>
  <c r="K2" i="12"/>
  <c r="M4" i="12"/>
  <c r="Z22" i="1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BB5" i="1"/>
  <c r="AH23" i="12"/>
  <c r="M18" i="12"/>
  <c r="M10" i="12"/>
  <c r="O28" i="12"/>
  <c r="O20" i="12"/>
  <c r="Q13" i="12"/>
  <c r="S18" i="12"/>
  <c r="W17" i="12"/>
  <c r="AA14" i="12"/>
  <c r="AA8" i="12"/>
  <c r="BB12" i="1"/>
  <c r="X8" i="12" s="1"/>
  <c r="AB5" i="12"/>
  <c r="Z28" i="12"/>
  <c r="AU17" i="9"/>
  <c r="F3" i="12"/>
  <c r="Y17" i="12"/>
  <c r="BB25" i="1"/>
  <c r="X21" i="12" s="1"/>
  <c r="J3" i="12"/>
  <c r="G35" i="9"/>
  <c r="J27" i="6"/>
  <c r="AJ25" i="9" s="1"/>
  <c r="AH25" i="12"/>
  <c r="N32" i="12"/>
  <c r="H37" i="2"/>
  <c r="Q37" i="2" s="1"/>
  <c r="K17" i="6"/>
  <c r="P24" i="9"/>
  <c r="AH5" i="9" l="1"/>
  <c r="AI32" i="12"/>
  <c r="AH29" i="9"/>
  <c r="I34" i="6"/>
  <c r="AH28" i="9"/>
  <c r="K30" i="6"/>
  <c r="J34" i="6"/>
  <c r="AJ32" i="9" s="1"/>
  <c r="I7" i="6"/>
  <c r="H12" i="6"/>
  <c r="J18" i="6"/>
  <c r="AJ16" i="9" s="1"/>
  <c r="AJ2" i="12"/>
  <c r="AH19" i="12"/>
  <c r="K24" i="6"/>
  <c r="J8" i="6"/>
  <c r="AJ6" i="9" s="1"/>
  <c r="AH22" i="9"/>
  <c r="F52" i="11"/>
  <c r="G52" i="11" s="1"/>
  <c r="I19" i="9"/>
  <c r="I26" i="9"/>
  <c r="H28" i="2"/>
  <c r="W26" i="2"/>
  <c r="BN24" i="9" s="1"/>
  <c r="K26" i="6"/>
  <c r="AE12" i="12"/>
  <c r="I8" i="9"/>
  <c r="J25" i="6"/>
  <c r="AJ23" i="9" s="1"/>
  <c r="K6" i="6"/>
  <c r="H26" i="6"/>
  <c r="AI21" i="12"/>
  <c r="AH8" i="9"/>
  <c r="AH12" i="12"/>
  <c r="AH20" i="12"/>
  <c r="AH23" i="9"/>
  <c r="K25" i="6"/>
  <c r="K5" i="1"/>
  <c r="BB31" i="1"/>
  <c r="X27" i="12" s="1"/>
  <c r="AA24" i="12"/>
  <c r="Z27" i="12"/>
  <c r="BB28" i="1"/>
  <c r="X24" i="12" s="1"/>
  <c r="AL5" i="1"/>
  <c r="K6" i="1"/>
  <c r="G2" i="12" s="1"/>
  <c r="K19" i="1"/>
  <c r="G15" i="12" s="1"/>
  <c r="V38" i="2"/>
  <c r="V39" i="2" s="1"/>
  <c r="S38" i="2"/>
  <c r="C22" i="7" s="1"/>
  <c r="AA10" i="12"/>
  <c r="BB26" i="1"/>
  <c r="X22" i="12" s="1"/>
  <c r="BR39" i="1"/>
  <c r="AJ26" i="12"/>
  <c r="AH31" i="9"/>
  <c r="AU31" i="9"/>
  <c r="I22" i="9"/>
  <c r="H27" i="6"/>
  <c r="BB34" i="1"/>
  <c r="X30" i="12" s="1"/>
  <c r="H2370" i="10"/>
  <c r="AL31" i="1"/>
  <c r="AT7" i="9"/>
  <c r="K30" i="1"/>
  <c r="G26" i="12" s="1"/>
  <c r="K22" i="9"/>
  <c r="H24" i="2"/>
  <c r="BB23" i="1"/>
  <c r="X19" i="12" s="1"/>
  <c r="D2370" i="10"/>
  <c r="K29" i="9"/>
  <c r="U27" i="2"/>
  <c r="BM25" i="9" s="1"/>
  <c r="H28" i="6"/>
  <c r="AT22" i="9"/>
  <c r="H20" i="6"/>
  <c r="BB36" i="1"/>
  <c r="X32" i="12" s="1"/>
  <c r="BQ41" i="1"/>
  <c r="I27" i="9"/>
  <c r="AH28" i="12"/>
  <c r="BC5" i="1"/>
  <c r="BB8" i="1"/>
  <c r="BC8" i="1" s="1"/>
  <c r="G37" i="4"/>
  <c r="BC31" i="1"/>
  <c r="G30" i="4"/>
  <c r="Q27" i="2"/>
  <c r="X25" i="9" s="1"/>
  <c r="AA20" i="12"/>
  <c r="BB27" i="1"/>
  <c r="BC27" i="1" s="1"/>
  <c r="U28" i="2"/>
  <c r="BM26" i="9" s="1"/>
  <c r="AL35" i="1"/>
  <c r="AJ19" i="12"/>
  <c r="J33" i="6"/>
  <c r="AJ31" i="9" s="1"/>
  <c r="AT26" i="9"/>
  <c r="D6" i="10"/>
  <c r="O6" i="10" s="1"/>
  <c r="I17" i="9"/>
  <c r="AH16" i="12"/>
  <c r="AH15" i="12"/>
  <c r="K21" i="6"/>
  <c r="J20" i="6"/>
  <c r="AJ18" i="9" s="1"/>
  <c r="AE8" i="12"/>
  <c r="AH14" i="9"/>
  <c r="K16" i="6"/>
  <c r="AH11" i="12"/>
  <c r="I17" i="6"/>
  <c r="K14" i="6"/>
  <c r="I14" i="6"/>
  <c r="AH7" i="12"/>
  <c r="AI10" i="12"/>
  <c r="AH13" i="9"/>
  <c r="I16" i="9"/>
  <c r="I15" i="9"/>
  <c r="AH16" i="9"/>
  <c r="I14" i="9"/>
  <c r="J16" i="6"/>
  <c r="AJ14" i="9" s="1"/>
  <c r="BB18" i="1"/>
  <c r="BC18" i="1" s="1"/>
  <c r="BB14" i="1"/>
  <c r="X10" i="12" s="1"/>
  <c r="AT15" i="9"/>
  <c r="K16" i="1"/>
  <c r="G12" i="12" s="1"/>
  <c r="BB15" i="1"/>
  <c r="BC15" i="1" s="1"/>
  <c r="AT14" i="9"/>
  <c r="AU14" i="9"/>
  <c r="BB9" i="1"/>
  <c r="X5" i="12" s="1"/>
  <c r="M2370" i="10"/>
  <c r="I2370" i="10"/>
  <c r="F10" i="12"/>
  <c r="AT12" i="9"/>
  <c r="BB13" i="1"/>
  <c r="X9" i="12" s="1"/>
  <c r="AE7" i="12"/>
  <c r="I9" i="9"/>
  <c r="I10" i="9"/>
  <c r="AH3" i="12"/>
  <c r="J12" i="6"/>
  <c r="AJ10" i="9" s="1"/>
  <c r="AH9" i="9"/>
  <c r="I12" i="6"/>
  <c r="BB10" i="1"/>
  <c r="X6" i="12" s="1"/>
  <c r="AT8" i="9"/>
  <c r="AU8" i="9"/>
  <c r="E9" i="9"/>
  <c r="I10" i="6"/>
  <c r="AE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C30" i="1"/>
  <c r="BO35" i="9"/>
  <c r="X45" i="2"/>
  <c r="BO40" i="9" s="1"/>
  <c r="Y43" i="2"/>
  <c r="BP38" i="9" s="1"/>
  <c r="G14" i="4"/>
  <c r="G26" i="4"/>
  <c r="G28" i="4"/>
  <c r="K9" i="6"/>
  <c r="BB7" i="1"/>
  <c r="X3" i="12" s="1"/>
  <c r="AB3" i="12"/>
  <c r="BB6" i="1"/>
  <c r="BC6" i="1" s="1"/>
  <c r="K22" i="6"/>
  <c r="F42" i="11"/>
  <c r="G42" i="11" s="1"/>
  <c r="G43" i="11" s="1"/>
  <c r="J36" i="6"/>
  <c r="AL36" i="1"/>
  <c r="F31" i="12"/>
  <c r="D5" i="10"/>
  <c r="O5" i="10" s="1"/>
  <c r="Y30" i="12"/>
  <c r="AN37" i="1"/>
  <c r="AN38" i="1" s="1"/>
  <c r="W37" i="1"/>
  <c r="W38" i="1" s="1"/>
  <c r="K37" i="6"/>
  <c r="I37" i="6"/>
  <c r="U37" i="2"/>
  <c r="H36" i="6"/>
  <c r="K35" i="6"/>
  <c r="K32" i="9"/>
  <c r="K34" i="6"/>
  <c r="H34" i="6"/>
  <c r="AI29" i="12"/>
  <c r="K32" i="6"/>
  <c r="H32" i="6"/>
  <c r="K33" i="6"/>
  <c r="AH26" i="12"/>
  <c r="K31" i="6"/>
  <c r="BB33" i="1"/>
  <c r="BB32" i="1"/>
  <c r="X28" i="12" s="1"/>
  <c r="AZ37" i="1"/>
  <c r="AZ38" i="1" s="1"/>
  <c r="C32" i="9"/>
  <c r="Y37" i="1"/>
  <c r="Y38" i="1" s="1"/>
  <c r="K32" i="1"/>
  <c r="G28" i="12" s="1"/>
  <c r="W37" i="2"/>
  <c r="T45" i="2"/>
  <c r="K15" i="1"/>
  <c r="G11" i="12" s="1"/>
  <c r="AL34" i="1"/>
  <c r="K7" i="1"/>
  <c r="G3" i="12" s="1"/>
  <c r="K29" i="1"/>
  <c r="G25" i="12" s="1"/>
  <c r="AL30" i="1"/>
  <c r="K17" i="1"/>
  <c r="G13" i="12" s="1"/>
  <c r="AL6" i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BS39" i="1"/>
  <c r="BL39" i="1"/>
  <c r="BP39" i="1" s="1"/>
  <c r="AI19" i="12"/>
  <c r="H24" i="6"/>
  <c r="AD28" i="12"/>
  <c r="I31" i="9"/>
  <c r="AE27" i="12"/>
  <c r="K30" i="9"/>
  <c r="K28" i="9"/>
  <c r="AE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P31" i="9" s="1"/>
  <c r="H31" i="2"/>
  <c r="K22" i="1"/>
  <c r="G18" i="12" s="1"/>
  <c r="AT28" i="9"/>
  <c r="H29" i="2"/>
  <c r="AJ12" i="12"/>
  <c r="K8" i="6"/>
  <c r="AI18" i="12"/>
  <c r="BS40" i="1"/>
  <c r="BB24" i="1"/>
  <c r="BC24" i="1" s="1"/>
  <c r="BC25" i="1"/>
  <c r="BL25" i="1" s="1"/>
  <c r="BQ25" i="1" s="1"/>
  <c r="K24" i="1"/>
  <c r="G20" i="12" s="1"/>
  <c r="K23" i="1"/>
  <c r="G19" i="12" s="1"/>
  <c r="AU21" i="9"/>
  <c r="J13" i="6"/>
  <c r="AJ11" i="9" s="1"/>
  <c r="AJ14" i="12"/>
  <c r="J11" i="6"/>
  <c r="AJ9" i="9" s="1"/>
  <c r="K10" i="6"/>
  <c r="H8" i="6"/>
  <c r="K12" i="6"/>
  <c r="H10" i="6"/>
  <c r="K18" i="6"/>
  <c r="K11" i="6"/>
  <c r="AH13" i="12"/>
  <c r="H23" i="2"/>
  <c r="P21" i="9" s="1"/>
  <c r="AE15" i="12"/>
  <c r="I21" i="9"/>
  <c r="J22" i="6"/>
  <c r="AJ20" i="9" s="1"/>
  <c r="H22" i="6"/>
  <c r="AH18" i="12"/>
  <c r="AH21" i="9"/>
  <c r="I21" i="6"/>
  <c r="K20" i="6"/>
  <c r="I19" i="6"/>
  <c r="AH17" i="9"/>
  <c r="H19" i="2"/>
  <c r="P17" i="9" s="1"/>
  <c r="I18" i="9"/>
  <c r="H20" i="2"/>
  <c r="W20" i="2" s="1"/>
  <c r="BN18" i="9" s="1"/>
  <c r="X37" i="2"/>
  <c r="Y37" i="2" s="1"/>
  <c r="BB16" i="1"/>
  <c r="BC16" i="1" s="1"/>
  <c r="H12" i="2"/>
  <c r="W12" i="2" s="1"/>
  <c r="BN10" i="9" s="1"/>
  <c r="BC9" i="1"/>
  <c r="BC28" i="1"/>
  <c r="Q26" i="2"/>
  <c r="X24" i="9" s="1"/>
  <c r="U26" i="2"/>
  <c r="BM24" i="9" s="1"/>
  <c r="X26" i="2"/>
  <c r="BQ43" i="1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AL21" i="1"/>
  <c r="BK37" i="1"/>
  <c r="BK38" i="1" s="1"/>
  <c r="AL19" i="1"/>
  <c r="C16" i="9"/>
  <c r="AT16" i="9"/>
  <c r="BB17" i="1"/>
  <c r="X13" i="12" s="1"/>
  <c r="AU16" i="9"/>
  <c r="BR42" i="1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AL20" i="1"/>
  <c r="L14" i="12"/>
  <c r="AL18" i="1"/>
  <c r="L12" i="12"/>
  <c r="AL16" i="1"/>
  <c r="L10" i="12"/>
  <c r="AL14" i="1"/>
  <c r="BB20" i="1"/>
  <c r="AL17" i="1"/>
  <c r="S37" i="1"/>
  <c r="S38" i="1" s="1"/>
  <c r="K31" i="1"/>
  <c r="G27" i="12" s="1"/>
  <c r="E30" i="9"/>
  <c r="K27" i="1"/>
  <c r="G23" i="12" s="1"/>
  <c r="E26" i="9"/>
  <c r="AL23" i="1"/>
  <c r="N19" i="12"/>
  <c r="G10" i="9"/>
  <c r="K11" i="1"/>
  <c r="G7" i="12" s="1"/>
  <c r="X23" i="12"/>
  <c r="BC34" i="1"/>
  <c r="BL42" i="1"/>
  <c r="BL43" i="1" s="1"/>
  <c r="BN43" i="1" s="1"/>
  <c r="BS42" i="1"/>
  <c r="F15" i="12"/>
  <c r="C18" i="9"/>
  <c r="K21" i="1"/>
  <c r="G17" i="12" s="1"/>
  <c r="K12" i="1"/>
  <c r="G8" i="12" s="1"/>
  <c r="K20" i="1"/>
  <c r="G16" i="12" s="1"/>
  <c r="AL8" i="1"/>
  <c r="BB29" i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W16" i="2" s="1"/>
  <c r="BN14" i="9" s="1"/>
  <c r="AI14" i="12"/>
  <c r="H10" i="2"/>
  <c r="Q10" i="2" s="1"/>
  <c r="X8" i="9" s="1"/>
  <c r="AE5" i="12"/>
  <c r="I13" i="9"/>
  <c r="AH10" i="12"/>
  <c r="J14" i="4"/>
  <c r="H40" i="4"/>
  <c r="G40" i="4"/>
  <c r="C37" i="1"/>
  <c r="C38" i="1" s="1"/>
  <c r="R5" i="9"/>
  <c r="O38" i="2"/>
  <c r="AE20" i="12"/>
  <c r="H25" i="2"/>
  <c r="K23" i="9"/>
  <c r="K17" i="9"/>
  <c r="AE14" i="12"/>
  <c r="AT5" i="9"/>
  <c r="AW5" i="9"/>
  <c r="F30" i="12"/>
  <c r="C33" i="9"/>
  <c r="F11" i="12"/>
  <c r="C14" i="9"/>
  <c r="L11" i="12"/>
  <c r="AL15" i="1"/>
  <c r="AH27" i="12"/>
  <c r="I32" i="6"/>
  <c r="I13" i="6"/>
  <c r="AH11" i="9"/>
  <c r="AH4" i="12"/>
  <c r="AH7" i="9"/>
  <c r="I9" i="6"/>
  <c r="AJ4" i="12"/>
  <c r="J9" i="6"/>
  <c r="AJ7" i="9" s="1"/>
  <c r="I36" i="6"/>
  <c r="K36" i="6"/>
  <c r="AH31" i="12"/>
  <c r="AI16" i="12"/>
  <c r="H21" i="6"/>
  <c r="AI12" i="12"/>
  <c r="H17" i="6"/>
  <c r="AD29" i="12"/>
  <c r="H34" i="2"/>
  <c r="I32" i="9"/>
  <c r="AD27" i="12"/>
  <c r="I30" i="9"/>
  <c r="H32" i="2"/>
  <c r="K35" i="1"/>
  <c r="G31" i="12" s="1"/>
  <c r="AL22" i="1"/>
  <c r="K18" i="12"/>
  <c r="AB20" i="12"/>
  <c r="AT23" i="9"/>
  <c r="Z18" i="12"/>
  <c r="BB22" i="1"/>
  <c r="U37" i="1"/>
  <c r="U38" i="1" s="1"/>
  <c r="AL9" i="1"/>
  <c r="AL7" i="1"/>
  <c r="K16" i="9"/>
  <c r="AE13" i="12"/>
  <c r="K12" i="9"/>
  <c r="AE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BP42" i="1"/>
  <c r="X7" i="2"/>
  <c r="J11" i="4"/>
  <c r="J15" i="4"/>
  <c r="P25" i="9"/>
  <c r="Y27" i="2"/>
  <c r="BP25" i="9" s="1"/>
  <c r="W27" i="2"/>
  <c r="BN25" i="9" s="1"/>
  <c r="Z27" i="2"/>
  <c r="BQ25" i="9" s="1"/>
  <c r="S39" i="2"/>
  <c r="Q28" i="2"/>
  <c r="X26" i="9" s="1"/>
  <c r="K23" i="6"/>
  <c r="C23" i="9"/>
  <c r="AB2" i="12"/>
  <c r="N4" i="12"/>
  <c r="AP37" i="1"/>
  <c r="AP38" i="1" s="1"/>
  <c r="AL26" i="1"/>
  <c r="AL27" i="1"/>
  <c r="G19" i="9"/>
  <c r="C12" i="9"/>
  <c r="I10" i="4"/>
  <c r="AL28" i="1"/>
  <c r="AL32" i="1"/>
  <c r="AL33" i="1"/>
  <c r="AI2" i="12"/>
  <c r="K15" i="6"/>
  <c r="AL24" i="1"/>
  <c r="H19" i="6"/>
  <c r="E38" i="2"/>
  <c r="E39" i="2" s="1"/>
  <c r="K33" i="9" s="1"/>
  <c r="C38" i="6"/>
  <c r="H30" i="2"/>
  <c r="H18" i="2"/>
  <c r="H15" i="2"/>
  <c r="U15" i="2" s="1"/>
  <c r="BM13" i="9" s="1"/>
  <c r="AE28" i="12"/>
  <c r="AD4" i="12"/>
  <c r="H35" i="2"/>
  <c r="H36" i="2"/>
  <c r="Q36" i="2" s="1"/>
  <c r="I28" i="9"/>
  <c r="AH26" i="9"/>
  <c r="C38" i="2"/>
  <c r="AH8" i="12"/>
  <c r="AH30" i="9"/>
  <c r="H25" i="6"/>
  <c r="H34" i="4"/>
  <c r="K18" i="1"/>
  <c r="G14" i="12" s="1"/>
  <c r="J35" i="6"/>
  <c r="H8" i="2"/>
  <c r="X8" i="2" s="1"/>
  <c r="O2368" i="10"/>
  <c r="AE16" i="12"/>
  <c r="I11" i="6"/>
  <c r="C19" i="9"/>
  <c r="H22" i="4"/>
  <c r="J26" i="4" s="1"/>
  <c r="G25" i="4"/>
  <c r="I31" i="4" s="1"/>
  <c r="H11" i="6"/>
  <c r="G12" i="4"/>
  <c r="E11" i="9"/>
  <c r="I6" i="9"/>
  <c r="AD3" i="12"/>
  <c r="AE24" i="12"/>
  <c r="K20" i="9"/>
  <c r="H22" i="2"/>
  <c r="AE17" i="12"/>
  <c r="AE11" i="12"/>
  <c r="BB35" i="1"/>
  <c r="AA31" i="12"/>
  <c r="AA17" i="12"/>
  <c r="BB21" i="1"/>
  <c r="AA15" i="12"/>
  <c r="BB19" i="1"/>
  <c r="AB31" i="12"/>
  <c r="AT34" i="9"/>
  <c r="AB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P11" i="9" s="1"/>
  <c r="H14" i="2"/>
  <c r="U14" i="2" s="1"/>
  <c r="BM12" i="9" s="1"/>
  <c r="I12" i="9"/>
  <c r="G38" i="6"/>
  <c r="E38" i="6"/>
  <c r="F34" i="11" s="1"/>
  <c r="G34" i="11" s="1"/>
  <c r="G35" i="11" s="1"/>
  <c r="H14" i="6"/>
  <c r="H13" i="6"/>
  <c r="K13" i="6"/>
  <c r="AV37" i="1"/>
  <c r="AV38" i="1" s="1"/>
  <c r="AT37" i="1"/>
  <c r="AT38" i="1" s="1"/>
  <c r="AR37" i="1"/>
  <c r="AR38" i="1" s="1"/>
  <c r="AL12" i="1"/>
  <c r="AL13" i="1"/>
  <c r="AC37" i="1"/>
  <c r="AC38" i="1" s="1"/>
  <c r="C11" i="9"/>
  <c r="BI37" i="1"/>
  <c r="BI38" i="1" s="1"/>
  <c r="BG37" i="1"/>
  <c r="BG38" i="1" s="1"/>
  <c r="BB11" i="1"/>
  <c r="BE37" i="1"/>
  <c r="BE38" i="1" s="1"/>
  <c r="AX37" i="1"/>
  <c r="AX38" i="1" s="1"/>
  <c r="BC12" i="1"/>
  <c r="AI37" i="1"/>
  <c r="AI38" i="1" s="1"/>
  <c r="AL10" i="1"/>
  <c r="AG37" i="1"/>
  <c r="AG38" i="1" s="1"/>
  <c r="AE37" i="1"/>
  <c r="AE38" i="1" s="1"/>
  <c r="AL11" i="1"/>
  <c r="AA37" i="1"/>
  <c r="AA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X28" i="2" l="1"/>
  <c r="W28" i="2"/>
  <c r="BN26" i="9" s="1"/>
  <c r="P26" i="9"/>
  <c r="W7" i="2"/>
  <c r="BN5" i="9" s="1"/>
  <c r="Z44" i="2"/>
  <c r="BQ39" i="9" s="1"/>
  <c r="BL27" i="1"/>
  <c r="BC36" i="1"/>
  <c r="BL36" i="1" s="1"/>
  <c r="BC26" i="1"/>
  <c r="X4" i="12"/>
  <c r="X14" i="12"/>
  <c r="BC23" i="1"/>
  <c r="BL31" i="1"/>
  <c r="BP31" i="1" s="1"/>
  <c r="BL8" i="1"/>
  <c r="I22" i="4"/>
  <c r="J27" i="4"/>
  <c r="BL18" i="1"/>
  <c r="W24" i="2"/>
  <c r="BN22" i="9" s="1"/>
  <c r="X24" i="2"/>
  <c r="J39" i="4"/>
  <c r="Q24" i="2"/>
  <c r="X22" i="9" s="1"/>
  <c r="U24" i="2"/>
  <c r="BM22" i="9" s="1"/>
  <c r="O2370" i="10"/>
  <c r="P22" i="9"/>
  <c r="BL30" i="1"/>
  <c r="BP43" i="1"/>
  <c r="X2" i="12"/>
  <c r="I39" i="4"/>
  <c r="BC14" i="1"/>
  <c r="BL14" i="1" s="1"/>
  <c r="BP14" i="1" s="1"/>
  <c r="X19" i="2"/>
  <c r="Y19" i="2" s="1"/>
  <c r="BP17" i="9" s="1"/>
  <c r="X11" i="12"/>
  <c r="BL15" i="1"/>
  <c r="BP15" i="1" s="1"/>
  <c r="BC13" i="1"/>
  <c r="BL13" i="1" s="1"/>
  <c r="BP13" i="1" s="1"/>
  <c r="BC7" i="1"/>
  <c r="BL7" i="1" s="1"/>
  <c r="BC10" i="1"/>
  <c r="BL10" i="1" s="1"/>
  <c r="BP10" i="1" s="1"/>
  <c r="U7" i="2"/>
  <c r="BM5" i="9" s="1"/>
  <c r="P5" i="9"/>
  <c r="J19" i="4"/>
  <c r="J22" i="4"/>
  <c r="I40" i="4"/>
  <c r="BL6" i="1"/>
  <c r="BN6" i="1" s="1"/>
  <c r="J21" i="4"/>
  <c r="Z37" i="2"/>
  <c r="U20" i="2"/>
  <c r="BM18" i="9" s="1"/>
  <c r="P16" i="9"/>
  <c r="Q15" i="2"/>
  <c r="X13" i="9" s="1"/>
  <c r="X33" i="2"/>
  <c r="Z33" i="2" s="1"/>
  <c r="BQ31" i="9" s="1"/>
  <c r="BL12" i="1"/>
  <c r="BQ12" i="1" s="1"/>
  <c r="BR12" i="1" s="1"/>
  <c r="U36" i="2"/>
  <c r="W33" i="2"/>
  <c r="BN31" i="9" s="1"/>
  <c r="U33" i="2"/>
  <c r="BM31" i="9" s="1"/>
  <c r="Q33" i="2"/>
  <c r="X31" i="9" s="1"/>
  <c r="BL34" i="1"/>
  <c r="BC32" i="1"/>
  <c r="BL32" i="1" s="1"/>
  <c r="BQ32" i="1" s="1"/>
  <c r="X29" i="12"/>
  <c r="BC33" i="1"/>
  <c r="BL33" i="1" s="1"/>
  <c r="E42" i="4"/>
  <c r="C38" i="7" s="1"/>
  <c r="BL16" i="1"/>
  <c r="BQ16" i="1" s="1"/>
  <c r="BS16" i="1" s="1"/>
  <c r="X31" i="2"/>
  <c r="P29" i="9"/>
  <c r="U31" i="2"/>
  <c r="BM29" i="9" s="1"/>
  <c r="W31" i="2"/>
  <c r="BN29" i="9" s="1"/>
  <c r="Q31" i="2"/>
  <c r="X29" i="9" s="1"/>
  <c r="BL40" i="1"/>
  <c r="BN39" i="1"/>
  <c r="I21" i="4"/>
  <c r="I34" i="4"/>
  <c r="J28" i="4"/>
  <c r="J23" i="4"/>
  <c r="J31" i="4"/>
  <c r="U10" i="2"/>
  <c r="BM8" i="9" s="1"/>
  <c r="BN42" i="1"/>
  <c r="BL44" i="1"/>
  <c r="W19" i="2"/>
  <c r="BN17" i="9" s="1"/>
  <c r="BL41" i="1"/>
  <c r="U29" i="2"/>
  <c r="BM27" i="9" s="1"/>
  <c r="X29" i="2"/>
  <c r="W29" i="2"/>
  <c r="BN27" i="9" s="1"/>
  <c r="Q29" i="2"/>
  <c r="X27" i="9" s="1"/>
  <c r="P27" i="9"/>
  <c r="BL9" i="1"/>
  <c r="BQ9" i="1" s="1"/>
  <c r="BS9" i="1" s="1"/>
  <c r="X12" i="12"/>
  <c r="BP25" i="1"/>
  <c r="BL28" i="1"/>
  <c r="BN25" i="1"/>
  <c r="X23" i="2"/>
  <c r="Y23" i="2" s="1"/>
  <c r="BP21" i="9" s="1"/>
  <c r="W23" i="2"/>
  <c r="BN21" i="9" s="1"/>
  <c r="Q23" i="2"/>
  <c r="X21" i="9" s="1"/>
  <c r="U23" i="2"/>
  <c r="BM21" i="9" s="1"/>
  <c r="BL24" i="1"/>
  <c r="BP24" i="1" s="1"/>
  <c r="BS25" i="1"/>
  <c r="BR25" i="1"/>
  <c r="X20" i="12"/>
  <c r="BL23" i="1"/>
  <c r="BQ23" i="1" s="1"/>
  <c r="Q19" i="2"/>
  <c r="X17" i="9" s="1"/>
  <c r="U19" i="2"/>
  <c r="BM17" i="9" s="1"/>
  <c r="X20" i="2"/>
  <c r="Q20" i="2"/>
  <c r="X18" i="9" s="1"/>
  <c r="P18" i="9"/>
  <c r="BQ8" i="1"/>
  <c r="BS8" i="1" s="1"/>
  <c r="Y26" i="2"/>
  <c r="BP24" i="9" s="1"/>
  <c r="Z26" i="2"/>
  <c r="BQ24" i="9" s="1"/>
  <c r="BO24" i="9"/>
  <c r="I18" i="4"/>
  <c r="I26" i="4"/>
  <c r="I32" i="4"/>
  <c r="I36" i="4"/>
  <c r="J38" i="6"/>
  <c r="K38" i="6"/>
  <c r="BC17" i="1"/>
  <c r="BL17" i="1" s="1"/>
  <c r="BN17" i="1" s="1"/>
  <c r="J30" i="4"/>
  <c r="J24" i="4"/>
  <c r="BO39" i="9"/>
  <c r="X13" i="2"/>
  <c r="BO11" i="9" s="1"/>
  <c r="I16" i="4"/>
  <c r="J32" i="4"/>
  <c r="E44" i="4"/>
  <c r="C39" i="7" s="1"/>
  <c r="I30" i="4"/>
  <c r="BR43" i="1"/>
  <c r="BS43" i="1"/>
  <c r="Q12" i="2"/>
  <c r="X10" i="9" s="1"/>
  <c r="X12" i="2"/>
  <c r="U12" i="2"/>
  <c r="BM10" i="9" s="1"/>
  <c r="P10" i="9"/>
  <c r="Q38" i="1"/>
  <c r="K37" i="1"/>
  <c r="K38" i="1" s="1"/>
  <c r="BL26" i="1"/>
  <c r="BQ26" i="1" s="1"/>
  <c r="X25" i="12"/>
  <c r="BC29" i="1"/>
  <c r="BL29" i="1" s="1"/>
  <c r="BP29" i="1" s="1"/>
  <c r="X16" i="12"/>
  <c r="BC20" i="1"/>
  <c r="BL20" i="1" s="1"/>
  <c r="P14" i="9"/>
  <c r="Q16" i="2"/>
  <c r="X14" i="9" s="1"/>
  <c r="U16" i="2"/>
  <c r="BM14" i="9" s="1"/>
  <c r="X16" i="2"/>
  <c r="X18" i="2"/>
  <c r="Y18" i="2" s="1"/>
  <c r="BP16" i="9" s="1"/>
  <c r="W18" i="2"/>
  <c r="BN16" i="9" s="1"/>
  <c r="X10" i="2"/>
  <c r="Y10" i="2" s="1"/>
  <c r="BP8" i="9" s="1"/>
  <c r="P8" i="9"/>
  <c r="W10" i="2"/>
  <c r="BN8" i="9" s="1"/>
  <c r="Q13" i="2"/>
  <c r="X11" i="9" s="1"/>
  <c r="X15" i="2"/>
  <c r="Y15" i="2" s="1"/>
  <c r="BP13" i="9" s="1"/>
  <c r="BQ27" i="1"/>
  <c r="BS27" i="1" s="1"/>
  <c r="BP27" i="1"/>
  <c r="BN27" i="1"/>
  <c r="H38" i="6"/>
  <c r="H39" i="6" s="1"/>
  <c r="X31" i="12"/>
  <c r="BC35" i="1"/>
  <c r="BL35" i="1" s="1"/>
  <c r="I37" i="4"/>
  <c r="I35" i="4"/>
  <c r="I38" i="4"/>
  <c r="W8" i="2"/>
  <c r="BN6" i="9" s="1"/>
  <c r="Q8" i="2"/>
  <c r="X6" i="9" s="1"/>
  <c r="U8" i="2"/>
  <c r="BM6" i="9" s="1"/>
  <c r="P6" i="9"/>
  <c r="U35" i="2"/>
  <c r="W35" i="2"/>
  <c r="X35" i="2"/>
  <c r="Q35" i="2"/>
  <c r="Q18" i="2"/>
  <c r="X16" i="9" s="1"/>
  <c r="U18" i="2"/>
  <c r="BM16" i="9" s="1"/>
  <c r="AH33" i="9"/>
  <c r="E27" i="11"/>
  <c r="F27" i="11" s="1"/>
  <c r="I20" i="4"/>
  <c r="I17" i="4"/>
  <c r="BO5" i="9"/>
  <c r="Y7" i="2"/>
  <c r="BP5" i="9" s="1"/>
  <c r="I29" i="4"/>
  <c r="J33" i="4"/>
  <c r="W32" i="2"/>
  <c r="BN30" i="9" s="1"/>
  <c r="P30" i="9"/>
  <c r="U32" i="2"/>
  <c r="BM30" i="9" s="1"/>
  <c r="X32" i="2"/>
  <c r="Q32" i="2"/>
  <c r="X30" i="9" s="1"/>
  <c r="X34" i="2"/>
  <c r="U34" i="2"/>
  <c r="BM32" i="9" s="1"/>
  <c r="P32" i="9"/>
  <c r="Q34" i="2"/>
  <c r="X32" i="9" s="1"/>
  <c r="W34" i="2"/>
  <c r="BN32" i="9" s="1"/>
  <c r="J36" i="4"/>
  <c r="J37" i="4"/>
  <c r="J40" i="4"/>
  <c r="X15" i="12"/>
  <c r="BC19" i="1"/>
  <c r="BL19" i="1" s="1"/>
  <c r="X17" i="12"/>
  <c r="BC21" i="1"/>
  <c r="BL21" i="1" s="1"/>
  <c r="X22" i="2"/>
  <c r="W22" i="2"/>
  <c r="BN20" i="9" s="1"/>
  <c r="Q22" i="2"/>
  <c r="X20" i="9" s="1"/>
  <c r="P20" i="9"/>
  <c r="U22" i="2"/>
  <c r="BM20" i="9" s="1"/>
  <c r="I12" i="4"/>
  <c r="I14" i="4"/>
  <c r="I24" i="4"/>
  <c r="I13" i="4"/>
  <c r="I23" i="4"/>
  <c r="I25" i="4"/>
  <c r="J34" i="4"/>
  <c r="J35" i="4"/>
  <c r="I33" i="9"/>
  <c r="C39" i="2"/>
  <c r="I34" i="9" s="1"/>
  <c r="X36" i="2"/>
  <c r="W36" i="2"/>
  <c r="W15" i="2"/>
  <c r="BN13" i="9" s="1"/>
  <c r="P13" i="9"/>
  <c r="Q30" i="2"/>
  <c r="X28" i="9" s="1"/>
  <c r="U30" i="2"/>
  <c r="BM28" i="9" s="1"/>
  <c r="P28" i="9"/>
  <c r="W30" i="2"/>
  <c r="BN28" i="9" s="1"/>
  <c r="X30" i="2"/>
  <c r="I19" i="4"/>
  <c r="I28" i="4"/>
  <c r="J29" i="4"/>
  <c r="BC22" i="1"/>
  <c r="BL22" i="1" s="1"/>
  <c r="X18" i="12"/>
  <c r="I38" i="6"/>
  <c r="I39" i="6" s="1"/>
  <c r="P23" i="9"/>
  <c r="U25" i="2"/>
  <c r="BM23" i="9" s="1"/>
  <c r="W25" i="2"/>
  <c r="BN23" i="9" s="1"/>
  <c r="Q25" i="2"/>
  <c r="X23" i="9" s="1"/>
  <c r="X25" i="2"/>
  <c r="R33" i="9"/>
  <c r="O39" i="2"/>
  <c r="R34" i="9" s="1"/>
  <c r="I33" i="4"/>
  <c r="J25" i="4"/>
  <c r="J20" i="4"/>
  <c r="J17" i="4"/>
  <c r="J38" i="4"/>
  <c r="X21" i="2"/>
  <c r="W21" i="2"/>
  <c r="BN19" i="9" s="1"/>
  <c r="P19" i="9"/>
  <c r="Q21" i="2"/>
  <c r="X19" i="9" s="1"/>
  <c r="U21" i="2"/>
  <c r="BM19" i="9" s="1"/>
  <c r="P15" i="9"/>
  <c r="U17" i="2"/>
  <c r="BM15" i="9" s="1"/>
  <c r="Q17" i="2"/>
  <c r="X15" i="9" s="1"/>
  <c r="W17" i="2"/>
  <c r="BN15" i="9" s="1"/>
  <c r="X17" i="2"/>
  <c r="P7" i="9"/>
  <c r="X9" i="2"/>
  <c r="Q9" i="2"/>
  <c r="X7" i="9" s="1"/>
  <c r="W9" i="2"/>
  <c r="BN7" i="9" s="1"/>
  <c r="U9" i="2"/>
  <c r="BM7" i="9" s="1"/>
  <c r="H38" i="2"/>
  <c r="C27" i="7" s="1"/>
  <c r="W13" i="2"/>
  <c r="BN11" i="9" s="1"/>
  <c r="X11" i="2"/>
  <c r="P9" i="9"/>
  <c r="Q11" i="2"/>
  <c r="X9" i="9" s="1"/>
  <c r="W11" i="2"/>
  <c r="BN9" i="9" s="1"/>
  <c r="U11" i="2"/>
  <c r="BM9" i="9" s="1"/>
  <c r="U13" i="2"/>
  <c r="BM11" i="9" s="1"/>
  <c r="X14" i="2"/>
  <c r="P12" i="9"/>
  <c r="W14" i="2"/>
  <c r="BN12" i="9" s="1"/>
  <c r="Q14" i="2"/>
  <c r="X12" i="9" s="1"/>
  <c r="AL37" i="1"/>
  <c r="B13" i="11" s="1"/>
  <c r="C13" i="11" s="1"/>
  <c r="J38" i="1"/>
  <c r="X7" i="12"/>
  <c r="BC11" i="1"/>
  <c r="BL11" i="1" s="1"/>
  <c r="BN11" i="1" s="1"/>
  <c r="BB37" i="1"/>
  <c r="BB38" i="1" s="1"/>
  <c r="BO13" i="9"/>
  <c r="Y8" i="2"/>
  <c r="BP6" i="9" s="1"/>
  <c r="BO6" i="9"/>
  <c r="Z8" i="2"/>
  <c r="BQ6" i="9" s="1"/>
  <c r="E39" i="6"/>
  <c r="C39" i="6"/>
  <c r="AH34" i="9" s="1"/>
  <c r="AJ37" i="9"/>
  <c r="G39" i="6"/>
  <c r="AJ33" i="9" l="1"/>
  <c r="J39" i="6"/>
  <c r="Z28" i="2"/>
  <c r="BQ26" i="9" s="1"/>
  <c r="Y28" i="2"/>
  <c r="BP26" i="9" s="1"/>
  <c r="BO26" i="9"/>
  <c r="Z19" i="2"/>
  <c r="BQ17" i="9" s="1"/>
  <c r="BO31" i="9"/>
  <c r="BN36" i="1"/>
  <c r="BP36" i="1"/>
  <c r="BQ31" i="1"/>
  <c r="BS31" i="1" s="1"/>
  <c r="BN31" i="1"/>
  <c r="BQ36" i="1"/>
  <c r="BR36" i="1" s="1"/>
  <c r="BN30" i="1"/>
  <c r="BP8" i="1"/>
  <c r="BN8" i="1"/>
  <c r="BQ30" i="1"/>
  <c r="BR30" i="1" s="1"/>
  <c r="BQ6" i="1"/>
  <c r="BR6" i="1" s="1"/>
  <c r="BP6" i="1"/>
  <c r="BQ18" i="1"/>
  <c r="BS18" i="1" s="1"/>
  <c r="BP18" i="1"/>
  <c r="BP30" i="1"/>
  <c r="BN18" i="1"/>
  <c r="Z10" i="2"/>
  <c r="BQ8" i="9" s="1"/>
  <c r="BN14" i="1"/>
  <c r="BQ15" i="1"/>
  <c r="BR15" i="1" s="1"/>
  <c r="Z24" i="2"/>
  <c r="BQ22" i="9" s="1"/>
  <c r="Y24" i="2"/>
  <c r="BP22" i="9" s="1"/>
  <c r="BO22" i="9"/>
  <c r="BQ14" i="1"/>
  <c r="BS14" i="1" s="1"/>
  <c r="BO17" i="9"/>
  <c r="Y13" i="2"/>
  <c r="BP11" i="9" s="1"/>
  <c r="Z18" i="2"/>
  <c r="BQ16" i="9" s="1"/>
  <c r="BN15" i="1"/>
  <c r="Y33" i="2"/>
  <c r="BP31" i="9" s="1"/>
  <c r="BO8" i="9"/>
  <c r="BR16" i="1"/>
  <c r="BS12" i="1"/>
  <c r="BN12" i="1"/>
  <c r="BP12" i="1"/>
  <c r="BN9" i="1"/>
  <c r="BN16" i="1"/>
  <c r="BP34" i="1"/>
  <c r="BP16" i="1"/>
  <c r="BQ34" i="1"/>
  <c r="BS34" i="1" s="1"/>
  <c r="BN34" i="1"/>
  <c r="BN33" i="1"/>
  <c r="BQ33" i="1"/>
  <c r="BS33" i="1" s="1"/>
  <c r="BP33" i="1"/>
  <c r="BP32" i="1"/>
  <c r="BN32" i="1"/>
  <c r="BN40" i="1"/>
  <c r="BP40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P9" i="1"/>
  <c r="BQ10" i="1"/>
  <c r="BR10" i="1" s="1"/>
  <c r="BR9" i="1"/>
  <c r="BN7" i="1"/>
  <c r="BN10" i="1"/>
  <c r="BN13" i="1"/>
  <c r="BP28" i="1"/>
  <c r="BN28" i="1"/>
  <c r="BQ28" i="1"/>
  <c r="BR28" i="1" s="1"/>
  <c r="BR27" i="1"/>
  <c r="BN29" i="1"/>
  <c r="BQ24" i="1"/>
  <c r="BN24" i="1"/>
  <c r="BP26" i="1"/>
  <c r="Z23" i="2"/>
  <c r="BQ21" i="9" s="1"/>
  <c r="BO21" i="9"/>
  <c r="BR8" i="1"/>
  <c r="BP7" i="1"/>
  <c r="BQ7" i="1"/>
  <c r="BS7" i="1" s="1"/>
  <c r="BP23" i="1"/>
  <c r="BN23" i="1"/>
  <c r="AJ34" i="9"/>
  <c r="Z20" i="2"/>
  <c r="BQ18" i="9" s="1"/>
  <c r="Y20" i="2"/>
  <c r="BP18" i="9" s="1"/>
  <c r="BO18" i="9"/>
  <c r="BS26" i="1"/>
  <c r="BR26" i="1"/>
  <c r="Y12" i="2"/>
  <c r="BP10" i="9" s="1"/>
  <c r="BO10" i="9"/>
  <c r="Z12" i="2"/>
  <c r="BQ10" i="9" s="1"/>
  <c r="BQ13" i="1"/>
  <c r="BR13" i="1" s="1"/>
  <c r="BN26" i="1"/>
  <c r="BP17" i="1"/>
  <c r="BQ17" i="1"/>
  <c r="BR17" i="1" s="1"/>
  <c r="BN20" i="1"/>
  <c r="BQ20" i="1"/>
  <c r="BP20" i="1"/>
  <c r="BQ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Q22" i="1"/>
  <c r="BN22" i="1"/>
  <c r="BP22" i="1"/>
  <c r="BQ21" i="1"/>
  <c r="BN21" i="1"/>
  <c r="BP21" i="1"/>
  <c r="BN19" i="1"/>
  <c r="BP19" i="1"/>
  <c r="BQ19" i="1"/>
  <c r="BQ35" i="1"/>
  <c r="BN35" i="1"/>
  <c r="BP35" i="1"/>
  <c r="BL37" i="1"/>
  <c r="BP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R23" i="1"/>
  <c r="BS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L38" i="1"/>
  <c r="BP11" i="1"/>
  <c r="BC37" i="1"/>
  <c r="F13" i="11" s="1"/>
  <c r="G13" i="11" s="1"/>
  <c r="BQ11" i="1"/>
  <c r="BR32" i="1"/>
  <c r="BS32" i="1"/>
  <c r="BR31" i="1" l="1"/>
  <c r="BS6" i="1"/>
  <c r="BS30" i="1"/>
  <c r="BS36" i="1"/>
  <c r="BR18" i="1"/>
  <c r="BR14" i="1"/>
  <c r="BS15" i="1"/>
  <c r="BR34" i="1"/>
  <c r="BR33" i="1"/>
  <c r="BS13" i="1"/>
  <c r="BS10" i="1"/>
  <c r="BS28" i="1"/>
  <c r="BR24" i="1"/>
  <c r="BS24" i="1"/>
  <c r="BR7" i="1"/>
  <c r="BS17" i="1"/>
  <c r="BQ37" i="1"/>
  <c r="BR37" i="1" s="1"/>
  <c r="BR29" i="1"/>
  <c r="BS29" i="1"/>
  <c r="BS20" i="1"/>
  <c r="BR20" i="1"/>
  <c r="BN37" i="1"/>
  <c r="BL38" i="1"/>
  <c r="BN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S35" i="1"/>
  <c r="BR35" i="1"/>
  <c r="BR19" i="1"/>
  <c r="BS19" i="1"/>
  <c r="BS21" i="1"/>
  <c r="BR21" i="1"/>
  <c r="BS22" i="1"/>
  <c r="BR22" i="1"/>
  <c r="P34" i="9"/>
  <c r="L13" i="11"/>
  <c r="J13" i="11"/>
  <c r="BS11" i="1"/>
  <c r="BR11" i="1"/>
  <c r="M13" i="11"/>
  <c r="K13" i="11"/>
  <c r="BS37" i="1" l="1"/>
  <c r="BQ38" i="1"/>
  <c r="BS38" i="1" s="1"/>
  <c r="BP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R38" i="1" l="1"/>
</calcChain>
</file>

<file path=xl/sharedStrings.xml><?xml version="1.0" encoding="utf-8"?>
<sst xmlns="http://schemas.openxmlformats.org/spreadsheetml/2006/main" count="882" uniqueCount="410">
  <si>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</si>
  <si>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</si>
  <si>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</si>
  <si>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</si>
  <si>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</si>
  <si>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</si>
  <si>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</si>
  <si>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</si>
  <si>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</si>
  <si>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</si>
  <si>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</si>
  <si>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</si>
  <si>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</si>
  <si>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</si>
  <si>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</si>
  <si>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</si>
  <si>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</si>
  <si>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</si>
  <si>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</si>
  <si>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</si>
  <si>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</si>
  <si>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</si>
  <si>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</si>
  <si>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</si>
  <si>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</si>
  <si>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</si>
  <si>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</si>
  <si>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</si>
  <si>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</si>
  <si>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</si>
  <si>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</si>
  <si>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</si>
  <si>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</si>
  <si>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</si>
  <si>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</si>
  <si>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</si>
  <si>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</si>
  <si>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</si>
  <si>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</si>
  <si>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</si>
  <si>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</si>
  <si>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</si>
  <si>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</si>
  <si>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</si>
  <si>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</si>
  <si>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</si>
  <si>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January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</si>
  <si>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</si>
  <si>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</si>
  <si>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</si>
  <si>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</si>
  <si>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</si>
  <si>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</si>
  <si>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</si>
  <si>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</si>
  <si>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</si>
  <si>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</si>
  <si>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</si>
  <si>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</si>
  <si>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</si>
  <si>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</si>
  <si>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</si>
  <si>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</si>
  <si>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</si>
  <si>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</si>
  <si>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</si>
  <si>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</si>
  <si>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</si>
  <si>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</si>
  <si>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</si>
  <si>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</si>
  <si>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</si>
  <si>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</si>
  <si>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</si>
  <si>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</si>
  <si>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</si>
  <si>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</si>
  <si>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</si>
  <si>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</si>
  <si>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</si>
  <si>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</si>
  <si>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</si>
  <si>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</si>
  <si>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</si>
  <si>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</si>
  <si>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</si>
  <si>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</si>
  <si>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</si>
  <si>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</si>
  <si>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Cooling towers</t>
  </si>
  <si>
    <t>Chiller Pumps</t>
  </si>
  <si>
    <t>Total Plant Room Consp</t>
  </si>
  <si>
    <t>LG Emergency (N24)</t>
  </si>
  <si>
    <t>Mall Ceiling light</t>
  </si>
  <si>
    <t>New chiller for Second floor</t>
  </si>
  <si>
    <t>LG Bakery light ( Old lockers )</t>
  </si>
  <si>
    <t>MCCR1</t>
  </si>
  <si>
    <t>Children Swimming pool</t>
  </si>
  <si>
    <t>DPH1</t>
  </si>
  <si>
    <t>Main G2</t>
  </si>
  <si>
    <t>Total Consp From First Arabian</t>
  </si>
  <si>
    <t>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</si>
  <si>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</si>
  <si>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</si>
  <si>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</si>
  <si>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</si>
  <si>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</si>
  <si>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</si>
  <si>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</si>
  <si>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</si>
  <si>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</si>
  <si>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</si>
  <si>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</si>
  <si>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AVER. Bud</t>
  </si>
  <si>
    <t>Total RFC</t>
  </si>
  <si>
    <t>RFC MTD</t>
  </si>
  <si>
    <t xml:space="preserve">         </t>
  </si>
  <si>
    <t>AVER RFC</t>
  </si>
  <si>
    <t>Tot. Act. 13</t>
  </si>
  <si>
    <t>Ave. Act. 13</t>
  </si>
  <si>
    <t>Accounting Readings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</si>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</sst>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05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4" fillId="0" borderId="55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1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1" fontId="4" fillId="2" borderId="37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3" fontId="24" fillId="0" borderId="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6" fillId="2" borderId="52" xfId="0" applyNumberFormat="1" applyFont="1" applyFill="1" applyBorder="1" applyAlignment="1">
      <alignment horizontal="left" vertical="center"/>
    </xf>
    <xf numFmtId="1" fontId="4" fillId="2" borderId="13" xfId="0" applyNumberFormat="1" applyFont="1" applyFill="1" applyBorder="1" applyAlignment="1">
      <alignment horizontal="center" vertical="center"/>
    </xf>
    <xf numFmtId="3" fontId="26" fillId="5" borderId="5" xfId="0" applyNumberFormat="1" applyFont="1" applyFill="1" applyBorder="1" applyAlignment="1">
      <alignment horizontal="center" vertical="center"/>
    </xf>
    <xf numFmtId="3" fontId="6" fillId="5" borderId="96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38" fillId="2" borderId="3" xfId="0" applyFont="1" applyFill="1" applyBorder="1" applyAlignment="1">
      <alignment horizontal="left" vertical="center"/>
    </xf>
    <xf numFmtId="0" fontId="4" fillId="2" borderId="50" xfId="0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left" vertical="center"/>
    </xf>
    <xf numFmtId="3" fontId="4" fillId="2" borderId="37" xfId="0" applyNumberFormat="1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left" vertical="center"/>
    </xf>
    <xf numFmtId="3" fontId="26" fillId="2" borderId="5" xfId="0" applyNumberFormat="1" applyFont="1" applyFill="1" applyBorder="1" applyAlignment="1">
      <alignment horizontal="center" vertical="center"/>
    </xf>
    <xf numFmtId="3" fontId="4" fillId="12" borderId="5" xfId="0" applyNumberFormat="1" applyFont="1" applyFill="1" applyBorder="1" applyAlignment="1">
      <alignment horizontal="center" vertical="center"/>
    </xf>
    <xf numFmtId="3" fontId="4" fillId="7" borderId="103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37" fillId="2" borderId="10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3" fontId="4" fillId="2" borderId="106" xfId="0" applyNumberFormat="1" applyFont="1" applyFill="1" applyBorder="1" applyAlignment="1">
      <alignment horizontal="center" vertical="center"/>
    </xf>
    <xf numFmtId="3" fontId="37" fillId="2" borderId="80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left" vertical="justify" wrapText="1"/>
    </xf>
    <xf numFmtId="0" fontId="4" fillId="2" borderId="49" xfId="0" applyFont="1" applyFill="1" applyBorder="1" applyAlignment="1">
      <alignment horizontal="center" vertical="center"/>
    </xf>
    <xf numFmtId="1" fontId="37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1" borderId="51" xfId="0" applyNumberFormat="1" applyFont="1" applyFill="1" applyBorder="1" applyAlignment="1">
      <alignment vertical="center"/>
    </xf>
    <xf numFmtId="1" fontId="4" fillId="13" borderId="103" xfId="0" applyNumberFormat="1" applyFont="1" applyFill="1" applyBorder="1" applyAlignment="1">
      <alignment vertical="center" wrapText="1"/>
    </xf>
    <xf numFmtId="1" fontId="4" fillId="13" borderId="105" xfId="0" applyNumberFormat="1" applyFont="1" applyFill="1" applyBorder="1" applyAlignment="1">
      <alignment vertical="center" wrapText="1"/>
    </xf>
    <xf numFmtId="1" fontId="36" fillId="11" borderId="103" xfId="0" applyNumberFormat="1" applyFont="1" applyFill="1" applyBorder="1"/>
    <xf numFmtId="1" fontId="36" fillId="11" borderId="107" xfId="0" applyNumberFormat="1" applyFont="1" applyFill="1" applyBorder="1"/>
    <xf numFmtId="1" fontId="36" fillId="11" borderId="107" xfId="0" applyNumberFormat="1" applyFont="1" applyFill="1" applyBorder="1" applyAlignment="1">
      <alignment horizontal="left" vertical="center"/>
    </xf>
    <xf numFmtId="1" fontId="36" fillId="11" borderId="105" xfId="0" applyNumberFormat="1" applyFont="1" applyFill="1" applyBorder="1"/>
    <xf numFmtId="1" fontId="4" fillId="13" borderId="107" xfId="0" applyNumberFormat="1" applyFont="1" applyFill="1" applyBorder="1" applyAlignment="1">
      <alignment vertical="center" wrapText="1"/>
    </xf>
    <xf numFmtId="1" fontId="36" fillId="13" borderId="107" xfId="0" applyNumberFormat="1" applyFont="1" applyFill="1" applyBorder="1" applyAlignment="1">
      <alignment horizontal="left" vertical="center"/>
    </xf>
    <xf numFmtId="1" fontId="4" fillId="13" borderId="107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10" borderId="17" xfId="0" applyNumberFormat="1" applyFont="1" applyFill="1" applyBorder="1" applyAlignment="1">
      <alignment horizontal="center" vertical="center" wrapText="1"/>
    </xf>
    <xf numFmtId="1" fontId="4" fillId="10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10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1" borderId="49" xfId="0" applyFont="1" applyFill="1" applyBorder="1" applyAlignment="1">
      <alignment horizontal="center" vertical="center"/>
    </xf>
    <xf numFmtId="0" fontId="36" fillId="11" borderId="49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1" fontId="36" fillId="14" borderId="107" xfId="0" applyNumberFormat="1" applyFont="1" applyFill="1" applyBorder="1" applyAlignment="1">
      <alignment vertical="center"/>
    </xf>
    <xf numFmtId="1" fontId="36" fillId="14" borderId="105" xfId="0" applyNumberFormat="1" applyFont="1" applyFill="1" applyBorder="1" applyAlignment="1">
      <alignment vertical="center"/>
    </xf>
    <xf numFmtId="1" fontId="36" fillId="14" borderId="103" xfId="0" applyNumberFormat="1" applyFont="1" applyFill="1" applyBorder="1" applyAlignment="1">
      <alignment horizontal="left" vertical="center"/>
    </xf>
    <xf numFmtId="3" fontId="19" fillId="2" borderId="105" xfId="0" applyNumberFormat="1" applyFont="1" applyFill="1" applyBorder="1" applyAlignment="1">
      <alignment horizontal="center" vertical="center"/>
    </xf>
    <xf numFmtId="3" fontId="19" fillId="12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19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2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3" fontId="6" fillId="5" borderId="5" xfId="0" applyNumberFormat="1" applyFont="1" applyFill="1" applyBorder="1" applyAlignment="1">
      <alignment horizontal="center" vertical="center"/>
    </xf>
    <xf numFmtId="3" fontId="4" fillId="5" borderId="5" xfId="0" applyNumberFormat="1" applyFont="1" applyFill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4" fillId="2" borderId="103" xfId="0" applyNumberFormat="1" applyFont="1" applyFill="1" applyBorder="1" applyAlignment="1">
      <alignment horizontal="center" vertical="center"/>
    </xf>
    <xf numFmtId="3" fontId="4" fillId="2" borderId="107" xfId="0" applyNumberFormat="1" applyFont="1" applyFill="1" applyBorder="1" applyAlignment="1">
      <alignment horizontal="center" vertical="center"/>
    </xf>
    <xf numFmtId="3" fontId="4" fillId="2" borderId="33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3" fontId="4" fillId="2" borderId="100" xfId="0" applyNumberFormat="1" applyFont="1" applyFill="1" applyBorder="1" applyAlignment="1">
      <alignment horizontal="center" vertical="center"/>
    </xf>
    <xf numFmtId="3" fontId="5" fillId="0" borderId="100" xfId="0" applyNumberFormat="1" applyFont="1" applyBorder="1" applyAlignment="1">
      <alignment horizontal="center"/>
    </xf>
    <xf numFmtId="3" fontId="3" fillId="2" borderId="37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80" xfId="0" applyNumberFormat="1" applyFont="1" applyFill="1" applyBorder="1" applyAlignment="1">
      <alignment horizontal="center" vertical="center"/>
    </xf>
    <xf numFmtId="3" fontId="5" fillId="0" borderId="106" xfId="0" applyNumberFormat="1" applyFont="1" applyBorder="1" applyAlignment="1">
      <alignment horizontal="center"/>
    </xf>
    <xf numFmtId="3" fontId="4" fillId="2" borderId="5" xfId="0" applyNumberFormat="1" applyFont="1" applyFill="1" applyBorder="1" applyAlignment="1">
      <alignment horizontal="center" vertical="center"/>
    </xf>
    <xf numFmtId="3" fontId="4" fillId="9" borderId="5" xfId="0" applyNumberFormat="1" applyFont="1" applyFill="1" applyBorder="1" applyAlignment="1">
      <alignment horizontal="center" vertical="center"/>
    </xf>
    <xf numFmtId="3" fontId="4" fillId="9" borderId="6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2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19" fillId="12" borderId="1" xfId="0" applyNumberFormat="1" applyFont="1" applyFill="1" applyBorder="1" applyAlignment="1">
      <alignment horizontal="center" vertical="center"/>
    </xf>
    <xf numFmtId="3" fontId="6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9" fillId="0" borderId="110" xfId="0" applyFont="1" applyBorder="1" applyAlignment="1">
      <alignment vertical="center"/>
    </xf>
    <xf numFmtId="0" fontId="70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9" fillId="0" borderId="4" xfId="0" applyFont="1" applyBorder="1" applyAlignment="1">
      <alignment vertical="center"/>
    </xf>
    <xf numFmtId="0" fontId="70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175" fontId="69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9" fillId="0" borderId="35" xfId="0" applyNumberFormat="1" applyFont="1" applyBorder="1" applyAlignment="1">
      <alignment horizontal="center"/>
    </xf>
    <xf numFmtId="175" fontId="69" fillId="17" borderId="1" xfId="0" applyNumberFormat="1" applyFont="1" applyFill="1" applyBorder="1" applyAlignment="1">
      <alignment horizontal="center" vertical="center"/>
    </xf>
    <xf numFmtId="1" fontId="71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36" fillId="13" borderId="107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2" fontId="0" fillId="0" borderId="2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>
      <alignment horizontal="center" vertical="center" wrapText="1"/>
    </xf>
    <xf numFmtId="1" fontId="5" fillId="10" borderId="9" xfId="0" applyNumberFormat="1" applyFont="1" applyFill="1" applyBorder="1" applyAlignment="1">
      <alignment horizontal="center" vertical="center" wrapText="1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>
      <alignment horizontal="center" vertical="center"/>
    </xf>
    <xf numFmtId="0" fontId="64" fillId="11" borderId="49" xfId="0" applyFont="1" applyFill="1" applyBorder="1" applyAlignment="1">
      <alignment horizontal="center" vertical="center"/>
    </xf>
    <xf numFmtId="0" fontId="64" fillId="11" borderId="31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H2" sqref="H2:H32"/>
    </sheetView>
  </sheetViews>
  <sheetFormatPr defaultColWidth="11.5703125" defaultRowHeight="12.75"/>
  <cols>
    <col min="1" max="1" width="24" style="794" bestFit="1" customWidth="1"/>
    <col min="2" max="3" width="11.5703125" style="795"/>
    <col min="4" max="4" width="13.42578125" style="795" customWidth="1"/>
    <col min="5" max="5" width="20.7109375" style="97" customWidth="1"/>
    <col min="6" max="6" width="20.140625" style="795" customWidth="1"/>
    <col min="7" max="7" width="18.28515625" style="97" customWidth="1"/>
    <col min="8" max="8" width="17.42578125" style="795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97" customFormat="1" ht="30">
      <c r="A1" s="813" t="s">
        <v>0</v>
      </c>
      <c r="B1" s="814" t="s">
        <v>1</v>
      </c>
      <c r="C1" s="814" t="s">
        <v>2</v>
      </c>
      <c r="D1" s="814" t="s">
        <v>3</v>
      </c>
      <c r="E1" s="809" t="s">
        <v>4</v>
      </c>
      <c r="F1" s="810" t="s">
        <v>5</v>
      </c>
      <c r="G1" s="809" t="s">
        <v>6</v>
      </c>
      <c r="H1" s="810" t="s">
        <v>7</v>
      </c>
      <c r="I1" s="809" t="s">
        <v>8</v>
      </c>
      <c r="J1" s="809" t="s">
        <v>9</v>
      </c>
      <c r="K1" s="809" t="s">
        <v>10</v>
      </c>
    </row>
    <row r="2" spans="1:12">
      <c r="A2" s="815" t="s">
        <v>11</v>
      </c>
      <c r="B2" s="816">
        <v>1</v>
      </c>
      <c r="C2" s="837">
        <v>1</v>
      </c>
      <c r="D2" s="817">
        <v>2021</v>
      </c>
      <c r="E2" s="865">
        <v>19809.189999999999</v>
      </c>
      <c r="F2" s="811">
        <v>1.5</v>
      </c>
      <c r="G2" s="866">
        <f>1102.82+263.03</f>
        <v>1365.85</v>
      </c>
      <c r="H2" s="811">
        <v>3.89</v>
      </c>
      <c r="I2" s="866">
        <v>256.64999999999998</v>
      </c>
      <c r="J2" s="811">
        <v>10</v>
      </c>
      <c r="K2" s="812">
        <v>41</v>
      </c>
    </row>
    <row r="3" spans="1:12">
      <c r="A3" s="818" t="s">
        <v>11</v>
      </c>
      <c r="B3" s="795">
        <f>B2+1</f>
        <v>2</v>
      </c>
      <c r="C3" s="837">
        <v>1</v>
      </c>
      <c r="D3" s="817">
        <v>2021</v>
      </c>
      <c r="E3" s="865">
        <v>19809.189999999999</v>
      </c>
      <c r="F3" s="811">
        <f>F2</f>
        <v>1.5</v>
      </c>
      <c r="G3" s="866">
        <f t="shared" ref="G3:G32" si="0">1102.82+263.03</f>
        <v>1365.85</v>
      </c>
      <c r="H3" s="811">
        <v>3.89</v>
      </c>
      <c r="I3" s="866">
        <v>256.64999999999998</v>
      </c>
      <c r="J3" s="811">
        <v>10</v>
      </c>
      <c r="K3" s="812">
        <v>41</v>
      </c>
    </row>
    <row r="4" spans="1:12">
      <c r="A4" s="818" t="s">
        <v>11</v>
      </c>
      <c r="B4" s="795">
        <f t="shared" ref="B4:B32" si="1">B3+1</f>
        <v>3</v>
      </c>
      <c r="C4" s="837">
        <v>1</v>
      </c>
      <c r="D4" s="817">
        <v>2021</v>
      </c>
      <c r="E4" s="865">
        <v>19809.189999999999</v>
      </c>
      <c r="F4" s="811">
        <f t="shared" ref="F4:F32" si="2">F3</f>
        <v>1.5</v>
      </c>
      <c r="G4" s="866">
        <f t="shared" si="0"/>
        <v>1365.85</v>
      </c>
      <c r="H4" s="811">
        <v>3.89</v>
      </c>
      <c r="I4" s="866">
        <v>256.64999999999998</v>
      </c>
      <c r="J4" s="811">
        <v>10</v>
      </c>
      <c r="K4" s="812">
        <v>41</v>
      </c>
    </row>
    <row r="5" spans="1:12">
      <c r="A5" s="818" t="s">
        <v>11</v>
      </c>
      <c r="B5" s="795">
        <f t="shared" si="1"/>
        <v>4</v>
      </c>
      <c r="C5" s="837">
        <v>1</v>
      </c>
      <c r="D5" s="817">
        <v>2021</v>
      </c>
      <c r="E5" s="865">
        <v>19809.189999999999</v>
      </c>
      <c r="F5" s="811">
        <f t="shared" si="2"/>
        <v>1.5</v>
      </c>
      <c r="G5" s="866">
        <f t="shared" si="0"/>
        <v>1365.85</v>
      </c>
      <c r="H5" s="811">
        <v>3.89</v>
      </c>
      <c r="I5" s="866">
        <v>256.64999999999998</v>
      </c>
      <c r="J5" s="811">
        <v>10</v>
      </c>
      <c r="K5" s="812">
        <v>41</v>
      </c>
    </row>
    <row r="6" spans="1:12">
      <c r="A6" s="818" t="s">
        <v>11</v>
      </c>
      <c r="B6" s="795">
        <f t="shared" si="1"/>
        <v>5</v>
      </c>
      <c r="C6" s="837">
        <v>1</v>
      </c>
      <c r="D6" s="817">
        <v>2021</v>
      </c>
      <c r="E6" s="865">
        <v>19809.189999999999</v>
      </c>
      <c r="F6" s="811">
        <f t="shared" si="2"/>
        <v>1.5</v>
      </c>
      <c r="G6" s="866">
        <f t="shared" si="0"/>
        <v>1365.85</v>
      </c>
      <c r="H6" s="811">
        <v>3.89</v>
      </c>
      <c r="I6" s="866">
        <v>256.64999999999998</v>
      </c>
      <c r="J6" s="811">
        <v>10</v>
      </c>
      <c r="K6" s="812">
        <v>41</v>
      </c>
    </row>
    <row r="7" spans="1:12">
      <c r="A7" s="818" t="s">
        <v>11</v>
      </c>
      <c r="B7" s="795">
        <f t="shared" si="1"/>
        <v>6</v>
      </c>
      <c r="C7" s="837">
        <v>1</v>
      </c>
      <c r="D7" s="817">
        <v>2021</v>
      </c>
      <c r="E7" s="865">
        <v>19809.189999999999</v>
      </c>
      <c r="F7" s="811">
        <f t="shared" si="2"/>
        <v>1.5</v>
      </c>
      <c r="G7" s="866">
        <f t="shared" si="0"/>
        <v>1365.85</v>
      </c>
      <c r="H7" s="811">
        <v>3.89</v>
      </c>
      <c r="I7" s="866">
        <v>256.64999999999998</v>
      </c>
      <c r="J7" s="811">
        <v>10</v>
      </c>
      <c r="K7" s="812">
        <v>41</v>
      </c>
    </row>
    <row r="8" spans="1:12">
      <c r="A8" s="818" t="s">
        <v>11</v>
      </c>
      <c r="B8" s="795">
        <f t="shared" si="1"/>
        <v>7</v>
      </c>
      <c r="C8" s="837">
        <v>1</v>
      </c>
      <c r="D8" s="817">
        <v>2021</v>
      </c>
      <c r="E8" s="865">
        <v>19809.189999999999</v>
      </c>
      <c r="F8" s="811">
        <f t="shared" si="2"/>
        <v>1.5</v>
      </c>
      <c r="G8" s="866">
        <f t="shared" si="0"/>
        <v>1365.85</v>
      </c>
      <c r="H8" s="811">
        <v>3.89</v>
      </c>
      <c r="I8" s="866">
        <v>256.64999999999998</v>
      </c>
      <c r="J8" s="811">
        <v>10</v>
      </c>
      <c r="K8" s="812">
        <v>41</v>
      </c>
    </row>
    <row r="9" spans="1:12">
      <c r="A9" s="818" t="s">
        <v>11</v>
      </c>
      <c r="B9" s="795">
        <f t="shared" si="1"/>
        <v>8</v>
      </c>
      <c r="C9" s="837">
        <v>1</v>
      </c>
      <c r="D9" s="817">
        <v>2021</v>
      </c>
      <c r="E9" s="865">
        <v>19809.189999999999</v>
      </c>
      <c r="F9" s="811">
        <f t="shared" si="2"/>
        <v>1.5</v>
      </c>
      <c r="G9" s="866">
        <f t="shared" si="0"/>
        <v>1365.85</v>
      </c>
      <c r="H9" s="811">
        <v>3.89</v>
      </c>
      <c r="I9" s="866">
        <v>256.64999999999998</v>
      </c>
      <c r="J9" s="811">
        <v>10</v>
      </c>
      <c r="K9" s="812">
        <v>41</v>
      </c>
    </row>
    <row r="10" spans="1:12">
      <c r="A10" s="818" t="s">
        <v>11</v>
      </c>
      <c r="B10" s="795">
        <f t="shared" si="1"/>
        <v>9</v>
      </c>
      <c r="C10" s="837">
        <v>1</v>
      </c>
      <c r="D10" s="817">
        <v>2021</v>
      </c>
      <c r="E10" s="865">
        <v>19809.189999999999</v>
      </c>
      <c r="F10" s="811">
        <f t="shared" si="2"/>
        <v>1.5</v>
      </c>
      <c r="G10" s="866">
        <f t="shared" si="0"/>
        <v>1365.85</v>
      </c>
      <c r="H10" s="811">
        <v>3.89</v>
      </c>
      <c r="I10" s="866">
        <v>256.64999999999998</v>
      </c>
      <c r="J10" s="811">
        <v>10</v>
      </c>
      <c r="K10" s="812">
        <v>41</v>
      </c>
    </row>
    <row r="11" spans="1:12">
      <c r="A11" s="818" t="s">
        <v>11</v>
      </c>
      <c r="B11" s="795">
        <f t="shared" si="1"/>
        <v>10</v>
      </c>
      <c r="C11" s="837">
        <v>1</v>
      </c>
      <c r="D11" s="817">
        <v>2021</v>
      </c>
      <c r="E11" s="865">
        <v>19809.189999999999</v>
      </c>
      <c r="F11" s="811">
        <f t="shared" si="2"/>
        <v>1.5</v>
      </c>
      <c r="G11" s="866">
        <f t="shared" si="0"/>
        <v>1365.85</v>
      </c>
      <c r="H11" s="811">
        <v>3.89</v>
      </c>
      <c r="I11" s="866">
        <v>256.64999999999998</v>
      </c>
      <c r="J11" s="811">
        <v>10</v>
      </c>
      <c r="K11" s="812">
        <v>41</v>
      </c>
    </row>
    <row r="12" spans="1:12">
      <c r="A12" s="818" t="s">
        <v>11</v>
      </c>
      <c r="B12" s="795">
        <f t="shared" si="1"/>
        <v>11</v>
      </c>
      <c r="C12" s="837">
        <v>1</v>
      </c>
      <c r="D12" s="817">
        <v>2021</v>
      </c>
      <c r="E12" s="865">
        <v>19809.189999999999</v>
      </c>
      <c r="F12" s="811">
        <f t="shared" si="2"/>
        <v>1.5</v>
      </c>
      <c r="G12" s="866">
        <f t="shared" si="0"/>
        <v>1365.85</v>
      </c>
      <c r="H12" s="811">
        <v>3.89</v>
      </c>
      <c r="I12" s="866">
        <v>256.64999999999998</v>
      </c>
      <c r="J12" s="811">
        <v>10</v>
      </c>
      <c r="K12" s="812">
        <v>41</v>
      </c>
      <c r="L12" s="798" t="s">
        <v>12</v>
      </c>
    </row>
    <row r="13" spans="1:12">
      <c r="A13" s="818" t="s">
        <v>11</v>
      </c>
      <c r="B13" s="795">
        <f t="shared" si="1"/>
        <v>12</v>
      </c>
      <c r="C13" s="837">
        <v>1</v>
      </c>
      <c r="D13" s="817">
        <v>2021</v>
      </c>
      <c r="E13" s="865">
        <v>19809.189999999999</v>
      </c>
      <c r="F13" s="811">
        <f t="shared" si="2"/>
        <v>1.5</v>
      </c>
      <c r="G13" s="866">
        <f t="shared" si="0"/>
        <v>1365.85</v>
      </c>
      <c r="H13" s="811">
        <v>3.89</v>
      </c>
      <c r="I13" s="866">
        <v>256.64999999999998</v>
      </c>
      <c r="J13" s="811">
        <v>10</v>
      </c>
      <c r="K13" s="812">
        <v>41</v>
      </c>
      <c r="L13" s="798" t="s">
        <v>13</v>
      </c>
    </row>
    <row r="14" spans="1:12">
      <c r="A14" s="818" t="s">
        <v>11</v>
      </c>
      <c r="B14" s="795">
        <f t="shared" si="1"/>
        <v>13</v>
      </c>
      <c r="C14" s="837">
        <v>1</v>
      </c>
      <c r="D14" s="817">
        <v>2021</v>
      </c>
      <c r="E14" s="865">
        <v>19809.189999999999</v>
      </c>
      <c r="F14" s="811">
        <f t="shared" si="2"/>
        <v>1.5</v>
      </c>
      <c r="G14" s="866">
        <f t="shared" si="0"/>
        <v>1365.85</v>
      </c>
      <c r="H14" s="811">
        <v>3.89</v>
      </c>
      <c r="I14" s="866">
        <v>256.64999999999998</v>
      </c>
      <c r="J14" s="811">
        <v>10</v>
      </c>
      <c r="K14" s="812">
        <v>41</v>
      </c>
    </row>
    <row r="15" spans="1:12">
      <c r="A15" s="818" t="s">
        <v>11</v>
      </c>
      <c r="B15" s="795">
        <f t="shared" si="1"/>
        <v>14</v>
      </c>
      <c r="C15" s="837">
        <v>1</v>
      </c>
      <c r="D15" s="817">
        <v>2021</v>
      </c>
      <c r="E15" s="865">
        <v>19809.189999999999</v>
      </c>
      <c r="F15" s="811">
        <f t="shared" si="2"/>
        <v>1.5</v>
      </c>
      <c r="G15" s="866">
        <f t="shared" si="0"/>
        <v>1365.85</v>
      </c>
      <c r="H15" s="811">
        <v>3.89</v>
      </c>
      <c r="I15" s="866">
        <v>256.64999999999998</v>
      </c>
      <c r="J15" s="811">
        <v>10</v>
      </c>
      <c r="K15" s="812">
        <v>41</v>
      </c>
    </row>
    <row r="16" spans="1:12">
      <c r="A16" s="818" t="s">
        <v>11</v>
      </c>
      <c r="B16" s="795">
        <f t="shared" si="1"/>
        <v>15</v>
      </c>
      <c r="C16" s="837">
        <v>1</v>
      </c>
      <c r="D16" s="817">
        <v>2021</v>
      </c>
      <c r="E16" s="865">
        <v>19809.189999999999</v>
      </c>
      <c r="F16" s="811">
        <f t="shared" si="2"/>
        <v>1.5</v>
      </c>
      <c r="G16" s="866">
        <f t="shared" si="0"/>
        <v>1365.85</v>
      </c>
      <c r="H16" s="811">
        <v>3.89</v>
      </c>
      <c r="I16" s="866">
        <v>256.64999999999998</v>
      </c>
      <c r="J16" s="811">
        <v>10</v>
      </c>
      <c r="K16" s="812">
        <v>41</v>
      </c>
    </row>
    <row r="17" spans="1:11">
      <c r="A17" s="818" t="s">
        <v>11</v>
      </c>
      <c r="B17" s="795">
        <f t="shared" si="1"/>
        <v>16</v>
      </c>
      <c r="C17" s="837">
        <v>1</v>
      </c>
      <c r="D17" s="817">
        <v>2021</v>
      </c>
      <c r="E17" s="865">
        <v>19809.189999999999</v>
      </c>
      <c r="F17" s="811">
        <f t="shared" si="2"/>
        <v>1.5</v>
      </c>
      <c r="G17" s="866">
        <f t="shared" si="0"/>
        <v>1365.85</v>
      </c>
      <c r="H17" s="811">
        <v>3.89</v>
      </c>
      <c r="I17" s="866">
        <v>256.64999999999998</v>
      </c>
      <c r="J17" s="811">
        <v>10</v>
      </c>
      <c r="K17" s="812">
        <v>41</v>
      </c>
    </row>
    <row r="18" spans="1:11">
      <c r="A18" s="818" t="s">
        <v>11</v>
      </c>
      <c r="B18" s="795">
        <f t="shared" si="1"/>
        <v>17</v>
      </c>
      <c r="C18" s="837">
        <v>1</v>
      </c>
      <c r="D18" s="817">
        <v>2021</v>
      </c>
      <c r="E18" s="865">
        <v>19809.189999999999</v>
      </c>
      <c r="F18" s="811">
        <f t="shared" si="2"/>
        <v>1.5</v>
      </c>
      <c r="G18" s="866">
        <f t="shared" si="0"/>
        <v>1365.85</v>
      </c>
      <c r="H18" s="811">
        <v>3.89</v>
      </c>
      <c r="I18" s="866">
        <v>256.64999999999998</v>
      </c>
      <c r="J18" s="811">
        <v>10</v>
      </c>
      <c r="K18" s="812">
        <v>41</v>
      </c>
    </row>
    <row r="19" spans="1:11">
      <c r="A19" s="818" t="s">
        <v>11</v>
      </c>
      <c r="B19" s="795">
        <f t="shared" si="1"/>
        <v>18</v>
      </c>
      <c r="C19" s="837">
        <v>1</v>
      </c>
      <c r="D19" s="817">
        <v>2021</v>
      </c>
      <c r="E19" s="865">
        <v>19809.189999999999</v>
      </c>
      <c r="F19" s="811">
        <f t="shared" si="2"/>
        <v>1.5</v>
      </c>
      <c r="G19" s="866">
        <f t="shared" si="0"/>
        <v>1365.85</v>
      </c>
      <c r="H19" s="811">
        <v>3.89</v>
      </c>
      <c r="I19" s="866">
        <v>256.64999999999998</v>
      </c>
      <c r="J19" s="811">
        <v>10</v>
      </c>
      <c r="K19" s="812">
        <v>41</v>
      </c>
    </row>
    <row r="20" spans="1:11">
      <c r="A20" s="818" t="s">
        <v>11</v>
      </c>
      <c r="B20" s="795">
        <f t="shared" si="1"/>
        <v>19</v>
      </c>
      <c r="C20" s="837">
        <v>1</v>
      </c>
      <c r="D20" s="817">
        <v>2021</v>
      </c>
      <c r="E20" s="865">
        <v>19809.189999999999</v>
      </c>
      <c r="F20" s="811">
        <f t="shared" si="2"/>
        <v>1.5</v>
      </c>
      <c r="G20" s="866">
        <f t="shared" si="0"/>
        <v>1365.85</v>
      </c>
      <c r="H20" s="811">
        <v>3.89</v>
      </c>
      <c r="I20" s="866">
        <v>256.64999999999998</v>
      </c>
      <c r="J20" s="811">
        <v>10</v>
      </c>
      <c r="K20" s="812">
        <v>41</v>
      </c>
    </row>
    <row r="21" spans="1:11">
      <c r="A21" s="818" t="s">
        <v>11</v>
      </c>
      <c r="B21" s="795">
        <f t="shared" si="1"/>
        <v>20</v>
      </c>
      <c r="C21" s="837">
        <v>1</v>
      </c>
      <c r="D21" s="817">
        <v>2021</v>
      </c>
      <c r="E21" s="865">
        <v>19809.189999999999</v>
      </c>
      <c r="F21" s="811">
        <f t="shared" si="2"/>
        <v>1.5</v>
      </c>
      <c r="G21" s="866">
        <f t="shared" si="0"/>
        <v>1365.85</v>
      </c>
      <c r="H21" s="811">
        <v>3.89</v>
      </c>
      <c r="I21" s="866">
        <v>256.64999999999998</v>
      </c>
      <c r="J21" s="811">
        <v>10</v>
      </c>
      <c r="K21" s="812">
        <v>41</v>
      </c>
    </row>
    <row r="22" spans="1:11">
      <c r="A22" s="818" t="s">
        <v>11</v>
      </c>
      <c r="B22" s="795">
        <f t="shared" si="1"/>
        <v>21</v>
      </c>
      <c r="C22" s="837">
        <v>1</v>
      </c>
      <c r="D22" s="817">
        <v>2021</v>
      </c>
      <c r="E22" s="865">
        <v>19809.189999999999</v>
      </c>
      <c r="F22" s="811">
        <f t="shared" si="2"/>
        <v>1.5</v>
      </c>
      <c r="G22" s="866">
        <f t="shared" si="0"/>
        <v>1365.85</v>
      </c>
      <c r="H22" s="811">
        <v>3.89</v>
      </c>
      <c r="I22" s="866">
        <v>256.64999999999998</v>
      </c>
      <c r="J22" s="811">
        <v>10</v>
      </c>
      <c r="K22" s="812">
        <v>42</v>
      </c>
    </row>
    <row r="23" spans="1:11">
      <c r="A23" s="818" t="s">
        <v>11</v>
      </c>
      <c r="B23" s="795">
        <f t="shared" si="1"/>
        <v>22</v>
      </c>
      <c r="C23" s="837">
        <v>1</v>
      </c>
      <c r="D23" s="817">
        <v>2021</v>
      </c>
      <c r="E23" s="865">
        <v>19809.189999999999</v>
      </c>
      <c r="F23" s="811">
        <f t="shared" si="2"/>
        <v>1.5</v>
      </c>
      <c r="G23" s="866">
        <f t="shared" si="0"/>
        <v>1365.85</v>
      </c>
      <c r="H23" s="811">
        <v>3.89</v>
      </c>
      <c r="I23" s="866">
        <v>256.64999999999998</v>
      </c>
      <c r="J23" s="811">
        <v>10</v>
      </c>
      <c r="K23" s="812">
        <v>42</v>
      </c>
    </row>
    <row r="24" spans="1:11">
      <c r="A24" s="818" t="s">
        <v>11</v>
      </c>
      <c r="B24" s="795">
        <f t="shared" si="1"/>
        <v>23</v>
      </c>
      <c r="C24" s="837">
        <v>1</v>
      </c>
      <c r="D24" s="817">
        <v>2021</v>
      </c>
      <c r="E24" s="865">
        <v>19809.189999999999</v>
      </c>
      <c r="F24" s="811">
        <f t="shared" si="2"/>
        <v>1.5</v>
      </c>
      <c r="G24" s="866">
        <f t="shared" si="0"/>
        <v>1365.85</v>
      </c>
      <c r="H24" s="811">
        <v>3.89</v>
      </c>
      <c r="I24" s="866">
        <v>256.64999999999998</v>
      </c>
      <c r="J24" s="811">
        <v>10</v>
      </c>
      <c r="K24" s="812">
        <v>42</v>
      </c>
    </row>
    <row r="25" spans="1:11">
      <c r="A25" s="818" t="s">
        <v>11</v>
      </c>
      <c r="B25" s="795">
        <f t="shared" si="1"/>
        <v>24</v>
      </c>
      <c r="C25" s="837">
        <v>1</v>
      </c>
      <c r="D25" s="817">
        <v>2021</v>
      </c>
      <c r="E25" s="865">
        <v>19809.189999999999</v>
      </c>
      <c r="F25" s="811">
        <f t="shared" si="2"/>
        <v>1.5</v>
      </c>
      <c r="G25" s="866">
        <f t="shared" si="0"/>
        <v>1365.85</v>
      </c>
      <c r="H25" s="811">
        <v>3.89</v>
      </c>
      <c r="I25" s="866">
        <v>256.64999999999998</v>
      </c>
      <c r="J25" s="811">
        <v>10</v>
      </c>
      <c r="K25" s="812">
        <v>42</v>
      </c>
    </row>
    <row r="26" spans="1:11">
      <c r="A26" s="818" t="s">
        <v>11</v>
      </c>
      <c r="B26" s="795">
        <f>B25+1</f>
        <v>25</v>
      </c>
      <c r="C26" s="837">
        <v>1</v>
      </c>
      <c r="D26" s="817">
        <v>2021</v>
      </c>
      <c r="E26" s="865">
        <v>19809.189999999999</v>
      </c>
      <c r="F26" s="811">
        <f t="shared" si="2"/>
        <v>1.5</v>
      </c>
      <c r="G26" s="866">
        <f t="shared" si="0"/>
        <v>1365.85</v>
      </c>
      <c r="H26" s="811">
        <v>3.89</v>
      </c>
      <c r="I26" s="866">
        <v>256.64999999999998</v>
      </c>
      <c r="J26" s="811">
        <v>10</v>
      </c>
      <c r="K26" s="812">
        <v>42</v>
      </c>
    </row>
    <row r="27" spans="1:11">
      <c r="A27" s="818" t="s">
        <v>11</v>
      </c>
      <c r="B27" s="795">
        <f t="shared" si="1"/>
        <v>26</v>
      </c>
      <c r="C27" s="837">
        <v>1</v>
      </c>
      <c r="D27" s="817">
        <v>2021</v>
      </c>
      <c r="E27" s="865">
        <v>19809.189999999999</v>
      </c>
      <c r="F27" s="811">
        <f t="shared" si="2"/>
        <v>1.5</v>
      </c>
      <c r="G27" s="866">
        <f t="shared" si="0"/>
        <v>1365.85</v>
      </c>
      <c r="H27" s="811">
        <v>3.89</v>
      </c>
      <c r="I27" s="866">
        <v>256.64999999999998</v>
      </c>
      <c r="J27" s="811">
        <v>10</v>
      </c>
      <c r="K27" s="812">
        <v>42</v>
      </c>
    </row>
    <row r="28" spans="1:11">
      <c r="A28" s="818" t="s">
        <v>11</v>
      </c>
      <c r="B28" s="795">
        <f t="shared" si="1"/>
        <v>27</v>
      </c>
      <c r="C28" s="837">
        <v>1</v>
      </c>
      <c r="D28" s="817">
        <v>2021</v>
      </c>
      <c r="E28" s="865">
        <v>19809.189999999999</v>
      </c>
      <c r="F28" s="811">
        <f t="shared" si="2"/>
        <v>1.5</v>
      </c>
      <c r="G28" s="866">
        <f t="shared" si="0"/>
        <v>1365.85</v>
      </c>
      <c r="H28" s="811">
        <v>3.89</v>
      </c>
      <c r="I28" s="866">
        <v>256.64999999999998</v>
      </c>
      <c r="J28" s="811">
        <v>10</v>
      </c>
      <c r="K28" s="812">
        <v>42</v>
      </c>
    </row>
    <row r="29" spans="1:11">
      <c r="A29" s="818" t="s">
        <v>11</v>
      </c>
      <c r="B29" s="795">
        <f t="shared" si="1"/>
        <v>28</v>
      </c>
      <c r="C29" s="837">
        <v>1</v>
      </c>
      <c r="D29" s="817">
        <v>2021</v>
      </c>
      <c r="E29" s="865">
        <v>19809.189999999999</v>
      </c>
      <c r="F29" s="811">
        <f t="shared" si="2"/>
        <v>1.5</v>
      </c>
      <c r="G29" s="866">
        <f t="shared" si="0"/>
        <v>1365.85</v>
      </c>
      <c r="H29" s="811">
        <v>3.89</v>
      </c>
      <c r="I29" s="866">
        <v>256.64999999999998</v>
      </c>
      <c r="J29" s="811">
        <v>10</v>
      </c>
      <c r="K29" s="812">
        <v>42</v>
      </c>
    </row>
    <row r="30" spans="1:11">
      <c r="A30" s="818" t="s">
        <v>11</v>
      </c>
      <c r="B30" s="795">
        <f t="shared" si="1"/>
        <v>29</v>
      </c>
      <c r="C30" s="837">
        <v>1</v>
      </c>
      <c r="D30" s="817">
        <v>2021</v>
      </c>
      <c r="E30" s="865">
        <v>19809.189999999999</v>
      </c>
      <c r="F30" s="811">
        <f t="shared" si="2"/>
        <v>1.5</v>
      </c>
      <c r="G30" s="866">
        <f t="shared" si="0"/>
        <v>1365.85</v>
      </c>
      <c r="H30" s="811">
        <v>3.89</v>
      </c>
      <c r="I30" s="866">
        <v>256.64999999999998</v>
      </c>
      <c r="J30" s="811">
        <v>10</v>
      </c>
      <c r="K30" s="812">
        <v>42</v>
      </c>
    </row>
    <row r="31" spans="1:11">
      <c r="A31" s="818" t="s">
        <v>11</v>
      </c>
      <c r="B31" s="795">
        <f t="shared" si="1"/>
        <v>30</v>
      </c>
      <c r="C31" s="837">
        <v>1</v>
      </c>
      <c r="D31" s="817">
        <v>2021</v>
      </c>
      <c r="E31" s="865">
        <v>19809.189999999999</v>
      </c>
      <c r="F31" s="811">
        <f t="shared" si="2"/>
        <v>1.5</v>
      </c>
      <c r="G31" s="866">
        <f t="shared" si="0"/>
        <v>1365.85</v>
      </c>
      <c r="H31" s="811">
        <v>3.89</v>
      </c>
      <c r="I31" s="866">
        <v>256.64999999999998</v>
      </c>
      <c r="J31" s="811">
        <v>10</v>
      </c>
      <c r="K31" s="812">
        <v>42</v>
      </c>
    </row>
    <row r="32" spans="1:11">
      <c r="A32" s="819" t="s">
        <v>11</v>
      </c>
      <c r="B32" s="820">
        <f t="shared" si="1"/>
        <v>31</v>
      </c>
      <c r="C32" s="837">
        <v>1</v>
      </c>
      <c r="D32" s="817">
        <v>2021</v>
      </c>
      <c r="E32" s="865">
        <v>19809.189999999999</v>
      </c>
      <c r="F32" s="811">
        <f t="shared" si="2"/>
        <v>1.5</v>
      </c>
      <c r="G32" s="866">
        <f t="shared" si="0"/>
        <v>1365.85</v>
      </c>
      <c r="H32" s="811">
        <v>3.89</v>
      </c>
      <c r="I32" s="866">
        <v>256.64999999999998</v>
      </c>
      <c r="J32" s="811">
        <v>10</v>
      </c>
      <c r="K32" s="812">
        <v>42</v>
      </c>
    </row>
    <row r="34" spans="5:11">
      <c r="E34" s="867"/>
      <c r="G34" s="867"/>
      <c r="I34" s="867"/>
      <c r="K34" s="867"/>
    </row>
  </sheetData>
  <sheetProtection algorithmName="SHA-512" hashValue="j4sQoZ6q64Uygt5qJd0oKM5hIW0YIvUpnPIJV0ND1byUGtGzdMq/zF+57pZtTuOuRWICiPOVny7BmtNcYxZhqA==" saltValue="AxYguptS/e5GFxJT6veet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K33"/>
  <sheetViews>
    <sheetView topLeftCell="AE1" workbookViewId="0">
      <selection activeCell="AK2" sqref="AK2:AK3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" customWidth="1"/>
    <col min="36" max="36" width="35.42578125" customWidth="1"/>
    <col min="37" max="37" width="10.5703125" style="97" customWidth="1"/>
    <col min="38" max="38" width="20.7109375" customWidth="1"/>
  </cols>
  <sheetData>
    <row r="1" spans="1:37" s="10" customFormat="1" ht="25.5" customHeight="1">
      <c r="A1" s="807" t="s">
        <v>0</v>
      </c>
      <c r="B1" s="808" t="s">
        <v>1</v>
      </c>
      <c r="C1" s="808" t="s">
        <v>2</v>
      </c>
      <c r="D1" s="808" t="s">
        <v>3</v>
      </c>
      <c r="E1" s="868" t="s">
        <v>14</v>
      </c>
      <c r="F1" s="803" t="s">
        <v>15</v>
      </c>
      <c r="G1" s="804" t="s">
        <v>16</v>
      </c>
      <c r="H1" s="803" t="s">
        <v>17</v>
      </c>
      <c r="I1" s="803" t="s">
        <v>18</v>
      </c>
      <c r="J1" s="803" t="s">
        <v>19</v>
      </c>
      <c r="K1" s="796" t="s">
        <v>20</v>
      </c>
      <c r="L1" s="796" t="s">
        <v>21</v>
      </c>
      <c r="M1" s="821" t="s">
        <v>22</v>
      </c>
      <c r="N1" s="821" t="s">
        <v>23</v>
      </c>
      <c r="O1" s="821" t="s">
        <v>24</v>
      </c>
      <c r="P1" s="821" t="s">
        <v>25</v>
      </c>
      <c r="Q1" s="821" t="s">
        <v>26</v>
      </c>
      <c r="R1" s="821" t="s">
        <v>27</v>
      </c>
      <c r="S1" s="821" t="s">
        <v>28</v>
      </c>
      <c r="T1" s="821" t="s">
        <v>29</v>
      </c>
      <c r="U1" s="821" t="s">
        <v>30</v>
      </c>
      <c r="V1" s="821" t="s">
        <v>31</v>
      </c>
      <c r="W1" s="821" t="s">
        <v>32</v>
      </c>
      <c r="X1" s="821" t="s">
        <v>33</v>
      </c>
      <c r="Y1" s="821" t="s">
        <v>34</v>
      </c>
      <c r="Z1" s="821" t="s">
        <v>35</v>
      </c>
      <c r="AA1" s="821" t="s">
        <v>36</v>
      </c>
      <c r="AB1" s="821" t="s">
        <v>37</v>
      </c>
      <c r="AC1" s="868" t="s">
        <v>38</v>
      </c>
      <c r="AD1" s="821" t="s">
        <v>39</v>
      </c>
      <c r="AE1" s="821" t="s">
        <v>40</v>
      </c>
      <c r="AF1" s="821" t="s">
        <v>41</v>
      </c>
      <c r="AG1" s="868" t="s">
        <v>42</v>
      </c>
      <c r="AH1" s="821" t="s">
        <v>43</v>
      </c>
      <c r="AI1" s="821" t="s">
        <v>44</v>
      </c>
      <c r="AJ1" s="821" t="s">
        <v>45</v>
      </c>
      <c r="AK1" s="809" t="s">
        <v>10</v>
      </c>
    </row>
    <row r="2" spans="1:37" ht="19.5" customHeight="1">
      <c r="A2" s="815" t="s">
        <v>11</v>
      </c>
      <c r="B2" s="816">
        <v>1</v>
      </c>
      <c r="C2" s="837">
        <v>1</v>
      </c>
      <c r="D2" s="817">
        <v>2021</v>
      </c>
      <c r="E2" s="869"/>
      <c r="F2" s="805">
        <f>Elect!J6</f>
        <v>4287</v>
      </c>
      <c r="G2" s="805">
        <f>Elect!K6</f>
        <v>2822</v>
      </c>
      <c r="H2" s="805">
        <f>Elect!Q6</f>
        <v>540</v>
      </c>
      <c r="I2" s="805">
        <f>Elect!W6</f>
        <v>142</v>
      </c>
      <c r="J2" s="805">
        <f>Elect!Y6</f>
        <v>231</v>
      </c>
      <c r="K2" s="805">
        <f>Elect!AA6</f>
        <v>0</v>
      </c>
      <c r="L2" s="805">
        <f>Elect!AC6</f>
        <v>1736.2800000000002</v>
      </c>
      <c r="M2" s="805">
        <f>Elect!AE6</f>
        <v>706.49</v>
      </c>
      <c r="N2" s="805">
        <f>Elect!AG6</f>
        <v>0</v>
      </c>
      <c r="O2" s="805">
        <f>Elect!AI6</f>
        <v>305.81</v>
      </c>
      <c r="P2" s="805">
        <f>Elect!AK6</f>
        <v>1786.63</v>
      </c>
      <c r="Q2" s="805">
        <f>Elect!AN6</f>
        <v>378</v>
      </c>
      <c r="R2" s="805">
        <f>Elect!AP6</f>
        <v>262</v>
      </c>
      <c r="S2" s="805">
        <f>Elect!AR6</f>
        <v>9.57</v>
      </c>
      <c r="T2" s="805">
        <f>Elect!AT6</f>
        <v>59</v>
      </c>
      <c r="U2" s="805">
        <f>Elect!AV6</f>
        <v>613</v>
      </c>
      <c r="V2" s="805">
        <f>Elect!AX6</f>
        <v>66</v>
      </c>
      <c r="W2" s="805">
        <f>Elect!AZ6</f>
        <v>3967</v>
      </c>
      <c r="X2" s="805">
        <f>Elect!BB6</f>
        <v>3506.5</v>
      </c>
      <c r="Y2" s="805">
        <f>Elect!BE6</f>
        <v>358</v>
      </c>
      <c r="Z2" s="805">
        <f>Elect!BG6</f>
        <v>560</v>
      </c>
      <c r="AA2" s="805">
        <f>Elect!BI6</f>
        <v>111</v>
      </c>
      <c r="AB2" s="805">
        <f>Elect!BK6</f>
        <v>186</v>
      </c>
      <c r="AC2" s="869"/>
      <c r="AD2" s="805">
        <f>Water!C7</f>
        <v>0</v>
      </c>
      <c r="AE2" s="805">
        <f>Water!E7</f>
        <v>237.79999999999998</v>
      </c>
      <c r="AF2" s="805">
        <f>Water!G7</f>
        <v>7.5399999999999991</v>
      </c>
      <c r="AG2" s="869"/>
      <c r="AH2" s="805">
        <f>Gas!C7</f>
        <v>894.6400000000001</v>
      </c>
      <c r="AI2" s="805">
        <f>Gas!E7</f>
        <v>375.2</v>
      </c>
      <c r="AJ2" s="805">
        <f>Gas!G7</f>
        <v>69</v>
      </c>
      <c r="AK2" s="812">
        <v>41</v>
      </c>
    </row>
    <row r="3" spans="1:37" ht="12.75" customHeight="1">
      <c r="A3" s="818" t="s">
        <v>11</v>
      </c>
      <c r="B3" s="795">
        <f>B2+1</f>
        <v>2</v>
      </c>
      <c r="C3" s="837">
        <v>1</v>
      </c>
      <c r="D3" s="817">
        <v>2021</v>
      </c>
      <c r="E3" s="869"/>
      <c r="F3" s="805">
        <f>Elect!J7</f>
        <v>4841</v>
      </c>
      <c r="G3" s="805">
        <f>Elect!K7</f>
        <v>3098</v>
      </c>
      <c r="H3" s="805">
        <f>Elect!Q7</f>
        <v>510</v>
      </c>
      <c r="I3" s="805">
        <f>Elect!W7</f>
        <v>148</v>
      </c>
      <c r="J3" s="805">
        <f>Elect!Y7</f>
        <v>250</v>
      </c>
      <c r="K3" s="805">
        <f>Elect!AA7</f>
        <v>0</v>
      </c>
      <c r="L3" s="805">
        <f>Elect!AC7</f>
        <v>1426.76</v>
      </c>
      <c r="M3" s="805">
        <f>Elect!AE7</f>
        <v>4.7700000000000005</v>
      </c>
      <c r="N3" s="805">
        <f>Elect!AG7</f>
        <v>0</v>
      </c>
      <c r="O3" s="805">
        <f>Elect!AI7</f>
        <v>264.47000000000003</v>
      </c>
      <c r="P3" s="805">
        <f>Elect!AK7</f>
        <v>1919.13</v>
      </c>
      <c r="Q3" s="805">
        <f>Elect!AN7</f>
        <v>935</v>
      </c>
      <c r="R3" s="805">
        <f>Elect!AP7</f>
        <v>217</v>
      </c>
      <c r="S3" s="805">
        <f>Elect!AR7</f>
        <v>13.31</v>
      </c>
      <c r="T3" s="805">
        <f>Elect!AT7</f>
        <v>42</v>
      </c>
      <c r="U3" s="805">
        <f>Elect!AV7</f>
        <v>606</v>
      </c>
      <c r="V3" s="805">
        <f>Elect!AX7</f>
        <v>67</v>
      </c>
      <c r="W3" s="805">
        <f>Elect!AZ7</f>
        <v>3652</v>
      </c>
      <c r="X3" s="805">
        <f>Elect!BB7</f>
        <v>4968</v>
      </c>
      <c r="Y3" s="805">
        <f>Elect!BE7</f>
        <v>358</v>
      </c>
      <c r="Z3" s="805">
        <f>Elect!BG7</f>
        <v>200</v>
      </c>
      <c r="AA3" s="805">
        <f>Elect!BI7</f>
        <v>50</v>
      </c>
      <c r="AB3" s="805">
        <f>Elect!BK7</f>
        <v>100</v>
      </c>
      <c r="AC3" s="869"/>
      <c r="AD3" s="805">
        <f>Water!C8</f>
        <v>0</v>
      </c>
      <c r="AE3" s="805">
        <f>Water!E8</f>
        <v>150.79999999999998</v>
      </c>
      <c r="AF3" s="805">
        <f>Water!G8</f>
        <v>12.18</v>
      </c>
      <c r="AG3" s="869"/>
      <c r="AH3" s="805">
        <f>Gas!C8</f>
        <v>1228.54</v>
      </c>
      <c r="AI3" s="805">
        <f>Gas!E8</f>
        <v>234.49999999999997</v>
      </c>
      <c r="AJ3" s="805">
        <f>Gas!G8</f>
        <v>64</v>
      </c>
      <c r="AK3" s="812">
        <v>41</v>
      </c>
    </row>
    <row r="4" spans="1:37" ht="12.75" customHeight="1">
      <c r="A4" s="818" t="s">
        <v>11</v>
      </c>
      <c r="B4" s="795">
        <f t="shared" ref="B4:B31" si="0">B3+1</f>
        <v>3</v>
      </c>
      <c r="C4" s="837">
        <v>1</v>
      </c>
      <c r="D4" s="817">
        <v>2021</v>
      </c>
      <c r="E4" s="869"/>
      <c r="F4" s="805">
        <f>Elect!J8</f>
        <v>4443</v>
      </c>
      <c r="G4" s="805">
        <f>Elect!K8</f>
        <v>2802</v>
      </c>
      <c r="H4" s="805">
        <f>Elect!Q8</f>
        <v>540</v>
      </c>
      <c r="I4" s="805">
        <f>Elect!W8</f>
        <v>139</v>
      </c>
      <c r="J4" s="805">
        <f>Elect!Y8</f>
        <v>233</v>
      </c>
      <c r="K4" s="805">
        <f>Elect!AA8</f>
        <v>0</v>
      </c>
      <c r="L4" s="805">
        <f>Elect!AC8</f>
        <v>2759.1800000000003</v>
      </c>
      <c r="M4" s="805">
        <f>Elect!AE8</f>
        <v>0</v>
      </c>
      <c r="N4" s="805">
        <f>Elect!AG8</f>
        <v>0</v>
      </c>
      <c r="O4" s="805">
        <f>Elect!AI8</f>
        <v>235.85000000000002</v>
      </c>
      <c r="P4" s="805">
        <f>Elect!AK8</f>
        <v>2025.66</v>
      </c>
      <c r="Q4" s="805">
        <f>Elect!AN8</f>
        <v>838</v>
      </c>
      <c r="R4" s="805">
        <f>Elect!AP8</f>
        <v>278</v>
      </c>
      <c r="S4" s="805">
        <f>Elect!AR8</f>
        <v>13.86</v>
      </c>
      <c r="T4" s="805">
        <f>Elect!AT8</f>
        <v>42</v>
      </c>
      <c r="U4" s="805">
        <f>Elect!AV8</f>
        <v>485</v>
      </c>
      <c r="V4" s="805">
        <f>Elect!AX8</f>
        <v>64</v>
      </c>
      <c r="W4" s="805">
        <f>Elect!AZ8</f>
        <v>3547</v>
      </c>
      <c r="X4" s="805">
        <f>Elect!BB8</f>
        <v>4254.1000000000004</v>
      </c>
      <c r="Y4" s="805">
        <f>Elect!BE8</f>
        <v>358</v>
      </c>
      <c r="Z4" s="805">
        <f>Elect!BG8</f>
        <v>679</v>
      </c>
      <c r="AA4" s="805">
        <f>Elect!BI8</f>
        <v>61</v>
      </c>
      <c r="AB4" s="805">
        <f>Elect!BK8</f>
        <v>91</v>
      </c>
      <c r="AC4" s="869"/>
      <c r="AD4" s="805">
        <f>Water!C9</f>
        <v>5.8</v>
      </c>
      <c r="AE4" s="805">
        <f>Water!E9</f>
        <v>185.6</v>
      </c>
      <c r="AF4" s="805">
        <f>Water!G9</f>
        <v>10.44</v>
      </c>
      <c r="AG4" s="869"/>
      <c r="AH4" s="805">
        <f>Gas!C9</f>
        <v>1025.02</v>
      </c>
      <c r="AI4" s="805">
        <f>Gas!E9</f>
        <v>297.5</v>
      </c>
      <c r="AJ4" s="805">
        <f>Gas!G9</f>
        <v>67</v>
      </c>
      <c r="AK4" s="812">
        <v>41</v>
      </c>
    </row>
    <row r="5" spans="1:37" ht="12.75" customHeight="1">
      <c r="A5" s="818" t="s">
        <v>11</v>
      </c>
      <c r="B5" s="795">
        <f t="shared" si="0"/>
        <v>4</v>
      </c>
      <c r="C5" s="837">
        <v>1</v>
      </c>
      <c r="D5" s="817">
        <v>2021</v>
      </c>
      <c r="E5" s="869"/>
      <c r="F5" s="805">
        <f>Elect!J9</f>
        <v>4708</v>
      </c>
      <c r="G5" s="805">
        <f>Elect!K9</f>
        <v>3174</v>
      </c>
      <c r="H5" s="805">
        <f>Elect!Q9</f>
        <v>570</v>
      </c>
      <c r="I5" s="805">
        <f>Elect!W9</f>
        <v>155</v>
      </c>
      <c r="J5" s="805">
        <f>Elect!Y9</f>
        <v>262</v>
      </c>
      <c r="K5" s="805">
        <f>Elect!AA9</f>
        <v>0</v>
      </c>
      <c r="L5" s="805">
        <f>Elect!AC9</f>
        <v>1894.22</v>
      </c>
      <c r="M5" s="805">
        <f>Elect!AE9</f>
        <v>0</v>
      </c>
      <c r="N5" s="805">
        <f>Elect!AG9</f>
        <v>0</v>
      </c>
      <c r="O5" s="805">
        <f>Elect!AI9</f>
        <v>212.53</v>
      </c>
      <c r="P5" s="805">
        <f>Elect!AK9</f>
        <v>1886.27</v>
      </c>
      <c r="Q5" s="805">
        <f>Elect!AN9</f>
        <v>1131</v>
      </c>
      <c r="R5" s="805">
        <f>Elect!AP9</f>
        <v>275</v>
      </c>
      <c r="S5" s="805">
        <f>Elect!AR9</f>
        <v>15.4</v>
      </c>
      <c r="T5" s="805">
        <f>Elect!AT9</f>
        <v>50</v>
      </c>
      <c r="U5" s="805">
        <f>Elect!AV9</f>
        <v>582</v>
      </c>
      <c r="V5" s="805">
        <f>Elect!AX9</f>
        <v>68</v>
      </c>
      <c r="W5" s="805">
        <f>Elect!AZ9</f>
        <v>4103</v>
      </c>
      <c r="X5" s="805">
        <f>Elect!BB9</f>
        <v>4703.3999999999996</v>
      </c>
      <c r="Y5" s="805">
        <f>Elect!BE9</f>
        <v>358</v>
      </c>
      <c r="Z5" s="805">
        <f>Elect!BG9</f>
        <v>946</v>
      </c>
      <c r="AA5" s="805">
        <f>Elect!BI9</f>
        <v>120</v>
      </c>
      <c r="AB5" s="805">
        <f>Elect!BK9</f>
        <v>225</v>
      </c>
      <c r="AC5" s="869"/>
      <c r="AD5" s="805">
        <f>Water!C10</f>
        <v>0</v>
      </c>
      <c r="AE5" s="805">
        <f>Water!E10</f>
        <v>174</v>
      </c>
      <c r="AF5" s="805">
        <f>Water!G10</f>
        <v>4.6399999999999997</v>
      </c>
      <c r="AG5" s="869"/>
      <c r="AH5" s="805">
        <f>Gas!C10</f>
        <v>700.66000000000008</v>
      </c>
      <c r="AI5" s="805">
        <f>Gas!E10</f>
        <v>228.2</v>
      </c>
      <c r="AJ5" s="805">
        <f>Gas!G10</f>
        <v>71</v>
      </c>
      <c r="AK5" s="812">
        <v>41</v>
      </c>
    </row>
    <row r="6" spans="1:37" ht="12.75" customHeight="1">
      <c r="A6" s="818" t="s">
        <v>11</v>
      </c>
      <c r="B6" s="795">
        <f t="shared" si="0"/>
        <v>5</v>
      </c>
      <c r="C6" s="837">
        <v>1</v>
      </c>
      <c r="D6" s="817">
        <v>2021</v>
      </c>
      <c r="E6" s="869"/>
      <c r="F6" s="805">
        <f>Elect!J10</f>
        <v>4642</v>
      </c>
      <c r="G6" s="805">
        <f>Elect!K10</f>
        <v>2700</v>
      </c>
      <c r="H6" s="805">
        <f>Elect!Q10</f>
        <v>540</v>
      </c>
      <c r="I6" s="805">
        <f>Elect!W10</f>
        <v>144</v>
      </c>
      <c r="J6" s="805">
        <f>Elect!Y10</f>
        <v>247</v>
      </c>
      <c r="K6" s="805">
        <f>Elect!AA10</f>
        <v>0</v>
      </c>
      <c r="L6" s="805">
        <f>Elect!AC10</f>
        <v>1632.93</v>
      </c>
      <c r="M6" s="805">
        <f>Elect!AE10</f>
        <v>229.49</v>
      </c>
      <c r="N6" s="805">
        <f>Elect!AG10</f>
        <v>0</v>
      </c>
      <c r="O6" s="805">
        <f>Elect!AI10</f>
        <v>297.86</v>
      </c>
      <c r="P6" s="805">
        <f>Elect!AK10</f>
        <v>1744.23</v>
      </c>
      <c r="Q6" s="805">
        <f>Elect!AN10</f>
        <v>1209</v>
      </c>
      <c r="R6" s="805">
        <f>Elect!AP10</f>
        <v>279</v>
      </c>
      <c r="S6" s="805">
        <f>Elect!AR10</f>
        <v>14.41</v>
      </c>
      <c r="T6" s="805">
        <f>Elect!AT10</f>
        <v>37</v>
      </c>
      <c r="U6" s="805">
        <f>Elect!AV10</f>
        <v>498</v>
      </c>
      <c r="V6" s="805">
        <f>Elect!AX10</f>
        <v>67</v>
      </c>
      <c r="W6" s="805">
        <f>Elect!AZ10</f>
        <v>3339</v>
      </c>
      <c r="X6" s="805">
        <f>Elect!BB10</f>
        <v>4735.6000000000004</v>
      </c>
      <c r="Y6" s="805">
        <f>Elect!BE10</f>
        <v>358</v>
      </c>
      <c r="Z6" s="805">
        <f>Elect!BG10</f>
        <v>949</v>
      </c>
      <c r="AA6" s="805">
        <f>Elect!BI10</f>
        <v>114</v>
      </c>
      <c r="AB6" s="805">
        <f>Elect!BK10</f>
        <v>229</v>
      </c>
      <c r="AC6" s="869"/>
      <c r="AD6" s="805">
        <f>Water!C11</f>
        <v>0</v>
      </c>
      <c r="AE6" s="805">
        <f>Water!E11</f>
        <v>231.99999999999997</v>
      </c>
      <c r="AF6" s="805">
        <f>Water!G11</f>
        <v>8.6999999999999993</v>
      </c>
      <c r="AG6" s="869"/>
      <c r="AH6" s="805">
        <f>Gas!C11</f>
        <v>1176.6000000000001</v>
      </c>
      <c r="AI6" s="805">
        <f>Gas!E11</f>
        <v>284.2</v>
      </c>
      <c r="AJ6" s="805">
        <f>Gas!G11</f>
        <v>82</v>
      </c>
      <c r="AK6" s="812">
        <v>41</v>
      </c>
    </row>
    <row r="7" spans="1:37" ht="12.75" customHeight="1">
      <c r="A7" s="818" t="s">
        <v>11</v>
      </c>
      <c r="B7" s="795">
        <f t="shared" si="0"/>
        <v>6</v>
      </c>
      <c r="C7" s="837">
        <v>1</v>
      </c>
      <c r="D7" s="817">
        <v>2021</v>
      </c>
      <c r="E7" s="869"/>
      <c r="F7" s="805">
        <f>Elect!J11</f>
        <v>5488</v>
      </c>
      <c r="G7" s="805">
        <f>Elect!K11</f>
        <v>2856</v>
      </c>
      <c r="H7" s="805">
        <f>Elect!Q11</f>
        <v>660</v>
      </c>
      <c r="I7" s="805">
        <f>Elect!W11</f>
        <v>176</v>
      </c>
      <c r="J7" s="805">
        <f>Elect!Y11</f>
        <v>247</v>
      </c>
      <c r="K7" s="805">
        <f>Elect!AA11</f>
        <v>0</v>
      </c>
      <c r="L7" s="805">
        <f>Elect!AC11</f>
        <v>0</v>
      </c>
      <c r="M7" s="805">
        <f>Elect!AE11</f>
        <v>1870.3700000000001</v>
      </c>
      <c r="N7" s="805">
        <f>Elect!AG11</f>
        <v>0</v>
      </c>
      <c r="O7" s="805">
        <f>Elect!AI11</f>
        <v>307.40000000000003</v>
      </c>
      <c r="P7" s="805">
        <f>Elect!AK11</f>
        <v>1781.8600000000001</v>
      </c>
      <c r="Q7" s="805">
        <f>Elect!AN11</f>
        <v>1333</v>
      </c>
      <c r="R7" s="805">
        <f>Elect!AP11</f>
        <v>295</v>
      </c>
      <c r="S7" s="805">
        <f>Elect!AR11</f>
        <v>14.74</v>
      </c>
      <c r="T7" s="805">
        <f>Elect!AT11</f>
        <v>39</v>
      </c>
      <c r="U7" s="805">
        <f>Elect!AV11</f>
        <v>510</v>
      </c>
      <c r="V7" s="805">
        <f>Elect!AX11</f>
        <v>84</v>
      </c>
      <c r="W7" s="805">
        <f>Elect!AZ11</f>
        <v>3744</v>
      </c>
      <c r="X7" s="805">
        <f>Elect!BB11</f>
        <v>4311.3</v>
      </c>
      <c r="Y7" s="805">
        <f>Elect!BE11</f>
        <v>358</v>
      </c>
      <c r="Z7" s="805">
        <f>Elect!BG11</f>
        <v>857</v>
      </c>
      <c r="AA7" s="805">
        <f>Elect!BI11</f>
        <v>97</v>
      </c>
      <c r="AB7" s="805">
        <f>Elect!BK11</f>
        <v>210</v>
      </c>
      <c r="AC7" s="869"/>
      <c r="AD7" s="805">
        <f>Water!C12</f>
        <v>5.8</v>
      </c>
      <c r="AE7" s="805">
        <f>Water!E12</f>
        <v>156.6</v>
      </c>
      <c r="AF7" s="805">
        <f>Water!G12</f>
        <v>6.9599999999999991</v>
      </c>
      <c r="AG7" s="869"/>
      <c r="AH7" s="805">
        <f>Gas!C12</f>
        <v>982.62</v>
      </c>
      <c r="AI7" s="805">
        <f>Gas!E12</f>
        <v>289.09999999999997</v>
      </c>
      <c r="AJ7" s="805">
        <f>Gas!G12</f>
        <v>61</v>
      </c>
      <c r="AK7" s="812">
        <v>41</v>
      </c>
    </row>
    <row r="8" spans="1:37" ht="12.75" customHeight="1">
      <c r="A8" s="818" t="s">
        <v>11</v>
      </c>
      <c r="B8" s="795">
        <f t="shared" si="0"/>
        <v>7</v>
      </c>
      <c r="C8" s="837">
        <v>1</v>
      </c>
      <c r="D8" s="817">
        <v>2021</v>
      </c>
      <c r="E8" s="869"/>
      <c r="F8" s="805">
        <f>Elect!J12</f>
        <v>4353</v>
      </c>
      <c r="G8" s="805">
        <f>Elect!K12</f>
        <v>3602</v>
      </c>
      <c r="H8" s="805">
        <f>Elect!Q12</f>
        <v>570</v>
      </c>
      <c r="I8" s="805">
        <f>Elect!W12</f>
        <v>146</v>
      </c>
      <c r="J8" s="805">
        <f>Elect!Y12</f>
        <v>274</v>
      </c>
      <c r="K8" s="805">
        <f>Elect!AA12</f>
        <v>0</v>
      </c>
      <c r="L8" s="805">
        <f>Elect!AC12</f>
        <v>0</v>
      </c>
      <c r="M8" s="805">
        <f>Elect!AE12</f>
        <v>3138.13</v>
      </c>
      <c r="N8" s="805">
        <f>Elect!AG12</f>
        <v>0</v>
      </c>
      <c r="O8" s="805">
        <f>Elect!AI12</f>
        <v>328.07</v>
      </c>
      <c r="P8" s="805">
        <f>Elect!AK12</f>
        <v>2531.81</v>
      </c>
      <c r="Q8" s="805">
        <f>Elect!AN12</f>
        <v>1170</v>
      </c>
      <c r="R8" s="805">
        <f>Elect!AP12</f>
        <v>235</v>
      </c>
      <c r="S8" s="805">
        <f>Elect!AR12</f>
        <v>14.63</v>
      </c>
      <c r="T8" s="805">
        <f>Elect!AT12</f>
        <v>39</v>
      </c>
      <c r="U8" s="805">
        <f>Elect!AV12</f>
        <v>598</v>
      </c>
      <c r="V8" s="805">
        <f>Elect!AX12</f>
        <v>65</v>
      </c>
      <c r="W8" s="805">
        <f>Elect!AZ12</f>
        <v>4097</v>
      </c>
      <c r="X8" s="805">
        <f>Elect!BB12</f>
        <v>4360.1000000000004</v>
      </c>
      <c r="Y8" s="805">
        <f>Elect!BE12</f>
        <v>358</v>
      </c>
      <c r="Z8" s="805">
        <f>Elect!BG12</f>
        <v>874</v>
      </c>
      <c r="AA8" s="805">
        <f>Elect!BI12</f>
        <v>89</v>
      </c>
      <c r="AB8" s="805">
        <f>Elect!BK12</f>
        <v>199</v>
      </c>
      <c r="AC8" s="869"/>
      <c r="AD8" s="805">
        <f>Water!C13</f>
        <v>0</v>
      </c>
      <c r="AE8" s="805">
        <f>Water!E13</f>
        <v>231.99999999999997</v>
      </c>
      <c r="AF8" s="805">
        <f>Water!G13</f>
        <v>6.9599999999999991</v>
      </c>
      <c r="AG8" s="869"/>
      <c r="AH8" s="805">
        <f>Gas!C13</f>
        <v>915.84</v>
      </c>
      <c r="AI8" s="805">
        <f>Gas!E13</f>
        <v>235.2</v>
      </c>
      <c r="AJ8" s="805">
        <f>Gas!G13</f>
        <v>54</v>
      </c>
      <c r="AK8" s="812">
        <v>41</v>
      </c>
    </row>
    <row r="9" spans="1:37" ht="12.75" customHeight="1">
      <c r="A9" s="818" t="s">
        <v>11</v>
      </c>
      <c r="B9" s="795">
        <f t="shared" si="0"/>
        <v>8</v>
      </c>
      <c r="C9" s="837">
        <v>1</v>
      </c>
      <c r="D9" s="817">
        <v>2021</v>
      </c>
      <c r="E9" s="869"/>
      <c r="F9" s="805">
        <f>Elect!J13</f>
        <v>4426</v>
      </c>
      <c r="G9" s="805">
        <f>Elect!K13</f>
        <v>2785</v>
      </c>
      <c r="H9" s="805">
        <f>Elect!Q13</f>
        <v>450</v>
      </c>
      <c r="I9" s="805">
        <f>Elect!W13</f>
        <v>116</v>
      </c>
      <c r="J9" s="805">
        <f>Elect!Y13</f>
        <v>225</v>
      </c>
      <c r="K9" s="805">
        <f>Elect!AA13</f>
        <v>0</v>
      </c>
      <c r="L9" s="805">
        <f>Elect!AC13</f>
        <v>0</v>
      </c>
      <c r="M9" s="805">
        <f>Elect!AE13</f>
        <v>2217.52</v>
      </c>
      <c r="N9" s="805">
        <f>Elect!AG13</f>
        <v>0</v>
      </c>
      <c r="O9" s="805">
        <f>Elect!AI13</f>
        <v>295.74</v>
      </c>
      <c r="P9" s="805">
        <f>Elect!AK13</f>
        <v>1919.66</v>
      </c>
      <c r="Q9" s="805">
        <f>Elect!AN13</f>
        <v>886</v>
      </c>
      <c r="R9" s="805">
        <f>Elect!AP13</f>
        <v>344</v>
      </c>
      <c r="S9" s="805">
        <f>Elect!AR13</f>
        <v>14.63</v>
      </c>
      <c r="T9" s="805">
        <f>Elect!AT13</f>
        <v>21</v>
      </c>
      <c r="U9" s="805">
        <f>Elect!AV13</f>
        <v>452</v>
      </c>
      <c r="V9" s="805">
        <f>Elect!AX13</f>
        <v>53</v>
      </c>
      <c r="W9" s="805">
        <f>Elect!AZ13</f>
        <v>3383</v>
      </c>
      <c r="X9" s="805">
        <f>Elect!BB13</f>
        <v>4241.5</v>
      </c>
      <c r="Y9" s="805">
        <f>Elect!BE13</f>
        <v>358</v>
      </c>
      <c r="Z9" s="805">
        <f>Elect!BG13</f>
        <v>870</v>
      </c>
      <c r="AA9" s="805">
        <f>Elect!BI13</f>
        <v>93</v>
      </c>
      <c r="AB9" s="805">
        <f>Elect!BK13</f>
        <v>193</v>
      </c>
      <c r="AC9" s="869"/>
      <c r="AD9" s="805">
        <f>Water!C14</f>
        <v>0</v>
      </c>
      <c r="AE9" s="805">
        <f>Water!E14</f>
        <v>185.6</v>
      </c>
      <c r="AF9" s="805">
        <f>Water!G14</f>
        <v>6.38</v>
      </c>
      <c r="AG9" s="869"/>
      <c r="AH9" s="805">
        <f>Gas!C14</f>
        <v>743.06000000000006</v>
      </c>
      <c r="AI9" s="805">
        <f>Gas!E14</f>
        <v>249.89999999999998</v>
      </c>
      <c r="AJ9" s="805">
        <f>Gas!G14</f>
        <v>76</v>
      </c>
      <c r="AK9" s="812">
        <v>41</v>
      </c>
    </row>
    <row r="10" spans="1:37" ht="12.75" customHeight="1">
      <c r="A10" s="818" t="s">
        <v>11</v>
      </c>
      <c r="B10" s="795">
        <f t="shared" si="0"/>
        <v>9</v>
      </c>
      <c r="C10" s="837">
        <v>1</v>
      </c>
      <c r="D10" s="817">
        <v>2021</v>
      </c>
      <c r="E10" s="869"/>
      <c r="F10" s="805">
        <f>Elect!J14</f>
        <v>4074</v>
      </c>
      <c r="G10" s="805">
        <f>Elect!K14</f>
        <v>2602</v>
      </c>
      <c r="H10" s="805">
        <f>Elect!Q14</f>
        <v>510</v>
      </c>
      <c r="I10" s="805">
        <f>Elect!W14</f>
        <v>152</v>
      </c>
      <c r="J10" s="805">
        <f>Elect!Y14</f>
        <v>263</v>
      </c>
      <c r="K10" s="805">
        <f>Elect!AA14</f>
        <v>0</v>
      </c>
      <c r="L10" s="805">
        <f>Elect!AC14</f>
        <v>0</v>
      </c>
      <c r="M10" s="805">
        <f>Elect!AE14</f>
        <v>0</v>
      </c>
      <c r="N10" s="805">
        <f>Elect!AG14</f>
        <v>1514.74</v>
      </c>
      <c r="O10" s="805">
        <f>Elect!AI14</f>
        <v>156.88</v>
      </c>
      <c r="P10" s="805">
        <f>Elect!AK14</f>
        <v>1643</v>
      </c>
      <c r="Q10" s="805">
        <f>Elect!AN14</f>
        <v>1139</v>
      </c>
      <c r="R10" s="805">
        <f>Elect!AP14</f>
        <v>289</v>
      </c>
      <c r="S10" s="805">
        <f>Elect!AR14</f>
        <v>13.53</v>
      </c>
      <c r="T10" s="805">
        <f>Elect!AT14</f>
        <v>21</v>
      </c>
      <c r="U10" s="805">
        <f>Elect!AV14</f>
        <v>424</v>
      </c>
      <c r="V10" s="805">
        <f>Elect!AX14</f>
        <v>70</v>
      </c>
      <c r="W10" s="805">
        <f>Elect!AZ14</f>
        <v>3798</v>
      </c>
      <c r="X10" s="805">
        <f>Elect!BB14</f>
        <v>3776.6000000000004</v>
      </c>
      <c r="Y10" s="805">
        <f>Elect!BE14</f>
        <v>358</v>
      </c>
      <c r="Z10" s="805">
        <f>Elect!BG14</f>
        <v>809</v>
      </c>
      <c r="AA10" s="805">
        <f>Elect!BI14</f>
        <v>110</v>
      </c>
      <c r="AB10" s="805">
        <f>Elect!BK14</f>
        <v>176</v>
      </c>
      <c r="AC10" s="869"/>
      <c r="AD10" s="805">
        <f>Water!C15</f>
        <v>0</v>
      </c>
      <c r="AE10" s="805">
        <f>Water!E15</f>
        <v>307.39999999999998</v>
      </c>
      <c r="AF10" s="805">
        <f>Water!G15</f>
        <v>10.44</v>
      </c>
      <c r="AG10" s="869"/>
      <c r="AH10" s="805">
        <f>Gas!C15</f>
        <v>854.36</v>
      </c>
      <c r="AI10" s="805">
        <f>Gas!E15</f>
        <v>290.5</v>
      </c>
      <c r="AJ10" s="805">
        <f>Gas!G15</f>
        <v>67</v>
      </c>
      <c r="AK10" s="812">
        <v>41</v>
      </c>
    </row>
    <row r="11" spans="1:37" ht="12.75" customHeight="1">
      <c r="A11" s="818" t="s">
        <v>11</v>
      </c>
      <c r="B11" s="795">
        <f t="shared" si="0"/>
        <v>10</v>
      </c>
      <c r="C11" s="837">
        <v>1</v>
      </c>
      <c r="D11" s="817">
        <v>2021</v>
      </c>
      <c r="E11" s="869"/>
      <c r="F11" s="805">
        <f>Elect!J15</f>
        <v>5552</v>
      </c>
      <c r="G11" s="805">
        <f>Elect!K15</f>
        <v>2812</v>
      </c>
      <c r="H11" s="805">
        <f>Elect!Q15</f>
        <v>540</v>
      </c>
      <c r="I11" s="805">
        <f>Elect!W15</f>
        <v>135</v>
      </c>
      <c r="J11" s="805">
        <f>Elect!Y15</f>
        <v>236</v>
      </c>
      <c r="K11" s="805">
        <f>Elect!AA15</f>
        <v>0</v>
      </c>
      <c r="L11" s="805">
        <f>Elect!AC15</f>
        <v>0</v>
      </c>
      <c r="M11" s="805">
        <f>Elect!AE15</f>
        <v>0</v>
      </c>
      <c r="N11" s="805">
        <f>Elect!AG15</f>
        <v>2221.23</v>
      </c>
      <c r="O11" s="805">
        <f>Elect!AI15</f>
        <v>209.88000000000002</v>
      </c>
      <c r="P11" s="805">
        <f>Elect!AK15</f>
        <v>1989.0900000000001</v>
      </c>
      <c r="Q11" s="805">
        <f>Elect!AN15</f>
        <v>1067</v>
      </c>
      <c r="R11" s="805">
        <f>Elect!AP15</f>
        <v>275</v>
      </c>
      <c r="S11" s="805">
        <f>Elect!AR15</f>
        <v>15.18</v>
      </c>
      <c r="T11" s="805">
        <f>Elect!AT15</f>
        <v>38</v>
      </c>
      <c r="U11" s="805">
        <f>Elect!AV15</f>
        <v>447</v>
      </c>
      <c r="V11" s="805">
        <f>Elect!AX15</f>
        <v>62</v>
      </c>
      <c r="W11" s="805">
        <f>Elect!AZ15</f>
        <v>2855</v>
      </c>
      <c r="X11" s="805">
        <f>Elect!BB15</f>
        <v>4956</v>
      </c>
      <c r="Y11" s="805">
        <f>Elect!BE15</f>
        <v>358</v>
      </c>
      <c r="Z11" s="805">
        <f>Elect!BG15</f>
        <v>1065</v>
      </c>
      <c r="AA11" s="805">
        <f>Elect!BI15</f>
        <v>138</v>
      </c>
      <c r="AB11" s="805">
        <f>Elect!BK15</f>
        <v>226</v>
      </c>
      <c r="AC11" s="869"/>
      <c r="AD11" s="805">
        <f>Water!C16</f>
        <v>5.8</v>
      </c>
      <c r="AE11" s="805">
        <f>Water!E16</f>
        <v>307.39999999999998</v>
      </c>
      <c r="AF11" s="805">
        <f>Water!G16</f>
        <v>8.1199999999999992</v>
      </c>
      <c r="AG11" s="869"/>
      <c r="AH11" s="805">
        <f>Gas!C16</f>
        <v>1020.7800000000001</v>
      </c>
      <c r="AI11" s="805">
        <f>Gas!E16</f>
        <v>314.29999999999995</v>
      </c>
      <c r="AJ11" s="805">
        <f>Gas!G16</f>
        <v>102</v>
      </c>
      <c r="AK11" s="812">
        <v>41</v>
      </c>
    </row>
    <row r="12" spans="1:37" ht="12.75" customHeight="1">
      <c r="A12" s="818" t="s">
        <v>11</v>
      </c>
      <c r="B12" s="795">
        <f t="shared" si="0"/>
        <v>11</v>
      </c>
      <c r="C12" s="837">
        <v>1</v>
      </c>
      <c r="D12" s="817">
        <v>2021</v>
      </c>
      <c r="E12" s="869"/>
      <c r="F12" s="805">
        <f>Elect!J16</f>
        <v>2990</v>
      </c>
      <c r="G12" s="805">
        <f>Elect!K16</f>
        <v>2698</v>
      </c>
      <c r="H12" s="805">
        <f>Elect!Q16</f>
        <v>540</v>
      </c>
      <c r="I12" s="805">
        <f>Elect!W16</f>
        <v>135</v>
      </c>
      <c r="J12" s="805">
        <f>Elect!Y16</f>
        <v>234</v>
      </c>
      <c r="K12" s="805">
        <f>Elect!AA16</f>
        <v>0</v>
      </c>
      <c r="L12" s="805">
        <f>Elect!AC16</f>
        <v>0</v>
      </c>
      <c r="M12" s="805">
        <f>Elect!AE16</f>
        <v>0</v>
      </c>
      <c r="N12" s="805">
        <f>Elect!AG16</f>
        <v>2017.18</v>
      </c>
      <c r="O12" s="805">
        <f>Elect!AI16</f>
        <v>172.78</v>
      </c>
      <c r="P12" s="805">
        <f>Elect!AK16</f>
        <v>1856.5900000000001</v>
      </c>
      <c r="Q12" s="805">
        <f>Elect!AN16</f>
        <v>1063</v>
      </c>
      <c r="R12" s="805">
        <f>Elect!AP16</f>
        <v>275</v>
      </c>
      <c r="S12" s="805">
        <f>Elect!AR16</f>
        <v>10.89</v>
      </c>
      <c r="T12" s="805">
        <f>Elect!AT16</f>
        <v>38</v>
      </c>
      <c r="U12" s="805">
        <f>Elect!AV16</f>
        <v>472</v>
      </c>
      <c r="V12" s="805">
        <f>Elect!AX16</f>
        <v>35</v>
      </c>
      <c r="W12" s="805">
        <f>Elect!AZ16</f>
        <v>3367</v>
      </c>
      <c r="X12" s="805">
        <f>Elect!BB16</f>
        <v>3231.7</v>
      </c>
      <c r="Y12" s="805">
        <f>Elect!BE16</f>
        <v>358</v>
      </c>
      <c r="Z12" s="805">
        <f>Elect!BG16</f>
        <v>678</v>
      </c>
      <c r="AA12" s="805">
        <f>Elect!BI16</f>
        <v>87</v>
      </c>
      <c r="AB12" s="805">
        <f>Elect!BK16</f>
        <v>148</v>
      </c>
      <c r="AC12" s="869"/>
      <c r="AD12" s="805">
        <f>Water!C17</f>
        <v>0</v>
      </c>
      <c r="AE12" s="805">
        <f>Water!E17</f>
        <v>284.2</v>
      </c>
      <c r="AF12" s="805">
        <f>Water!G17</f>
        <v>6.38</v>
      </c>
      <c r="AG12" s="869"/>
      <c r="AH12" s="805">
        <f>Gas!C17</f>
        <v>915.84</v>
      </c>
      <c r="AI12" s="805">
        <f>Gas!E17</f>
        <v>232.39999999999998</v>
      </c>
      <c r="AJ12" s="805">
        <f>Gas!G17</f>
        <v>50</v>
      </c>
      <c r="AK12" s="812">
        <v>41</v>
      </c>
    </row>
    <row r="13" spans="1:37" ht="12.75" customHeight="1">
      <c r="A13" s="818" t="s">
        <v>11</v>
      </c>
      <c r="B13" s="795">
        <f t="shared" si="0"/>
        <v>12</v>
      </c>
      <c r="C13" s="837">
        <v>1</v>
      </c>
      <c r="D13" s="817">
        <v>2021</v>
      </c>
      <c r="E13" s="869"/>
      <c r="F13" s="805">
        <f>Elect!J17</f>
        <v>4437</v>
      </c>
      <c r="G13" s="805">
        <f>Elect!K17</f>
        <v>2787</v>
      </c>
      <c r="H13" s="805">
        <f>Elect!Q17</f>
        <v>600</v>
      </c>
      <c r="I13" s="805">
        <f>Elect!W17</f>
        <v>152</v>
      </c>
      <c r="J13" s="805">
        <f>Elect!Y17</f>
        <v>263</v>
      </c>
      <c r="K13" s="805">
        <f>Elect!AA17</f>
        <v>0</v>
      </c>
      <c r="L13" s="805">
        <f>Elect!AC17</f>
        <v>0</v>
      </c>
      <c r="M13" s="805">
        <f>Elect!AE17</f>
        <v>0</v>
      </c>
      <c r="N13" s="805">
        <f>Elect!AG17</f>
        <v>2237.13</v>
      </c>
      <c r="O13" s="805">
        <f>Elect!AI17</f>
        <v>208.82000000000002</v>
      </c>
      <c r="P13" s="805">
        <f>Elect!AK17</f>
        <v>2083.96</v>
      </c>
      <c r="Q13" s="805">
        <f>Elect!AN17</f>
        <v>1032</v>
      </c>
      <c r="R13" s="805">
        <f>Elect!AP17</f>
        <v>297</v>
      </c>
      <c r="S13" s="805">
        <f>Elect!AR17</f>
        <v>14.85</v>
      </c>
      <c r="T13" s="805">
        <f>Elect!AT17</f>
        <v>44</v>
      </c>
      <c r="U13" s="805">
        <f>Elect!AV17</f>
        <v>505</v>
      </c>
      <c r="V13" s="805">
        <f>Elect!AX17</f>
        <v>17</v>
      </c>
      <c r="W13" s="805">
        <f>Elect!AZ17</f>
        <v>3794</v>
      </c>
      <c r="X13" s="805">
        <f>Elect!BB17</f>
        <v>4736.3999999999996</v>
      </c>
      <c r="Y13" s="805">
        <f>Elect!BE17</f>
        <v>358</v>
      </c>
      <c r="Z13" s="805">
        <f>Elect!BG17</f>
        <v>956</v>
      </c>
      <c r="AA13" s="805">
        <f>Elect!BI17</f>
        <v>112</v>
      </c>
      <c r="AB13" s="805">
        <f>Elect!BK17</f>
        <v>211</v>
      </c>
      <c r="AC13" s="869"/>
      <c r="AD13" s="805">
        <f>Water!C18</f>
        <v>0</v>
      </c>
      <c r="AE13" s="805">
        <f>Water!E18</f>
        <v>237.79999999999998</v>
      </c>
      <c r="AF13" s="805">
        <f>Water!G18</f>
        <v>6.9599999999999991</v>
      </c>
      <c r="AG13" s="869"/>
      <c r="AH13" s="805">
        <f>Gas!C18</f>
        <v>963.54000000000008</v>
      </c>
      <c r="AI13" s="805">
        <f>Gas!E18</f>
        <v>209.29999999999998</v>
      </c>
      <c r="AJ13" s="805">
        <f>Gas!G18</f>
        <v>80</v>
      </c>
      <c r="AK13" s="812">
        <v>41</v>
      </c>
    </row>
    <row r="14" spans="1:37" ht="12.75" customHeight="1">
      <c r="A14" s="818" t="s">
        <v>11</v>
      </c>
      <c r="B14" s="795">
        <f t="shared" si="0"/>
        <v>13</v>
      </c>
      <c r="C14" s="837">
        <v>1</v>
      </c>
      <c r="D14" s="817">
        <v>2021</v>
      </c>
      <c r="E14" s="869"/>
      <c r="F14" s="805">
        <f>Elect!J18</f>
        <v>3726</v>
      </c>
      <c r="G14" s="805">
        <f>Elect!K18</f>
        <v>2485</v>
      </c>
      <c r="H14" s="805">
        <f>Elect!Q18</f>
        <v>480</v>
      </c>
      <c r="I14" s="805">
        <f>Elect!W18</f>
        <v>118</v>
      </c>
      <c r="J14" s="805">
        <f>Elect!Y18</f>
        <v>211</v>
      </c>
      <c r="K14" s="805">
        <f>Elect!AA18</f>
        <v>0</v>
      </c>
      <c r="L14" s="805">
        <f>Elect!AC18</f>
        <v>1437.3600000000001</v>
      </c>
      <c r="M14" s="805">
        <f>Elect!AE18</f>
        <v>0</v>
      </c>
      <c r="N14" s="805">
        <f>Elect!AG18</f>
        <v>353.51</v>
      </c>
      <c r="O14" s="805">
        <f>Elect!AI18</f>
        <v>151.58000000000001</v>
      </c>
      <c r="P14" s="805">
        <f>Elect!AK18</f>
        <v>1656.25</v>
      </c>
      <c r="Q14" s="805">
        <f>Elect!AN18</f>
        <v>1150</v>
      </c>
      <c r="R14" s="805">
        <f>Elect!AP18</f>
        <v>268</v>
      </c>
      <c r="S14" s="805">
        <f>Elect!AR18</f>
        <v>12.76</v>
      </c>
      <c r="T14" s="805">
        <f>Elect!AT18</f>
        <v>35</v>
      </c>
      <c r="U14" s="805">
        <f>Elect!AV18</f>
        <v>428</v>
      </c>
      <c r="V14" s="805">
        <f>Elect!AX18</f>
        <v>35</v>
      </c>
      <c r="W14" s="805">
        <f>Elect!AZ18</f>
        <v>3082</v>
      </c>
      <c r="X14" s="805">
        <f>Elect!BB18</f>
        <v>3811.3999999999996</v>
      </c>
      <c r="Y14" s="805">
        <f>Elect!BE18</f>
        <v>358</v>
      </c>
      <c r="Z14" s="805">
        <f>Elect!BG18</f>
        <v>776</v>
      </c>
      <c r="AA14" s="805">
        <f>Elect!BI18</f>
        <v>84</v>
      </c>
      <c r="AB14" s="805">
        <f>Elect!BK18</f>
        <v>173</v>
      </c>
      <c r="AC14" s="869"/>
      <c r="AD14" s="805">
        <f>Water!C19</f>
        <v>5.8</v>
      </c>
      <c r="AE14" s="805">
        <f>Water!E19</f>
        <v>214.6</v>
      </c>
      <c r="AF14" s="805">
        <f>Water!G19</f>
        <v>6.9599999999999991</v>
      </c>
      <c r="AG14" s="869"/>
      <c r="AH14" s="805">
        <f>Gas!C19</f>
        <v>962.48</v>
      </c>
      <c r="AI14" s="805">
        <f>Gas!E19</f>
        <v>179.2</v>
      </c>
      <c r="AJ14" s="805">
        <f>Gas!G19</f>
        <v>71</v>
      </c>
      <c r="AK14" s="812">
        <v>41</v>
      </c>
    </row>
    <row r="15" spans="1:37" ht="12.75" customHeight="1">
      <c r="A15" s="818" t="s">
        <v>11</v>
      </c>
      <c r="B15" s="795">
        <f t="shared" si="0"/>
        <v>14</v>
      </c>
      <c r="C15" s="837">
        <v>1</v>
      </c>
      <c r="D15" s="817">
        <v>2021</v>
      </c>
      <c r="E15" s="869"/>
      <c r="F15" s="805">
        <f>Elect!J19</f>
        <v>4681</v>
      </c>
      <c r="G15" s="805">
        <f>Elect!K19</f>
        <v>3188</v>
      </c>
      <c r="H15" s="805">
        <f>Elect!Q19</f>
        <v>690</v>
      </c>
      <c r="I15" s="805">
        <f>Elect!W19</f>
        <v>166</v>
      </c>
      <c r="J15" s="805">
        <f>Elect!Y19</f>
        <v>264</v>
      </c>
      <c r="K15" s="805">
        <f>Elect!AA19</f>
        <v>0</v>
      </c>
      <c r="L15" s="805">
        <f>Elect!AC19</f>
        <v>2337.83</v>
      </c>
      <c r="M15" s="805">
        <f>Elect!AE19</f>
        <v>0</v>
      </c>
      <c r="N15" s="805">
        <f>Elect!AG19</f>
        <v>0</v>
      </c>
      <c r="O15" s="805">
        <f>Elect!AI19</f>
        <v>216.77</v>
      </c>
      <c r="P15" s="805">
        <f>Elect!AK19</f>
        <v>2157.63</v>
      </c>
      <c r="Q15" s="805">
        <f>Elect!AN19</f>
        <v>1104</v>
      </c>
      <c r="R15" s="805">
        <f>Elect!AP19</f>
        <v>310</v>
      </c>
      <c r="S15" s="805">
        <f>Elect!AR19</f>
        <v>15.290000000000001</v>
      </c>
      <c r="T15" s="805">
        <f>Elect!AT19</f>
        <v>39</v>
      </c>
      <c r="U15" s="805">
        <f>Elect!AV19</f>
        <v>546</v>
      </c>
      <c r="V15" s="805">
        <f>Elect!AX19</f>
        <v>72</v>
      </c>
      <c r="W15" s="805">
        <f>Elect!AZ19</f>
        <v>3720</v>
      </c>
      <c r="X15" s="805">
        <f>Elect!BB19</f>
        <v>4856.8999999999996</v>
      </c>
      <c r="Y15" s="805">
        <f>Elect!BE19</f>
        <v>358</v>
      </c>
      <c r="Z15" s="805">
        <f>Elect!BG19</f>
        <v>986</v>
      </c>
      <c r="AA15" s="805">
        <f>Elect!BI19</f>
        <v>107</v>
      </c>
      <c r="AB15" s="805">
        <f>Elect!BK19</f>
        <v>217</v>
      </c>
      <c r="AC15" s="869"/>
      <c r="AD15" s="805">
        <f>Water!C20</f>
        <v>0</v>
      </c>
      <c r="AE15" s="805">
        <f>Water!E20</f>
        <v>290</v>
      </c>
      <c r="AF15" s="805">
        <f>Water!G20</f>
        <v>8.1199999999999992</v>
      </c>
      <c r="AG15" s="869"/>
      <c r="AH15" s="805">
        <f>Gas!C20</f>
        <v>935.98</v>
      </c>
      <c r="AI15" s="805">
        <f>Gas!E20</f>
        <v>351.4</v>
      </c>
      <c r="AJ15" s="805">
        <f>Gas!G20</f>
        <v>73</v>
      </c>
      <c r="AK15" s="812">
        <v>41</v>
      </c>
    </row>
    <row r="16" spans="1:37" ht="12.75" customHeight="1">
      <c r="A16" s="818" t="s">
        <v>11</v>
      </c>
      <c r="B16" s="795">
        <f t="shared" si="0"/>
        <v>15</v>
      </c>
      <c r="C16" s="837">
        <v>1</v>
      </c>
      <c r="D16" s="817">
        <v>2021</v>
      </c>
      <c r="E16" s="869"/>
      <c r="F16" s="805">
        <f>Elect!J20</f>
        <v>4525</v>
      </c>
      <c r="G16" s="805">
        <f>Elect!K20</f>
        <v>3046</v>
      </c>
      <c r="H16" s="805">
        <f>Elect!Q20</f>
        <v>570</v>
      </c>
      <c r="I16" s="805">
        <f>Elect!W20</f>
        <v>148</v>
      </c>
      <c r="J16" s="805">
        <f>Elect!Y20</f>
        <v>248</v>
      </c>
      <c r="K16" s="805">
        <f>Elect!AA20</f>
        <v>0</v>
      </c>
      <c r="L16" s="805">
        <f>Elect!AC20</f>
        <v>1250.8</v>
      </c>
      <c r="M16" s="805">
        <f>Elect!AE20</f>
        <v>0</v>
      </c>
      <c r="N16" s="805">
        <f>Elect!AG20</f>
        <v>0</v>
      </c>
      <c r="O16" s="805">
        <f>Elect!AI20</f>
        <v>143.1</v>
      </c>
      <c r="P16" s="805">
        <f>Elect!AK20</f>
        <v>1667.38</v>
      </c>
      <c r="Q16" s="805">
        <f>Elect!AN20</f>
        <v>336</v>
      </c>
      <c r="R16" s="805">
        <f>Elect!AP20</f>
        <v>278</v>
      </c>
      <c r="S16" s="805">
        <f>Elect!AR20</f>
        <v>14.3</v>
      </c>
      <c r="T16" s="805">
        <f>Elect!AT20</f>
        <v>25</v>
      </c>
      <c r="U16" s="805">
        <f>Elect!AV20</f>
        <v>520</v>
      </c>
      <c r="V16" s="805">
        <f>Elect!AX20</f>
        <v>65</v>
      </c>
      <c r="W16" s="805">
        <f>Elect!AZ20</f>
        <v>3546</v>
      </c>
      <c r="X16" s="805">
        <f>Elect!BB20</f>
        <v>4455.3999999999996</v>
      </c>
      <c r="Y16" s="805">
        <f>Elect!BE20</f>
        <v>358</v>
      </c>
      <c r="Z16" s="805">
        <f>Elect!BG20</f>
        <v>876</v>
      </c>
      <c r="AA16" s="805">
        <f>Elect!BI20</f>
        <v>100</v>
      </c>
      <c r="AB16" s="805">
        <f>Elect!BK20</f>
        <v>202</v>
      </c>
      <c r="AC16" s="869"/>
      <c r="AD16" s="805">
        <f>Water!C21</f>
        <v>0</v>
      </c>
      <c r="AE16" s="805">
        <f>Water!E21</f>
        <v>261</v>
      </c>
      <c r="AF16" s="805">
        <f>Water!G21</f>
        <v>7.5399999999999991</v>
      </c>
      <c r="AG16" s="869"/>
      <c r="AH16" s="805">
        <f>Gas!C21</f>
        <v>935.98</v>
      </c>
      <c r="AI16" s="805">
        <f>Gas!E21</f>
        <v>261.09999999999997</v>
      </c>
      <c r="AJ16" s="805">
        <f>Gas!G21</f>
        <v>73</v>
      </c>
      <c r="AK16" s="812">
        <v>41</v>
      </c>
    </row>
    <row r="17" spans="1:37" ht="12.75" customHeight="1">
      <c r="A17" s="818" t="s">
        <v>11</v>
      </c>
      <c r="B17" s="795">
        <f t="shared" si="0"/>
        <v>16</v>
      </c>
      <c r="C17" s="837">
        <v>1</v>
      </c>
      <c r="D17" s="817">
        <v>2021</v>
      </c>
      <c r="E17" s="869"/>
      <c r="F17" s="805">
        <f>Elect!J21</f>
        <v>4214</v>
      </c>
      <c r="G17" s="805">
        <f>Elect!K21</f>
        <v>2757</v>
      </c>
      <c r="H17" s="805">
        <f>Elect!Q21</f>
        <v>510</v>
      </c>
      <c r="I17" s="805">
        <f>Elect!W21</f>
        <v>134</v>
      </c>
      <c r="J17" s="805">
        <f>Elect!Y21</f>
        <v>221</v>
      </c>
      <c r="K17" s="805">
        <f>Elect!AA21</f>
        <v>0</v>
      </c>
      <c r="L17" s="805">
        <f>Elect!AC21</f>
        <v>1276.24</v>
      </c>
      <c r="M17" s="805">
        <f>Elect!AE21</f>
        <v>0</v>
      </c>
      <c r="N17" s="805">
        <f>Elect!AG21</f>
        <v>0</v>
      </c>
      <c r="O17" s="805">
        <f>Elect!AI21</f>
        <v>139.39000000000001</v>
      </c>
      <c r="P17" s="805">
        <f>Elect!AK21</f>
        <v>1616.5</v>
      </c>
      <c r="Q17" s="805">
        <f>Elect!AN21</f>
        <v>939</v>
      </c>
      <c r="R17" s="805">
        <f>Elect!AP21</f>
        <v>265</v>
      </c>
      <c r="S17" s="805">
        <f>Elect!AR21</f>
        <v>12.98</v>
      </c>
      <c r="T17" s="805">
        <f>Elect!AT21</f>
        <v>23</v>
      </c>
      <c r="U17" s="805">
        <f>Elect!AV21</f>
        <v>445</v>
      </c>
      <c r="V17" s="805">
        <f>Elect!AX21</f>
        <v>59</v>
      </c>
      <c r="W17" s="805">
        <f>Elect!AZ21</f>
        <v>3203</v>
      </c>
      <c r="X17" s="805">
        <f>Elect!BB21</f>
        <v>4043</v>
      </c>
      <c r="Y17" s="805">
        <f>Elect!BE21</f>
        <v>358</v>
      </c>
      <c r="Z17" s="805">
        <f>Elect!BG21</f>
        <v>790</v>
      </c>
      <c r="AA17" s="805">
        <f>Elect!BI21</f>
        <v>96</v>
      </c>
      <c r="AB17" s="805">
        <f>Elect!BK21</f>
        <v>186</v>
      </c>
      <c r="AC17" s="869"/>
      <c r="AD17" s="805">
        <f>Water!C22</f>
        <v>0</v>
      </c>
      <c r="AE17" s="805">
        <f>Water!E22</f>
        <v>231.99999999999997</v>
      </c>
      <c r="AF17" s="805">
        <f>Water!G22</f>
        <v>9.86</v>
      </c>
      <c r="AG17" s="869"/>
      <c r="AH17" s="805">
        <f>Gas!C22</f>
        <v>1128.9000000000001</v>
      </c>
      <c r="AI17" s="805">
        <f>Gas!E22</f>
        <v>102.89999999999999</v>
      </c>
      <c r="AJ17" s="805">
        <f>Gas!G22</f>
        <v>55</v>
      </c>
      <c r="AK17" s="812">
        <v>41</v>
      </c>
    </row>
    <row r="18" spans="1:37" ht="12.75" customHeight="1">
      <c r="A18" s="818" t="s">
        <v>11</v>
      </c>
      <c r="B18" s="795">
        <f t="shared" si="0"/>
        <v>17</v>
      </c>
      <c r="C18" s="837">
        <v>1</v>
      </c>
      <c r="D18" s="817">
        <v>2021</v>
      </c>
      <c r="E18" s="869"/>
      <c r="F18" s="805">
        <f>Elect!J22</f>
        <v>5085</v>
      </c>
      <c r="G18" s="805">
        <f>Elect!K22</f>
        <v>3396</v>
      </c>
      <c r="H18" s="805">
        <f>Elect!Q22</f>
        <v>630</v>
      </c>
      <c r="I18" s="805">
        <f>Elect!W22</f>
        <v>156</v>
      </c>
      <c r="J18" s="805">
        <f>Elect!Y22</f>
        <v>259</v>
      </c>
      <c r="K18" s="805">
        <f>Elect!AA22</f>
        <v>0</v>
      </c>
      <c r="L18" s="805">
        <f>Elect!AC22</f>
        <v>2094.56</v>
      </c>
      <c r="M18" s="805">
        <f>Elect!AE22</f>
        <v>0</v>
      </c>
      <c r="N18" s="805">
        <f>Elect!AG22</f>
        <v>0</v>
      </c>
      <c r="O18" s="805">
        <f>Elect!AI22</f>
        <v>178.61</v>
      </c>
      <c r="P18" s="805">
        <f>Elect!AK22</f>
        <v>2240.84</v>
      </c>
      <c r="Q18" s="805">
        <f>Elect!AN22</f>
        <v>692</v>
      </c>
      <c r="R18" s="805">
        <f>Elect!AP22</f>
        <v>295</v>
      </c>
      <c r="S18" s="805">
        <f>Elect!AR22</f>
        <v>13.53</v>
      </c>
      <c r="T18" s="805">
        <f>Elect!AT22</f>
        <v>35</v>
      </c>
      <c r="U18" s="805">
        <f>Elect!AV22</f>
        <v>527</v>
      </c>
      <c r="V18" s="805">
        <f>Elect!AX22</f>
        <v>61</v>
      </c>
      <c r="W18" s="805">
        <f>Elect!AZ22</f>
        <v>3712</v>
      </c>
      <c r="X18" s="805">
        <f>Elect!BB22</f>
        <v>4627.1000000000004</v>
      </c>
      <c r="Y18" s="805">
        <f>Elect!BE22</f>
        <v>358</v>
      </c>
      <c r="Z18" s="805">
        <f>Elect!BG22</f>
        <v>959</v>
      </c>
      <c r="AA18" s="805">
        <f>Elect!BI22</f>
        <v>129</v>
      </c>
      <c r="AB18" s="805">
        <f>Elect!BK22</f>
        <v>212</v>
      </c>
      <c r="AC18" s="869"/>
      <c r="AD18" s="805">
        <f>Water!C23</f>
        <v>0</v>
      </c>
      <c r="AE18" s="805">
        <f>Water!E23</f>
        <v>226.2</v>
      </c>
      <c r="AF18" s="805">
        <f>Water!G23</f>
        <v>7.5399999999999991</v>
      </c>
      <c r="AG18" s="869"/>
      <c r="AH18" s="805">
        <f>Gas!C23</f>
        <v>1068.48</v>
      </c>
      <c r="AI18" s="805">
        <f>Gas!E23</f>
        <v>243.6</v>
      </c>
      <c r="AJ18" s="805">
        <f>Gas!G23</f>
        <v>81</v>
      </c>
      <c r="AK18" s="812">
        <v>41</v>
      </c>
    </row>
    <row r="19" spans="1:37" ht="12.75" customHeight="1">
      <c r="A19" s="818" t="s">
        <v>11</v>
      </c>
      <c r="B19" s="795">
        <f t="shared" si="0"/>
        <v>18</v>
      </c>
      <c r="C19" s="837">
        <v>1</v>
      </c>
      <c r="D19" s="817">
        <v>2021</v>
      </c>
      <c r="E19" s="869"/>
      <c r="F19" s="805">
        <f>Elect!J23</f>
        <v>4854</v>
      </c>
      <c r="G19" s="805">
        <f>Elect!K23</f>
        <v>3066</v>
      </c>
      <c r="H19" s="805">
        <f>Elect!Q23</f>
        <v>690</v>
      </c>
      <c r="I19" s="805">
        <f>Elect!W23</f>
        <v>141</v>
      </c>
      <c r="J19" s="805">
        <f>Elect!Y23</f>
        <v>232</v>
      </c>
      <c r="K19" s="805">
        <f>Elect!AA23</f>
        <v>0</v>
      </c>
      <c r="L19" s="805">
        <f>Elect!AC23</f>
        <v>288.32</v>
      </c>
      <c r="M19" s="805">
        <f>Elect!AE23</f>
        <v>0</v>
      </c>
      <c r="N19" s="805">
        <f>Elect!AG23</f>
        <v>695.89</v>
      </c>
      <c r="O19" s="805">
        <f>Elect!AI23</f>
        <v>145.22</v>
      </c>
      <c r="P19" s="805">
        <f>Elect!AK23</f>
        <v>1532.23</v>
      </c>
      <c r="Q19" s="805">
        <f>Elect!AN23</f>
        <v>670</v>
      </c>
      <c r="R19" s="805">
        <f>Elect!AP23</f>
        <v>288</v>
      </c>
      <c r="S19" s="805">
        <f>Elect!AR23</f>
        <v>13.2</v>
      </c>
      <c r="T19" s="805">
        <f>Elect!AT23</f>
        <v>35</v>
      </c>
      <c r="U19" s="805">
        <f>Elect!AV23</f>
        <v>492</v>
      </c>
      <c r="V19" s="805">
        <f>Elect!AX23</f>
        <v>62</v>
      </c>
      <c r="W19" s="805">
        <f>Elect!AZ23</f>
        <v>3503</v>
      </c>
      <c r="X19" s="805">
        <f>Elect!BB23</f>
        <v>4143.2</v>
      </c>
      <c r="Y19" s="805">
        <f>Elect!BE23</f>
        <v>358</v>
      </c>
      <c r="Z19" s="805">
        <f>Elect!BG23</f>
        <v>878</v>
      </c>
      <c r="AA19" s="805">
        <f>Elect!BI23</f>
        <v>106</v>
      </c>
      <c r="AB19" s="805">
        <f>Elect!BK23</f>
        <v>197</v>
      </c>
      <c r="AC19" s="869"/>
      <c r="AD19" s="805">
        <f>Water!C24</f>
        <v>5.8</v>
      </c>
      <c r="AE19" s="805">
        <f>Water!E24</f>
        <v>220.39999999999998</v>
      </c>
      <c r="AF19" s="805">
        <f>Water!G24</f>
        <v>7.5399999999999991</v>
      </c>
      <c r="AG19" s="869"/>
      <c r="AH19" s="805">
        <f>Gas!C24</f>
        <v>912.66000000000008</v>
      </c>
      <c r="AI19" s="805">
        <f>Gas!E24</f>
        <v>210</v>
      </c>
      <c r="AJ19" s="805">
        <f>Gas!G24</f>
        <v>74</v>
      </c>
      <c r="AK19" s="812">
        <v>41</v>
      </c>
    </row>
    <row r="20" spans="1:37" ht="12.75" customHeight="1">
      <c r="A20" s="818" t="s">
        <v>11</v>
      </c>
      <c r="B20" s="795">
        <f t="shared" si="0"/>
        <v>19</v>
      </c>
      <c r="C20" s="837">
        <v>1</v>
      </c>
      <c r="D20" s="817">
        <v>2021</v>
      </c>
      <c r="E20" s="869"/>
      <c r="F20" s="805">
        <f>Elect!J24</f>
        <v>4933</v>
      </c>
      <c r="G20" s="805">
        <f>Elect!K24</f>
        <v>3070</v>
      </c>
      <c r="H20" s="805">
        <f>Elect!Q24</f>
        <v>390</v>
      </c>
      <c r="I20" s="805">
        <f>Elect!W24</f>
        <v>148</v>
      </c>
      <c r="J20" s="805">
        <f>Elect!Y24</f>
        <v>248</v>
      </c>
      <c r="K20" s="805">
        <f>Elect!AA24</f>
        <v>0</v>
      </c>
      <c r="L20" s="805">
        <f>Elect!AC24</f>
        <v>0</v>
      </c>
      <c r="M20" s="805">
        <f>Elect!AE24</f>
        <v>374.71000000000004</v>
      </c>
      <c r="N20" s="805">
        <f>Elect!AG24</f>
        <v>646.07000000000005</v>
      </c>
      <c r="O20" s="805">
        <f>Elect!AI24</f>
        <v>154.76000000000002</v>
      </c>
      <c r="P20" s="805">
        <f>Elect!AK24</f>
        <v>1515.27</v>
      </c>
      <c r="Q20" s="805">
        <f>Elect!AN24</f>
        <v>921</v>
      </c>
      <c r="R20" s="805">
        <f>Elect!AP24</f>
        <v>275</v>
      </c>
      <c r="S20" s="805">
        <f>Elect!AR24</f>
        <v>13.64</v>
      </c>
      <c r="T20" s="805">
        <f>Elect!AT24</f>
        <v>34</v>
      </c>
      <c r="U20" s="805">
        <f>Elect!AV24</f>
        <v>693</v>
      </c>
      <c r="V20" s="805">
        <f>Elect!AX24</f>
        <v>50</v>
      </c>
      <c r="W20" s="805">
        <f>Elect!AZ24</f>
        <v>3474</v>
      </c>
      <c r="X20" s="805">
        <f>Elect!BB24</f>
        <v>4202</v>
      </c>
      <c r="Y20" s="805">
        <f>Elect!BE24</f>
        <v>358</v>
      </c>
      <c r="Z20" s="805">
        <f>Elect!BG24</f>
        <v>890</v>
      </c>
      <c r="AA20" s="805">
        <f>Elect!BI24</f>
        <v>110</v>
      </c>
      <c r="AB20" s="805">
        <f>Elect!BK24</f>
        <v>203</v>
      </c>
      <c r="AC20" s="869"/>
      <c r="AD20" s="805">
        <f>Water!C25</f>
        <v>0</v>
      </c>
      <c r="AE20" s="805">
        <f>Water!E25</f>
        <v>243.6</v>
      </c>
      <c r="AF20" s="805">
        <f>Water!G25</f>
        <v>8.1199999999999992</v>
      </c>
      <c r="AG20" s="869"/>
      <c r="AH20" s="805">
        <f>Gas!C25</f>
        <v>1192.5</v>
      </c>
      <c r="AI20" s="805">
        <f>Gas!E25</f>
        <v>296.79999999999995</v>
      </c>
      <c r="AJ20" s="805">
        <f>Gas!G25</f>
        <v>63</v>
      </c>
      <c r="AK20" s="812">
        <v>41</v>
      </c>
    </row>
    <row r="21" spans="1:37" ht="12.75" customHeight="1">
      <c r="A21" s="818" t="s">
        <v>11</v>
      </c>
      <c r="B21" s="795">
        <f t="shared" si="0"/>
        <v>20</v>
      </c>
      <c r="C21" s="837">
        <v>1</v>
      </c>
      <c r="D21" s="817">
        <v>2021</v>
      </c>
      <c r="E21" s="869"/>
      <c r="F21" s="805">
        <f>Elect!J25</f>
        <v>5011</v>
      </c>
      <c r="G21" s="805">
        <f>Elect!K25</f>
        <v>3095</v>
      </c>
      <c r="H21" s="805">
        <f>Elect!Q25</f>
        <v>330</v>
      </c>
      <c r="I21" s="805">
        <f>Elect!W25</f>
        <v>146</v>
      </c>
      <c r="J21" s="805">
        <f>Elect!Y25</f>
        <v>240</v>
      </c>
      <c r="K21" s="805">
        <f>Elect!AA25</f>
        <v>0</v>
      </c>
      <c r="L21" s="805">
        <f>Elect!AC25</f>
        <v>0</v>
      </c>
      <c r="M21" s="805">
        <f>Elect!AE25</f>
        <v>1241.26</v>
      </c>
      <c r="N21" s="805">
        <f>Elect!AG25</f>
        <v>0</v>
      </c>
      <c r="O21" s="805">
        <f>Elect!AI25</f>
        <v>193.98000000000002</v>
      </c>
      <c r="P21" s="805">
        <f>Elect!AK25</f>
        <v>1630.8100000000002</v>
      </c>
      <c r="Q21" s="805">
        <f>Elect!AN25</f>
        <v>737</v>
      </c>
      <c r="R21" s="805">
        <f>Elect!AP25</f>
        <v>286</v>
      </c>
      <c r="S21" s="805">
        <f>Elect!AR25</f>
        <v>13.75</v>
      </c>
      <c r="T21" s="805">
        <f>Elect!AT25</f>
        <v>33</v>
      </c>
      <c r="U21" s="805">
        <f>Elect!AV25</f>
        <v>759</v>
      </c>
      <c r="V21" s="805">
        <f>Elect!AX25</f>
        <v>63</v>
      </c>
      <c r="W21" s="805">
        <f>Elect!AZ25</f>
        <v>3283</v>
      </c>
      <c r="X21" s="805">
        <f>Elect!BB25</f>
        <v>4115.2</v>
      </c>
      <c r="Y21" s="805">
        <f>Elect!BE25</f>
        <v>358</v>
      </c>
      <c r="Z21" s="805">
        <f>Elect!BG25</f>
        <v>848</v>
      </c>
      <c r="AA21" s="805">
        <f>Elect!BI25</f>
        <v>102</v>
      </c>
      <c r="AB21" s="805">
        <f>Elect!BK25</f>
        <v>202</v>
      </c>
      <c r="AC21" s="869"/>
      <c r="AD21" s="805">
        <f>Water!C26</f>
        <v>0</v>
      </c>
      <c r="AE21" s="805">
        <f>Water!E26</f>
        <v>249.39999999999998</v>
      </c>
      <c r="AF21" s="805">
        <f>Water!G26</f>
        <v>8.1199999999999992</v>
      </c>
      <c r="AG21" s="869"/>
      <c r="AH21" s="805">
        <f>Gas!C26</f>
        <v>1171.3</v>
      </c>
      <c r="AI21" s="805">
        <f>Gas!E26</f>
        <v>283.5</v>
      </c>
      <c r="AJ21" s="805">
        <f>Gas!G26</f>
        <v>79</v>
      </c>
      <c r="AK21" s="812">
        <v>41</v>
      </c>
    </row>
    <row r="22" spans="1:37" ht="12.75" customHeight="1">
      <c r="A22" s="818" t="s">
        <v>11</v>
      </c>
      <c r="B22" s="795">
        <f t="shared" si="0"/>
        <v>21</v>
      </c>
      <c r="C22" s="837">
        <v>1</v>
      </c>
      <c r="D22" s="817">
        <v>2021</v>
      </c>
      <c r="E22" s="869"/>
      <c r="F22" s="805">
        <f>Elect!J26</f>
        <v>4918</v>
      </c>
      <c r="G22" s="805">
        <f>Elect!K26</f>
        <v>3051</v>
      </c>
      <c r="H22" s="805">
        <f>Elect!Q26</f>
        <v>660</v>
      </c>
      <c r="I22" s="805">
        <f>Elect!W26</f>
        <v>142</v>
      </c>
      <c r="J22" s="805">
        <f>Elect!Y26</f>
        <v>238</v>
      </c>
      <c r="K22" s="805">
        <f>Elect!AA26</f>
        <v>0</v>
      </c>
      <c r="L22" s="805">
        <f>Elect!AC26</f>
        <v>0</v>
      </c>
      <c r="M22" s="805">
        <f>Elect!AE26</f>
        <v>1585.23</v>
      </c>
      <c r="N22" s="805">
        <f>Elect!AG26</f>
        <v>0</v>
      </c>
      <c r="O22" s="805">
        <f>Elect!AI26</f>
        <v>155.29000000000002</v>
      </c>
      <c r="P22" s="805">
        <f>Elect!AK26</f>
        <v>1745.2900000000002</v>
      </c>
      <c r="Q22" s="805">
        <f>Elect!AN26</f>
        <v>659</v>
      </c>
      <c r="R22" s="805">
        <f>Elect!AP26</f>
        <v>285</v>
      </c>
      <c r="S22" s="805">
        <f>Elect!AR26</f>
        <v>13.75</v>
      </c>
      <c r="T22" s="805">
        <f>Elect!AT26</f>
        <v>30</v>
      </c>
      <c r="U22" s="805">
        <f>Elect!AV26</f>
        <v>671</v>
      </c>
      <c r="V22" s="805">
        <f>Elect!AX26</f>
        <v>55</v>
      </c>
      <c r="W22" s="805">
        <f>Elect!AZ26</f>
        <v>3279</v>
      </c>
      <c r="X22" s="805">
        <f>Elect!BB26</f>
        <v>3961.3999999999996</v>
      </c>
      <c r="Y22" s="805">
        <f>Elect!BE26</f>
        <v>358</v>
      </c>
      <c r="Z22" s="805">
        <f>Elect!BG26</f>
        <v>806</v>
      </c>
      <c r="AA22" s="805">
        <f>Elect!BI26</f>
        <v>102</v>
      </c>
      <c r="AB22" s="805">
        <f>Elect!BK26</f>
        <v>199</v>
      </c>
      <c r="AC22" s="869"/>
      <c r="AD22" s="805">
        <f>Water!C27</f>
        <v>5.8</v>
      </c>
      <c r="AE22" s="805">
        <f>Water!E27</f>
        <v>266.79999999999995</v>
      </c>
      <c r="AF22" s="805">
        <f>Water!G27</f>
        <v>6.9599999999999991</v>
      </c>
      <c r="AG22" s="869"/>
      <c r="AH22" s="805">
        <f>Gas!C27</f>
        <v>870.26</v>
      </c>
      <c r="AI22" s="805">
        <f>Gas!E27</f>
        <v>179.89999999999998</v>
      </c>
      <c r="AJ22" s="805">
        <f>Gas!G27</f>
        <v>68</v>
      </c>
      <c r="AK22" s="812">
        <v>42</v>
      </c>
    </row>
    <row r="23" spans="1:37" ht="12.75" customHeight="1">
      <c r="A23" s="818" t="s">
        <v>11</v>
      </c>
      <c r="B23" s="795">
        <f t="shared" si="0"/>
        <v>22</v>
      </c>
      <c r="C23" s="837">
        <v>1</v>
      </c>
      <c r="D23" s="817">
        <v>2021</v>
      </c>
      <c r="E23" s="869"/>
      <c r="F23" s="805">
        <f>Elect!J27</f>
        <v>4726</v>
      </c>
      <c r="G23" s="805">
        <f>Elect!K27</f>
        <v>2930</v>
      </c>
      <c r="H23" s="805">
        <f>Elect!Q27</f>
        <v>600</v>
      </c>
      <c r="I23" s="805">
        <f>Elect!W27</f>
        <v>144</v>
      </c>
      <c r="J23" s="805">
        <f>Elect!Y27</f>
        <v>239</v>
      </c>
      <c r="K23" s="805">
        <f>Elect!AA27</f>
        <v>0</v>
      </c>
      <c r="L23" s="805">
        <f>Elect!AC27</f>
        <v>0</v>
      </c>
      <c r="M23" s="805">
        <f>Elect!AE27</f>
        <v>744.12</v>
      </c>
      <c r="N23" s="805">
        <f>Elect!AG27</f>
        <v>0</v>
      </c>
      <c r="O23" s="805">
        <f>Elect!AI27</f>
        <v>113.95</v>
      </c>
      <c r="P23" s="805">
        <f>Elect!AK27</f>
        <v>1214.76</v>
      </c>
      <c r="Q23" s="805">
        <f>Elect!AN27</f>
        <v>501</v>
      </c>
      <c r="R23" s="805">
        <f>Elect!AP27</f>
        <v>307</v>
      </c>
      <c r="S23" s="805">
        <f>Elect!AR27</f>
        <v>11.22</v>
      </c>
      <c r="T23" s="805">
        <f>Elect!AT27</f>
        <v>19</v>
      </c>
      <c r="U23" s="805">
        <f>Elect!AV27</f>
        <v>341</v>
      </c>
      <c r="V23" s="805">
        <f>Elect!AX27</f>
        <v>59</v>
      </c>
      <c r="W23" s="805">
        <f>Elect!AZ27</f>
        <v>3394</v>
      </c>
      <c r="X23" s="805">
        <f>Elect!BB27</f>
        <v>3917.3</v>
      </c>
      <c r="Y23" s="805">
        <f>Elect!BE27</f>
        <v>358</v>
      </c>
      <c r="Z23" s="805">
        <f>Elect!BG27</f>
        <v>782</v>
      </c>
      <c r="AA23" s="805">
        <f>Elect!BI27</f>
        <v>101</v>
      </c>
      <c r="AB23" s="805">
        <f>Elect!BK27</f>
        <v>201</v>
      </c>
      <c r="AC23" s="869"/>
      <c r="AD23" s="805">
        <f>Water!C28</f>
        <v>0</v>
      </c>
      <c r="AE23" s="805">
        <f>Water!E28</f>
        <v>261</v>
      </c>
      <c r="AF23" s="805">
        <f>Water!G28</f>
        <v>9.86</v>
      </c>
      <c r="AG23" s="869"/>
      <c r="AH23" s="805">
        <f>Gas!C28</f>
        <v>1160.7</v>
      </c>
      <c r="AI23" s="805">
        <f>Gas!E28</f>
        <v>379.4</v>
      </c>
      <c r="AJ23" s="805">
        <f>Gas!G28</f>
        <v>73</v>
      </c>
      <c r="AK23" s="812">
        <v>42</v>
      </c>
    </row>
    <row r="24" spans="1:37" ht="12.75" customHeight="1">
      <c r="A24" s="818" t="s">
        <v>11</v>
      </c>
      <c r="B24" s="795">
        <f t="shared" si="0"/>
        <v>23</v>
      </c>
      <c r="C24" s="837">
        <v>1</v>
      </c>
      <c r="D24" s="817">
        <v>2021</v>
      </c>
      <c r="E24" s="869"/>
      <c r="F24" s="805">
        <f>Elect!J28</f>
        <v>4556</v>
      </c>
      <c r="G24" s="805">
        <f>Elect!K28</f>
        <v>2869</v>
      </c>
      <c r="H24" s="805">
        <f>Elect!Q28</f>
        <v>540</v>
      </c>
      <c r="I24" s="805">
        <f>Elect!W28</f>
        <v>145</v>
      </c>
      <c r="J24" s="805">
        <f>Elect!Y28</f>
        <v>239</v>
      </c>
      <c r="K24" s="805">
        <f>Elect!AA28</f>
        <v>0</v>
      </c>
      <c r="L24" s="805">
        <f>Elect!AC28</f>
        <v>0</v>
      </c>
      <c r="M24" s="805">
        <f>Elect!AE28</f>
        <v>1163.8800000000001</v>
      </c>
      <c r="N24" s="805">
        <f>Elect!AG28</f>
        <v>0</v>
      </c>
      <c r="O24" s="805">
        <f>Elect!AI28</f>
        <v>170.66</v>
      </c>
      <c r="P24" s="805">
        <f>Elect!AK28</f>
        <v>1619.15</v>
      </c>
      <c r="Q24" s="805">
        <f>Elect!AN28</f>
        <v>638</v>
      </c>
      <c r="R24" s="805">
        <f>Elect!AP28</f>
        <v>294</v>
      </c>
      <c r="S24" s="805">
        <f>Elect!AR28</f>
        <v>9.1300000000000008</v>
      </c>
      <c r="T24" s="805">
        <f>Elect!AT28</f>
        <v>19</v>
      </c>
      <c r="U24" s="805">
        <f>Elect!AV28</f>
        <v>341</v>
      </c>
      <c r="V24" s="805">
        <f>Elect!AX28</f>
        <v>63</v>
      </c>
      <c r="W24" s="805">
        <f>Elect!AZ28</f>
        <v>3556</v>
      </c>
      <c r="X24" s="805">
        <f>Elect!BB28</f>
        <v>4040.8999999999996</v>
      </c>
      <c r="Y24" s="805">
        <f>Elect!BE28</f>
        <v>358</v>
      </c>
      <c r="Z24" s="805">
        <f>Elect!BG28</f>
        <v>851</v>
      </c>
      <c r="AA24" s="805">
        <f>Elect!BI28</f>
        <v>127</v>
      </c>
      <c r="AB24" s="805">
        <f>Elect!BK28</f>
        <v>202</v>
      </c>
      <c r="AC24" s="869"/>
      <c r="AD24" s="805">
        <f>Water!C29</f>
        <v>0</v>
      </c>
      <c r="AE24" s="805">
        <f>Water!E29</f>
        <v>214.6</v>
      </c>
      <c r="AF24" s="805">
        <f>Water!G29</f>
        <v>8.1199999999999992</v>
      </c>
      <c r="AG24" s="869"/>
      <c r="AH24" s="805">
        <f>Gas!C29</f>
        <v>999.58</v>
      </c>
      <c r="AI24" s="805">
        <f>Gas!E29</f>
        <v>332.5</v>
      </c>
      <c r="AJ24" s="805">
        <f>Gas!G29</f>
        <v>65</v>
      </c>
      <c r="AK24" s="812">
        <v>42</v>
      </c>
    </row>
    <row r="25" spans="1:37" ht="12.75" customHeight="1">
      <c r="A25" s="818" t="s">
        <v>11</v>
      </c>
      <c r="B25" s="795">
        <f t="shared" si="0"/>
        <v>24</v>
      </c>
      <c r="C25" s="837">
        <v>1</v>
      </c>
      <c r="D25" s="817">
        <v>2021</v>
      </c>
      <c r="E25" s="869"/>
      <c r="F25" s="805">
        <f>Elect!J29</f>
        <v>4688</v>
      </c>
      <c r="G25" s="805">
        <f>Elect!K29</f>
        <v>2974</v>
      </c>
      <c r="H25" s="805">
        <f>Elect!Q29</f>
        <v>690</v>
      </c>
      <c r="I25" s="805">
        <f>Elect!W29</f>
        <v>143</v>
      </c>
      <c r="J25" s="805">
        <f>Elect!Y29</f>
        <v>237</v>
      </c>
      <c r="K25" s="805">
        <f>Elect!AA29</f>
        <v>0</v>
      </c>
      <c r="L25" s="805">
        <f>Elect!AC29</f>
        <v>906.30000000000007</v>
      </c>
      <c r="M25" s="805">
        <f>Elect!AE29</f>
        <v>683.17000000000007</v>
      </c>
      <c r="N25" s="805">
        <f>Elect!AG29</f>
        <v>0</v>
      </c>
      <c r="O25" s="805">
        <f>Elect!AI29</f>
        <v>148.4</v>
      </c>
      <c r="P25" s="805">
        <f>Elect!AK29</f>
        <v>1566.68</v>
      </c>
      <c r="Q25" s="805">
        <f>Elect!AN29</f>
        <v>814</v>
      </c>
      <c r="R25" s="805">
        <f>Elect!AP29</f>
        <v>263</v>
      </c>
      <c r="S25" s="805">
        <f>Elect!AR29</f>
        <v>13.53</v>
      </c>
      <c r="T25" s="805">
        <f>Elect!AT29</f>
        <v>30</v>
      </c>
      <c r="U25" s="805">
        <f>Elect!AV29</f>
        <v>345</v>
      </c>
      <c r="V25" s="805">
        <f>Elect!AX29</f>
        <v>64</v>
      </c>
      <c r="W25" s="805">
        <f>Elect!AZ29</f>
        <v>3478</v>
      </c>
      <c r="X25" s="805">
        <f>Elect!BB29</f>
        <v>4041</v>
      </c>
      <c r="Y25" s="805">
        <f>Elect!BE29</f>
        <v>358</v>
      </c>
      <c r="Z25" s="805">
        <f>Elect!BG29</f>
        <v>895</v>
      </c>
      <c r="AA25" s="805">
        <f>Elect!BI29</f>
        <v>118</v>
      </c>
      <c r="AB25" s="805">
        <f>Elect!BK29</f>
        <v>200</v>
      </c>
      <c r="AC25" s="869"/>
      <c r="AD25" s="805">
        <f>Water!C30</f>
        <v>0</v>
      </c>
      <c r="AE25" s="805">
        <f>Water!E30</f>
        <v>191.39999999999998</v>
      </c>
      <c r="AF25" s="805">
        <f>Water!G30</f>
        <v>28.999999999999996</v>
      </c>
      <c r="AG25" s="869"/>
      <c r="AH25" s="805">
        <f>Gas!C30</f>
        <v>1131.02</v>
      </c>
      <c r="AI25" s="805">
        <f>Gas!E30</f>
        <v>284.89999999999998</v>
      </c>
      <c r="AJ25" s="805">
        <f>Gas!G30</f>
        <v>83</v>
      </c>
      <c r="AK25" s="812">
        <v>42</v>
      </c>
    </row>
    <row r="26" spans="1:37" ht="12.75" customHeight="1">
      <c r="A26" s="818" t="s">
        <v>11</v>
      </c>
      <c r="B26" s="795">
        <f>B25+1</f>
        <v>25</v>
      </c>
      <c r="C26" s="837">
        <v>1</v>
      </c>
      <c r="D26" s="817">
        <v>2021</v>
      </c>
      <c r="E26" s="869"/>
      <c r="F26" s="805">
        <f>Elect!J30</f>
        <v>4941</v>
      </c>
      <c r="G26" s="805">
        <f>Elect!K30</f>
        <v>3145</v>
      </c>
      <c r="H26" s="805">
        <f>Elect!Q30</f>
        <v>630</v>
      </c>
      <c r="I26" s="805">
        <f>Elect!W30</f>
        <v>157</v>
      </c>
      <c r="J26" s="805">
        <f>Elect!Y30</f>
        <v>262</v>
      </c>
      <c r="K26" s="805">
        <f>Elect!AA30</f>
        <v>117.13000000000001</v>
      </c>
      <c r="L26" s="805">
        <f>Elect!AC30</f>
        <v>796.06000000000006</v>
      </c>
      <c r="M26" s="805">
        <f>Elect!AE30</f>
        <v>0</v>
      </c>
      <c r="N26" s="805">
        <f>Elect!AG30</f>
        <v>0</v>
      </c>
      <c r="O26" s="805">
        <f>Elect!AI30</f>
        <v>156.88</v>
      </c>
      <c r="P26" s="805">
        <f>Elect!AK30</f>
        <v>1687.52</v>
      </c>
      <c r="Q26" s="805">
        <f>Elect!AN30</f>
        <v>808</v>
      </c>
      <c r="R26" s="805">
        <f>Elect!AP30</f>
        <v>278</v>
      </c>
      <c r="S26" s="805">
        <f>Elect!AR30</f>
        <v>14.74</v>
      </c>
      <c r="T26" s="805">
        <f>Elect!AT30</f>
        <v>34</v>
      </c>
      <c r="U26" s="805">
        <f>Elect!AV30</f>
        <v>403</v>
      </c>
      <c r="V26" s="805">
        <f>Elect!AX30</f>
        <v>70</v>
      </c>
      <c r="W26" s="805">
        <f>Elect!AZ30</f>
        <v>3672</v>
      </c>
      <c r="X26" s="805">
        <f>Elect!BB30</f>
        <v>4240.3</v>
      </c>
      <c r="Y26" s="805">
        <f>Elect!BE30</f>
        <v>358</v>
      </c>
      <c r="Z26" s="805">
        <f>Elect!BG30</f>
        <v>917</v>
      </c>
      <c r="AA26" s="805">
        <f>Elect!BI30</f>
        <v>111</v>
      </c>
      <c r="AB26" s="805">
        <f>Elect!BK30</f>
        <v>218</v>
      </c>
      <c r="AC26" s="869"/>
      <c r="AD26" s="805">
        <f>Water!C31</f>
        <v>0</v>
      </c>
      <c r="AE26" s="805">
        <f>Water!E31</f>
        <v>179.79999999999998</v>
      </c>
      <c r="AF26" s="805">
        <f>Water!G31</f>
        <v>9.2799999999999994</v>
      </c>
      <c r="AG26" s="869"/>
      <c r="AH26" s="805">
        <f>Gas!C31</f>
        <v>1015.48</v>
      </c>
      <c r="AI26" s="805">
        <f>Gas!E31</f>
        <v>191.1</v>
      </c>
      <c r="AJ26" s="805">
        <f>Gas!G31</f>
        <v>64</v>
      </c>
      <c r="AK26" s="812">
        <v>42</v>
      </c>
    </row>
    <row r="27" spans="1:37" ht="12.75" customHeight="1">
      <c r="A27" s="818" t="s">
        <v>11</v>
      </c>
      <c r="B27" s="795">
        <f t="shared" si="0"/>
        <v>26</v>
      </c>
      <c r="C27" s="837">
        <v>1</v>
      </c>
      <c r="D27" s="817">
        <v>2021</v>
      </c>
      <c r="E27" s="869"/>
      <c r="F27" s="805">
        <f>Elect!J31</f>
        <v>4111</v>
      </c>
      <c r="G27" s="805">
        <f>Elect!K31</f>
        <v>2726</v>
      </c>
      <c r="H27" s="805">
        <f>Elect!Q31</f>
        <v>600</v>
      </c>
      <c r="I27" s="805">
        <f>Elect!W31</f>
        <v>134</v>
      </c>
      <c r="J27" s="805">
        <f>Elect!Y31</f>
        <v>182</v>
      </c>
      <c r="K27" s="805">
        <f>Elect!AA31</f>
        <v>3.18</v>
      </c>
      <c r="L27" s="805">
        <f>Elect!AC31</f>
        <v>1450.0800000000002</v>
      </c>
      <c r="M27" s="805">
        <f>Elect!AE31</f>
        <v>0</v>
      </c>
      <c r="N27" s="805">
        <f>Elect!AG31</f>
        <v>0</v>
      </c>
      <c r="O27" s="805">
        <f>Elect!AI31</f>
        <v>195.57000000000002</v>
      </c>
      <c r="P27" s="805">
        <f>Elect!AK31</f>
        <v>1751.65</v>
      </c>
      <c r="Q27" s="805">
        <f>Elect!AN31</f>
        <v>414</v>
      </c>
      <c r="R27" s="805">
        <f>Elect!AP31</f>
        <v>264</v>
      </c>
      <c r="S27" s="805">
        <f>Elect!AR31</f>
        <v>11.22</v>
      </c>
      <c r="T27" s="805">
        <f>Elect!AT31</f>
        <v>33</v>
      </c>
      <c r="U27" s="805">
        <f>Elect!AV31</f>
        <v>317</v>
      </c>
      <c r="V27" s="805">
        <f>Elect!AX31</f>
        <v>62</v>
      </c>
      <c r="W27" s="805">
        <f>Elect!AZ31</f>
        <v>3284</v>
      </c>
      <c r="X27" s="805">
        <f>Elect!BB31</f>
        <v>3603</v>
      </c>
      <c r="Y27" s="805">
        <f>Elect!BE31</f>
        <v>358</v>
      </c>
      <c r="Z27" s="805">
        <f>Elect!BG31</f>
        <v>865</v>
      </c>
      <c r="AA27" s="805">
        <f>Elect!BI31</f>
        <v>98</v>
      </c>
      <c r="AB27" s="805">
        <f>Elect!BK31</f>
        <v>187</v>
      </c>
      <c r="AC27" s="869"/>
      <c r="AD27" s="805">
        <f>Water!C32</f>
        <v>0</v>
      </c>
      <c r="AE27" s="805">
        <f>Water!E32</f>
        <v>231.99999999999997</v>
      </c>
      <c r="AF27" s="805">
        <f>Water!G32</f>
        <v>0</v>
      </c>
      <c r="AG27" s="869"/>
      <c r="AH27" s="805">
        <f>Gas!C32</f>
        <v>908.42000000000007</v>
      </c>
      <c r="AI27" s="805">
        <f>Gas!E32</f>
        <v>261.09999999999997</v>
      </c>
      <c r="AJ27" s="805">
        <f>Gas!G32</f>
        <v>71</v>
      </c>
      <c r="AK27" s="812">
        <v>42</v>
      </c>
    </row>
    <row r="28" spans="1:37" ht="12.75" customHeight="1">
      <c r="A28" s="818" t="s">
        <v>11</v>
      </c>
      <c r="B28" s="795">
        <f t="shared" si="0"/>
        <v>27</v>
      </c>
      <c r="C28" s="837">
        <v>1</v>
      </c>
      <c r="D28" s="817">
        <v>2021</v>
      </c>
      <c r="E28" s="869"/>
      <c r="F28" s="805">
        <f>Elect!J32</f>
        <v>4257</v>
      </c>
      <c r="G28" s="805">
        <f>Elect!K32</f>
        <v>2692</v>
      </c>
      <c r="H28" s="805">
        <f>Elect!Q32</f>
        <v>630</v>
      </c>
      <c r="I28" s="805">
        <f>Elect!W32</f>
        <v>151</v>
      </c>
      <c r="J28" s="805">
        <f>Elect!Y32</f>
        <v>290</v>
      </c>
      <c r="K28" s="805">
        <f>Elect!AA32</f>
        <v>0</v>
      </c>
      <c r="L28" s="805">
        <f>Elect!AC32</f>
        <v>1373.23</v>
      </c>
      <c r="M28" s="805">
        <f>Elect!AE32</f>
        <v>0</v>
      </c>
      <c r="N28" s="805">
        <f>Elect!AG32</f>
        <v>0</v>
      </c>
      <c r="O28" s="805">
        <f>Elect!AI32</f>
        <v>161.65</v>
      </c>
      <c r="P28" s="805">
        <f>Elect!AK32</f>
        <v>1733.63</v>
      </c>
      <c r="Q28" s="805">
        <f>Elect!AN32</f>
        <v>642</v>
      </c>
      <c r="R28" s="805">
        <f>Elect!AP32</f>
        <v>276</v>
      </c>
      <c r="S28" s="805">
        <f>Elect!AR32</f>
        <v>13.09</v>
      </c>
      <c r="T28" s="805">
        <f>Elect!AT32</f>
        <v>40</v>
      </c>
      <c r="U28" s="805">
        <f>Elect!AV32</f>
        <v>376</v>
      </c>
      <c r="V28" s="805">
        <f>Elect!AX32</f>
        <v>61</v>
      </c>
      <c r="W28" s="805">
        <f>Elect!AZ32</f>
        <v>3471</v>
      </c>
      <c r="X28" s="805">
        <f>Elect!BB32</f>
        <v>4375.7</v>
      </c>
      <c r="Y28" s="805">
        <f>Elect!BE32</f>
        <v>358</v>
      </c>
      <c r="Z28" s="805">
        <f>Elect!BG32</f>
        <v>873</v>
      </c>
      <c r="AA28" s="805">
        <f>Elect!BI32</f>
        <v>145</v>
      </c>
      <c r="AB28" s="805">
        <f>Elect!BK32</f>
        <v>210</v>
      </c>
      <c r="AC28" s="869"/>
      <c r="AD28" s="805">
        <f>Water!C33</f>
        <v>5.8</v>
      </c>
      <c r="AE28" s="805">
        <f>Water!E33</f>
        <v>301.59999999999997</v>
      </c>
      <c r="AF28" s="805">
        <f>Water!G33</f>
        <v>0</v>
      </c>
      <c r="AG28" s="869"/>
      <c r="AH28" s="805">
        <f>Gas!C33</f>
        <v>1204.1600000000001</v>
      </c>
      <c r="AI28" s="805">
        <f>Gas!E33</f>
        <v>319.2</v>
      </c>
      <c r="AJ28" s="805">
        <f>Gas!G33</f>
        <v>41</v>
      </c>
      <c r="AK28" s="812">
        <v>42</v>
      </c>
    </row>
    <row r="29" spans="1:37" ht="12.75" customHeight="1">
      <c r="A29" s="818" t="s">
        <v>11</v>
      </c>
      <c r="B29" s="795">
        <f t="shared" si="0"/>
        <v>28</v>
      </c>
      <c r="C29" s="837">
        <v>1</v>
      </c>
      <c r="D29" s="817">
        <v>2021</v>
      </c>
      <c r="E29" s="869"/>
      <c r="F29" s="805">
        <f>Elect!J33</f>
        <v>4337</v>
      </c>
      <c r="G29" s="805">
        <f>Elect!K33</f>
        <v>3002</v>
      </c>
      <c r="H29" s="805">
        <f>Elect!Q33</f>
        <v>540</v>
      </c>
      <c r="I29" s="805">
        <f>Elect!W33</f>
        <v>140</v>
      </c>
      <c r="J29" s="805">
        <f>Elect!Y33</f>
        <v>232</v>
      </c>
      <c r="K29" s="805">
        <f>Elect!AA33</f>
        <v>0</v>
      </c>
      <c r="L29" s="805">
        <f>Elect!AC33</f>
        <v>1589.47</v>
      </c>
      <c r="M29" s="805">
        <f>Elect!AE33</f>
        <v>0</v>
      </c>
      <c r="N29" s="805">
        <f>Elect!AG33</f>
        <v>0</v>
      </c>
      <c r="O29" s="805">
        <f>Elect!AI33</f>
        <v>173.84</v>
      </c>
      <c r="P29" s="805">
        <f>Elect!AK33</f>
        <v>1617.03</v>
      </c>
      <c r="Q29" s="805">
        <f>Elect!AN33</f>
        <v>832</v>
      </c>
      <c r="R29" s="805">
        <f>Elect!AP33</f>
        <v>291</v>
      </c>
      <c r="S29" s="805">
        <f>Elect!AR33</f>
        <v>11.55</v>
      </c>
      <c r="T29" s="805">
        <f>Elect!AT33</f>
        <v>20</v>
      </c>
      <c r="U29" s="805">
        <f>Elect!AV33</f>
        <v>335</v>
      </c>
      <c r="V29" s="805">
        <f>Elect!AX33</f>
        <v>58</v>
      </c>
      <c r="W29" s="805">
        <f>Elect!AZ33</f>
        <v>3347</v>
      </c>
      <c r="X29" s="805">
        <f>Elect!BB33</f>
        <v>3865.3999999999996</v>
      </c>
      <c r="Y29" s="805">
        <f>Elect!BE33</f>
        <v>358</v>
      </c>
      <c r="Z29" s="805">
        <f>Elect!BG33</f>
        <v>991</v>
      </c>
      <c r="AA29" s="805">
        <f>Elect!BI33</f>
        <v>120</v>
      </c>
      <c r="AB29" s="805">
        <f>Elect!BK33</f>
        <v>192</v>
      </c>
      <c r="AC29" s="869"/>
      <c r="AD29" s="805">
        <f>Water!C34</f>
        <v>0</v>
      </c>
      <c r="AE29" s="805">
        <f>Water!E34</f>
        <v>295.79999999999995</v>
      </c>
      <c r="AF29" s="805">
        <f>Water!G34</f>
        <v>0</v>
      </c>
      <c r="AG29" s="869"/>
      <c r="AH29" s="805">
        <f>Gas!C34</f>
        <v>1168.1200000000001</v>
      </c>
      <c r="AI29" s="805">
        <f>Gas!E34</f>
        <v>333.9</v>
      </c>
      <c r="AJ29" s="805">
        <f>Gas!G34</f>
        <v>51</v>
      </c>
      <c r="AK29" s="812">
        <v>42</v>
      </c>
    </row>
    <row r="30" spans="1:37" ht="12.75" customHeight="1">
      <c r="A30" s="818" t="s">
        <v>11</v>
      </c>
      <c r="B30" s="795">
        <f t="shared" si="0"/>
        <v>29</v>
      </c>
      <c r="C30" s="837">
        <v>1</v>
      </c>
      <c r="D30" s="817">
        <v>2021</v>
      </c>
      <c r="E30" s="869"/>
      <c r="F30" s="805">
        <f>Elect!J34</f>
        <v>3670</v>
      </c>
      <c r="G30" s="805">
        <f>Elect!K34</f>
        <v>0</v>
      </c>
      <c r="H30" s="805">
        <f>Elect!Q34</f>
        <v>540</v>
      </c>
      <c r="I30" s="805">
        <f>Elect!W34</f>
        <v>143</v>
      </c>
      <c r="J30" s="805">
        <f>Elect!Y34</f>
        <v>235</v>
      </c>
      <c r="K30" s="805">
        <f>Elect!AA34</f>
        <v>0</v>
      </c>
      <c r="L30" s="805">
        <f>Elect!AC34</f>
        <v>1019.19</v>
      </c>
      <c r="M30" s="805">
        <f>Elect!AE34</f>
        <v>0</v>
      </c>
      <c r="N30" s="805">
        <f>Elect!AG34</f>
        <v>0</v>
      </c>
      <c r="O30" s="805">
        <f>Elect!AI34</f>
        <v>130.38</v>
      </c>
      <c r="P30" s="805">
        <f>Elect!AK34</f>
        <v>1486.1200000000001</v>
      </c>
      <c r="Q30" s="805">
        <f>Elect!AN34</f>
        <v>759</v>
      </c>
      <c r="R30" s="805">
        <f>Elect!AP34</f>
        <v>277</v>
      </c>
      <c r="S30" s="805">
        <f>Elect!AR34</f>
        <v>11.44</v>
      </c>
      <c r="T30" s="805">
        <f>Elect!AT34</f>
        <v>20</v>
      </c>
      <c r="U30" s="805">
        <f>Elect!AV34</f>
        <v>342</v>
      </c>
      <c r="V30" s="805">
        <f>Elect!AX34</f>
        <v>62</v>
      </c>
      <c r="W30" s="805">
        <f>Elect!AZ34</f>
        <v>3325</v>
      </c>
      <c r="X30" s="805">
        <f>Elect!BB34</f>
        <v>3820.8</v>
      </c>
      <c r="Y30" s="805">
        <f>Elect!BE34</f>
        <v>358</v>
      </c>
      <c r="Z30" s="805">
        <f>Elect!BG34</f>
        <v>862</v>
      </c>
      <c r="AA30" s="805">
        <f>Elect!BI34</f>
        <v>102</v>
      </c>
      <c r="AB30" s="805">
        <f>Elect!BK34</f>
        <v>195</v>
      </c>
      <c r="AC30" s="869"/>
      <c r="AD30" s="805">
        <f>Water!C35</f>
        <v>0</v>
      </c>
      <c r="AE30" s="805">
        <f>Water!E35</f>
        <v>174</v>
      </c>
      <c r="AF30" s="805">
        <f>Water!G35</f>
        <v>0</v>
      </c>
      <c r="AG30" s="869"/>
      <c r="AH30" s="805">
        <f>Gas!C35</f>
        <v>766.38</v>
      </c>
      <c r="AI30" s="805">
        <f>Gas!E35</f>
        <v>233.79999999999998</v>
      </c>
      <c r="AJ30" s="805">
        <f>Gas!G35</f>
        <v>149</v>
      </c>
      <c r="AK30" s="812">
        <v>42</v>
      </c>
    </row>
    <row r="31" spans="1:37" ht="12.75" customHeight="1">
      <c r="A31" s="818" t="s">
        <v>11</v>
      </c>
      <c r="B31" s="795">
        <f t="shared" si="0"/>
        <v>30</v>
      </c>
      <c r="C31" s="837">
        <v>1</v>
      </c>
      <c r="D31" s="817">
        <v>2021</v>
      </c>
      <c r="E31" s="869"/>
      <c r="F31" s="805">
        <f>Elect!J35</f>
        <v>5340</v>
      </c>
      <c r="G31" s="805">
        <f>Elect!K35</f>
        <v>2683</v>
      </c>
      <c r="H31" s="805">
        <f>Elect!Q35</f>
        <v>420</v>
      </c>
      <c r="I31" s="805">
        <f>Elect!W35</f>
        <v>142</v>
      </c>
      <c r="J31" s="805">
        <f>Elect!Y35</f>
        <v>266</v>
      </c>
      <c r="K31" s="805">
        <f>Elect!AA35</f>
        <v>0</v>
      </c>
      <c r="L31" s="805">
        <f>Elect!AC35</f>
        <v>1363.16</v>
      </c>
      <c r="M31" s="805">
        <f>Elect!AE35</f>
        <v>0</v>
      </c>
      <c r="N31" s="805">
        <f>Elect!AG35</f>
        <v>0</v>
      </c>
      <c r="O31" s="805">
        <f>Elect!AI35</f>
        <v>164.83</v>
      </c>
      <c r="P31" s="805">
        <f>Elect!AK35</f>
        <v>1571.45</v>
      </c>
      <c r="Q31" s="805">
        <f>Elect!AN35</f>
        <v>591</v>
      </c>
      <c r="R31" s="805">
        <f>Elect!AP35</f>
        <v>301</v>
      </c>
      <c r="S31" s="805">
        <f>Elect!AR35</f>
        <v>14.52</v>
      </c>
      <c r="T31" s="805">
        <f>Elect!AT35</f>
        <v>34</v>
      </c>
      <c r="U31" s="805">
        <f>Elect!AV35</f>
        <v>649</v>
      </c>
      <c r="V31" s="805">
        <f>Elect!AX35</f>
        <v>59</v>
      </c>
      <c r="W31" s="805">
        <f>Elect!AZ35</f>
        <v>3527</v>
      </c>
      <c r="X31" s="805">
        <f>Elect!BB35</f>
        <v>3758.3999999999996</v>
      </c>
      <c r="Y31" s="805">
        <f>Elect!BE35</f>
        <v>392</v>
      </c>
      <c r="Z31" s="805">
        <f>Elect!BG35</f>
        <v>791</v>
      </c>
      <c r="AA31" s="805">
        <f>Elect!BI35</f>
        <v>110</v>
      </c>
      <c r="AB31" s="805">
        <f>Elect!BK35</f>
        <v>209</v>
      </c>
      <c r="AC31" s="869"/>
      <c r="AD31" s="805">
        <f>Water!C36</f>
        <v>5.8</v>
      </c>
      <c r="AE31" s="805">
        <f>Water!E36</f>
        <v>295.79999999999995</v>
      </c>
      <c r="AF31" s="805">
        <f>Water!G36</f>
        <v>0</v>
      </c>
      <c r="AG31" s="869"/>
      <c r="AH31" s="805">
        <f>Gas!C36</f>
        <v>604.20000000000005</v>
      </c>
      <c r="AI31" s="805">
        <f>Gas!E36</f>
        <v>268.09999999999997</v>
      </c>
      <c r="AJ31" s="805">
        <f>Gas!G36</f>
        <v>73</v>
      </c>
      <c r="AK31" s="812">
        <v>42</v>
      </c>
    </row>
    <row r="32" spans="1:37" ht="12.75" customHeight="1">
      <c r="A32" s="819" t="s">
        <v>11</v>
      </c>
      <c r="B32" s="820">
        <f>B31+1</f>
        <v>31</v>
      </c>
      <c r="C32" s="837">
        <v>1</v>
      </c>
      <c r="D32" s="817">
        <v>2021</v>
      </c>
      <c r="E32" s="870"/>
      <c r="F32" s="805">
        <f>Elect!J36</f>
        <v>4562</v>
      </c>
      <c r="G32" s="805">
        <f>Elect!K36</f>
        <v>2818</v>
      </c>
      <c r="H32" s="805">
        <f>Elect!Q36</f>
        <v>570</v>
      </c>
      <c r="I32" s="805">
        <f>Elect!W36</f>
        <v>144</v>
      </c>
      <c r="J32" s="805">
        <f>Elect!Y36</f>
        <v>243</v>
      </c>
      <c r="K32" s="805">
        <f>Elect!AA36</f>
        <v>0</v>
      </c>
      <c r="L32" s="805">
        <f>Elect!AC36</f>
        <v>1307.51</v>
      </c>
      <c r="M32" s="805">
        <f>Elect!AE36</f>
        <v>0</v>
      </c>
      <c r="N32" s="805">
        <f>Elect!AG36</f>
        <v>0</v>
      </c>
      <c r="O32" s="805">
        <f>Elect!AI36</f>
        <v>160.06</v>
      </c>
      <c r="P32" s="805">
        <f>Elect!AK36</f>
        <v>1604.3100000000002</v>
      </c>
      <c r="Q32" s="805">
        <f>Elect!AN36</f>
        <v>679</v>
      </c>
      <c r="R32" s="805">
        <f>Elect!AP36</f>
        <v>284</v>
      </c>
      <c r="S32" s="805">
        <f>Elect!AR36</f>
        <v>12.65</v>
      </c>
      <c r="T32" s="805">
        <f>Elect!AT36</f>
        <v>29</v>
      </c>
      <c r="U32" s="805">
        <f>Elect!AV36</f>
        <v>424</v>
      </c>
      <c r="V32" s="805">
        <f>Elect!AX36</f>
        <v>61</v>
      </c>
      <c r="W32" s="805">
        <f>Elect!AZ36</f>
        <v>3432</v>
      </c>
      <c r="X32" s="805">
        <f>Elect!BB36</f>
        <v>3383.0000000014902</v>
      </c>
      <c r="Y32" s="805">
        <f>Elect!BE36</f>
        <v>351</v>
      </c>
      <c r="Z32" s="805">
        <f>Elect!BG36</f>
        <v>871</v>
      </c>
      <c r="AA32" s="805">
        <f>Elect!BI36</f>
        <v>114</v>
      </c>
      <c r="AB32" s="805">
        <f>Elect!BK36</f>
        <v>201</v>
      </c>
      <c r="AC32" s="870"/>
      <c r="AD32" s="805">
        <f>Water!C37</f>
        <v>0</v>
      </c>
      <c r="AE32" s="805">
        <f>Water!E37</f>
        <v>208.79999999999998</v>
      </c>
      <c r="AF32" s="805">
        <f>Water!G37</f>
        <v>0</v>
      </c>
      <c r="AG32" s="870"/>
      <c r="AH32" s="805">
        <f>Gas!C37</f>
        <v>1490.3600000000001</v>
      </c>
      <c r="AI32" s="805">
        <f>Gas!E37</f>
        <v>202.29999999999998</v>
      </c>
      <c r="AJ32" s="805">
        <f>Gas!G37</f>
        <v>41</v>
      </c>
      <c r="AK32" s="812">
        <v>42</v>
      </c>
    </row>
    <row r="33" spans="34:36">
      <c r="AH33" s="802"/>
      <c r="AI33" s="802"/>
      <c r="AJ33" s="802"/>
    </row>
  </sheetData>
  <sheetProtection algorithmName="SHA-512" hashValue="sLNqJnm977fdYBKVXyp+/Q3WN1tgp1nu1P58OAsApaz3BrE1BrZLe8uSw4PQGBmgwPejGnQAYxfbOeL7bLrbiQ==" saltValue="c0MlIh2kxr5RDITYnrbXkA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G1:AG32"/>
    <mergeCell ref="AC1:AC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02"/>
  <sheetViews>
    <sheetView zoomScale="60" zoomScaleNormal="60" zoomScaleSheetLayoutView="70" workbookViewId="0">
      <pane xSplit="8" ySplit="4" topLeftCell="AP21" activePane="bottomRight" state="frozen"/>
      <selection pane="topRight" activeCell="I1" sqref="I1"/>
      <selection pane="bottomLeft" activeCell="A5" sqref="A5"/>
      <selection pane="bottomRight" activeCell="BC3" sqref="BC3"/>
    </sheetView>
  </sheetViews>
  <sheetFormatPr defaultColWidth="10.7109375" defaultRowHeight="30.75" customHeight="1"/>
  <cols>
    <col min="1" max="1" width="26.140625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1" style="26" customWidth="1"/>
    <col min="19" max="19" width="13" style="26" customWidth="1"/>
    <col min="20" max="20" width="20.42578125" style="26" customWidth="1"/>
    <col min="21" max="21" width="13.85546875" style="26" customWidth="1"/>
    <col min="22" max="22" width="20.42578125" style="26" customWidth="1"/>
    <col min="23" max="23" width="17.140625" style="26" customWidth="1"/>
    <col min="24" max="24" width="20.42578125" style="26" customWidth="1"/>
    <col min="25" max="25" width="13.85546875" style="26" customWidth="1"/>
    <col min="26" max="26" width="21" style="26" customWidth="1"/>
    <col min="27" max="27" width="16.85546875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6.42578125" style="26" customWidth="1"/>
    <col min="38" max="38" width="22.140625" style="26" customWidth="1"/>
    <col min="39" max="39" width="21" style="26" customWidth="1"/>
    <col min="40" max="40" width="14.140625" style="26" customWidth="1"/>
    <col min="41" max="41" width="21" style="26" customWidth="1"/>
    <col min="42" max="42" width="12.57031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4.42578125" style="26" customWidth="1"/>
    <col min="50" max="50" width="13" style="26" customWidth="1"/>
    <col min="51" max="51" width="21" style="26" customWidth="1"/>
    <col min="52" max="52" width="13" style="26" customWidth="1"/>
    <col min="53" max="53" width="21" style="26" customWidth="1"/>
    <col min="54" max="54" width="16" style="26" customWidth="1"/>
    <col min="55" max="55" width="23.85546875" style="26" customWidth="1"/>
    <col min="56" max="56" width="21" style="26" customWidth="1"/>
    <col min="57" max="57" width="15.28515625" style="26" bestFit="1" customWidth="1"/>
    <col min="58" max="58" width="21" style="26" customWidth="1"/>
    <col min="59" max="59" width="13" style="26" customWidth="1"/>
    <col min="60" max="60" width="25.5703125" style="26" customWidth="1"/>
    <col min="61" max="61" width="13" style="26" customWidth="1"/>
    <col min="62" max="62" width="17.85546875" style="26" bestFit="1" customWidth="1"/>
    <col min="63" max="63" width="13" style="26" customWidth="1"/>
    <col min="64" max="64" width="21.28515625" style="26" bestFit="1" customWidth="1"/>
    <col min="65" max="65" width="12.28515625" style="26" customWidth="1"/>
    <col min="66" max="66" width="12.42578125" style="29" customWidth="1"/>
    <col min="67" max="67" width="11" style="26" customWidth="1"/>
    <col min="68" max="68" width="12.5703125" style="29" customWidth="1"/>
    <col min="69" max="69" width="15.140625" style="536" customWidth="1"/>
    <col min="70" max="70" width="14.42578125" style="26" customWidth="1"/>
    <col min="71" max="71" width="12.7109375" style="26" customWidth="1"/>
    <col min="72" max="72" width="9.28515625" style="26" bestFit="1" customWidth="1"/>
    <col min="73" max="73" width="26.28515625" style="26" customWidth="1"/>
    <col min="74" max="74" width="13" style="26" customWidth="1"/>
    <col min="75" max="117" width="10.7109375" style="26" customWidth="1"/>
    <col min="118" max="118" width="3" style="26" bestFit="1" customWidth="1"/>
    <col min="119" max="16384" width="10.7109375" style="26"/>
  </cols>
  <sheetData>
    <row r="1" spans="1:71" ht="30.75" customHeight="1" thickBot="1">
      <c r="A1" s="880" t="s">
        <v>46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82" t="s">
        <v>14</v>
      </c>
      <c r="N1" s="882"/>
      <c r="O1" s="882"/>
      <c r="Q1" s="882"/>
      <c r="R1" s="882"/>
      <c r="S1" s="882"/>
      <c r="U1" s="534"/>
      <c r="V1" s="534"/>
      <c r="W1" s="534"/>
      <c r="X1" s="534"/>
      <c r="Y1" s="534"/>
      <c r="Z1" s="853"/>
      <c r="AA1" s="853"/>
      <c r="AB1" s="853"/>
      <c r="AC1" s="853"/>
      <c r="AD1" s="853"/>
      <c r="AE1" s="853"/>
      <c r="AF1" s="853"/>
      <c r="AG1" s="853"/>
      <c r="AH1" s="853"/>
      <c r="AI1" s="853"/>
      <c r="AJ1" s="853"/>
      <c r="AK1" s="853"/>
      <c r="AL1" s="853"/>
      <c r="AM1" s="853"/>
      <c r="AN1" s="853"/>
      <c r="AO1" s="853"/>
      <c r="AP1" s="853"/>
      <c r="AQ1" s="853"/>
      <c r="AR1" s="853"/>
      <c r="AS1" s="853"/>
      <c r="AT1" s="853"/>
      <c r="AU1" s="853"/>
      <c r="AV1" s="853"/>
      <c r="AW1" s="853"/>
      <c r="AX1" s="853"/>
      <c r="AY1" s="853"/>
      <c r="AZ1" s="853"/>
      <c r="BA1" s="853"/>
      <c r="BB1" s="853"/>
      <c r="BC1" s="853"/>
      <c r="BD1" s="534"/>
      <c r="BE1" s="534"/>
      <c r="BF1" s="853"/>
      <c r="BG1" s="853"/>
      <c r="BH1" s="529"/>
      <c r="BI1" s="533"/>
      <c r="BJ1" s="530"/>
      <c r="BK1" s="191"/>
      <c r="BL1" s="594" t="s">
        <v>47</v>
      </c>
      <c r="BM1" s="595">
        <v>5.9999999999999995E-4</v>
      </c>
      <c r="BN1" s="596" t="s">
        <v>48</v>
      </c>
      <c r="BO1" s="597"/>
      <c r="BP1" s="598">
        <v>500</v>
      </c>
      <c r="BQ1" s="599" t="s">
        <v>49</v>
      </c>
      <c r="BR1" s="600"/>
      <c r="BS1" s="598">
        <v>0.46</v>
      </c>
    </row>
    <row r="2" spans="1:71" ht="28.5" customHeight="1" thickBot="1">
      <c r="A2" s="881"/>
      <c r="B2" s="114"/>
      <c r="C2" s="28"/>
      <c r="D2" s="28"/>
      <c r="E2" s="189"/>
      <c r="F2" s="189"/>
      <c r="I2" s="190"/>
      <c r="M2" s="883"/>
      <c r="N2" s="883"/>
      <c r="O2" s="883"/>
      <c r="Q2" s="883"/>
      <c r="R2" s="883"/>
      <c r="S2" s="883"/>
      <c r="U2" s="535"/>
      <c r="V2" s="535"/>
      <c r="W2" s="535"/>
      <c r="X2" s="535"/>
      <c r="Y2" s="535"/>
      <c r="Z2" s="854"/>
      <c r="AA2" s="854"/>
      <c r="AB2" s="854"/>
      <c r="AC2" s="854"/>
      <c r="AD2" s="854"/>
      <c r="AE2" s="854"/>
      <c r="AF2" s="854"/>
      <c r="AG2" s="854"/>
      <c r="AH2" s="854"/>
      <c r="AI2" s="854"/>
      <c r="AJ2" s="854"/>
      <c r="AK2" s="854"/>
      <c r="AL2" s="849">
        <f>SUM(AL22:AL36)</f>
        <v>46363.340000000004</v>
      </c>
      <c r="AM2" s="854"/>
      <c r="AN2" s="854"/>
      <c r="AO2" s="854"/>
      <c r="AP2" s="854"/>
      <c r="AQ2" s="854"/>
      <c r="AR2" s="854"/>
      <c r="AS2" s="854"/>
      <c r="AT2" s="854"/>
      <c r="AU2" s="854"/>
      <c r="AV2" s="854"/>
      <c r="AW2" s="854"/>
      <c r="AX2" s="854"/>
      <c r="AY2" s="854"/>
      <c r="AZ2" s="854"/>
      <c r="BA2" s="854"/>
      <c r="BB2" s="854"/>
      <c r="BC2" s="849">
        <f>SUM(BC22:BC36)</f>
        <v>135013.66000000149</v>
      </c>
      <c r="BD2" s="535"/>
      <c r="BE2" s="535"/>
      <c r="BF2" s="854"/>
      <c r="BG2" s="854"/>
      <c r="BH2" s="528"/>
      <c r="BI2" s="527"/>
      <c r="BJ2" s="531"/>
      <c r="BK2" s="532"/>
      <c r="BL2" s="601" t="s">
        <v>50</v>
      </c>
      <c r="BM2" s="602">
        <v>0.03</v>
      </c>
      <c r="BN2" s="596" t="s">
        <v>51</v>
      </c>
      <c r="BO2" s="600"/>
      <c r="BP2" s="603"/>
      <c r="BQ2" s="599" t="s">
        <v>52</v>
      </c>
      <c r="BR2" s="600"/>
      <c r="BS2" s="598">
        <v>30</v>
      </c>
    </row>
    <row r="3" spans="1:71" s="205" customFormat="1" ht="37.5" customHeight="1">
      <c r="A3" s="874" t="s">
        <v>53</v>
      </c>
      <c r="B3" s="876" t="s">
        <v>54</v>
      </c>
      <c r="C3" s="877"/>
      <c r="D3" s="871" t="s">
        <v>55</v>
      </c>
      <c r="E3" s="871"/>
      <c r="F3" s="871" t="s">
        <v>56</v>
      </c>
      <c r="G3" s="871"/>
      <c r="H3" s="878" t="s">
        <v>57</v>
      </c>
      <c r="I3" s="604" t="s">
        <v>58</v>
      </c>
      <c r="J3" s="540"/>
      <c r="K3" s="851"/>
      <c r="L3" s="871"/>
      <c r="M3" s="871"/>
      <c r="N3" s="871"/>
      <c r="O3" s="871"/>
      <c r="P3" s="871"/>
      <c r="Q3" s="871"/>
      <c r="R3" s="886" t="s">
        <v>59</v>
      </c>
      <c r="S3" s="887"/>
      <c r="T3" s="887"/>
      <c r="U3" s="887"/>
      <c r="V3" s="887"/>
      <c r="W3" s="888"/>
      <c r="X3" s="855"/>
      <c r="Y3" s="855"/>
      <c r="Z3" s="607"/>
      <c r="AA3" s="608"/>
      <c r="AB3" s="608"/>
      <c r="AC3" s="608"/>
      <c r="AD3" s="609" t="s">
        <v>60</v>
      </c>
      <c r="AE3" s="608"/>
      <c r="AF3" s="608"/>
      <c r="AG3" s="608"/>
      <c r="AH3" s="608"/>
      <c r="AI3" s="608"/>
      <c r="AJ3" s="608"/>
      <c r="AK3" s="610"/>
      <c r="AL3" s="610"/>
      <c r="AM3" s="605"/>
      <c r="AN3" s="611"/>
      <c r="AO3" s="611"/>
      <c r="AP3" s="611"/>
      <c r="AQ3" s="611"/>
      <c r="AR3" s="611"/>
      <c r="AS3" s="611"/>
      <c r="AT3" s="611"/>
      <c r="AU3" s="611"/>
      <c r="AV3" s="611"/>
      <c r="AW3" s="612" t="s">
        <v>61</v>
      </c>
      <c r="AX3" s="613"/>
      <c r="AY3" s="611"/>
      <c r="AZ3" s="611"/>
      <c r="BA3" s="611"/>
      <c r="BB3" s="606"/>
      <c r="BC3" s="606"/>
      <c r="BD3" s="734"/>
      <c r="BE3" s="732"/>
      <c r="BF3" s="732"/>
      <c r="BG3" s="732" t="s">
        <v>62</v>
      </c>
      <c r="BH3" s="732"/>
      <c r="BI3" s="732"/>
      <c r="BJ3" s="732"/>
      <c r="BK3" s="733"/>
      <c r="BL3" s="884" t="s">
        <v>63</v>
      </c>
      <c r="BM3" s="852" t="s">
        <v>64</v>
      </c>
      <c r="BN3" s="852" t="s">
        <v>65</v>
      </c>
      <c r="BO3" s="852" t="s">
        <v>64</v>
      </c>
      <c r="BP3" s="852" t="s">
        <v>65</v>
      </c>
      <c r="BQ3" s="871" t="s">
        <v>66</v>
      </c>
      <c r="BR3" s="614" t="s">
        <v>67</v>
      </c>
      <c r="BS3" s="615" t="s">
        <v>67</v>
      </c>
    </row>
    <row r="4" spans="1:71" s="205" customFormat="1" ht="55.5" customHeight="1" thickBot="1">
      <c r="A4" s="875"/>
      <c r="B4" s="616" t="s">
        <v>68</v>
      </c>
      <c r="C4" s="617" t="s">
        <v>69</v>
      </c>
      <c r="D4" s="541" t="s">
        <v>68</v>
      </c>
      <c r="E4" s="617" t="s">
        <v>70</v>
      </c>
      <c r="F4" s="541" t="s">
        <v>71</v>
      </c>
      <c r="G4" s="617" t="s">
        <v>72</v>
      </c>
      <c r="H4" s="879"/>
      <c r="I4" s="618" t="s">
        <v>73</v>
      </c>
      <c r="J4" s="541" t="s">
        <v>74</v>
      </c>
      <c r="K4" s="541" t="s">
        <v>75</v>
      </c>
      <c r="L4" s="850" t="s">
        <v>76</v>
      </c>
      <c r="M4" s="541" t="s">
        <v>74</v>
      </c>
      <c r="N4" s="541" t="s">
        <v>77</v>
      </c>
      <c r="O4" s="541" t="s">
        <v>74</v>
      </c>
      <c r="P4" s="619" t="s">
        <v>78</v>
      </c>
      <c r="Q4" s="850" t="s">
        <v>79</v>
      </c>
      <c r="R4" s="541" t="s">
        <v>80</v>
      </c>
      <c r="S4" s="541" t="s">
        <v>74</v>
      </c>
      <c r="T4" s="731" t="s">
        <v>81</v>
      </c>
      <c r="U4" s="541" t="s">
        <v>74</v>
      </c>
      <c r="V4" s="731" t="s">
        <v>82</v>
      </c>
      <c r="W4" s="541" t="s">
        <v>74</v>
      </c>
      <c r="X4" s="731" t="s">
        <v>83</v>
      </c>
      <c r="Y4" s="541" t="s">
        <v>74</v>
      </c>
      <c r="Z4" s="555" t="s">
        <v>84</v>
      </c>
      <c r="AA4" s="850" t="s">
        <v>85</v>
      </c>
      <c r="AB4" s="555" t="s">
        <v>86</v>
      </c>
      <c r="AC4" s="850" t="s">
        <v>85</v>
      </c>
      <c r="AD4" s="779" t="s">
        <v>87</v>
      </c>
      <c r="AE4" s="850" t="s">
        <v>85</v>
      </c>
      <c r="AF4" s="555" t="s">
        <v>88</v>
      </c>
      <c r="AG4" s="850" t="s">
        <v>85</v>
      </c>
      <c r="AH4" s="555" t="s">
        <v>89</v>
      </c>
      <c r="AI4" s="850" t="s">
        <v>85</v>
      </c>
      <c r="AJ4" s="555" t="s">
        <v>90</v>
      </c>
      <c r="AK4" s="850" t="s">
        <v>85</v>
      </c>
      <c r="AL4" s="619" t="s">
        <v>91</v>
      </c>
      <c r="AM4" s="850" t="s">
        <v>92</v>
      </c>
      <c r="AN4" s="541" t="s">
        <v>74</v>
      </c>
      <c r="AO4" s="850" t="s">
        <v>93</v>
      </c>
      <c r="AP4" s="541" t="s">
        <v>74</v>
      </c>
      <c r="AQ4" s="850" t="s">
        <v>94</v>
      </c>
      <c r="AR4" s="541" t="s">
        <v>74</v>
      </c>
      <c r="AS4" s="850" t="s">
        <v>95</v>
      </c>
      <c r="AT4" s="541" t="s">
        <v>74</v>
      </c>
      <c r="AU4" s="541" t="s">
        <v>96</v>
      </c>
      <c r="AV4" s="541" t="s">
        <v>74</v>
      </c>
      <c r="AW4" s="850" t="s">
        <v>97</v>
      </c>
      <c r="AX4" s="541" t="s">
        <v>74</v>
      </c>
      <c r="AY4" s="541" t="s">
        <v>98</v>
      </c>
      <c r="AZ4" s="541" t="s">
        <v>74</v>
      </c>
      <c r="BA4" s="541" t="s">
        <v>99</v>
      </c>
      <c r="BB4" s="541" t="s">
        <v>74</v>
      </c>
      <c r="BC4" s="619" t="s">
        <v>100</v>
      </c>
      <c r="BD4" s="850" t="s">
        <v>101</v>
      </c>
      <c r="BE4" s="541" t="s">
        <v>74</v>
      </c>
      <c r="BF4" s="541" t="s">
        <v>102</v>
      </c>
      <c r="BG4" s="541" t="s">
        <v>74</v>
      </c>
      <c r="BH4" s="541" t="s">
        <v>103</v>
      </c>
      <c r="BI4" s="541" t="s">
        <v>74</v>
      </c>
      <c r="BJ4" s="541" t="s">
        <v>104</v>
      </c>
      <c r="BK4" s="541" t="s">
        <v>74</v>
      </c>
      <c r="BL4" s="885"/>
      <c r="BM4" s="541" t="s">
        <v>105</v>
      </c>
      <c r="BN4" s="541" t="s">
        <v>106</v>
      </c>
      <c r="BO4" s="541" t="s">
        <v>107</v>
      </c>
      <c r="BP4" s="541" t="s">
        <v>107</v>
      </c>
      <c r="BQ4" s="872"/>
      <c r="BR4" s="620" t="s">
        <v>108</v>
      </c>
      <c r="BS4" s="621" t="s">
        <v>109</v>
      </c>
    </row>
    <row r="5" spans="1:71" s="385" customFormat="1" ht="39" customHeight="1">
      <c r="A5" s="525" t="s">
        <v>110</v>
      </c>
      <c r="B5" s="431"/>
      <c r="C5" s="432"/>
      <c r="D5" s="432"/>
      <c r="E5" s="432"/>
      <c r="F5" s="432"/>
      <c r="G5" s="432"/>
      <c r="H5" s="433"/>
      <c r="I5" s="834">
        <v>21912456</v>
      </c>
      <c r="J5" s="681">
        <f>IF(I5&gt;=I4,I5-I4,0)</f>
        <v>0</v>
      </c>
      <c r="K5" s="681">
        <f t="shared" ref="K5:K36" si="0">M5+O5</f>
        <v>0</v>
      </c>
      <c r="L5" s="834">
        <v>963064</v>
      </c>
      <c r="M5" s="681">
        <f t="shared" ref="M5:M36" si="1">IF(L5&gt;=L4,L5-L4,0)</f>
        <v>0</v>
      </c>
      <c r="N5" s="834">
        <v>960763</v>
      </c>
      <c r="O5" s="681">
        <f t="shared" ref="O5:O36" si="2">IF(N5&gt;=N4,N5-N4,0)</f>
        <v>0</v>
      </c>
      <c r="P5" s="835">
        <v>214160</v>
      </c>
      <c r="Q5" s="681">
        <f t="shared" ref="Q5:Q18" si="3">IF(P5&gt;=P4,P5-P4,0)*30</f>
        <v>0</v>
      </c>
      <c r="R5" s="834">
        <v>702925</v>
      </c>
      <c r="S5" s="681">
        <f>IF(R5&gt;=R4,R5-R4,0)</f>
        <v>0</v>
      </c>
      <c r="T5" s="834">
        <v>344001</v>
      </c>
      <c r="U5" s="681">
        <f>IF(T5&gt;=T4,T5-T4,0)</f>
        <v>0</v>
      </c>
      <c r="V5" s="834">
        <v>126502</v>
      </c>
      <c r="W5" s="681">
        <f t="shared" ref="U5:W22" si="4">IF(V5&gt;=V4,V5-V4,0)</f>
        <v>0</v>
      </c>
      <c r="X5" s="834">
        <v>230746</v>
      </c>
      <c r="Y5" s="681">
        <f t="shared" ref="Y5:Y28" si="5">IF(X5&gt;=X4,X5-X4,0)</f>
        <v>0</v>
      </c>
      <c r="Z5" s="834">
        <v>315108</v>
      </c>
      <c r="AA5" s="681">
        <f t="shared" ref="AA5:AA36" si="6">IF(Z5&gt;=Z4,Z5-Z4,0)*0.53</f>
        <v>0</v>
      </c>
      <c r="AB5" s="834">
        <v>329557</v>
      </c>
      <c r="AC5" s="681">
        <f t="shared" ref="AC5:AC36" si="7">IF(AB5&gt;=AB4,AB5-AB4,0)*0.53</f>
        <v>0</v>
      </c>
      <c r="AD5" s="834">
        <v>536016</v>
      </c>
      <c r="AE5" s="681">
        <f t="shared" ref="AE5:AE36" si="8">IF(AD5&gt;=AD4,AD5-AD4,0)*0.53</f>
        <v>0</v>
      </c>
      <c r="AF5" s="834">
        <v>289399</v>
      </c>
      <c r="AG5" s="681">
        <f>IF(AF5&gt;=AF4,AF5-AF4,0)*0.53</f>
        <v>0</v>
      </c>
      <c r="AH5" s="834">
        <v>522364</v>
      </c>
      <c r="AI5" s="681">
        <f t="shared" ref="AI5:AI36" si="9">IF(AH5&gt;=AH4,AH5-AH4,0)*0.53</f>
        <v>0</v>
      </c>
      <c r="AJ5" s="834">
        <v>610356</v>
      </c>
      <c r="AK5" s="681">
        <f>IF(AJ5&gt;=AJ4,AJ5-AJ4,0)*0.53</f>
        <v>0</v>
      </c>
      <c r="AL5" s="681">
        <f t="shared" ref="AL5:AL36" si="10">AA5+AC5+AE5+AG5+AI5+AK5</f>
        <v>0</v>
      </c>
      <c r="AM5" s="834">
        <v>7188062</v>
      </c>
      <c r="AN5" s="681">
        <f t="shared" ref="AN5:AN36" si="11">IF(AM5&gt;=AM4,AM5-AM4,0)</f>
        <v>0</v>
      </c>
      <c r="AO5" s="834">
        <v>565575</v>
      </c>
      <c r="AP5" s="681">
        <f t="shared" ref="AP5:AP36" si="12">IF(AO5&gt;=AO4,AO5-AO4,0)</f>
        <v>0</v>
      </c>
      <c r="AQ5" s="835">
        <v>909729</v>
      </c>
      <c r="AR5" s="681">
        <f t="shared" ref="AR5:AR36" si="13">IF(AQ5&gt;=AQ4,AQ5-AQ4,0)*0.11</f>
        <v>0</v>
      </c>
      <c r="AS5" s="834">
        <v>793687</v>
      </c>
      <c r="AT5" s="681">
        <f t="shared" ref="AT5:AT36" si="14">IF(AS5&gt;=AS4,AS5-AS4,0)</f>
        <v>0</v>
      </c>
      <c r="AU5" s="834">
        <v>2322338</v>
      </c>
      <c r="AV5" s="681">
        <f t="shared" ref="AV5:AV36" si="15">IF(AU5&gt;=AU4,AU5-AU4,0)</f>
        <v>0</v>
      </c>
      <c r="AW5" s="835">
        <v>207611</v>
      </c>
      <c r="AX5" s="681">
        <v>0</v>
      </c>
      <c r="AY5" s="835">
        <v>17561805</v>
      </c>
      <c r="AZ5" s="681">
        <f t="shared" ref="AZ5:AZ36" si="16">IF(AY5&gt;=AY4,AY5-AY4,0)</f>
        <v>0</v>
      </c>
      <c r="BA5" s="835">
        <v>21729015</v>
      </c>
      <c r="BB5" s="681">
        <f t="shared" ref="BB5:BB36" si="17">IF(BA5&gt;=BA4,BA5-BA4,0)-(0.6*BG5)-(0.5*BI5)-BK5-BE5</f>
        <v>0</v>
      </c>
      <c r="BC5" s="681">
        <f t="shared" ref="BC5:BC36" si="18">AN5+AP5+AR5+AT5+AV5+AX5+AZ5+BB5</f>
        <v>0</v>
      </c>
      <c r="BD5" s="835">
        <v>1358289</v>
      </c>
      <c r="BE5" s="681">
        <f t="shared" ref="BE5:BE36" si="19">IF(BD5&gt;=BD4,BD5-BD4,0)</f>
        <v>0</v>
      </c>
      <c r="BF5" s="834">
        <v>3465261</v>
      </c>
      <c r="BG5" s="681">
        <f t="shared" ref="BG5:BG36" si="20">IF(BF5&gt;=BF4,BF5-BF4,0)</f>
        <v>0</v>
      </c>
      <c r="BH5" s="834">
        <v>369481</v>
      </c>
      <c r="BI5" s="681">
        <f t="shared" ref="BI5:BI36" si="21">IF(BH5&gt;=BH4,BH5-BH4,0)</f>
        <v>0</v>
      </c>
      <c r="BJ5" s="835">
        <v>446214</v>
      </c>
      <c r="BK5" s="681">
        <f>IF(BJ5&gt;=BJ4,BJ5-BJ4,0)</f>
        <v>0</v>
      </c>
      <c r="BL5" s="834"/>
      <c r="BM5" s="776"/>
      <c r="BN5" s="434"/>
      <c r="BO5" s="774"/>
      <c r="BP5" s="434"/>
      <c r="BQ5" s="432"/>
      <c r="BR5" s="434"/>
      <c r="BS5" s="435"/>
    </row>
    <row r="6" spans="1:71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835">
        <v>21916743</v>
      </c>
      <c r="J6" s="681">
        <f t="shared" ref="J6:J36" si="22">IF(I6&gt;=I5,I6-I5,0)</f>
        <v>4287</v>
      </c>
      <c r="K6" s="681">
        <f t="shared" si="0"/>
        <v>2822</v>
      </c>
      <c r="L6" s="835">
        <v>964445</v>
      </c>
      <c r="M6" s="681">
        <f t="shared" si="1"/>
        <v>1381</v>
      </c>
      <c r="N6" s="835">
        <v>962204</v>
      </c>
      <c r="O6" s="681">
        <f>IF(N6&gt;=N5,N6-N5,0)</f>
        <v>1441</v>
      </c>
      <c r="P6" s="835">
        <v>214178</v>
      </c>
      <c r="Q6" s="681">
        <f t="shared" si="3"/>
        <v>540</v>
      </c>
      <c r="R6" s="834">
        <v>702925</v>
      </c>
      <c r="S6" s="681">
        <f>IF(R6&gt;=R5,R6-R5,0)</f>
        <v>0</v>
      </c>
      <c r="T6" s="834">
        <v>344001</v>
      </c>
      <c r="U6" s="681">
        <f>IF(T6&gt;=T5,T6-T5,0)</f>
        <v>0</v>
      </c>
      <c r="V6" s="834">
        <v>126644</v>
      </c>
      <c r="W6" s="681">
        <f t="shared" si="4"/>
        <v>142</v>
      </c>
      <c r="X6" s="834">
        <v>230977</v>
      </c>
      <c r="Y6" s="681">
        <f t="shared" si="5"/>
        <v>231</v>
      </c>
      <c r="Z6" s="834">
        <v>315108</v>
      </c>
      <c r="AA6" s="681">
        <f t="shared" si="6"/>
        <v>0</v>
      </c>
      <c r="AB6" s="834">
        <v>332833</v>
      </c>
      <c r="AC6" s="681">
        <f t="shared" si="7"/>
        <v>1736.2800000000002</v>
      </c>
      <c r="AD6" s="834">
        <v>537349</v>
      </c>
      <c r="AE6" s="681">
        <f t="shared" si="8"/>
        <v>706.49</v>
      </c>
      <c r="AF6" s="834">
        <v>289399</v>
      </c>
      <c r="AG6" s="681">
        <f>IF(AF6&gt;=AF5,AF6-AF5,0)*0.53</f>
        <v>0</v>
      </c>
      <c r="AH6" s="834">
        <v>522941</v>
      </c>
      <c r="AI6" s="681">
        <f t="shared" si="9"/>
        <v>305.81</v>
      </c>
      <c r="AJ6" s="834">
        <v>613727</v>
      </c>
      <c r="AK6" s="681">
        <f>IF(AJ6&gt;=AJ5,AJ6-AJ5,0)*0.53</f>
        <v>1786.63</v>
      </c>
      <c r="AL6" s="681">
        <f>AA6+AC6+AE6+AG6+AI6+AK6</f>
        <v>4535.2100000000009</v>
      </c>
      <c r="AM6" s="834">
        <v>7188440</v>
      </c>
      <c r="AN6" s="681">
        <f t="shared" si="11"/>
        <v>378</v>
      </c>
      <c r="AO6" s="835">
        <v>565837</v>
      </c>
      <c r="AP6" s="681">
        <f t="shared" si="12"/>
        <v>262</v>
      </c>
      <c r="AQ6" s="835">
        <v>909816</v>
      </c>
      <c r="AR6" s="681">
        <f t="shared" si="13"/>
        <v>9.57</v>
      </c>
      <c r="AS6" s="835">
        <v>793746</v>
      </c>
      <c r="AT6" s="681">
        <f t="shared" si="14"/>
        <v>59</v>
      </c>
      <c r="AU6" s="834">
        <v>2322951</v>
      </c>
      <c r="AV6" s="681">
        <f t="shared" si="15"/>
        <v>613</v>
      </c>
      <c r="AW6" s="835">
        <v>207677</v>
      </c>
      <c r="AX6" s="681">
        <f t="shared" ref="AX6:AX18" si="23">IF(AW6&gt;=AW5,AW6-AW5,0)</f>
        <v>66</v>
      </c>
      <c r="AY6" s="835">
        <v>17565772</v>
      </c>
      <c r="AZ6" s="681">
        <f t="shared" si="16"/>
        <v>3967</v>
      </c>
      <c r="BA6" s="835">
        <v>21733457</v>
      </c>
      <c r="BB6" s="681">
        <f t="shared" si="17"/>
        <v>3506.5</v>
      </c>
      <c r="BC6" s="681">
        <f t="shared" si="18"/>
        <v>8861.07</v>
      </c>
      <c r="BD6" s="835">
        <v>1358647</v>
      </c>
      <c r="BE6" s="681">
        <f t="shared" si="19"/>
        <v>358</v>
      </c>
      <c r="BF6" s="835">
        <v>3465821</v>
      </c>
      <c r="BG6" s="681">
        <f t="shared" si="20"/>
        <v>560</v>
      </c>
      <c r="BH6" s="835">
        <v>369592</v>
      </c>
      <c r="BI6" s="681">
        <f t="shared" si="21"/>
        <v>111</v>
      </c>
      <c r="BJ6" s="835">
        <v>446400</v>
      </c>
      <c r="BK6" s="681">
        <f>IF(BJ6&gt;=BJ5,BJ6-BJ5,0)</f>
        <v>186</v>
      </c>
      <c r="BL6" s="740">
        <f t="shared" ref="BL6:BL36" si="24">J6+Q6+AL6+BC6</f>
        <v>18223.28</v>
      </c>
      <c r="BM6" s="741">
        <v>73</v>
      </c>
      <c r="BN6" s="740" t="e">
        <f>IF(BL6&gt;0,BL6/#REF!,0)</f>
        <v>#REF!</v>
      </c>
      <c r="BO6" s="741"/>
      <c r="BP6" s="740" t="e">
        <f t="shared" ref="BP6:BP36" si="25">IF(BL6&gt;0,BL6/BO6,0)</f>
        <v>#DIV/0!</v>
      </c>
      <c r="BQ6" s="740">
        <f>BL6*BS1</f>
        <v>8382.7088000000003</v>
      </c>
      <c r="BR6" s="740" t="e">
        <f>IF(BQ6&gt;0,BQ6/#REF!,0)</f>
        <v>#REF!</v>
      </c>
      <c r="BS6" s="742" t="e">
        <f>IF(BQ6&gt;0,BQ6/BO6,0)</f>
        <v>#DIV/0!</v>
      </c>
    </row>
    <row r="7" spans="1:71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835">
        <v>21921584</v>
      </c>
      <c r="J7" s="681">
        <f t="shared" si="22"/>
        <v>4841</v>
      </c>
      <c r="K7" s="681">
        <f t="shared" si="0"/>
        <v>3098</v>
      </c>
      <c r="L7" s="835">
        <v>965956</v>
      </c>
      <c r="M7" s="681">
        <f>IF(L7&gt;=L6,L7-L6,0)</f>
        <v>1511</v>
      </c>
      <c r="N7" s="835">
        <v>963791</v>
      </c>
      <c r="O7" s="681">
        <f>IF(N7&gt;=N6,N7-N6,0)</f>
        <v>1587</v>
      </c>
      <c r="P7" s="835">
        <v>214195</v>
      </c>
      <c r="Q7" s="681">
        <f t="shared" si="3"/>
        <v>510</v>
      </c>
      <c r="R7" s="834">
        <v>702925</v>
      </c>
      <c r="S7" s="681">
        <f t="shared" ref="S7:S11" si="26">IF(R7&gt;=R6,R7-R6,0)</f>
        <v>0</v>
      </c>
      <c r="T7" s="834">
        <v>344001</v>
      </c>
      <c r="U7" s="681">
        <f t="shared" si="4"/>
        <v>0</v>
      </c>
      <c r="V7" s="834">
        <v>126792</v>
      </c>
      <c r="W7" s="681">
        <f t="shared" si="4"/>
        <v>148</v>
      </c>
      <c r="X7" s="834">
        <v>231227</v>
      </c>
      <c r="Y7" s="681">
        <f t="shared" si="5"/>
        <v>250</v>
      </c>
      <c r="Z7" s="834">
        <v>315108</v>
      </c>
      <c r="AA7" s="681">
        <f t="shared" si="6"/>
        <v>0</v>
      </c>
      <c r="AB7" s="834">
        <v>335525</v>
      </c>
      <c r="AC7" s="681">
        <f t="shared" si="7"/>
        <v>1426.76</v>
      </c>
      <c r="AD7" s="834">
        <v>537358</v>
      </c>
      <c r="AE7" s="681">
        <f t="shared" si="8"/>
        <v>4.7700000000000005</v>
      </c>
      <c r="AF7" s="834">
        <v>289399</v>
      </c>
      <c r="AG7" s="681">
        <f t="shared" ref="AG7:AG36" si="27">IF(AF7&gt;=AF6,AF7-AF6,0)*0.53</f>
        <v>0</v>
      </c>
      <c r="AH7" s="835">
        <v>523440</v>
      </c>
      <c r="AI7" s="681">
        <f t="shared" si="9"/>
        <v>264.47000000000003</v>
      </c>
      <c r="AJ7" s="835">
        <v>617348</v>
      </c>
      <c r="AK7" s="681">
        <f t="shared" ref="AK7:AK11" si="28">IF(AJ7&gt;=AJ6,AJ7-AJ6,0)*0.53</f>
        <v>1919.13</v>
      </c>
      <c r="AL7" s="681">
        <f t="shared" si="10"/>
        <v>3615.13</v>
      </c>
      <c r="AM7" s="834">
        <v>7189375</v>
      </c>
      <c r="AN7" s="681">
        <f t="shared" si="11"/>
        <v>935</v>
      </c>
      <c r="AO7" s="834">
        <v>566054</v>
      </c>
      <c r="AP7" s="681">
        <f t="shared" si="12"/>
        <v>217</v>
      </c>
      <c r="AQ7" s="834">
        <v>909937</v>
      </c>
      <c r="AR7" s="681">
        <f t="shared" si="13"/>
        <v>13.31</v>
      </c>
      <c r="AS7" s="775">
        <v>793788</v>
      </c>
      <c r="AT7" s="681">
        <f t="shared" si="14"/>
        <v>42</v>
      </c>
      <c r="AU7" s="835">
        <v>2323557</v>
      </c>
      <c r="AV7" s="681">
        <f t="shared" si="15"/>
        <v>606</v>
      </c>
      <c r="AW7" s="834">
        <v>207744</v>
      </c>
      <c r="AX7" s="681">
        <f t="shared" si="23"/>
        <v>67</v>
      </c>
      <c r="AY7" s="835">
        <v>17569424</v>
      </c>
      <c r="AZ7" s="681">
        <f t="shared" si="16"/>
        <v>3652</v>
      </c>
      <c r="BA7" s="835">
        <v>21739028</v>
      </c>
      <c r="BB7" s="681">
        <f t="shared" si="17"/>
        <v>4968</v>
      </c>
      <c r="BC7" s="681">
        <f t="shared" si="18"/>
        <v>10500.31</v>
      </c>
      <c r="BD7" s="835">
        <v>1359005</v>
      </c>
      <c r="BE7" s="681">
        <f t="shared" si="19"/>
        <v>358</v>
      </c>
      <c r="BF7" s="835">
        <v>3466021</v>
      </c>
      <c r="BG7" s="681">
        <f t="shared" si="20"/>
        <v>200</v>
      </c>
      <c r="BH7" s="835">
        <v>369642</v>
      </c>
      <c r="BI7" s="681">
        <f t="shared" si="21"/>
        <v>50</v>
      </c>
      <c r="BJ7" s="834">
        <v>446500</v>
      </c>
      <c r="BK7" s="681">
        <f t="shared" ref="BK7:BK36" si="29">IF(BJ7&gt;=BJ6,BJ7-BJ6,0)</f>
        <v>100</v>
      </c>
      <c r="BL7" s="740">
        <f t="shared" si="24"/>
        <v>19466.440000000002</v>
      </c>
      <c r="BM7" s="741">
        <v>54</v>
      </c>
      <c r="BN7" s="740">
        <f t="shared" ref="BN7:BN12" si="30">IF(BL7&gt;0,BL7/BM6,0)</f>
        <v>266.66356164383564</v>
      </c>
      <c r="BO7" s="741"/>
      <c r="BP7" s="740" t="e">
        <f t="shared" si="25"/>
        <v>#DIV/0!</v>
      </c>
      <c r="BQ7" s="740">
        <f>BL7*BS1</f>
        <v>8954.5624000000007</v>
      </c>
      <c r="BR7" s="740">
        <f t="shared" ref="BR7:BR15" si="31">IF(BQ7&gt;0,BQ7/BM6,0)</f>
        <v>122.66523835616439</v>
      </c>
      <c r="BS7" s="742" t="e">
        <f t="shared" ref="BS7:BS36" si="32">IF(BQ7&gt;0,BQ7/BO7,0)</f>
        <v>#DIV/0!</v>
      </c>
    </row>
    <row r="8" spans="1:71" s="385" customFormat="1" ht="33.75" customHeight="1">
      <c r="A8" s="430">
        <v>3</v>
      </c>
      <c r="B8" s="431"/>
      <c r="C8" s="432">
        <f t="shared" ref="C8:C29" si="33">IF(+B8-B7&gt;0,B8-B7,(B8-B7)&gt;0)*800</f>
        <v>0</v>
      </c>
      <c r="D8" s="432"/>
      <c r="E8" s="432">
        <f t="shared" ref="E8:E29" si="34">IF(+D8-D7&gt;0,D8-D7,(D8-D7)&gt;0)*80</f>
        <v>0</v>
      </c>
      <c r="F8" s="432"/>
      <c r="G8" s="432">
        <f t="shared" ref="G8:G29" si="35">IF(+F8-F7&gt;0,F8-F7,(F8-F7)&gt;0)*10</f>
        <v>0</v>
      </c>
      <c r="H8" s="433">
        <v>57</v>
      </c>
      <c r="I8" s="835">
        <v>21926027</v>
      </c>
      <c r="J8" s="681">
        <f t="shared" si="22"/>
        <v>4443</v>
      </c>
      <c r="K8" s="681">
        <f t="shared" si="0"/>
        <v>2802</v>
      </c>
      <c r="L8" s="835">
        <v>967261</v>
      </c>
      <c r="M8" s="681">
        <f>IF(L8&gt;=L7,L8-L7,0)</f>
        <v>1305</v>
      </c>
      <c r="N8" s="835">
        <v>965288</v>
      </c>
      <c r="O8" s="681">
        <f t="shared" ref="O8:O11" si="36">IF(N8&gt;=N7,N8-N7,0)</f>
        <v>1497</v>
      </c>
      <c r="P8" s="835">
        <v>214213</v>
      </c>
      <c r="Q8" s="681">
        <f t="shared" si="3"/>
        <v>540</v>
      </c>
      <c r="R8" s="834">
        <v>702925</v>
      </c>
      <c r="S8" s="681">
        <f t="shared" si="26"/>
        <v>0</v>
      </c>
      <c r="T8" s="834">
        <v>344001</v>
      </c>
      <c r="U8" s="681">
        <f t="shared" si="4"/>
        <v>0</v>
      </c>
      <c r="V8" s="834">
        <v>126931</v>
      </c>
      <c r="W8" s="681">
        <f t="shared" si="4"/>
        <v>139</v>
      </c>
      <c r="X8" s="834">
        <v>231460</v>
      </c>
      <c r="Y8" s="681">
        <f t="shared" si="5"/>
        <v>233</v>
      </c>
      <c r="Z8" s="834">
        <v>315108</v>
      </c>
      <c r="AA8" s="681">
        <f t="shared" si="6"/>
        <v>0</v>
      </c>
      <c r="AB8" s="835">
        <v>340731</v>
      </c>
      <c r="AC8" s="681">
        <f t="shared" si="7"/>
        <v>2759.1800000000003</v>
      </c>
      <c r="AD8" s="835">
        <v>537358</v>
      </c>
      <c r="AE8" s="681">
        <f t="shared" si="8"/>
        <v>0</v>
      </c>
      <c r="AF8" s="834">
        <v>289399</v>
      </c>
      <c r="AG8" s="681">
        <f t="shared" si="27"/>
        <v>0</v>
      </c>
      <c r="AH8" s="834">
        <v>523885</v>
      </c>
      <c r="AI8" s="681">
        <f t="shared" si="9"/>
        <v>235.85000000000002</v>
      </c>
      <c r="AJ8" s="834">
        <v>621170</v>
      </c>
      <c r="AK8" s="681">
        <f t="shared" si="28"/>
        <v>2025.66</v>
      </c>
      <c r="AL8" s="681">
        <f t="shared" si="10"/>
        <v>5020.6900000000005</v>
      </c>
      <c r="AM8" s="834">
        <v>7190213</v>
      </c>
      <c r="AN8" s="681">
        <f t="shared" si="11"/>
        <v>838</v>
      </c>
      <c r="AO8" s="835">
        <v>566332</v>
      </c>
      <c r="AP8" s="681">
        <f t="shared" si="12"/>
        <v>278</v>
      </c>
      <c r="AQ8" s="835">
        <v>910063</v>
      </c>
      <c r="AR8" s="681">
        <f t="shared" si="13"/>
        <v>13.86</v>
      </c>
      <c r="AS8" s="775">
        <v>793830</v>
      </c>
      <c r="AT8" s="681">
        <f>IF(AS8&gt;=AS7,AS8-AS7,0)</f>
        <v>42</v>
      </c>
      <c r="AU8" s="835">
        <v>2324042</v>
      </c>
      <c r="AV8" s="681">
        <f t="shared" si="15"/>
        <v>485</v>
      </c>
      <c r="AW8" s="835">
        <v>207808</v>
      </c>
      <c r="AX8" s="681">
        <f t="shared" si="23"/>
        <v>64</v>
      </c>
      <c r="AY8" s="834">
        <v>17572971</v>
      </c>
      <c r="AZ8" s="681">
        <f t="shared" si="16"/>
        <v>3547</v>
      </c>
      <c r="BA8" s="835">
        <v>21744169</v>
      </c>
      <c r="BB8" s="681">
        <f t="shared" si="17"/>
        <v>4254.1000000000004</v>
      </c>
      <c r="BC8" s="681">
        <f t="shared" si="18"/>
        <v>9521.9599999999991</v>
      </c>
      <c r="BD8" s="835">
        <v>1359363</v>
      </c>
      <c r="BE8" s="681">
        <f t="shared" si="19"/>
        <v>358</v>
      </c>
      <c r="BF8" s="834">
        <v>3466700</v>
      </c>
      <c r="BG8" s="681">
        <f t="shared" si="20"/>
        <v>679</v>
      </c>
      <c r="BH8" s="834">
        <v>369703</v>
      </c>
      <c r="BI8" s="681">
        <f t="shared" si="21"/>
        <v>61</v>
      </c>
      <c r="BJ8" s="834">
        <v>446591</v>
      </c>
      <c r="BK8" s="681">
        <f t="shared" si="29"/>
        <v>91</v>
      </c>
      <c r="BL8" s="740">
        <f t="shared" si="24"/>
        <v>19525.650000000001</v>
      </c>
      <c r="BM8" s="741">
        <v>43</v>
      </c>
      <c r="BN8" s="740">
        <f t="shared" si="30"/>
        <v>361.58611111111117</v>
      </c>
      <c r="BO8" s="741"/>
      <c r="BP8" s="740" t="e">
        <f t="shared" si="25"/>
        <v>#DIV/0!</v>
      </c>
      <c r="BQ8" s="740">
        <f>BL8*BS1</f>
        <v>8981.7990000000009</v>
      </c>
      <c r="BR8" s="740">
        <f t="shared" si="31"/>
        <v>166.32961111111112</v>
      </c>
      <c r="BS8" s="742" t="e">
        <f t="shared" si="32"/>
        <v>#DIV/0!</v>
      </c>
    </row>
    <row r="9" spans="1:71" s="385" customFormat="1" ht="33.75" customHeight="1">
      <c r="A9" s="430">
        <v>4</v>
      </c>
      <c r="B9" s="431"/>
      <c r="C9" s="432">
        <f t="shared" si="33"/>
        <v>0</v>
      </c>
      <c r="D9" s="432"/>
      <c r="E9" s="432">
        <f t="shared" si="34"/>
        <v>0</v>
      </c>
      <c r="F9" s="432"/>
      <c r="G9" s="432">
        <f t="shared" si="35"/>
        <v>0</v>
      </c>
      <c r="H9" s="433"/>
      <c r="I9" s="835">
        <v>21930735</v>
      </c>
      <c r="J9" s="681">
        <f>IF(I9&gt;=I8,I9-I8,0)</f>
        <v>4708</v>
      </c>
      <c r="K9" s="681">
        <f t="shared" si="0"/>
        <v>3174</v>
      </c>
      <c r="L9" s="835">
        <v>968671</v>
      </c>
      <c r="M9" s="681">
        <f>IF(L9&gt;=L8,L9-L8,0)</f>
        <v>1410</v>
      </c>
      <c r="N9" s="835">
        <v>967052</v>
      </c>
      <c r="O9" s="681">
        <f t="shared" si="36"/>
        <v>1764</v>
      </c>
      <c r="P9" s="835">
        <v>214232</v>
      </c>
      <c r="Q9" s="681">
        <f t="shared" si="3"/>
        <v>570</v>
      </c>
      <c r="R9" s="834">
        <v>702925</v>
      </c>
      <c r="S9" s="681">
        <f t="shared" si="26"/>
        <v>0</v>
      </c>
      <c r="T9" s="834">
        <v>344001</v>
      </c>
      <c r="U9" s="681">
        <f t="shared" si="4"/>
        <v>0</v>
      </c>
      <c r="V9" s="834">
        <v>127086</v>
      </c>
      <c r="W9" s="681">
        <f t="shared" si="4"/>
        <v>155</v>
      </c>
      <c r="X9" s="834">
        <v>231722</v>
      </c>
      <c r="Y9" s="681">
        <f t="shared" si="5"/>
        <v>262</v>
      </c>
      <c r="Z9" s="834">
        <v>315108</v>
      </c>
      <c r="AA9" s="681">
        <f t="shared" si="6"/>
        <v>0</v>
      </c>
      <c r="AB9" s="835">
        <v>344305</v>
      </c>
      <c r="AC9" s="681">
        <f t="shared" si="7"/>
        <v>1894.22</v>
      </c>
      <c r="AD9" s="835">
        <v>537358</v>
      </c>
      <c r="AE9" s="681">
        <f t="shared" si="8"/>
        <v>0</v>
      </c>
      <c r="AF9" s="834">
        <v>289399</v>
      </c>
      <c r="AG9" s="681">
        <f t="shared" si="27"/>
        <v>0</v>
      </c>
      <c r="AH9" s="835">
        <v>524286</v>
      </c>
      <c r="AI9" s="681">
        <f t="shared" si="9"/>
        <v>212.53</v>
      </c>
      <c r="AJ9" s="835">
        <v>624729</v>
      </c>
      <c r="AK9" s="681">
        <f t="shared" si="28"/>
        <v>1886.27</v>
      </c>
      <c r="AL9" s="681">
        <f t="shared" si="10"/>
        <v>3993.02</v>
      </c>
      <c r="AM9" s="834">
        <v>7191344</v>
      </c>
      <c r="AN9" s="681">
        <f t="shared" si="11"/>
        <v>1131</v>
      </c>
      <c r="AO9" s="834">
        <v>566607</v>
      </c>
      <c r="AP9" s="681">
        <f t="shared" si="12"/>
        <v>275</v>
      </c>
      <c r="AQ9" s="835">
        <v>910203</v>
      </c>
      <c r="AR9" s="681">
        <f t="shared" si="13"/>
        <v>15.4</v>
      </c>
      <c r="AS9" s="775">
        <v>793880</v>
      </c>
      <c r="AT9" s="681">
        <f>IF(AS9&gt;=AS8,AS9-AS8,0)</f>
        <v>50</v>
      </c>
      <c r="AU9" s="835">
        <v>2324624</v>
      </c>
      <c r="AV9" s="681">
        <f t="shared" si="15"/>
        <v>582</v>
      </c>
      <c r="AW9" s="834">
        <v>207876</v>
      </c>
      <c r="AX9" s="681">
        <f t="shared" si="23"/>
        <v>68</v>
      </c>
      <c r="AY9" s="835">
        <v>17577074</v>
      </c>
      <c r="AZ9" s="681">
        <f t="shared" si="16"/>
        <v>4103</v>
      </c>
      <c r="BA9" s="835">
        <v>21750083</v>
      </c>
      <c r="BB9" s="681">
        <f t="shared" si="17"/>
        <v>4703.3999999999996</v>
      </c>
      <c r="BC9" s="681">
        <f t="shared" si="18"/>
        <v>10927.8</v>
      </c>
      <c r="BD9" s="835">
        <v>1359721</v>
      </c>
      <c r="BE9" s="681">
        <f t="shared" si="19"/>
        <v>358</v>
      </c>
      <c r="BF9" s="835">
        <v>3467646</v>
      </c>
      <c r="BG9" s="681">
        <f t="shared" si="20"/>
        <v>946</v>
      </c>
      <c r="BH9" s="835">
        <v>369823</v>
      </c>
      <c r="BI9" s="681">
        <f t="shared" si="21"/>
        <v>120</v>
      </c>
      <c r="BJ9" s="834">
        <v>446816</v>
      </c>
      <c r="BK9" s="681">
        <f t="shared" si="29"/>
        <v>225</v>
      </c>
      <c r="BL9" s="740">
        <f t="shared" si="24"/>
        <v>20198.82</v>
      </c>
      <c r="BM9" s="741">
        <v>50</v>
      </c>
      <c r="BN9" s="740">
        <f t="shared" si="30"/>
        <v>469.74</v>
      </c>
      <c r="BO9" s="741"/>
      <c r="BP9" s="740" t="e">
        <f t="shared" si="25"/>
        <v>#DIV/0!</v>
      </c>
      <c r="BQ9" s="740">
        <f>BL9*BS1</f>
        <v>9291.4572000000007</v>
      </c>
      <c r="BR9" s="740">
        <f t="shared" si="31"/>
        <v>216.08040000000003</v>
      </c>
      <c r="BS9" s="742" t="e">
        <f t="shared" si="32"/>
        <v>#DIV/0!</v>
      </c>
    </row>
    <row r="10" spans="1:71" s="457" customFormat="1" ht="33.75" customHeight="1">
      <c r="A10" s="430">
        <v>5</v>
      </c>
      <c r="B10" s="455"/>
      <c r="C10" s="834">
        <f t="shared" si="33"/>
        <v>0</v>
      </c>
      <c r="D10" s="834"/>
      <c r="E10" s="834">
        <f t="shared" si="34"/>
        <v>0</v>
      </c>
      <c r="F10" s="834"/>
      <c r="G10" s="834">
        <f t="shared" si="35"/>
        <v>0</v>
      </c>
      <c r="H10" s="456">
        <v>58</v>
      </c>
      <c r="I10" s="835">
        <v>21935377</v>
      </c>
      <c r="J10" s="681">
        <f>IF(I10&gt;=I9,I10-I9,0)</f>
        <v>4642</v>
      </c>
      <c r="K10" s="681">
        <f t="shared" si="0"/>
        <v>2700</v>
      </c>
      <c r="L10" s="835">
        <v>969846</v>
      </c>
      <c r="M10" s="681">
        <f>IF(L10&gt;=L9,L10-L9,0)</f>
        <v>1175</v>
      </c>
      <c r="N10" s="835">
        <v>968577</v>
      </c>
      <c r="O10" s="681">
        <f t="shared" si="36"/>
        <v>1525</v>
      </c>
      <c r="P10" s="835">
        <v>214250</v>
      </c>
      <c r="Q10" s="681">
        <f t="shared" si="3"/>
        <v>540</v>
      </c>
      <c r="R10" s="834">
        <v>702925</v>
      </c>
      <c r="S10" s="681">
        <f t="shared" si="26"/>
        <v>0</v>
      </c>
      <c r="T10" s="834">
        <v>344001</v>
      </c>
      <c r="U10" s="681">
        <f t="shared" si="4"/>
        <v>0</v>
      </c>
      <c r="V10" s="834">
        <v>127230</v>
      </c>
      <c r="W10" s="681">
        <f t="shared" si="4"/>
        <v>144</v>
      </c>
      <c r="X10" s="834">
        <v>231969</v>
      </c>
      <c r="Y10" s="681">
        <f t="shared" si="5"/>
        <v>247</v>
      </c>
      <c r="Z10" s="834">
        <v>315108</v>
      </c>
      <c r="AA10" s="681">
        <f t="shared" si="6"/>
        <v>0</v>
      </c>
      <c r="AB10" s="835">
        <v>347386</v>
      </c>
      <c r="AC10" s="681">
        <f t="shared" si="7"/>
        <v>1632.93</v>
      </c>
      <c r="AD10" s="835">
        <v>537791</v>
      </c>
      <c r="AE10" s="681">
        <f t="shared" si="8"/>
        <v>229.49</v>
      </c>
      <c r="AF10" s="834">
        <v>289399</v>
      </c>
      <c r="AG10" s="681">
        <f t="shared" si="27"/>
        <v>0</v>
      </c>
      <c r="AH10" s="835">
        <v>524848</v>
      </c>
      <c r="AI10" s="681">
        <f t="shared" si="9"/>
        <v>297.86</v>
      </c>
      <c r="AJ10" s="835">
        <v>628020</v>
      </c>
      <c r="AK10" s="681">
        <f t="shared" si="28"/>
        <v>1744.23</v>
      </c>
      <c r="AL10" s="681">
        <f t="shared" si="10"/>
        <v>3904.51</v>
      </c>
      <c r="AM10" s="834">
        <v>7192553</v>
      </c>
      <c r="AN10" s="681">
        <f t="shared" si="11"/>
        <v>1209</v>
      </c>
      <c r="AO10" s="834">
        <v>566886</v>
      </c>
      <c r="AP10" s="681">
        <f t="shared" si="12"/>
        <v>279</v>
      </c>
      <c r="AQ10" s="834">
        <v>910334</v>
      </c>
      <c r="AR10" s="681">
        <f t="shared" si="13"/>
        <v>14.41</v>
      </c>
      <c r="AS10" s="775">
        <v>793917</v>
      </c>
      <c r="AT10" s="681">
        <f>IF(AS10&gt;=AS9,AS10-AS9,0)</f>
        <v>37</v>
      </c>
      <c r="AU10" s="835">
        <v>2325122</v>
      </c>
      <c r="AV10" s="681">
        <f t="shared" si="15"/>
        <v>498</v>
      </c>
      <c r="AW10" s="834">
        <v>207943</v>
      </c>
      <c r="AX10" s="681">
        <f t="shared" si="23"/>
        <v>67</v>
      </c>
      <c r="AY10" s="835">
        <v>17580413</v>
      </c>
      <c r="AZ10" s="681">
        <f t="shared" si="16"/>
        <v>3339</v>
      </c>
      <c r="BA10" s="835">
        <v>21756032</v>
      </c>
      <c r="BB10" s="681">
        <f t="shared" si="17"/>
        <v>4735.6000000000004</v>
      </c>
      <c r="BC10" s="681">
        <f t="shared" si="18"/>
        <v>10179.01</v>
      </c>
      <c r="BD10" s="835">
        <v>1360079</v>
      </c>
      <c r="BE10" s="681">
        <f t="shared" si="19"/>
        <v>358</v>
      </c>
      <c r="BF10" s="835">
        <v>3468595</v>
      </c>
      <c r="BG10" s="681">
        <f t="shared" si="20"/>
        <v>949</v>
      </c>
      <c r="BH10" s="835">
        <v>369937</v>
      </c>
      <c r="BI10" s="681">
        <f t="shared" si="21"/>
        <v>114</v>
      </c>
      <c r="BJ10" s="834">
        <v>447045</v>
      </c>
      <c r="BK10" s="681">
        <f t="shared" si="29"/>
        <v>229</v>
      </c>
      <c r="BL10" s="740">
        <f t="shared" si="24"/>
        <v>19265.52</v>
      </c>
      <c r="BM10" s="741">
        <v>53</v>
      </c>
      <c r="BN10" s="740">
        <f t="shared" si="30"/>
        <v>385.31040000000002</v>
      </c>
      <c r="BO10" s="741"/>
      <c r="BP10" s="740" t="e">
        <f t="shared" si="25"/>
        <v>#DIV/0!</v>
      </c>
      <c r="BQ10" s="740">
        <f>BL10*BS1</f>
        <v>8862.1392000000014</v>
      </c>
      <c r="BR10" s="740">
        <f t="shared" si="31"/>
        <v>177.24278400000003</v>
      </c>
      <c r="BS10" s="742" t="e">
        <f t="shared" si="32"/>
        <v>#DIV/0!</v>
      </c>
    </row>
    <row r="11" spans="1:71" s="385" customFormat="1" ht="33.75" customHeight="1">
      <c r="A11" s="430">
        <v>6</v>
      </c>
      <c r="B11" s="431"/>
      <c r="C11" s="432">
        <f t="shared" si="33"/>
        <v>0</v>
      </c>
      <c r="D11" s="432"/>
      <c r="E11" s="432">
        <f t="shared" si="34"/>
        <v>0</v>
      </c>
      <c r="F11" s="432"/>
      <c r="G11" s="432">
        <f t="shared" si="35"/>
        <v>0</v>
      </c>
      <c r="H11" s="433"/>
      <c r="I11" s="835">
        <v>21940865</v>
      </c>
      <c r="J11" s="681">
        <f>IF(I11&gt;=I10,I11-I10,0)</f>
        <v>5488</v>
      </c>
      <c r="K11" s="681">
        <f t="shared" si="0"/>
        <v>2856</v>
      </c>
      <c r="L11" s="835">
        <v>971081</v>
      </c>
      <c r="M11" s="681">
        <f>IF(L11&gt;=L10,L11-L10,0)</f>
        <v>1235</v>
      </c>
      <c r="N11" s="835">
        <v>970198</v>
      </c>
      <c r="O11" s="681">
        <f t="shared" si="36"/>
        <v>1621</v>
      </c>
      <c r="P11" s="835">
        <v>214272</v>
      </c>
      <c r="Q11" s="681">
        <f t="shared" si="3"/>
        <v>660</v>
      </c>
      <c r="R11" s="834">
        <v>702925</v>
      </c>
      <c r="S11" s="681">
        <f t="shared" si="26"/>
        <v>0</v>
      </c>
      <c r="T11" s="834">
        <v>344001</v>
      </c>
      <c r="U11" s="681">
        <f t="shared" si="4"/>
        <v>0</v>
      </c>
      <c r="V11" s="834">
        <v>127406</v>
      </c>
      <c r="W11" s="681">
        <f t="shared" si="4"/>
        <v>176</v>
      </c>
      <c r="X11" s="834">
        <v>232216</v>
      </c>
      <c r="Y11" s="681">
        <f t="shared" si="5"/>
        <v>247</v>
      </c>
      <c r="Z11" s="834">
        <v>315108</v>
      </c>
      <c r="AA11" s="681">
        <f t="shared" si="6"/>
        <v>0</v>
      </c>
      <c r="AB11" s="835">
        <v>347386</v>
      </c>
      <c r="AC11" s="681">
        <f t="shared" si="7"/>
        <v>0</v>
      </c>
      <c r="AD11" s="835">
        <v>541320</v>
      </c>
      <c r="AE11" s="681">
        <f t="shared" si="8"/>
        <v>1870.3700000000001</v>
      </c>
      <c r="AF11" s="834">
        <v>289399</v>
      </c>
      <c r="AG11" s="681">
        <f>IF(AF11&gt;=AF10,AF11-AF10,0)*0.53</f>
        <v>0</v>
      </c>
      <c r="AH11" s="834">
        <v>525428</v>
      </c>
      <c r="AI11" s="681">
        <f t="shared" si="9"/>
        <v>307.40000000000003</v>
      </c>
      <c r="AJ11" s="835">
        <v>631382</v>
      </c>
      <c r="AK11" s="681">
        <f t="shared" si="28"/>
        <v>1781.8600000000001</v>
      </c>
      <c r="AL11" s="681">
        <f t="shared" si="10"/>
        <v>3959.63</v>
      </c>
      <c r="AM11" s="834">
        <v>7193886</v>
      </c>
      <c r="AN11" s="681">
        <f t="shared" si="11"/>
        <v>1333</v>
      </c>
      <c r="AO11" s="835">
        <v>567181</v>
      </c>
      <c r="AP11" s="681">
        <f t="shared" si="12"/>
        <v>295</v>
      </c>
      <c r="AQ11" s="835">
        <v>910468</v>
      </c>
      <c r="AR11" s="681">
        <f t="shared" si="13"/>
        <v>14.74</v>
      </c>
      <c r="AS11" s="835">
        <v>793956</v>
      </c>
      <c r="AT11" s="681">
        <f t="shared" si="14"/>
        <v>39</v>
      </c>
      <c r="AU11" s="834">
        <v>2325632</v>
      </c>
      <c r="AV11" s="681">
        <f t="shared" si="15"/>
        <v>510</v>
      </c>
      <c r="AW11" s="835">
        <v>208027</v>
      </c>
      <c r="AX11" s="681">
        <f t="shared" si="23"/>
        <v>84</v>
      </c>
      <c r="AY11" s="835">
        <v>17584157</v>
      </c>
      <c r="AZ11" s="681">
        <f t="shared" si="16"/>
        <v>3744</v>
      </c>
      <c r="BA11" s="835">
        <v>21761474</v>
      </c>
      <c r="BB11" s="681">
        <f t="shared" si="17"/>
        <v>4311.3</v>
      </c>
      <c r="BC11" s="681">
        <f t="shared" si="18"/>
        <v>10331.040000000001</v>
      </c>
      <c r="BD11" s="835">
        <v>1360437</v>
      </c>
      <c r="BE11" s="681">
        <f t="shared" si="19"/>
        <v>358</v>
      </c>
      <c r="BF11" s="835">
        <v>3469452</v>
      </c>
      <c r="BG11" s="681">
        <f t="shared" si="20"/>
        <v>857</v>
      </c>
      <c r="BH11" s="834">
        <v>370034</v>
      </c>
      <c r="BI11" s="801">
        <f t="shared" si="21"/>
        <v>97</v>
      </c>
      <c r="BJ11" s="835">
        <v>447255</v>
      </c>
      <c r="BK11" s="681">
        <f t="shared" si="29"/>
        <v>210</v>
      </c>
      <c r="BL11" s="740">
        <f t="shared" si="24"/>
        <v>20438.670000000002</v>
      </c>
      <c r="BM11" s="741">
        <v>50</v>
      </c>
      <c r="BN11" s="740">
        <f t="shared" si="30"/>
        <v>385.63528301886794</v>
      </c>
      <c r="BO11" s="741"/>
      <c r="BP11" s="740" t="e">
        <f t="shared" si="25"/>
        <v>#DIV/0!</v>
      </c>
      <c r="BQ11" s="740">
        <f>BL11*BS1</f>
        <v>9401.7882000000009</v>
      </c>
      <c r="BR11" s="740">
        <f t="shared" si="31"/>
        <v>177.39223018867926</v>
      </c>
      <c r="BS11" s="742" t="e">
        <f t="shared" si="32"/>
        <v>#DIV/0!</v>
      </c>
    </row>
    <row r="12" spans="1:71" s="385" customFormat="1" ht="33.75" customHeight="1">
      <c r="A12" s="430">
        <v>7</v>
      </c>
      <c r="B12" s="431"/>
      <c r="C12" s="432">
        <f t="shared" si="33"/>
        <v>0</v>
      </c>
      <c r="D12" s="432"/>
      <c r="E12" s="432">
        <f t="shared" si="34"/>
        <v>0</v>
      </c>
      <c r="F12" s="432"/>
      <c r="G12" s="432">
        <f t="shared" si="35"/>
        <v>0</v>
      </c>
      <c r="H12" s="433">
        <v>59</v>
      </c>
      <c r="I12" s="835">
        <v>21945218</v>
      </c>
      <c r="J12" s="681">
        <f>IF(I12&gt;=I11,I12-I11,0)</f>
        <v>4353</v>
      </c>
      <c r="K12" s="681">
        <f t="shared" si="0"/>
        <v>3602</v>
      </c>
      <c r="L12" s="835">
        <v>972687</v>
      </c>
      <c r="M12" s="681">
        <f t="shared" si="1"/>
        <v>1606</v>
      </c>
      <c r="N12" s="835">
        <v>972194</v>
      </c>
      <c r="O12" s="681">
        <f>IF(N12&gt;=N11,N12-N11,0)</f>
        <v>1996</v>
      </c>
      <c r="P12" s="835">
        <v>214291</v>
      </c>
      <c r="Q12" s="681">
        <f t="shared" si="3"/>
        <v>570</v>
      </c>
      <c r="R12" s="834">
        <v>702925</v>
      </c>
      <c r="S12" s="681">
        <f t="shared" ref="S12:S18" si="37">IF(R12&gt;=R11,R12-R11,0)</f>
        <v>0</v>
      </c>
      <c r="T12" s="834">
        <v>344001</v>
      </c>
      <c r="U12" s="681">
        <f t="shared" si="4"/>
        <v>0</v>
      </c>
      <c r="V12" s="834">
        <v>127552</v>
      </c>
      <c r="W12" s="681">
        <f t="shared" si="4"/>
        <v>146</v>
      </c>
      <c r="X12" s="834">
        <v>232490</v>
      </c>
      <c r="Y12" s="681">
        <f t="shared" si="5"/>
        <v>274</v>
      </c>
      <c r="Z12" s="834">
        <v>315108</v>
      </c>
      <c r="AA12" s="681">
        <f t="shared" si="6"/>
        <v>0</v>
      </c>
      <c r="AB12" s="835">
        <v>347386</v>
      </c>
      <c r="AC12" s="681">
        <f t="shared" si="7"/>
        <v>0</v>
      </c>
      <c r="AD12" s="835">
        <v>547241</v>
      </c>
      <c r="AE12" s="681">
        <f t="shared" si="8"/>
        <v>3138.13</v>
      </c>
      <c r="AF12" s="834">
        <v>289399</v>
      </c>
      <c r="AG12" s="681">
        <f t="shared" si="27"/>
        <v>0</v>
      </c>
      <c r="AH12" s="835">
        <v>526047</v>
      </c>
      <c r="AI12" s="681">
        <f t="shared" si="9"/>
        <v>328.07</v>
      </c>
      <c r="AJ12" s="834">
        <v>636159</v>
      </c>
      <c r="AK12" s="681">
        <f>IF(AJ12&gt;=AJ11,AJ12-AJ11,0)*0.53</f>
        <v>2531.81</v>
      </c>
      <c r="AL12" s="681">
        <f t="shared" si="10"/>
        <v>5998.01</v>
      </c>
      <c r="AM12" s="834">
        <v>7195056</v>
      </c>
      <c r="AN12" s="681">
        <f t="shared" si="11"/>
        <v>1170</v>
      </c>
      <c r="AO12" s="834">
        <v>567416</v>
      </c>
      <c r="AP12" s="681">
        <f t="shared" si="12"/>
        <v>235</v>
      </c>
      <c r="AQ12" s="834">
        <v>910601</v>
      </c>
      <c r="AR12" s="681">
        <f t="shared" si="13"/>
        <v>14.63</v>
      </c>
      <c r="AS12" s="775">
        <v>793995</v>
      </c>
      <c r="AT12" s="681">
        <f t="shared" si="14"/>
        <v>39</v>
      </c>
      <c r="AU12" s="835">
        <v>2326230</v>
      </c>
      <c r="AV12" s="681">
        <f t="shared" si="15"/>
        <v>598</v>
      </c>
      <c r="AW12" s="834">
        <v>208092</v>
      </c>
      <c r="AX12" s="681">
        <f t="shared" si="23"/>
        <v>65</v>
      </c>
      <c r="AY12" s="835">
        <v>17588254</v>
      </c>
      <c r="AZ12" s="681">
        <f t="shared" si="16"/>
        <v>4097</v>
      </c>
      <c r="BA12" s="835">
        <v>21766960</v>
      </c>
      <c r="BB12" s="681">
        <f t="shared" si="17"/>
        <v>4360.1000000000004</v>
      </c>
      <c r="BC12" s="681">
        <f t="shared" si="18"/>
        <v>10578.73</v>
      </c>
      <c r="BD12" s="835">
        <v>1360795</v>
      </c>
      <c r="BE12" s="681">
        <f t="shared" si="19"/>
        <v>358</v>
      </c>
      <c r="BF12" s="835">
        <v>3470326</v>
      </c>
      <c r="BG12" s="681">
        <f t="shared" si="20"/>
        <v>874</v>
      </c>
      <c r="BH12" s="835">
        <v>370123</v>
      </c>
      <c r="BI12" s="681">
        <f t="shared" si="21"/>
        <v>89</v>
      </c>
      <c r="BJ12" s="834">
        <v>447454</v>
      </c>
      <c r="BK12" s="681">
        <f t="shared" si="29"/>
        <v>199</v>
      </c>
      <c r="BL12" s="740">
        <f t="shared" si="24"/>
        <v>21499.739999999998</v>
      </c>
      <c r="BM12" s="741">
        <v>62</v>
      </c>
      <c r="BN12" s="740">
        <f t="shared" si="30"/>
        <v>429.99479999999994</v>
      </c>
      <c r="BO12" s="741"/>
      <c r="BP12" s="740" t="e">
        <f t="shared" si="25"/>
        <v>#DIV/0!</v>
      </c>
      <c r="BQ12" s="740">
        <f>BL12*BS1</f>
        <v>9889.8804</v>
      </c>
      <c r="BR12" s="740">
        <f t="shared" si="31"/>
        <v>197.797608</v>
      </c>
      <c r="BS12" s="742" t="e">
        <f t="shared" si="32"/>
        <v>#DIV/0!</v>
      </c>
    </row>
    <row r="13" spans="1:71" s="385" customFormat="1" ht="33.75" customHeight="1">
      <c r="A13" s="430">
        <v>8</v>
      </c>
      <c r="B13" s="431"/>
      <c r="C13" s="432">
        <f t="shared" si="33"/>
        <v>0</v>
      </c>
      <c r="D13" s="432"/>
      <c r="E13" s="432">
        <f t="shared" si="34"/>
        <v>0</v>
      </c>
      <c r="F13" s="432"/>
      <c r="G13" s="432">
        <f t="shared" si="35"/>
        <v>0</v>
      </c>
      <c r="H13" s="433"/>
      <c r="I13" s="835">
        <v>21949644</v>
      </c>
      <c r="J13" s="681">
        <f t="shared" si="22"/>
        <v>4426</v>
      </c>
      <c r="K13" s="681">
        <f t="shared" si="0"/>
        <v>2785</v>
      </c>
      <c r="L13" s="834">
        <v>973956</v>
      </c>
      <c r="M13" s="681">
        <f t="shared" si="1"/>
        <v>1269</v>
      </c>
      <c r="N13" s="835">
        <v>973710</v>
      </c>
      <c r="O13" s="681">
        <f>IF(N13&gt;=N12,N13-N12,0)</f>
        <v>1516</v>
      </c>
      <c r="P13" s="835">
        <v>214306</v>
      </c>
      <c r="Q13" s="681">
        <f t="shared" si="3"/>
        <v>450</v>
      </c>
      <c r="R13" s="834">
        <v>702925</v>
      </c>
      <c r="S13" s="681">
        <f t="shared" si="37"/>
        <v>0</v>
      </c>
      <c r="T13" s="834">
        <v>344001</v>
      </c>
      <c r="U13" s="681">
        <f t="shared" si="4"/>
        <v>0</v>
      </c>
      <c r="V13" s="834">
        <v>127668</v>
      </c>
      <c r="W13" s="681">
        <f t="shared" si="4"/>
        <v>116</v>
      </c>
      <c r="X13" s="834">
        <v>232715</v>
      </c>
      <c r="Y13" s="681">
        <f t="shared" si="5"/>
        <v>225</v>
      </c>
      <c r="Z13" s="834">
        <v>315108</v>
      </c>
      <c r="AA13" s="681">
        <f t="shared" si="6"/>
        <v>0</v>
      </c>
      <c r="AB13" s="835">
        <v>347386</v>
      </c>
      <c r="AC13" s="681">
        <f t="shared" si="7"/>
        <v>0</v>
      </c>
      <c r="AD13" s="835">
        <v>551425</v>
      </c>
      <c r="AE13" s="681">
        <f t="shared" si="8"/>
        <v>2217.52</v>
      </c>
      <c r="AF13" s="834">
        <v>289399</v>
      </c>
      <c r="AG13" s="681">
        <f t="shared" si="27"/>
        <v>0</v>
      </c>
      <c r="AH13" s="834">
        <v>526605</v>
      </c>
      <c r="AI13" s="681">
        <f t="shared" si="9"/>
        <v>295.74</v>
      </c>
      <c r="AJ13" s="834">
        <v>639781</v>
      </c>
      <c r="AK13" s="681">
        <f>IF(AJ13&gt;=AJ12,AJ13-AJ12,0)*0.53</f>
        <v>1919.66</v>
      </c>
      <c r="AL13" s="681">
        <f t="shared" si="10"/>
        <v>4432.92</v>
      </c>
      <c r="AM13" s="834">
        <v>7195942</v>
      </c>
      <c r="AN13" s="681">
        <f t="shared" si="11"/>
        <v>886</v>
      </c>
      <c r="AO13" s="834">
        <v>567760</v>
      </c>
      <c r="AP13" s="681">
        <f t="shared" si="12"/>
        <v>344</v>
      </c>
      <c r="AQ13" s="835">
        <v>910734</v>
      </c>
      <c r="AR13" s="681">
        <f t="shared" si="13"/>
        <v>14.63</v>
      </c>
      <c r="AS13" s="835">
        <v>794016</v>
      </c>
      <c r="AT13" s="681">
        <f t="shared" si="14"/>
        <v>21</v>
      </c>
      <c r="AU13" s="835">
        <v>2326682</v>
      </c>
      <c r="AV13" s="681">
        <f t="shared" si="15"/>
        <v>452</v>
      </c>
      <c r="AW13" s="835">
        <v>208145</v>
      </c>
      <c r="AX13" s="681">
        <f t="shared" si="23"/>
        <v>53</v>
      </c>
      <c r="AY13" s="835">
        <v>17591637</v>
      </c>
      <c r="AZ13" s="681">
        <f t="shared" si="16"/>
        <v>3383</v>
      </c>
      <c r="BA13" s="835">
        <v>21772321</v>
      </c>
      <c r="BB13" s="681">
        <f t="shared" si="17"/>
        <v>4241.5</v>
      </c>
      <c r="BC13" s="681">
        <f t="shared" si="18"/>
        <v>9395.130000000001</v>
      </c>
      <c r="BD13" s="835">
        <v>1361153</v>
      </c>
      <c r="BE13" s="681">
        <f t="shared" si="19"/>
        <v>358</v>
      </c>
      <c r="BF13" s="835">
        <v>3471196</v>
      </c>
      <c r="BG13" s="681">
        <f t="shared" si="20"/>
        <v>870</v>
      </c>
      <c r="BH13" s="835">
        <v>370216</v>
      </c>
      <c r="BI13" s="681">
        <f t="shared" si="21"/>
        <v>93</v>
      </c>
      <c r="BJ13" s="835">
        <v>447647</v>
      </c>
      <c r="BK13" s="681">
        <f t="shared" si="29"/>
        <v>193</v>
      </c>
      <c r="BL13" s="740">
        <f t="shared" si="24"/>
        <v>18704.050000000003</v>
      </c>
      <c r="BM13" s="741">
        <v>61</v>
      </c>
      <c r="BN13" s="740">
        <f t="shared" ref="BN13:BN19" si="38">IF(BL13&gt;0,BL13/BM12,0)</f>
        <v>301.67822580645168</v>
      </c>
      <c r="BO13" s="741"/>
      <c r="BP13" s="740" t="e">
        <f t="shared" si="25"/>
        <v>#DIV/0!</v>
      </c>
      <c r="BQ13" s="740">
        <f>BL13*BS1</f>
        <v>8603.8630000000012</v>
      </c>
      <c r="BR13" s="740">
        <f t="shared" si="31"/>
        <v>138.77198387096777</v>
      </c>
      <c r="BS13" s="742" t="e">
        <f t="shared" si="32"/>
        <v>#DIV/0!</v>
      </c>
    </row>
    <row r="14" spans="1:71" s="385" customFormat="1" ht="33.75" customHeight="1">
      <c r="A14" s="430">
        <v>9</v>
      </c>
      <c r="B14" s="431"/>
      <c r="C14" s="432">
        <f t="shared" si="33"/>
        <v>0</v>
      </c>
      <c r="D14" s="432"/>
      <c r="E14" s="432">
        <f t="shared" si="34"/>
        <v>0</v>
      </c>
      <c r="F14" s="432"/>
      <c r="G14" s="432">
        <f t="shared" si="35"/>
        <v>0</v>
      </c>
      <c r="H14" s="433">
        <v>60</v>
      </c>
      <c r="I14" s="834">
        <v>21953718</v>
      </c>
      <c r="J14" s="681">
        <f t="shared" si="22"/>
        <v>4074</v>
      </c>
      <c r="K14" s="681">
        <f t="shared" si="0"/>
        <v>2602</v>
      </c>
      <c r="L14" s="835">
        <v>975164</v>
      </c>
      <c r="M14" s="681">
        <f>IF(L14&gt;=L13,L14-L13,0)</f>
        <v>1208</v>
      </c>
      <c r="N14" s="835">
        <v>975104</v>
      </c>
      <c r="O14" s="681">
        <f t="shared" si="2"/>
        <v>1394</v>
      </c>
      <c r="P14" s="835">
        <v>214323</v>
      </c>
      <c r="Q14" s="681">
        <f t="shared" si="3"/>
        <v>510</v>
      </c>
      <c r="R14" s="834">
        <v>702925</v>
      </c>
      <c r="S14" s="681">
        <f t="shared" si="37"/>
        <v>0</v>
      </c>
      <c r="T14" s="834">
        <v>344001</v>
      </c>
      <c r="U14" s="681">
        <f t="shared" si="4"/>
        <v>0</v>
      </c>
      <c r="V14" s="834">
        <v>127820</v>
      </c>
      <c r="W14" s="681">
        <f t="shared" si="4"/>
        <v>152</v>
      </c>
      <c r="X14" s="834">
        <v>232978</v>
      </c>
      <c r="Y14" s="681">
        <f t="shared" si="5"/>
        <v>263</v>
      </c>
      <c r="Z14" s="834">
        <v>315108</v>
      </c>
      <c r="AA14" s="681">
        <f t="shared" si="6"/>
        <v>0</v>
      </c>
      <c r="AB14" s="835">
        <v>347386</v>
      </c>
      <c r="AC14" s="681">
        <f t="shared" si="7"/>
        <v>0</v>
      </c>
      <c r="AD14" s="835">
        <v>551425</v>
      </c>
      <c r="AE14" s="681">
        <f t="shared" si="8"/>
        <v>0</v>
      </c>
      <c r="AF14" s="834">
        <v>292257</v>
      </c>
      <c r="AG14" s="681">
        <f t="shared" si="27"/>
        <v>1514.74</v>
      </c>
      <c r="AH14" s="834">
        <v>526901</v>
      </c>
      <c r="AI14" s="681">
        <f t="shared" si="9"/>
        <v>156.88</v>
      </c>
      <c r="AJ14" s="835">
        <v>642881</v>
      </c>
      <c r="AK14" s="681">
        <f t="shared" ref="AK14:AK36" si="39">IF(AJ14&gt;=AJ13,AJ14-AJ13,0)*0.53</f>
        <v>1643</v>
      </c>
      <c r="AL14" s="681">
        <f t="shared" si="10"/>
        <v>3314.62</v>
      </c>
      <c r="AM14" s="834">
        <v>7197081</v>
      </c>
      <c r="AN14" s="681">
        <f t="shared" si="11"/>
        <v>1139</v>
      </c>
      <c r="AO14" s="835">
        <v>568049</v>
      </c>
      <c r="AP14" s="681">
        <f t="shared" si="12"/>
        <v>289</v>
      </c>
      <c r="AQ14" s="835">
        <v>910857</v>
      </c>
      <c r="AR14" s="681">
        <f t="shared" si="13"/>
        <v>13.53</v>
      </c>
      <c r="AS14" s="835">
        <v>794037</v>
      </c>
      <c r="AT14" s="681">
        <f t="shared" si="14"/>
        <v>21</v>
      </c>
      <c r="AU14" s="834">
        <v>2327106</v>
      </c>
      <c r="AV14" s="681">
        <f t="shared" si="15"/>
        <v>424</v>
      </c>
      <c r="AW14" s="835">
        <v>208215</v>
      </c>
      <c r="AX14" s="681">
        <f t="shared" si="23"/>
        <v>70</v>
      </c>
      <c r="AY14" s="835">
        <v>17595435</v>
      </c>
      <c r="AZ14" s="681">
        <f t="shared" si="16"/>
        <v>3798</v>
      </c>
      <c r="BA14" s="835">
        <v>21777172</v>
      </c>
      <c r="BB14" s="681">
        <f t="shared" si="17"/>
        <v>3776.6000000000004</v>
      </c>
      <c r="BC14" s="681">
        <f t="shared" si="18"/>
        <v>9531.130000000001</v>
      </c>
      <c r="BD14" s="835">
        <v>1361511</v>
      </c>
      <c r="BE14" s="681">
        <f t="shared" si="19"/>
        <v>358</v>
      </c>
      <c r="BF14" s="835">
        <v>3472005</v>
      </c>
      <c r="BG14" s="681">
        <f t="shared" si="20"/>
        <v>809</v>
      </c>
      <c r="BH14" s="835">
        <v>370326</v>
      </c>
      <c r="BI14" s="681">
        <f t="shared" si="21"/>
        <v>110</v>
      </c>
      <c r="BJ14" s="835">
        <v>447823</v>
      </c>
      <c r="BK14" s="681">
        <f t="shared" si="29"/>
        <v>176</v>
      </c>
      <c r="BL14" s="740">
        <f t="shared" si="24"/>
        <v>17429.75</v>
      </c>
      <c r="BM14" s="741">
        <v>59</v>
      </c>
      <c r="BN14" s="740">
        <f t="shared" si="38"/>
        <v>285.73360655737707</v>
      </c>
      <c r="BO14" s="741"/>
      <c r="BP14" s="740" t="e">
        <f t="shared" si="25"/>
        <v>#DIV/0!</v>
      </c>
      <c r="BQ14" s="740">
        <f>BL14*BS1</f>
        <v>8017.6850000000004</v>
      </c>
      <c r="BR14" s="740">
        <f t="shared" si="31"/>
        <v>131.43745901639346</v>
      </c>
      <c r="BS14" s="742" t="e">
        <f t="shared" si="32"/>
        <v>#DIV/0!</v>
      </c>
    </row>
    <row r="15" spans="1:71" s="385" customFormat="1" ht="33.75" customHeight="1">
      <c r="A15" s="430">
        <v>10</v>
      </c>
      <c r="B15" s="431"/>
      <c r="C15" s="432">
        <f t="shared" si="33"/>
        <v>0</v>
      </c>
      <c r="D15" s="432"/>
      <c r="E15" s="432">
        <f t="shared" si="34"/>
        <v>0</v>
      </c>
      <c r="F15" s="432"/>
      <c r="G15" s="432">
        <f t="shared" si="35"/>
        <v>0</v>
      </c>
      <c r="H15" s="433"/>
      <c r="I15" s="835">
        <v>21959270</v>
      </c>
      <c r="J15" s="681">
        <f t="shared" si="22"/>
        <v>5552</v>
      </c>
      <c r="K15" s="681">
        <f t="shared" si="0"/>
        <v>2812</v>
      </c>
      <c r="L15" s="835">
        <v>976482</v>
      </c>
      <c r="M15" s="681">
        <f>IF(L15&gt;=L14,L15-L14,0)</f>
        <v>1318</v>
      </c>
      <c r="N15" s="835">
        <v>976598</v>
      </c>
      <c r="O15" s="681">
        <f t="shared" si="2"/>
        <v>1494</v>
      </c>
      <c r="P15" s="835">
        <v>214341</v>
      </c>
      <c r="Q15" s="681">
        <f t="shared" si="3"/>
        <v>540</v>
      </c>
      <c r="R15" s="834">
        <v>702925</v>
      </c>
      <c r="S15" s="681">
        <f t="shared" si="37"/>
        <v>0</v>
      </c>
      <c r="T15" s="834">
        <v>344001</v>
      </c>
      <c r="U15" s="681">
        <f t="shared" si="4"/>
        <v>0</v>
      </c>
      <c r="V15" s="834">
        <v>127955</v>
      </c>
      <c r="W15" s="681">
        <f t="shared" si="4"/>
        <v>135</v>
      </c>
      <c r="X15" s="834">
        <v>233214</v>
      </c>
      <c r="Y15" s="681">
        <f t="shared" si="5"/>
        <v>236</v>
      </c>
      <c r="Z15" s="834">
        <v>315108</v>
      </c>
      <c r="AA15" s="681">
        <f t="shared" si="6"/>
        <v>0</v>
      </c>
      <c r="AB15" s="835">
        <v>347386</v>
      </c>
      <c r="AC15" s="681">
        <f t="shared" si="7"/>
        <v>0</v>
      </c>
      <c r="AD15" s="835">
        <v>551425</v>
      </c>
      <c r="AE15" s="681">
        <f t="shared" si="8"/>
        <v>0</v>
      </c>
      <c r="AF15" s="834">
        <v>296448</v>
      </c>
      <c r="AG15" s="681">
        <f t="shared" si="27"/>
        <v>2221.23</v>
      </c>
      <c r="AH15" s="835">
        <v>527297</v>
      </c>
      <c r="AI15" s="681">
        <f t="shared" si="9"/>
        <v>209.88000000000002</v>
      </c>
      <c r="AJ15" s="834">
        <v>646634</v>
      </c>
      <c r="AK15" s="681">
        <f t="shared" si="39"/>
        <v>1989.0900000000001</v>
      </c>
      <c r="AL15" s="681">
        <f t="shared" si="10"/>
        <v>4420.2000000000007</v>
      </c>
      <c r="AM15" s="834">
        <v>7198148</v>
      </c>
      <c r="AN15" s="681">
        <f t="shared" si="11"/>
        <v>1067</v>
      </c>
      <c r="AO15" s="834">
        <v>568324</v>
      </c>
      <c r="AP15" s="681">
        <f t="shared" si="12"/>
        <v>275</v>
      </c>
      <c r="AQ15" s="835">
        <v>910995</v>
      </c>
      <c r="AR15" s="681">
        <f t="shared" si="13"/>
        <v>15.18</v>
      </c>
      <c r="AS15" s="834">
        <v>794075</v>
      </c>
      <c r="AT15" s="681">
        <f t="shared" si="14"/>
        <v>38</v>
      </c>
      <c r="AU15" s="835">
        <v>2327553</v>
      </c>
      <c r="AV15" s="681">
        <f t="shared" si="15"/>
        <v>447</v>
      </c>
      <c r="AW15" s="835">
        <v>208277</v>
      </c>
      <c r="AX15" s="681">
        <f t="shared" si="23"/>
        <v>62</v>
      </c>
      <c r="AY15" s="835">
        <v>17598290</v>
      </c>
      <c r="AZ15" s="681">
        <f t="shared" si="16"/>
        <v>2855</v>
      </c>
      <c r="BA15" s="835">
        <v>21783420</v>
      </c>
      <c r="BB15" s="681">
        <f t="shared" si="17"/>
        <v>4956</v>
      </c>
      <c r="BC15" s="681">
        <f t="shared" si="18"/>
        <v>9715.18</v>
      </c>
      <c r="BD15" s="835">
        <v>1361869</v>
      </c>
      <c r="BE15" s="681">
        <f t="shared" si="19"/>
        <v>358</v>
      </c>
      <c r="BF15" s="835">
        <v>3473070</v>
      </c>
      <c r="BG15" s="681">
        <f t="shared" si="20"/>
        <v>1065</v>
      </c>
      <c r="BH15" s="835">
        <v>370464</v>
      </c>
      <c r="BI15" s="681">
        <f t="shared" si="21"/>
        <v>138</v>
      </c>
      <c r="BJ15" s="835">
        <v>448049</v>
      </c>
      <c r="BK15" s="681">
        <f t="shared" si="29"/>
        <v>226</v>
      </c>
      <c r="BL15" s="740">
        <f t="shared" si="24"/>
        <v>20227.38</v>
      </c>
      <c r="BM15" s="741">
        <v>82</v>
      </c>
      <c r="BN15" s="740">
        <f t="shared" si="38"/>
        <v>342.83694915254239</v>
      </c>
      <c r="BO15" s="741"/>
      <c r="BP15" s="740" t="e">
        <f t="shared" si="25"/>
        <v>#DIV/0!</v>
      </c>
      <c r="BQ15" s="740">
        <f>BL15*BS1</f>
        <v>9304.5948000000008</v>
      </c>
      <c r="BR15" s="740">
        <f t="shared" si="31"/>
        <v>157.7049966101695</v>
      </c>
      <c r="BS15" s="742" t="e">
        <f t="shared" si="32"/>
        <v>#DIV/0!</v>
      </c>
    </row>
    <row r="16" spans="1:71" s="385" customFormat="1" ht="33.75" customHeight="1">
      <c r="A16" s="430">
        <v>11</v>
      </c>
      <c r="B16" s="431"/>
      <c r="C16" s="432">
        <f t="shared" si="33"/>
        <v>0</v>
      </c>
      <c r="D16" s="432"/>
      <c r="E16" s="432">
        <f t="shared" si="34"/>
        <v>0</v>
      </c>
      <c r="F16" s="432"/>
      <c r="G16" s="432">
        <f t="shared" si="35"/>
        <v>0</v>
      </c>
      <c r="H16" s="433">
        <v>61</v>
      </c>
      <c r="I16" s="835">
        <v>21962260</v>
      </c>
      <c r="J16" s="681">
        <f t="shared" si="22"/>
        <v>2990</v>
      </c>
      <c r="K16" s="681">
        <f t="shared" si="0"/>
        <v>2698</v>
      </c>
      <c r="L16" s="835">
        <v>977727</v>
      </c>
      <c r="M16" s="681">
        <f>IF(L16&gt;=L15,L16-L15,0)</f>
        <v>1245</v>
      </c>
      <c r="N16" s="834">
        <v>978051</v>
      </c>
      <c r="O16" s="681">
        <f t="shared" si="2"/>
        <v>1453</v>
      </c>
      <c r="P16" s="835">
        <v>214359</v>
      </c>
      <c r="Q16" s="681">
        <f t="shared" si="3"/>
        <v>540</v>
      </c>
      <c r="R16" s="834">
        <v>702925</v>
      </c>
      <c r="S16" s="681">
        <f t="shared" si="37"/>
        <v>0</v>
      </c>
      <c r="T16" s="834">
        <v>344001</v>
      </c>
      <c r="U16" s="681">
        <f t="shared" si="4"/>
        <v>0</v>
      </c>
      <c r="V16" s="834">
        <v>128090</v>
      </c>
      <c r="W16" s="681">
        <f t="shared" si="4"/>
        <v>135</v>
      </c>
      <c r="X16" s="834">
        <v>233448</v>
      </c>
      <c r="Y16" s="681">
        <f t="shared" si="5"/>
        <v>234</v>
      </c>
      <c r="Z16" s="834">
        <v>315108</v>
      </c>
      <c r="AA16" s="681">
        <f t="shared" si="6"/>
        <v>0</v>
      </c>
      <c r="AB16" s="835">
        <v>347386</v>
      </c>
      <c r="AC16" s="681">
        <f t="shared" si="7"/>
        <v>0</v>
      </c>
      <c r="AD16" s="835">
        <v>551425</v>
      </c>
      <c r="AE16" s="681">
        <f t="shared" si="8"/>
        <v>0</v>
      </c>
      <c r="AF16" s="834">
        <v>300254</v>
      </c>
      <c r="AG16" s="681">
        <f t="shared" si="27"/>
        <v>2017.18</v>
      </c>
      <c r="AH16" s="834">
        <v>527623</v>
      </c>
      <c r="AI16" s="681">
        <f t="shared" si="9"/>
        <v>172.78</v>
      </c>
      <c r="AJ16" s="835">
        <v>650137</v>
      </c>
      <c r="AK16" s="681">
        <f t="shared" si="39"/>
        <v>1856.5900000000001</v>
      </c>
      <c r="AL16" s="681">
        <f t="shared" si="10"/>
        <v>4046.55</v>
      </c>
      <c r="AM16" s="772">
        <v>7199211</v>
      </c>
      <c r="AN16" s="681">
        <f t="shared" si="11"/>
        <v>1063</v>
      </c>
      <c r="AO16" s="834">
        <v>568599</v>
      </c>
      <c r="AP16" s="681">
        <f t="shared" si="12"/>
        <v>275</v>
      </c>
      <c r="AQ16" s="834">
        <v>911094</v>
      </c>
      <c r="AR16" s="681">
        <f t="shared" si="13"/>
        <v>10.89</v>
      </c>
      <c r="AS16" s="834">
        <v>794113</v>
      </c>
      <c r="AT16" s="681">
        <f t="shared" si="14"/>
        <v>38</v>
      </c>
      <c r="AU16" s="834">
        <v>2328025</v>
      </c>
      <c r="AV16" s="681">
        <f t="shared" si="15"/>
        <v>472</v>
      </c>
      <c r="AW16" s="834">
        <v>208312</v>
      </c>
      <c r="AX16" s="681">
        <f t="shared" si="23"/>
        <v>35</v>
      </c>
      <c r="AY16" s="834">
        <v>17601657</v>
      </c>
      <c r="AZ16" s="681">
        <f t="shared" si="16"/>
        <v>3367</v>
      </c>
      <c r="BA16" s="835">
        <v>21787608</v>
      </c>
      <c r="BB16" s="681">
        <f t="shared" si="17"/>
        <v>3231.7</v>
      </c>
      <c r="BC16" s="681">
        <f t="shared" si="18"/>
        <v>8492.59</v>
      </c>
      <c r="BD16" s="835">
        <v>1362227</v>
      </c>
      <c r="BE16" s="681">
        <f t="shared" si="19"/>
        <v>358</v>
      </c>
      <c r="BF16" s="835">
        <v>3473748</v>
      </c>
      <c r="BG16" s="681">
        <f t="shared" si="20"/>
        <v>678</v>
      </c>
      <c r="BH16" s="834">
        <v>370551</v>
      </c>
      <c r="BI16" s="681">
        <f t="shared" si="21"/>
        <v>87</v>
      </c>
      <c r="BJ16" s="834">
        <v>448197</v>
      </c>
      <c r="BK16" s="681">
        <f t="shared" si="29"/>
        <v>148</v>
      </c>
      <c r="BL16" s="740">
        <f t="shared" si="24"/>
        <v>16069.14</v>
      </c>
      <c r="BM16" s="741">
        <v>35</v>
      </c>
      <c r="BN16" s="740">
        <f t="shared" si="38"/>
        <v>195.96512195121952</v>
      </c>
      <c r="BO16" s="741"/>
      <c r="BP16" s="740" t="e">
        <f t="shared" si="25"/>
        <v>#DIV/0!</v>
      </c>
      <c r="BQ16" s="740">
        <f>BL16*BS1</f>
        <v>7391.8044</v>
      </c>
      <c r="BR16" s="740">
        <f>IF(BQ16&gt;0,BQ16/BM15,0)</f>
        <v>90.143956097560974</v>
      </c>
      <c r="BS16" s="742" t="e">
        <f t="shared" si="32"/>
        <v>#DIV/0!</v>
      </c>
    </row>
    <row r="17" spans="1:71" s="385" customFormat="1" ht="33.75" customHeight="1">
      <c r="A17" s="430">
        <v>12</v>
      </c>
      <c r="B17" s="431"/>
      <c r="C17" s="432">
        <f t="shared" si="33"/>
        <v>0</v>
      </c>
      <c r="D17" s="432"/>
      <c r="E17" s="432">
        <f t="shared" si="34"/>
        <v>0</v>
      </c>
      <c r="F17" s="432"/>
      <c r="G17" s="432">
        <f t="shared" si="35"/>
        <v>0</v>
      </c>
      <c r="H17" s="433"/>
      <c r="I17" s="834">
        <v>21966697</v>
      </c>
      <c r="J17" s="681">
        <f t="shared" si="22"/>
        <v>4437</v>
      </c>
      <c r="K17" s="681">
        <f t="shared" si="0"/>
        <v>2787</v>
      </c>
      <c r="L17" s="834">
        <v>978936</v>
      </c>
      <c r="M17" s="681">
        <f>IF(L17&gt;=L16,L17-L16,0)</f>
        <v>1209</v>
      </c>
      <c r="N17" s="834">
        <v>979629</v>
      </c>
      <c r="O17" s="681">
        <f t="shared" si="2"/>
        <v>1578</v>
      </c>
      <c r="P17" s="835">
        <v>214379</v>
      </c>
      <c r="Q17" s="681">
        <f t="shared" si="3"/>
        <v>600</v>
      </c>
      <c r="R17" s="834">
        <v>702925</v>
      </c>
      <c r="S17" s="681">
        <f>IF(R17&gt;=R16,R17-R16,0)</f>
        <v>0</v>
      </c>
      <c r="T17" s="834">
        <v>344001</v>
      </c>
      <c r="U17" s="681">
        <f t="shared" si="4"/>
        <v>0</v>
      </c>
      <c r="V17" s="835">
        <v>128242</v>
      </c>
      <c r="W17" s="681">
        <f t="shared" si="4"/>
        <v>152</v>
      </c>
      <c r="X17" s="835">
        <v>233711</v>
      </c>
      <c r="Y17" s="681">
        <f t="shared" si="5"/>
        <v>263</v>
      </c>
      <c r="Z17" s="834">
        <v>315108</v>
      </c>
      <c r="AA17" s="681">
        <f t="shared" si="6"/>
        <v>0</v>
      </c>
      <c r="AB17" s="834">
        <v>347386</v>
      </c>
      <c r="AC17" s="681">
        <f t="shared" si="7"/>
        <v>0</v>
      </c>
      <c r="AD17" s="835">
        <v>551425</v>
      </c>
      <c r="AE17" s="681">
        <f t="shared" si="8"/>
        <v>0</v>
      </c>
      <c r="AF17" s="834">
        <v>304475</v>
      </c>
      <c r="AG17" s="681">
        <f t="shared" si="27"/>
        <v>2237.13</v>
      </c>
      <c r="AH17" s="834">
        <v>528017</v>
      </c>
      <c r="AI17" s="681">
        <f t="shared" si="9"/>
        <v>208.82000000000002</v>
      </c>
      <c r="AJ17" s="834">
        <v>654069</v>
      </c>
      <c r="AK17" s="681">
        <f t="shared" si="39"/>
        <v>2083.96</v>
      </c>
      <c r="AL17" s="681">
        <f>AA17+AC17+AE17+AG17+AI17+AK17</f>
        <v>4529.91</v>
      </c>
      <c r="AM17" s="834">
        <v>7200243</v>
      </c>
      <c r="AN17" s="681">
        <f t="shared" si="11"/>
        <v>1032</v>
      </c>
      <c r="AO17" s="834">
        <v>568896</v>
      </c>
      <c r="AP17" s="681">
        <f t="shared" si="12"/>
        <v>297</v>
      </c>
      <c r="AQ17" s="834">
        <v>911229</v>
      </c>
      <c r="AR17" s="681">
        <f t="shared" si="13"/>
        <v>14.85</v>
      </c>
      <c r="AS17" s="834">
        <v>794157</v>
      </c>
      <c r="AT17" s="681">
        <f t="shared" si="14"/>
        <v>44</v>
      </c>
      <c r="AU17" s="834">
        <v>2328530</v>
      </c>
      <c r="AV17" s="681">
        <f t="shared" si="15"/>
        <v>505</v>
      </c>
      <c r="AW17" s="834">
        <v>208329</v>
      </c>
      <c r="AX17" s="681">
        <f t="shared" si="23"/>
        <v>17</v>
      </c>
      <c r="AY17" s="834">
        <v>17605451</v>
      </c>
      <c r="AZ17" s="681">
        <f t="shared" si="16"/>
        <v>3794</v>
      </c>
      <c r="BA17" s="835">
        <v>21793543</v>
      </c>
      <c r="BB17" s="681">
        <f t="shared" si="17"/>
        <v>4736.3999999999996</v>
      </c>
      <c r="BC17" s="681">
        <f t="shared" si="18"/>
        <v>10440.25</v>
      </c>
      <c r="BD17" s="835">
        <v>1362585</v>
      </c>
      <c r="BE17" s="681">
        <f t="shared" si="19"/>
        <v>358</v>
      </c>
      <c r="BF17" s="834">
        <v>3474704</v>
      </c>
      <c r="BG17" s="681">
        <f t="shared" si="20"/>
        <v>956</v>
      </c>
      <c r="BH17" s="834">
        <v>370663</v>
      </c>
      <c r="BI17" s="681">
        <f t="shared" si="21"/>
        <v>112</v>
      </c>
      <c r="BJ17" s="834">
        <v>448408</v>
      </c>
      <c r="BK17" s="681">
        <f t="shared" si="29"/>
        <v>211</v>
      </c>
      <c r="BL17" s="740">
        <f t="shared" si="24"/>
        <v>20007.16</v>
      </c>
      <c r="BM17" s="741">
        <v>36</v>
      </c>
      <c r="BN17" s="740">
        <f t="shared" si="38"/>
        <v>571.63314285714284</v>
      </c>
      <c r="BO17" s="741"/>
      <c r="BP17" s="740" t="e">
        <f t="shared" si="25"/>
        <v>#DIV/0!</v>
      </c>
      <c r="BQ17" s="740">
        <f>BL17*BS1</f>
        <v>9203.2936000000009</v>
      </c>
      <c r="BR17" s="740">
        <f>IF(BQ17&gt;0,BQ17/BM16,0)</f>
        <v>262.95124571428573</v>
      </c>
      <c r="BS17" s="742" t="e">
        <f t="shared" si="32"/>
        <v>#DIV/0!</v>
      </c>
    </row>
    <row r="18" spans="1:71" s="385" customFormat="1" ht="33.75" customHeight="1">
      <c r="A18" s="430">
        <v>13</v>
      </c>
      <c r="B18" s="431"/>
      <c r="C18" s="432">
        <f t="shared" si="33"/>
        <v>0</v>
      </c>
      <c r="D18" s="432"/>
      <c r="E18" s="432">
        <f t="shared" si="34"/>
        <v>0</v>
      </c>
      <c r="F18" s="432"/>
      <c r="G18" s="432">
        <f t="shared" si="35"/>
        <v>0</v>
      </c>
      <c r="H18" s="433">
        <v>62</v>
      </c>
      <c r="I18" s="835">
        <v>21970423</v>
      </c>
      <c r="J18" s="681">
        <f t="shared" si="22"/>
        <v>3726</v>
      </c>
      <c r="K18" s="681">
        <f t="shared" si="0"/>
        <v>2485</v>
      </c>
      <c r="L18" s="834">
        <v>979952</v>
      </c>
      <c r="M18" s="681">
        <f>IF(L18&gt;=L17,L18-L17,0)</f>
        <v>1016</v>
      </c>
      <c r="N18" s="835">
        <v>981098</v>
      </c>
      <c r="O18" s="681">
        <f t="shared" si="2"/>
        <v>1469</v>
      </c>
      <c r="P18" s="834">
        <v>214395</v>
      </c>
      <c r="Q18" s="681">
        <f t="shared" si="3"/>
        <v>480</v>
      </c>
      <c r="R18" s="834">
        <v>702925</v>
      </c>
      <c r="S18" s="681">
        <f t="shared" si="37"/>
        <v>0</v>
      </c>
      <c r="T18" s="834">
        <v>344001</v>
      </c>
      <c r="U18" s="681">
        <f t="shared" si="4"/>
        <v>0</v>
      </c>
      <c r="V18" s="834">
        <v>128360</v>
      </c>
      <c r="W18" s="681">
        <f t="shared" si="4"/>
        <v>118</v>
      </c>
      <c r="X18" s="834">
        <v>233922</v>
      </c>
      <c r="Y18" s="681">
        <f t="shared" si="5"/>
        <v>211</v>
      </c>
      <c r="Z18" s="834">
        <v>315108</v>
      </c>
      <c r="AA18" s="681">
        <f t="shared" si="6"/>
        <v>0</v>
      </c>
      <c r="AB18" s="835">
        <v>350098</v>
      </c>
      <c r="AC18" s="681">
        <f t="shared" si="7"/>
        <v>1437.3600000000001</v>
      </c>
      <c r="AD18" s="835">
        <v>551425</v>
      </c>
      <c r="AE18" s="681">
        <f t="shared" si="8"/>
        <v>0</v>
      </c>
      <c r="AF18" s="834">
        <v>305142</v>
      </c>
      <c r="AG18" s="681">
        <f t="shared" si="27"/>
        <v>353.51</v>
      </c>
      <c r="AH18" s="834">
        <v>528303</v>
      </c>
      <c r="AI18" s="681">
        <f t="shared" si="9"/>
        <v>151.58000000000001</v>
      </c>
      <c r="AJ18" s="834">
        <v>657194</v>
      </c>
      <c r="AK18" s="681">
        <f t="shared" si="39"/>
        <v>1656.25</v>
      </c>
      <c r="AL18" s="681">
        <f t="shared" si="10"/>
        <v>3598.7</v>
      </c>
      <c r="AM18" s="834">
        <v>7201393</v>
      </c>
      <c r="AN18" s="681">
        <f t="shared" si="11"/>
        <v>1150</v>
      </c>
      <c r="AO18" s="835">
        <v>569164</v>
      </c>
      <c r="AP18" s="681">
        <f t="shared" si="12"/>
        <v>268</v>
      </c>
      <c r="AQ18" s="835">
        <v>911345</v>
      </c>
      <c r="AR18" s="681">
        <f t="shared" si="13"/>
        <v>12.76</v>
      </c>
      <c r="AS18" s="835">
        <v>794192</v>
      </c>
      <c r="AT18" s="681">
        <f t="shared" si="14"/>
        <v>35</v>
      </c>
      <c r="AU18" s="835">
        <v>2328958</v>
      </c>
      <c r="AV18" s="681">
        <f t="shared" si="15"/>
        <v>428</v>
      </c>
      <c r="AW18" s="834">
        <v>208364</v>
      </c>
      <c r="AX18" s="681">
        <f t="shared" si="23"/>
        <v>35</v>
      </c>
      <c r="AY18" s="834">
        <v>17608533</v>
      </c>
      <c r="AZ18" s="681">
        <f t="shared" si="16"/>
        <v>3082</v>
      </c>
      <c r="BA18" s="834">
        <v>21798393</v>
      </c>
      <c r="BB18" s="681">
        <f t="shared" si="17"/>
        <v>3811.3999999999996</v>
      </c>
      <c r="BC18" s="681">
        <f t="shared" si="18"/>
        <v>8822.16</v>
      </c>
      <c r="BD18" s="835">
        <v>1362943</v>
      </c>
      <c r="BE18" s="681">
        <f t="shared" si="19"/>
        <v>358</v>
      </c>
      <c r="BF18" s="834">
        <v>3475480</v>
      </c>
      <c r="BG18" s="681">
        <f t="shared" si="20"/>
        <v>776</v>
      </c>
      <c r="BH18" s="834">
        <v>370747</v>
      </c>
      <c r="BI18" s="681">
        <f t="shared" si="21"/>
        <v>84</v>
      </c>
      <c r="BJ18" s="834">
        <v>448581</v>
      </c>
      <c r="BK18" s="681">
        <f t="shared" si="29"/>
        <v>173</v>
      </c>
      <c r="BL18" s="740">
        <f t="shared" si="24"/>
        <v>16626.86</v>
      </c>
      <c r="BM18" s="741">
        <v>30</v>
      </c>
      <c r="BN18" s="740">
        <f t="shared" si="38"/>
        <v>461.85722222222222</v>
      </c>
      <c r="BO18" s="741"/>
      <c r="BP18" s="740" t="e">
        <f t="shared" si="25"/>
        <v>#DIV/0!</v>
      </c>
      <c r="BQ18" s="740">
        <f>BL18*BS1</f>
        <v>7648.3556000000008</v>
      </c>
      <c r="BR18" s="740">
        <f>IF(BQ18&gt;0,BQ18/BM17,0)</f>
        <v>212.45432222222223</v>
      </c>
      <c r="BS18" s="742" t="e">
        <f t="shared" si="32"/>
        <v>#DIV/0!</v>
      </c>
    </row>
    <row r="19" spans="1:71" s="385" customFormat="1" ht="33.75" customHeight="1">
      <c r="A19" s="430">
        <v>14</v>
      </c>
      <c r="B19" s="431"/>
      <c r="C19" s="432">
        <f t="shared" si="33"/>
        <v>0</v>
      </c>
      <c r="D19" s="432"/>
      <c r="E19" s="432">
        <f t="shared" si="34"/>
        <v>0</v>
      </c>
      <c r="F19" s="432"/>
      <c r="G19" s="432">
        <f t="shared" si="35"/>
        <v>0</v>
      </c>
      <c r="H19" s="433"/>
      <c r="I19" s="835">
        <v>21975104</v>
      </c>
      <c r="J19" s="681">
        <f t="shared" si="22"/>
        <v>4681</v>
      </c>
      <c r="K19" s="681">
        <f t="shared" si="0"/>
        <v>3188</v>
      </c>
      <c r="L19" s="835">
        <v>981379</v>
      </c>
      <c r="M19" s="681">
        <f t="shared" si="1"/>
        <v>1427</v>
      </c>
      <c r="N19" s="835">
        <v>982859</v>
      </c>
      <c r="O19" s="681">
        <f t="shared" si="2"/>
        <v>1761</v>
      </c>
      <c r="P19" s="835">
        <v>214418</v>
      </c>
      <c r="Q19" s="681">
        <f t="shared" ref="Q19:Q36" si="40">IF(P19&gt;=P18,P19-P18,0)*30</f>
        <v>690</v>
      </c>
      <c r="R19" s="834">
        <v>702925</v>
      </c>
      <c r="S19" s="681">
        <f>IF(R19&gt;=R18,R19-R18,0)</f>
        <v>0</v>
      </c>
      <c r="T19" s="834">
        <v>344001</v>
      </c>
      <c r="U19" s="681">
        <f t="shared" si="4"/>
        <v>0</v>
      </c>
      <c r="V19" s="834">
        <v>128526</v>
      </c>
      <c r="W19" s="681">
        <f t="shared" si="4"/>
        <v>166</v>
      </c>
      <c r="X19" s="834">
        <v>234186</v>
      </c>
      <c r="Y19" s="681">
        <f t="shared" si="5"/>
        <v>264</v>
      </c>
      <c r="Z19" s="834">
        <v>315108</v>
      </c>
      <c r="AA19" s="681">
        <f t="shared" si="6"/>
        <v>0</v>
      </c>
      <c r="AB19" s="834">
        <v>354509</v>
      </c>
      <c r="AC19" s="681">
        <f t="shared" si="7"/>
        <v>2337.83</v>
      </c>
      <c r="AD19" s="772">
        <v>551425</v>
      </c>
      <c r="AE19" s="681">
        <f t="shared" si="8"/>
        <v>0</v>
      </c>
      <c r="AF19" s="834">
        <v>305142</v>
      </c>
      <c r="AG19" s="681">
        <f t="shared" si="27"/>
        <v>0</v>
      </c>
      <c r="AH19" s="835">
        <v>528712</v>
      </c>
      <c r="AI19" s="681">
        <f t="shared" si="9"/>
        <v>216.77</v>
      </c>
      <c r="AJ19" s="834">
        <v>661265</v>
      </c>
      <c r="AK19" s="681">
        <f t="shared" si="39"/>
        <v>2157.63</v>
      </c>
      <c r="AL19" s="681">
        <f t="shared" si="10"/>
        <v>4712.2299999999996</v>
      </c>
      <c r="AM19" s="772">
        <v>7202497</v>
      </c>
      <c r="AN19" s="681">
        <f t="shared" si="11"/>
        <v>1104</v>
      </c>
      <c r="AO19" s="834">
        <v>569474</v>
      </c>
      <c r="AP19" s="681">
        <f t="shared" si="12"/>
        <v>310</v>
      </c>
      <c r="AQ19" s="835">
        <v>911484</v>
      </c>
      <c r="AR19" s="681">
        <f t="shared" si="13"/>
        <v>15.290000000000001</v>
      </c>
      <c r="AS19" s="834">
        <v>794231</v>
      </c>
      <c r="AT19" s="681">
        <f t="shared" si="14"/>
        <v>39</v>
      </c>
      <c r="AU19" s="835">
        <v>2329504</v>
      </c>
      <c r="AV19" s="681">
        <f t="shared" si="15"/>
        <v>546</v>
      </c>
      <c r="AW19" s="834">
        <v>208436</v>
      </c>
      <c r="AX19" s="681">
        <f t="shared" ref="AX19:AX36" si="41">IF(AW19&gt;=AW18,AW19-AW18,0)</f>
        <v>72</v>
      </c>
      <c r="AY19" s="835">
        <v>17612253</v>
      </c>
      <c r="AZ19" s="681">
        <f t="shared" si="16"/>
        <v>3720</v>
      </c>
      <c r="BA19" s="835">
        <v>21804470</v>
      </c>
      <c r="BB19" s="681">
        <f t="shared" si="17"/>
        <v>4856.8999999999996</v>
      </c>
      <c r="BC19" s="681">
        <f t="shared" si="18"/>
        <v>10663.189999999999</v>
      </c>
      <c r="BD19" s="835">
        <v>1363301</v>
      </c>
      <c r="BE19" s="681">
        <f t="shared" si="19"/>
        <v>358</v>
      </c>
      <c r="BF19" s="834">
        <v>3476466</v>
      </c>
      <c r="BG19" s="681">
        <f t="shared" si="20"/>
        <v>986</v>
      </c>
      <c r="BH19" s="772">
        <v>370854</v>
      </c>
      <c r="BI19" s="681">
        <f t="shared" si="21"/>
        <v>107</v>
      </c>
      <c r="BJ19" s="835">
        <v>448798</v>
      </c>
      <c r="BK19" s="681">
        <f t="shared" si="29"/>
        <v>217</v>
      </c>
      <c r="BL19" s="740">
        <f t="shared" si="24"/>
        <v>20746.419999999998</v>
      </c>
      <c r="BM19" s="741">
        <v>43</v>
      </c>
      <c r="BN19" s="740">
        <f t="shared" si="38"/>
        <v>691.54733333333331</v>
      </c>
      <c r="BO19" s="741"/>
      <c r="BP19" s="740" t="e">
        <f t="shared" si="25"/>
        <v>#DIV/0!</v>
      </c>
      <c r="BQ19" s="740">
        <f>BL19*BS1</f>
        <v>9543.3531999999996</v>
      </c>
      <c r="BR19" s="740">
        <f>IF(BQ19&gt;0,BQ19/BM18,0)</f>
        <v>318.1117733333333</v>
      </c>
      <c r="BS19" s="742" t="e">
        <f t="shared" si="32"/>
        <v>#DIV/0!</v>
      </c>
    </row>
    <row r="20" spans="1:71" s="385" customFormat="1" ht="33.75" customHeight="1">
      <c r="A20" s="430">
        <v>15</v>
      </c>
      <c r="B20" s="431"/>
      <c r="C20" s="432">
        <f t="shared" si="33"/>
        <v>0</v>
      </c>
      <c r="D20" s="432"/>
      <c r="E20" s="432">
        <f t="shared" si="34"/>
        <v>0</v>
      </c>
      <c r="F20" s="432"/>
      <c r="G20" s="432">
        <f t="shared" si="35"/>
        <v>0</v>
      </c>
      <c r="H20" s="433">
        <v>63</v>
      </c>
      <c r="I20" s="834">
        <v>21979629</v>
      </c>
      <c r="J20" s="681">
        <f t="shared" si="22"/>
        <v>4525</v>
      </c>
      <c r="K20" s="681">
        <f t="shared" si="0"/>
        <v>3046</v>
      </c>
      <c r="L20" s="835">
        <v>982844</v>
      </c>
      <c r="M20" s="681">
        <f t="shared" si="1"/>
        <v>1465</v>
      </c>
      <c r="N20" s="834">
        <v>984440</v>
      </c>
      <c r="O20" s="681">
        <f t="shared" si="2"/>
        <v>1581</v>
      </c>
      <c r="P20" s="835">
        <v>214437</v>
      </c>
      <c r="Q20" s="681">
        <f t="shared" si="40"/>
        <v>570</v>
      </c>
      <c r="R20" s="834">
        <v>702925</v>
      </c>
      <c r="S20" s="681">
        <f>IF(R20&gt;=R19,R20-R19,0)</f>
        <v>0</v>
      </c>
      <c r="T20" s="834">
        <v>344001</v>
      </c>
      <c r="U20" s="681">
        <f>IF(T20&gt;=T19,T20-T19,0)</f>
        <v>0</v>
      </c>
      <c r="V20" s="834">
        <v>128674</v>
      </c>
      <c r="W20" s="681">
        <f t="shared" si="4"/>
        <v>148</v>
      </c>
      <c r="X20" s="834">
        <v>234434</v>
      </c>
      <c r="Y20" s="681">
        <f t="shared" si="5"/>
        <v>248</v>
      </c>
      <c r="Z20" s="834">
        <v>315108</v>
      </c>
      <c r="AA20" s="681">
        <f t="shared" si="6"/>
        <v>0</v>
      </c>
      <c r="AB20" s="834">
        <v>356869</v>
      </c>
      <c r="AC20" s="681">
        <f t="shared" si="7"/>
        <v>1250.8</v>
      </c>
      <c r="AD20" s="772">
        <v>551425</v>
      </c>
      <c r="AE20" s="681">
        <f t="shared" si="8"/>
        <v>0</v>
      </c>
      <c r="AF20" s="834">
        <v>305142</v>
      </c>
      <c r="AG20" s="681">
        <f t="shared" si="27"/>
        <v>0</v>
      </c>
      <c r="AH20" s="834">
        <v>528982</v>
      </c>
      <c r="AI20" s="681">
        <f t="shared" si="9"/>
        <v>143.1</v>
      </c>
      <c r="AJ20" s="834">
        <v>664411</v>
      </c>
      <c r="AK20" s="681">
        <f t="shared" si="39"/>
        <v>1667.38</v>
      </c>
      <c r="AL20" s="681">
        <f t="shared" si="10"/>
        <v>3061.2799999999997</v>
      </c>
      <c r="AM20" s="834">
        <v>7202833</v>
      </c>
      <c r="AN20" s="681">
        <f t="shared" si="11"/>
        <v>336</v>
      </c>
      <c r="AO20" s="834">
        <v>569752</v>
      </c>
      <c r="AP20" s="681">
        <f t="shared" si="12"/>
        <v>278</v>
      </c>
      <c r="AQ20" s="834">
        <v>911614</v>
      </c>
      <c r="AR20" s="681">
        <f t="shared" si="13"/>
        <v>14.3</v>
      </c>
      <c r="AS20" s="834">
        <v>794256</v>
      </c>
      <c r="AT20" s="681">
        <f t="shared" si="14"/>
        <v>25</v>
      </c>
      <c r="AU20" s="834">
        <v>2330024</v>
      </c>
      <c r="AV20" s="681">
        <f t="shared" si="15"/>
        <v>520</v>
      </c>
      <c r="AW20" s="834">
        <v>208501</v>
      </c>
      <c r="AX20" s="681">
        <f t="shared" si="41"/>
        <v>65</v>
      </c>
      <c r="AY20" s="834">
        <v>17615799</v>
      </c>
      <c r="AZ20" s="681">
        <f t="shared" si="16"/>
        <v>3546</v>
      </c>
      <c r="BA20" s="835">
        <v>21810061</v>
      </c>
      <c r="BB20" s="681">
        <f t="shared" si="17"/>
        <v>4455.3999999999996</v>
      </c>
      <c r="BC20" s="681">
        <f t="shared" si="18"/>
        <v>9239.7000000000007</v>
      </c>
      <c r="BD20" s="835">
        <v>1363659</v>
      </c>
      <c r="BE20" s="681">
        <f t="shared" si="19"/>
        <v>358</v>
      </c>
      <c r="BF20" s="834">
        <v>3477342</v>
      </c>
      <c r="BG20" s="681">
        <f t="shared" si="20"/>
        <v>876</v>
      </c>
      <c r="BH20" s="834">
        <v>370954</v>
      </c>
      <c r="BI20" s="681">
        <f t="shared" si="21"/>
        <v>100</v>
      </c>
      <c r="BJ20" s="834">
        <v>449000</v>
      </c>
      <c r="BK20" s="681">
        <f t="shared" si="29"/>
        <v>202</v>
      </c>
      <c r="BL20" s="740">
        <f t="shared" si="24"/>
        <v>17395.98</v>
      </c>
      <c r="BM20" s="741">
        <v>65</v>
      </c>
      <c r="BN20" s="740">
        <f t="shared" ref="BN20:BN36" si="42">IF(BL20&gt;0,BL20/BM20,0)</f>
        <v>267.63046153846153</v>
      </c>
      <c r="BO20" s="741"/>
      <c r="BP20" s="740" t="e">
        <f t="shared" si="25"/>
        <v>#DIV/0!</v>
      </c>
      <c r="BQ20" s="740">
        <f>BL20*BS1</f>
        <v>8002.1508000000003</v>
      </c>
      <c r="BR20" s="740">
        <f t="shared" ref="BR20:BR36" si="43">IF(BQ20&gt;0,BQ20/BM20,0)</f>
        <v>123.11001230769232</v>
      </c>
      <c r="BS20" s="742" t="e">
        <f t="shared" si="32"/>
        <v>#DIV/0!</v>
      </c>
    </row>
    <row r="21" spans="1:71" s="385" customFormat="1" ht="33.75" customHeight="1">
      <c r="A21" s="430">
        <v>16</v>
      </c>
      <c r="B21" s="431"/>
      <c r="C21" s="432">
        <f t="shared" si="33"/>
        <v>0</v>
      </c>
      <c r="D21" s="432"/>
      <c r="E21" s="432">
        <f t="shared" si="34"/>
        <v>0</v>
      </c>
      <c r="F21" s="432"/>
      <c r="G21" s="432">
        <f t="shared" si="35"/>
        <v>0</v>
      </c>
      <c r="H21" s="433"/>
      <c r="I21" s="835">
        <v>21983843</v>
      </c>
      <c r="J21" s="681">
        <f t="shared" si="22"/>
        <v>4214</v>
      </c>
      <c r="K21" s="681">
        <f t="shared" si="0"/>
        <v>2757</v>
      </c>
      <c r="L21" s="834">
        <v>984104</v>
      </c>
      <c r="M21" s="681">
        <f t="shared" si="1"/>
        <v>1260</v>
      </c>
      <c r="N21" s="834">
        <v>985937</v>
      </c>
      <c r="O21" s="681">
        <f t="shared" si="2"/>
        <v>1497</v>
      </c>
      <c r="P21" s="835">
        <v>214454</v>
      </c>
      <c r="Q21" s="681">
        <f t="shared" si="40"/>
        <v>510</v>
      </c>
      <c r="R21" s="834">
        <v>702925</v>
      </c>
      <c r="S21" s="681">
        <f>IF(R21&gt;=R20,R21-R20,0)</f>
        <v>0</v>
      </c>
      <c r="T21" s="834">
        <v>344001</v>
      </c>
      <c r="U21" s="681">
        <f>IF(T21&gt;=T20,T21-T20,0)</f>
        <v>0</v>
      </c>
      <c r="V21" s="834">
        <v>128808</v>
      </c>
      <c r="W21" s="681">
        <f t="shared" ref="W21:W36" si="44">IF(V21&gt;=V20,V21-V20,0)</f>
        <v>134</v>
      </c>
      <c r="X21" s="834">
        <v>234655</v>
      </c>
      <c r="Y21" s="681">
        <f t="shared" si="5"/>
        <v>221</v>
      </c>
      <c r="Z21" s="834">
        <v>315108</v>
      </c>
      <c r="AA21" s="681">
        <f t="shared" si="6"/>
        <v>0</v>
      </c>
      <c r="AB21" s="834">
        <v>359277</v>
      </c>
      <c r="AC21" s="681">
        <f t="shared" si="7"/>
        <v>1276.24</v>
      </c>
      <c r="AD21" s="772">
        <v>551425</v>
      </c>
      <c r="AE21" s="681">
        <f t="shared" si="8"/>
        <v>0</v>
      </c>
      <c r="AF21" s="834">
        <v>305142</v>
      </c>
      <c r="AG21" s="681">
        <f t="shared" si="27"/>
        <v>0</v>
      </c>
      <c r="AH21" s="835">
        <v>529245</v>
      </c>
      <c r="AI21" s="681">
        <f t="shared" si="9"/>
        <v>139.39000000000001</v>
      </c>
      <c r="AJ21" s="834">
        <v>667461</v>
      </c>
      <c r="AK21" s="681">
        <f t="shared" si="39"/>
        <v>1616.5</v>
      </c>
      <c r="AL21" s="681">
        <f t="shared" si="10"/>
        <v>3032.13</v>
      </c>
      <c r="AM21" s="834">
        <v>7203772</v>
      </c>
      <c r="AN21" s="681">
        <f t="shared" si="11"/>
        <v>939</v>
      </c>
      <c r="AO21" s="834">
        <v>570017</v>
      </c>
      <c r="AP21" s="681">
        <f t="shared" si="12"/>
        <v>265</v>
      </c>
      <c r="AQ21" s="834">
        <v>911732</v>
      </c>
      <c r="AR21" s="681">
        <f t="shared" si="13"/>
        <v>12.98</v>
      </c>
      <c r="AS21" s="834">
        <v>794279</v>
      </c>
      <c r="AT21" s="681">
        <f t="shared" si="14"/>
        <v>23</v>
      </c>
      <c r="AU21" s="834">
        <v>2330469</v>
      </c>
      <c r="AV21" s="681">
        <f t="shared" si="15"/>
        <v>445</v>
      </c>
      <c r="AW21" s="835">
        <v>208560</v>
      </c>
      <c r="AX21" s="681">
        <f t="shared" si="41"/>
        <v>59</v>
      </c>
      <c r="AY21" s="834">
        <v>17619002</v>
      </c>
      <c r="AZ21" s="681">
        <f t="shared" si="16"/>
        <v>3203</v>
      </c>
      <c r="BA21" s="835">
        <v>21815170</v>
      </c>
      <c r="BB21" s="681">
        <f t="shared" si="17"/>
        <v>4043</v>
      </c>
      <c r="BC21" s="681">
        <f t="shared" si="18"/>
        <v>8989.98</v>
      </c>
      <c r="BD21" s="835">
        <v>1364017</v>
      </c>
      <c r="BE21" s="681">
        <f t="shared" si="19"/>
        <v>358</v>
      </c>
      <c r="BF21" s="834">
        <v>3478132</v>
      </c>
      <c r="BG21" s="681">
        <f t="shared" si="20"/>
        <v>790</v>
      </c>
      <c r="BH21" s="834">
        <v>371050</v>
      </c>
      <c r="BI21" s="681">
        <f t="shared" si="21"/>
        <v>96</v>
      </c>
      <c r="BJ21" s="834">
        <v>449186</v>
      </c>
      <c r="BK21" s="681">
        <f t="shared" si="29"/>
        <v>186</v>
      </c>
      <c r="BL21" s="740">
        <f t="shared" si="24"/>
        <v>16746.11</v>
      </c>
      <c r="BM21" s="741">
        <v>55</v>
      </c>
      <c r="BN21" s="740">
        <f t="shared" si="42"/>
        <v>304.47472727272731</v>
      </c>
      <c r="BO21" s="741"/>
      <c r="BP21" s="740" t="e">
        <f t="shared" si="25"/>
        <v>#DIV/0!</v>
      </c>
      <c r="BQ21" s="740">
        <f>BL21*BS1</f>
        <v>7703.2106000000003</v>
      </c>
      <c r="BR21" s="740">
        <f t="shared" si="43"/>
        <v>140.05837454545454</v>
      </c>
      <c r="BS21" s="742" t="e">
        <f t="shared" si="32"/>
        <v>#DIV/0!</v>
      </c>
    </row>
    <row r="22" spans="1:71" s="385" customFormat="1" ht="33.75" customHeight="1">
      <c r="A22" s="430">
        <v>17</v>
      </c>
      <c r="B22" s="431"/>
      <c r="C22" s="432">
        <f t="shared" si="33"/>
        <v>0</v>
      </c>
      <c r="D22" s="432"/>
      <c r="E22" s="432">
        <f t="shared" si="34"/>
        <v>0</v>
      </c>
      <c r="F22" s="432"/>
      <c r="G22" s="432">
        <f t="shared" si="35"/>
        <v>0</v>
      </c>
      <c r="H22" s="433">
        <v>64</v>
      </c>
      <c r="I22" s="835">
        <v>21988928</v>
      </c>
      <c r="J22" s="681">
        <f t="shared" ref="J22:J31" si="45">IF(I22&gt;=I21,I22-I21,0)</f>
        <v>5085</v>
      </c>
      <c r="K22" s="681">
        <f t="shared" si="0"/>
        <v>3396</v>
      </c>
      <c r="L22" s="835">
        <v>985714</v>
      </c>
      <c r="M22" s="681">
        <f t="shared" si="1"/>
        <v>1610</v>
      </c>
      <c r="N22" s="835">
        <v>987723</v>
      </c>
      <c r="O22" s="681">
        <f t="shared" si="2"/>
        <v>1786</v>
      </c>
      <c r="P22" s="835">
        <v>214475</v>
      </c>
      <c r="Q22" s="681">
        <f t="shared" si="40"/>
        <v>630</v>
      </c>
      <c r="R22" s="834">
        <v>702925</v>
      </c>
      <c r="S22" s="681">
        <f t="shared" ref="S22:S36" si="46">IF(R22&gt;=R21,R22-R21,0)</f>
        <v>0</v>
      </c>
      <c r="T22" s="834">
        <v>344001</v>
      </c>
      <c r="U22" s="681">
        <f t="shared" si="4"/>
        <v>0</v>
      </c>
      <c r="V22" s="834">
        <v>128964</v>
      </c>
      <c r="W22" s="681">
        <f t="shared" si="44"/>
        <v>156</v>
      </c>
      <c r="X22" s="834">
        <v>234914</v>
      </c>
      <c r="Y22" s="681">
        <f t="shared" si="5"/>
        <v>259</v>
      </c>
      <c r="Z22" s="834">
        <v>315108</v>
      </c>
      <c r="AA22" s="681">
        <f t="shared" si="6"/>
        <v>0</v>
      </c>
      <c r="AB22" s="834">
        <v>363229</v>
      </c>
      <c r="AC22" s="681">
        <f t="shared" si="7"/>
        <v>2094.56</v>
      </c>
      <c r="AD22" s="772">
        <v>551425</v>
      </c>
      <c r="AE22" s="681">
        <f t="shared" si="8"/>
        <v>0</v>
      </c>
      <c r="AF22" s="834">
        <v>305142</v>
      </c>
      <c r="AG22" s="681">
        <f t="shared" si="27"/>
        <v>0</v>
      </c>
      <c r="AH22" s="835">
        <v>529582</v>
      </c>
      <c r="AI22" s="681">
        <f t="shared" si="9"/>
        <v>178.61</v>
      </c>
      <c r="AJ22" s="834">
        <v>671689</v>
      </c>
      <c r="AK22" s="681">
        <f t="shared" si="39"/>
        <v>2240.84</v>
      </c>
      <c r="AL22" s="681">
        <f t="shared" si="10"/>
        <v>4514.01</v>
      </c>
      <c r="AM22" s="834">
        <v>7204464</v>
      </c>
      <c r="AN22" s="681">
        <f t="shared" si="11"/>
        <v>692</v>
      </c>
      <c r="AO22" s="834">
        <v>570312</v>
      </c>
      <c r="AP22" s="681">
        <f t="shared" si="12"/>
        <v>295</v>
      </c>
      <c r="AQ22" s="834">
        <v>911855</v>
      </c>
      <c r="AR22" s="681">
        <f t="shared" si="13"/>
        <v>13.53</v>
      </c>
      <c r="AS22" s="834">
        <v>794314</v>
      </c>
      <c r="AT22" s="681">
        <f t="shared" si="14"/>
        <v>35</v>
      </c>
      <c r="AU22" s="835">
        <v>2330996</v>
      </c>
      <c r="AV22" s="681">
        <f t="shared" si="15"/>
        <v>527</v>
      </c>
      <c r="AW22" s="835">
        <v>208621</v>
      </c>
      <c r="AX22" s="681">
        <f t="shared" si="41"/>
        <v>61</v>
      </c>
      <c r="AY22" s="834">
        <v>17622714</v>
      </c>
      <c r="AZ22" s="681">
        <f t="shared" si="16"/>
        <v>3712</v>
      </c>
      <c r="BA22" s="835">
        <v>21821007</v>
      </c>
      <c r="BB22" s="681">
        <f t="shared" si="17"/>
        <v>4627.1000000000004</v>
      </c>
      <c r="BC22" s="681">
        <f t="shared" si="18"/>
        <v>9962.630000000001</v>
      </c>
      <c r="BD22" s="835">
        <v>1364375</v>
      </c>
      <c r="BE22" s="681">
        <f t="shared" si="19"/>
        <v>358</v>
      </c>
      <c r="BF22" s="834">
        <v>3479091</v>
      </c>
      <c r="BG22" s="681">
        <f t="shared" si="20"/>
        <v>959</v>
      </c>
      <c r="BH22" s="834">
        <v>371179</v>
      </c>
      <c r="BI22" s="681">
        <f t="shared" si="21"/>
        <v>129</v>
      </c>
      <c r="BJ22" s="834">
        <v>449398</v>
      </c>
      <c r="BK22" s="681">
        <f t="shared" si="29"/>
        <v>212</v>
      </c>
      <c r="BL22" s="740">
        <f t="shared" si="24"/>
        <v>20191.64</v>
      </c>
      <c r="BM22" s="741">
        <v>60</v>
      </c>
      <c r="BN22" s="740">
        <f t="shared" si="42"/>
        <v>336.52733333333333</v>
      </c>
      <c r="BO22" s="741"/>
      <c r="BP22" s="740" t="e">
        <f t="shared" si="25"/>
        <v>#DIV/0!</v>
      </c>
      <c r="BQ22" s="740">
        <f>BL22*BS1</f>
        <v>9288.1543999999994</v>
      </c>
      <c r="BR22" s="740">
        <f t="shared" si="43"/>
        <v>154.80257333333333</v>
      </c>
      <c r="BS22" s="742" t="e">
        <f t="shared" si="32"/>
        <v>#DIV/0!</v>
      </c>
    </row>
    <row r="23" spans="1:71" s="385" customFormat="1" ht="33.75" customHeight="1">
      <c r="A23" s="430">
        <v>18</v>
      </c>
      <c r="B23" s="431"/>
      <c r="C23" s="432">
        <f t="shared" si="33"/>
        <v>0</v>
      </c>
      <c r="D23" s="432"/>
      <c r="E23" s="432">
        <f t="shared" si="34"/>
        <v>0</v>
      </c>
      <c r="F23" s="432"/>
      <c r="G23" s="432">
        <f t="shared" si="35"/>
        <v>0</v>
      </c>
      <c r="H23" s="433"/>
      <c r="I23" s="834">
        <v>21993782</v>
      </c>
      <c r="J23" s="681">
        <f t="shared" si="45"/>
        <v>4854</v>
      </c>
      <c r="K23" s="681">
        <f t="shared" si="0"/>
        <v>3066</v>
      </c>
      <c r="L23" s="834">
        <v>987190</v>
      </c>
      <c r="M23" s="681">
        <f t="shared" si="1"/>
        <v>1476</v>
      </c>
      <c r="N23" s="834">
        <v>989313</v>
      </c>
      <c r="O23" s="681">
        <f t="shared" si="2"/>
        <v>1590</v>
      </c>
      <c r="P23" s="835">
        <v>214498</v>
      </c>
      <c r="Q23" s="681">
        <f t="shared" si="40"/>
        <v>690</v>
      </c>
      <c r="R23" s="834">
        <v>702925</v>
      </c>
      <c r="S23" s="681">
        <f t="shared" si="46"/>
        <v>0</v>
      </c>
      <c r="T23" s="834">
        <v>344001</v>
      </c>
      <c r="U23" s="681">
        <f t="shared" ref="U23:U36" si="47">IF(T23&gt;=T22,T23-T22,0)</f>
        <v>0</v>
      </c>
      <c r="V23" s="834">
        <v>129105</v>
      </c>
      <c r="W23" s="681">
        <f t="shared" si="44"/>
        <v>141</v>
      </c>
      <c r="X23" s="834">
        <v>235146</v>
      </c>
      <c r="Y23" s="681">
        <f t="shared" si="5"/>
        <v>232</v>
      </c>
      <c r="Z23" s="834">
        <v>315108</v>
      </c>
      <c r="AA23" s="681">
        <f t="shared" si="6"/>
        <v>0</v>
      </c>
      <c r="AB23" s="834">
        <v>363773</v>
      </c>
      <c r="AC23" s="681">
        <f t="shared" si="7"/>
        <v>288.32</v>
      </c>
      <c r="AD23" s="772">
        <v>551425</v>
      </c>
      <c r="AE23" s="681">
        <f t="shared" si="8"/>
        <v>0</v>
      </c>
      <c r="AF23" s="834">
        <v>306455</v>
      </c>
      <c r="AG23" s="681">
        <f t="shared" si="27"/>
        <v>695.89</v>
      </c>
      <c r="AH23" s="834">
        <v>529856</v>
      </c>
      <c r="AI23" s="681">
        <f t="shared" si="9"/>
        <v>145.22</v>
      </c>
      <c r="AJ23" s="834">
        <v>674580</v>
      </c>
      <c r="AK23" s="681">
        <f t="shared" si="39"/>
        <v>1532.23</v>
      </c>
      <c r="AL23" s="681">
        <f t="shared" si="10"/>
        <v>2661.66</v>
      </c>
      <c r="AM23" s="834">
        <v>7205134</v>
      </c>
      <c r="AN23" s="681">
        <f t="shared" si="11"/>
        <v>670</v>
      </c>
      <c r="AO23" s="834">
        <v>570600</v>
      </c>
      <c r="AP23" s="681">
        <f t="shared" si="12"/>
        <v>288</v>
      </c>
      <c r="AQ23" s="834">
        <v>911975</v>
      </c>
      <c r="AR23" s="681">
        <f t="shared" si="13"/>
        <v>13.2</v>
      </c>
      <c r="AS23" s="834">
        <v>794349</v>
      </c>
      <c r="AT23" s="681">
        <f t="shared" si="14"/>
        <v>35</v>
      </c>
      <c r="AU23" s="834">
        <v>2331488</v>
      </c>
      <c r="AV23" s="681">
        <f t="shared" si="15"/>
        <v>492</v>
      </c>
      <c r="AW23" s="835">
        <v>208683</v>
      </c>
      <c r="AX23" s="681">
        <f t="shared" si="41"/>
        <v>62</v>
      </c>
      <c r="AY23" s="835">
        <v>17626217</v>
      </c>
      <c r="AZ23" s="681">
        <f t="shared" si="16"/>
        <v>3503</v>
      </c>
      <c r="BA23" s="835">
        <v>21826285</v>
      </c>
      <c r="BB23" s="681">
        <f t="shared" si="17"/>
        <v>4143.2</v>
      </c>
      <c r="BC23" s="681">
        <f t="shared" si="18"/>
        <v>9206.4</v>
      </c>
      <c r="BD23" s="835">
        <v>1364733</v>
      </c>
      <c r="BE23" s="681">
        <f t="shared" si="19"/>
        <v>358</v>
      </c>
      <c r="BF23" s="834">
        <v>3479969</v>
      </c>
      <c r="BG23" s="681">
        <f t="shared" si="20"/>
        <v>878</v>
      </c>
      <c r="BH23" s="834">
        <v>371285</v>
      </c>
      <c r="BI23" s="681">
        <f t="shared" si="21"/>
        <v>106</v>
      </c>
      <c r="BJ23" s="835">
        <v>449595</v>
      </c>
      <c r="BK23" s="681">
        <f t="shared" si="29"/>
        <v>197</v>
      </c>
      <c r="BL23" s="740">
        <f t="shared" si="24"/>
        <v>17412.059999999998</v>
      </c>
      <c r="BM23" s="741">
        <v>44</v>
      </c>
      <c r="BN23" s="740">
        <f t="shared" si="42"/>
        <v>395.72863636363633</v>
      </c>
      <c r="BO23" s="741"/>
      <c r="BP23" s="740" t="e">
        <f t="shared" si="25"/>
        <v>#DIV/0!</v>
      </c>
      <c r="BQ23" s="740">
        <f>BL23*BS1</f>
        <v>8009.547599999999</v>
      </c>
      <c r="BR23" s="740">
        <f t="shared" si="43"/>
        <v>182.03517272727271</v>
      </c>
      <c r="BS23" s="742" t="e">
        <f t="shared" si="32"/>
        <v>#DIV/0!</v>
      </c>
    </row>
    <row r="24" spans="1:71" s="385" customFormat="1" ht="33.75" customHeight="1">
      <c r="A24" s="430">
        <v>19</v>
      </c>
      <c r="B24" s="431"/>
      <c r="C24" s="432">
        <f t="shared" si="33"/>
        <v>0</v>
      </c>
      <c r="D24" s="432"/>
      <c r="E24" s="432">
        <f t="shared" si="34"/>
        <v>0</v>
      </c>
      <c r="F24" s="432"/>
      <c r="G24" s="432">
        <f t="shared" si="35"/>
        <v>0</v>
      </c>
      <c r="H24" s="433">
        <v>65</v>
      </c>
      <c r="I24" s="835">
        <v>21998715</v>
      </c>
      <c r="J24" s="681">
        <f t="shared" si="45"/>
        <v>4933</v>
      </c>
      <c r="K24" s="681">
        <f t="shared" si="0"/>
        <v>3070</v>
      </c>
      <c r="L24" s="834">
        <v>988735</v>
      </c>
      <c r="M24" s="681">
        <f t="shared" si="1"/>
        <v>1545</v>
      </c>
      <c r="N24" s="834">
        <v>990838</v>
      </c>
      <c r="O24" s="681">
        <f t="shared" si="2"/>
        <v>1525</v>
      </c>
      <c r="P24" s="835">
        <v>214511</v>
      </c>
      <c r="Q24" s="681">
        <f>IF(P24&gt;=P23,P24-P23,0)*30</f>
        <v>390</v>
      </c>
      <c r="R24" s="834">
        <v>702925</v>
      </c>
      <c r="S24" s="681">
        <f t="shared" si="46"/>
        <v>0</v>
      </c>
      <c r="T24" s="834">
        <v>344001</v>
      </c>
      <c r="U24" s="681">
        <f t="shared" si="47"/>
        <v>0</v>
      </c>
      <c r="V24" s="835">
        <v>129253</v>
      </c>
      <c r="W24" s="681">
        <f t="shared" si="44"/>
        <v>148</v>
      </c>
      <c r="X24" s="835">
        <v>235394</v>
      </c>
      <c r="Y24" s="681">
        <f t="shared" si="5"/>
        <v>248</v>
      </c>
      <c r="Z24" s="834">
        <v>315108</v>
      </c>
      <c r="AA24" s="681">
        <f t="shared" si="6"/>
        <v>0</v>
      </c>
      <c r="AB24" s="834">
        <v>363773</v>
      </c>
      <c r="AC24" s="681">
        <f t="shared" si="7"/>
        <v>0</v>
      </c>
      <c r="AD24" s="835">
        <v>552132</v>
      </c>
      <c r="AE24" s="681">
        <f t="shared" si="8"/>
        <v>374.71000000000004</v>
      </c>
      <c r="AF24" s="834">
        <v>307674</v>
      </c>
      <c r="AG24" s="681">
        <f t="shared" si="27"/>
        <v>646.07000000000005</v>
      </c>
      <c r="AH24" s="834">
        <v>530148</v>
      </c>
      <c r="AI24" s="681">
        <f t="shared" si="9"/>
        <v>154.76000000000002</v>
      </c>
      <c r="AJ24" s="834">
        <v>677439</v>
      </c>
      <c r="AK24" s="681">
        <f t="shared" si="39"/>
        <v>1515.27</v>
      </c>
      <c r="AL24" s="681">
        <f t="shared" si="10"/>
        <v>2690.8100000000004</v>
      </c>
      <c r="AM24" s="772">
        <v>7206055</v>
      </c>
      <c r="AN24" s="681">
        <f t="shared" si="11"/>
        <v>921</v>
      </c>
      <c r="AO24" s="834">
        <v>570875</v>
      </c>
      <c r="AP24" s="681">
        <f t="shared" si="12"/>
        <v>275</v>
      </c>
      <c r="AQ24" s="835">
        <v>912099</v>
      </c>
      <c r="AR24" s="681">
        <f t="shared" si="13"/>
        <v>13.64</v>
      </c>
      <c r="AS24" s="834">
        <v>794383</v>
      </c>
      <c r="AT24" s="681">
        <f t="shared" si="14"/>
        <v>34</v>
      </c>
      <c r="AU24" s="834">
        <v>2332181</v>
      </c>
      <c r="AV24" s="681">
        <f t="shared" si="15"/>
        <v>693</v>
      </c>
      <c r="AW24" s="835">
        <v>208733</v>
      </c>
      <c r="AX24" s="681">
        <f t="shared" si="41"/>
        <v>50</v>
      </c>
      <c r="AY24" s="834">
        <v>17629691</v>
      </c>
      <c r="AZ24" s="681">
        <f t="shared" si="16"/>
        <v>3474</v>
      </c>
      <c r="BA24" s="835">
        <v>21831637</v>
      </c>
      <c r="BB24" s="681">
        <f t="shared" si="17"/>
        <v>4202</v>
      </c>
      <c r="BC24" s="681">
        <f t="shared" si="18"/>
        <v>9662.64</v>
      </c>
      <c r="BD24" s="835">
        <v>1365091</v>
      </c>
      <c r="BE24" s="681">
        <f t="shared" si="19"/>
        <v>358</v>
      </c>
      <c r="BF24" s="835">
        <v>3480859</v>
      </c>
      <c r="BG24" s="681">
        <f t="shared" si="20"/>
        <v>890</v>
      </c>
      <c r="BH24" s="834">
        <v>371395</v>
      </c>
      <c r="BI24" s="681">
        <f t="shared" si="21"/>
        <v>110</v>
      </c>
      <c r="BJ24" s="835">
        <v>449798</v>
      </c>
      <c r="BK24" s="681">
        <f t="shared" si="29"/>
        <v>203</v>
      </c>
      <c r="BL24" s="740">
        <f t="shared" si="24"/>
        <v>17676.45</v>
      </c>
      <c r="BM24" s="741">
        <v>51</v>
      </c>
      <c r="BN24" s="740">
        <f t="shared" si="42"/>
        <v>346.59705882352944</v>
      </c>
      <c r="BO24" s="741"/>
      <c r="BP24" s="740" t="e">
        <f t="shared" si="25"/>
        <v>#DIV/0!</v>
      </c>
      <c r="BQ24" s="740">
        <f>BL24*BS1</f>
        <v>8131.1670000000004</v>
      </c>
      <c r="BR24" s="740">
        <f t="shared" si="43"/>
        <v>159.43464705882354</v>
      </c>
      <c r="BS24" s="742" t="e">
        <f t="shared" si="32"/>
        <v>#DIV/0!</v>
      </c>
    </row>
    <row r="25" spans="1:71" s="385" customFormat="1" ht="33.75" customHeight="1">
      <c r="A25" s="430">
        <v>20</v>
      </c>
      <c r="B25" s="431"/>
      <c r="C25" s="432">
        <f t="shared" si="33"/>
        <v>0</v>
      </c>
      <c r="D25" s="432"/>
      <c r="E25" s="432">
        <f t="shared" si="34"/>
        <v>0</v>
      </c>
      <c r="F25" s="432"/>
      <c r="G25" s="432">
        <f t="shared" si="35"/>
        <v>0</v>
      </c>
      <c r="H25" s="433"/>
      <c r="I25" s="835">
        <v>22003726</v>
      </c>
      <c r="J25" s="681">
        <f t="shared" si="45"/>
        <v>5011</v>
      </c>
      <c r="K25" s="681">
        <f t="shared" si="0"/>
        <v>3095</v>
      </c>
      <c r="L25" s="835">
        <v>990323</v>
      </c>
      <c r="M25" s="681">
        <f t="shared" si="1"/>
        <v>1588</v>
      </c>
      <c r="N25" s="835">
        <v>992345</v>
      </c>
      <c r="O25" s="681">
        <f t="shared" si="2"/>
        <v>1507</v>
      </c>
      <c r="P25" s="835">
        <v>214522</v>
      </c>
      <c r="Q25" s="681">
        <f t="shared" si="40"/>
        <v>330</v>
      </c>
      <c r="R25" s="834">
        <v>702925</v>
      </c>
      <c r="S25" s="681">
        <f t="shared" si="46"/>
        <v>0</v>
      </c>
      <c r="T25" s="834">
        <v>344001</v>
      </c>
      <c r="U25" s="681">
        <f t="shared" si="47"/>
        <v>0</v>
      </c>
      <c r="V25" s="834">
        <v>129399</v>
      </c>
      <c r="W25" s="681">
        <f t="shared" si="44"/>
        <v>146</v>
      </c>
      <c r="X25" s="835">
        <v>235634</v>
      </c>
      <c r="Y25" s="681">
        <f t="shared" si="5"/>
        <v>240</v>
      </c>
      <c r="Z25" s="834">
        <v>315108</v>
      </c>
      <c r="AA25" s="681">
        <f t="shared" si="6"/>
        <v>0</v>
      </c>
      <c r="AB25" s="834">
        <v>363773</v>
      </c>
      <c r="AC25" s="681">
        <f t="shared" si="7"/>
        <v>0</v>
      </c>
      <c r="AD25" s="772">
        <v>554474</v>
      </c>
      <c r="AE25" s="681">
        <f t="shared" si="8"/>
        <v>1241.26</v>
      </c>
      <c r="AF25" s="834">
        <v>307674</v>
      </c>
      <c r="AG25" s="681">
        <f t="shared" si="27"/>
        <v>0</v>
      </c>
      <c r="AH25" s="834">
        <v>530514</v>
      </c>
      <c r="AI25" s="681">
        <f t="shared" si="9"/>
        <v>193.98000000000002</v>
      </c>
      <c r="AJ25" s="834">
        <v>680516</v>
      </c>
      <c r="AK25" s="681">
        <f t="shared" si="39"/>
        <v>1630.8100000000002</v>
      </c>
      <c r="AL25" s="681">
        <f t="shared" si="10"/>
        <v>3066.05</v>
      </c>
      <c r="AM25" s="834">
        <v>7206792</v>
      </c>
      <c r="AN25" s="681">
        <f t="shared" si="11"/>
        <v>737</v>
      </c>
      <c r="AO25" s="835">
        <v>571161</v>
      </c>
      <c r="AP25" s="681">
        <f>IF(AO25&gt;=AO24,AO25-AO24,0)</f>
        <v>286</v>
      </c>
      <c r="AQ25" s="835">
        <v>912224</v>
      </c>
      <c r="AR25" s="681">
        <f t="shared" si="13"/>
        <v>13.75</v>
      </c>
      <c r="AS25" s="834">
        <v>794416</v>
      </c>
      <c r="AT25" s="681">
        <f t="shared" si="14"/>
        <v>33</v>
      </c>
      <c r="AU25" s="834">
        <v>2332940</v>
      </c>
      <c r="AV25" s="681">
        <f t="shared" si="15"/>
        <v>759</v>
      </c>
      <c r="AW25" s="835">
        <v>208796</v>
      </c>
      <c r="AX25" s="681">
        <f t="shared" si="41"/>
        <v>63</v>
      </c>
      <c r="AY25" s="834">
        <v>17632974</v>
      </c>
      <c r="AZ25" s="681">
        <f t="shared" si="16"/>
        <v>3283</v>
      </c>
      <c r="BA25" s="835">
        <v>21836872</v>
      </c>
      <c r="BB25" s="681">
        <f t="shared" si="17"/>
        <v>4115.2</v>
      </c>
      <c r="BC25" s="681">
        <f t="shared" si="18"/>
        <v>9289.9500000000007</v>
      </c>
      <c r="BD25" s="835">
        <v>1365449</v>
      </c>
      <c r="BE25" s="681">
        <f t="shared" si="19"/>
        <v>358</v>
      </c>
      <c r="BF25" s="835">
        <v>3481707</v>
      </c>
      <c r="BG25" s="681">
        <f t="shared" si="20"/>
        <v>848</v>
      </c>
      <c r="BH25" s="772">
        <v>371497</v>
      </c>
      <c r="BI25" s="681">
        <f t="shared" si="21"/>
        <v>102</v>
      </c>
      <c r="BJ25" s="834">
        <v>450000</v>
      </c>
      <c r="BK25" s="681">
        <f t="shared" si="29"/>
        <v>202</v>
      </c>
      <c r="BL25" s="740">
        <f t="shared" si="24"/>
        <v>17697</v>
      </c>
      <c r="BM25" s="741">
        <v>48</v>
      </c>
      <c r="BN25" s="740">
        <f t="shared" si="42"/>
        <v>368.6875</v>
      </c>
      <c r="BO25" s="741"/>
      <c r="BP25" s="740" t="e">
        <f t="shared" si="25"/>
        <v>#DIV/0!</v>
      </c>
      <c r="BQ25" s="740">
        <f>BL25*BS1</f>
        <v>8140.6200000000008</v>
      </c>
      <c r="BR25" s="740">
        <f t="shared" si="43"/>
        <v>169.59625000000003</v>
      </c>
      <c r="BS25" s="742" t="e">
        <f t="shared" si="32"/>
        <v>#DIV/0!</v>
      </c>
    </row>
    <row r="26" spans="1:71" s="385" customFormat="1" ht="33.75" customHeight="1">
      <c r="A26" s="430">
        <v>21</v>
      </c>
      <c r="B26" s="431"/>
      <c r="C26" s="432">
        <f t="shared" si="33"/>
        <v>0</v>
      </c>
      <c r="D26" s="432"/>
      <c r="E26" s="432">
        <f t="shared" si="34"/>
        <v>0</v>
      </c>
      <c r="F26" s="432"/>
      <c r="G26" s="432">
        <f t="shared" si="35"/>
        <v>0</v>
      </c>
      <c r="H26" s="433">
        <v>66</v>
      </c>
      <c r="I26" s="835">
        <v>22008644</v>
      </c>
      <c r="J26" s="681">
        <f t="shared" si="45"/>
        <v>4918</v>
      </c>
      <c r="K26" s="681">
        <f t="shared" si="0"/>
        <v>3051</v>
      </c>
      <c r="L26" s="835">
        <v>991907</v>
      </c>
      <c r="M26" s="681">
        <f t="shared" si="1"/>
        <v>1584</v>
      </c>
      <c r="N26" s="834">
        <v>993812</v>
      </c>
      <c r="O26" s="681">
        <f t="shared" si="2"/>
        <v>1467</v>
      </c>
      <c r="P26" s="835">
        <v>214544</v>
      </c>
      <c r="Q26" s="681">
        <f t="shared" si="40"/>
        <v>660</v>
      </c>
      <c r="R26" s="834">
        <v>702925</v>
      </c>
      <c r="S26" s="681">
        <f t="shared" si="46"/>
        <v>0</v>
      </c>
      <c r="T26" s="834">
        <v>344001</v>
      </c>
      <c r="U26" s="681">
        <f t="shared" si="47"/>
        <v>0</v>
      </c>
      <c r="V26" s="834">
        <v>129541</v>
      </c>
      <c r="W26" s="681">
        <f t="shared" si="44"/>
        <v>142</v>
      </c>
      <c r="X26" s="834">
        <v>235872</v>
      </c>
      <c r="Y26" s="681">
        <f t="shared" si="5"/>
        <v>238</v>
      </c>
      <c r="Z26" s="834">
        <v>315108</v>
      </c>
      <c r="AA26" s="681">
        <f t="shared" si="6"/>
        <v>0</v>
      </c>
      <c r="AB26" s="834">
        <v>363773</v>
      </c>
      <c r="AC26" s="681">
        <f t="shared" si="7"/>
        <v>0</v>
      </c>
      <c r="AD26" s="835">
        <v>557465</v>
      </c>
      <c r="AE26" s="681">
        <f t="shared" si="8"/>
        <v>1585.23</v>
      </c>
      <c r="AF26" s="834">
        <v>307674</v>
      </c>
      <c r="AG26" s="681">
        <f t="shared" si="27"/>
        <v>0</v>
      </c>
      <c r="AH26" s="834">
        <v>530807</v>
      </c>
      <c r="AI26" s="681">
        <f t="shared" si="9"/>
        <v>155.29000000000002</v>
      </c>
      <c r="AJ26" s="835">
        <v>683809</v>
      </c>
      <c r="AK26" s="681">
        <f t="shared" si="39"/>
        <v>1745.2900000000002</v>
      </c>
      <c r="AL26" s="681">
        <f t="shared" si="10"/>
        <v>3485.8100000000004</v>
      </c>
      <c r="AM26" s="834">
        <v>7207451</v>
      </c>
      <c r="AN26" s="681">
        <f t="shared" si="11"/>
        <v>659</v>
      </c>
      <c r="AO26" s="834">
        <v>571446</v>
      </c>
      <c r="AP26" s="681">
        <f>IF(AO26&gt;=AO25,AO26-AO25,0)</f>
        <v>285</v>
      </c>
      <c r="AQ26" s="835">
        <v>912349</v>
      </c>
      <c r="AR26" s="681">
        <f t="shared" si="13"/>
        <v>13.75</v>
      </c>
      <c r="AS26" s="834">
        <v>794446</v>
      </c>
      <c r="AT26" s="681">
        <f t="shared" si="14"/>
        <v>30</v>
      </c>
      <c r="AU26" s="834">
        <v>2333611</v>
      </c>
      <c r="AV26" s="681">
        <f t="shared" si="15"/>
        <v>671</v>
      </c>
      <c r="AW26" s="835">
        <v>208851</v>
      </c>
      <c r="AX26" s="681">
        <f t="shared" si="41"/>
        <v>55</v>
      </c>
      <c r="AY26" s="834">
        <v>17636253</v>
      </c>
      <c r="AZ26" s="681">
        <f t="shared" si="16"/>
        <v>3279</v>
      </c>
      <c r="BA26" s="835">
        <v>21841925</v>
      </c>
      <c r="BB26" s="681">
        <f t="shared" si="17"/>
        <v>3961.3999999999996</v>
      </c>
      <c r="BC26" s="681">
        <f t="shared" si="18"/>
        <v>8954.15</v>
      </c>
      <c r="BD26" s="835">
        <v>1365807</v>
      </c>
      <c r="BE26" s="681">
        <f t="shared" si="19"/>
        <v>358</v>
      </c>
      <c r="BF26" s="834">
        <v>3482513</v>
      </c>
      <c r="BG26" s="681">
        <f t="shared" si="20"/>
        <v>806</v>
      </c>
      <c r="BH26" s="834">
        <v>371599</v>
      </c>
      <c r="BI26" s="681">
        <f t="shared" si="21"/>
        <v>102</v>
      </c>
      <c r="BJ26" s="834">
        <v>450199</v>
      </c>
      <c r="BK26" s="681">
        <f t="shared" si="29"/>
        <v>199</v>
      </c>
      <c r="BL26" s="740">
        <f t="shared" si="24"/>
        <v>18017.96</v>
      </c>
      <c r="BM26" s="741">
        <v>50</v>
      </c>
      <c r="BN26" s="740">
        <f t="shared" si="42"/>
        <v>360.35919999999999</v>
      </c>
      <c r="BO26" s="741"/>
      <c r="BP26" s="740" t="e">
        <f t="shared" si="25"/>
        <v>#DIV/0!</v>
      </c>
      <c r="BQ26" s="740">
        <f>BL26*BS1</f>
        <v>8288.2615999999998</v>
      </c>
      <c r="BR26" s="740">
        <f t="shared" si="43"/>
        <v>165.765232</v>
      </c>
      <c r="BS26" s="742" t="e">
        <f t="shared" si="32"/>
        <v>#DIV/0!</v>
      </c>
    </row>
    <row r="27" spans="1:71" s="385" customFormat="1" ht="33.75" customHeight="1">
      <c r="A27" s="430">
        <v>22</v>
      </c>
      <c r="B27" s="431"/>
      <c r="C27" s="432">
        <f t="shared" si="33"/>
        <v>0</v>
      </c>
      <c r="D27" s="432"/>
      <c r="E27" s="432">
        <f t="shared" si="34"/>
        <v>0</v>
      </c>
      <c r="F27" s="432"/>
      <c r="G27" s="432">
        <f t="shared" si="35"/>
        <v>0</v>
      </c>
      <c r="H27" s="433"/>
      <c r="I27" s="835">
        <v>22013370</v>
      </c>
      <c r="J27" s="681">
        <f t="shared" si="45"/>
        <v>4726</v>
      </c>
      <c r="K27" s="681">
        <f t="shared" si="0"/>
        <v>2930</v>
      </c>
      <c r="L27" s="835">
        <v>993393</v>
      </c>
      <c r="M27" s="681">
        <f t="shared" si="1"/>
        <v>1486</v>
      </c>
      <c r="N27" s="835">
        <v>995256</v>
      </c>
      <c r="O27" s="681">
        <f t="shared" si="2"/>
        <v>1444</v>
      </c>
      <c r="P27" s="835">
        <v>214564</v>
      </c>
      <c r="Q27" s="681">
        <f>IF(P27&gt;=P26,P27-P26,0)*30</f>
        <v>600</v>
      </c>
      <c r="R27" s="834">
        <v>702925</v>
      </c>
      <c r="S27" s="681">
        <f t="shared" si="46"/>
        <v>0</v>
      </c>
      <c r="T27" s="834">
        <v>344001</v>
      </c>
      <c r="U27" s="681">
        <f t="shared" si="47"/>
        <v>0</v>
      </c>
      <c r="V27" s="834">
        <v>129685</v>
      </c>
      <c r="W27" s="681">
        <f t="shared" si="44"/>
        <v>144</v>
      </c>
      <c r="X27" s="835">
        <v>236111</v>
      </c>
      <c r="Y27" s="681">
        <f t="shared" si="5"/>
        <v>239</v>
      </c>
      <c r="Z27" s="834">
        <v>315108</v>
      </c>
      <c r="AA27" s="681">
        <f t="shared" si="6"/>
        <v>0</v>
      </c>
      <c r="AB27" s="834">
        <v>363773</v>
      </c>
      <c r="AC27" s="681">
        <f t="shared" si="7"/>
        <v>0</v>
      </c>
      <c r="AD27" s="834">
        <v>558869</v>
      </c>
      <c r="AE27" s="681">
        <f t="shared" si="8"/>
        <v>744.12</v>
      </c>
      <c r="AF27" s="834">
        <v>307674</v>
      </c>
      <c r="AG27" s="681">
        <f t="shared" si="27"/>
        <v>0</v>
      </c>
      <c r="AH27" s="835">
        <v>531022</v>
      </c>
      <c r="AI27" s="681">
        <f t="shared" si="9"/>
        <v>113.95</v>
      </c>
      <c r="AJ27" s="834">
        <v>686101</v>
      </c>
      <c r="AK27" s="681">
        <f t="shared" si="39"/>
        <v>1214.76</v>
      </c>
      <c r="AL27" s="681">
        <f t="shared" si="10"/>
        <v>2072.83</v>
      </c>
      <c r="AM27" s="834">
        <v>7207952</v>
      </c>
      <c r="AN27" s="681">
        <f t="shared" si="11"/>
        <v>501</v>
      </c>
      <c r="AO27" s="834">
        <v>571753</v>
      </c>
      <c r="AP27" s="681">
        <f>IF(AO27&gt;=AO26,AO27-AO26,0)</f>
        <v>307</v>
      </c>
      <c r="AQ27" s="834">
        <v>912451</v>
      </c>
      <c r="AR27" s="681">
        <f t="shared" si="13"/>
        <v>11.22</v>
      </c>
      <c r="AS27" s="834">
        <v>794465</v>
      </c>
      <c r="AT27" s="681">
        <f t="shared" si="14"/>
        <v>19</v>
      </c>
      <c r="AU27" s="834">
        <v>2333952</v>
      </c>
      <c r="AV27" s="681">
        <f t="shared" si="15"/>
        <v>341</v>
      </c>
      <c r="AW27" s="835">
        <v>208910</v>
      </c>
      <c r="AX27" s="681">
        <f t="shared" si="41"/>
        <v>59</v>
      </c>
      <c r="AY27" s="834">
        <v>17639647</v>
      </c>
      <c r="AZ27" s="681">
        <f t="shared" si="16"/>
        <v>3394</v>
      </c>
      <c r="BA27" s="835">
        <v>21846921</v>
      </c>
      <c r="BB27" s="681">
        <f t="shared" si="17"/>
        <v>3917.3</v>
      </c>
      <c r="BC27" s="681">
        <f t="shared" si="18"/>
        <v>8549.52</v>
      </c>
      <c r="BD27" s="835">
        <v>1366165</v>
      </c>
      <c r="BE27" s="681">
        <f t="shared" si="19"/>
        <v>358</v>
      </c>
      <c r="BF27" s="834">
        <v>3483295</v>
      </c>
      <c r="BG27" s="681">
        <f t="shared" si="20"/>
        <v>782</v>
      </c>
      <c r="BH27" s="834">
        <v>371700</v>
      </c>
      <c r="BI27" s="681">
        <f t="shared" si="21"/>
        <v>101</v>
      </c>
      <c r="BJ27" s="834">
        <v>450400</v>
      </c>
      <c r="BK27" s="681">
        <f t="shared" si="29"/>
        <v>201</v>
      </c>
      <c r="BL27" s="740">
        <f t="shared" si="24"/>
        <v>15948.35</v>
      </c>
      <c r="BM27" s="741">
        <v>54</v>
      </c>
      <c r="BN27" s="740">
        <f t="shared" si="42"/>
        <v>295.33981481481482</v>
      </c>
      <c r="BO27" s="741"/>
      <c r="BP27" s="740" t="e">
        <f t="shared" si="25"/>
        <v>#DIV/0!</v>
      </c>
      <c r="BQ27" s="740">
        <f>BL27*BS1</f>
        <v>7336.2410000000009</v>
      </c>
      <c r="BR27" s="740">
        <f t="shared" si="43"/>
        <v>135.85631481481482</v>
      </c>
      <c r="BS27" s="742" t="e">
        <f t="shared" si="32"/>
        <v>#DIV/0!</v>
      </c>
    </row>
    <row r="28" spans="1:71" s="385" customFormat="1" ht="33.75" customHeight="1">
      <c r="A28" s="430">
        <v>23</v>
      </c>
      <c r="B28" s="431"/>
      <c r="C28" s="432">
        <f t="shared" si="33"/>
        <v>0</v>
      </c>
      <c r="D28" s="432"/>
      <c r="E28" s="432">
        <f t="shared" si="34"/>
        <v>0</v>
      </c>
      <c r="F28" s="432"/>
      <c r="G28" s="432">
        <f t="shared" si="35"/>
        <v>0</v>
      </c>
      <c r="H28" s="433">
        <v>67</v>
      </c>
      <c r="I28" s="834">
        <v>22017926</v>
      </c>
      <c r="J28" s="681">
        <f t="shared" si="45"/>
        <v>4556</v>
      </c>
      <c r="K28" s="681">
        <f t="shared" si="0"/>
        <v>2869</v>
      </c>
      <c r="L28" s="834">
        <v>994781</v>
      </c>
      <c r="M28" s="681">
        <f t="shared" si="1"/>
        <v>1388</v>
      </c>
      <c r="N28" s="834">
        <v>996737</v>
      </c>
      <c r="O28" s="681">
        <f t="shared" si="2"/>
        <v>1481</v>
      </c>
      <c r="P28" s="835">
        <v>214582</v>
      </c>
      <c r="Q28" s="681">
        <f t="shared" si="40"/>
        <v>540</v>
      </c>
      <c r="R28" s="834">
        <v>702925</v>
      </c>
      <c r="S28" s="681">
        <f t="shared" si="46"/>
        <v>0</v>
      </c>
      <c r="T28" s="834">
        <v>344001</v>
      </c>
      <c r="U28" s="681">
        <f t="shared" si="47"/>
        <v>0</v>
      </c>
      <c r="V28" s="834">
        <v>129830</v>
      </c>
      <c r="W28" s="681">
        <f t="shared" si="44"/>
        <v>145</v>
      </c>
      <c r="X28" s="834">
        <v>236350</v>
      </c>
      <c r="Y28" s="681">
        <f t="shared" si="5"/>
        <v>239</v>
      </c>
      <c r="Z28" s="834">
        <v>315108</v>
      </c>
      <c r="AA28" s="681">
        <f t="shared" si="6"/>
        <v>0</v>
      </c>
      <c r="AB28" s="835">
        <v>363773</v>
      </c>
      <c r="AC28" s="681">
        <f t="shared" si="7"/>
        <v>0</v>
      </c>
      <c r="AD28" s="834">
        <v>561065</v>
      </c>
      <c r="AE28" s="681">
        <f t="shared" si="8"/>
        <v>1163.8800000000001</v>
      </c>
      <c r="AF28" s="834">
        <v>307674</v>
      </c>
      <c r="AG28" s="681">
        <f t="shared" si="27"/>
        <v>0</v>
      </c>
      <c r="AH28" s="834">
        <v>531344</v>
      </c>
      <c r="AI28" s="681">
        <f t="shared" si="9"/>
        <v>170.66</v>
      </c>
      <c r="AJ28" s="834">
        <v>689156</v>
      </c>
      <c r="AK28" s="681">
        <f t="shared" si="39"/>
        <v>1619.15</v>
      </c>
      <c r="AL28" s="681">
        <f t="shared" si="10"/>
        <v>2953.6900000000005</v>
      </c>
      <c r="AM28" s="834">
        <v>7208590</v>
      </c>
      <c r="AN28" s="681">
        <f t="shared" si="11"/>
        <v>638</v>
      </c>
      <c r="AO28" s="834">
        <v>572047</v>
      </c>
      <c r="AP28" s="681">
        <f>IF(AO28&gt;=AO27,AO28-AO27,0)</f>
        <v>294</v>
      </c>
      <c r="AQ28" s="835">
        <v>912534</v>
      </c>
      <c r="AR28" s="681">
        <f t="shared" si="13"/>
        <v>9.1300000000000008</v>
      </c>
      <c r="AS28" s="834">
        <v>794484</v>
      </c>
      <c r="AT28" s="681">
        <f t="shared" si="14"/>
        <v>19</v>
      </c>
      <c r="AU28" s="834">
        <v>2334293</v>
      </c>
      <c r="AV28" s="681">
        <f t="shared" si="15"/>
        <v>341</v>
      </c>
      <c r="AW28" s="834">
        <v>208973</v>
      </c>
      <c r="AX28" s="681">
        <f t="shared" si="41"/>
        <v>63</v>
      </c>
      <c r="AY28" s="834">
        <v>17643203</v>
      </c>
      <c r="AZ28" s="681">
        <f t="shared" si="16"/>
        <v>3556</v>
      </c>
      <c r="BA28" s="834">
        <v>21852096</v>
      </c>
      <c r="BB28" s="681">
        <f t="shared" si="17"/>
        <v>4040.8999999999996</v>
      </c>
      <c r="BC28" s="681">
        <f t="shared" si="18"/>
        <v>8961.0299999999988</v>
      </c>
      <c r="BD28" s="835">
        <v>1366523</v>
      </c>
      <c r="BE28" s="681">
        <f t="shared" si="19"/>
        <v>358</v>
      </c>
      <c r="BF28" s="834">
        <v>3484146</v>
      </c>
      <c r="BG28" s="681">
        <f t="shared" si="20"/>
        <v>851</v>
      </c>
      <c r="BH28" s="834">
        <v>371827</v>
      </c>
      <c r="BI28" s="681">
        <f t="shared" si="21"/>
        <v>127</v>
      </c>
      <c r="BJ28" s="834">
        <v>450602</v>
      </c>
      <c r="BK28" s="681">
        <f t="shared" si="29"/>
        <v>202</v>
      </c>
      <c r="BL28" s="740">
        <f t="shared" si="24"/>
        <v>17010.72</v>
      </c>
      <c r="BM28" s="741">
        <v>44</v>
      </c>
      <c r="BN28" s="740">
        <f t="shared" si="42"/>
        <v>386.60727272727274</v>
      </c>
      <c r="BO28" s="741"/>
      <c r="BP28" s="740" t="e">
        <f t="shared" si="25"/>
        <v>#DIV/0!</v>
      </c>
      <c r="BQ28" s="740">
        <f>BL28*BS1</f>
        <v>7824.9312000000009</v>
      </c>
      <c r="BR28" s="740">
        <f t="shared" si="43"/>
        <v>177.83934545454548</v>
      </c>
      <c r="BS28" s="742" t="e">
        <f t="shared" si="32"/>
        <v>#DIV/0!</v>
      </c>
    </row>
    <row r="29" spans="1:71" s="385" customFormat="1" ht="33.75" customHeight="1">
      <c r="A29" s="430">
        <v>24</v>
      </c>
      <c r="B29" s="431"/>
      <c r="C29" s="432">
        <f t="shared" si="33"/>
        <v>0</v>
      </c>
      <c r="D29" s="432"/>
      <c r="E29" s="432">
        <f t="shared" si="34"/>
        <v>0</v>
      </c>
      <c r="F29" s="432"/>
      <c r="G29" s="432">
        <f t="shared" si="35"/>
        <v>0</v>
      </c>
      <c r="H29" s="433"/>
      <c r="I29" s="835">
        <v>22022614</v>
      </c>
      <c r="J29" s="681">
        <f t="shared" si="45"/>
        <v>4688</v>
      </c>
      <c r="K29" s="681">
        <f t="shared" si="0"/>
        <v>2974</v>
      </c>
      <c r="L29" s="835">
        <v>996175</v>
      </c>
      <c r="M29" s="681">
        <f t="shared" si="1"/>
        <v>1394</v>
      </c>
      <c r="N29" s="834">
        <v>998317</v>
      </c>
      <c r="O29" s="681">
        <f t="shared" si="2"/>
        <v>1580</v>
      </c>
      <c r="P29" s="835">
        <v>214605</v>
      </c>
      <c r="Q29" s="681">
        <f t="shared" si="40"/>
        <v>690</v>
      </c>
      <c r="R29" s="834">
        <v>702925</v>
      </c>
      <c r="S29" s="681">
        <f>IF(R29&gt;=R28,R29-R28,0)</f>
        <v>0</v>
      </c>
      <c r="T29" s="834">
        <v>344001</v>
      </c>
      <c r="U29" s="681">
        <f t="shared" si="47"/>
        <v>0</v>
      </c>
      <c r="V29" s="834">
        <v>129973</v>
      </c>
      <c r="W29" s="681">
        <f>IF(V29&gt;=V28,V29-V28,0)</f>
        <v>143</v>
      </c>
      <c r="X29" s="835">
        <v>236587</v>
      </c>
      <c r="Y29" s="681">
        <f t="shared" ref="Y29:Y36" si="48">IF(X29&gt;=X28,X29-X28,0)</f>
        <v>237</v>
      </c>
      <c r="Z29" s="834">
        <v>315108</v>
      </c>
      <c r="AA29" s="681">
        <f t="shared" si="6"/>
        <v>0</v>
      </c>
      <c r="AB29" s="835">
        <v>365483</v>
      </c>
      <c r="AC29" s="681">
        <f t="shared" si="7"/>
        <v>906.30000000000007</v>
      </c>
      <c r="AD29" s="838">
        <v>562354</v>
      </c>
      <c r="AE29" s="681">
        <f t="shared" si="8"/>
        <v>683.17000000000007</v>
      </c>
      <c r="AF29" s="834">
        <v>307674</v>
      </c>
      <c r="AG29" s="681">
        <f t="shared" si="27"/>
        <v>0</v>
      </c>
      <c r="AH29" s="834">
        <v>531624</v>
      </c>
      <c r="AI29" s="681">
        <f t="shared" si="9"/>
        <v>148.4</v>
      </c>
      <c r="AJ29" s="834">
        <v>692112</v>
      </c>
      <c r="AK29" s="681">
        <f t="shared" si="39"/>
        <v>1566.68</v>
      </c>
      <c r="AL29" s="681">
        <f t="shared" si="10"/>
        <v>3304.55</v>
      </c>
      <c r="AM29" s="834">
        <v>7209404</v>
      </c>
      <c r="AN29" s="681">
        <f t="shared" si="11"/>
        <v>814</v>
      </c>
      <c r="AO29" s="834">
        <v>572310</v>
      </c>
      <c r="AP29" s="681">
        <f t="shared" si="12"/>
        <v>263</v>
      </c>
      <c r="AQ29" s="834">
        <v>912657</v>
      </c>
      <c r="AR29" s="681">
        <f t="shared" si="13"/>
        <v>13.53</v>
      </c>
      <c r="AS29" s="834">
        <v>794514</v>
      </c>
      <c r="AT29" s="681">
        <f t="shared" si="14"/>
        <v>30</v>
      </c>
      <c r="AU29" s="834">
        <v>2334638</v>
      </c>
      <c r="AV29" s="681">
        <f t="shared" si="15"/>
        <v>345</v>
      </c>
      <c r="AW29" s="834">
        <v>209037</v>
      </c>
      <c r="AX29" s="681">
        <f t="shared" si="41"/>
        <v>64</v>
      </c>
      <c r="AY29" s="834">
        <v>17646681</v>
      </c>
      <c r="AZ29" s="681">
        <f t="shared" si="16"/>
        <v>3478</v>
      </c>
      <c r="BA29" s="835">
        <v>21857291</v>
      </c>
      <c r="BB29" s="681">
        <f t="shared" si="17"/>
        <v>4041</v>
      </c>
      <c r="BC29" s="681">
        <f t="shared" si="18"/>
        <v>9048.5299999999988</v>
      </c>
      <c r="BD29" s="835">
        <v>1366881</v>
      </c>
      <c r="BE29" s="681">
        <f t="shared" si="19"/>
        <v>358</v>
      </c>
      <c r="BF29" s="834">
        <v>3485041</v>
      </c>
      <c r="BG29" s="681">
        <f t="shared" si="20"/>
        <v>895</v>
      </c>
      <c r="BH29" s="834">
        <v>371945</v>
      </c>
      <c r="BI29" s="681">
        <f t="shared" si="21"/>
        <v>118</v>
      </c>
      <c r="BJ29" s="835">
        <v>450802</v>
      </c>
      <c r="BK29" s="681">
        <f t="shared" si="29"/>
        <v>200</v>
      </c>
      <c r="BL29" s="740">
        <f t="shared" si="24"/>
        <v>17731.079999999998</v>
      </c>
      <c r="BM29" s="741">
        <v>41</v>
      </c>
      <c r="BN29" s="740">
        <f t="shared" si="42"/>
        <v>432.46536585365851</v>
      </c>
      <c r="BO29" s="741"/>
      <c r="BP29" s="740" t="e">
        <f t="shared" si="25"/>
        <v>#DIV/0!</v>
      </c>
      <c r="BQ29" s="740">
        <f>BL29*BS1</f>
        <v>8156.2967999999992</v>
      </c>
      <c r="BR29" s="740">
        <f t="shared" si="43"/>
        <v>198.93406829268289</v>
      </c>
      <c r="BS29" s="742" t="e">
        <f t="shared" si="32"/>
        <v>#DIV/0!</v>
      </c>
    </row>
    <row r="30" spans="1:71" s="385" customFormat="1" ht="33.75" customHeight="1">
      <c r="A30" s="430">
        <v>25</v>
      </c>
      <c r="B30" s="431"/>
      <c r="C30" s="432">
        <f t="shared" ref="C30:C35" si="49">IF(+B30-B29&gt;0,B30-B29,(B30-B29)&gt;0)*800</f>
        <v>0</v>
      </c>
      <c r="D30" s="432"/>
      <c r="E30" s="432">
        <f t="shared" ref="E30:E35" si="50">IF(+D30-D29&gt;0,D30-D29,(D30-D29)&gt;0)*80</f>
        <v>0</v>
      </c>
      <c r="F30" s="432"/>
      <c r="G30" s="432">
        <f t="shared" ref="G30:G35" si="51">IF(+F30-F29&gt;0,F30-F29,(F30-F29)&gt;0)*10</f>
        <v>0</v>
      </c>
      <c r="H30" s="433">
        <v>68</v>
      </c>
      <c r="I30" s="835">
        <v>22027555</v>
      </c>
      <c r="J30" s="681">
        <f t="shared" si="45"/>
        <v>4941</v>
      </c>
      <c r="K30" s="681">
        <f t="shared" si="0"/>
        <v>3145</v>
      </c>
      <c r="L30" s="834">
        <v>997638</v>
      </c>
      <c r="M30" s="681">
        <f t="shared" si="1"/>
        <v>1463</v>
      </c>
      <c r="N30" s="834">
        <v>999999</v>
      </c>
      <c r="O30" s="681">
        <f t="shared" si="2"/>
        <v>1682</v>
      </c>
      <c r="P30" s="835">
        <v>214626</v>
      </c>
      <c r="Q30" s="681">
        <f t="shared" si="40"/>
        <v>630</v>
      </c>
      <c r="R30" s="834">
        <v>702925</v>
      </c>
      <c r="S30" s="681">
        <f>IF(R30&gt;=R29,R30-R29,0)</f>
        <v>0</v>
      </c>
      <c r="T30" s="834">
        <v>344001</v>
      </c>
      <c r="U30" s="681">
        <f t="shared" si="47"/>
        <v>0</v>
      </c>
      <c r="V30" s="834">
        <v>130130</v>
      </c>
      <c r="W30" s="681">
        <f>IF(V30&gt;=V29,V30-V29,0)</f>
        <v>157</v>
      </c>
      <c r="X30" s="834">
        <v>236849</v>
      </c>
      <c r="Y30" s="681">
        <f t="shared" si="48"/>
        <v>262</v>
      </c>
      <c r="Z30" s="834">
        <v>315329</v>
      </c>
      <c r="AA30" s="681">
        <f t="shared" si="6"/>
        <v>117.13000000000001</v>
      </c>
      <c r="AB30" s="835">
        <v>366985</v>
      </c>
      <c r="AC30" s="681">
        <f t="shared" si="7"/>
        <v>796.06000000000006</v>
      </c>
      <c r="AD30" s="838">
        <v>562354</v>
      </c>
      <c r="AE30" s="681">
        <f t="shared" si="8"/>
        <v>0</v>
      </c>
      <c r="AF30" s="834">
        <v>307674</v>
      </c>
      <c r="AG30" s="681">
        <f t="shared" si="27"/>
        <v>0</v>
      </c>
      <c r="AH30" s="835">
        <v>531920</v>
      </c>
      <c r="AI30" s="681">
        <f t="shared" si="9"/>
        <v>156.88</v>
      </c>
      <c r="AJ30" s="834">
        <v>695296</v>
      </c>
      <c r="AK30" s="681">
        <f t="shared" si="39"/>
        <v>1687.52</v>
      </c>
      <c r="AL30" s="681">
        <f t="shared" si="10"/>
        <v>2757.59</v>
      </c>
      <c r="AM30" s="834">
        <v>7210212</v>
      </c>
      <c r="AN30" s="681">
        <f t="shared" si="11"/>
        <v>808</v>
      </c>
      <c r="AO30" s="834">
        <v>572588</v>
      </c>
      <c r="AP30" s="681">
        <f t="shared" si="12"/>
        <v>278</v>
      </c>
      <c r="AQ30" s="834">
        <v>912791</v>
      </c>
      <c r="AR30" s="681">
        <f t="shared" si="13"/>
        <v>14.74</v>
      </c>
      <c r="AS30" s="834">
        <v>794548</v>
      </c>
      <c r="AT30" s="681">
        <f t="shared" si="14"/>
        <v>34</v>
      </c>
      <c r="AU30" s="834">
        <v>2335041</v>
      </c>
      <c r="AV30" s="681">
        <f t="shared" si="15"/>
        <v>403</v>
      </c>
      <c r="AW30" s="835">
        <v>209107</v>
      </c>
      <c r="AX30" s="681">
        <f t="shared" si="41"/>
        <v>70</v>
      </c>
      <c r="AY30" s="835">
        <v>17650353</v>
      </c>
      <c r="AZ30" s="681">
        <f t="shared" si="16"/>
        <v>3672</v>
      </c>
      <c r="BA30" s="835">
        <v>21862713</v>
      </c>
      <c r="BB30" s="681">
        <f t="shared" si="17"/>
        <v>4240.3</v>
      </c>
      <c r="BC30" s="681">
        <f t="shared" si="18"/>
        <v>9520.0400000000009</v>
      </c>
      <c r="BD30" s="835">
        <v>1367239</v>
      </c>
      <c r="BE30" s="681">
        <f t="shared" si="19"/>
        <v>358</v>
      </c>
      <c r="BF30" s="834">
        <v>3485958</v>
      </c>
      <c r="BG30" s="681">
        <f t="shared" si="20"/>
        <v>917</v>
      </c>
      <c r="BH30" s="834">
        <v>372056</v>
      </c>
      <c r="BI30" s="681">
        <f t="shared" si="21"/>
        <v>111</v>
      </c>
      <c r="BJ30" s="835">
        <v>451020</v>
      </c>
      <c r="BK30" s="681">
        <f t="shared" si="29"/>
        <v>218</v>
      </c>
      <c r="BL30" s="740">
        <f t="shared" si="24"/>
        <v>17848.63</v>
      </c>
      <c r="BM30" s="741">
        <v>37</v>
      </c>
      <c r="BN30" s="740">
        <f t="shared" si="42"/>
        <v>482.39540540540543</v>
      </c>
      <c r="BO30" s="741"/>
      <c r="BP30" s="740" t="e">
        <f t="shared" si="25"/>
        <v>#DIV/0!</v>
      </c>
      <c r="BQ30" s="740">
        <f>BL30*BS1</f>
        <v>8210.3698000000004</v>
      </c>
      <c r="BR30" s="740">
        <f t="shared" si="43"/>
        <v>221.90188648648649</v>
      </c>
      <c r="BS30" s="742" t="e">
        <f t="shared" si="32"/>
        <v>#DIV/0!</v>
      </c>
    </row>
    <row r="31" spans="1:71" s="385" customFormat="1" ht="33.75" customHeight="1">
      <c r="A31" s="430">
        <v>26</v>
      </c>
      <c r="B31" s="431"/>
      <c r="C31" s="432">
        <f t="shared" si="49"/>
        <v>0</v>
      </c>
      <c r="D31" s="432"/>
      <c r="E31" s="432">
        <f t="shared" si="50"/>
        <v>0</v>
      </c>
      <c r="F31" s="432"/>
      <c r="G31" s="432">
        <f t="shared" si="51"/>
        <v>0</v>
      </c>
      <c r="H31" s="433"/>
      <c r="I31" s="835">
        <v>22031666</v>
      </c>
      <c r="J31" s="681">
        <f t="shared" si="45"/>
        <v>4111</v>
      </c>
      <c r="K31" s="681">
        <f t="shared" si="0"/>
        <v>2726</v>
      </c>
      <c r="L31" s="834">
        <v>998691</v>
      </c>
      <c r="M31" s="681">
        <f t="shared" si="1"/>
        <v>1053</v>
      </c>
      <c r="N31" s="835">
        <v>1001672</v>
      </c>
      <c r="O31" s="681">
        <f t="shared" si="2"/>
        <v>1673</v>
      </c>
      <c r="P31" s="835">
        <v>214646</v>
      </c>
      <c r="Q31" s="681">
        <f t="shared" si="40"/>
        <v>600</v>
      </c>
      <c r="R31" s="834">
        <v>702925</v>
      </c>
      <c r="S31" s="681">
        <f t="shared" si="46"/>
        <v>0</v>
      </c>
      <c r="T31" s="834">
        <v>344001</v>
      </c>
      <c r="U31" s="681">
        <f t="shared" si="47"/>
        <v>0</v>
      </c>
      <c r="V31" s="834">
        <v>130264</v>
      </c>
      <c r="W31" s="681">
        <f t="shared" si="44"/>
        <v>134</v>
      </c>
      <c r="X31" s="835">
        <v>237031</v>
      </c>
      <c r="Y31" s="681">
        <f t="shared" si="48"/>
        <v>182</v>
      </c>
      <c r="Z31" s="834">
        <v>315335</v>
      </c>
      <c r="AA31" s="681">
        <f t="shared" si="6"/>
        <v>3.18</v>
      </c>
      <c r="AB31" s="835">
        <v>369721</v>
      </c>
      <c r="AC31" s="681">
        <f t="shared" si="7"/>
        <v>1450.0800000000002</v>
      </c>
      <c r="AD31" s="838">
        <v>562354</v>
      </c>
      <c r="AE31" s="681">
        <f t="shared" si="8"/>
        <v>0</v>
      </c>
      <c r="AF31" s="834">
        <v>307674</v>
      </c>
      <c r="AG31" s="681">
        <f t="shared" si="27"/>
        <v>0</v>
      </c>
      <c r="AH31" s="834">
        <v>532289</v>
      </c>
      <c r="AI31" s="681">
        <f t="shared" si="9"/>
        <v>195.57000000000002</v>
      </c>
      <c r="AJ31" s="834">
        <v>698601</v>
      </c>
      <c r="AK31" s="681">
        <f t="shared" si="39"/>
        <v>1751.65</v>
      </c>
      <c r="AL31" s="681">
        <f t="shared" si="10"/>
        <v>3400.4800000000005</v>
      </c>
      <c r="AM31" s="834">
        <v>7210626</v>
      </c>
      <c r="AN31" s="681">
        <f t="shared" si="11"/>
        <v>414</v>
      </c>
      <c r="AO31" s="835">
        <v>572852</v>
      </c>
      <c r="AP31" s="681">
        <f t="shared" si="12"/>
        <v>264</v>
      </c>
      <c r="AQ31" s="835">
        <v>912893</v>
      </c>
      <c r="AR31" s="681">
        <f t="shared" si="13"/>
        <v>11.22</v>
      </c>
      <c r="AS31" s="834">
        <v>794581</v>
      </c>
      <c r="AT31" s="681">
        <f t="shared" si="14"/>
        <v>33</v>
      </c>
      <c r="AU31" s="834">
        <v>2335358</v>
      </c>
      <c r="AV31" s="681">
        <f t="shared" si="15"/>
        <v>317</v>
      </c>
      <c r="AW31" s="834">
        <v>209169</v>
      </c>
      <c r="AX31" s="681">
        <f t="shared" si="41"/>
        <v>62</v>
      </c>
      <c r="AY31" s="834">
        <v>17653637</v>
      </c>
      <c r="AZ31" s="681">
        <f t="shared" si="16"/>
        <v>3284</v>
      </c>
      <c r="BA31" s="834">
        <v>21867429</v>
      </c>
      <c r="BB31" s="681">
        <f t="shared" si="17"/>
        <v>3603</v>
      </c>
      <c r="BC31" s="681">
        <f t="shared" si="18"/>
        <v>7988.22</v>
      </c>
      <c r="BD31" s="835">
        <v>1367597</v>
      </c>
      <c r="BE31" s="681">
        <f t="shared" si="19"/>
        <v>358</v>
      </c>
      <c r="BF31" s="835">
        <v>3486823</v>
      </c>
      <c r="BG31" s="681">
        <f t="shared" si="20"/>
        <v>865</v>
      </c>
      <c r="BH31" s="772">
        <v>372154</v>
      </c>
      <c r="BI31" s="681">
        <f t="shared" si="21"/>
        <v>98</v>
      </c>
      <c r="BJ31" s="834">
        <v>451207</v>
      </c>
      <c r="BK31" s="681">
        <f t="shared" si="29"/>
        <v>187</v>
      </c>
      <c r="BL31" s="740">
        <f t="shared" si="24"/>
        <v>16099.7</v>
      </c>
      <c r="BM31" s="741">
        <v>29</v>
      </c>
      <c r="BN31" s="740">
        <f t="shared" si="42"/>
        <v>555.16206896551728</v>
      </c>
      <c r="BO31" s="741"/>
      <c r="BP31" s="740" t="e">
        <f t="shared" si="25"/>
        <v>#DIV/0!</v>
      </c>
      <c r="BQ31" s="740">
        <f>BL31*BS1</f>
        <v>7405.862000000001</v>
      </c>
      <c r="BR31" s="740">
        <f t="shared" si="43"/>
        <v>255.37455172413797</v>
      </c>
      <c r="BS31" s="742" t="e">
        <f t="shared" si="32"/>
        <v>#DIV/0!</v>
      </c>
    </row>
    <row r="32" spans="1:71" ht="33.75" customHeight="1">
      <c r="A32" s="111">
        <v>27</v>
      </c>
      <c r="B32" s="110"/>
      <c r="C32" s="1">
        <f t="shared" si="49"/>
        <v>0</v>
      </c>
      <c r="D32" s="1"/>
      <c r="E32" s="1">
        <f t="shared" si="50"/>
        <v>0</v>
      </c>
      <c r="F32" s="1"/>
      <c r="G32" s="1">
        <f t="shared" si="51"/>
        <v>0</v>
      </c>
      <c r="H32" s="30">
        <v>69</v>
      </c>
      <c r="I32" s="835">
        <v>22035923</v>
      </c>
      <c r="J32" s="681">
        <f t="shared" si="22"/>
        <v>4257</v>
      </c>
      <c r="K32" s="681">
        <f t="shared" si="0"/>
        <v>2692</v>
      </c>
      <c r="L32" s="834">
        <v>999812</v>
      </c>
      <c r="M32" s="681">
        <f t="shared" si="1"/>
        <v>1121</v>
      </c>
      <c r="N32" s="835">
        <v>1003243</v>
      </c>
      <c r="O32" s="681">
        <f t="shared" si="2"/>
        <v>1571</v>
      </c>
      <c r="P32" s="835">
        <v>214667</v>
      </c>
      <c r="Q32" s="681">
        <f t="shared" si="40"/>
        <v>630</v>
      </c>
      <c r="R32" s="834">
        <v>702925</v>
      </c>
      <c r="S32" s="681">
        <f t="shared" si="46"/>
        <v>0</v>
      </c>
      <c r="T32" s="834">
        <v>344001</v>
      </c>
      <c r="U32" s="681">
        <f t="shared" si="47"/>
        <v>0</v>
      </c>
      <c r="V32" s="834">
        <v>130415</v>
      </c>
      <c r="W32" s="681">
        <f t="shared" si="44"/>
        <v>151</v>
      </c>
      <c r="X32" s="834">
        <v>237321</v>
      </c>
      <c r="Y32" s="681">
        <f t="shared" si="48"/>
        <v>290</v>
      </c>
      <c r="Z32" s="834">
        <v>315335</v>
      </c>
      <c r="AA32" s="681">
        <f t="shared" si="6"/>
        <v>0</v>
      </c>
      <c r="AB32" s="835">
        <v>372312</v>
      </c>
      <c r="AC32" s="681">
        <f t="shared" si="7"/>
        <v>1373.23</v>
      </c>
      <c r="AD32" s="834">
        <v>562354</v>
      </c>
      <c r="AE32" s="681">
        <f t="shared" si="8"/>
        <v>0</v>
      </c>
      <c r="AF32" s="834">
        <v>307674</v>
      </c>
      <c r="AG32" s="681">
        <f t="shared" si="27"/>
        <v>0</v>
      </c>
      <c r="AH32" s="834">
        <v>532594</v>
      </c>
      <c r="AI32" s="681">
        <f t="shared" si="9"/>
        <v>161.65</v>
      </c>
      <c r="AJ32" s="834">
        <v>701872</v>
      </c>
      <c r="AK32" s="681">
        <f t="shared" si="39"/>
        <v>1733.63</v>
      </c>
      <c r="AL32" s="681">
        <f t="shared" si="10"/>
        <v>3268.51</v>
      </c>
      <c r="AM32" s="834">
        <v>7211268</v>
      </c>
      <c r="AN32" s="681">
        <f t="shared" si="11"/>
        <v>642</v>
      </c>
      <c r="AO32" s="834">
        <v>573128</v>
      </c>
      <c r="AP32" s="681">
        <f t="shared" si="12"/>
        <v>276</v>
      </c>
      <c r="AQ32" s="834">
        <v>913012</v>
      </c>
      <c r="AR32" s="681">
        <f t="shared" si="13"/>
        <v>13.09</v>
      </c>
      <c r="AS32" s="834">
        <v>794621</v>
      </c>
      <c r="AT32" s="681">
        <f t="shared" si="14"/>
        <v>40</v>
      </c>
      <c r="AU32" s="834">
        <v>2335734</v>
      </c>
      <c r="AV32" s="681">
        <f t="shared" si="15"/>
        <v>376</v>
      </c>
      <c r="AW32" s="834">
        <v>209230</v>
      </c>
      <c r="AX32" s="681">
        <f t="shared" si="41"/>
        <v>61</v>
      </c>
      <c r="AY32" s="835">
        <v>17657108</v>
      </c>
      <c r="AZ32" s="681">
        <f t="shared" si="16"/>
        <v>3471</v>
      </c>
      <c r="BA32" s="835">
        <v>21872969</v>
      </c>
      <c r="BB32" s="681">
        <f t="shared" si="17"/>
        <v>4375.7</v>
      </c>
      <c r="BC32" s="681">
        <f t="shared" si="18"/>
        <v>9254.7900000000009</v>
      </c>
      <c r="BD32" s="835">
        <v>1367955</v>
      </c>
      <c r="BE32" s="681">
        <f t="shared" si="19"/>
        <v>358</v>
      </c>
      <c r="BF32" s="834">
        <v>3487696</v>
      </c>
      <c r="BG32" s="681">
        <f t="shared" si="20"/>
        <v>873</v>
      </c>
      <c r="BH32" s="834">
        <v>372299</v>
      </c>
      <c r="BI32" s="681">
        <f t="shared" si="21"/>
        <v>145</v>
      </c>
      <c r="BJ32" s="835">
        <v>451417</v>
      </c>
      <c r="BK32" s="681">
        <f t="shared" si="29"/>
        <v>210</v>
      </c>
      <c r="BL32" s="740">
        <f t="shared" si="24"/>
        <v>17410.300000000003</v>
      </c>
      <c r="BM32" s="741">
        <v>23</v>
      </c>
      <c r="BN32" s="740">
        <f t="shared" si="42"/>
        <v>756.96956521739139</v>
      </c>
      <c r="BO32" s="743"/>
      <c r="BP32" s="740" t="e">
        <f t="shared" si="25"/>
        <v>#DIV/0!</v>
      </c>
      <c r="BQ32" s="740">
        <f>BL32*BS1</f>
        <v>8008.7380000000021</v>
      </c>
      <c r="BR32" s="740">
        <f t="shared" si="43"/>
        <v>348.20600000000007</v>
      </c>
      <c r="BS32" s="742" t="e">
        <f t="shared" si="32"/>
        <v>#DIV/0!</v>
      </c>
    </row>
    <row r="33" spans="1:93" ht="33.75" customHeight="1">
      <c r="A33" s="111">
        <v>28</v>
      </c>
      <c r="B33" s="110"/>
      <c r="C33" s="1">
        <f t="shared" si="49"/>
        <v>0</v>
      </c>
      <c r="D33" s="1"/>
      <c r="E33" s="1">
        <f t="shared" si="50"/>
        <v>0</v>
      </c>
      <c r="F33" s="1"/>
      <c r="G33" s="1">
        <f t="shared" si="51"/>
        <v>0</v>
      </c>
      <c r="H33" s="30"/>
      <c r="I33" s="835">
        <v>22040260</v>
      </c>
      <c r="J33" s="681">
        <f t="shared" si="22"/>
        <v>4337</v>
      </c>
      <c r="K33" s="681">
        <f t="shared" si="0"/>
        <v>3002</v>
      </c>
      <c r="L33" s="835">
        <v>1001242</v>
      </c>
      <c r="M33" s="681">
        <f t="shared" si="1"/>
        <v>1430</v>
      </c>
      <c r="N33" s="835">
        <v>1004815</v>
      </c>
      <c r="O33" s="681">
        <f t="shared" si="2"/>
        <v>1572</v>
      </c>
      <c r="P33" s="835">
        <v>214685</v>
      </c>
      <c r="Q33" s="681">
        <f t="shared" si="40"/>
        <v>540</v>
      </c>
      <c r="R33" s="834">
        <v>702925</v>
      </c>
      <c r="S33" s="681">
        <f t="shared" si="46"/>
        <v>0</v>
      </c>
      <c r="T33" s="834">
        <v>344001</v>
      </c>
      <c r="U33" s="681">
        <f t="shared" si="47"/>
        <v>0</v>
      </c>
      <c r="V33" s="834">
        <v>130555</v>
      </c>
      <c r="W33" s="681">
        <f t="shared" si="44"/>
        <v>140</v>
      </c>
      <c r="X33" s="834">
        <v>237553</v>
      </c>
      <c r="Y33" s="681">
        <f t="shared" si="48"/>
        <v>232</v>
      </c>
      <c r="Z33" s="834">
        <v>315335</v>
      </c>
      <c r="AA33" s="681">
        <f t="shared" si="6"/>
        <v>0</v>
      </c>
      <c r="AB33" s="834">
        <v>375311</v>
      </c>
      <c r="AC33" s="681">
        <f t="shared" si="7"/>
        <v>1589.47</v>
      </c>
      <c r="AD33" s="834">
        <v>562354</v>
      </c>
      <c r="AE33" s="681">
        <f t="shared" si="8"/>
        <v>0</v>
      </c>
      <c r="AF33" s="834">
        <v>307674</v>
      </c>
      <c r="AG33" s="681">
        <f t="shared" si="27"/>
        <v>0</v>
      </c>
      <c r="AH33" s="834">
        <v>532922</v>
      </c>
      <c r="AI33" s="681">
        <f t="shared" si="9"/>
        <v>173.84</v>
      </c>
      <c r="AJ33" s="834">
        <v>704923</v>
      </c>
      <c r="AK33" s="681">
        <f t="shared" si="39"/>
        <v>1617.03</v>
      </c>
      <c r="AL33" s="681">
        <f t="shared" si="10"/>
        <v>3380.34</v>
      </c>
      <c r="AM33" s="834">
        <v>7212100</v>
      </c>
      <c r="AN33" s="681">
        <f t="shared" si="11"/>
        <v>832</v>
      </c>
      <c r="AO33" s="835">
        <v>573419</v>
      </c>
      <c r="AP33" s="681">
        <f t="shared" si="12"/>
        <v>291</v>
      </c>
      <c r="AQ33" s="834">
        <v>913117</v>
      </c>
      <c r="AR33" s="681">
        <f t="shared" si="13"/>
        <v>11.55</v>
      </c>
      <c r="AS33" s="834">
        <v>794641</v>
      </c>
      <c r="AT33" s="681">
        <f t="shared" si="14"/>
        <v>20</v>
      </c>
      <c r="AU33" s="834">
        <v>2336069</v>
      </c>
      <c r="AV33" s="681">
        <f t="shared" si="15"/>
        <v>335</v>
      </c>
      <c r="AW33" s="834">
        <v>209288</v>
      </c>
      <c r="AX33" s="681">
        <f t="shared" si="41"/>
        <v>58</v>
      </c>
      <c r="AY33" s="834">
        <v>17660455</v>
      </c>
      <c r="AZ33" s="681">
        <f t="shared" si="16"/>
        <v>3347</v>
      </c>
      <c r="BA33" s="834">
        <v>21878039</v>
      </c>
      <c r="BB33" s="681">
        <f t="shared" si="17"/>
        <v>3865.3999999999996</v>
      </c>
      <c r="BC33" s="681">
        <f t="shared" si="18"/>
        <v>8759.9500000000007</v>
      </c>
      <c r="BD33" s="835">
        <v>1368313</v>
      </c>
      <c r="BE33" s="681">
        <f t="shared" si="19"/>
        <v>358</v>
      </c>
      <c r="BF33" s="834">
        <v>3488687</v>
      </c>
      <c r="BG33" s="681">
        <f t="shared" si="20"/>
        <v>991</v>
      </c>
      <c r="BH33" s="834">
        <v>372419</v>
      </c>
      <c r="BI33" s="681">
        <f t="shared" si="21"/>
        <v>120</v>
      </c>
      <c r="BJ33" s="834">
        <v>451609</v>
      </c>
      <c r="BK33" s="681">
        <f t="shared" si="29"/>
        <v>192</v>
      </c>
      <c r="BL33" s="740">
        <f t="shared" si="24"/>
        <v>17017.29</v>
      </c>
      <c r="BM33" s="741">
        <v>33</v>
      </c>
      <c r="BN33" s="740">
        <f t="shared" si="42"/>
        <v>515.67545454545461</v>
      </c>
      <c r="BO33" s="741"/>
      <c r="BP33" s="740" t="e">
        <f t="shared" si="25"/>
        <v>#DIV/0!</v>
      </c>
      <c r="BQ33" s="740">
        <f>BL33*BS1</f>
        <v>7827.9534000000003</v>
      </c>
      <c r="BR33" s="740">
        <f t="shared" si="43"/>
        <v>237.21070909090909</v>
      </c>
      <c r="BS33" s="742" t="e">
        <f t="shared" si="32"/>
        <v>#DIV/0!</v>
      </c>
    </row>
    <row r="34" spans="1:93" ht="33.75" customHeight="1">
      <c r="A34" s="111">
        <v>29</v>
      </c>
      <c r="B34" s="110"/>
      <c r="C34" s="1">
        <f t="shared" si="49"/>
        <v>0</v>
      </c>
      <c r="D34" s="1"/>
      <c r="E34" s="1">
        <f t="shared" si="50"/>
        <v>0</v>
      </c>
      <c r="F34" s="1"/>
      <c r="G34" s="1">
        <f t="shared" si="51"/>
        <v>0</v>
      </c>
      <c r="H34" s="30"/>
      <c r="I34" s="835">
        <v>22043930</v>
      </c>
      <c r="J34" s="681">
        <f t="shared" si="22"/>
        <v>3670</v>
      </c>
      <c r="K34" s="681">
        <f t="shared" si="0"/>
        <v>0</v>
      </c>
      <c r="L34" s="834">
        <v>0</v>
      </c>
      <c r="M34" s="681">
        <f t="shared" si="1"/>
        <v>0</v>
      </c>
      <c r="N34" s="834">
        <v>0</v>
      </c>
      <c r="O34" s="681">
        <f t="shared" si="2"/>
        <v>0</v>
      </c>
      <c r="P34" s="835">
        <v>214703</v>
      </c>
      <c r="Q34" s="681">
        <f t="shared" si="40"/>
        <v>540</v>
      </c>
      <c r="R34" s="834">
        <v>702925</v>
      </c>
      <c r="S34" s="681">
        <f t="shared" si="46"/>
        <v>0</v>
      </c>
      <c r="T34" s="834">
        <v>344001</v>
      </c>
      <c r="U34" s="681">
        <f t="shared" si="47"/>
        <v>0</v>
      </c>
      <c r="V34" s="834">
        <v>130698</v>
      </c>
      <c r="W34" s="681">
        <f t="shared" si="44"/>
        <v>143</v>
      </c>
      <c r="X34" s="834">
        <v>237788</v>
      </c>
      <c r="Y34" s="681">
        <f t="shared" si="48"/>
        <v>235</v>
      </c>
      <c r="Z34" s="834">
        <v>315335</v>
      </c>
      <c r="AA34" s="681">
        <f t="shared" si="6"/>
        <v>0</v>
      </c>
      <c r="AB34" s="834">
        <v>377234</v>
      </c>
      <c r="AC34" s="681">
        <f t="shared" si="7"/>
        <v>1019.19</v>
      </c>
      <c r="AD34" s="834">
        <v>562354</v>
      </c>
      <c r="AE34" s="681">
        <f t="shared" si="8"/>
        <v>0</v>
      </c>
      <c r="AF34" s="834">
        <v>307674</v>
      </c>
      <c r="AG34" s="681">
        <f t="shared" si="27"/>
        <v>0</v>
      </c>
      <c r="AH34" s="834">
        <v>533168</v>
      </c>
      <c r="AI34" s="681">
        <f t="shared" si="9"/>
        <v>130.38</v>
      </c>
      <c r="AJ34" s="834">
        <v>707727</v>
      </c>
      <c r="AK34" s="681">
        <f t="shared" si="39"/>
        <v>1486.1200000000001</v>
      </c>
      <c r="AL34" s="681">
        <f t="shared" si="10"/>
        <v>2635.6900000000005</v>
      </c>
      <c r="AM34" s="834">
        <v>7212859</v>
      </c>
      <c r="AN34" s="681">
        <f t="shared" si="11"/>
        <v>759</v>
      </c>
      <c r="AO34" s="834">
        <v>573696</v>
      </c>
      <c r="AP34" s="681">
        <f t="shared" si="12"/>
        <v>277</v>
      </c>
      <c r="AQ34" s="835">
        <v>913221</v>
      </c>
      <c r="AR34" s="681">
        <f t="shared" si="13"/>
        <v>11.44</v>
      </c>
      <c r="AS34" s="834">
        <v>794661</v>
      </c>
      <c r="AT34" s="681">
        <f t="shared" si="14"/>
        <v>20</v>
      </c>
      <c r="AU34" s="834">
        <v>2336411</v>
      </c>
      <c r="AV34" s="681">
        <f t="shared" si="15"/>
        <v>342</v>
      </c>
      <c r="AW34" s="835">
        <v>209350</v>
      </c>
      <c r="AX34" s="681">
        <f t="shared" si="41"/>
        <v>62</v>
      </c>
      <c r="AY34" s="835">
        <v>17663780</v>
      </c>
      <c r="AZ34" s="681">
        <f t="shared" si="16"/>
        <v>3325</v>
      </c>
      <c r="BA34" s="835">
        <v>21882981</v>
      </c>
      <c r="BB34" s="681">
        <f t="shared" si="17"/>
        <v>3820.8</v>
      </c>
      <c r="BC34" s="681">
        <f t="shared" si="18"/>
        <v>8617.2400000000016</v>
      </c>
      <c r="BD34" s="835">
        <v>1368671</v>
      </c>
      <c r="BE34" s="681">
        <f t="shared" si="19"/>
        <v>358</v>
      </c>
      <c r="BF34" s="834">
        <v>3489549</v>
      </c>
      <c r="BG34" s="681">
        <f t="shared" si="20"/>
        <v>862</v>
      </c>
      <c r="BH34" s="834">
        <v>372521</v>
      </c>
      <c r="BI34" s="681">
        <f t="shared" si="21"/>
        <v>102</v>
      </c>
      <c r="BJ34" s="835">
        <v>451804</v>
      </c>
      <c r="BK34" s="681">
        <f t="shared" si="29"/>
        <v>195</v>
      </c>
      <c r="BL34" s="740">
        <f t="shared" si="24"/>
        <v>15462.930000000002</v>
      </c>
      <c r="BM34" s="741">
        <v>34</v>
      </c>
      <c r="BN34" s="740">
        <f t="shared" si="42"/>
        <v>454.79205882352949</v>
      </c>
      <c r="BO34" s="741"/>
      <c r="BP34" s="740" t="e">
        <f t="shared" si="25"/>
        <v>#DIV/0!</v>
      </c>
      <c r="BQ34" s="740">
        <f>BL34*BS1</f>
        <v>7112.9478000000017</v>
      </c>
      <c r="BR34" s="740">
        <f t="shared" si="43"/>
        <v>209.20434705882357</v>
      </c>
      <c r="BS34" s="742" t="e">
        <f t="shared" si="32"/>
        <v>#DIV/0!</v>
      </c>
    </row>
    <row r="35" spans="1:93" ht="33.75" customHeight="1">
      <c r="A35" s="111">
        <v>30</v>
      </c>
      <c r="B35" s="110"/>
      <c r="C35" s="1">
        <f t="shared" si="49"/>
        <v>0</v>
      </c>
      <c r="D35" s="1"/>
      <c r="E35" s="1">
        <f t="shared" si="50"/>
        <v>0</v>
      </c>
      <c r="F35" s="1"/>
      <c r="G35" s="1">
        <f t="shared" si="51"/>
        <v>0</v>
      </c>
      <c r="H35" s="30"/>
      <c r="I35" s="834">
        <v>22049270</v>
      </c>
      <c r="J35" s="681">
        <f t="shared" si="22"/>
        <v>5340</v>
      </c>
      <c r="K35" s="681">
        <f t="shared" si="0"/>
        <v>2683</v>
      </c>
      <c r="L35" s="835">
        <v>1236</v>
      </c>
      <c r="M35" s="681">
        <f t="shared" si="1"/>
        <v>1236</v>
      </c>
      <c r="N35" s="834">
        <v>1447</v>
      </c>
      <c r="O35" s="681">
        <f t="shared" si="2"/>
        <v>1447</v>
      </c>
      <c r="P35" s="835">
        <v>214717</v>
      </c>
      <c r="Q35" s="681">
        <f t="shared" si="40"/>
        <v>420</v>
      </c>
      <c r="R35" s="834">
        <v>702925</v>
      </c>
      <c r="S35" s="681">
        <f t="shared" si="46"/>
        <v>0</v>
      </c>
      <c r="T35" s="834">
        <v>344001</v>
      </c>
      <c r="U35" s="681">
        <f t="shared" si="47"/>
        <v>0</v>
      </c>
      <c r="V35" s="834">
        <v>130840</v>
      </c>
      <c r="W35" s="681">
        <f t="shared" si="44"/>
        <v>142</v>
      </c>
      <c r="X35" s="834">
        <v>238054</v>
      </c>
      <c r="Y35" s="681">
        <f t="shared" si="48"/>
        <v>266</v>
      </c>
      <c r="Z35" s="834">
        <v>315335</v>
      </c>
      <c r="AA35" s="681">
        <f t="shared" si="6"/>
        <v>0</v>
      </c>
      <c r="AB35" s="835">
        <v>379806</v>
      </c>
      <c r="AC35" s="681">
        <f t="shared" si="7"/>
        <v>1363.16</v>
      </c>
      <c r="AD35" s="834">
        <v>562354</v>
      </c>
      <c r="AE35" s="681">
        <f t="shared" si="8"/>
        <v>0</v>
      </c>
      <c r="AF35" s="834">
        <v>307674</v>
      </c>
      <c r="AG35" s="681">
        <f t="shared" si="27"/>
        <v>0</v>
      </c>
      <c r="AH35" s="834">
        <v>533479</v>
      </c>
      <c r="AI35" s="681">
        <f t="shared" si="9"/>
        <v>164.83</v>
      </c>
      <c r="AJ35" s="834">
        <v>710692</v>
      </c>
      <c r="AK35" s="681">
        <f t="shared" si="39"/>
        <v>1571.45</v>
      </c>
      <c r="AL35" s="681">
        <f t="shared" si="10"/>
        <v>3099.44</v>
      </c>
      <c r="AM35" s="834">
        <v>7213450</v>
      </c>
      <c r="AN35" s="681">
        <f t="shared" si="11"/>
        <v>591</v>
      </c>
      <c r="AO35" s="835">
        <v>573997</v>
      </c>
      <c r="AP35" s="681">
        <f t="shared" si="12"/>
        <v>301</v>
      </c>
      <c r="AQ35" s="834">
        <v>913353</v>
      </c>
      <c r="AR35" s="681">
        <f t="shared" si="13"/>
        <v>14.52</v>
      </c>
      <c r="AS35" s="834">
        <v>794695</v>
      </c>
      <c r="AT35" s="681">
        <f t="shared" si="14"/>
        <v>34</v>
      </c>
      <c r="AU35" s="834">
        <v>2337060</v>
      </c>
      <c r="AV35" s="681">
        <f t="shared" si="15"/>
        <v>649</v>
      </c>
      <c r="AW35" s="835">
        <v>209409</v>
      </c>
      <c r="AX35" s="681">
        <f t="shared" si="41"/>
        <v>59</v>
      </c>
      <c r="AY35" s="835">
        <v>17667307</v>
      </c>
      <c r="AZ35" s="681">
        <f t="shared" si="16"/>
        <v>3527</v>
      </c>
      <c r="BA35" s="835">
        <v>21887870</v>
      </c>
      <c r="BB35" s="681">
        <f t="shared" si="17"/>
        <v>3758.3999999999996</v>
      </c>
      <c r="BC35" s="681">
        <f t="shared" si="18"/>
        <v>8933.92</v>
      </c>
      <c r="BD35" s="835">
        <v>1369063</v>
      </c>
      <c r="BE35" s="681">
        <f t="shared" si="19"/>
        <v>392</v>
      </c>
      <c r="BF35" s="835">
        <v>3490340</v>
      </c>
      <c r="BG35" s="681">
        <f t="shared" si="20"/>
        <v>791</v>
      </c>
      <c r="BH35" s="834">
        <v>372631</v>
      </c>
      <c r="BI35" s="681">
        <f t="shared" si="21"/>
        <v>110</v>
      </c>
      <c r="BJ35" s="835">
        <v>452013</v>
      </c>
      <c r="BK35" s="681">
        <f t="shared" si="29"/>
        <v>209</v>
      </c>
      <c r="BL35" s="740">
        <f t="shared" si="24"/>
        <v>17793.36</v>
      </c>
      <c r="BM35" s="741">
        <v>32</v>
      </c>
      <c r="BN35" s="740">
        <f t="shared" si="42"/>
        <v>556.04250000000002</v>
      </c>
      <c r="BO35" s="741"/>
      <c r="BP35" s="740" t="e">
        <f t="shared" si="25"/>
        <v>#DIV/0!</v>
      </c>
      <c r="BQ35" s="740">
        <f>BL35*BS1</f>
        <v>8184.9456000000009</v>
      </c>
      <c r="BR35" s="740">
        <f t="shared" si="43"/>
        <v>255.77955000000003</v>
      </c>
      <c r="BS35" s="742" t="e">
        <f t="shared" si="32"/>
        <v>#DIV/0!</v>
      </c>
    </row>
    <row r="36" spans="1:93" ht="33.75" customHeight="1">
      <c r="A36" s="111">
        <v>31</v>
      </c>
      <c r="B36" s="783"/>
      <c r="C36" s="784"/>
      <c r="D36" s="784"/>
      <c r="E36" s="784"/>
      <c r="F36" s="784"/>
      <c r="G36" s="784"/>
      <c r="H36" s="785"/>
      <c r="I36" s="835">
        <v>22053832</v>
      </c>
      <c r="J36" s="681">
        <f t="shared" si="22"/>
        <v>4562</v>
      </c>
      <c r="K36" s="681">
        <f t="shared" si="0"/>
        <v>2818</v>
      </c>
      <c r="L36" s="834">
        <v>2554</v>
      </c>
      <c r="M36" s="681">
        <f t="shared" si="1"/>
        <v>1318</v>
      </c>
      <c r="N36" s="834">
        <v>2947</v>
      </c>
      <c r="O36" s="681">
        <f t="shared" si="2"/>
        <v>1500</v>
      </c>
      <c r="P36" s="835">
        <v>214736</v>
      </c>
      <c r="Q36" s="681">
        <f t="shared" si="40"/>
        <v>570</v>
      </c>
      <c r="R36" s="834">
        <v>702925</v>
      </c>
      <c r="S36" s="681">
        <f t="shared" si="46"/>
        <v>0</v>
      </c>
      <c r="T36" s="834">
        <v>344001</v>
      </c>
      <c r="U36" s="681">
        <f t="shared" si="47"/>
        <v>0</v>
      </c>
      <c r="V36" s="834">
        <v>130984</v>
      </c>
      <c r="W36" s="681">
        <f t="shared" si="44"/>
        <v>144</v>
      </c>
      <c r="X36" s="834">
        <v>238297</v>
      </c>
      <c r="Y36" s="681">
        <f t="shared" si="48"/>
        <v>243</v>
      </c>
      <c r="Z36" s="834">
        <v>315335</v>
      </c>
      <c r="AA36" s="681">
        <f t="shared" si="6"/>
        <v>0</v>
      </c>
      <c r="AB36" s="835">
        <v>382273</v>
      </c>
      <c r="AC36" s="681">
        <f t="shared" si="7"/>
        <v>1307.51</v>
      </c>
      <c r="AD36" s="834">
        <v>562354</v>
      </c>
      <c r="AE36" s="681">
        <f t="shared" si="8"/>
        <v>0</v>
      </c>
      <c r="AF36" s="834">
        <v>307674</v>
      </c>
      <c r="AG36" s="681">
        <f t="shared" si="27"/>
        <v>0</v>
      </c>
      <c r="AH36" s="834">
        <v>533781</v>
      </c>
      <c r="AI36" s="681">
        <f t="shared" si="9"/>
        <v>160.06</v>
      </c>
      <c r="AJ36" s="834">
        <v>713719</v>
      </c>
      <c r="AK36" s="681">
        <f t="shared" si="39"/>
        <v>1604.3100000000002</v>
      </c>
      <c r="AL36" s="681">
        <f t="shared" si="10"/>
        <v>3071.88</v>
      </c>
      <c r="AM36" s="772">
        <v>7214129</v>
      </c>
      <c r="AN36" s="681">
        <f t="shared" si="11"/>
        <v>679</v>
      </c>
      <c r="AO36" s="834">
        <v>574281</v>
      </c>
      <c r="AP36" s="681">
        <f t="shared" si="12"/>
        <v>284</v>
      </c>
      <c r="AQ36" s="834">
        <v>913468</v>
      </c>
      <c r="AR36" s="681">
        <f t="shared" si="13"/>
        <v>12.65</v>
      </c>
      <c r="AS36" s="834">
        <v>794724</v>
      </c>
      <c r="AT36" s="681">
        <f t="shared" si="14"/>
        <v>29</v>
      </c>
      <c r="AU36" s="834">
        <v>2337484</v>
      </c>
      <c r="AV36" s="681">
        <f t="shared" si="15"/>
        <v>424</v>
      </c>
      <c r="AW36" s="835">
        <v>209470</v>
      </c>
      <c r="AX36" s="681">
        <f t="shared" si="41"/>
        <v>61</v>
      </c>
      <c r="AY36" s="834">
        <v>17670739</v>
      </c>
      <c r="AZ36" s="681">
        <f t="shared" si="16"/>
        <v>3432</v>
      </c>
      <c r="BA36" s="834">
        <v>21892384.600000001</v>
      </c>
      <c r="BB36" s="681">
        <f t="shared" si="17"/>
        <v>3383.0000000014902</v>
      </c>
      <c r="BC36" s="681">
        <f t="shared" si="18"/>
        <v>8304.6500000014894</v>
      </c>
      <c r="BD36" s="835">
        <v>1369414</v>
      </c>
      <c r="BE36" s="681">
        <f t="shared" si="19"/>
        <v>351</v>
      </c>
      <c r="BF36" s="835">
        <v>3491211</v>
      </c>
      <c r="BG36" s="681">
        <f t="shared" si="20"/>
        <v>871</v>
      </c>
      <c r="BH36" s="772">
        <v>372745</v>
      </c>
      <c r="BI36" s="681">
        <f t="shared" si="21"/>
        <v>114</v>
      </c>
      <c r="BJ36" s="834">
        <v>452214</v>
      </c>
      <c r="BK36" s="681">
        <f t="shared" si="29"/>
        <v>201</v>
      </c>
      <c r="BL36" s="740">
        <f t="shared" si="24"/>
        <v>16508.53000000149</v>
      </c>
      <c r="BM36" s="741">
        <v>33</v>
      </c>
      <c r="BN36" s="740">
        <f t="shared" si="42"/>
        <v>500.25848484853003</v>
      </c>
      <c r="BO36" s="786"/>
      <c r="BP36" s="740" t="e">
        <f t="shared" si="25"/>
        <v>#DIV/0!</v>
      </c>
      <c r="BQ36" s="740">
        <f>BL36*BS1</f>
        <v>7593.9238000006862</v>
      </c>
      <c r="BR36" s="740">
        <f t="shared" si="43"/>
        <v>230.11890303032382</v>
      </c>
      <c r="BS36" s="742" t="e">
        <f t="shared" si="32"/>
        <v>#DIV/0!</v>
      </c>
    </row>
    <row r="37" spans="1:93" s="3" customFormat="1" ht="36.75" customHeight="1">
      <c r="A37" s="547" t="s">
        <v>111</v>
      </c>
      <c r="B37" s="543"/>
      <c r="C37" s="548">
        <f>SUM(C9:C35)</f>
        <v>0</v>
      </c>
      <c r="D37" s="543"/>
      <c r="E37" s="548">
        <f>SUM(E9:E35)</f>
        <v>0</v>
      </c>
      <c r="F37" s="548">
        <f>SUM(F9:F35)</f>
        <v>0</v>
      </c>
      <c r="G37" s="548">
        <f>SUM(G9:G35)</f>
        <v>0</v>
      </c>
      <c r="H37" s="543"/>
      <c r="I37" s="744"/>
      <c r="J37" s="777">
        <f>SUM(J6:J36)</f>
        <v>141376</v>
      </c>
      <c r="K37" s="777">
        <f>SUM(K6:K36)</f>
        <v>87731</v>
      </c>
      <c r="L37" s="744"/>
      <c r="M37" s="571">
        <f>SUM(M6:M36)</f>
        <v>40732</v>
      </c>
      <c r="N37" s="744"/>
      <c r="O37" s="571">
        <f>SUM(O6:O36)</f>
        <v>46999</v>
      </c>
      <c r="P37" s="744"/>
      <c r="Q37" s="571">
        <f>SUM(Q6:Q36)</f>
        <v>17280</v>
      </c>
      <c r="R37" s="745"/>
      <c r="S37" s="571">
        <f>SUM(S6:S36)</f>
        <v>0</v>
      </c>
      <c r="T37" s="744"/>
      <c r="U37" s="571">
        <f>SUM(U6:U36)</f>
        <v>0</v>
      </c>
      <c r="V37" s="781"/>
      <c r="W37" s="571">
        <f>SUM(W6:W36)</f>
        <v>4482</v>
      </c>
      <c r="X37" s="781"/>
      <c r="Y37" s="571">
        <f>SUM(Y6:Y36)</f>
        <v>7551</v>
      </c>
      <c r="Z37" s="744"/>
      <c r="AA37" s="571">
        <f>SUM(AA6:AA36)</f>
        <v>120.31000000000002</v>
      </c>
      <c r="AB37" s="834"/>
      <c r="AC37" s="571">
        <f>SUM(AC5:AC36)</f>
        <v>27939.48</v>
      </c>
      <c r="AD37" s="778"/>
      <c r="AE37" s="777">
        <f>SUM(AE6:AE36)</f>
        <v>13959.140000000001</v>
      </c>
      <c r="AF37" s="744"/>
      <c r="AG37" s="571">
        <f>SUM(AG6:AG36)</f>
        <v>9685.75</v>
      </c>
      <c r="AH37" s="746"/>
      <c r="AI37" s="571">
        <f>SUM(AI6:AI36)</f>
        <v>6051.0099999999993</v>
      </c>
      <c r="AJ37" s="746"/>
      <c r="AK37" s="571">
        <f>SUM(AK6:AK36)</f>
        <v>54782.389999999992</v>
      </c>
      <c r="AL37" s="777">
        <f>SUM(AL6:AL36)</f>
        <v>112538.08</v>
      </c>
      <c r="AM37" s="839"/>
      <c r="AN37" s="571">
        <f>SUM(AN6:AN36)</f>
        <v>26067</v>
      </c>
      <c r="AO37" s="746"/>
      <c r="AP37" s="571">
        <f>SUM(AP6:AP36)</f>
        <v>8706</v>
      </c>
      <c r="AQ37" s="746"/>
      <c r="AR37" s="571">
        <f>SUM(AR6:AR36)</f>
        <v>411.28999999999991</v>
      </c>
      <c r="AS37" s="746"/>
      <c r="AT37" s="571">
        <f>SUM(AT6:AT36)</f>
        <v>1037</v>
      </c>
      <c r="AU37" s="746"/>
      <c r="AV37" s="571">
        <f>SUM(AV6:AV36)</f>
        <v>15146</v>
      </c>
      <c r="AW37" s="746"/>
      <c r="AX37" s="571">
        <f>SUM(AX6:AX36)</f>
        <v>1859</v>
      </c>
      <c r="AY37" s="746"/>
      <c r="AZ37" s="571">
        <f>SUM(AZ6:AZ36)</f>
        <v>108934</v>
      </c>
      <c r="BA37" s="746"/>
      <c r="BB37" s="777">
        <f>SUM(BB6:BB36)</f>
        <v>129042.60000000146</v>
      </c>
      <c r="BC37" s="777">
        <f>SUM(BC6:BC36)</f>
        <v>291202.89000000147</v>
      </c>
      <c r="BD37" s="744"/>
      <c r="BE37" s="571">
        <f>SUM(BE6:BE36)</f>
        <v>11125</v>
      </c>
      <c r="BF37" s="746"/>
      <c r="BG37" s="571">
        <f>SUM(BG6:BG36)</f>
        <v>25950</v>
      </c>
      <c r="BH37" s="746"/>
      <c r="BI37" s="571">
        <f>SUM(BI6:BI36)</f>
        <v>3264</v>
      </c>
      <c r="BJ37" s="746"/>
      <c r="BK37" s="571">
        <f>SUM(BK6:BK36)</f>
        <v>6000</v>
      </c>
      <c r="BL37" s="571">
        <f>SUM(BL6:BL36)</f>
        <v>562396.9700000016</v>
      </c>
      <c r="BM37" s="747">
        <f>SUM(BM6:BM36)</f>
        <v>1464</v>
      </c>
      <c r="BN37" s="748">
        <f>IF(BL37&gt;0,BL37/BM37,0)</f>
        <v>384.15093579235082</v>
      </c>
      <c r="BO37" s="747">
        <f>SUM(BO6:BO35)</f>
        <v>0</v>
      </c>
      <c r="BP37" s="748" t="e">
        <f>IF(BL37&gt;0,BL37/BO37,0)</f>
        <v>#DIV/0!</v>
      </c>
      <c r="BQ37" s="550">
        <f>SUM(BQ6:BQ35)</f>
        <v>251108.68239999996</v>
      </c>
      <c r="BR37" s="748">
        <f>IF(BQ37&gt;0,BQ37/BM37,0)</f>
        <v>171.52232404371583</v>
      </c>
      <c r="BS37" s="749" t="e">
        <f>IF(BQ37&gt;0,BQ37/BO37,0)</f>
        <v>#DIV/0!</v>
      </c>
    </row>
    <row r="38" spans="1:93" s="3" customFormat="1" ht="36.75" customHeight="1">
      <c r="A38" s="551" t="s">
        <v>112</v>
      </c>
      <c r="B38" s="552"/>
      <c r="C38" s="553" t="e">
        <f>C37/C47</f>
        <v>#DIV/0!</v>
      </c>
      <c r="D38" s="544"/>
      <c r="E38" s="553" t="e">
        <f>E37/C47</f>
        <v>#DIV/0!</v>
      </c>
      <c r="F38" s="553" t="e">
        <f>F37/C47</f>
        <v>#DIV/0!</v>
      </c>
      <c r="G38" s="553" t="e">
        <f>G37/C47</f>
        <v>#DIV/0!</v>
      </c>
      <c r="H38" s="544"/>
      <c r="I38" s="750"/>
      <c r="J38" s="750">
        <f>J37/J46</f>
        <v>4712.5333333333338</v>
      </c>
      <c r="K38" s="750">
        <f>K37/J46</f>
        <v>2924.3666666666668</v>
      </c>
      <c r="L38" s="751"/>
      <c r="M38" s="750">
        <f>M37/J46</f>
        <v>1357.7333333333333</v>
      </c>
      <c r="N38" s="751"/>
      <c r="O38" s="750">
        <f>O37/J46</f>
        <v>1566.6333333333334</v>
      </c>
      <c r="P38" s="751"/>
      <c r="Q38" s="750">
        <f>Q37/J46</f>
        <v>576</v>
      </c>
      <c r="R38" s="554"/>
      <c r="S38" s="750">
        <f>S37/J46</f>
        <v>0</v>
      </c>
      <c r="T38" s="750"/>
      <c r="U38" s="750">
        <f>U37/J46</f>
        <v>0</v>
      </c>
      <c r="V38" s="782"/>
      <c r="W38" s="750">
        <f>W37/J46</f>
        <v>149.4</v>
      </c>
      <c r="X38" s="782"/>
      <c r="Y38" s="750">
        <f>Y37/J46</f>
        <v>251.7</v>
      </c>
      <c r="Z38" s="751"/>
      <c r="AA38" s="750">
        <f>AA37/J46</f>
        <v>4.0103333333333335</v>
      </c>
      <c r="AB38" s="751"/>
      <c r="AC38" s="750">
        <f>AC37/J46</f>
        <v>931.31600000000003</v>
      </c>
      <c r="AD38" s="752"/>
      <c r="AE38" s="750">
        <f>AE37/J46</f>
        <v>465.30466666666672</v>
      </c>
      <c r="AF38" s="751"/>
      <c r="AG38" s="750">
        <f>AG37/J46</f>
        <v>322.85833333333335</v>
      </c>
      <c r="AH38" s="753"/>
      <c r="AI38" s="750">
        <f>AI37/J46</f>
        <v>201.7003333333333</v>
      </c>
      <c r="AJ38" s="753"/>
      <c r="AK38" s="750">
        <f>AK37/J46</f>
        <v>1826.0796666666663</v>
      </c>
      <c r="AL38" s="750">
        <f>AL37/J46</f>
        <v>3751.2693333333332</v>
      </c>
      <c r="AM38" s="753"/>
      <c r="AN38" s="750">
        <f>AN37/J46</f>
        <v>868.9</v>
      </c>
      <c r="AO38" s="753"/>
      <c r="AP38" s="750">
        <f>AP37/J46</f>
        <v>290.2</v>
      </c>
      <c r="AQ38" s="753"/>
      <c r="AR38" s="750">
        <f>AR37/J46</f>
        <v>13.709666666666664</v>
      </c>
      <c r="AS38" s="753"/>
      <c r="AT38" s="750">
        <f>AT37/J46</f>
        <v>34.56666666666667</v>
      </c>
      <c r="AU38" s="753"/>
      <c r="AV38" s="750">
        <f>AV37/J46</f>
        <v>504.86666666666667</v>
      </c>
      <c r="AW38" s="753"/>
      <c r="AX38" s="750">
        <f>AX37/J46</f>
        <v>61.966666666666669</v>
      </c>
      <c r="AY38" s="753"/>
      <c r="AZ38" s="750">
        <f>AZ37/J46</f>
        <v>3631.1333333333332</v>
      </c>
      <c r="BA38" s="753"/>
      <c r="BB38" s="750">
        <f>BB37/J46</f>
        <v>4301.4200000000483</v>
      </c>
      <c r="BC38" s="750"/>
      <c r="BD38" s="751"/>
      <c r="BE38" s="750">
        <f>BE37/J46</f>
        <v>370.83333333333331</v>
      </c>
      <c r="BF38" s="753"/>
      <c r="BG38" s="750">
        <f>BG37/J46</f>
        <v>865</v>
      </c>
      <c r="BH38" s="753"/>
      <c r="BI38" s="750">
        <f>BI37/J46</f>
        <v>108.8</v>
      </c>
      <c r="BJ38" s="753"/>
      <c r="BK38" s="750">
        <f>BK37/J46</f>
        <v>200</v>
      </c>
      <c r="BL38" s="556" t="e">
        <f xml:space="preserve"> BL37/$J$48</f>
        <v>#DIV/0!</v>
      </c>
      <c r="BM38" s="556" t="e">
        <f>BM37/$J$48</f>
        <v>#DIV/0!</v>
      </c>
      <c r="BN38" s="556" t="e">
        <f>BL38/BM38</f>
        <v>#DIV/0!</v>
      </c>
      <c r="BO38" s="556" t="e">
        <f>BO37/$J$48</f>
        <v>#DIV/0!</v>
      </c>
      <c r="BP38" s="556" t="e">
        <f>BL38/BO38</f>
        <v>#DIV/0!</v>
      </c>
      <c r="BQ38" s="557" t="e">
        <f>BQ37/$J$48</f>
        <v>#DIV/0!</v>
      </c>
      <c r="BR38" s="556" t="e">
        <f>BQ38/BM38</f>
        <v>#DIV/0!</v>
      </c>
      <c r="BS38" s="754" t="e">
        <f>BQ38/BO38</f>
        <v>#DIV/0!</v>
      </c>
    </row>
    <row r="39" spans="1:93" s="205" customFormat="1" ht="30.75" customHeight="1" thickTop="1" thickBot="1">
      <c r="A39" s="558" t="s">
        <v>113</v>
      </c>
      <c r="B39" s="559"/>
      <c r="C39" s="542"/>
      <c r="D39" s="542"/>
      <c r="E39" s="542"/>
      <c r="F39" s="542"/>
      <c r="G39" s="542"/>
      <c r="H39" s="542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68"/>
      <c r="AB39" s="568"/>
      <c r="AC39" s="568"/>
      <c r="AD39" s="568"/>
      <c r="AE39" s="568"/>
      <c r="AF39" s="568"/>
      <c r="AG39" s="568"/>
      <c r="AH39" s="568"/>
      <c r="AI39" s="568"/>
      <c r="AJ39" s="568"/>
      <c r="AK39" s="568"/>
      <c r="AL39" s="568"/>
      <c r="AM39" s="568"/>
      <c r="AN39" s="568"/>
      <c r="AO39" s="568"/>
      <c r="AP39" s="568"/>
      <c r="AQ39" s="568"/>
      <c r="AR39" s="568"/>
      <c r="AS39" s="568"/>
      <c r="AT39" s="568"/>
      <c r="AU39" s="568"/>
      <c r="AV39" s="568"/>
      <c r="AW39" s="568"/>
      <c r="AX39" s="568"/>
      <c r="AY39" s="568"/>
      <c r="AZ39" s="568"/>
      <c r="BA39" s="568"/>
      <c r="BB39" s="568"/>
      <c r="BC39" s="568"/>
      <c r="BD39" s="568"/>
      <c r="BE39" s="568"/>
      <c r="BF39" s="568"/>
      <c r="BG39" s="568"/>
      <c r="BH39" s="568"/>
      <c r="BI39" s="568"/>
      <c r="BJ39" s="568"/>
      <c r="BK39" s="568"/>
      <c r="BL39" s="560" t="e">
        <f>(BQ39-($T$1*$BE$2+$T$2))/(0.7*$Q$1+0.3*$Q$2+$BE$1)</f>
        <v>#DIV/0!</v>
      </c>
      <c r="BM39" s="755">
        <f>[1]YTD!AY2341</f>
        <v>0</v>
      </c>
      <c r="BN39" s="756" t="e">
        <f>IF(BL39&gt;0,BL39/BM39,0)</f>
        <v>#DIV/0!</v>
      </c>
      <c r="BO39" s="755">
        <f>[1]YTD!AY2342</f>
        <v>0</v>
      </c>
      <c r="BP39" s="756" t="e">
        <f>IF(BL39&gt;0,BL39/BO39,0)</f>
        <v>#DIV/0!</v>
      </c>
      <c r="BQ39" s="561">
        <f>[1]YTD!AY2345</f>
        <v>0</v>
      </c>
      <c r="BR39" s="756">
        <f>IF(BQ39&gt;0,BQ39/BM39,0)</f>
        <v>0</v>
      </c>
      <c r="BS39" s="757">
        <f>IF(BQ39&gt;0,BQ39/BO39,0)</f>
        <v>0</v>
      </c>
      <c r="BT39" s="562"/>
    </row>
    <row r="40" spans="1:93" s="205" customFormat="1" ht="30.75" customHeight="1" thickTop="1" thickBot="1">
      <c r="A40" s="563" t="s">
        <v>114</v>
      </c>
      <c r="B40" s="564"/>
      <c r="C40" s="564"/>
      <c r="D40" s="564"/>
      <c r="E40" s="564"/>
      <c r="F40" s="564"/>
      <c r="G40" s="564"/>
      <c r="H40" s="564"/>
      <c r="I40" s="758"/>
      <c r="J40" s="759"/>
      <c r="K40" s="759"/>
      <c r="L40" s="759"/>
      <c r="M40" s="759"/>
      <c r="N40" s="759"/>
      <c r="O40" s="759"/>
      <c r="P40" s="759"/>
      <c r="Q40" s="759"/>
      <c r="R40" s="759"/>
      <c r="S40" s="759"/>
      <c r="T40" s="759"/>
      <c r="U40" s="759"/>
      <c r="V40" s="759"/>
      <c r="W40" s="759"/>
      <c r="X40" s="759"/>
      <c r="Y40" s="759"/>
      <c r="Z40" s="759"/>
      <c r="AA40" s="759"/>
      <c r="AB40" s="759"/>
      <c r="AC40" s="759"/>
      <c r="AD40" s="759"/>
      <c r="AE40" s="759"/>
      <c r="AF40" s="759"/>
      <c r="AG40" s="759"/>
      <c r="AH40" s="759"/>
      <c r="AI40" s="759"/>
      <c r="AJ40" s="759"/>
      <c r="AK40" s="759"/>
      <c r="AL40" s="759"/>
      <c r="AM40" s="759"/>
      <c r="AN40" s="759"/>
      <c r="AO40" s="759"/>
      <c r="AP40" s="759"/>
      <c r="AQ40" s="759"/>
      <c r="AR40" s="759"/>
      <c r="AS40" s="759"/>
      <c r="AT40" s="759"/>
      <c r="AU40" s="759"/>
      <c r="AV40" s="759"/>
      <c r="AW40" s="759"/>
      <c r="AX40" s="759"/>
      <c r="AY40" s="759"/>
      <c r="AZ40" s="759"/>
      <c r="BA40" s="759"/>
      <c r="BB40" s="759"/>
      <c r="BC40" s="759"/>
      <c r="BD40" s="759"/>
      <c r="BE40" s="759"/>
      <c r="BF40" s="759"/>
      <c r="BG40" s="759"/>
      <c r="BH40" s="759"/>
      <c r="BI40" s="759"/>
      <c r="BJ40" s="759"/>
      <c r="BK40" s="759"/>
      <c r="BL40" s="565" t="e">
        <f>(BL39/$J$49)*$J$48</f>
        <v>#DIV/0!</v>
      </c>
      <c r="BM40" s="565" t="e">
        <f>BM41*BF48</f>
        <v>#DIV/0!</v>
      </c>
      <c r="BN40" s="565" t="e">
        <f>IF(BL40&gt;0,BL40/BM40,0)</f>
        <v>#DIV/0!</v>
      </c>
      <c r="BO40" s="565" t="e">
        <f>BO41*$J$48</f>
        <v>#DIV/0!</v>
      </c>
      <c r="BP40" s="565" t="e">
        <f>IF(BL40&gt;0,BL40/BO40,0)</f>
        <v>#DIV/0!</v>
      </c>
      <c r="BQ40" s="565" t="e">
        <f>BQ39/$J$49*BF48</f>
        <v>#DIV/0!</v>
      </c>
      <c r="BR40" s="565" t="e">
        <f>IF(BQ40&gt;0,BQ40/BM40,0)</f>
        <v>#DIV/0!</v>
      </c>
      <c r="BS40" s="760" t="e">
        <f>IF(BQ40&gt;0,BQ40/BO40,0)</f>
        <v>#DIV/0!</v>
      </c>
    </row>
    <row r="41" spans="1:93" s="205" customFormat="1" ht="30.75" customHeight="1" thickBot="1">
      <c r="A41" s="567" t="s">
        <v>115</v>
      </c>
      <c r="I41" s="761"/>
      <c r="J41" s="762"/>
      <c r="K41" s="762"/>
      <c r="L41" s="762"/>
      <c r="M41" s="762"/>
      <c r="N41" s="762"/>
      <c r="O41" s="763"/>
      <c r="P41" s="762"/>
      <c r="Q41" s="762"/>
      <c r="R41" s="762"/>
      <c r="S41" s="763"/>
      <c r="T41" s="762"/>
      <c r="U41" s="762"/>
      <c r="V41" s="762"/>
      <c r="W41" s="762"/>
      <c r="X41" s="762"/>
      <c r="Y41" s="762"/>
      <c r="Z41" s="762"/>
      <c r="AA41" s="763"/>
      <c r="AB41" s="762"/>
      <c r="AC41" s="763"/>
      <c r="AD41" s="762"/>
      <c r="AE41" s="763"/>
      <c r="AF41" s="762"/>
      <c r="AG41" s="763"/>
      <c r="AH41" s="762"/>
      <c r="AI41" s="763"/>
      <c r="AJ41" s="762"/>
      <c r="AK41" s="763"/>
      <c r="AL41" s="763"/>
      <c r="AM41" s="762"/>
      <c r="AN41" s="763"/>
      <c r="AO41" s="762"/>
      <c r="AP41" s="763"/>
      <c r="AQ41" s="762"/>
      <c r="AR41" s="763"/>
      <c r="AS41" s="762"/>
      <c r="AT41" s="763"/>
      <c r="AU41" s="762"/>
      <c r="AV41" s="763"/>
      <c r="AW41" s="762"/>
      <c r="AX41" s="763"/>
      <c r="AY41" s="762"/>
      <c r="AZ41" s="763"/>
      <c r="BA41" s="762"/>
      <c r="BB41" s="763"/>
      <c r="BC41" s="763"/>
      <c r="BD41" s="762"/>
      <c r="BE41" s="763"/>
      <c r="BF41" s="762"/>
      <c r="BG41" s="763"/>
      <c r="BH41" s="762"/>
      <c r="BI41" s="763"/>
      <c r="BJ41" s="762"/>
      <c r="BK41" s="763"/>
      <c r="BL41" s="568" t="e">
        <f>BL39/$J$49</f>
        <v>#DIV/0!</v>
      </c>
      <c r="BM41" s="764" t="e">
        <f>BM39/$J$49</f>
        <v>#DIV/0!</v>
      </c>
      <c r="BN41" s="764"/>
      <c r="BO41" s="764" t="e">
        <f>BO39/$J$49</f>
        <v>#DIV/0!</v>
      </c>
      <c r="BP41" s="568"/>
      <c r="BQ41" s="568" t="e">
        <f>BQ39/$J$49</f>
        <v>#DIV/0!</v>
      </c>
      <c r="BR41" s="568"/>
      <c r="BS41" s="765"/>
      <c r="BT41" s="205" t="s">
        <v>116</v>
      </c>
    </row>
    <row r="42" spans="1:93" s="205" customFormat="1" ht="30.75" customHeight="1" thickBot="1">
      <c r="A42" s="569" t="s">
        <v>117</v>
      </c>
      <c r="I42" s="766"/>
      <c r="J42" s="579"/>
      <c r="K42" s="579"/>
      <c r="L42" s="579"/>
      <c r="M42" s="579"/>
      <c r="N42" s="579"/>
      <c r="O42" s="767"/>
      <c r="P42" s="579"/>
      <c r="Q42" s="579"/>
      <c r="R42" s="579"/>
      <c r="S42" s="767"/>
      <c r="T42" s="579"/>
      <c r="U42" s="579"/>
      <c r="V42" s="579"/>
      <c r="W42" s="579"/>
      <c r="X42" s="579"/>
      <c r="Y42" s="579"/>
      <c r="Z42" s="579"/>
      <c r="AA42" s="767"/>
      <c r="AB42" s="579"/>
      <c r="AC42" s="767"/>
      <c r="AD42" s="579"/>
      <c r="AE42" s="767"/>
      <c r="AF42" s="579"/>
      <c r="AG42" s="767"/>
      <c r="AH42" s="579"/>
      <c r="AI42" s="767"/>
      <c r="AJ42" s="579"/>
      <c r="AK42" s="767"/>
      <c r="AL42" s="767"/>
      <c r="AM42" s="579"/>
      <c r="AN42" s="767"/>
      <c r="AO42" s="579"/>
      <c r="AP42" s="767"/>
      <c r="AQ42" s="579"/>
      <c r="AR42" s="767"/>
      <c r="AS42" s="579"/>
      <c r="AT42" s="767"/>
      <c r="AU42" s="579"/>
      <c r="AV42" s="767"/>
      <c r="AW42" s="579"/>
      <c r="AX42" s="767"/>
      <c r="AY42" s="579"/>
      <c r="AZ42" s="767"/>
      <c r="BA42" s="579"/>
      <c r="BB42" s="767"/>
      <c r="BC42" s="767"/>
      <c r="BD42" s="579"/>
      <c r="BE42" s="767"/>
      <c r="BF42" s="579"/>
      <c r="BG42" s="767"/>
      <c r="BH42" s="579"/>
      <c r="BI42" s="767"/>
      <c r="BJ42" s="579"/>
      <c r="BK42" s="767"/>
      <c r="BL42" s="570" t="e">
        <f>(BQ42-($T$1*$BE$2+$T$2))/(0.7*$Q$1+0.3*$Q$2+$BE$1)</f>
        <v>#DIV/0!</v>
      </c>
      <c r="BM42" s="571">
        <f>[1]YTD!AY2358</f>
        <v>0</v>
      </c>
      <c r="BN42" s="768" t="e">
        <f>IF(BL42&gt;0,BL42/BM42,0)</f>
        <v>#DIV/0!</v>
      </c>
      <c r="BO42" s="571">
        <f>[1]YTD!AY2359</f>
        <v>0</v>
      </c>
      <c r="BP42" s="768" t="e">
        <f>IF(BL42&gt;0,BL42/BO42,0)</f>
        <v>#DIV/0!</v>
      </c>
      <c r="BQ42" s="572">
        <f>[1]YTD!AY2362</f>
        <v>0</v>
      </c>
      <c r="BR42" s="769">
        <f>IF(BQ42&gt;0,BQ42/BM42,0)</f>
        <v>0</v>
      </c>
      <c r="BS42" s="770">
        <f>IF(BQ42&gt;0,BQ42/BO42,0)</f>
        <v>0</v>
      </c>
    </row>
    <row r="43" spans="1:93" s="2" customFormat="1" ht="23.25" customHeight="1">
      <c r="A43" s="547" t="s">
        <v>118</v>
      </c>
      <c r="B43" s="543"/>
      <c r="C43" s="573"/>
      <c r="D43" s="543"/>
      <c r="E43" s="543"/>
      <c r="F43" s="543"/>
      <c r="G43" s="543"/>
      <c r="H43" s="543"/>
      <c r="I43" s="543"/>
      <c r="J43" s="543"/>
      <c r="K43" s="543"/>
      <c r="L43" s="543"/>
      <c r="M43" s="543"/>
      <c r="N43" s="543"/>
      <c r="O43" s="543"/>
      <c r="P43" s="543"/>
      <c r="Q43" s="543"/>
      <c r="R43" s="543"/>
      <c r="S43" s="543"/>
      <c r="T43" s="543"/>
      <c r="U43" s="543"/>
      <c r="V43" s="543"/>
      <c r="W43" s="543"/>
      <c r="X43" s="543"/>
      <c r="Y43" s="543"/>
      <c r="Z43" s="543"/>
      <c r="AA43" s="543"/>
      <c r="AB43" s="543"/>
      <c r="AC43" s="543"/>
      <c r="AD43" s="543"/>
      <c r="AE43" s="543"/>
      <c r="AF43" s="543"/>
      <c r="AG43" s="543"/>
      <c r="AH43" s="543"/>
      <c r="AI43" s="543"/>
      <c r="AJ43" s="543"/>
      <c r="AK43" s="543"/>
      <c r="AL43" s="543"/>
      <c r="AM43" s="543"/>
      <c r="AN43" s="543"/>
      <c r="AO43" s="543"/>
      <c r="AP43" s="543"/>
      <c r="AQ43" s="543"/>
      <c r="AR43" s="543"/>
      <c r="AS43" s="543"/>
      <c r="AT43" s="543"/>
      <c r="AU43" s="543"/>
      <c r="AV43" s="543"/>
      <c r="AW43" s="543"/>
      <c r="AX43" s="543"/>
      <c r="AY43" s="543"/>
      <c r="AZ43" s="543"/>
      <c r="BA43" s="543"/>
      <c r="BB43" s="543"/>
      <c r="BC43" s="543"/>
      <c r="BD43" s="543"/>
      <c r="BE43" s="543"/>
      <c r="BF43" s="543"/>
      <c r="BG43" s="543"/>
      <c r="BH43" s="543"/>
      <c r="BI43" s="543"/>
      <c r="BJ43" s="543"/>
      <c r="BK43" s="543"/>
      <c r="BL43" s="574" t="e">
        <f>(BL42/$J$49)*$J$48</f>
        <v>#DIV/0!</v>
      </c>
      <c r="BM43" s="574" t="e">
        <f>BM42/BF49*BF48</f>
        <v>#DIV/0!</v>
      </c>
      <c r="BN43" s="852" t="e">
        <f>IF(BL43&gt;0,BL43/BM43,0)</f>
        <v>#DIV/0!</v>
      </c>
      <c r="BO43" s="574" t="e">
        <f>BO42/BF49*BF48</f>
        <v>#DIV/0!</v>
      </c>
      <c r="BP43" s="566" t="e">
        <f>IF(BL43&gt;0,BL43/BO43,0)</f>
        <v>#DIV/0!</v>
      </c>
      <c r="BQ43" s="575" t="e">
        <f>BQ42/BF49*BF48</f>
        <v>#DIV/0!</v>
      </c>
      <c r="BR43" s="576" t="e">
        <f>IF(BQ43&gt;0,BQ43/BM43,0)</f>
        <v>#DIV/0!</v>
      </c>
      <c r="BS43" s="577" t="e">
        <f>IF(BQ43&gt;0,BQ43/BO43,0)</f>
        <v>#DIV/0!</v>
      </c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5"/>
      <c r="CN43" s="205"/>
      <c r="CO43" s="205"/>
    </row>
    <row r="44" spans="1:93" s="2" customFormat="1" ht="23.25" customHeight="1" thickBot="1">
      <c r="A44" s="551" t="s">
        <v>119</v>
      </c>
      <c r="B44" s="544"/>
      <c r="C44" s="578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  <c r="AA44" s="544"/>
      <c r="AB44" s="544"/>
      <c r="AC44" s="544"/>
      <c r="AD44" s="544"/>
      <c r="AE44" s="544"/>
      <c r="AF44" s="544"/>
      <c r="AG44" s="544"/>
      <c r="AH44" s="544"/>
      <c r="AI44" s="544"/>
      <c r="AJ44" s="544"/>
      <c r="AK44" s="544"/>
      <c r="AL44" s="544"/>
      <c r="AM44" s="544"/>
      <c r="AN44" s="544"/>
      <c r="AO44" s="544"/>
      <c r="AP44" s="544"/>
      <c r="AQ44" s="544"/>
      <c r="AR44" s="544"/>
      <c r="AS44" s="544"/>
      <c r="AT44" s="544"/>
      <c r="AU44" s="544"/>
      <c r="AV44" s="544"/>
      <c r="AW44" s="544"/>
      <c r="AX44" s="544"/>
      <c r="AY44" s="544"/>
      <c r="AZ44" s="544"/>
      <c r="BA44" s="544"/>
      <c r="BB44" s="544"/>
      <c r="BC44" s="544"/>
      <c r="BD44" s="544"/>
      <c r="BE44" s="544"/>
      <c r="BF44" s="544"/>
      <c r="BG44" s="544"/>
      <c r="BH44" s="544"/>
      <c r="BI44" s="544"/>
      <c r="BJ44" s="544"/>
      <c r="BK44" s="544"/>
      <c r="BL44" s="565" t="e">
        <f>BL42/BF49</f>
        <v>#DIV/0!</v>
      </c>
      <c r="BM44" s="565" t="e">
        <f>BM42/BF49</f>
        <v>#DIV/0!</v>
      </c>
      <c r="BN44" s="579"/>
      <c r="BO44" s="565" t="e">
        <f>BO42/BF49</f>
        <v>#DIV/0!</v>
      </c>
      <c r="BP44" s="579"/>
      <c r="BQ44" s="580" t="e">
        <f>BQ42/BF49</f>
        <v>#DIV/0!</v>
      </c>
      <c r="BR44" s="581"/>
      <c r="BS44" s="582"/>
      <c r="BT44" s="205"/>
      <c r="BU44" s="205"/>
      <c r="BV44" s="205"/>
      <c r="BW44" s="205"/>
      <c r="BX44" s="205"/>
      <c r="BY44" s="205"/>
      <c r="BZ44" s="205"/>
      <c r="CA44" s="205"/>
      <c r="CB44" s="205"/>
      <c r="CC44" s="205"/>
      <c r="CD44" s="205"/>
      <c r="CE44" s="205"/>
      <c r="CF44" s="205"/>
      <c r="CG44" s="205"/>
      <c r="CH44" s="205"/>
      <c r="CI44" s="205"/>
      <c r="CJ44" s="205"/>
      <c r="CK44" s="205"/>
      <c r="CL44" s="205"/>
      <c r="CM44" s="205"/>
      <c r="CN44" s="205"/>
      <c r="CO44" s="205"/>
    </row>
    <row r="45" spans="1:93" s="205" customFormat="1" ht="36.75" thickBot="1">
      <c r="A45" s="583" t="s">
        <v>120</v>
      </c>
      <c r="B45" s="584"/>
      <c r="C45" s="584"/>
      <c r="D45" s="584"/>
      <c r="E45" s="584"/>
      <c r="F45" s="584"/>
      <c r="G45" s="584"/>
      <c r="H45" s="584"/>
      <c r="I45" s="545">
        <f>IF(I33&gt;0,I33,0)</f>
        <v>22040260</v>
      </c>
      <c r="J45" s="545"/>
      <c r="BL45" s="549">
        <f>[1]Consp!AJ33</f>
        <v>8688.15</v>
      </c>
      <c r="BM45" s="543"/>
      <c r="BN45" s="549">
        <f>[1]Consp!CF33</f>
        <v>0</v>
      </c>
      <c r="BO45" s="543"/>
      <c r="BP45" s="549">
        <f>[1]Consp!CG33</f>
        <v>0</v>
      </c>
      <c r="BQ45" s="585">
        <f>[1]Consp!CH33</f>
        <v>0</v>
      </c>
      <c r="BR45" s="586">
        <f>[1]Consp!CI33</f>
        <v>0</v>
      </c>
      <c r="BS45" s="587">
        <f>[1]Consp!CJ33</f>
        <v>0</v>
      </c>
    </row>
    <row r="46" spans="1:93" s="205" customFormat="1" ht="30.75" customHeight="1" thickBot="1">
      <c r="A46" s="588" t="s">
        <v>121</v>
      </c>
      <c r="B46" s="562"/>
      <c r="C46" s="23"/>
      <c r="D46" s="562"/>
      <c r="E46" s="562"/>
      <c r="F46" s="562"/>
      <c r="G46" s="562"/>
      <c r="H46" s="562"/>
      <c r="I46" s="562"/>
      <c r="J46" s="23">
        <f>COUNTIF(I6:I35,"&gt;0")</f>
        <v>30</v>
      </c>
      <c r="K46" s="546"/>
      <c r="O46" s="589"/>
      <c r="S46" s="589"/>
      <c r="AA46" s="589"/>
      <c r="AC46" s="589"/>
      <c r="AE46" s="589"/>
      <c r="AG46" s="589"/>
      <c r="AI46" s="589"/>
      <c r="AK46" s="589"/>
      <c r="AL46" s="589"/>
      <c r="AN46" s="589"/>
      <c r="AP46" s="589"/>
      <c r="AR46" s="589"/>
      <c r="AT46" s="589"/>
      <c r="AV46" s="589"/>
      <c r="AX46" s="589"/>
      <c r="AZ46" s="589"/>
      <c r="BB46" s="589"/>
      <c r="BC46" s="589"/>
      <c r="BE46" s="589"/>
      <c r="BG46" s="589"/>
      <c r="BI46" s="589"/>
      <c r="BK46" s="589"/>
      <c r="BL46" s="555">
        <f>[1]Consp!AJ34</f>
        <v>310.2910714285714</v>
      </c>
      <c r="BM46" s="544"/>
      <c r="BN46" s="555">
        <f>[1]Consp!CF34</f>
        <v>0</v>
      </c>
      <c r="BO46" s="544"/>
      <c r="BP46" s="555">
        <f>[1]Consp!CG34</f>
        <v>0</v>
      </c>
      <c r="BQ46" s="590">
        <f>[1]Consp!CH34</f>
        <v>0</v>
      </c>
      <c r="BR46" s="591">
        <f>[1]Consp!CI34</f>
        <v>0</v>
      </c>
      <c r="BS46" s="592">
        <f>[1]Consp!CJ34</f>
        <v>0</v>
      </c>
    </row>
    <row r="47" spans="1:93" s="205" customFormat="1" ht="30.75" customHeight="1">
      <c r="A47" s="588" t="s">
        <v>122</v>
      </c>
      <c r="E47" s="562"/>
      <c r="G47" s="562"/>
      <c r="J47" s="23">
        <f>COUNTIF(A6:A35,"&gt;0")</f>
        <v>30</v>
      </c>
      <c r="K47" s="546"/>
      <c r="BN47" s="562"/>
      <c r="BP47" s="562"/>
      <c r="BQ47" s="593"/>
    </row>
    <row r="52" spans="1:65" ht="30.75" customHeight="1">
      <c r="A52" s="873"/>
      <c r="B52" s="873"/>
      <c r="BM52" s="29"/>
    </row>
    <row r="54" spans="1:65" ht="30.75" customHeight="1">
      <c r="BL54" s="29"/>
    </row>
    <row r="56" spans="1:65" ht="30.75" customHeight="1">
      <c r="I56" s="29">
        <f>-L11</f>
        <v>-971081</v>
      </c>
    </row>
    <row r="63" spans="1:65" ht="92.25" customHeight="1"/>
    <row r="99" spans="6:8" ht="30.75" customHeight="1">
      <c r="F99" s="31"/>
      <c r="G99" s="31"/>
      <c r="H99" s="31"/>
    </row>
    <row r="100" spans="6:8" ht="30.75" customHeight="1">
      <c r="F100" s="31"/>
      <c r="G100" s="31"/>
      <c r="H100" s="31"/>
    </row>
    <row r="101" spans="6:8" ht="30.75" customHeight="1">
      <c r="F101" s="31"/>
      <c r="G101" s="31"/>
      <c r="H101" s="31"/>
    </row>
    <row r="102" spans="6:8" ht="30.75" customHeight="1">
      <c r="F102" s="31"/>
      <c r="G102" s="31"/>
      <c r="H102" s="31"/>
    </row>
  </sheetData>
  <sheetProtection algorithmName="SHA-512" hashValue="vFSlbiZ+jHXvbhXJnE5LHQuy1l2AVGUdk1g/+N+2f3EIvNMk6jz2KOu7phSaKGEhAj2ZqSgXYDmFidW9KC5J0w==" saltValue="IOycKJ7rzdgA9PlrFx1wWg==" spinCount="100000" sheet="1"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K5:BK36 BI5:BI36">
    <cfRule type="cellIs" dxfId="34" priority="153" stopIfTrue="1" operator="greaterThan">
      <formula>400</formula>
    </cfRule>
  </conditionalFormatting>
  <conditionalFormatting sqref="BG5:BG36 AI5:AI36">
    <cfRule type="cellIs" dxfId="33" priority="151" stopIfTrue="1" operator="greaterThan">
      <formula>2000</formula>
    </cfRule>
  </conditionalFormatting>
  <conditionalFormatting sqref="AR5:AR36 AP5:AP36 AV5:AV36 S5:S36 BE5:BE36 AT5:AT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A5:AA36 AC5:AC36 AE5:AE36 AG5:AG36">
    <cfRule type="cellIs" dxfId="28" priority="143" stopIfTrue="1" operator="greaterThan">
      <formula>4000</formula>
    </cfRule>
  </conditionalFormatting>
  <conditionalFormatting sqref="Y5:Y36 U5:U36 W5:W36">
    <cfRule type="cellIs" dxfId="27" priority="139" stopIfTrue="1" operator="greaterThan">
      <formula>300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0" activePane="bottomRight" state="frozen"/>
      <selection pane="topRight" activeCell="D22" sqref="D22"/>
      <selection pane="bottomLeft" activeCell="D22" sqref="D22"/>
      <selection pane="bottomRight" activeCell="F36" sqref="F36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9" t="str">
        <f>Elect!A1</f>
        <v>January</v>
      </c>
      <c r="E1" s="882" t="s">
        <v>42</v>
      </c>
      <c r="H1" s="596" t="s">
        <v>123</v>
      </c>
      <c r="I1" s="712"/>
      <c r="J1" s="598">
        <v>3.9</v>
      </c>
    </row>
    <row r="2" spans="1:13" ht="23.25" customHeight="1">
      <c r="A2" s="889"/>
      <c r="C2" s="27"/>
      <c r="E2" s="882"/>
      <c r="G2" s="27"/>
      <c r="H2" s="27"/>
      <c r="I2" s="27"/>
      <c r="K2" s="530"/>
      <c r="L2" s="529"/>
      <c r="M2" s="385"/>
    </row>
    <row r="3" spans="1:13" ht="21" customHeight="1" thickBot="1">
      <c r="A3" s="890"/>
      <c r="B3" s="27"/>
      <c r="C3" s="27"/>
      <c r="D3" s="27"/>
      <c r="E3" s="883"/>
      <c r="F3" s="27"/>
      <c r="G3" s="27"/>
      <c r="H3" s="27"/>
      <c r="I3" s="27"/>
    </row>
    <row r="4" spans="1:13" ht="53.25" customHeight="1">
      <c r="A4" s="705" t="s">
        <v>124</v>
      </c>
      <c r="B4" s="891" t="s">
        <v>125</v>
      </c>
      <c r="C4" s="892"/>
      <c r="D4" s="891" t="s">
        <v>126</v>
      </c>
      <c r="E4" s="892"/>
      <c r="F4" s="891" t="s">
        <v>127</v>
      </c>
      <c r="G4" s="892"/>
      <c r="H4" s="538" t="s">
        <v>128</v>
      </c>
      <c r="I4" s="538" t="s">
        <v>129</v>
      </c>
      <c r="J4" s="537" t="s">
        <v>130</v>
      </c>
      <c r="K4" s="799" t="s">
        <v>131</v>
      </c>
      <c r="L4" s="23"/>
      <c r="M4" s="23"/>
    </row>
    <row r="5" spans="1:13" ht="26.25" customHeight="1" thickBot="1">
      <c r="A5" s="706"/>
      <c r="B5" s="137" t="s">
        <v>132</v>
      </c>
      <c r="C5" s="138" t="s">
        <v>133</v>
      </c>
      <c r="D5" s="137" t="s">
        <v>132</v>
      </c>
      <c r="E5" s="138" t="s">
        <v>133</v>
      </c>
      <c r="F5" s="137" t="s">
        <v>132</v>
      </c>
      <c r="G5" s="138" t="s">
        <v>133</v>
      </c>
      <c r="H5" s="25" t="s">
        <v>134</v>
      </c>
      <c r="I5" s="25" t="s">
        <v>134</v>
      </c>
      <c r="J5" s="25" t="s">
        <v>134</v>
      </c>
      <c r="K5" s="138" t="s">
        <v>133</v>
      </c>
      <c r="L5" s="23"/>
      <c r="M5" s="23"/>
    </row>
    <row r="6" spans="1:13" s="3" customFormat="1" ht="41.25" customHeight="1">
      <c r="A6" s="707"/>
      <c r="B6" s="829">
        <v>7948724</v>
      </c>
      <c r="C6" s="681">
        <f t="shared" ref="C6:C14" si="0">IF(B6&gt;=B5,B6-B5,0)*1.06</f>
        <v>0</v>
      </c>
      <c r="D6" s="836">
        <v>309621</v>
      </c>
      <c r="E6" s="681">
        <f>IF(D6&gt;=D5,D6-D5,0)*0.7</f>
        <v>0</v>
      </c>
      <c r="F6" s="836">
        <v>568029</v>
      </c>
      <c r="G6" s="681">
        <f t="shared" ref="G6:G17" si="1">IF(F6&gt;=F5,F6-F5,0)</f>
        <v>0</v>
      </c>
      <c r="H6" s="429"/>
      <c r="I6" s="429"/>
      <c r="J6" s="429"/>
      <c r="K6" s="740">
        <f>C6+E6</f>
        <v>0</v>
      </c>
    </row>
    <row r="7" spans="1:13" s="3" customFormat="1" ht="41.25" customHeight="1">
      <c r="A7" s="707">
        <v>1</v>
      </c>
      <c r="B7" s="829">
        <v>7949568</v>
      </c>
      <c r="C7" s="681">
        <f t="shared" si="0"/>
        <v>894.6400000000001</v>
      </c>
      <c r="D7" s="836">
        <v>310157</v>
      </c>
      <c r="E7" s="681">
        <f t="shared" ref="E7:E37" si="2">IF(D7&gt;=D6,D7-D6,0)*0.7</f>
        <v>375.2</v>
      </c>
      <c r="F7" s="836">
        <v>568098</v>
      </c>
      <c r="G7" s="681">
        <f t="shared" si="1"/>
        <v>69</v>
      </c>
      <c r="H7" s="681">
        <f>(E7*0.55)*1.61</f>
        <v>332.23960000000005</v>
      </c>
      <c r="I7" s="681">
        <f>C7*J1</f>
        <v>3489.0960000000005</v>
      </c>
      <c r="J7" s="681">
        <f>G7*J1</f>
        <v>269.09999999999997</v>
      </c>
      <c r="K7" s="740">
        <f t="shared" ref="K7:K37" si="3">C7+E7</f>
        <v>1269.8400000000001</v>
      </c>
    </row>
    <row r="8" spans="1:13" s="3" customFormat="1" ht="41.25" customHeight="1">
      <c r="A8" s="707">
        <v>2</v>
      </c>
      <c r="B8" s="829">
        <v>7950727</v>
      </c>
      <c r="C8" s="681">
        <f t="shared" si="0"/>
        <v>1228.54</v>
      </c>
      <c r="D8" s="836">
        <v>310492</v>
      </c>
      <c r="E8" s="681">
        <f t="shared" si="2"/>
        <v>234.49999999999997</v>
      </c>
      <c r="F8" s="836">
        <v>568162</v>
      </c>
      <c r="G8" s="681">
        <f t="shared" si="1"/>
        <v>64</v>
      </c>
      <c r="H8" s="681">
        <f t="shared" ref="H8:H37" si="4">(E8*0.55)*1.61</f>
        <v>207.64975000000001</v>
      </c>
      <c r="I8" s="681">
        <f>C8*J1</f>
        <v>4791.3059999999996</v>
      </c>
      <c r="J8" s="681">
        <f>G8*J1</f>
        <v>249.6</v>
      </c>
      <c r="K8" s="740">
        <f t="shared" si="3"/>
        <v>1463.04</v>
      </c>
    </row>
    <row r="9" spans="1:13" s="3" customFormat="1" ht="41.25" customHeight="1">
      <c r="A9" s="707">
        <v>3</v>
      </c>
      <c r="B9" s="829">
        <v>7951694</v>
      </c>
      <c r="C9" s="681">
        <f t="shared" si="0"/>
        <v>1025.02</v>
      </c>
      <c r="D9" s="836">
        <v>310917</v>
      </c>
      <c r="E9" s="681">
        <f t="shared" si="2"/>
        <v>297.5</v>
      </c>
      <c r="F9" s="836">
        <v>568229</v>
      </c>
      <c r="G9" s="681">
        <f t="shared" si="1"/>
        <v>67</v>
      </c>
      <c r="H9" s="681">
        <f>(E9*0.55)*1.61</f>
        <v>263.43625000000003</v>
      </c>
      <c r="I9" s="681">
        <f>C9*J1</f>
        <v>3997.578</v>
      </c>
      <c r="J9" s="681">
        <f>G9*J1</f>
        <v>261.3</v>
      </c>
      <c r="K9" s="740">
        <f>C9+E9</f>
        <v>1322.52</v>
      </c>
    </row>
    <row r="10" spans="1:13" s="3" customFormat="1" ht="41.25" customHeight="1">
      <c r="A10" s="707">
        <v>4</v>
      </c>
      <c r="B10" s="833">
        <v>7952355</v>
      </c>
      <c r="C10" s="681">
        <f t="shared" si="0"/>
        <v>700.66000000000008</v>
      </c>
      <c r="D10" s="836">
        <v>311243</v>
      </c>
      <c r="E10" s="681">
        <f t="shared" si="2"/>
        <v>228.2</v>
      </c>
      <c r="F10" s="836">
        <v>568300</v>
      </c>
      <c r="G10" s="681">
        <f t="shared" si="1"/>
        <v>71</v>
      </c>
      <c r="H10" s="681">
        <f>(E10*0.55)*1.61</f>
        <v>202.07110000000003</v>
      </c>
      <c r="I10" s="681">
        <f>C10*J1</f>
        <v>2732.5740000000001</v>
      </c>
      <c r="J10" s="681">
        <f>G10*J1</f>
        <v>276.89999999999998</v>
      </c>
      <c r="K10" s="740">
        <f t="shared" si="3"/>
        <v>928.86000000000013</v>
      </c>
    </row>
    <row r="11" spans="1:13" s="3" customFormat="1" ht="41.25" customHeight="1">
      <c r="A11" s="707">
        <v>5</v>
      </c>
      <c r="B11" s="829">
        <v>7953465</v>
      </c>
      <c r="C11" s="681">
        <f t="shared" si="0"/>
        <v>1176.6000000000001</v>
      </c>
      <c r="D11" s="836">
        <v>311649</v>
      </c>
      <c r="E11" s="681">
        <f t="shared" si="2"/>
        <v>284.2</v>
      </c>
      <c r="F11" s="836">
        <v>568382</v>
      </c>
      <c r="G11" s="681">
        <f t="shared" si="1"/>
        <v>82</v>
      </c>
      <c r="H11" s="681">
        <f t="shared" si="4"/>
        <v>251.65910000000002</v>
      </c>
      <c r="I11" s="681">
        <f>C11*J1</f>
        <v>4588.7400000000007</v>
      </c>
      <c r="J11" s="681">
        <f>G11*J1</f>
        <v>319.8</v>
      </c>
      <c r="K11" s="740">
        <f t="shared" si="3"/>
        <v>1460.8000000000002</v>
      </c>
    </row>
    <row r="12" spans="1:13" s="3" customFormat="1" ht="41.25" customHeight="1">
      <c r="A12" s="707">
        <v>6</v>
      </c>
      <c r="B12" s="829">
        <v>7954392</v>
      </c>
      <c r="C12" s="681">
        <f t="shared" si="0"/>
        <v>982.62</v>
      </c>
      <c r="D12" s="836">
        <v>312062</v>
      </c>
      <c r="E12" s="681">
        <f t="shared" si="2"/>
        <v>289.09999999999997</v>
      </c>
      <c r="F12" s="836">
        <v>568443</v>
      </c>
      <c r="G12" s="681">
        <f t="shared" si="1"/>
        <v>61</v>
      </c>
      <c r="H12" s="681">
        <f t="shared" si="4"/>
        <v>255.99805000000001</v>
      </c>
      <c r="I12" s="681">
        <f>C12*J1</f>
        <v>3832.2179999999998</v>
      </c>
      <c r="J12" s="681">
        <f>G12*J1</f>
        <v>237.9</v>
      </c>
      <c r="K12" s="740">
        <f t="shared" si="3"/>
        <v>1271.72</v>
      </c>
    </row>
    <row r="13" spans="1:13" s="3" customFormat="1" ht="41.25" customHeight="1">
      <c r="A13" s="707">
        <v>7</v>
      </c>
      <c r="B13" s="829">
        <v>7955256</v>
      </c>
      <c r="C13" s="681">
        <f t="shared" si="0"/>
        <v>915.84</v>
      </c>
      <c r="D13" s="836">
        <v>312398</v>
      </c>
      <c r="E13" s="681">
        <f t="shared" si="2"/>
        <v>235.2</v>
      </c>
      <c r="F13" s="836">
        <v>568497</v>
      </c>
      <c r="G13" s="681">
        <f t="shared" si="1"/>
        <v>54</v>
      </c>
      <c r="H13" s="681">
        <f t="shared" si="4"/>
        <v>208.26960000000003</v>
      </c>
      <c r="I13" s="681">
        <f>C13*J1</f>
        <v>3571.7759999999998</v>
      </c>
      <c r="J13" s="681">
        <f>G13*J1</f>
        <v>210.6</v>
      </c>
      <c r="K13" s="740">
        <f t="shared" si="3"/>
        <v>1151.04</v>
      </c>
    </row>
    <row r="14" spans="1:13" s="3" customFormat="1" ht="41.25" customHeight="1">
      <c r="A14" s="707">
        <v>8</v>
      </c>
      <c r="B14" s="829">
        <v>7955957</v>
      </c>
      <c r="C14" s="681">
        <f t="shared" si="0"/>
        <v>743.06000000000006</v>
      </c>
      <c r="D14" s="836">
        <v>312755</v>
      </c>
      <c r="E14" s="681">
        <f t="shared" si="2"/>
        <v>249.89999999999998</v>
      </c>
      <c r="F14" s="836">
        <v>568573</v>
      </c>
      <c r="G14" s="681">
        <f t="shared" si="1"/>
        <v>76</v>
      </c>
      <c r="H14" s="681">
        <f t="shared" si="4"/>
        <v>221.28645</v>
      </c>
      <c r="I14" s="681">
        <f>C14*J1</f>
        <v>2897.9340000000002</v>
      </c>
      <c r="J14" s="681">
        <f>G14*J1</f>
        <v>296.39999999999998</v>
      </c>
      <c r="K14" s="740">
        <f t="shared" si="3"/>
        <v>992.96</v>
      </c>
    </row>
    <row r="15" spans="1:13" s="3" customFormat="1" ht="41.25" customHeight="1">
      <c r="A15" s="707">
        <v>9</v>
      </c>
      <c r="B15" s="829">
        <v>7956763</v>
      </c>
      <c r="C15" s="681">
        <f t="shared" ref="C15:C32" si="5">IF(B15&gt;=B14,B15-B14,0)*1.06</f>
        <v>854.36</v>
      </c>
      <c r="D15" s="836">
        <v>313170</v>
      </c>
      <c r="E15" s="681">
        <f t="shared" si="2"/>
        <v>290.5</v>
      </c>
      <c r="F15" s="836">
        <v>568640</v>
      </c>
      <c r="G15" s="681">
        <f t="shared" si="1"/>
        <v>67</v>
      </c>
      <c r="H15" s="681">
        <f t="shared" si="4"/>
        <v>257.23775000000001</v>
      </c>
      <c r="I15" s="681">
        <f>C15*J1</f>
        <v>3332.0039999999999</v>
      </c>
      <c r="J15" s="681">
        <f>G15*J1</f>
        <v>261.3</v>
      </c>
      <c r="K15" s="740">
        <f t="shared" si="3"/>
        <v>1144.8600000000001</v>
      </c>
    </row>
    <row r="16" spans="1:13" s="3" customFormat="1" ht="41.25" customHeight="1">
      <c r="A16" s="707">
        <v>10</v>
      </c>
      <c r="B16" s="829">
        <v>7957726</v>
      </c>
      <c r="C16" s="681">
        <f t="shared" si="5"/>
        <v>1020.7800000000001</v>
      </c>
      <c r="D16" s="836">
        <v>313619</v>
      </c>
      <c r="E16" s="681">
        <f t="shared" si="2"/>
        <v>314.29999999999995</v>
      </c>
      <c r="F16" s="836">
        <v>568742</v>
      </c>
      <c r="G16" s="681">
        <f t="shared" si="1"/>
        <v>102</v>
      </c>
      <c r="H16" s="681">
        <f t="shared" si="4"/>
        <v>278.31264999999996</v>
      </c>
      <c r="I16" s="681">
        <f>C16*J1</f>
        <v>3981.0420000000004</v>
      </c>
      <c r="J16" s="681">
        <f>G16*J1</f>
        <v>397.8</v>
      </c>
      <c r="K16" s="740">
        <f t="shared" si="3"/>
        <v>1335.08</v>
      </c>
    </row>
    <row r="17" spans="1:11" s="3" customFormat="1" ht="41.25" customHeight="1">
      <c r="A17" s="707">
        <v>11</v>
      </c>
      <c r="B17" s="833">
        <v>7958590</v>
      </c>
      <c r="C17" s="681">
        <f t="shared" si="5"/>
        <v>915.84</v>
      </c>
      <c r="D17" s="836">
        <v>313951</v>
      </c>
      <c r="E17" s="681">
        <f t="shared" si="2"/>
        <v>232.39999999999998</v>
      </c>
      <c r="F17" s="836">
        <v>568792</v>
      </c>
      <c r="G17" s="681">
        <f t="shared" si="1"/>
        <v>50</v>
      </c>
      <c r="H17" s="681">
        <f t="shared" si="4"/>
        <v>205.7902</v>
      </c>
      <c r="I17" s="681">
        <f>C17*J1</f>
        <v>3571.7759999999998</v>
      </c>
      <c r="J17" s="681">
        <f>G17*J1</f>
        <v>195</v>
      </c>
      <c r="K17" s="740">
        <f t="shared" si="3"/>
        <v>1148.24</v>
      </c>
    </row>
    <row r="18" spans="1:11" s="3" customFormat="1" ht="41.25" customHeight="1">
      <c r="A18" s="707">
        <v>12</v>
      </c>
      <c r="B18" s="833">
        <v>7959499</v>
      </c>
      <c r="C18" s="681">
        <f t="shared" si="5"/>
        <v>963.54000000000008</v>
      </c>
      <c r="D18" s="836">
        <v>314250</v>
      </c>
      <c r="E18" s="681">
        <f t="shared" si="2"/>
        <v>209.29999999999998</v>
      </c>
      <c r="F18" s="836">
        <v>568872</v>
      </c>
      <c r="G18" s="681">
        <f t="shared" ref="G18:G37" si="6">IF(F18&gt;=F17,F18-F17,0)</f>
        <v>80</v>
      </c>
      <c r="H18" s="681">
        <f t="shared" si="4"/>
        <v>185.33515</v>
      </c>
      <c r="I18" s="681">
        <f>C18*J1</f>
        <v>3757.806</v>
      </c>
      <c r="J18" s="681">
        <f>G18*J1</f>
        <v>312</v>
      </c>
      <c r="K18" s="740">
        <f t="shared" si="3"/>
        <v>1172.8400000000001</v>
      </c>
    </row>
    <row r="19" spans="1:11" s="3" customFormat="1" ht="41.25" customHeight="1">
      <c r="A19" s="707">
        <v>13</v>
      </c>
      <c r="B19" s="829">
        <v>7960407</v>
      </c>
      <c r="C19" s="681">
        <f>IF(B19&gt;=B18,B19-B18,0)*1.06</f>
        <v>962.48</v>
      </c>
      <c r="D19" s="836">
        <v>314506</v>
      </c>
      <c r="E19" s="681">
        <f>IF(D19&gt;=D18,D19-D18,0)*0.7</f>
        <v>179.2</v>
      </c>
      <c r="F19" s="836">
        <v>568943</v>
      </c>
      <c r="G19" s="681">
        <f t="shared" si="6"/>
        <v>71</v>
      </c>
      <c r="H19" s="681">
        <f t="shared" si="4"/>
        <v>158.6816</v>
      </c>
      <c r="I19" s="681">
        <f>C19*J1</f>
        <v>3753.672</v>
      </c>
      <c r="J19" s="681">
        <f>G19*J1</f>
        <v>276.89999999999998</v>
      </c>
      <c r="K19" s="740">
        <f t="shared" si="3"/>
        <v>1141.68</v>
      </c>
    </row>
    <row r="20" spans="1:11" s="3" customFormat="1" ht="41.25" customHeight="1">
      <c r="A20" s="707">
        <v>14</v>
      </c>
      <c r="B20" s="829">
        <v>7961290</v>
      </c>
      <c r="C20" s="681">
        <f>IF(B20&gt;=B19,B20-B19,0)*1.06</f>
        <v>935.98</v>
      </c>
      <c r="D20" s="836">
        <v>315008</v>
      </c>
      <c r="E20" s="681">
        <f>IF(D20&gt;=D19,D20-D19,0)*0.7</f>
        <v>351.4</v>
      </c>
      <c r="F20" s="836">
        <v>569016</v>
      </c>
      <c r="G20" s="681">
        <f t="shared" si="6"/>
        <v>73</v>
      </c>
      <c r="H20" s="681">
        <f t="shared" si="4"/>
        <v>311.16470000000004</v>
      </c>
      <c r="I20" s="681">
        <f>C20*J1</f>
        <v>3650.3220000000001</v>
      </c>
      <c r="J20" s="681">
        <f>G20*J1</f>
        <v>284.7</v>
      </c>
      <c r="K20" s="740">
        <f t="shared" si="3"/>
        <v>1287.3800000000001</v>
      </c>
    </row>
    <row r="21" spans="1:11" s="3" customFormat="1" ht="41.25" customHeight="1">
      <c r="A21" s="707">
        <v>15</v>
      </c>
      <c r="B21" s="829">
        <v>7962173</v>
      </c>
      <c r="C21" s="681">
        <f>IF(B21&gt;=B20,B21-B20,0)*1.06</f>
        <v>935.98</v>
      </c>
      <c r="D21" s="836">
        <v>315381</v>
      </c>
      <c r="E21" s="681">
        <f>IF(D21&gt;=D20,D21-D20,0)*0.7</f>
        <v>261.09999999999997</v>
      </c>
      <c r="F21" s="836">
        <v>569089</v>
      </c>
      <c r="G21" s="681">
        <f t="shared" ref="G21:G27" si="7">IF(F21&gt;=F20,F21-F20,0)</f>
        <v>73</v>
      </c>
      <c r="H21" s="681">
        <f t="shared" si="4"/>
        <v>231.20405</v>
      </c>
      <c r="I21" s="681">
        <f>C21*J1</f>
        <v>3650.3220000000001</v>
      </c>
      <c r="J21" s="681">
        <f>G21*J1</f>
        <v>284.7</v>
      </c>
      <c r="K21" s="740">
        <f t="shared" si="3"/>
        <v>1197.08</v>
      </c>
    </row>
    <row r="22" spans="1:11" s="3" customFormat="1" ht="41.25" customHeight="1">
      <c r="A22" s="707">
        <v>16</v>
      </c>
      <c r="B22" s="829">
        <v>7963238</v>
      </c>
      <c r="C22" s="681">
        <f t="shared" si="5"/>
        <v>1128.9000000000001</v>
      </c>
      <c r="D22" s="836">
        <v>315528</v>
      </c>
      <c r="E22" s="681">
        <f t="shared" si="2"/>
        <v>102.89999999999999</v>
      </c>
      <c r="F22" s="836">
        <v>569144</v>
      </c>
      <c r="G22" s="681">
        <f t="shared" si="7"/>
        <v>55</v>
      </c>
      <c r="H22" s="681">
        <f t="shared" si="4"/>
        <v>91.117950000000008</v>
      </c>
      <c r="I22" s="681">
        <f>C22*J1</f>
        <v>4402.71</v>
      </c>
      <c r="J22" s="681">
        <f>G22*J1</f>
        <v>214.5</v>
      </c>
      <c r="K22" s="740">
        <f t="shared" si="3"/>
        <v>1231.8000000000002</v>
      </c>
    </row>
    <row r="23" spans="1:11" s="3" customFormat="1" ht="41.25" customHeight="1">
      <c r="A23" s="707">
        <v>17</v>
      </c>
      <c r="B23" s="833">
        <v>7964246</v>
      </c>
      <c r="C23" s="681">
        <f t="shared" si="5"/>
        <v>1068.48</v>
      </c>
      <c r="D23" s="836">
        <v>315876</v>
      </c>
      <c r="E23" s="681">
        <f t="shared" si="2"/>
        <v>243.6</v>
      </c>
      <c r="F23" s="836">
        <v>569225</v>
      </c>
      <c r="G23" s="681">
        <f t="shared" si="7"/>
        <v>81</v>
      </c>
      <c r="H23" s="681">
        <f t="shared" si="4"/>
        <v>215.70780000000005</v>
      </c>
      <c r="I23" s="681">
        <f>C23*J1</f>
        <v>4167.0720000000001</v>
      </c>
      <c r="J23" s="681">
        <f>G23*J1</f>
        <v>315.89999999999998</v>
      </c>
      <c r="K23" s="740">
        <f t="shared" si="3"/>
        <v>1312.08</v>
      </c>
    </row>
    <row r="24" spans="1:11" s="3" customFormat="1" ht="41.25" customHeight="1">
      <c r="A24" s="707">
        <v>18</v>
      </c>
      <c r="B24" s="829">
        <v>7965107</v>
      </c>
      <c r="C24" s="681">
        <f t="shared" si="5"/>
        <v>912.66000000000008</v>
      </c>
      <c r="D24" s="836">
        <v>316176</v>
      </c>
      <c r="E24" s="681">
        <f t="shared" si="2"/>
        <v>210</v>
      </c>
      <c r="F24" s="836">
        <v>569299</v>
      </c>
      <c r="G24" s="681">
        <f t="shared" si="7"/>
        <v>74</v>
      </c>
      <c r="H24" s="681">
        <f t="shared" si="4"/>
        <v>185.95500000000004</v>
      </c>
      <c r="I24" s="681">
        <f>C24*J1</f>
        <v>3559.3740000000003</v>
      </c>
      <c r="J24" s="681">
        <f>G24*J1</f>
        <v>288.59999999999997</v>
      </c>
      <c r="K24" s="740">
        <f t="shared" si="3"/>
        <v>1122.6600000000001</v>
      </c>
    </row>
    <row r="25" spans="1:11" s="3" customFormat="1" ht="41.25" customHeight="1">
      <c r="A25" s="707">
        <v>19</v>
      </c>
      <c r="B25" s="829">
        <v>7966232</v>
      </c>
      <c r="C25" s="681">
        <f t="shared" si="5"/>
        <v>1192.5</v>
      </c>
      <c r="D25" s="836">
        <v>316600</v>
      </c>
      <c r="E25" s="681">
        <f t="shared" si="2"/>
        <v>296.79999999999995</v>
      </c>
      <c r="F25" s="836">
        <v>569362</v>
      </c>
      <c r="G25" s="681">
        <f t="shared" si="7"/>
        <v>63</v>
      </c>
      <c r="H25" s="681">
        <f t="shared" si="4"/>
        <v>262.81639999999999</v>
      </c>
      <c r="I25" s="681">
        <f>C25*J1</f>
        <v>4650.75</v>
      </c>
      <c r="J25" s="681">
        <f>G25*J1</f>
        <v>245.7</v>
      </c>
      <c r="K25" s="740">
        <f t="shared" si="3"/>
        <v>1489.3</v>
      </c>
    </row>
    <row r="26" spans="1:11" s="3" customFormat="1" ht="41.25" customHeight="1">
      <c r="A26" s="707">
        <v>20</v>
      </c>
      <c r="B26" s="833">
        <v>7967337</v>
      </c>
      <c r="C26" s="681">
        <f t="shared" si="5"/>
        <v>1171.3</v>
      </c>
      <c r="D26" s="836">
        <v>317005</v>
      </c>
      <c r="E26" s="681">
        <f t="shared" si="2"/>
        <v>283.5</v>
      </c>
      <c r="F26" s="836">
        <v>569441</v>
      </c>
      <c r="G26" s="681">
        <f t="shared" si="7"/>
        <v>79</v>
      </c>
      <c r="H26" s="681">
        <f t="shared" si="4"/>
        <v>251.03925000000004</v>
      </c>
      <c r="I26" s="681">
        <f>C26*J1</f>
        <v>4568.07</v>
      </c>
      <c r="J26" s="681">
        <f>G26*J1</f>
        <v>308.09999999999997</v>
      </c>
      <c r="K26" s="740">
        <f t="shared" si="3"/>
        <v>1454.8</v>
      </c>
    </row>
    <row r="27" spans="1:11" s="3" customFormat="1" ht="41.25" customHeight="1">
      <c r="A27" s="707">
        <v>21</v>
      </c>
      <c r="B27" s="833">
        <v>7968158</v>
      </c>
      <c r="C27" s="681">
        <f t="shared" si="5"/>
        <v>870.26</v>
      </c>
      <c r="D27" s="836">
        <v>317262</v>
      </c>
      <c r="E27" s="681">
        <f t="shared" si="2"/>
        <v>179.89999999999998</v>
      </c>
      <c r="F27" s="836">
        <v>569509</v>
      </c>
      <c r="G27" s="681">
        <f t="shared" si="7"/>
        <v>68</v>
      </c>
      <c r="H27" s="681">
        <f t="shared" si="4"/>
        <v>159.30144999999999</v>
      </c>
      <c r="I27" s="681">
        <f>C27*J1</f>
        <v>3394.0139999999997</v>
      </c>
      <c r="J27" s="681">
        <f>G27*J1</f>
        <v>265.2</v>
      </c>
      <c r="K27" s="740">
        <f t="shared" si="3"/>
        <v>1050.1599999999999</v>
      </c>
    </row>
    <row r="28" spans="1:11" s="3" customFormat="1" ht="41.25" customHeight="1">
      <c r="A28" s="707">
        <v>22</v>
      </c>
      <c r="B28" s="829">
        <v>7969253</v>
      </c>
      <c r="C28" s="681">
        <f>IF(B28&gt;=B27,B28-B27,0)*1.06</f>
        <v>1160.7</v>
      </c>
      <c r="D28" s="836">
        <v>317804</v>
      </c>
      <c r="E28" s="681">
        <f t="shared" si="2"/>
        <v>379.4</v>
      </c>
      <c r="F28" s="836">
        <v>569582</v>
      </c>
      <c r="G28" s="681">
        <f t="shared" si="6"/>
        <v>73</v>
      </c>
      <c r="H28" s="681">
        <f>(E28*0.55)*1.61</f>
        <v>335.95870000000002</v>
      </c>
      <c r="I28" s="681">
        <f>C28*J1</f>
        <v>4526.7300000000005</v>
      </c>
      <c r="J28" s="681">
        <f>G28*J1</f>
        <v>284.7</v>
      </c>
      <c r="K28" s="740"/>
    </row>
    <row r="29" spans="1:11" s="3" customFormat="1" ht="41.25" customHeight="1">
      <c r="A29" s="707">
        <v>23</v>
      </c>
      <c r="B29" s="833">
        <v>7970196</v>
      </c>
      <c r="C29" s="681">
        <f>IF(B29&gt;=B28,B29-B28,0)*1.06</f>
        <v>999.58</v>
      </c>
      <c r="D29" s="836">
        <v>318279</v>
      </c>
      <c r="E29" s="681">
        <f t="shared" si="2"/>
        <v>332.5</v>
      </c>
      <c r="F29" s="836">
        <v>569647</v>
      </c>
      <c r="G29" s="681">
        <f t="shared" si="6"/>
        <v>65</v>
      </c>
      <c r="H29" s="681">
        <f>(E29*0.55)*1.61</f>
        <v>294.42875000000004</v>
      </c>
      <c r="I29" s="681">
        <f>C29*J1</f>
        <v>3898.3620000000001</v>
      </c>
      <c r="J29" s="681">
        <f>G29*J1</f>
        <v>253.5</v>
      </c>
      <c r="K29" s="740">
        <f t="shared" si="3"/>
        <v>1332.08</v>
      </c>
    </row>
    <row r="30" spans="1:11" s="3" customFormat="1" ht="41.25" customHeight="1">
      <c r="A30" s="707">
        <v>24</v>
      </c>
      <c r="B30" s="829">
        <v>7971263</v>
      </c>
      <c r="C30" s="681">
        <f>IF(B30&gt;=B29,B30-B29,0)*1.06</f>
        <v>1131.02</v>
      </c>
      <c r="D30" s="836">
        <v>318686</v>
      </c>
      <c r="E30" s="681">
        <f t="shared" si="2"/>
        <v>284.89999999999998</v>
      </c>
      <c r="F30" s="836">
        <v>569730</v>
      </c>
      <c r="G30" s="681">
        <f t="shared" si="6"/>
        <v>83</v>
      </c>
      <c r="H30" s="681">
        <f>(E30*0.55)*1.61</f>
        <v>252.27895000000001</v>
      </c>
      <c r="I30" s="681">
        <f>C30*J1</f>
        <v>4410.9780000000001</v>
      </c>
      <c r="J30" s="681">
        <f>G30*J1</f>
        <v>323.7</v>
      </c>
      <c r="K30" s="740">
        <f t="shared" si="3"/>
        <v>1415.92</v>
      </c>
    </row>
    <row r="31" spans="1:11" s="3" customFormat="1" ht="41.25" customHeight="1">
      <c r="A31" s="707">
        <v>25</v>
      </c>
      <c r="B31" s="829">
        <v>7972221</v>
      </c>
      <c r="C31" s="681">
        <f>IF(B31&gt;=B30,B31-B30,0)*1.06</f>
        <v>1015.48</v>
      </c>
      <c r="D31" s="836">
        <v>318959</v>
      </c>
      <c r="E31" s="681">
        <f t="shared" si="2"/>
        <v>191.1</v>
      </c>
      <c r="F31" s="836">
        <v>569794</v>
      </c>
      <c r="G31" s="681">
        <f t="shared" si="6"/>
        <v>64</v>
      </c>
      <c r="H31" s="681">
        <f t="shared" si="4"/>
        <v>169.21905000000001</v>
      </c>
      <c r="I31" s="681">
        <f>C31*J3</f>
        <v>0</v>
      </c>
      <c r="J31" s="681">
        <f>G31*J1</f>
        <v>249.6</v>
      </c>
      <c r="K31" s="740">
        <f t="shared" si="3"/>
        <v>1206.58</v>
      </c>
    </row>
    <row r="32" spans="1:11" s="3" customFormat="1" ht="41.25" customHeight="1">
      <c r="A32" s="707">
        <v>26</v>
      </c>
      <c r="B32" s="829">
        <v>7973078</v>
      </c>
      <c r="C32" s="681">
        <f t="shared" si="5"/>
        <v>908.42000000000007</v>
      </c>
      <c r="D32" s="836">
        <v>319332</v>
      </c>
      <c r="E32" s="681">
        <f t="shared" si="2"/>
        <v>261.09999999999997</v>
      </c>
      <c r="F32" s="836">
        <v>569865</v>
      </c>
      <c r="G32" s="681">
        <f t="shared" si="6"/>
        <v>71</v>
      </c>
      <c r="H32" s="681">
        <f t="shared" si="4"/>
        <v>231.20405</v>
      </c>
      <c r="I32" s="681">
        <f>C32*J1</f>
        <v>3542.8380000000002</v>
      </c>
      <c r="J32" s="681">
        <f>G32*J1</f>
        <v>276.89999999999998</v>
      </c>
      <c r="K32" s="740">
        <f t="shared" si="3"/>
        <v>1169.52</v>
      </c>
    </row>
    <row r="33" spans="1:13" s="205" customFormat="1" ht="41.25" customHeight="1">
      <c r="A33" s="708">
        <v>27</v>
      </c>
      <c r="B33" s="829">
        <v>7974214</v>
      </c>
      <c r="C33" s="681">
        <f>IF(B33&gt;=B32,B33-B32,0)*1.06</f>
        <v>1204.1600000000001</v>
      </c>
      <c r="D33" s="836">
        <v>319788</v>
      </c>
      <c r="E33" s="681">
        <f t="shared" si="2"/>
        <v>319.2</v>
      </c>
      <c r="F33" s="836">
        <v>569906</v>
      </c>
      <c r="G33" s="681">
        <f t="shared" si="6"/>
        <v>41</v>
      </c>
      <c r="H33" s="681">
        <f t="shared" si="4"/>
        <v>282.65160000000003</v>
      </c>
      <c r="I33" s="681">
        <f>C33*J1</f>
        <v>4696.2240000000002</v>
      </c>
      <c r="J33" s="681">
        <f>G33*J1</f>
        <v>159.9</v>
      </c>
      <c r="K33" s="740">
        <f t="shared" si="3"/>
        <v>1523.3600000000001</v>
      </c>
    </row>
    <row r="34" spans="1:13" s="205" customFormat="1" ht="41.25" customHeight="1">
      <c r="A34" s="708">
        <v>28</v>
      </c>
      <c r="B34" s="829">
        <v>7975316</v>
      </c>
      <c r="C34" s="681">
        <f>IF(B34&gt;=B33,B34-B33,0)*1.06</f>
        <v>1168.1200000000001</v>
      </c>
      <c r="D34" s="836">
        <v>320265</v>
      </c>
      <c r="E34" s="681">
        <f t="shared" si="2"/>
        <v>333.9</v>
      </c>
      <c r="F34" s="836">
        <v>569957</v>
      </c>
      <c r="G34" s="681">
        <f t="shared" si="6"/>
        <v>51</v>
      </c>
      <c r="H34" s="681">
        <f t="shared" si="4"/>
        <v>295.66845000000001</v>
      </c>
      <c r="I34" s="681">
        <f>C34*J1</f>
        <v>4555.6680000000006</v>
      </c>
      <c r="J34" s="681">
        <f>G34*J1</f>
        <v>198.9</v>
      </c>
      <c r="K34" s="740">
        <f t="shared" si="3"/>
        <v>1502.02</v>
      </c>
    </row>
    <row r="35" spans="1:13" s="205" customFormat="1" ht="41.25" customHeight="1">
      <c r="A35" s="707">
        <v>29</v>
      </c>
      <c r="B35" s="829">
        <v>7976039</v>
      </c>
      <c r="C35" s="681">
        <f>IF(B35&gt;=B34,B35-B34,0)*1.06</f>
        <v>766.38</v>
      </c>
      <c r="D35" s="836">
        <v>320599</v>
      </c>
      <c r="E35" s="681">
        <f t="shared" si="2"/>
        <v>233.79999999999998</v>
      </c>
      <c r="F35" s="836">
        <v>570106</v>
      </c>
      <c r="G35" s="681">
        <f t="shared" si="6"/>
        <v>149</v>
      </c>
      <c r="H35" s="681">
        <f t="shared" si="4"/>
        <v>207.02990000000003</v>
      </c>
      <c r="I35" s="681">
        <f>C35*J1</f>
        <v>2988.8820000000001</v>
      </c>
      <c r="J35" s="681">
        <f>G35*J1</f>
        <v>581.1</v>
      </c>
      <c r="K35" s="740">
        <f t="shared" si="3"/>
        <v>1000.18</v>
      </c>
    </row>
    <row r="36" spans="1:13" s="205" customFormat="1" ht="41.25" customHeight="1">
      <c r="A36" s="708">
        <v>30</v>
      </c>
      <c r="B36" s="829">
        <v>7976609</v>
      </c>
      <c r="C36" s="681">
        <f>IF(B36&gt;=B35,B36-B35,0)*1.06</f>
        <v>604.20000000000005</v>
      </c>
      <c r="D36" s="836">
        <v>320982</v>
      </c>
      <c r="E36" s="681">
        <f t="shared" si="2"/>
        <v>268.09999999999997</v>
      </c>
      <c r="F36" s="836">
        <v>570179</v>
      </c>
      <c r="G36" s="681">
        <f t="shared" si="6"/>
        <v>73</v>
      </c>
      <c r="H36" s="681">
        <f t="shared" si="4"/>
        <v>237.40254999999999</v>
      </c>
      <c r="I36" s="681">
        <f>C36*J1</f>
        <v>2356.38</v>
      </c>
      <c r="J36" s="681">
        <f>G36*J1</f>
        <v>284.7</v>
      </c>
      <c r="K36" s="740">
        <f t="shared" si="3"/>
        <v>872.3</v>
      </c>
    </row>
    <row r="37" spans="1:13" s="205" customFormat="1" ht="41.25" customHeight="1" thickBot="1">
      <c r="A37" s="708">
        <v>31</v>
      </c>
      <c r="B37" s="829">
        <v>7978015</v>
      </c>
      <c r="C37" s="681">
        <f>IF(B37&gt;=B36,B37-B36,0)*1.06</f>
        <v>1490.3600000000001</v>
      </c>
      <c r="D37" s="836">
        <v>321271</v>
      </c>
      <c r="E37" s="681">
        <f t="shared" si="2"/>
        <v>202.29999999999998</v>
      </c>
      <c r="F37" s="836">
        <v>570220</v>
      </c>
      <c r="G37" s="681">
        <f t="shared" si="6"/>
        <v>41</v>
      </c>
      <c r="H37" s="681">
        <f t="shared" si="4"/>
        <v>179.13665</v>
      </c>
      <c r="I37" s="681">
        <f>C37*J1</f>
        <v>5812.4040000000005</v>
      </c>
      <c r="J37" s="681">
        <f>G37*J1</f>
        <v>159.9</v>
      </c>
      <c r="K37" s="740">
        <f t="shared" si="3"/>
        <v>1692.66</v>
      </c>
    </row>
    <row r="38" spans="1:13" s="205" customFormat="1" ht="41.25" customHeight="1">
      <c r="A38" s="709" t="s">
        <v>111</v>
      </c>
      <c r="B38" s="735"/>
      <c r="C38" s="736">
        <f>SUM(C7:C37)</f>
        <v>31048.460000000006</v>
      </c>
      <c r="D38" s="735"/>
      <c r="E38" s="736">
        <f>SUM(E7:E37)</f>
        <v>8155</v>
      </c>
      <c r="F38" s="735"/>
      <c r="G38" s="736">
        <f>SUM(G7:G37)</f>
        <v>2191</v>
      </c>
      <c r="H38" s="737">
        <f>SUM(H6:H37)</f>
        <v>7221.2525000000005</v>
      </c>
      <c r="I38" s="737">
        <f>SUM(I6:I37)</f>
        <v>117128.62199999999</v>
      </c>
      <c r="J38" s="737">
        <f>SUM(J6:J37)</f>
        <v>8544.9</v>
      </c>
      <c r="K38" s="800">
        <f>SUM(K6:K37)</f>
        <v>37663.360000000008</v>
      </c>
    </row>
    <row r="39" spans="1:13" s="205" customFormat="1" ht="41.25" customHeight="1" thickBot="1">
      <c r="A39" s="710" t="s">
        <v>135</v>
      </c>
      <c r="B39" s="738"/>
      <c r="C39" s="739">
        <f>C38/A42</f>
        <v>1034.9486666666669</v>
      </c>
      <c r="D39" s="738"/>
      <c r="E39" s="739">
        <f>E38/A42</f>
        <v>271.83333333333331</v>
      </c>
      <c r="F39" s="738"/>
      <c r="G39" s="739">
        <f>G38/A42</f>
        <v>73.033333333333331</v>
      </c>
      <c r="H39" s="739">
        <f>H38/A42</f>
        <v>240.70841666666669</v>
      </c>
      <c r="I39" s="739">
        <f>I38/A42</f>
        <v>3904.2873999999997</v>
      </c>
      <c r="J39" s="739">
        <f>J38/A42</f>
        <v>284.83</v>
      </c>
    </row>
    <row r="40" spans="1:13" s="205" customFormat="1" ht="28.5" customHeight="1">
      <c r="A40" s="711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121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6" activePane="bottomRight" state="frozen"/>
      <selection pane="topRight" activeCell="G39" sqref="G39"/>
      <selection pane="bottomLeft" activeCell="G39" sqref="G39"/>
      <selection pane="bottomRight" activeCell="I7" sqref="I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28" customFormat="1" ht="25.5" customHeight="1" thickBot="1">
      <c r="A1" s="904" t="str">
        <f>Elect!A1</f>
        <v>January</v>
      </c>
      <c r="B1" s="622"/>
      <c r="C1" s="623"/>
      <c r="D1" s="895"/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624"/>
      <c r="P1" s="906"/>
      <c r="Q1" s="906"/>
      <c r="R1" s="906"/>
      <c r="S1" s="2"/>
      <c r="T1" s="625" t="s">
        <v>136</v>
      </c>
      <c r="U1" s="600"/>
      <c r="V1" s="598">
        <v>4</v>
      </c>
      <c r="W1" s="596" t="s">
        <v>137</v>
      </c>
      <c r="X1" s="626"/>
      <c r="Y1" s="627"/>
      <c r="Z1" s="600"/>
    </row>
    <row r="2" spans="1:26" ht="39.75" customHeight="1" thickBot="1">
      <c r="A2" s="905"/>
      <c r="B2" s="629"/>
      <c r="C2" s="623"/>
      <c r="O2" s="624"/>
      <c r="P2" s="907"/>
      <c r="Q2" s="907"/>
      <c r="R2" s="907"/>
    </row>
    <row r="3" spans="1:26" s="3" customFormat="1" ht="42" customHeight="1" thickBot="1">
      <c r="A3" s="896" t="s">
        <v>1</v>
      </c>
      <c r="B3" s="630"/>
      <c r="C3" s="631"/>
      <c r="D3" s="631"/>
      <c r="E3" s="632" t="s">
        <v>138</v>
      </c>
      <c r="F3" s="631"/>
      <c r="G3" s="631"/>
      <c r="H3" s="633"/>
      <c r="I3" s="926" t="s">
        <v>139</v>
      </c>
      <c r="J3" s="927"/>
      <c r="K3" s="927"/>
      <c r="L3" s="927"/>
      <c r="M3" s="928"/>
      <c r="N3" s="918" t="s">
        <v>140</v>
      </c>
      <c r="O3" s="919"/>
      <c r="P3" s="899" t="s">
        <v>141</v>
      </c>
      <c r="Q3" s="899"/>
      <c r="R3" s="899" t="s">
        <v>142</v>
      </c>
      <c r="S3" s="899"/>
      <c r="T3" s="914" t="s">
        <v>143</v>
      </c>
      <c r="U3" s="910" t="s">
        <v>144</v>
      </c>
      <c r="V3" s="910" t="s">
        <v>145</v>
      </c>
      <c r="W3" s="910" t="s">
        <v>146</v>
      </c>
      <c r="X3" s="911" t="s">
        <v>147</v>
      </c>
      <c r="Y3" s="634" t="s">
        <v>67</v>
      </c>
      <c r="Z3" s="635" t="s">
        <v>67</v>
      </c>
    </row>
    <row r="4" spans="1:26" s="3" customFormat="1" ht="45" customHeight="1" thickBot="1">
      <c r="A4" s="897"/>
      <c r="B4" s="920" t="s">
        <v>148</v>
      </c>
      <c r="C4" s="921"/>
      <c r="D4" s="922" t="s">
        <v>149</v>
      </c>
      <c r="E4" s="923"/>
      <c r="F4" s="922" t="s">
        <v>150</v>
      </c>
      <c r="G4" s="923"/>
      <c r="H4" s="902" t="s">
        <v>151</v>
      </c>
      <c r="I4" s="924" t="s">
        <v>152</v>
      </c>
      <c r="J4" s="925"/>
      <c r="K4" s="924" t="s">
        <v>153</v>
      </c>
      <c r="L4" s="925"/>
      <c r="M4" s="857"/>
      <c r="N4" s="902" t="s">
        <v>154</v>
      </c>
      <c r="O4" s="902" t="s">
        <v>155</v>
      </c>
      <c r="P4" s="900" t="s">
        <v>156</v>
      </c>
      <c r="Q4" s="900" t="s">
        <v>157</v>
      </c>
      <c r="R4" s="900" t="s">
        <v>156</v>
      </c>
      <c r="S4" s="900" t="s">
        <v>157</v>
      </c>
      <c r="T4" s="915"/>
      <c r="U4" s="900"/>
      <c r="V4" s="900"/>
      <c r="W4" s="900"/>
      <c r="X4" s="912"/>
      <c r="Y4" s="908" t="s">
        <v>108</v>
      </c>
      <c r="Z4" s="893" t="s">
        <v>109</v>
      </c>
    </row>
    <row r="5" spans="1:26" s="3" customFormat="1" ht="48.75" customHeight="1" thickBot="1">
      <c r="A5" s="898"/>
      <c r="B5" s="636" t="s">
        <v>158</v>
      </c>
      <c r="C5" s="856" t="s">
        <v>159</v>
      </c>
      <c r="D5" s="637" t="s">
        <v>158</v>
      </c>
      <c r="E5" s="856" t="s">
        <v>159</v>
      </c>
      <c r="F5" s="637" t="s">
        <v>158</v>
      </c>
      <c r="G5" s="856" t="s">
        <v>159</v>
      </c>
      <c r="H5" s="903"/>
      <c r="I5" s="791" t="s">
        <v>158</v>
      </c>
      <c r="J5" s="792"/>
      <c r="K5" s="791" t="s">
        <v>158</v>
      </c>
      <c r="L5" s="792"/>
      <c r="M5" s="790"/>
      <c r="N5" s="901"/>
      <c r="O5" s="901"/>
      <c r="P5" s="901"/>
      <c r="Q5" s="901"/>
      <c r="R5" s="901"/>
      <c r="S5" s="901"/>
      <c r="T5" s="916"/>
      <c r="U5" s="901"/>
      <c r="V5" s="901"/>
      <c r="W5" s="901"/>
      <c r="X5" s="913"/>
      <c r="Y5" s="909"/>
      <c r="Z5" s="894"/>
    </row>
    <row r="6" spans="1:26" s="3" customFormat="1" ht="36.75" customHeight="1">
      <c r="A6" s="638"/>
      <c r="B6" s="833">
        <v>74313</v>
      </c>
      <c r="C6" s="681">
        <f t="shared" ref="C6:C15" si="0">IF(B6&gt;=B5,B6-B5,0)*10*0.58</f>
        <v>0</v>
      </c>
      <c r="D6" s="836">
        <v>153842</v>
      </c>
      <c r="E6" s="681">
        <f>IF(D6&gt;=D5,D6-D5,0)*10*0.58</f>
        <v>0</v>
      </c>
      <c r="F6" s="832">
        <v>17286</v>
      </c>
      <c r="G6" s="681">
        <f>IF(F6&gt;=F5,F6-F5,0)*0.58</f>
        <v>0</v>
      </c>
      <c r="H6" s="773"/>
      <c r="I6" s="832">
        <v>210</v>
      </c>
      <c r="J6" s="789"/>
      <c r="K6" s="832">
        <v>2825</v>
      </c>
      <c r="L6" s="789"/>
      <c r="M6" s="789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639">
        <v>1</v>
      </c>
      <c r="B7" s="833">
        <v>74313</v>
      </c>
      <c r="C7" s="681">
        <f t="shared" si="0"/>
        <v>0</v>
      </c>
      <c r="D7" s="836">
        <v>153883</v>
      </c>
      <c r="E7" s="681">
        <f t="shared" ref="E7:E15" si="1">IF(D7&gt;=D6,D7-D6,0)*10*0.58</f>
        <v>237.79999999999998</v>
      </c>
      <c r="F7" s="832">
        <v>17299</v>
      </c>
      <c r="G7" s="681">
        <f t="shared" ref="G7:G14" si="2">IF(F7&gt;=F6,F7-F6,0)*0.58</f>
        <v>7.5399999999999991</v>
      </c>
      <c r="H7" s="681">
        <f>C7+E7+G7</f>
        <v>245.33999999999997</v>
      </c>
      <c r="I7" s="832"/>
      <c r="J7" s="681"/>
      <c r="K7" s="832"/>
      <c r="L7" s="681"/>
      <c r="M7" s="681"/>
      <c r="N7" s="109"/>
      <c r="O7" s="539">
        <f>IF(N7&gt;=N6,N7-N6,0)</f>
        <v>0</v>
      </c>
      <c r="P7" s="109"/>
      <c r="Q7" s="436">
        <f>(H7-O7)*0.58</f>
        <v>142.29719999999998</v>
      </c>
      <c r="R7" s="109"/>
      <c r="S7" s="436">
        <f>IF(R7-R6&gt;0,R7-R6,0)</f>
        <v>0</v>
      </c>
      <c r="T7" s="771">
        <f>Elect!BM6</f>
        <v>73</v>
      </c>
      <c r="U7" s="647">
        <f>H7/T7</f>
        <v>3.3608219178082188</v>
      </c>
      <c r="V7" s="771">
        <f>Elect!BO6</f>
        <v>0</v>
      </c>
      <c r="W7" s="647" t="e">
        <f>H7/V7</f>
        <v>#DIV/0!</v>
      </c>
      <c r="X7" s="429">
        <f>H7*V1</f>
        <v>981.3599999999999</v>
      </c>
      <c r="Y7" s="647">
        <f>IF(X7&gt;0,X7/T7,0)</f>
        <v>13.443287671232875</v>
      </c>
      <c r="Z7" s="650">
        <v>0</v>
      </c>
    </row>
    <row r="8" spans="1:26" s="3" customFormat="1" ht="36.75" customHeight="1">
      <c r="A8" s="638">
        <v>2</v>
      </c>
      <c r="B8" s="833">
        <v>74313</v>
      </c>
      <c r="C8" s="681">
        <f t="shared" si="0"/>
        <v>0</v>
      </c>
      <c r="D8" s="836">
        <v>153909</v>
      </c>
      <c r="E8" s="681">
        <f t="shared" si="1"/>
        <v>150.79999999999998</v>
      </c>
      <c r="F8" s="832">
        <v>17320</v>
      </c>
      <c r="G8" s="681">
        <f t="shared" si="2"/>
        <v>12.18</v>
      </c>
      <c r="H8" s="681">
        <f t="shared" ref="H8:H37" si="3">C8+E8+G8</f>
        <v>162.97999999999999</v>
      </c>
      <c r="I8" s="832"/>
      <c r="J8" s="681"/>
      <c r="K8" s="832"/>
      <c r="L8" s="681"/>
      <c r="M8" s="681"/>
      <c r="N8" s="109"/>
      <c r="O8" s="539">
        <f t="shared" ref="O8:O37" si="4">IF(N8&gt;=N7,N8-N7,0)</f>
        <v>0</v>
      </c>
      <c r="P8" s="109"/>
      <c r="Q8" s="436">
        <f t="shared" ref="Q8:Q37" si="5">(H8-O8)*0.58</f>
        <v>94.528399999999991</v>
      </c>
      <c r="R8" s="109"/>
      <c r="S8" s="436">
        <f t="shared" ref="S8:S37" si="6">IF(R8-R7&gt;0,R8-R7,0)</f>
        <v>0</v>
      </c>
      <c r="T8" s="771">
        <f>Elect!BM7</f>
        <v>54</v>
      </c>
      <c r="U8" s="647">
        <f t="shared" ref="U8:U37" si="7">H8/T8</f>
        <v>3.018148148148148</v>
      </c>
      <c r="V8" s="771">
        <f>Elect!BO7</f>
        <v>0</v>
      </c>
      <c r="W8" s="647" t="e">
        <f t="shared" ref="W8:W37" si="8">H8/V8</f>
        <v>#DIV/0!</v>
      </c>
      <c r="X8" s="429">
        <f>H8*V1</f>
        <v>651.91999999999996</v>
      </c>
      <c r="Y8" s="647">
        <f>IF(X8&gt;0,X8/T8,0)</f>
        <v>12.072592592592592</v>
      </c>
      <c r="Z8" s="650" t="e">
        <f>IF(X8&gt;0,X8/V8,0)</f>
        <v>#DIV/0!</v>
      </c>
    </row>
    <row r="9" spans="1:26" s="3" customFormat="1" ht="36.75" customHeight="1">
      <c r="A9" s="639">
        <v>3</v>
      </c>
      <c r="B9" s="833">
        <v>74314</v>
      </c>
      <c r="C9" s="681">
        <f>IF(B9&gt;=B8,B9-B8,0)*10*0.58</f>
        <v>5.8</v>
      </c>
      <c r="D9" s="836">
        <v>153941</v>
      </c>
      <c r="E9" s="681">
        <f t="shared" si="1"/>
        <v>185.6</v>
      </c>
      <c r="F9" s="832">
        <v>17338</v>
      </c>
      <c r="G9" s="681">
        <f t="shared" si="2"/>
        <v>10.44</v>
      </c>
      <c r="H9" s="681">
        <f t="shared" si="3"/>
        <v>201.84</v>
      </c>
      <c r="I9" s="832"/>
      <c r="J9" s="681"/>
      <c r="K9" s="832"/>
      <c r="L9" s="681"/>
      <c r="M9" s="681"/>
      <c r="N9" s="109"/>
      <c r="O9" s="539">
        <f t="shared" si="4"/>
        <v>0</v>
      </c>
      <c r="P9" s="109"/>
      <c r="Q9" s="436">
        <f t="shared" si="5"/>
        <v>117.0672</v>
      </c>
      <c r="R9" s="109"/>
      <c r="S9" s="436">
        <f t="shared" si="6"/>
        <v>0</v>
      </c>
      <c r="T9" s="771">
        <f>Elect!BM8</f>
        <v>43</v>
      </c>
      <c r="U9" s="647">
        <f t="shared" si="7"/>
        <v>4.6939534883720935</v>
      </c>
      <c r="V9" s="771">
        <f>Elect!BO8</f>
        <v>0</v>
      </c>
      <c r="W9" s="647" t="e">
        <f t="shared" si="8"/>
        <v>#DIV/0!</v>
      </c>
      <c r="X9" s="429">
        <f>H9*V1</f>
        <v>807.36</v>
      </c>
      <c r="Y9" s="647">
        <f t="shared" ref="Y9:Y37" si="9">IF(X9&gt;0,X9/T9,0)</f>
        <v>18.775813953488374</v>
      </c>
      <c r="Z9" s="650" t="e">
        <f t="shared" ref="Z9:Z30" si="10">IF(X9&gt;0,X9/V9,0)</f>
        <v>#DIV/0!</v>
      </c>
    </row>
    <row r="10" spans="1:26" s="3" customFormat="1" ht="36.75" customHeight="1">
      <c r="A10" s="638">
        <v>4</v>
      </c>
      <c r="B10" s="833">
        <v>74314</v>
      </c>
      <c r="C10" s="681">
        <f t="shared" si="0"/>
        <v>0</v>
      </c>
      <c r="D10" s="836">
        <v>153971</v>
      </c>
      <c r="E10" s="681">
        <f t="shared" si="1"/>
        <v>174</v>
      </c>
      <c r="F10" s="832">
        <v>17346</v>
      </c>
      <c r="G10" s="681">
        <f t="shared" si="2"/>
        <v>4.6399999999999997</v>
      </c>
      <c r="H10" s="681">
        <f t="shared" si="3"/>
        <v>178.64</v>
      </c>
      <c r="I10" s="832"/>
      <c r="J10" s="681"/>
      <c r="K10" s="832"/>
      <c r="L10" s="681"/>
      <c r="M10" s="681"/>
      <c r="N10" s="109"/>
      <c r="O10" s="539">
        <f t="shared" si="4"/>
        <v>0</v>
      </c>
      <c r="P10" s="109"/>
      <c r="Q10" s="436">
        <f t="shared" si="5"/>
        <v>103.61119999999998</v>
      </c>
      <c r="R10" s="109"/>
      <c r="S10" s="436">
        <f t="shared" si="6"/>
        <v>0</v>
      </c>
      <c r="T10" s="771">
        <f>Elect!BM9</f>
        <v>50</v>
      </c>
      <c r="U10" s="647">
        <f t="shared" si="7"/>
        <v>3.5727999999999995</v>
      </c>
      <c r="V10" s="771">
        <f>Elect!BO9</f>
        <v>0</v>
      </c>
      <c r="W10" s="647" t="e">
        <f t="shared" si="8"/>
        <v>#DIV/0!</v>
      </c>
      <c r="X10" s="429">
        <f>H10*V1</f>
        <v>714.56</v>
      </c>
      <c r="Y10" s="647">
        <f t="shared" si="9"/>
        <v>14.291199999999998</v>
      </c>
      <c r="Z10" s="650" t="e">
        <f t="shared" si="10"/>
        <v>#DIV/0!</v>
      </c>
    </row>
    <row r="11" spans="1:26" s="3" customFormat="1" ht="36.75" customHeight="1">
      <c r="A11" s="639">
        <v>5</v>
      </c>
      <c r="B11" s="833">
        <v>74314</v>
      </c>
      <c r="C11" s="681">
        <f>IF(B11&gt;=B10,B11-B10,0)*10*0.58</f>
        <v>0</v>
      </c>
      <c r="D11" s="836">
        <v>154011</v>
      </c>
      <c r="E11" s="681">
        <f t="shared" si="1"/>
        <v>231.99999999999997</v>
      </c>
      <c r="F11" s="832">
        <v>17361</v>
      </c>
      <c r="G11" s="681">
        <f t="shared" si="2"/>
        <v>8.6999999999999993</v>
      </c>
      <c r="H11" s="681">
        <f>C11+E11+G11</f>
        <v>240.69999999999996</v>
      </c>
      <c r="I11" s="832"/>
      <c r="J11" s="681"/>
      <c r="K11" s="832"/>
      <c r="L11" s="681"/>
      <c r="M11" s="681"/>
      <c r="N11" s="109"/>
      <c r="O11" s="539">
        <f t="shared" si="4"/>
        <v>0</v>
      </c>
      <c r="P11" s="109"/>
      <c r="Q11" s="436">
        <f t="shared" si="5"/>
        <v>139.60599999999997</v>
      </c>
      <c r="R11" s="109"/>
      <c r="S11" s="436">
        <f t="shared" si="6"/>
        <v>0</v>
      </c>
      <c r="T11" s="771">
        <f>Elect!BM10</f>
        <v>53</v>
      </c>
      <c r="U11" s="647">
        <f t="shared" si="7"/>
        <v>4.541509433962263</v>
      </c>
      <c r="V11" s="771">
        <f>Elect!BO10</f>
        <v>0</v>
      </c>
      <c r="W11" s="647" t="e">
        <f t="shared" si="8"/>
        <v>#DIV/0!</v>
      </c>
      <c r="X11" s="429">
        <f>H11*V1</f>
        <v>962.79999999999984</v>
      </c>
      <c r="Y11" s="647">
        <f t="shared" si="9"/>
        <v>18.166037735849052</v>
      </c>
      <c r="Z11" s="650" t="e">
        <f t="shared" si="10"/>
        <v>#DIV/0!</v>
      </c>
    </row>
    <row r="12" spans="1:26" s="3" customFormat="1" ht="36.75" customHeight="1">
      <c r="A12" s="638">
        <v>6</v>
      </c>
      <c r="B12" s="833">
        <v>74315</v>
      </c>
      <c r="C12" s="681">
        <f>IF(B12&gt;=B11,B12-B11,0)*10*0.58</f>
        <v>5.8</v>
      </c>
      <c r="D12" s="836">
        <v>154038</v>
      </c>
      <c r="E12" s="681">
        <f t="shared" si="1"/>
        <v>156.6</v>
      </c>
      <c r="F12" s="832">
        <v>17373</v>
      </c>
      <c r="G12" s="681">
        <f t="shared" si="2"/>
        <v>6.9599999999999991</v>
      </c>
      <c r="H12" s="681">
        <f t="shared" si="3"/>
        <v>169.36</v>
      </c>
      <c r="I12" s="832"/>
      <c r="J12" s="681"/>
      <c r="K12" s="832"/>
      <c r="L12" s="681"/>
      <c r="M12" s="681"/>
      <c r="N12" s="109"/>
      <c r="O12" s="539">
        <f t="shared" si="4"/>
        <v>0</v>
      </c>
      <c r="P12" s="109"/>
      <c r="Q12" s="436">
        <f t="shared" si="5"/>
        <v>98.228800000000007</v>
      </c>
      <c r="R12" s="109"/>
      <c r="S12" s="436">
        <f t="shared" si="6"/>
        <v>0</v>
      </c>
      <c r="T12" s="771">
        <f>Elect!BM11</f>
        <v>50</v>
      </c>
      <c r="U12" s="647">
        <f t="shared" si="7"/>
        <v>3.3872000000000004</v>
      </c>
      <c r="V12" s="771">
        <f>Elect!BO11</f>
        <v>0</v>
      </c>
      <c r="W12" s="647" t="e">
        <f t="shared" si="8"/>
        <v>#DIV/0!</v>
      </c>
      <c r="X12" s="429">
        <f>H12*V1</f>
        <v>677.44</v>
      </c>
      <c r="Y12" s="647">
        <f t="shared" si="9"/>
        <v>13.548800000000002</v>
      </c>
      <c r="Z12" s="650" t="e">
        <f t="shared" si="10"/>
        <v>#DIV/0!</v>
      </c>
    </row>
    <row r="13" spans="1:26" s="3" customFormat="1" ht="36.75" customHeight="1">
      <c r="A13" s="639">
        <v>7</v>
      </c>
      <c r="B13" s="833">
        <v>74315</v>
      </c>
      <c r="C13" s="681">
        <f>IF(B13&gt;=B12,B13-B12,0)*10*0.58</f>
        <v>0</v>
      </c>
      <c r="D13" s="836">
        <v>154078</v>
      </c>
      <c r="E13" s="681">
        <f t="shared" si="1"/>
        <v>231.99999999999997</v>
      </c>
      <c r="F13" s="832">
        <v>17385</v>
      </c>
      <c r="G13" s="681">
        <f t="shared" si="2"/>
        <v>6.9599999999999991</v>
      </c>
      <c r="H13" s="681">
        <f>C13+E13+G13</f>
        <v>238.95999999999998</v>
      </c>
      <c r="I13" s="832"/>
      <c r="J13" s="681"/>
      <c r="K13" s="832"/>
      <c r="L13" s="681"/>
      <c r="M13" s="681"/>
      <c r="N13" s="109"/>
      <c r="O13" s="539">
        <f t="shared" si="4"/>
        <v>0</v>
      </c>
      <c r="P13" s="109"/>
      <c r="Q13" s="436">
        <f t="shared" si="5"/>
        <v>138.59679999999997</v>
      </c>
      <c r="R13" s="109"/>
      <c r="S13" s="436">
        <f t="shared" si="6"/>
        <v>0</v>
      </c>
      <c r="T13" s="771">
        <f>Elect!BM12</f>
        <v>62</v>
      </c>
      <c r="U13" s="647">
        <f t="shared" si="7"/>
        <v>3.8541935483870966</v>
      </c>
      <c r="V13" s="771">
        <f>Elect!BO12</f>
        <v>0</v>
      </c>
      <c r="W13" s="647" t="e">
        <f t="shared" si="8"/>
        <v>#DIV/0!</v>
      </c>
      <c r="X13" s="429">
        <f>H13*V1</f>
        <v>955.83999999999992</v>
      </c>
      <c r="Y13" s="647">
        <f t="shared" si="9"/>
        <v>15.416774193548386</v>
      </c>
      <c r="Z13" s="650" t="e">
        <f t="shared" si="10"/>
        <v>#DIV/0!</v>
      </c>
    </row>
    <row r="14" spans="1:26" s="3" customFormat="1" ht="36.75" customHeight="1">
      <c r="A14" s="638">
        <v>8</v>
      </c>
      <c r="B14" s="833">
        <v>74315</v>
      </c>
      <c r="C14" s="681">
        <f t="shared" si="0"/>
        <v>0</v>
      </c>
      <c r="D14" s="836">
        <v>154110</v>
      </c>
      <c r="E14" s="681">
        <f t="shared" si="1"/>
        <v>185.6</v>
      </c>
      <c r="F14" s="832">
        <v>17396</v>
      </c>
      <c r="G14" s="681">
        <f t="shared" si="2"/>
        <v>6.38</v>
      </c>
      <c r="H14" s="681">
        <f t="shared" si="3"/>
        <v>191.98</v>
      </c>
      <c r="I14" s="832"/>
      <c r="J14" s="681"/>
      <c r="K14" s="832"/>
      <c r="L14" s="681"/>
      <c r="M14" s="681"/>
      <c r="N14" s="109"/>
      <c r="O14" s="539">
        <f t="shared" si="4"/>
        <v>0</v>
      </c>
      <c r="P14" s="109"/>
      <c r="Q14" s="436">
        <f t="shared" si="5"/>
        <v>111.34839999999998</v>
      </c>
      <c r="R14" s="109"/>
      <c r="S14" s="436">
        <f t="shared" si="6"/>
        <v>0</v>
      </c>
      <c r="T14" s="771">
        <f>Elect!BM13</f>
        <v>61</v>
      </c>
      <c r="U14" s="647">
        <f t="shared" si="7"/>
        <v>3.147213114754098</v>
      </c>
      <c r="V14" s="771">
        <f>Elect!BO13</f>
        <v>0</v>
      </c>
      <c r="W14" s="647" t="e">
        <f t="shared" si="8"/>
        <v>#DIV/0!</v>
      </c>
      <c r="X14" s="429">
        <f>H14*V1</f>
        <v>767.92</v>
      </c>
      <c r="Y14" s="647">
        <f t="shared" si="9"/>
        <v>12.588852459016392</v>
      </c>
      <c r="Z14" s="650" t="e">
        <f t="shared" si="10"/>
        <v>#DIV/0!</v>
      </c>
    </row>
    <row r="15" spans="1:26" s="3" customFormat="1" ht="36.75" customHeight="1">
      <c r="A15" s="639">
        <v>9</v>
      </c>
      <c r="B15" s="833">
        <v>74315</v>
      </c>
      <c r="C15" s="681">
        <f t="shared" si="0"/>
        <v>0</v>
      </c>
      <c r="D15" s="836">
        <v>154163</v>
      </c>
      <c r="E15" s="681">
        <f t="shared" si="1"/>
        <v>307.39999999999998</v>
      </c>
      <c r="F15" s="832">
        <v>17414</v>
      </c>
      <c r="G15" s="681">
        <f t="shared" ref="G15:G37" si="11">IF(F15&gt;=F14,F15-F14,0)*0.58</f>
        <v>10.44</v>
      </c>
      <c r="H15" s="681">
        <f t="shared" si="3"/>
        <v>317.83999999999997</v>
      </c>
      <c r="I15" s="832"/>
      <c r="J15" s="681"/>
      <c r="K15" s="832"/>
      <c r="L15" s="681"/>
      <c r="M15" s="681"/>
      <c r="N15" s="109"/>
      <c r="O15" s="539">
        <f t="shared" si="4"/>
        <v>0</v>
      </c>
      <c r="P15" s="109"/>
      <c r="Q15" s="436">
        <f t="shared" si="5"/>
        <v>184.34719999999999</v>
      </c>
      <c r="R15" s="109"/>
      <c r="S15" s="436">
        <f t="shared" si="6"/>
        <v>0</v>
      </c>
      <c r="T15" s="771">
        <f>Elect!BM14</f>
        <v>59</v>
      </c>
      <c r="U15" s="647">
        <f t="shared" si="7"/>
        <v>5.3871186440677965</v>
      </c>
      <c r="V15" s="771">
        <f>Elect!BO14</f>
        <v>0</v>
      </c>
      <c r="W15" s="647" t="e">
        <f t="shared" si="8"/>
        <v>#DIV/0!</v>
      </c>
      <c r="X15" s="429">
        <f>H15*V1</f>
        <v>1271.3599999999999</v>
      </c>
      <c r="Y15" s="647">
        <f t="shared" si="9"/>
        <v>21.548474576271186</v>
      </c>
      <c r="Z15" s="650" t="e">
        <f t="shared" si="10"/>
        <v>#DIV/0!</v>
      </c>
    </row>
    <row r="16" spans="1:26" s="3" customFormat="1" ht="36.75" customHeight="1">
      <c r="A16" s="638">
        <v>10</v>
      </c>
      <c r="B16" s="833">
        <v>74316</v>
      </c>
      <c r="C16" s="681">
        <f t="shared" ref="C16:C35" si="12">IF(B16&gt;=B15,B16-B15,0)*10*0.58</f>
        <v>5.8</v>
      </c>
      <c r="D16" s="836">
        <v>154216</v>
      </c>
      <c r="E16" s="681">
        <f t="shared" ref="E16:E28" si="13">IF(D16&gt;=D15,D16-D15,0)*10*0.58</f>
        <v>307.39999999999998</v>
      </c>
      <c r="F16" s="832">
        <v>17428</v>
      </c>
      <c r="G16" s="681">
        <f t="shared" si="11"/>
        <v>8.1199999999999992</v>
      </c>
      <c r="H16" s="681">
        <f t="shared" si="3"/>
        <v>321.32</v>
      </c>
      <c r="I16" s="832"/>
      <c r="J16" s="681"/>
      <c r="K16" s="832"/>
      <c r="L16" s="681"/>
      <c r="M16" s="681"/>
      <c r="N16" s="109"/>
      <c r="O16" s="539">
        <f t="shared" si="4"/>
        <v>0</v>
      </c>
      <c r="P16" s="109"/>
      <c r="Q16" s="436">
        <f t="shared" si="5"/>
        <v>186.36559999999997</v>
      </c>
      <c r="R16" s="109"/>
      <c r="S16" s="436">
        <f t="shared" si="6"/>
        <v>0</v>
      </c>
      <c r="T16" s="771">
        <f>Elect!BM15</f>
        <v>82</v>
      </c>
      <c r="U16" s="647">
        <f t="shared" si="7"/>
        <v>3.9185365853658536</v>
      </c>
      <c r="V16" s="771">
        <f>Elect!BO15</f>
        <v>0</v>
      </c>
      <c r="W16" s="647" t="e">
        <f t="shared" si="8"/>
        <v>#DIV/0!</v>
      </c>
      <c r="X16" s="429">
        <f>H16*V1</f>
        <v>1285.28</v>
      </c>
      <c r="Y16" s="647">
        <f t="shared" si="9"/>
        <v>15.674146341463414</v>
      </c>
      <c r="Z16" s="650" t="e">
        <f t="shared" si="10"/>
        <v>#DIV/0!</v>
      </c>
    </row>
    <row r="17" spans="1:26" s="3" customFormat="1" ht="36.75" customHeight="1">
      <c r="A17" s="639">
        <v>11</v>
      </c>
      <c r="B17" s="833">
        <v>74316</v>
      </c>
      <c r="C17" s="681">
        <f t="shared" si="12"/>
        <v>0</v>
      </c>
      <c r="D17" s="836">
        <v>154265</v>
      </c>
      <c r="E17" s="681">
        <f t="shared" si="13"/>
        <v>284.2</v>
      </c>
      <c r="F17" s="832">
        <v>17439</v>
      </c>
      <c r="G17" s="681">
        <f t="shared" si="11"/>
        <v>6.38</v>
      </c>
      <c r="H17" s="681">
        <f t="shared" si="3"/>
        <v>290.58</v>
      </c>
      <c r="I17" s="832"/>
      <c r="J17" s="681"/>
      <c r="K17" s="832"/>
      <c r="L17" s="681"/>
      <c r="M17" s="681"/>
      <c r="N17" s="109"/>
      <c r="O17" s="539">
        <f t="shared" si="4"/>
        <v>0</v>
      </c>
      <c r="P17" s="109"/>
      <c r="Q17" s="436">
        <f t="shared" si="5"/>
        <v>168.53639999999999</v>
      </c>
      <c r="R17" s="109"/>
      <c r="S17" s="436">
        <f t="shared" si="6"/>
        <v>0</v>
      </c>
      <c r="T17" s="771">
        <f>Elect!BM16</f>
        <v>35</v>
      </c>
      <c r="U17" s="647">
        <f t="shared" si="7"/>
        <v>8.3022857142857145</v>
      </c>
      <c r="V17" s="771">
        <f>Elect!BO16</f>
        <v>0</v>
      </c>
      <c r="W17" s="647" t="e">
        <f t="shared" si="8"/>
        <v>#DIV/0!</v>
      </c>
      <c r="X17" s="429">
        <f>H17*V1</f>
        <v>1162.32</v>
      </c>
      <c r="Y17" s="647">
        <f t="shared" si="9"/>
        <v>33.209142857142858</v>
      </c>
      <c r="Z17" s="650" t="e">
        <f t="shared" si="10"/>
        <v>#DIV/0!</v>
      </c>
    </row>
    <row r="18" spans="1:26" s="3" customFormat="1" ht="36.75" customHeight="1">
      <c r="A18" s="638">
        <v>12</v>
      </c>
      <c r="B18" s="833">
        <v>74316</v>
      </c>
      <c r="C18" s="681">
        <f t="shared" si="12"/>
        <v>0</v>
      </c>
      <c r="D18" s="836">
        <v>154306</v>
      </c>
      <c r="E18" s="681">
        <f t="shared" si="13"/>
        <v>237.79999999999998</v>
      </c>
      <c r="F18" s="832">
        <v>17451</v>
      </c>
      <c r="G18" s="681">
        <f t="shared" si="11"/>
        <v>6.9599999999999991</v>
      </c>
      <c r="H18" s="681">
        <f t="shared" si="3"/>
        <v>244.76</v>
      </c>
      <c r="I18" s="832"/>
      <c r="J18" s="681"/>
      <c r="K18" s="832"/>
      <c r="L18" s="681"/>
      <c r="M18" s="681"/>
      <c r="N18" s="109"/>
      <c r="O18" s="539">
        <f t="shared" si="4"/>
        <v>0</v>
      </c>
      <c r="P18" s="109"/>
      <c r="Q18" s="436">
        <f t="shared" si="5"/>
        <v>141.96079999999998</v>
      </c>
      <c r="R18" s="109"/>
      <c r="S18" s="436">
        <f t="shared" si="6"/>
        <v>0</v>
      </c>
      <c r="T18" s="771">
        <f>Elect!BM17</f>
        <v>36</v>
      </c>
      <c r="U18" s="647">
        <f t="shared" si="7"/>
        <v>6.7988888888888885</v>
      </c>
      <c r="V18" s="771">
        <f>Elect!BO17</f>
        <v>0</v>
      </c>
      <c r="W18" s="647" t="e">
        <f t="shared" si="8"/>
        <v>#DIV/0!</v>
      </c>
      <c r="X18" s="429">
        <f>H18*V1</f>
        <v>979.04</v>
      </c>
      <c r="Y18" s="647">
        <f t="shared" si="9"/>
        <v>27.195555555555554</v>
      </c>
      <c r="Z18" s="650" t="e">
        <f t="shared" si="10"/>
        <v>#DIV/0!</v>
      </c>
    </row>
    <row r="19" spans="1:26" s="3" customFormat="1" ht="36.75" customHeight="1">
      <c r="A19" s="639">
        <v>13</v>
      </c>
      <c r="B19" s="833">
        <v>74317</v>
      </c>
      <c r="C19" s="681">
        <f t="shared" si="12"/>
        <v>5.8</v>
      </c>
      <c r="D19" s="836">
        <v>154343</v>
      </c>
      <c r="E19" s="681">
        <f t="shared" si="13"/>
        <v>214.6</v>
      </c>
      <c r="F19" s="832">
        <v>17463</v>
      </c>
      <c r="G19" s="681">
        <f t="shared" si="11"/>
        <v>6.9599999999999991</v>
      </c>
      <c r="H19" s="681">
        <f t="shared" si="3"/>
        <v>227.36</v>
      </c>
      <c r="I19" s="832"/>
      <c r="J19" s="681"/>
      <c r="K19" s="832"/>
      <c r="L19" s="681"/>
      <c r="M19" s="681"/>
      <c r="N19" s="109"/>
      <c r="O19" s="539">
        <f t="shared" si="4"/>
        <v>0</v>
      </c>
      <c r="P19" s="109"/>
      <c r="Q19" s="436">
        <f t="shared" si="5"/>
        <v>131.86879999999999</v>
      </c>
      <c r="R19" s="109"/>
      <c r="S19" s="436">
        <f t="shared" si="6"/>
        <v>0</v>
      </c>
      <c r="T19" s="771">
        <f>Elect!BM18</f>
        <v>30</v>
      </c>
      <c r="U19" s="647">
        <f t="shared" si="7"/>
        <v>7.5786666666666669</v>
      </c>
      <c r="V19" s="771">
        <f>Elect!BO18</f>
        <v>0</v>
      </c>
      <c r="W19" s="647" t="e">
        <f t="shared" si="8"/>
        <v>#DIV/0!</v>
      </c>
      <c r="X19" s="429">
        <f>H19*V1</f>
        <v>909.44</v>
      </c>
      <c r="Y19" s="647">
        <f t="shared" si="9"/>
        <v>30.314666666666668</v>
      </c>
      <c r="Z19" s="650" t="e">
        <f t="shared" si="10"/>
        <v>#DIV/0!</v>
      </c>
    </row>
    <row r="20" spans="1:26" s="3" customFormat="1" ht="36.75" customHeight="1">
      <c r="A20" s="638">
        <v>14</v>
      </c>
      <c r="B20" s="833">
        <v>74317</v>
      </c>
      <c r="C20" s="681">
        <f t="shared" si="12"/>
        <v>0</v>
      </c>
      <c r="D20" s="836">
        <v>154393</v>
      </c>
      <c r="E20" s="681">
        <f t="shared" si="13"/>
        <v>290</v>
      </c>
      <c r="F20" s="832">
        <v>17477</v>
      </c>
      <c r="G20" s="681">
        <f t="shared" si="11"/>
        <v>8.1199999999999992</v>
      </c>
      <c r="H20" s="681">
        <f t="shared" si="3"/>
        <v>298.12</v>
      </c>
      <c r="I20" s="832"/>
      <c r="J20" s="681"/>
      <c r="K20" s="832"/>
      <c r="L20" s="681"/>
      <c r="M20" s="681"/>
      <c r="N20" s="109"/>
      <c r="O20" s="539">
        <f t="shared" si="4"/>
        <v>0</v>
      </c>
      <c r="P20" s="109"/>
      <c r="Q20" s="436">
        <f t="shared" si="5"/>
        <v>172.90959999999998</v>
      </c>
      <c r="R20" s="109"/>
      <c r="S20" s="436">
        <f t="shared" si="6"/>
        <v>0</v>
      </c>
      <c r="T20" s="771">
        <f>Elect!BM19</f>
        <v>43</v>
      </c>
      <c r="U20" s="647">
        <f t="shared" si="7"/>
        <v>6.9330232558139535</v>
      </c>
      <c r="V20" s="771">
        <f>Elect!BO19</f>
        <v>0</v>
      </c>
      <c r="W20" s="647" t="e">
        <f t="shared" si="8"/>
        <v>#DIV/0!</v>
      </c>
      <c r="X20" s="429">
        <f>H20*V1</f>
        <v>1192.48</v>
      </c>
      <c r="Y20" s="647">
        <f t="shared" si="9"/>
        <v>27.732093023255814</v>
      </c>
      <c r="Z20" s="650" t="e">
        <f t="shared" si="10"/>
        <v>#DIV/0!</v>
      </c>
    </row>
    <row r="21" spans="1:26" s="3" customFormat="1" ht="36.75" customHeight="1">
      <c r="A21" s="639">
        <v>15</v>
      </c>
      <c r="B21" s="833">
        <v>74317</v>
      </c>
      <c r="C21" s="681">
        <f t="shared" si="12"/>
        <v>0</v>
      </c>
      <c r="D21" s="836">
        <v>154438</v>
      </c>
      <c r="E21" s="681">
        <f t="shared" si="13"/>
        <v>261</v>
      </c>
      <c r="F21" s="832">
        <v>17490</v>
      </c>
      <c r="G21" s="681">
        <f t="shared" si="11"/>
        <v>7.5399999999999991</v>
      </c>
      <c r="H21" s="681">
        <f t="shared" si="3"/>
        <v>268.54000000000002</v>
      </c>
      <c r="I21" s="832"/>
      <c r="J21" s="681"/>
      <c r="K21" s="832"/>
      <c r="L21" s="681"/>
      <c r="M21" s="681"/>
      <c r="N21" s="109"/>
      <c r="O21" s="539">
        <f t="shared" si="4"/>
        <v>0</v>
      </c>
      <c r="P21" s="109"/>
      <c r="Q21" s="436">
        <f t="shared" si="5"/>
        <v>155.75319999999999</v>
      </c>
      <c r="R21" s="109"/>
      <c r="S21" s="436">
        <f t="shared" si="6"/>
        <v>0</v>
      </c>
      <c r="T21" s="771">
        <f>Elect!BM20</f>
        <v>65</v>
      </c>
      <c r="U21" s="647">
        <f t="shared" si="7"/>
        <v>4.1313846153846159</v>
      </c>
      <c r="V21" s="771">
        <f>Elect!BO20</f>
        <v>0</v>
      </c>
      <c r="W21" s="647" t="e">
        <f t="shared" si="8"/>
        <v>#DIV/0!</v>
      </c>
      <c r="X21" s="429">
        <f>H21*V1</f>
        <v>1074.1600000000001</v>
      </c>
      <c r="Y21" s="647">
        <f t="shared" si="9"/>
        <v>16.525538461538464</v>
      </c>
      <c r="Z21" s="650" t="e">
        <f t="shared" si="10"/>
        <v>#DIV/0!</v>
      </c>
    </row>
    <row r="22" spans="1:26" s="3" customFormat="1" ht="36.75" customHeight="1">
      <c r="A22" s="638">
        <v>16</v>
      </c>
      <c r="B22" s="833">
        <v>74317</v>
      </c>
      <c r="C22" s="681">
        <f t="shared" si="12"/>
        <v>0</v>
      </c>
      <c r="D22" s="836">
        <v>154478</v>
      </c>
      <c r="E22" s="681">
        <f t="shared" si="13"/>
        <v>231.99999999999997</v>
      </c>
      <c r="F22" s="832">
        <v>17507</v>
      </c>
      <c r="G22" s="681">
        <f t="shared" ref="G22:G35" si="14">IF(F22&gt;=F21,F22-F21,0)*0.58</f>
        <v>9.86</v>
      </c>
      <c r="H22" s="681">
        <f t="shared" si="3"/>
        <v>241.85999999999996</v>
      </c>
      <c r="I22" s="832"/>
      <c r="J22" s="681"/>
      <c r="K22" s="832"/>
      <c r="L22" s="681"/>
      <c r="M22" s="681"/>
      <c r="N22" s="109"/>
      <c r="O22" s="539">
        <f t="shared" si="4"/>
        <v>0</v>
      </c>
      <c r="P22" s="109"/>
      <c r="Q22" s="436">
        <f t="shared" si="5"/>
        <v>140.27879999999996</v>
      </c>
      <c r="R22" s="109"/>
      <c r="S22" s="436">
        <f t="shared" si="6"/>
        <v>0</v>
      </c>
      <c r="T22" s="771">
        <f>Elect!BM21</f>
        <v>55</v>
      </c>
      <c r="U22" s="647">
        <f t="shared" si="7"/>
        <v>4.3974545454545444</v>
      </c>
      <c r="V22" s="771">
        <f>Elect!BO21</f>
        <v>0</v>
      </c>
      <c r="W22" s="647" t="e">
        <f t="shared" si="8"/>
        <v>#DIV/0!</v>
      </c>
      <c r="X22" s="429">
        <f>H22*V1</f>
        <v>967.43999999999983</v>
      </c>
      <c r="Y22" s="647">
        <f t="shared" si="9"/>
        <v>17.589818181818178</v>
      </c>
      <c r="Z22" s="650" t="e">
        <f t="shared" si="10"/>
        <v>#DIV/0!</v>
      </c>
    </row>
    <row r="23" spans="1:26" s="3" customFormat="1" ht="36.75" customHeight="1">
      <c r="A23" s="639">
        <v>17</v>
      </c>
      <c r="B23" s="833">
        <v>74317</v>
      </c>
      <c r="C23" s="681">
        <f t="shared" si="12"/>
        <v>0</v>
      </c>
      <c r="D23" s="836">
        <v>154517</v>
      </c>
      <c r="E23" s="681">
        <f t="shared" si="13"/>
        <v>226.2</v>
      </c>
      <c r="F23" s="832">
        <v>17520</v>
      </c>
      <c r="G23" s="681">
        <f t="shared" si="14"/>
        <v>7.5399999999999991</v>
      </c>
      <c r="H23" s="681">
        <f t="shared" si="3"/>
        <v>233.73999999999998</v>
      </c>
      <c r="I23" s="832"/>
      <c r="J23" s="681"/>
      <c r="K23" s="832"/>
      <c r="L23" s="681"/>
      <c r="M23" s="681"/>
      <c r="N23" s="109"/>
      <c r="O23" s="539">
        <f t="shared" si="4"/>
        <v>0</v>
      </c>
      <c r="P23" s="109"/>
      <c r="Q23" s="436">
        <f t="shared" si="5"/>
        <v>135.56919999999997</v>
      </c>
      <c r="R23" s="109"/>
      <c r="S23" s="436">
        <f t="shared" si="6"/>
        <v>0</v>
      </c>
      <c r="T23" s="771">
        <f>Elect!BM22</f>
        <v>60</v>
      </c>
      <c r="U23" s="647">
        <f t="shared" si="7"/>
        <v>3.8956666666666662</v>
      </c>
      <c r="V23" s="771">
        <f>Elect!BO22</f>
        <v>0</v>
      </c>
      <c r="W23" s="647" t="e">
        <f t="shared" si="8"/>
        <v>#DIV/0!</v>
      </c>
      <c r="X23" s="429">
        <f>H23*V1</f>
        <v>934.95999999999992</v>
      </c>
      <c r="Y23" s="647">
        <f t="shared" si="9"/>
        <v>15.582666666666665</v>
      </c>
      <c r="Z23" s="650" t="e">
        <f t="shared" si="10"/>
        <v>#DIV/0!</v>
      </c>
    </row>
    <row r="24" spans="1:26" s="3" customFormat="1" ht="36.75" customHeight="1">
      <c r="A24" s="638">
        <v>18</v>
      </c>
      <c r="B24" s="833">
        <v>74318</v>
      </c>
      <c r="C24" s="681">
        <f t="shared" si="12"/>
        <v>5.8</v>
      </c>
      <c r="D24" s="836">
        <v>154555</v>
      </c>
      <c r="E24" s="681">
        <f t="shared" si="13"/>
        <v>220.39999999999998</v>
      </c>
      <c r="F24" s="832">
        <v>17533</v>
      </c>
      <c r="G24" s="681">
        <f t="shared" si="14"/>
        <v>7.5399999999999991</v>
      </c>
      <c r="H24" s="681">
        <f t="shared" si="3"/>
        <v>233.73999999999998</v>
      </c>
      <c r="I24" s="832"/>
      <c r="J24" s="681"/>
      <c r="K24" s="832"/>
      <c r="L24" s="681"/>
      <c r="M24" s="681"/>
      <c r="N24" s="109"/>
      <c r="O24" s="539">
        <f t="shared" si="4"/>
        <v>0</v>
      </c>
      <c r="P24" s="109"/>
      <c r="Q24" s="436">
        <f t="shared" si="5"/>
        <v>135.56919999999997</v>
      </c>
      <c r="R24" s="109"/>
      <c r="S24" s="436">
        <f t="shared" si="6"/>
        <v>0</v>
      </c>
      <c r="T24" s="771">
        <f>Elect!BM23</f>
        <v>44</v>
      </c>
      <c r="U24" s="647">
        <f t="shared" si="7"/>
        <v>5.3122727272727266</v>
      </c>
      <c r="V24" s="771">
        <f>Elect!BO23</f>
        <v>0</v>
      </c>
      <c r="W24" s="647" t="e">
        <f t="shared" si="8"/>
        <v>#DIV/0!</v>
      </c>
      <c r="X24" s="429">
        <f>H24*V1</f>
        <v>934.95999999999992</v>
      </c>
      <c r="Y24" s="647">
        <f t="shared" si="9"/>
        <v>21.249090909090906</v>
      </c>
      <c r="Z24" s="650" t="e">
        <f t="shared" si="10"/>
        <v>#DIV/0!</v>
      </c>
    </row>
    <row r="25" spans="1:26" s="3" customFormat="1" ht="36.75" customHeight="1">
      <c r="A25" s="639">
        <v>19</v>
      </c>
      <c r="B25" s="833">
        <v>74318</v>
      </c>
      <c r="C25" s="681">
        <f t="shared" si="12"/>
        <v>0</v>
      </c>
      <c r="D25" s="836">
        <v>154597</v>
      </c>
      <c r="E25" s="681">
        <f t="shared" si="13"/>
        <v>243.6</v>
      </c>
      <c r="F25" s="832">
        <v>17547</v>
      </c>
      <c r="G25" s="681">
        <f t="shared" si="14"/>
        <v>8.1199999999999992</v>
      </c>
      <c r="H25" s="681">
        <f t="shared" si="3"/>
        <v>251.72</v>
      </c>
      <c r="I25" s="832"/>
      <c r="J25" s="681"/>
      <c r="K25" s="832"/>
      <c r="L25" s="681"/>
      <c r="M25" s="681"/>
      <c r="N25" s="109"/>
      <c r="O25" s="539">
        <f t="shared" si="4"/>
        <v>0</v>
      </c>
      <c r="P25" s="109"/>
      <c r="Q25" s="436">
        <f t="shared" si="5"/>
        <v>145.99759999999998</v>
      </c>
      <c r="R25" s="109"/>
      <c r="S25" s="436">
        <f t="shared" si="6"/>
        <v>0</v>
      </c>
      <c r="T25" s="771">
        <f>Elect!BM24</f>
        <v>51</v>
      </c>
      <c r="U25" s="647">
        <f t="shared" si="7"/>
        <v>4.9356862745098038</v>
      </c>
      <c r="V25" s="771">
        <f>Elect!BO24</f>
        <v>0</v>
      </c>
      <c r="W25" s="647" t="e">
        <f t="shared" si="8"/>
        <v>#DIV/0!</v>
      </c>
      <c r="X25" s="429">
        <f>H25*V1</f>
        <v>1006.88</v>
      </c>
      <c r="Y25" s="647">
        <f t="shared" si="9"/>
        <v>19.742745098039215</v>
      </c>
      <c r="Z25" s="650" t="e">
        <f t="shared" si="10"/>
        <v>#DIV/0!</v>
      </c>
    </row>
    <row r="26" spans="1:26" s="3" customFormat="1" ht="36.75" customHeight="1">
      <c r="A26" s="638">
        <v>20</v>
      </c>
      <c r="B26" s="833">
        <v>74318</v>
      </c>
      <c r="C26" s="681">
        <f t="shared" si="12"/>
        <v>0</v>
      </c>
      <c r="D26" s="836">
        <v>154640</v>
      </c>
      <c r="E26" s="681">
        <f t="shared" si="13"/>
        <v>249.39999999999998</v>
      </c>
      <c r="F26" s="832">
        <v>17561</v>
      </c>
      <c r="G26" s="681">
        <f t="shared" si="14"/>
        <v>8.1199999999999992</v>
      </c>
      <c r="H26" s="681">
        <f t="shared" si="3"/>
        <v>257.52</v>
      </c>
      <c r="I26" s="832"/>
      <c r="J26" s="681"/>
      <c r="K26" s="832"/>
      <c r="L26" s="681"/>
      <c r="M26" s="681"/>
      <c r="N26" s="109"/>
      <c r="O26" s="539">
        <f t="shared" si="4"/>
        <v>0</v>
      </c>
      <c r="P26" s="109"/>
      <c r="Q26" s="436">
        <f t="shared" si="5"/>
        <v>149.36159999999998</v>
      </c>
      <c r="R26" s="109"/>
      <c r="S26" s="436">
        <f t="shared" si="6"/>
        <v>0</v>
      </c>
      <c r="T26" s="771">
        <f>Elect!BM25</f>
        <v>48</v>
      </c>
      <c r="U26" s="647">
        <f t="shared" si="7"/>
        <v>5.3649999999999993</v>
      </c>
      <c r="V26" s="771">
        <f>Elect!BO25</f>
        <v>0</v>
      </c>
      <c r="W26" s="647" t="e">
        <f t="shared" si="8"/>
        <v>#DIV/0!</v>
      </c>
      <c r="X26" s="429">
        <f>H26*V1</f>
        <v>1030.08</v>
      </c>
      <c r="Y26" s="647">
        <f t="shared" si="9"/>
        <v>21.459999999999997</v>
      </c>
      <c r="Z26" s="650" t="e">
        <f t="shared" si="10"/>
        <v>#DIV/0!</v>
      </c>
    </row>
    <row r="27" spans="1:26" s="3" customFormat="1" ht="36.75" customHeight="1">
      <c r="A27" s="639">
        <v>21</v>
      </c>
      <c r="B27" s="833">
        <v>74319</v>
      </c>
      <c r="C27" s="681">
        <f t="shared" si="12"/>
        <v>5.8</v>
      </c>
      <c r="D27" s="836">
        <v>154686</v>
      </c>
      <c r="E27" s="681">
        <f t="shared" si="13"/>
        <v>266.79999999999995</v>
      </c>
      <c r="F27" s="832">
        <v>17573</v>
      </c>
      <c r="G27" s="681">
        <f t="shared" si="14"/>
        <v>6.9599999999999991</v>
      </c>
      <c r="H27" s="681">
        <f t="shared" si="3"/>
        <v>279.55999999999995</v>
      </c>
      <c r="I27" s="832"/>
      <c r="J27" s="681"/>
      <c r="K27" s="832"/>
      <c r="L27" s="681"/>
      <c r="M27" s="681"/>
      <c r="N27" s="109"/>
      <c r="O27" s="539">
        <f t="shared" si="4"/>
        <v>0</v>
      </c>
      <c r="P27" s="109"/>
      <c r="Q27" s="436">
        <f t="shared" si="5"/>
        <v>162.14479999999995</v>
      </c>
      <c r="R27" s="109"/>
      <c r="S27" s="436">
        <f t="shared" si="6"/>
        <v>0</v>
      </c>
      <c r="T27" s="771">
        <f>Elect!BM26</f>
        <v>50</v>
      </c>
      <c r="U27" s="647">
        <f t="shared" si="7"/>
        <v>5.5911999999999988</v>
      </c>
      <c r="V27" s="771">
        <f>Elect!BO26</f>
        <v>0</v>
      </c>
      <c r="W27" s="647" t="e">
        <f t="shared" si="8"/>
        <v>#DIV/0!</v>
      </c>
      <c r="X27" s="429">
        <f>H27*V1</f>
        <v>1118.2399999999998</v>
      </c>
      <c r="Y27" s="647">
        <f t="shared" si="9"/>
        <v>22.364799999999995</v>
      </c>
      <c r="Z27" s="650" t="e">
        <f t="shared" si="10"/>
        <v>#DIV/0!</v>
      </c>
    </row>
    <row r="28" spans="1:26" s="3" customFormat="1" ht="36.75" customHeight="1">
      <c r="A28" s="638">
        <v>22</v>
      </c>
      <c r="B28" s="833">
        <v>74319</v>
      </c>
      <c r="C28" s="681">
        <f t="shared" si="12"/>
        <v>0</v>
      </c>
      <c r="D28" s="836">
        <v>154731</v>
      </c>
      <c r="E28" s="681">
        <f t="shared" si="13"/>
        <v>261</v>
      </c>
      <c r="F28" s="832">
        <v>17590</v>
      </c>
      <c r="G28" s="681">
        <f t="shared" si="14"/>
        <v>9.86</v>
      </c>
      <c r="H28" s="681">
        <f t="shared" si="3"/>
        <v>270.86</v>
      </c>
      <c r="I28" s="832"/>
      <c r="J28" s="681"/>
      <c r="K28" s="832"/>
      <c r="L28" s="681"/>
      <c r="M28" s="681"/>
      <c r="N28" s="109"/>
      <c r="O28" s="539">
        <f t="shared" si="4"/>
        <v>0</v>
      </c>
      <c r="P28" s="109"/>
      <c r="Q28" s="436">
        <f t="shared" si="5"/>
        <v>157.09879999999998</v>
      </c>
      <c r="R28" s="109"/>
      <c r="S28" s="436">
        <f t="shared" si="6"/>
        <v>0</v>
      </c>
      <c r="T28" s="771">
        <f>Elect!BM27</f>
        <v>54</v>
      </c>
      <c r="U28" s="647">
        <f t="shared" si="7"/>
        <v>5.0159259259259263</v>
      </c>
      <c r="V28" s="771">
        <f>Elect!BO27</f>
        <v>0</v>
      </c>
      <c r="W28" s="647" t="e">
        <f t="shared" si="8"/>
        <v>#DIV/0!</v>
      </c>
      <c r="X28" s="429">
        <f>H28*V1</f>
        <v>1083.44</v>
      </c>
      <c r="Y28" s="647">
        <f t="shared" si="9"/>
        <v>20.063703703703705</v>
      </c>
      <c r="Z28" s="650" t="e">
        <f t="shared" si="10"/>
        <v>#DIV/0!</v>
      </c>
    </row>
    <row r="29" spans="1:26" s="3" customFormat="1" ht="36.75" customHeight="1">
      <c r="A29" s="639">
        <v>23</v>
      </c>
      <c r="B29" s="833">
        <v>74319</v>
      </c>
      <c r="C29" s="681">
        <f t="shared" si="12"/>
        <v>0</v>
      </c>
      <c r="D29" s="836">
        <v>154768</v>
      </c>
      <c r="E29" s="681">
        <f t="shared" ref="E29:E30" si="15">IF(D29&gt;=D28,D29-D28,0)*10*0.58</f>
        <v>214.6</v>
      </c>
      <c r="F29" s="832">
        <v>17604</v>
      </c>
      <c r="G29" s="681">
        <f t="shared" si="14"/>
        <v>8.1199999999999992</v>
      </c>
      <c r="H29" s="681">
        <f t="shared" si="3"/>
        <v>222.72</v>
      </c>
      <c r="I29" s="832"/>
      <c r="J29" s="681"/>
      <c r="K29" s="832"/>
      <c r="L29" s="681"/>
      <c r="M29" s="681"/>
      <c r="N29" s="109"/>
      <c r="O29" s="539">
        <f t="shared" si="4"/>
        <v>0</v>
      </c>
      <c r="P29" s="109"/>
      <c r="Q29" s="436">
        <f t="shared" si="5"/>
        <v>129.17759999999998</v>
      </c>
      <c r="R29" s="458"/>
      <c r="S29" s="436">
        <f t="shared" si="6"/>
        <v>0</v>
      </c>
      <c r="T29" s="771">
        <f>Elect!BM28</f>
        <v>44</v>
      </c>
      <c r="U29" s="647">
        <f t="shared" si="7"/>
        <v>5.0618181818181816</v>
      </c>
      <c r="V29" s="771">
        <f>Elect!BO28</f>
        <v>0</v>
      </c>
      <c r="W29" s="647" t="e">
        <f t="shared" si="8"/>
        <v>#DIV/0!</v>
      </c>
      <c r="X29" s="429">
        <f>H29*V1</f>
        <v>890.88</v>
      </c>
      <c r="Y29" s="647">
        <f t="shared" si="9"/>
        <v>20.247272727272726</v>
      </c>
      <c r="Z29" s="650" t="e">
        <f t="shared" si="10"/>
        <v>#DIV/0!</v>
      </c>
    </row>
    <row r="30" spans="1:26" s="3" customFormat="1" ht="36.75" customHeight="1">
      <c r="A30" s="638">
        <v>24</v>
      </c>
      <c r="B30" s="833">
        <v>74319</v>
      </c>
      <c r="C30" s="681">
        <f t="shared" si="12"/>
        <v>0</v>
      </c>
      <c r="D30" s="836">
        <v>154801</v>
      </c>
      <c r="E30" s="681">
        <f t="shared" si="15"/>
        <v>191.39999999999998</v>
      </c>
      <c r="F30" s="832">
        <v>17654</v>
      </c>
      <c r="G30" s="681">
        <f t="shared" si="14"/>
        <v>28.999999999999996</v>
      </c>
      <c r="H30" s="681">
        <f t="shared" si="3"/>
        <v>220.39999999999998</v>
      </c>
      <c r="I30" s="832"/>
      <c r="J30" s="681"/>
      <c r="K30" s="832"/>
      <c r="L30" s="681"/>
      <c r="M30" s="681"/>
      <c r="N30" s="109"/>
      <c r="O30" s="539">
        <f t="shared" si="4"/>
        <v>0</v>
      </c>
      <c r="P30" s="109"/>
      <c r="Q30" s="436">
        <f t="shared" si="5"/>
        <v>127.83199999999998</v>
      </c>
      <c r="R30" s="458"/>
      <c r="S30" s="436">
        <f t="shared" si="6"/>
        <v>0</v>
      </c>
      <c r="T30" s="771">
        <f>Elect!BM29</f>
        <v>41</v>
      </c>
      <c r="U30" s="647">
        <f t="shared" si="7"/>
        <v>5.3756097560975604</v>
      </c>
      <c r="V30" s="771">
        <f>Elect!BO29</f>
        <v>0</v>
      </c>
      <c r="W30" s="647" t="e">
        <f t="shared" si="8"/>
        <v>#DIV/0!</v>
      </c>
      <c r="X30" s="429">
        <f>H30*V1</f>
        <v>881.59999999999991</v>
      </c>
      <c r="Y30" s="647">
        <f t="shared" si="9"/>
        <v>21.502439024390242</v>
      </c>
      <c r="Z30" s="650" t="e">
        <f t="shared" si="10"/>
        <v>#DIV/0!</v>
      </c>
    </row>
    <row r="31" spans="1:26" s="3" customFormat="1" ht="36.75" customHeight="1">
      <c r="A31" s="639">
        <v>25</v>
      </c>
      <c r="B31" s="833">
        <v>74319</v>
      </c>
      <c r="C31" s="681">
        <f t="shared" si="12"/>
        <v>0</v>
      </c>
      <c r="D31" s="836">
        <v>154832</v>
      </c>
      <c r="E31" s="681">
        <f t="shared" ref="E31:E37" si="16">IF(D31&gt;=D30,D31-D30,0)*10*0.58</f>
        <v>179.79999999999998</v>
      </c>
      <c r="F31" s="832">
        <v>17670</v>
      </c>
      <c r="G31" s="681">
        <f t="shared" si="14"/>
        <v>9.2799999999999994</v>
      </c>
      <c r="H31" s="681">
        <f t="shared" si="3"/>
        <v>189.07999999999998</v>
      </c>
      <c r="I31" s="832"/>
      <c r="J31" s="681"/>
      <c r="K31" s="832"/>
      <c r="L31" s="681"/>
      <c r="M31" s="681"/>
      <c r="N31" s="109"/>
      <c r="O31" s="539">
        <f t="shared" si="4"/>
        <v>0</v>
      </c>
      <c r="P31" s="109"/>
      <c r="Q31" s="436">
        <f t="shared" si="5"/>
        <v>109.66639999999998</v>
      </c>
      <c r="R31" s="458"/>
      <c r="S31" s="436">
        <f t="shared" si="6"/>
        <v>0</v>
      </c>
      <c r="T31" s="771">
        <f>Elect!BM30</f>
        <v>37</v>
      </c>
      <c r="U31" s="647">
        <f t="shared" si="7"/>
        <v>5.11027027027027</v>
      </c>
      <c r="V31" s="771">
        <f>Elect!BO30</f>
        <v>0</v>
      </c>
      <c r="W31" s="647" t="e">
        <f t="shared" si="8"/>
        <v>#DIV/0!</v>
      </c>
      <c r="X31" s="429">
        <f>H31*V1</f>
        <v>756.31999999999994</v>
      </c>
      <c r="Y31" s="647">
        <f t="shared" si="9"/>
        <v>20.44108108108108</v>
      </c>
      <c r="Z31" s="650" t="e">
        <f t="shared" ref="Z31:Z37" si="17">IF(X31&gt;0,X31/V31,0)</f>
        <v>#DIV/0!</v>
      </c>
    </row>
    <row r="32" spans="1:26" s="3" customFormat="1" ht="36.75" customHeight="1">
      <c r="A32" s="638">
        <v>26</v>
      </c>
      <c r="B32" s="833">
        <v>74319</v>
      </c>
      <c r="C32" s="681">
        <f t="shared" si="12"/>
        <v>0</v>
      </c>
      <c r="D32" s="836">
        <v>154872</v>
      </c>
      <c r="E32" s="681">
        <f t="shared" si="16"/>
        <v>231.99999999999997</v>
      </c>
      <c r="F32" s="832">
        <v>17670</v>
      </c>
      <c r="G32" s="681">
        <f t="shared" si="14"/>
        <v>0</v>
      </c>
      <c r="H32" s="681">
        <f t="shared" si="3"/>
        <v>231.99999999999997</v>
      </c>
      <c r="I32" s="832"/>
      <c r="J32" s="681"/>
      <c r="K32" s="832"/>
      <c r="L32" s="681"/>
      <c r="M32" s="681"/>
      <c r="N32" s="109"/>
      <c r="O32" s="539">
        <f t="shared" si="4"/>
        <v>0</v>
      </c>
      <c r="P32" s="109"/>
      <c r="Q32" s="436">
        <f t="shared" si="5"/>
        <v>134.55999999999997</v>
      </c>
      <c r="R32" s="458"/>
      <c r="S32" s="436">
        <f t="shared" si="6"/>
        <v>0</v>
      </c>
      <c r="T32" s="771">
        <f>Elect!BM31</f>
        <v>29</v>
      </c>
      <c r="U32" s="647">
        <f t="shared" si="7"/>
        <v>7.9999999999999991</v>
      </c>
      <c r="V32" s="771">
        <f>Elect!BO31</f>
        <v>0</v>
      </c>
      <c r="W32" s="647" t="e">
        <f t="shared" si="8"/>
        <v>#DIV/0!</v>
      </c>
      <c r="X32" s="429">
        <f>H32*V1</f>
        <v>927.99999999999989</v>
      </c>
      <c r="Y32" s="647">
        <f t="shared" si="9"/>
        <v>31.999999999999996</v>
      </c>
      <c r="Z32" s="650" t="e">
        <f t="shared" si="17"/>
        <v>#DIV/0!</v>
      </c>
    </row>
    <row r="33" spans="1:26" s="3" customFormat="1" ht="36.75" customHeight="1">
      <c r="A33" s="639">
        <v>27</v>
      </c>
      <c r="B33" s="833">
        <v>74320</v>
      </c>
      <c r="C33" s="681">
        <f t="shared" si="12"/>
        <v>5.8</v>
      </c>
      <c r="D33" s="836">
        <v>154924</v>
      </c>
      <c r="E33" s="681">
        <f t="shared" si="16"/>
        <v>301.59999999999997</v>
      </c>
      <c r="F33" s="832">
        <v>17670</v>
      </c>
      <c r="G33" s="681">
        <f t="shared" si="14"/>
        <v>0</v>
      </c>
      <c r="H33" s="681">
        <f t="shared" si="3"/>
        <v>307.39999999999998</v>
      </c>
      <c r="I33" s="832"/>
      <c r="J33" s="681"/>
      <c r="K33" s="832"/>
      <c r="L33" s="681"/>
      <c r="M33" s="681"/>
      <c r="N33" s="109"/>
      <c r="O33" s="539">
        <f t="shared" si="4"/>
        <v>0</v>
      </c>
      <c r="P33" s="109"/>
      <c r="Q33" s="436">
        <f t="shared" si="5"/>
        <v>178.29199999999997</v>
      </c>
      <c r="R33" s="458"/>
      <c r="S33" s="436">
        <f t="shared" si="6"/>
        <v>0</v>
      </c>
      <c r="T33" s="771">
        <f>Elect!BM32</f>
        <v>23</v>
      </c>
      <c r="U33" s="647">
        <f t="shared" si="7"/>
        <v>13.365217391304347</v>
      </c>
      <c r="V33" s="771">
        <f>Elect!BO32</f>
        <v>0</v>
      </c>
      <c r="W33" s="647" t="e">
        <f t="shared" si="8"/>
        <v>#DIV/0!</v>
      </c>
      <c r="X33" s="429">
        <f>H33*V1</f>
        <v>1229.5999999999999</v>
      </c>
      <c r="Y33" s="647">
        <f t="shared" si="9"/>
        <v>53.460869565217386</v>
      </c>
      <c r="Z33" s="650" t="e">
        <f t="shared" si="17"/>
        <v>#DIV/0!</v>
      </c>
    </row>
    <row r="34" spans="1:26" s="3" customFormat="1" ht="36.75" customHeight="1">
      <c r="A34" s="638">
        <v>28</v>
      </c>
      <c r="B34" s="833">
        <v>74320</v>
      </c>
      <c r="C34" s="681">
        <f t="shared" si="12"/>
        <v>0</v>
      </c>
      <c r="D34" s="836">
        <v>154975</v>
      </c>
      <c r="E34" s="681">
        <f t="shared" si="16"/>
        <v>295.79999999999995</v>
      </c>
      <c r="F34" s="832">
        <v>17670</v>
      </c>
      <c r="G34" s="681">
        <f t="shared" si="14"/>
        <v>0</v>
      </c>
      <c r="H34" s="681">
        <f t="shared" si="3"/>
        <v>295.79999999999995</v>
      </c>
      <c r="I34" s="832"/>
      <c r="J34" s="681"/>
      <c r="K34" s="832"/>
      <c r="L34" s="681"/>
      <c r="M34" s="681"/>
      <c r="N34" s="109"/>
      <c r="O34" s="539">
        <f t="shared" si="4"/>
        <v>0</v>
      </c>
      <c r="P34" s="109"/>
      <c r="Q34" s="436">
        <f t="shared" si="5"/>
        <v>171.56399999999996</v>
      </c>
      <c r="R34" s="458"/>
      <c r="S34" s="436">
        <f t="shared" si="6"/>
        <v>0</v>
      </c>
      <c r="T34" s="771">
        <f>Elect!BM33</f>
        <v>33</v>
      </c>
      <c r="U34" s="647">
        <f t="shared" si="7"/>
        <v>8.963636363636363</v>
      </c>
      <c r="V34" s="771">
        <f>Elect!BO33</f>
        <v>0</v>
      </c>
      <c r="W34" s="647" t="e">
        <f t="shared" si="8"/>
        <v>#DIV/0!</v>
      </c>
      <c r="X34" s="429">
        <f>H34*V1</f>
        <v>1183.1999999999998</v>
      </c>
      <c r="Y34" s="647">
        <f t="shared" si="9"/>
        <v>35.854545454545452</v>
      </c>
      <c r="Z34" s="650" t="e">
        <f t="shared" si="17"/>
        <v>#DIV/0!</v>
      </c>
    </row>
    <row r="35" spans="1:26" s="3" customFormat="1" ht="36.75" customHeight="1">
      <c r="A35" s="638">
        <v>29</v>
      </c>
      <c r="B35" s="833">
        <v>74320</v>
      </c>
      <c r="C35" s="681">
        <f t="shared" si="12"/>
        <v>0</v>
      </c>
      <c r="D35" s="836">
        <v>155005</v>
      </c>
      <c r="E35" s="681">
        <f t="shared" si="16"/>
        <v>174</v>
      </c>
      <c r="F35" s="832">
        <v>17670</v>
      </c>
      <c r="G35" s="681">
        <f t="shared" si="14"/>
        <v>0</v>
      </c>
      <c r="H35" s="681">
        <f t="shared" si="3"/>
        <v>174</v>
      </c>
      <c r="I35" s="832"/>
      <c r="J35" s="681"/>
      <c r="K35" s="832"/>
      <c r="L35" s="681"/>
      <c r="M35" s="681"/>
      <c r="N35" s="109"/>
      <c r="O35" s="539">
        <f t="shared" si="4"/>
        <v>0</v>
      </c>
      <c r="P35" s="526"/>
      <c r="Q35" s="436">
        <f t="shared" si="5"/>
        <v>100.91999999999999</v>
      </c>
      <c r="R35" s="458"/>
      <c r="S35" s="436">
        <f t="shared" si="6"/>
        <v>0</v>
      </c>
      <c r="T35" s="771">
        <f>Elect!BM34</f>
        <v>34</v>
      </c>
      <c r="U35" s="647">
        <f t="shared" si="7"/>
        <v>5.117647058823529</v>
      </c>
      <c r="V35" s="771">
        <f>Elect!BO34</f>
        <v>0</v>
      </c>
      <c r="W35" s="647" t="e">
        <f t="shared" si="8"/>
        <v>#DIV/0!</v>
      </c>
      <c r="X35" s="429">
        <f>H35*V1</f>
        <v>696</v>
      </c>
      <c r="Y35" s="647">
        <f t="shared" si="9"/>
        <v>20.470588235294116</v>
      </c>
      <c r="Z35" s="650" t="e">
        <f t="shared" si="17"/>
        <v>#DIV/0!</v>
      </c>
    </row>
    <row r="36" spans="1:26" s="3" customFormat="1" ht="36.75" customHeight="1">
      <c r="A36" s="639">
        <v>30</v>
      </c>
      <c r="B36" s="833">
        <v>74321</v>
      </c>
      <c r="C36" s="681">
        <f t="shared" ref="C36:C37" si="18">IF(B36&gt;=B35,B36-B35,0)*10*0.58</f>
        <v>5.8</v>
      </c>
      <c r="D36" s="836">
        <v>155056</v>
      </c>
      <c r="E36" s="681">
        <f t="shared" si="16"/>
        <v>295.79999999999995</v>
      </c>
      <c r="F36" s="832">
        <v>17670</v>
      </c>
      <c r="G36" s="681">
        <f t="shared" si="11"/>
        <v>0</v>
      </c>
      <c r="H36" s="681">
        <f t="shared" si="3"/>
        <v>301.59999999999997</v>
      </c>
      <c r="I36" s="832"/>
      <c r="J36" s="681"/>
      <c r="K36" s="832"/>
      <c r="L36" s="681"/>
      <c r="M36" s="681"/>
      <c r="N36" s="109"/>
      <c r="O36" s="539">
        <f t="shared" si="4"/>
        <v>0</v>
      </c>
      <c r="P36" s="526"/>
      <c r="Q36" s="436">
        <f t="shared" si="5"/>
        <v>174.92799999999997</v>
      </c>
      <c r="R36" s="458"/>
      <c r="S36" s="436">
        <f t="shared" si="6"/>
        <v>0</v>
      </c>
      <c r="T36" s="771">
        <f>Elect!BM35</f>
        <v>32</v>
      </c>
      <c r="U36" s="647">
        <f t="shared" si="7"/>
        <v>9.4249999999999989</v>
      </c>
      <c r="V36" s="771">
        <f>Elect!BO35</f>
        <v>0</v>
      </c>
      <c r="W36" s="647" t="e">
        <f t="shared" si="8"/>
        <v>#DIV/0!</v>
      </c>
      <c r="X36" s="429">
        <f>H36*V1</f>
        <v>1206.3999999999999</v>
      </c>
      <c r="Y36" s="647">
        <f t="shared" si="9"/>
        <v>37.699999999999996</v>
      </c>
      <c r="Z36" s="650" t="e">
        <f t="shared" si="17"/>
        <v>#DIV/0!</v>
      </c>
    </row>
    <row r="37" spans="1:26" s="3" customFormat="1" ht="36.75" customHeight="1" thickBot="1">
      <c r="A37" s="638">
        <v>31</v>
      </c>
      <c r="B37" s="833">
        <v>74321</v>
      </c>
      <c r="C37" s="681">
        <f t="shared" si="18"/>
        <v>0</v>
      </c>
      <c r="D37" s="836">
        <v>155092</v>
      </c>
      <c r="E37" s="681">
        <f t="shared" si="16"/>
        <v>208.79999999999998</v>
      </c>
      <c r="F37" s="832">
        <v>17670</v>
      </c>
      <c r="G37" s="681">
        <f t="shared" si="11"/>
        <v>0</v>
      </c>
      <c r="H37" s="681">
        <f t="shared" si="3"/>
        <v>208.79999999999998</v>
      </c>
      <c r="I37" s="832">
        <v>211</v>
      </c>
      <c r="J37" s="788"/>
      <c r="K37" s="832">
        <v>2887</v>
      </c>
      <c r="L37" s="788"/>
      <c r="M37" s="788"/>
      <c r="N37" s="526"/>
      <c r="O37" s="539">
        <f t="shared" si="4"/>
        <v>0</v>
      </c>
      <c r="P37" s="526"/>
      <c r="Q37" s="436">
        <f t="shared" si="5"/>
        <v>121.10399999999998</v>
      </c>
      <c r="R37" s="787"/>
      <c r="S37" s="436">
        <f t="shared" si="6"/>
        <v>0</v>
      </c>
      <c r="T37" s="771">
        <f>Elect!BM36</f>
        <v>33</v>
      </c>
      <c r="U37" s="647">
        <f t="shared" si="7"/>
        <v>6.3272727272727272</v>
      </c>
      <c r="V37" s="771">
        <f>Elect!BO36</f>
        <v>0</v>
      </c>
      <c r="W37" s="647" t="e">
        <f t="shared" si="8"/>
        <v>#DIV/0!</v>
      </c>
      <c r="X37" s="429">
        <f>H37*V7</f>
        <v>0</v>
      </c>
      <c r="Y37" s="647">
        <f t="shared" si="9"/>
        <v>0</v>
      </c>
      <c r="Z37" s="650">
        <f t="shared" si="17"/>
        <v>0</v>
      </c>
    </row>
    <row r="38" spans="1:26" s="3" customFormat="1" ht="36.75" customHeight="1" thickBot="1">
      <c r="A38" s="547" t="s">
        <v>111</v>
      </c>
      <c r="B38" s="833"/>
      <c r="C38" s="793">
        <f>SUM(C7:C37)</f>
        <v>46.399999999999991</v>
      </c>
      <c r="D38" s="543"/>
      <c r="E38" s="793">
        <f>SUM(E7:E37)</f>
        <v>7250.0000000000009</v>
      </c>
      <c r="F38" s="543"/>
      <c r="G38" s="793">
        <f>SUM(G7:G37)</f>
        <v>222.72</v>
      </c>
      <c r="H38" s="793">
        <f>SUM(H7:H37)</f>
        <v>7519.119999999999</v>
      </c>
      <c r="I38" s="793">
        <f>I37-I6</f>
        <v>1</v>
      </c>
      <c r="J38" s="548"/>
      <c r="K38" s="793">
        <f>K37-K6</f>
        <v>62</v>
      </c>
      <c r="L38" s="548"/>
      <c r="M38" s="548"/>
      <c r="N38" s="543"/>
      <c r="O38" s="548">
        <f>SUM(O7:O36)</f>
        <v>0</v>
      </c>
      <c r="P38" s="543"/>
      <c r="Q38" s="548">
        <f>SUM(Q7:Q34)</f>
        <v>3964.1376</v>
      </c>
      <c r="R38" s="543"/>
      <c r="S38" s="548">
        <f>SUM(S7:S34)</f>
        <v>0</v>
      </c>
      <c r="T38" s="549">
        <f>SUM(T7:T36)</f>
        <v>1431</v>
      </c>
      <c r="U38" s="648">
        <f>IF(H38&gt;0,H38/T38,0)</f>
        <v>5.2544514325646396</v>
      </c>
      <c r="V38" s="704">
        <f>SUM(V7:V36)</f>
        <v>0</v>
      </c>
      <c r="W38" s="648" t="e">
        <f>IF(H38&gt;0,H38/V38,0)</f>
        <v>#DIV/0!</v>
      </c>
      <c r="X38" s="651">
        <f>SUM(X7:X36)</f>
        <v>29241.279999999995</v>
      </c>
      <c r="Y38" s="648">
        <f t="shared" ref="Y38:Y44" si="19">IF(X38&gt;0,X38/T38,0)</f>
        <v>20.43415793151642</v>
      </c>
      <c r="Z38" s="652" t="e">
        <f t="shared" ref="Z38:Z44" si="20">IF(X38&gt;0,X38/V38,0)</f>
        <v>#DIV/0!</v>
      </c>
    </row>
    <row r="39" spans="1:26" s="3" customFormat="1" ht="36.75" customHeight="1" thickBot="1">
      <c r="A39" s="551" t="s">
        <v>112</v>
      </c>
      <c r="B39" s="833"/>
      <c r="C39" s="553">
        <f>C38/B48</f>
        <v>1.5466666666666664</v>
      </c>
      <c r="D39" s="544"/>
      <c r="E39" s="553">
        <f>E38/B48</f>
        <v>241.66666666666669</v>
      </c>
      <c r="F39" s="544"/>
      <c r="G39" s="553">
        <f>G38/B48</f>
        <v>7.4240000000000004</v>
      </c>
      <c r="H39" s="553">
        <f>H38/B48</f>
        <v>250.63733333333329</v>
      </c>
      <c r="I39" s="553"/>
      <c r="J39" s="553"/>
      <c r="K39" s="553"/>
      <c r="L39" s="553"/>
      <c r="M39" s="553"/>
      <c r="N39" s="544"/>
      <c r="O39" s="553">
        <f>O38/B48</f>
        <v>0</v>
      </c>
      <c r="P39" s="544"/>
      <c r="Q39" s="553">
        <f>Q38/B48</f>
        <v>132.13792000000001</v>
      </c>
      <c r="R39" s="544"/>
      <c r="S39" s="553" t="e">
        <f>S38/C48</f>
        <v>#DIV/0!</v>
      </c>
      <c r="T39" s="555">
        <f>T38/B48</f>
        <v>47.7</v>
      </c>
      <c r="U39" s="649">
        <f>IF(H39&gt;0,H39/T39,0)</f>
        <v>5.2544514325646388</v>
      </c>
      <c r="V39" s="664">
        <f>V38/B48</f>
        <v>0</v>
      </c>
      <c r="W39" s="648" t="e">
        <f>IF(H39&gt;0,H39/V39,0)</f>
        <v>#DIV/0!</v>
      </c>
      <c r="X39" s="653">
        <f>X38/B48</f>
        <v>974.70933333333312</v>
      </c>
      <c r="Y39" s="649">
        <f t="shared" si="19"/>
        <v>20.434157931516417</v>
      </c>
      <c r="Z39" s="654" t="e">
        <f t="shared" si="20"/>
        <v>#DIV/0!</v>
      </c>
    </row>
    <row r="40" spans="1:26" s="3" customFormat="1" ht="36.75" customHeight="1">
      <c r="A40" s="640" t="s">
        <v>160</v>
      </c>
      <c r="B40" s="655"/>
      <c r="C40" s="656"/>
      <c r="D40" s="656"/>
      <c r="E40" s="657"/>
      <c r="F40" s="656"/>
      <c r="G40" s="657"/>
      <c r="H40" s="657"/>
      <c r="I40" s="657"/>
      <c r="J40" s="657"/>
      <c r="K40" s="657"/>
      <c r="L40" s="657"/>
      <c r="M40" s="657"/>
      <c r="N40" s="543"/>
      <c r="O40" s="657"/>
      <c r="P40" s="543"/>
      <c r="Q40" s="657"/>
      <c r="R40" s="656"/>
      <c r="S40" s="656"/>
      <c r="T40" s="658">
        <f>YTD!Q2341</f>
        <v>0</v>
      </c>
      <c r="U40" s="659" t="e">
        <f>IF(#REF!&gt;0,#REF!/T40,0)</f>
        <v>#REF!</v>
      </c>
      <c r="V40" s="660">
        <f>YTD!Q2342</f>
        <v>0</v>
      </c>
      <c r="W40" s="648" t="e">
        <f>IF(#REF!&gt;0,#REF!/V40,0)</f>
        <v>#REF!</v>
      </c>
      <c r="X40" s="661">
        <f>YTD!Q2346</f>
        <v>0</v>
      </c>
      <c r="Y40" s="648">
        <f t="shared" si="19"/>
        <v>0</v>
      </c>
      <c r="Z40" s="652">
        <f t="shared" si="20"/>
        <v>0</v>
      </c>
    </row>
    <row r="41" spans="1:26" s="3" customFormat="1" ht="36.75" customHeight="1" thickBot="1">
      <c r="A41" s="641" t="s">
        <v>161</v>
      </c>
      <c r="B41" s="662"/>
      <c r="C41" s="663"/>
      <c r="D41" s="663"/>
      <c r="E41" s="544"/>
      <c r="F41" s="663"/>
      <c r="G41" s="544"/>
      <c r="H41" s="552"/>
      <c r="I41" s="552"/>
      <c r="J41" s="552"/>
      <c r="K41" s="552"/>
      <c r="L41" s="552"/>
      <c r="M41" s="552"/>
      <c r="N41" s="544"/>
      <c r="O41" s="552"/>
      <c r="P41" s="544"/>
      <c r="Q41" s="552"/>
      <c r="R41" s="663"/>
      <c r="S41" s="663"/>
      <c r="T41" s="555" t="e">
        <f>T42*C48</f>
        <v>#VALUE!</v>
      </c>
      <c r="U41" s="649" t="e">
        <f>IF(#REF!&gt;0,#REF!/T41,0)</f>
        <v>#REF!</v>
      </c>
      <c r="V41" s="664" t="e">
        <f>V42*C48</f>
        <v>#VALUE!</v>
      </c>
      <c r="W41" s="649" t="e">
        <f>IF(#REF!&gt;0,#REF!/V41,0)</f>
        <v>#REF!</v>
      </c>
      <c r="X41" s="665" t="e">
        <f>#REF!*5.62</f>
        <v>#REF!</v>
      </c>
      <c r="Y41" s="649" t="e">
        <f t="shared" si="19"/>
        <v>#REF!</v>
      </c>
      <c r="Z41" s="654" t="e">
        <f t="shared" si="20"/>
        <v>#REF!</v>
      </c>
    </row>
    <row r="42" spans="1:26" s="673" customFormat="1" ht="42.75" customHeight="1" thickBot="1">
      <c r="A42" s="642" t="s">
        <v>113</v>
      </c>
      <c r="B42" s="666"/>
      <c r="C42" s="666"/>
      <c r="D42" s="667"/>
      <c r="E42" s="666"/>
      <c r="F42" s="667"/>
      <c r="G42" s="666"/>
      <c r="H42" s="666"/>
      <c r="I42" s="666"/>
      <c r="J42" s="666"/>
      <c r="K42" s="666"/>
      <c r="L42" s="666"/>
      <c r="M42" s="666"/>
      <c r="N42" s="667"/>
      <c r="O42" s="666"/>
      <c r="P42" s="667"/>
      <c r="Q42" s="666"/>
      <c r="R42" s="668"/>
      <c r="S42" s="666"/>
      <c r="T42" s="669" t="e">
        <f>T40/$A$48</f>
        <v>#VALUE!</v>
      </c>
      <c r="U42" s="669"/>
      <c r="V42" s="669" t="e">
        <f>V40/$A$48</f>
        <v>#VALUE!</v>
      </c>
      <c r="W42" s="670"/>
      <c r="X42" s="671"/>
      <c r="Y42" s="666"/>
      <c r="Z42" s="672"/>
    </row>
    <row r="43" spans="1:26" ht="36" customHeight="1">
      <c r="A43" s="643" t="s">
        <v>114</v>
      </c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674"/>
      <c r="S43" s="674"/>
      <c r="T43" s="675">
        <f>YTD!Q2358</f>
        <v>0</v>
      </c>
      <c r="U43" s="675"/>
      <c r="V43" s="676">
        <f>YTD!Q2359</f>
        <v>0</v>
      </c>
      <c r="W43" s="675"/>
      <c r="X43" s="677">
        <f>YTD!Q2363</f>
        <v>0</v>
      </c>
      <c r="Y43" s="678">
        <f t="shared" si="19"/>
        <v>0</v>
      </c>
      <c r="Z43" s="678">
        <f t="shared" si="20"/>
        <v>0</v>
      </c>
    </row>
    <row r="44" spans="1:26" ht="36" customHeight="1">
      <c r="A44" s="644" t="s">
        <v>115</v>
      </c>
      <c r="B44" s="679"/>
      <c r="C44" s="680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81" t="e">
        <f>T43/A48*C48</f>
        <v>#VALUE!</v>
      </c>
      <c r="U44" s="681"/>
      <c r="V44" s="681" t="e">
        <f>V43/A48*C48</f>
        <v>#VALUE!</v>
      </c>
      <c r="W44" s="681"/>
      <c r="X44" s="682" t="e">
        <f>X43/A48*C48</f>
        <v>#VALUE!</v>
      </c>
      <c r="Y44" s="576" t="e">
        <f t="shared" si="19"/>
        <v>#VALUE!</v>
      </c>
      <c r="Z44" s="576" t="e">
        <f t="shared" si="20"/>
        <v>#VALUE!</v>
      </c>
    </row>
    <row r="45" spans="1:26" ht="36" customHeight="1" thickBot="1">
      <c r="A45" s="645" t="s">
        <v>117</v>
      </c>
      <c r="B45" s="683"/>
      <c r="C45" s="684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P45" s="683"/>
      <c r="Q45" s="683"/>
      <c r="R45" s="683"/>
      <c r="S45" s="683"/>
      <c r="T45" s="685" t="e">
        <f>T43/A48</f>
        <v>#VALUE!</v>
      </c>
      <c r="U45" s="685"/>
      <c r="V45" s="685" t="e">
        <f>V44/A48*C48</f>
        <v>#VALUE!</v>
      </c>
      <c r="W45" s="685"/>
      <c r="X45" s="686" t="e">
        <f>X43/A48</f>
        <v>#VALUE!</v>
      </c>
      <c r="Y45" s="687"/>
      <c r="Z45" s="687"/>
    </row>
    <row r="46" spans="1:26" ht="23.25" customHeight="1">
      <c r="A46" s="547" t="s">
        <v>162</v>
      </c>
      <c r="B46" s="543"/>
      <c r="C46" s="573"/>
      <c r="D46" s="543"/>
      <c r="E46" s="543"/>
      <c r="F46" s="543"/>
      <c r="G46" s="543"/>
      <c r="H46" s="543"/>
      <c r="I46" s="543"/>
      <c r="J46" s="543"/>
      <c r="K46" s="543"/>
      <c r="L46" s="543"/>
      <c r="M46" s="543"/>
      <c r="N46" s="543"/>
      <c r="O46" s="543"/>
      <c r="P46" s="543"/>
      <c r="Q46" s="543"/>
      <c r="R46" s="543"/>
      <c r="S46" s="543"/>
      <c r="T46" s="688"/>
      <c r="U46" s="688">
        <f>Consp!BH33</f>
        <v>1.151467863064469</v>
      </c>
      <c r="V46" s="689"/>
      <c r="W46" s="688">
        <f>Consp!BI33</f>
        <v>0.57929342492639846</v>
      </c>
      <c r="X46" s="690">
        <f>Consp!BJ33</f>
        <v>140121.30040437225</v>
      </c>
      <c r="Y46" s="688">
        <f>Consp!BK33</f>
        <v>6.8331854288682461</v>
      </c>
      <c r="Z46" s="691">
        <f>Consp!BL33</f>
        <v>3.4377159078599666</v>
      </c>
    </row>
    <row r="47" spans="1:26" ht="23.25" customHeight="1" thickBot="1">
      <c r="A47" s="551" t="s">
        <v>163</v>
      </c>
      <c r="B47" s="544"/>
      <c r="C47" s="578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692"/>
      <c r="U47" s="692">
        <f>Consp!BH34</f>
        <v>1.1761372019916823</v>
      </c>
      <c r="V47" s="693"/>
      <c r="W47" s="692">
        <f>Consp!BI34</f>
        <v>0.60007376616126884</v>
      </c>
      <c r="X47" s="694">
        <f>Consp!BJ34</f>
        <v>5004.3321572990089</v>
      </c>
      <c r="Y47" s="692">
        <f>Consp!BK34</f>
        <v>6.8331854288682452</v>
      </c>
      <c r="Z47" s="695">
        <f>Consp!BL34</f>
        <v>3.4377159078599666</v>
      </c>
    </row>
    <row r="48" spans="1:26" ht="23.25" customHeight="1">
      <c r="A48" s="23" t="s">
        <v>121</v>
      </c>
      <c r="B48" s="106">
        <f>COUNTIF(B7:B36,"&gt;0")</f>
        <v>30</v>
      </c>
      <c r="C48" s="106"/>
      <c r="D48" s="696"/>
      <c r="E48" s="696"/>
      <c r="F48" s="696"/>
      <c r="G48" s="696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97"/>
    </row>
    <row r="49" spans="1:24" s="701" customFormat="1" ht="23.25" customHeight="1">
      <c r="A49" s="646"/>
      <c r="B49" s="698"/>
      <c r="C49" s="699"/>
      <c r="D49" s="700"/>
      <c r="E49" s="700"/>
      <c r="F49" s="700"/>
      <c r="G49" s="700"/>
      <c r="H49" s="700"/>
      <c r="I49" s="700"/>
      <c r="J49" s="700"/>
      <c r="K49" s="700"/>
      <c r="L49" s="700"/>
      <c r="M49" s="700"/>
      <c r="N49" s="700"/>
      <c r="O49" s="700"/>
      <c r="P49" s="699"/>
      <c r="X49" s="702"/>
    </row>
    <row r="50" spans="1:24" ht="23.25" customHeight="1">
      <c r="A50" s="2"/>
      <c r="S50" s="703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17" t="s">
        <v>138</v>
      </c>
      <c r="B136" s="917"/>
      <c r="C136" s="917"/>
      <c r="D136" s="917"/>
      <c r="E136" s="917"/>
      <c r="F136" s="917"/>
      <c r="G136" s="917"/>
      <c r="H136" s="917"/>
      <c r="I136" s="917"/>
      <c r="J136" s="917"/>
      <c r="K136" s="917"/>
      <c r="L136" s="917"/>
      <c r="M136" s="917"/>
      <c r="N136" s="917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FU1Yu/RZXI3YFyZ+nE14+G6Gp/T87ESq97i7C0aX2947gLRHbD/wsBe3El5mqA3CRGrHVnMEBKYAedbAXW9iOw==" saltValue="mcvcbEb79y1epoQJkkmzxQ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57" t="str">
        <f>Elect!A1</f>
        <v>January</v>
      </c>
      <c r="B1" s="168"/>
      <c r="C1" s="168"/>
      <c r="H1" s="139"/>
      <c r="I1" s="140"/>
      <c r="J1" s="141"/>
      <c r="K1" s="141"/>
      <c r="L1" s="959" t="s">
        <v>164</v>
      </c>
      <c r="M1" s="959"/>
      <c r="N1" s="959"/>
      <c r="P1" s="960" t="str">
        <f>Elect!A1</f>
        <v>January</v>
      </c>
      <c r="Q1" s="960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58"/>
      <c r="B2" s="943" t="s">
        <v>165</v>
      </c>
      <c r="C2" s="944"/>
      <c r="D2" s="944"/>
      <c r="E2" s="944"/>
      <c r="F2" s="944"/>
      <c r="G2" s="961"/>
      <c r="H2" s="943" t="s">
        <v>138</v>
      </c>
      <c r="I2" s="944"/>
      <c r="J2" s="944"/>
      <c r="K2" s="944"/>
      <c r="L2" s="944"/>
      <c r="M2" s="944"/>
      <c r="N2" s="944"/>
      <c r="O2" s="944"/>
      <c r="P2" s="961"/>
      <c r="Q2" s="147"/>
      <c r="R2" s="861"/>
      <c r="S2" s="148"/>
      <c r="T2" s="149"/>
      <c r="U2" s="150" t="s">
        <v>166</v>
      </c>
      <c r="V2" s="149"/>
      <c r="W2" s="149"/>
      <c r="X2" s="149"/>
      <c r="Y2" s="149"/>
      <c r="Z2" s="859"/>
      <c r="AA2" s="858"/>
      <c r="AB2" s="151"/>
      <c r="AC2" s="169" t="s">
        <v>167</v>
      </c>
      <c r="AD2" s="862"/>
      <c r="AE2" s="860"/>
      <c r="AF2" s="152"/>
      <c r="AG2" s="931" t="s">
        <v>42</v>
      </c>
      <c r="AH2" s="932"/>
      <c r="AI2" s="932"/>
      <c r="AJ2" s="354" t="s">
        <v>168</v>
      </c>
      <c r="AK2" s="937" t="s">
        <v>169</v>
      </c>
      <c r="AL2" s="939" t="s">
        <v>170</v>
      </c>
      <c r="AM2" s="939" t="s">
        <v>171</v>
      </c>
      <c r="AN2" s="929" t="s">
        <v>172</v>
      </c>
      <c r="AO2" s="947" t="s">
        <v>173</v>
      </c>
      <c r="AP2" s="949" t="s">
        <v>174</v>
      </c>
      <c r="AQ2" s="951" t="s">
        <v>175</v>
      </c>
      <c r="AR2" s="953" t="s">
        <v>176</v>
      </c>
      <c r="AS2" s="955" t="s">
        <v>174</v>
      </c>
      <c r="AT2" s="945" t="s">
        <v>177</v>
      </c>
      <c r="AU2" s="946"/>
      <c r="AV2" s="943" t="s">
        <v>178</v>
      </c>
      <c r="AW2" s="944"/>
      <c r="AX2" s="172"/>
      <c r="AY2" s="173"/>
      <c r="AZ2" s="174" t="s">
        <v>179</v>
      </c>
      <c r="BA2" s="174"/>
      <c r="BB2" s="175"/>
      <c r="BC2" s="155"/>
      <c r="BD2" s="153"/>
      <c r="BE2" s="861" t="s">
        <v>180</v>
      </c>
      <c r="BF2" s="861"/>
      <c r="BG2" s="154"/>
      <c r="BH2" s="174"/>
      <c r="BI2" s="174"/>
      <c r="BJ2" s="174" t="s">
        <v>181</v>
      </c>
      <c r="BK2" s="174"/>
      <c r="BL2" s="175"/>
      <c r="BM2" s="861"/>
      <c r="BN2" s="861"/>
      <c r="BO2" s="861" t="s">
        <v>182</v>
      </c>
      <c r="BP2" s="861"/>
      <c r="BQ2" s="154"/>
    </row>
    <row r="3" spans="1:69" ht="174.75" customHeight="1" thickBot="1">
      <c r="A3" s="156" t="s">
        <v>53</v>
      </c>
      <c r="B3" s="962" t="s">
        <v>183</v>
      </c>
      <c r="C3" s="963"/>
      <c r="D3" s="964" t="s">
        <v>55</v>
      </c>
      <c r="E3" s="965"/>
      <c r="F3" s="966" t="s">
        <v>56</v>
      </c>
      <c r="G3" s="967"/>
      <c r="H3" s="966" t="s">
        <v>184</v>
      </c>
      <c r="I3" s="967"/>
      <c r="J3" s="968" t="s">
        <v>185</v>
      </c>
      <c r="K3" s="969"/>
      <c r="L3" s="970" t="s">
        <v>186</v>
      </c>
      <c r="M3" s="971"/>
      <c r="N3" s="152" t="s">
        <v>187</v>
      </c>
      <c r="O3" s="933" t="s">
        <v>151</v>
      </c>
      <c r="P3" s="934"/>
      <c r="Q3" s="933" t="s">
        <v>188</v>
      </c>
      <c r="R3" s="934"/>
      <c r="S3" s="935" t="s">
        <v>189</v>
      </c>
      <c r="T3" s="936"/>
      <c r="U3" s="935" t="s">
        <v>190</v>
      </c>
      <c r="V3" s="936"/>
      <c r="W3" s="941" t="s">
        <v>191</v>
      </c>
      <c r="X3" s="942"/>
      <c r="Y3" s="935" t="s">
        <v>192</v>
      </c>
      <c r="Z3" s="936"/>
      <c r="AA3" s="941" t="s">
        <v>193</v>
      </c>
      <c r="AB3" s="942"/>
      <c r="AC3" s="935" t="s">
        <v>194</v>
      </c>
      <c r="AD3" s="936"/>
      <c r="AE3" s="157" t="s">
        <v>195</v>
      </c>
      <c r="AF3" s="386" t="s">
        <v>196</v>
      </c>
      <c r="AG3" s="181" t="s">
        <v>197</v>
      </c>
      <c r="AH3" s="158" t="s">
        <v>198</v>
      </c>
      <c r="AI3" s="159" t="s">
        <v>157</v>
      </c>
      <c r="AJ3" s="355">
        <v>0</v>
      </c>
      <c r="AK3" s="938"/>
      <c r="AL3" s="940"/>
      <c r="AM3" s="940"/>
      <c r="AN3" s="930"/>
      <c r="AO3" s="948"/>
      <c r="AP3" s="950"/>
      <c r="AQ3" s="952"/>
      <c r="AR3" s="954"/>
      <c r="AS3" s="956"/>
      <c r="AT3" s="161" t="s">
        <v>199</v>
      </c>
      <c r="AU3" s="161" t="s">
        <v>200</v>
      </c>
      <c r="AV3" s="160" t="s">
        <v>143</v>
      </c>
      <c r="AW3" s="162" t="s">
        <v>145</v>
      </c>
      <c r="AX3" s="176" t="s">
        <v>144</v>
      </c>
      <c r="AY3" s="177" t="s">
        <v>146</v>
      </c>
      <c r="AZ3" s="356" t="s">
        <v>147</v>
      </c>
      <c r="BA3" s="178" t="s">
        <v>201</v>
      </c>
      <c r="BB3" s="179" t="s">
        <v>202</v>
      </c>
      <c r="BC3" s="387" t="s">
        <v>144</v>
      </c>
      <c r="BD3" s="388" t="s">
        <v>146</v>
      </c>
      <c r="BE3" s="357" t="s">
        <v>147</v>
      </c>
      <c r="BF3" s="164" t="s">
        <v>201</v>
      </c>
      <c r="BG3" s="165" t="s">
        <v>202</v>
      </c>
      <c r="BH3" s="177" t="s">
        <v>144</v>
      </c>
      <c r="BI3" s="177" t="s">
        <v>146</v>
      </c>
      <c r="BJ3" s="356" t="s">
        <v>147</v>
      </c>
      <c r="BK3" s="178" t="s">
        <v>201</v>
      </c>
      <c r="BL3" s="179" t="s">
        <v>202</v>
      </c>
      <c r="BM3" s="163" t="s">
        <v>144</v>
      </c>
      <c r="BN3" s="163" t="s">
        <v>146</v>
      </c>
      <c r="BO3" s="357" t="s">
        <v>147</v>
      </c>
      <c r="BP3" s="164" t="s">
        <v>201</v>
      </c>
      <c r="BQ3" s="165" t="s">
        <v>202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4287</v>
      </c>
      <c r="D5" s="461">
        <v>0</v>
      </c>
      <c r="E5" s="460">
        <f>Elect!M6</f>
        <v>1381</v>
      </c>
      <c r="F5" s="461">
        <v>20</v>
      </c>
      <c r="G5" s="460">
        <f>Elect!O6</f>
        <v>1441</v>
      </c>
      <c r="H5" s="461">
        <v>800</v>
      </c>
      <c r="I5" s="460">
        <f>Water!C7</f>
        <v>0</v>
      </c>
      <c r="J5" s="461">
        <v>0</v>
      </c>
      <c r="K5" s="460">
        <f>Water!E7</f>
        <v>237.79999999999998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245.33999999999997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142.29719999999998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894.6400000000001</v>
      </c>
      <c r="AI5" s="465" t="e">
        <f>Gas!#REF!</f>
        <v>#REF!</v>
      </c>
      <c r="AJ5" s="466">
        <f>Gas!J7</f>
        <v>269.09999999999997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Elect!BK6</f>
        <v>186</v>
      </c>
      <c r="AU5" s="460">
        <f>Elect!BI6</f>
        <v>111</v>
      </c>
      <c r="AV5" s="460" t="e">
        <f>Elect!#REF!</f>
        <v>#REF!</v>
      </c>
      <c r="AW5" s="460">
        <f>Elect!BK6</f>
        <v>186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3.3608219178082188</v>
      </c>
      <c r="BN5" s="477" t="e">
        <f>Water!W7</f>
        <v>#DIV/0!</v>
      </c>
      <c r="BO5" s="472">
        <f>Water!X7</f>
        <v>981.3599999999999</v>
      </c>
      <c r="BP5" s="477">
        <f>Water!Y7</f>
        <v>13.443287671232875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4841</v>
      </c>
      <c r="D6" s="461">
        <v>0</v>
      </c>
      <c r="E6" s="460">
        <f>Elect!M7</f>
        <v>1511</v>
      </c>
      <c r="F6" s="461">
        <v>20</v>
      </c>
      <c r="G6" s="460">
        <f>Elect!O7</f>
        <v>1587</v>
      </c>
      <c r="H6" s="461">
        <v>936</v>
      </c>
      <c r="I6" s="460">
        <f>Water!C8</f>
        <v>0</v>
      </c>
      <c r="J6" s="461">
        <v>0</v>
      </c>
      <c r="K6" s="460">
        <f>Water!E8</f>
        <v>150.79999999999998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162.97999999999999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94.528399999999991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7949568</v>
      </c>
      <c r="AH6" s="464">
        <f>Gas!C8</f>
        <v>1228.54</v>
      </c>
      <c r="AI6" s="465" t="e">
        <f>Gas!#REF!</f>
        <v>#REF!</v>
      </c>
      <c r="AJ6" s="466">
        <f>Gas!J8</f>
        <v>249.6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Elect!BK7</f>
        <v>100</v>
      </c>
      <c r="AU6" s="460">
        <f>Elect!BI7</f>
        <v>50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Elect!BJ7</f>
        <v>446500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3.018148148148148</v>
      </c>
      <c r="BN6" s="477" t="e">
        <f>Water!W8</f>
        <v>#DIV/0!</v>
      </c>
      <c r="BO6" s="472">
        <f>Water!X8</f>
        <v>651.91999999999996</v>
      </c>
      <c r="BP6" s="477">
        <f>Water!Y8</f>
        <v>12.072592592592592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4443</v>
      </c>
      <c r="D7" s="461">
        <v>0</v>
      </c>
      <c r="E7" s="460">
        <f>Elect!M8</f>
        <v>1305</v>
      </c>
      <c r="F7" s="461">
        <v>20</v>
      </c>
      <c r="G7" s="460">
        <f>Elect!O8</f>
        <v>1497</v>
      </c>
      <c r="H7" s="461">
        <v>685</v>
      </c>
      <c r="I7" s="460">
        <f>Water!C9</f>
        <v>5.8</v>
      </c>
      <c r="J7" s="461">
        <v>0</v>
      </c>
      <c r="K7" s="460">
        <f>Water!E9</f>
        <v>185.6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201.84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117.0672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7951694</v>
      </c>
      <c r="AH7" s="464">
        <f>Gas!C9</f>
        <v>1025.02</v>
      </c>
      <c r="AI7" s="465" t="e">
        <f>Gas!#REF!</f>
        <v>#REF!</v>
      </c>
      <c r="AJ7" s="466">
        <f>Gas!J9</f>
        <v>261.3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Elect!BK8</f>
        <v>91</v>
      </c>
      <c r="AU7" s="460">
        <f>Elect!BI8</f>
        <v>61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Elect!BJ8</f>
        <v>446591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4.6939534883720935</v>
      </c>
      <c r="BN7" s="477" t="e">
        <f>Water!W9</f>
        <v>#DIV/0!</v>
      </c>
      <c r="BO7" s="472">
        <f>Water!X9</f>
        <v>807.36</v>
      </c>
      <c r="BP7" s="477">
        <f>Water!Y9</f>
        <v>18.775813953488374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4708</v>
      </c>
      <c r="D8" s="461">
        <v>0</v>
      </c>
      <c r="E8" s="460">
        <f>Elect!M9</f>
        <v>1410</v>
      </c>
      <c r="F8" s="461">
        <v>20</v>
      </c>
      <c r="G8" s="460">
        <f>Elect!O9</f>
        <v>1764</v>
      </c>
      <c r="H8" s="461">
        <v>786</v>
      </c>
      <c r="I8" s="460">
        <f>Water!C10</f>
        <v>0</v>
      </c>
      <c r="J8" s="461">
        <v>0</v>
      </c>
      <c r="K8" s="460">
        <f>Water!E10</f>
        <v>174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178.64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103.61119999999998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7952355</v>
      </c>
      <c r="AH8" s="464">
        <f>Gas!C10</f>
        <v>700.66000000000008</v>
      </c>
      <c r="AI8" s="465" t="e">
        <f>Gas!#REF!</f>
        <v>#REF!</v>
      </c>
      <c r="AJ8" s="466">
        <f>Gas!J10</f>
        <v>276.89999999999998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Elect!BK9</f>
        <v>225</v>
      </c>
      <c r="AU8" s="460">
        <f>Elect!BI9</f>
        <v>120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Elect!BJ9</f>
        <v>446816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3.5727999999999995</v>
      </c>
      <c r="BN8" s="477" t="e">
        <f>Water!W10</f>
        <v>#DIV/0!</v>
      </c>
      <c r="BO8" s="472">
        <f>Water!X10</f>
        <v>714.56</v>
      </c>
      <c r="BP8" s="477">
        <f>Water!Y10</f>
        <v>14.291199999999998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4642</v>
      </c>
      <c r="D9" s="461">
        <v>0</v>
      </c>
      <c r="E9" s="460">
        <f>Elect!M10</f>
        <v>1175</v>
      </c>
      <c r="F9" s="461">
        <v>20</v>
      </c>
      <c r="G9" s="460">
        <f>Elect!O10</f>
        <v>1525</v>
      </c>
      <c r="H9" s="461">
        <v>789</v>
      </c>
      <c r="I9" s="460">
        <f>Water!C11</f>
        <v>0</v>
      </c>
      <c r="J9" s="461">
        <v>0</v>
      </c>
      <c r="K9" s="460">
        <f>Water!E11</f>
        <v>231.99999999999997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240.69999999999996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139.60599999999997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7953465</v>
      </c>
      <c r="AH9" s="464">
        <f>Gas!C11</f>
        <v>1176.6000000000001</v>
      </c>
      <c r="AI9" s="465" t="e">
        <f>Gas!#REF!</f>
        <v>#REF!</v>
      </c>
      <c r="AJ9" s="466">
        <f>Gas!J11</f>
        <v>319.8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Elect!BK10</f>
        <v>229</v>
      </c>
      <c r="AU9" s="460">
        <f>Elect!BI10</f>
        <v>114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Elect!BJ10</f>
        <v>447045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4.541509433962263</v>
      </c>
      <c r="BN9" s="477" t="e">
        <f>Water!W11</f>
        <v>#DIV/0!</v>
      </c>
      <c r="BO9" s="472">
        <f>Water!X11</f>
        <v>962.79999999999984</v>
      </c>
      <c r="BP9" s="477">
        <f>Water!Y11</f>
        <v>18.166037735849052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5488</v>
      </c>
      <c r="D10" s="461">
        <v>0</v>
      </c>
      <c r="E10" s="460">
        <f>Elect!M11</f>
        <v>1235</v>
      </c>
      <c r="F10" s="461">
        <v>20</v>
      </c>
      <c r="G10" s="460">
        <f>Elect!O11</f>
        <v>1621</v>
      </c>
      <c r="H10" s="461">
        <v>805</v>
      </c>
      <c r="I10" s="460">
        <f>Water!C12</f>
        <v>5.8</v>
      </c>
      <c r="J10" s="461">
        <v>0</v>
      </c>
      <c r="K10" s="460">
        <f>Water!E12</f>
        <v>156.6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169.36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98.228800000000007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7954392</v>
      </c>
      <c r="AH10" s="464">
        <f>Gas!C12</f>
        <v>982.62</v>
      </c>
      <c r="AI10" s="465" t="e">
        <f>Gas!#REF!</f>
        <v>#REF!</v>
      </c>
      <c r="AJ10" s="466">
        <f>Gas!J12</f>
        <v>237.9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Elect!BK11</f>
        <v>210</v>
      </c>
      <c r="AU10" s="460">
        <f>Elect!BI11</f>
        <v>97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Elect!BJ11</f>
        <v>447255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3.3872000000000004</v>
      </c>
      <c r="BN10" s="477" t="e">
        <f>Water!W12</f>
        <v>#DIV/0!</v>
      </c>
      <c r="BO10" s="472">
        <f>Water!X12</f>
        <v>677.44</v>
      </c>
      <c r="BP10" s="477">
        <f>Water!Y12</f>
        <v>13.548800000000002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4353</v>
      </c>
      <c r="D11" s="461">
        <v>0</v>
      </c>
      <c r="E11" s="460">
        <f>Elect!M12</f>
        <v>1606</v>
      </c>
      <c r="F11" s="461">
        <v>20</v>
      </c>
      <c r="G11" s="460">
        <f>Elect!O12</f>
        <v>1996</v>
      </c>
      <c r="H11" s="461">
        <v>871</v>
      </c>
      <c r="I11" s="460">
        <f>Water!C13</f>
        <v>0</v>
      </c>
      <c r="J11" s="461">
        <v>0</v>
      </c>
      <c r="K11" s="460">
        <f>Water!E13</f>
        <v>231.99999999999997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238.95999999999998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138.59679999999997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7955256</v>
      </c>
      <c r="AH11" s="464">
        <f>Gas!C13</f>
        <v>915.84</v>
      </c>
      <c r="AI11" s="465" t="e">
        <f>Gas!#REF!</f>
        <v>#REF!</v>
      </c>
      <c r="AJ11" s="466">
        <f>Gas!J13</f>
        <v>210.6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Elect!BK12</f>
        <v>199</v>
      </c>
      <c r="AU11" s="460">
        <f>Elect!BI12</f>
        <v>89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Elect!BJ12</f>
        <v>447454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3.8541935483870966</v>
      </c>
      <c r="BN11" s="477" t="e">
        <f>Water!W13</f>
        <v>#DIV/0!</v>
      </c>
      <c r="BO11" s="472">
        <f>Water!X13</f>
        <v>955.83999999999992</v>
      </c>
      <c r="BP11" s="477">
        <f>Water!Y13</f>
        <v>15.416774193548386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4426</v>
      </c>
      <c r="D12" s="461">
        <v>0</v>
      </c>
      <c r="E12" s="460">
        <f>Elect!M13</f>
        <v>1269</v>
      </c>
      <c r="F12" s="461">
        <v>20</v>
      </c>
      <c r="G12" s="460">
        <f>Elect!O13</f>
        <v>1516</v>
      </c>
      <c r="H12" s="461">
        <v>963</v>
      </c>
      <c r="I12" s="460">
        <f>Water!C14</f>
        <v>0</v>
      </c>
      <c r="J12" s="461">
        <v>0</v>
      </c>
      <c r="K12" s="460">
        <f>Water!E14</f>
        <v>185.6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191.98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111.34839999999998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7955957</v>
      </c>
      <c r="AH12" s="464">
        <f>Gas!C14</f>
        <v>743.06000000000006</v>
      </c>
      <c r="AI12" s="465" t="e">
        <f>Gas!#REF!</f>
        <v>#REF!</v>
      </c>
      <c r="AJ12" s="466">
        <f>Gas!J14</f>
        <v>296.39999999999998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Elect!BK13</f>
        <v>193</v>
      </c>
      <c r="AU12" s="460">
        <f>Elect!BI13</f>
        <v>93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Elect!BJ13</f>
        <v>447647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3.147213114754098</v>
      </c>
      <c r="BN12" s="477" t="e">
        <f>Water!W14</f>
        <v>#DIV/0!</v>
      </c>
      <c r="BO12" s="472">
        <f>Water!X14</f>
        <v>767.92</v>
      </c>
      <c r="BP12" s="477">
        <f>Water!Y14</f>
        <v>12.588852459016392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4074</v>
      </c>
      <c r="D13" s="461">
        <v>0</v>
      </c>
      <c r="E13" s="460">
        <f>Elect!M14</f>
        <v>1208</v>
      </c>
      <c r="F13" s="461">
        <v>20</v>
      </c>
      <c r="G13" s="460">
        <f>Elect!O14</f>
        <v>1394</v>
      </c>
      <c r="H13" s="461">
        <v>790</v>
      </c>
      <c r="I13" s="460">
        <f>Water!C15</f>
        <v>0</v>
      </c>
      <c r="J13" s="461">
        <v>0</v>
      </c>
      <c r="K13" s="460">
        <f>Water!E15</f>
        <v>307.39999999999998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317.83999999999997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184.34719999999999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7956763</v>
      </c>
      <c r="AH13" s="464">
        <f>Gas!C15</f>
        <v>854.36</v>
      </c>
      <c r="AI13" s="465" t="e">
        <f>Gas!#REF!</f>
        <v>#REF!</v>
      </c>
      <c r="AJ13" s="466">
        <f>Gas!J15</f>
        <v>261.3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Elect!BK14</f>
        <v>176</v>
      </c>
      <c r="AU13" s="460">
        <f>Elect!BI14</f>
        <v>110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Elect!BJ14</f>
        <v>447823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5.3871186440677965</v>
      </c>
      <c r="BN13" s="477" t="e">
        <f>Water!W15</f>
        <v>#DIV/0!</v>
      </c>
      <c r="BO13" s="472">
        <f>Water!X15</f>
        <v>1271.3599999999999</v>
      </c>
      <c r="BP13" s="477">
        <f>Water!Y15</f>
        <v>21.548474576271186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5552</v>
      </c>
      <c r="D14" s="461">
        <v>0</v>
      </c>
      <c r="E14" s="460">
        <f>Elect!M15</f>
        <v>1318</v>
      </c>
      <c r="F14" s="461">
        <v>20</v>
      </c>
      <c r="G14" s="460">
        <f>Elect!O15</f>
        <v>1494</v>
      </c>
      <c r="H14" s="461">
        <v>792</v>
      </c>
      <c r="I14" s="460">
        <f>Water!C16</f>
        <v>5.8</v>
      </c>
      <c r="J14" s="461">
        <v>0</v>
      </c>
      <c r="K14" s="460">
        <f>Water!E16</f>
        <v>307.39999999999998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321.32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186.36559999999997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7957726</v>
      </c>
      <c r="AH14" s="464">
        <f>Gas!C16</f>
        <v>1020.7800000000001</v>
      </c>
      <c r="AI14" s="465" t="e">
        <f>Gas!#REF!</f>
        <v>#REF!</v>
      </c>
      <c r="AJ14" s="466">
        <f>Gas!J16</f>
        <v>397.8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Elect!BK15</f>
        <v>226</v>
      </c>
      <c r="AU14" s="460">
        <f>Elect!BI15</f>
        <v>138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Elect!BJ15</f>
        <v>448049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3.9185365853658536</v>
      </c>
      <c r="BN14" s="477" t="e">
        <f>Water!W16</f>
        <v>#DIV/0!</v>
      </c>
      <c r="BO14" s="472">
        <f>Water!X16</f>
        <v>1285.28</v>
      </c>
      <c r="BP14" s="477">
        <f>Water!Y16</f>
        <v>15.674146341463414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2990</v>
      </c>
      <c r="D15" s="461">
        <v>0</v>
      </c>
      <c r="E15" s="460">
        <f>Elect!M16</f>
        <v>1245</v>
      </c>
      <c r="F15" s="461">
        <v>20</v>
      </c>
      <c r="G15" s="460">
        <f>Elect!O16</f>
        <v>1453</v>
      </c>
      <c r="H15" s="461">
        <v>817</v>
      </c>
      <c r="I15" s="460">
        <f>Water!C17</f>
        <v>0</v>
      </c>
      <c r="J15" s="461">
        <v>0</v>
      </c>
      <c r="K15" s="460">
        <f>Water!E17</f>
        <v>284.2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290.58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168.53639999999999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915.84</v>
      </c>
      <c r="AI15" s="465" t="e">
        <f>Gas!#REF!</f>
        <v>#REF!</v>
      </c>
      <c r="AJ15" s="466">
        <f>Gas!J17</f>
        <v>195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Elect!BK16</f>
        <v>148</v>
      </c>
      <c r="AU15" s="460">
        <f>Elect!BI16</f>
        <v>87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Elect!BJ16</f>
        <v>448197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8.3022857142857145</v>
      </c>
      <c r="BN15" s="477" t="e">
        <f>Water!W17</f>
        <v>#DIV/0!</v>
      </c>
      <c r="BO15" s="472">
        <f>Water!X17</f>
        <v>1162.32</v>
      </c>
      <c r="BP15" s="477">
        <f>Water!Y17</f>
        <v>33.209142857142858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4437</v>
      </c>
      <c r="D16" s="461">
        <v>0</v>
      </c>
      <c r="E16" s="460">
        <f>Elect!M17</f>
        <v>1209</v>
      </c>
      <c r="F16" s="461">
        <v>20</v>
      </c>
      <c r="G16" s="460">
        <f>Elect!O17</f>
        <v>1578</v>
      </c>
      <c r="H16" s="461">
        <v>907</v>
      </c>
      <c r="I16" s="460">
        <f>Water!C18</f>
        <v>0</v>
      </c>
      <c r="J16" s="461">
        <v>0</v>
      </c>
      <c r="K16" s="460">
        <f>Water!E18</f>
        <v>237.79999999999998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244.76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141.96079999999998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7959499</v>
      </c>
      <c r="AH16" s="464">
        <f>Gas!C18</f>
        <v>963.54000000000008</v>
      </c>
      <c r="AI16" s="465" t="e">
        <f>Gas!#REF!</f>
        <v>#REF!</v>
      </c>
      <c r="AJ16" s="466">
        <f>Gas!J18</f>
        <v>312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Elect!BK17</f>
        <v>211</v>
      </c>
      <c r="AU16" s="460">
        <f>Elect!BI17</f>
        <v>112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Elect!BJ17</f>
        <v>448408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6.7988888888888885</v>
      </c>
      <c r="BN16" s="477" t="e">
        <f>Water!W18</f>
        <v>#DIV/0!</v>
      </c>
      <c r="BO16" s="472">
        <f>Water!X18</f>
        <v>979.04</v>
      </c>
      <c r="BP16" s="477">
        <f>Water!Y18</f>
        <v>27.195555555555554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3726</v>
      </c>
      <c r="D17" s="461">
        <v>0</v>
      </c>
      <c r="E17" s="460">
        <f>Elect!M18</f>
        <v>1016</v>
      </c>
      <c r="F17" s="461">
        <v>20</v>
      </c>
      <c r="G17" s="460">
        <f>Elect!O18</f>
        <v>1469</v>
      </c>
      <c r="H17" s="461">
        <v>812</v>
      </c>
      <c r="I17" s="460">
        <f>Water!C19</f>
        <v>5.8</v>
      </c>
      <c r="J17" s="461">
        <v>0</v>
      </c>
      <c r="K17" s="460">
        <f>Water!E19</f>
        <v>214.6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227.36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131.86879999999999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7960407</v>
      </c>
      <c r="AH17" s="464">
        <f>Gas!C19</f>
        <v>962.48</v>
      </c>
      <c r="AI17" s="465" t="e">
        <f>Gas!#REF!</f>
        <v>#REF!</v>
      </c>
      <c r="AJ17" s="466">
        <f>Gas!J19</f>
        <v>276.89999999999998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Elect!BK18</f>
        <v>173</v>
      </c>
      <c r="AU17" s="460">
        <f>Elect!BI18</f>
        <v>84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Elect!BJ18</f>
        <v>448581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7.5786666666666669</v>
      </c>
      <c r="BN17" s="477" t="e">
        <f>Water!W19</f>
        <v>#DIV/0!</v>
      </c>
      <c r="BO17" s="472">
        <f>Water!X19</f>
        <v>909.44</v>
      </c>
      <c r="BP17" s="477">
        <f>Water!Y19</f>
        <v>30.314666666666668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4681</v>
      </c>
      <c r="D18" s="461">
        <v>0</v>
      </c>
      <c r="E18" s="460">
        <f>Elect!M19</f>
        <v>1427</v>
      </c>
      <c r="F18" s="461">
        <v>30</v>
      </c>
      <c r="G18" s="460">
        <f>Elect!O19</f>
        <v>1761</v>
      </c>
      <c r="H18" s="461">
        <v>810</v>
      </c>
      <c r="I18" s="460">
        <f>Water!C20</f>
        <v>0</v>
      </c>
      <c r="J18" s="461">
        <v>0</v>
      </c>
      <c r="K18" s="460">
        <f>Water!E20</f>
        <v>290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298.12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172.90959999999998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7961290</v>
      </c>
      <c r="AH18" s="464">
        <f>Gas!C20</f>
        <v>935.98</v>
      </c>
      <c r="AI18" s="465" t="e">
        <f>Gas!#REF!</f>
        <v>#REF!</v>
      </c>
      <c r="AJ18" s="466">
        <f>Gas!J20</f>
        <v>284.7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Elect!BK19</f>
        <v>217</v>
      </c>
      <c r="AU18" s="460">
        <f>Elect!BI19</f>
        <v>107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Elect!BJ6</f>
        <v>446400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6.9330232558139535</v>
      </c>
      <c r="BN18" s="477" t="e">
        <f>Water!W20</f>
        <v>#DIV/0!</v>
      </c>
      <c r="BO18" s="472">
        <f>Water!X20</f>
        <v>1192.48</v>
      </c>
      <c r="BP18" s="477">
        <f>Water!Y20</f>
        <v>27.732093023255814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4525</v>
      </c>
      <c r="D19" s="461">
        <v>0</v>
      </c>
      <c r="E19" s="460">
        <f>Elect!M20</f>
        <v>1465</v>
      </c>
      <c r="F19" s="461">
        <v>20</v>
      </c>
      <c r="G19" s="460">
        <f>Elect!O20</f>
        <v>1581</v>
      </c>
      <c r="H19" s="461">
        <v>841</v>
      </c>
      <c r="I19" s="460">
        <f>Water!C21</f>
        <v>0</v>
      </c>
      <c r="J19" s="461">
        <v>0</v>
      </c>
      <c r="K19" s="460">
        <f>Water!E21</f>
        <v>261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268.54000000000002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155.75319999999999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7962173</v>
      </c>
      <c r="AH19" s="464">
        <f>Gas!C21</f>
        <v>935.98</v>
      </c>
      <c r="AI19" s="465" t="e">
        <f>Gas!#REF!</f>
        <v>#REF!</v>
      </c>
      <c r="AJ19" s="466">
        <f>Gas!J21</f>
        <v>284.7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Elect!BK20</f>
        <v>202</v>
      </c>
      <c r="AU19" s="460">
        <f>Elect!BI20</f>
        <v>100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Elect!BJ20</f>
        <v>449000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4.1313846153846159</v>
      </c>
      <c r="BN19" s="477" t="e">
        <f>Water!W21</f>
        <v>#DIV/0!</v>
      </c>
      <c r="BO19" s="472">
        <f>Water!X21</f>
        <v>1074.1600000000001</v>
      </c>
      <c r="BP19" s="477">
        <f>Water!Y21</f>
        <v>16.525538461538464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4214</v>
      </c>
      <c r="D20" s="461">
        <v>0</v>
      </c>
      <c r="E20" s="460">
        <f>Elect!M21</f>
        <v>1260</v>
      </c>
      <c r="F20" s="461">
        <v>20</v>
      </c>
      <c r="G20" s="460">
        <f>Elect!O21</f>
        <v>1497</v>
      </c>
      <c r="H20" s="461">
        <v>932</v>
      </c>
      <c r="I20" s="460">
        <f>Water!C22</f>
        <v>0</v>
      </c>
      <c r="J20" s="461">
        <v>0</v>
      </c>
      <c r="K20" s="460">
        <f>Water!E22</f>
        <v>231.99999999999997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241.85999999999996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140.27879999999996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7963238</v>
      </c>
      <c r="AH20" s="464">
        <f>Gas!C22</f>
        <v>1128.9000000000001</v>
      </c>
      <c r="AI20" s="465" t="e">
        <f>Gas!#REF!</f>
        <v>#REF!</v>
      </c>
      <c r="AJ20" s="466">
        <f>Gas!J22</f>
        <v>214.5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Elect!BK21</f>
        <v>186</v>
      </c>
      <c r="AU20" s="460">
        <f>Elect!BI21</f>
        <v>96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Elect!BJ21</f>
        <v>449186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4.3974545454545444</v>
      </c>
      <c r="BN20" s="477" t="e">
        <f>Water!W22</f>
        <v>#DIV/0!</v>
      </c>
      <c r="BO20" s="472">
        <f>Water!X22</f>
        <v>967.43999999999983</v>
      </c>
      <c r="BP20" s="477">
        <f>Water!Y22</f>
        <v>17.589818181818178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5085</v>
      </c>
      <c r="D21" s="461">
        <v>0</v>
      </c>
      <c r="E21" s="460">
        <f>Elect!M22</f>
        <v>1610</v>
      </c>
      <c r="F21" s="461">
        <v>20</v>
      </c>
      <c r="G21" s="460">
        <f>Elect!O22</f>
        <v>1786</v>
      </c>
      <c r="H21" s="461">
        <v>972</v>
      </c>
      <c r="I21" s="460">
        <f>Water!C23</f>
        <v>0</v>
      </c>
      <c r="J21" s="461">
        <v>0</v>
      </c>
      <c r="K21" s="460">
        <f>Water!E23</f>
        <v>226.2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233.73999999999998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135.56919999999997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7964246</v>
      </c>
      <c r="AH21" s="464">
        <f>Gas!C23</f>
        <v>1068.48</v>
      </c>
      <c r="AI21" s="465" t="e">
        <f>Gas!#REF!</f>
        <v>#REF!</v>
      </c>
      <c r="AJ21" s="466">
        <f>Gas!J23</f>
        <v>315.89999999999998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Elect!BK22</f>
        <v>212</v>
      </c>
      <c r="AU21" s="460">
        <f>Elect!BI22</f>
        <v>129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3.8956666666666662</v>
      </c>
      <c r="BN21" s="477" t="e">
        <f>Water!W23</f>
        <v>#DIV/0!</v>
      </c>
      <c r="BO21" s="472">
        <f>Water!X23</f>
        <v>934.95999999999992</v>
      </c>
      <c r="BP21" s="477">
        <f>Water!Y23</f>
        <v>15.582666666666665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4854</v>
      </c>
      <c r="D22" s="461">
        <v>0</v>
      </c>
      <c r="E22" s="460">
        <f>Elect!M23</f>
        <v>1476</v>
      </c>
      <c r="F22" s="461">
        <v>20</v>
      </c>
      <c r="G22" s="460">
        <f>Elect!O23</f>
        <v>1590</v>
      </c>
      <c r="H22" s="461">
        <v>864</v>
      </c>
      <c r="I22" s="460">
        <f>Water!C24</f>
        <v>5.8</v>
      </c>
      <c r="J22" s="461">
        <v>0</v>
      </c>
      <c r="K22" s="460">
        <f>Water!E24</f>
        <v>220.39999999999998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233.73999999999998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135.56919999999997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7965107</v>
      </c>
      <c r="AH22" s="464">
        <f>Gas!C24</f>
        <v>912.66000000000008</v>
      </c>
      <c r="AI22" s="465" t="e">
        <f>Gas!#REF!</f>
        <v>#REF!</v>
      </c>
      <c r="AJ22" s="466">
        <f>Gas!J24</f>
        <v>288.59999999999997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Elect!BK23</f>
        <v>197</v>
      </c>
      <c r="AU22" s="460">
        <f>Elect!BI23</f>
        <v>106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Elect!BJ23</f>
        <v>449595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5.3122727272727266</v>
      </c>
      <c r="BN22" s="477" t="e">
        <f>Water!W24</f>
        <v>#DIV/0!</v>
      </c>
      <c r="BO22" s="472">
        <f>Water!X24</f>
        <v>934.95999999999992</v>
      </c>
      <c r="BP22" s="477">
        <f>Water!Y24</f>
        <v>21.249090909090906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4933</v>
      </c>
      <c r="D23" s="461">
        <v>0</v>
      </c>
      <c r="E23" s="460">
        <f>Elect!M24</f>
        <v>1545</v>
      </c>
      <c r="F23" s="461">
        <v>30</v>
      </c>
      <c r="G23" s="460">
        <f>Elect!O24</f>
        <v>1525</v>
      </c>
      <c r="H23" s="461">
        <v>894</v>
      </c>
      <c r="I23" s="460">
        <f>Water!C25</f>
        <v>0</v>
      </c>
      <c r="J23" s="461">
        <v>0</v>
      </c>
      <c r="K23" s="460">
        <f>Water!E25</f>
        <v>243.6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251.72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145.99759999999998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7966232</v>
      </c>
      <c r="AH23" s="464">
        <f>Gas!C25</f>
        <v>1192.5</v>
      </c>
      <c r="AI23" s="465" t="e">
        <f>Gas!#REF!</f>
        <v>#REF!</v>
      </c>
      <c r="AJ23" s="466">
        <f>Gas!J25</f>
        <v>245.7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Elect!BK24</f>
        <v>203</v>
      </c>
      <c r="AU23" s="460">
        <f>Elect!BI24</f>
        <v>110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Elect!BJ24</f>
        <v>449798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4.9356862745098038</v>
      </c>
      <c r="BN23" s="477" t="e">
        <f>Water!W25</f>
        <v>#DIV/0!</v>
      </c>
      <c r="BO23" s="472">
        <f>Water!X25</f>
        <v>1006.88</v>
      </c>
      <c r="BP23" s="477">
        <f>Water!Y25</f>
        <v>19.742745098039215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5011</v>
      </c>
      <c r="D24" s="461">
        <v>0</v>
      </c>
      <c r="E24" s="460">
        <f>Elect!M25</f>
        <v>1588</v>
      </c>
      <c r="F24" s="461">
        <v>20</v>
      </c>
      <c r="G24" s="460">
        <f>Elect!O25</f>
        <v>1507</v>
      </c>
      <c r="H24" s="461">
        <v>944</v>
      </c>
      <c r="I24" s="460">
        <f>Water!C26</f>
        <v>0</v>
      </c>
      <c r="J24" s="461">
        <v>0</v>
      </c>
      <c r="K24" s="460">
        <f>Water!E26</f>
        <v>249.39999999999998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257.52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149.36159999999998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7967337</v>
      </c>
      <c r="AH24" s="464">
        <f>Gas!C26</f>
        <v>1171.3</v>
      </c>
      <c r="AI24" s="465" t="e">
        <f>Gas!#REF!</f>
        <v>#REF!</v>
      </c>
      <c r="AJ24" s="466">
        <f>Gas!J26</f>
        <v>308.09999999999997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Elect!BK25</f>
        <v>202</v>
      </c>
      <c r="AU24" s="460">
        <f>Elect!BI25</f>
        <v>102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Elect!BJ25</f>
        <v>450000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5.3649999999999993</v>
      </c>
      <c r="BN24" s="477" t="e">
        <f>Water!W26</f>
        <v>#DIV/0!</v>
      </c>
      <c r="BO24" s="472">
        <f>Water!X26</f>
        <v>1030.08</v>
      </c>
      <c r="BP24" s="477">
        <f>Water!Y26</f>
        <v>21.459999999999997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4918</v>
      </c>
      <c r="D25" s="461">
        <v>0</v>
      </c>
      <c r="E25" s="460">
        <f>Elect!M26</f>
        <v>1584</v>
      </c>
      <c r="F25" s="461">
        <v>20</v>
      </c>
      <c r="G25" s="460">
        <f>Elect!O26</f>
        <v>1467</v>
      </c>
      <c r="H25" s="461">
        <v>916</v>
      </c>
      <c r="I25" s="460">
        <f>Water!C27</f>
        <v>5.8</v>
      </c>
      <c r="J25" s="461">
        <v>0</v>
      </c>
      <c r="K25" s="460">
        <f>Water!E27</f>
        <v>266.79999999999995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279.55999999999995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162.14479999999995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7968158</v>
      </c>
      <c r="AH25" s="464">
        <f>Gas!C27</f>
        <v>870.26</v>
      </c>
      <c r="AI25" s="465" t="e">
        <f>Gas!#REF!</f>
        <v>#REF!</v>
      </c>
      <c r="AJ25" s="466">
        <f>Gas!J27</f>
        <v>265.2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Elect!BK26</f>
        <v>199</v>
      </c>
      <c r="AU25" s="460">
        <f>Elect!BI26</f>
        <v>102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Elect!BJ26</f>
        <v>450199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5.5911999999999988</v>
      </c>
      <c r="BN25" s="477" t="e">
        <f>Water!W27</f>
        <v>#DIV/0!</v>
      </c>
      <c r="BO25" s="472">
        <f>Water!X27</f>
        <v>1118.2399999999998</v>
      </c>
      <c r="BP25" s="477">
        <f>Water!Y27</f>
        <v>22.364799999999995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4726</v>
      </c>
      <c r="D26" s="461">
        <v>0</v>
      </c>
      <c r="E26" s="460">
        <f>Elect!M27</f>
        <v>1486</v>
      </c>
      <c r="F26" s="461">
        <v>20</v>
      </c>
      <c r="G26" s="460">
        <f>Elect!O27</f>
        <v>1444</v>
      </c>
      <c r="H26" s="461">
        <v>931</v>
      </c>
      <c r="I26" s="460">
        <f>Water!C28</f>
        <v>0</v>
      </c>
      <c r="J26" s="461">
        <v>0</v>
      </c>
      <c r="K26" s="460">
        <f>Water!E28</f>
        <v>261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270.86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157.09879999999998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7969253</v>
      </c>
      <c r="AH26" s="464">
        <f>Gas!C28</f>
        <v>1160.7</v>
      </c>
      <c r="AI26" s="465" t="e">
        <f>Gas!#REF!</f>
        <v>#REF!</v>
      </c>
      <c r="AJ26" s="466">
        <f>Gas!J28</f>
        <v>284.7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Elect!BK27</f>
        <v>201</v>
      </c>
      <c r="AU26" s="460">
        <f>Elect!BI27</f>
        <v>101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Elect!BJ27</f>
        <v>450400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5.0159259259259263</v>
      </c>
      <c r="BN26" s="477" t="e">
        <f>Water!W28</f>
        <v>#DIV/0!</v>
      </c>
      <c r="BO26" s="472">
        <f>Water!X28</f>
        <v>1083.44</v>
      </c>
      <c r="BP26" s="477">
        <f>Water!Y28</f>
        <v>20.063703703703705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4556</v>
      </c>
      <c r="D27" s="461">
        <v>0</v>
      </c>
      <c r="E27" s="460">
        <f>Elect!M28</f>
        <v>1388</v>
      </c>
      <c r="F27" s="461">
        <v>30</v>
      </c>
      <c r="G27" s="460">
        <f>Elect!O28</f>
        <v>1481</v>
      </c>
      <c r="H27" s="461">
        <v>1009</v>
      </c>
      <c r="I27" s="460">
        <f>Water!C29</f>
        <v>0</v>
      </c>
      <c r="J27" s="461">
        <v>0</v>
      </c>
      <c r="K27" s="460">
        <f>Water!E29</f>
        <v>214.6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222.72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129.17759999999998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7970196</v>
      </c>
      <c r="AH27" s="464">
        <f>Gas!C29</f>
        <v>999.58</v>
      </c>
      <c r="AI27" s="465" t="e">
        <f>Gas!#REF!</f>
        <v>#REF!</v>
      </c>
      <c r="AJ27" s="466">
        <f>Gas!J29</f>
        <v>253.5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Elect!BK28</f>
        <v>202</v>
      </c>
      <c r="AU27" s="460">
        <f>Elect!BI28</f>
        <v>127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Elect!BJ28</f>
        <v>450602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5.0618181818181816</v>
      </c>
      <c r="BN27" s="477" t="e">
        <f>Water!W29</f>
        <v>#DIV/0!</v>
      </c>
      <c r="BO27" s="472">
        <f>Water!X29</f>
        <v>890.88</v>
      </c>
      <c r="BP27" s="477">
        <f>Water!Y29</f>
        <v>20.247272727272726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4688</v>
      </c>
      <c r="D28" s="461">
        <v>0</v>
      </c>
      <c r="E28" s="460">
        <f>Elect!M29</f>
        <v>1394</v>
      </c>
      <c r="F28" s="461">
        <v>20</v>
      </c>
      <c r="G28" s="460">
        <f>Elect!O29</f>
        <v>1580</v>
      </c>
      <c r="H28" s="461">
        <v>891</v>
      </c>
      <c r="I28" s="460">
        <f>Water!C30</f>
        <v>0</v>
      </c>
      <c r="J28" s="461">
        <v>0</v>
      </c>
      <c r="K28" s="460">
        <f>Water!E30</f>
        <v>191.39999999999998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220.39999999999998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127.83199999999998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7971263</v>
      </c>
      <c r="AH28" s="464">
        <f>Gas!C30</f>
        <v>1131.02</v>
      </c>
      <c r="AI28" s="465" t="e">
        <f>Gas!#REF!</f>
        <v>#REF!</v>
      </c>
      <c r="AJ28" s="466">
        <f>Gas!J30</f>
        <v>323.7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Elect!BK29</f>
        <v>200</v>
      </c>
      <c r="AU28" s="460">
        <f>Elect!BI29</f>
        <v>118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Elect!BJ29</f>
        <v>450802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5.3756097560975604</v>
      </c>
      <c r="BN28" s="477" t="e">
        <f>Water!W30</f>
        <v>#DIV/0!</v>
      </c>
      <c r="BO28" s="472">
        <f>Water!X30</f>
        <v>881.59999999999991</v>
      </c>
      <c r="BP28" s="477">
        <f>Water!Y30</f>
        <v>21.502439024390242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4941</v>
      </c>
      <c r="D29" s="461">
        <v>0</v>
      </c>
      <c r="E29" s="460">
        <f>Elect!M30</f>
        <v>1463</v>
      </c>
      <c r="F29" s="461">
        <v>20</v>
      </c>
      <c r="G29" s="460">
        <f>Elect!O30</f>
        <v>1682</v>
      </c>
      <c r="H29" s="461">
        <v>1008</v>
      </c>
      <c r="I29" s="460">
        <f>Water!C31</f>
        <v>0</v>
      </c>
      <c r="J29" s="461">
        <v>0</v>
      </c>
      <c r="K29" s="460">
        <f>Water!E31</f>
        <v>179.79999999999998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189.07999999999998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109.66639999999998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7972221</v>
      </c>
      <c r="AH29" s="464">
        <f>Gas!C31</f>
        <v>1015.48</v>
      </c>
      <c r="AI29" s="465" t="e">
        <f>Gas!#REF!</f>
        <v>#REF!</v>
      </c>
      <c r="AJ29" s="466">
        <f>Gas!J31</f>
        <v>249.6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Elect!BK30</f>
        <v>218</v>
      </c>
      <c r="AU29" s="460">
        <f>Elect!BI30</f>
        <v>111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Elect!BJ30</f>
        <v>451020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5.11027027027027</v>
      </c>
      <c r="BN29" s="477" t="e">
        <f>Water!W31</f>
        <v>#DIV/0!</v>
      </c>
      <c r="BO29" s="472">
        <f>Water!X31</f>
        <v>756.31999999999994</v>
      </c>
      <c r="BP29" s="477">
        <f>Water!Y31</f>
        <v>20.44108108108108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4111</v>
      </c>
      <c r="D30" s="461">
        <v>0</v>
      </c>
      <c r="E30" s="460">
        <f>Elect!M31</f>
        <v>1053</v>
      </c>
      <c r="F30" s="461">
        <v>20</v>
      </c>
      <c r="G30" s="460">
        <f>Elect!O31</f>
        <v>1673</v>
      </c>
      <c r="H30" s="461">
        <v>760</v>
      </c>
      <c r="I30" s="460">
        <f>Water!C32</f>
        <v>0</v>
      </c>
      <c r="J30" s="461">
        <v>0</v>
      </c>
      <c r="K30" s="460">
        <f>Water!E32</f>
        <v>231.99999999999997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231.99999999999997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134.55999999999997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7973078</v>
      </c>
      <c r="AH30" s="464">
        <f>Gas!C32</f>
        <v>908.42000000000007</v>
      </c>
      <c r="AI30" s="465" t="e">
        <f>Gas!#REF!</f>
        <v>#REF!</v>
      </c>
      <c r="AJ30" s="466">
        <f>Gas!J32</f>
        <v>276.89999999999998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Elect!BK31</f>
        <v>187</v>
      </c>
      <c r="AU30" s="460">
        <f>Elect!BI31</f>
        <v>98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Elect!BJ31</f>
        <v>451207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7.9999999999999991</v>
      </c>
      <c r="BN30" s="477" t="e">
        <f>Water!W32</f>
        <v>#DIV/0!</v>
      </c>
      <c r="BO30" s="472">
        <f>Water!X32</f>
        <v>927.99999999999989</v>
      </c>
      <c r="BP30" s="477">
        <f>Water!Y32</f>
        <v>31.999999999999996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4257</v>
      </c>
      <c r="D31" s="461">
        <v>0</v>
      </c>
      <c r="E31" s="460">
        <f>Elect!M32</f>
        <v>1121</v>
      </c>
      <c r="F31" s="461">
        <v>30</v>
      </c>
      <c r="G31" s="460">
        <f>Elect!O32</f>
        <v>1571</v>
      </c>
      <c r="H31" s="461">
        <v>1010</v>
      </c>
      <c r="I31" s="460">
        <f>Water!C33</f>
        <v>5.8</v>
      </c>
      <c r="J31" s="461">
        <v>0</v>
      </c>
      <c r="K31" s="460">
        <f>Water!E33</f>
        <v>301.59999999999997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307.39999999999998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178.29199999999997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7974214</v>
      </c>
      <c r="AH31" s="464">
        <f>Gas!C33</f>
        <v>1204.1600000000001</v>
      </c>
      <c r="AI31" s="465" t="e">
        <f>Gas!#REF!</f>
        <v>#REF!</v>
      </c>
      <c r="AJ31" s="466">
        <f>Gas!J33</f>
        <v>159.9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Elect!BK32</f>
        <v>210</v>
      </c>
      <c r="AU31" s="460">
        <f>Elect!BI32</f>
        <v>145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Elect!BJ32</f>
        <v>451417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13.365217391304347</v>
      </c>
      <c r="BN31" s="477" t="e">
        <f>Water!W33</f>
        <v>#DIV/0!</v>
      </c>
      <c r="BO31" s="472">
        <f>Water!X33</f>
        <v>1229.5999999999999</v>
      </c>
      <c r="BP31" s="477">
        <f>Water!Y33</f>
        <v>53.460869565217386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4337</v>
      </c>
      <c r="D32" s="482">
        <v>0</v>
      </c>
      <c r="E32" s="481">
        <f>Elect!M33</f>
        <v>1430</v>
      </c>
      <c r="F32" s="482">
        <v>20</v>
      </c>
      <c r="G32" s="481">
        <f>Elect!O33</f>
        <v>1572</v>
      </c>
      <c r="H32" s="482">
        <v>1008</v>
      </c>
      <c r="I32" s="481">
        <f>Water!C34</f>
        <v>0</v>
      </c>
      <c r="J32" s="482">
        <v>0</v>
      </c>
      <c r="K32" s="481">
        <f>Water!E34</f>
        <v>295.79999999999995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295.79999999999995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171.56399999999996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7975316</v>
      </c>
      <c r="AH32" s="485">
        <f>Gas!C34</f>
        <v>1168.1200000000001</v>
      </c>
      <c r="AI32" s="486" t="e">
        <f>Gas!#REF!</f>
        <v>#REF!</v>
      </c>
      <c r="AJ32" s="487">
        <f>Gas!J34</f>
        <v>198.9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Elect!BK33</f>
        <v>192</v>
      </c>
      <c r="AU32" s="481">
        <f>Elect!BI33</f>
        <v>120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Elect!BJ33</f>
        <v>451609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8.963636363636363</v>
      </c>
      <c r="BN32" s="498" t="e">
        <f>Water!W34</f>
        <v>#DIV/0!</v>
      </c>
      <c r="BO32" s="493">
        <f>Water!X34</f>
        <v>1183.1999999999998</v>
      </c>
      <c r="BP32" s="498">
        <f>Water!Y34</f>
        <v>35.854545454545452</v>
      </c>
      <c r="BQ32" s="499" t="e">
        <f>Water!Z34</f>
        <v>#DIV/0!</v>
      </c>
    </row>
    <row r="33" spans="1:98" s="521" customFormat="1" ht="72" customHeight="1">
      <c r="A33" s="443" t="s">
        <v>111</v>
      </c>
      <c r="B33" s="500">
        <v>931200</v>
      </c>
      <c r="C33" s="501">
        <f>Elect!J34</f>
        <v>3670</v>
      </c>
      <c r="D33" s="502">
        <v>0</v>
      </c>
      <c r="E33" s="501">
        <f>Elect!M34</f>
        <v>0</v>
      </c>
      <c r="F33" s="502">
        <v>600</v>
      </c>
      <c r="G33" s="501">
        <f>Elect!O34</f>
        <v>0</v>
      </c>
      <c r="H33" s="502">
        <v>24543</v>
      </c>
      <c r="I33" s="501">
        <f>Water!C38</f>
        <v>46.399999999999991</v>
      </c>
      <c r="J33" s="502">
        <v>0</v>
      </c>
      <c r="K33" s="501">
        <f>Water!E39</f>
        <v>241.66666666666669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7519.119999999999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3964.1376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31048.460000000006</v>
      </c>
      <c r="AI33" s="506" t="e">
        <f>Gas!#REF!</f>
        <v>#REF!</v>
      </c>
      <c r="AJ33" s="507">
        <f>Gas!J38</f>
        <v>8544.9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Elect!BK34</f>
        <v>195</v>
      </c>
      <c r="AU33" s="506">
        <f>Elect!BI34</f>
        <v>102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Elect!BJ34</f>
        <v>451804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5.2544514325646396</v>
      </c>
      <c r="BN33" s="518" t="e">
        <f>Water!W38</f>
        <v>#DIV/0!</v>
      </c>
      <c r="BO33" s="513">
        <f>Water!X38</f>
        <v>29241.279999999995</v>
      </c>
      <c r="BP33" s="518">
        <f>Water!Y38</f>
        <v>20.43415793151642</v>
      </c>
      <c r="BQ33" s="519" t="e">
        <f>Water!Z38</f>
        <v>#DIV/0!</v>
      </c>
    </row>
    <row r="34" spans="1:98" s="523" customFormat="1" ht="72" customHeight="1" thickBot="1">
      <c r="A34" s="444" t="s">
        <v>112</v>
      </c>
      <c r="B34" s="500">
        <v>33257.142857142855</v>
      </c>
      <c r="C34" s="501">
        <f>Elect!J35</f>
        <v>5340</v>
      </c>
      <c r="D34" s="502">
        <v>0</v>
      </c>
      <c r="E34" s="501">
        <f>Elect!M35</f>
        <v>1236</v>
      </c>
      <c r="F34" s="502">
        <v>21.428571428571427</v>
      </c>
      <c r="G34" s="501">
        <f>Elect!O35</f>
        <v>1447</v>
      </c>
      <c r="H34" s="502">
        <v>876.53571428571433</v>
      </c>
      <c r="I34" s="501">
        <f>Water!C39</f>
        <v>1.5466666666666664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250.63733333333329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132.13792000000001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1034.9486666666669</v>
      </c>
      <c r="AI34" s="506" t="e">
        <f>Gas!#REF!</f>
        <v>#REF!</v>
      </c>
      <c r="AJ34" s="507">
        <f>Gas!J39</f>
        <v>284.83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Elect!BK35</f>
        <v>209</v>
      </c>
      <c r="AU34" s="506">
        <f>Elect!BI35</f>
        <v>110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Elect!BJ35</f>
        <v>452013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5.2544514325646388</v>
      </c>
      <c r="BN34" s="518" t="e">
        <f>Water!W39</f>
        <v>#DIV/0!</v>
      </c>
      <c r="BO34" s="513">
        <f>Water!X39</f>
        <v>974.70933333333312</v>
      </c>
      <c r="BP34" s="518">
        <f>Water!Y39</f>
        <v>20.434157931516417</v>
      </c>
      <c r="BQ34" s="519" t="e">
        <f>Water!Z39</f>
        <v>#DIV/0!</v>
      </c>
    </row>
    <row r="35" spans="1:98" s="523" customFormat="1" ht="72" customHeight="1">
      <c r="A35" s="445" t="s">
        <v>160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Elect!BK5</f>
        <v>0</v>
      </c>
      <c r="AU35" s="506">
        <f>Elect!BI5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Elect!BJ5</f>
        <v>446214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161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113</v>
      </c>
      <c r="B37" s="500">
        <v>37143.78500493992</v>
      </c>
      <c r="C37" s="501">
        <f>Elect!J39</f>
        <v>0</v>
      </c>
      <c r="D37" s="502">
        <v>0</v>
      </c>
      <c r="E37" s="501">
        <f>Elect!M39</f>
        <v>0</v>
      </c>
      <c r="F37" s="502">
        <v>0</v>
      </c>
      <c r="G37" s="501">
        <f>Elect!O39</f>
        <v>0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>
        <f>Elect!BK39</f>
        <v>0</v>
      </c>
      <c r="AU37" s="506">
        <f>Elect!BI39</f>
        <v>0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>
        <f>Elect!BJ39</f>
        <v>0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114</v>
      </c>
      <c r="B38" s="500">
        <v>784008.52871448605</v>
      </c>
      <c r="C38" s="501">
        <f>Elect!J40</f>
        <v>0</v>
      </c>
      <c r="D38" s="502">
        <v>0</v>
      </c>
      <c r="E38" s="501">
        <f>Elect!M40</f>
        <v>0</v>
      </c>
      <c r="F38" s="502">
        <v>0</v>
      </c>
      <c r="G38" s="501">
        <f>Elect!O40</f>
        <v>0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>
        <f>Elect!BK40</f>
        <v>0</v>
      </c>
      <c r="AU38" s="506">
        <f>Elect!BI40</f>
        <v>0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>
        <f>Elect!BJ40</f>
        <v>0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115</v>
      </c>
      <c r="B39" s="500">
        <v>784008.52871448605</v>
      </c>
      <c r="C39" s="501">
        <f>Elect!J41</f>
        <v>0</v>
      </c>
      <c r="D39" s="502">
        <v>0</v>
      </c>
      <c r="E39" s="501">
        <f>Elect!M41</f>
        <v>0</v>
      </c>
      <c r="F39" s="502">
        <v>0</v>
      </c>
      <c r="G39" s="501">
        <f>Elect!O41</f>
        <v>0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>
        <f>Elect!BK41</f>
        <v>0</v>
      </c>
      <c r="AU39" s="506">
        <f>Elect!BI41</f>
        <v>0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>
        <f>Elect!BJ41</f>
        <v>0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117</v>
      </c>
      <c r="B40" s="500">
        <v>28000.304596945931</v>
      </c>
      <c r="C40" s="501">
        <f>Elect!J42</f>
        <v>0</v>
      </c>
      <c r="D40" s="502">
        <v>0</v>
      </c>
      <c r="E40" s="501">
        <f>Elect!M42</f>
        <v>0</v>
      </c>
      <c r="F40" s="502">
        <v>0</v>
      </c>
      <c r="G40" s="501">
        <f>Elect!O42</f>
        <v>0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>
        <f>Elect!BK42</f>
        <v>0</v>
      </c>
      <c r="AU40" s="506">
        <f>Elect!BI42</f>
        <v>0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>
        <f>Elect!BJ42</f>
        <v>0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203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204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72" t="s">
        <v>205</v>
      </c>
      <c r="B4" s="972"/>
      <c r="C4" s="972"/>
      <c r="D4" s="972"/>
      <c r="E4" s="972"/>
      <c r="F4" s="972"/>
      <c r="G4" s="108" t="str">
        <f>Elect!A1</f>
        <v>January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206</v>
      </c>
      <c r="B7" s="99" t="s">
        <v>207</v>
      </c>
      <c r="C7" s="99" t="s">
        <v>208</v>
      </c>
      <c r="D7" s="99" t="s">
        <v>207</v>
      </c>
      <c r="E7" s="99" t="s">
        <v>208</v>
      </c>
      <c r="F7" s="99" t="s">
        <v>209</v>
      </c>
      <c r="G7" s="100" t="s">
        <v>210</v>
      </c>
      <c r="H7" s="100" t="s">
        <v>211</v>
      </c>
      <c r="I7" s="99" t="s">
        <v>111</v>
      </c>
      <c r="J7" s="101" t="s">
        <v>111</v>
      </c>
    </row>
    <row r="8" spans="1:10" ht="13.5" thickBot="1">
      <c r="A8" s="102"/>
      <c r="B8" s="103" t="s">
        <v>212</v>
      </c>
      <c r="C8" s="103" t="s">
        <v>212</v>
      </c>
      <c r="D8" s="103" t="s">
        <v>213</v>
      </c>
      <c r="E8" s="103" t="s">
        <v>213</v>
      </c>
      <c r="F8" s="104" t="s">
        <v>214</v>
      </c>
      <c r="G8" s="103" t="s">
        <v>12</v>
      </c>
      <c r="H8" s="103"/>
      <c r="I8" s="104" t="s">
        <v>215</v>
      </c>
      <c r="J8" s="105" t="s">
        <v>216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217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217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73"/>
      <c r="B3" s="975" t="str">
        <f>Elect!A1</f>
        <v>January</v>
      </c>
      <c r="C3" s="976"/>
      <c r="D3" s="976"/>
      <c r="E3" s="977"/>
    </row>
    <row r="4" spans="1:5" ht="14.25" customHeight="1" thickBot="1">
      <c r="A4" s="974"/>
      <c r="B4" s="978" t="s">
        <v>12</v>
      </c>
      <c r="C4" s="979"/>
      <c r="D4" s="980" t="s">
        <v>218</v>
      </c>
      <c r="E4" s="981"/>
    </row>
    <row r="5" spans="1:5" ht="13.5" thickBot="1">
      <c r="A5" s="34" t="s">
        <v>219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220</v>
      </c>
      <c r="B6" s="38"/>
      <c r="C6" s="39"/>
      <c r="D6" s="40"/>
      <c r="E6" s="41"/>
    </row>
    <row r="7" spans="1:5" ht="13.5" thickBot="1">
      <c r="A7" s="117" t="s">
        <v>221</v>
      </c>
      <c r="B7" s="42"/>
      <c r="C7" s="43" t="s">
        <v>222</v>
      </c>
      <c r="D7" s="42" t="s">
        <v>222</v>
      </c>
      <c r="E7" s="43" t="s">
        <v>222</v>
      </c>
    </row>
    <row r="8" spans="1:5">
      <c r="A8" s="118" t="s">
        <v>223</v>
      </c>
      <c r="B8" s="42"/>
      <c r="C8" s="43" t="s">
        <v>222</v>
      </c>
      <c r="D8" s="44" t="s">
        <v>222</v>
      </c>
      <c r="E8" s="45" t="s">
        <v>222</v>
      </c>
    </row>
    <row r="9" spans="1:5" ht="13.5" thickBot="1">
      <c r="A9" s="118" t="s">
        <v>224</v>
      </c>
      <c r="B9" s="359"/>
      <c r="C9" s="360" t="s">
        <v>222</v>
      </c>
      <c r="D9" s="44" t="s">
        <v>222</v>
      </c>
      <c r="E9" s="45" t="s">
        <v>222</v>
      </c>
    </row>
    <row r="10" spans="1:5" ht="13.5" thickBot="1">
      <c r="A10" s="119" t="s">
        <v>225</v>
      </c>
      <c r="B10" s="76"/>
      <c r="C10" s="361"/>
      <c r="D10" s="48"/>
      <c r="E10" s="47"/>
    </row>
    <row r="11" spans="1:5" ht="13.5" thickBot="1">
      <c r="A11" s="362" t="s">
        <v>226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227</v>
      </c>
      <c r="B12" s="366"/>
      <c r="C12" s="366" t="s">
        <v>222</v>
      </c>
      <c r="D12" s="52">
        <v>0</v>
      </c>
      <c r="E12" s="53" t="e">
        <v>#REF!</v>
      </c>
    </row>
    <row r="13" spans="1:5" ht="13.5" thickBot="1">
      <c r="A13" s="120" t="s">
        <v>228</v>
      </c>
      <c r="B13" s="76"/>
      <c r="C13" s="77"/>
      <c r="D13" s="42" t="s">
        <v>222</v>
      </c>
      <c r="E13" s="43" t="s">
        <v>222</v>
      </c>
    </row>
    <row r="14" spans="1:5">
      <c r="A14" s="117" t="s">
        <v>229</v>
      </c>
      <c r="B14" s="42"/>
      <c r="C14" s="63" t="s">
        <v>222</v>
      </c>
      <c r="D14" s="55"/>
      <c r="E14" s="56"/>
    </row>
    <row r="15" spans="1:5" ht="13.5" thickBot="1">
      <c r="A15" s="118" t="s">
        <v>230</v>
      </c>
      <c r="B15" s="44"/>
      <c r="C15" s="54" t="s">
        <v>222</v>
      </c>
      <c r="D15" s="58"/>
      <c r="E15" s="59"/>
    </row>
    <row r="16" spans="1:5" ht="13.5" thickBot="1">
      <c r="A16" s="118" t="s">
        <v>231</v>
      </c>
      <c r="B16" s="44"/>
      <c r="C16" s="54" t="s">
        <v>222</v>
      </c>
      <c r="D16" s="61"/>
      <c r="E16" s="62"/>
    </row>
    <row r="17" spans="1:5">
      <c r="A17" s="118" t="s">
        <v>232</v>
      </c>
      <c r="B17" s="44"/>
      <c r="C17" s="54" t="s">
        <v>222</v>
      </c>
      <c r="D17" s="44" t="s">
        <v>222</v>
      </c>
      <c r="E17" s="54" t="s">
        <v>222</v>
      </c>
    </row>
    <row r="18" spans="1:5">
      <c r="A18" s="118" t="s">
        <v>233</v>
      </c>
      <c r="B18" s="44"/>
      <c r="C18" s="54" t="s">
        <v>222</v>
      </c>
      <c r="D18" s="44" t="s">
        <v>222</v>
      </c>
      <c r="E18" s="54" t="s">
        <v>222</v>
      </c>
    </row>
    <row r="19" spans="1:5">
      <c r="A19" s="118" t="s">
        <v>234</v>
      </c>
      <c r="B19" s="44"/>
      <c r="C19" s="54" t="s">
        <v>222</v>
      </c>
      <c r="D19" s="44" t="s">
        <v>222</v>
      </c>
      <c r="E19" s="54" t="s">
        <v>222</v>
      </c>
    </row>
    <row r="20" spans="1:5">
      <c r="A20" s="118" t="s">
        <v>235</v>
      </c>
      <c r="B20" s="44"/>
      <c r="C20" s="64" t="e">
        <f>#REF!</f>
        <v>#REF!</v>
      </c>
      <c r="D20" s="44" t="s">
        <v>222</v>
      </c>
      <c r="E20" s="54" t="s">
        <v>222</v>
      </c>
    </row>
    <row r="21" spans="1:5">
      <c r="A21" s="118" t="s">
        <v>236</v>
      </c>
      <c r="B21" s="44"/>
      <c r="C21" s="54" t="s">
        <v>222</v>
      </c>
      <c r="D21" s="44" t="s">
        <v>222</v>
      </c>
      <c r="E21" s="54" t="s">
        <v>222</v>
      </c>
    </row>
    <row r="22" spans="1:5">
      <c r="A22" s="118" t="s">
        <v>237</v>
      </c>
      <c r="B22" s="44"/>
      <c r="C22" s="54">
        <f>Water!S38</f>
        <v>0</v>
      </c>
      <c r="D22" s="44" t="s">
        <v>222</v>
      </c>
      <c r="E22" s="54" t="s">
        <v>222</v>
      </c>
    </row>
    <row r="23" spans="1:5" ht="13.5" thickBot="1">
      <c r="A23" s="121" t="s">
        <v>238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239</v>
      </c>
      <c r="B24" s="49"/>
      <c r="C24" s="60"/>
      <c r="D24" s="55" t="s">
        <v>222</v>
      </c>
      <c r="E24" s="56" t="s">
        <v>222</v>
      </c>
    </row>
    <row r="25" spans="1:5">
      <c r="A25" s="123" t="s">
        <v>240</v>
      </c>
      <c r="B25" s="42"/>
      <c r="C25" s="67">
        <f>Elect!J34</f>
        <v>3670</v>
      </c>
      <c r="D25" s="55">
        <v>12266</v>
      </c>
      <c r="E25" s="66">
        <v>814</v>
      </c>
    </row>
    <row r="26" spans="1:5" ht="13.5" thickBot="1">
      <c r="A26" s="128" t="s">
        <v>241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242</v>
      </c>
      <c r="B27" s="44"/>
      <c r="C27" s="69">
        <f>Water!H38</f>
        <v>7519.119999999999</v>
      </c>
      <c r="D27" s="61"/>
      <c r="E27" s="62"/>
    </row>
    <row r="28" spans="1:5">
      <c r="A28" s="124" t="s">
        <v>243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244</v>
      </c>
      <c r="B29" s="44"/>
      <c r="C29" s="45" t="s">
        <v>222</v>
      </c>
      <c r="D29" s="70">
        <v>28880</v>
      </c>
      <c r="E29" s="66">
        <v>32980</v>
      </c>
    </row>
    <row r="30" spans="1:5" ht="13.5" thickBot="1">
      <c r="A30" s="125" t="s">
        <v>245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246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247</v>
      </c>
      <c r="B32" s="76"/>
      <c r="C32" s="77"/>
      <c r="D32" s="71" t="e">
        <v>#REF!</v>
      </c>
      <c r="E32" s="56" t="s">
        <v>222</v>
      </c>
    </row>
    <row r="33" spans="1:6" ht="13.5" thickBot="1">
      <c r="A33" s="123" t="s">
        <v>248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249</v>
      </c>
      <c r="B34" s="44"/>
      <c r="C34" s="69">
        <f>YTD!Q5</f>
        <v>0</v>
      </c>
      <c r="D34" s="74"/>
      <c r="E34" s="75"/>
    </row>
    <row r="35" spans="1:6" ht="13.5" thickBot="1">
      <c r="A35" s="124" t="s">
        <v>250</v>
      </c>
      <c r="B35" s="44"/>
      <c r="C35" s="69">
        <f>YTD!Q6</f>
        <v>0</v>
      </c>
      <c r="D35" s="61"/>
      <c r="E35" s="62"/>
    </row>
    <row r="36" spans="1:6">
      <c r="A36" s="128" t="s">
        <v>251</v>
      </c>
      <c r="B36" s="44"/>
      <c r="C36" s="82"/>
      <c r="D36" s="78" t="e">
        <v>#REF!</v>
      </c>
      <c r="E36" s="66" t="e">
        <v>#REF!</v>
      </c>
    </row>
    <row r="37" spans="1:6">
      <c r="A37" s="128" t="s">
        <v>252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253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254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255</v>
      </c>
      <c r="B40" s="76"/>
      <c r="C40" s="77"/>
      <c r="D40" s="55">
        <v>1583714</v>
      </c>
      <c r="E40" s="66">
        <v>1940567</v>
      </c>
    </row>
    <row r="41" spans="1:6">
      <c r="A41" s="367" t="s">
        <v>256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257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258</v>
      </c>
      <c r="B43" s="130"/>
      <c r="C43" s="64">
        <f>Water!X38</f>
        <v>29241.279999999995</v>
      </c>
      <c r="D43" s="58">
        <v>112</v>
      </c>
      <c r="E43" s="66">
        <v>97.529999999999944</v>
      </c>
    </row>
    <row r="44" spans="1:6" ht="13.5" thickBot="1">
      <c r="A44" s="129" t="s">
        <v>259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260</v>
      </c>
      <c r="B45" s="131"/>
      <c r="C45" s="54" t="s">
        <v>222</v>
      </c>
      <c r="D45" s="78">
        <v>2138156.84</v>
      </c>
      <c r="E45" s="66" t="e">
        <v>#REF!</v>
      </c>
    </row>
    <row r="46" spans="1:6" ht="13.5" thickBot="1">
      <c r="A46" s="132" t="s">
        <v>261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262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263</v>
      </c>
      <c r="B48" s="197"/>
      <c r="C48" s="89"/>
      <c r="D48" s="65">
        <v>330278</v>
      </c>
      <c r="E48" s="66" t="e">
        <v>#REF!</v>
      </c>
    </row>
    <row r="49" spans="1:6">
      <c r="A49" s="202" t="s">
        <v>264</v>
      </c>
      <c r="B49" s="195"/>
      <c r="C49" s="203">
        <v>6</v>
      </c>
      <c r="D49" s="44" t="s">
        <v>222</v>
      </c>
      <c r="E49" s="54" t="s">
        <v>222</v>
      </c>
    </row>
    <row r="50" spans="1:6" ht="13.5" thickBot="1">
      <c r="A50" s="222" t="s">
        <v>143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265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266</v>
      </c>
      <c r="B52" s="131"/>
      <c r="C52" s="54">
        <v>75064</v>
      </c>
      <c r="D52" s="61"/>
      <c r="E52" s="62"/>
    </row>
    <row r="53" spans="1:6" ht="13.5" thickBot="1">
      <c r="A53" s="204" t="s">
        <v>267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268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269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270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271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January</v>
      </c>
      <c r="C1" s="840"/>
      <c r="D1" s="840"/>
      <c r="E1" s="840"/>
      <c r="F1" s="840"/>
      <c r="G1" s="840"/>
      <c r="H1" s="211" t="s">
        <v>272</v>
      </c>
      <c r="I1" s="840"/>
      <c r="J1" s="840"/>
      <c r="K1" s="840"/>
      <c r="L1" s="840"/>
      <c r="M1" s="840"/>
      <c r="N1" s="840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  <c r="AD1" s="798"/>
      <c r="AE1" s="798"/>
      <c r="AF1" s="798"/>
      <c r="AG1" s="798"/>
      <c r="AH1" s="798"/>
      <c r="AI1" s="798"/>
      <c r="AJ1" s="798"/>
      <c r="AK1" s="798"/>
      <c r="AL1" s="798"/>
      <c r="AM1" s="798"/>
      <c r="AN1" s="798"/>
      <c r="AO1" s="798"/>
      <c r="AP1" s="798"/>
      <c r="AQ1" s="798"/>
      <c r="AR1" s="798"/>
      <c r="AS1" s="798"/>
      <c r="AT1" s="798"/>
      <c r="AU1" s="798"/>
      <c r="AV1" s="798"/>
      <c r="AW1" s="798"/>
      <c r="AX1" s="798"/>
      <c r="AY1" s="798"/>
      <c r="AZ1" s="798"/>
      <c r="BA1" s="798"/>
      <c r="BB1" s="798"/>
      <c r="BC1" s="798"/>
      <c r="BD1" s="798"/>
      <c r="BE1" s="798"/>
      <c r="BF1" s="798"/>
      <c r="BG1" s="798"/>
      <c r="BH1" s="798"/>
      <c r="BI1" s="798"/>
      <c r="BJ1" s="798"/>
      <c r="BK1" s="798"/>
      <c r="BL1" s="798"/>
      <c r="BM1" s="798"/>
      <c r="BN1" s="798"/>
      <c r="BO1" s="798"/>
      <c r="BP1" s="798"/>
      <c r="BQ1" s="798"/>
      <c r="BR1" s="798"/>
      <c r="BS1" s="798"/>
      <c r="BT1" s="798"/>
      <c r="BU1" s="798"/>
      <c r="BV1" s="798"/>
      <c r="BW1" s="798"/>
      <c r="BX1" s="798"/>
      <c r="BY1" s="798"/>
      <c r="BZ1" s="798"/>
      <c r="CA1" s="798"/>
      <c r="CB1" s="798"/>
      <c r="CC1" s="798"/>
      <c r="CD1" s="798"/>
      <c r="CE1" s="798"/>
      <c r="CF1" s="798"/>
      <c r="CG1" s="798"/>
      <c r="CH1" s="798"/>
      <c r="CI1" s="798"/>
      <c r="CJ1" s="798"/>
      <c r="CK1" s="798"/>
      <c r="CL1" s="798"/>
      <c r="CM1" s="798"/>
      <c r="CN1" s="798"/>
      <c r="CO1" s="798"/>
      <c r="CP1" s="798"/>
      <c r="CQ1" s="798"/>
      <c r="CR1" s="798"/>
      <c r="CS1" s="798"/>
      <c r="CT1" s="798"/>
      <c r="CU1" s="798"/>
      <c r="CV1" s="798"/>
      <c r="CW1" s="798"/>
      <c r="CX1" s="798"/>
      <c r="CY1" s="798"/>
      <c r="CZ1" s="798"/>
      <c r="DA1" s="798"/>
      <c r="DB1" s="798"/>
      <c r="DC1" s="798"/>
      <c r="DD1" s="798"/>
      <c r="DE1" s="798"/>
      <c r="DF1" s="798"/>
    </row>
    <row r="2" spans="1:110" ht="6.75" customHeight="1" thickBot="1">
      <c r="C2" s="840"/>
      <c r="D2" s="840"/>
      <c r="E2" s="840"/>
      <c r="F2" s="840"/>
      <c r="G2" s="212"/>
      <c r="H2" s="840"/>
      <c r="I2" s="840"/>
      <c r="J2" s="840"/>
      <c r="K2" s="840"/>
      <c r="L2" s="840"/>
      <c r="M2" s="840"/>
      <c r="N2" s="840"/>
      <c r="Q2" s="798"/>
      <c r="R2" s="798"/>
      <c r="S2" s="798"/>
      <c r="T2" s="798"/>
      <c r="U2" s="798"/>
      <c r="V2" s="798"/>
      <c r="W2" s="798"/>
      <c r="X2" s="798"/>
      <c r="Y2" s="798"/>
      <c r="Z2" s="798"/>
      <c r="AA2" s="798"/>
      <c r="AB2" s="798"/>
      <c r="AC2" s="798"/>
      <c r="AD2" s="798"/>
      <c r="AE2" s="798"/>
      <c r="AF2" s="798"/>
      <c r="AG2" s="798"/>
      <c r="AH2" s="798"/>
      <c r="AI2" s="798"/>
      <c r="AJ2" s="798"/>
      <c r="AK2" s="798"/>
      <c r="AL2" s="798"/>
      <c r="AM2" s="798"/>
      <c r="AN2" s="798"/>
      <c r="AO2" s="798"/>
      <c r="AP2" s="798"/>
      <c r="AQ2" s="798"/>
      <c r="AR2" s="798"/>
      <c r="AS2" s="798"/>
      <c r="AT2" s="798"/>
      <c r="AU2" s="798"/>
      <c r="AV2" s="798"/>
      <c r="AW2" s="798"/>
      <c r="AX2" s="798"/>
      <c r="AY2" s="798"/>
      <c r="AZ2" s="798"/>
      <c r="BA2" s="798"/>
      <c r="BB2" s="798"/>
      <c r="BC2" s="798"/>
      <c r="BD2" s="798"/>
      <c r="BE2" s="798"/>
      <c r="BF2" s="798"/>
      <c r="BG2" s="798"/>
      <c r="BH2" s="798"/>
      <c r="BI2" s="798"/>
      <c r="BJ2" s="798"/>
      <c r="BK2" s="798"/>
      <c r="BL2" s="798"/>
      <c r="BM2" s="798"/>
      <c r="BN2" s="798"/>
      <c r="BO2" s="798"/>
      <c r="BP2" s="798"/>
      <c r="BQ2" s="798"/>
      <c r="BR2" s="798"/>
      <c r="BS2" s="798"/>
      <c r="BT2" s="798"/>
      <c r="BU2" s="798"/>
      <c r="BV2" s="798"/>
      <c r="BW2" s="798"/>
      <c r="BX2" s="798"/>
      <c r="BY2" s="798"/>
      <c r="BZ2" s="798"/>
      <c r="CA2" s="798"/>
      <c r="CB2" s="798"/>
      <c r="CC2" s="798"/>
      <c r="CD2" s="798"/>
      <c r="CE2" s="798"/>
      <c r="CF2" s="798"/>
      <c r="CG2" s="798"/>
      <c r="CH2" s="798"/>
      <c r="CI2" s="798"/>
      <c r="CJ2" s="798"/>
      <c r="CK2" s="798"/>
      <c r="CL2" s="798"/>
      <c r="CM2" s="798"/>
      <c r="CN2" s="798"/>
      <c r="CO2" s="798"/>
      <c r="CP2" s="798"/>
      <c r="CQ2" s="798"/>
      <c r="CR2" s="798"/>
      <c r="CS2" s="798"/>
      <c r="CT2" s="798"/>
      <c r="CU2" s="798"/>
      <c r="CV2" s="798"/>
      <c r="CW2" s="798"/>
      <c r="CX2" s="798"/>
      <c r="CY2" s="798"/>
      <c r="CZ2" s="798"/>
      <c r="DA2" s="798"/>
      <c r="DB2" s="798"/>
      <c r="DC2" s="798"/>
      <c r="DD2" s="798"/>
      <c r="DE2" s="798"/>
      <c r="DF2" s="798"/>
    </row>
    <row r="3" spans="1:110" ht="24" customHeight="1" thickTop="1" thickBot="1">
      <c r="A3" s="292"/>
      <c r="B3" s="293"/>
      <c r="C3" s="227" t="s">
        <v>273</v>
      </c>
      <c r="D3" s="227" t="s">
        <v>274</v>
      </c>
      <c r="E3" s="227" t="s">
        <v>275</v>
      </c>
      <c r="F3" s="227" t="s">
        <v>276</v>
      </c>
      <c r="G3" s="227" t="s">
        <v>277</v>
      </c>
      <c r="H3" s="227" t="s">
        <v>278</v>
      </c>
      <c r="I3" s="227" t="s">
        <v>279</v>
      </c>
      <c r="J3" s="227" t="s">
        <v>280</v>
      </c>
      <c r="K3" s="227" t="s">
        <v>281</v>
      </c>
      <c r="L3" s="227" t="s">
        <v>282</v>
      </c>
      <c r="M3" s="227" t="s">
        <v>283</v>
      </c>
      <c r="N3" s="227" t="s">
        <v>284</v>
      </c>
      <c r="O3" s="228" t="s">
        <v>285</v>
      </c>
      <c r="P3" s="229" t="s">
        <v>286</v>
      </c>
      <c r="Q3" s="230" t="s">
        <v>287</v>
      </c>
      <c r="R3" s="218"/>
      <c r="S3" s="218"/>
      <c r="T3" s="218"/>
      <c r="U3" s="218"/>
      <c r="V3" s="218"/>
      <c r="W3" s="218"/>
      <c r="X3" s="218"/>
      <c r="Y3" s="798"/>
      <c r="Z3" s="798"/>
      <c r="AA3" s="798"/>
      <c r="AB3" s="798"/>
      <c r="AC3" s="798"/>
      <c r="AD3" s="798"/>
      <c r="AE3" s="798"/>
      <c r="AF3" s="798"/>
      <c r="AG3" s="798"/>
      <c r="AH3" s="798"/>
      <c r="AI3" s="798"/>
      <c r="AJ3" s="798"/>
      <c r="AK3" s="798"/>
      <c r="AL3" s="798"/>
      <c r="AM3" s="798"/>
      <c r="AN3" s="798"/>
      <c r="AO3" s="798"/>
      <c r="AP3" s="798"/>
      <c r="AQ3" s="798"/>
      <c r="AR3" s="798"/>
      <c r="AS3" s="798"/>
      <c r="AT3" s="798"/>
      <c r="AU3" s="798"/>
      <c r="AV3" s="798"/>
      <c r="AW3" s="798"/>
      <c r="AX3" s="798"/>
      <c r="AY3" s="798"/>
      <c r="AZ3" s="798"/>
      <c r="BA3" s="798"/>
      <c r="BB3" s="798"/>
      <c r="BC3" s="798"/>
      <c r="BD3" s="798"/>
      <c r="BE3" s="798"/>
      <c r="BF3" s="798"/>
      <c r="BG3" s="798"/>
      <c r="BH3" s="798"/>
      <c r="BI3" s="798"/>
      <c r="BJ3" s="798"/>
      <c r="BK3" s="798"/>
      <c r="BL3" s="798"/>
      <c r="BM3" s="798"/>
      <c r="BN3" s="798"/>
      <c r="BO3" s="798"/>
      <c r="BP3" s="798"/>
      <c r="BQ3" s="798"/>
      <c r="BR3" s="798"/>
      <c r="BS3" s="798"/>
      <c r="BT3" s="798"/>
      <c r="BU3" s="798"/>
      <c r="BV3" s="798"/>
      <c r="BW3" s="798"/>
      <c r="BX3" s="798"/>
      <c r="BY3" s="798"/>
      <c r="BZ3" s="798"/>
      <c r="CA3" s="798"/>
      <c r="CB3" s="798"/>
      <c r="CC3" s="798"/>
      <c r="CD3" s="798"/>
      <c r="CE3" s="798"/>
      <c r="CF3" s="798"/>
      <c r="CG3" s="798"/>
      <c r="CH3" s="798"/>
      <c r="CI3" s="798"/>
      <c r="CJ3" s="798"/>
      <c r="CK3" s="798"/>
      <c r="CL3" s="798"/>
      <c r="CM3" s="798"/>
      <c r="CN3" s="798"/>
      <c r="CO3" s="798"/>
      <c r="CP3" s="798"/>
      <c r="CQ3" s="798"/>
      <c r="CR3" s="798"/>
      <c r="CS3" s="798"/>
      <c r="CT3" s="798"/>
      <c r="CU3" s="798"/>
      <c r="CV3" s="798"/>
      <c r="CW3" s="798"/>
      <c r="CX3" s="798"/>
      <c r="CY3" s="798"/>
      <c r="CZ3" s="798"/>
      <c r="DA3" s="798"/>
      <c r="DB3" s="798"/>
      <c r="DC3" s="798"/>
      <c r="DD3" s="798"/>
      <c r="DE3" s="798"/>
      <c r="DF3" s="798"/>
    </row>
    <row r="4" spans="1:110" ht="23.25">
      <c r="A4" s="294" t="s">
        <v>288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289</v>
      </c>
      <c r="B5" s="296"/>
      <c r="C5" s="234">
        <v>25072</v>
      </c>
      <c r="D5" s="380">
        <f>Elect!BI34</f>
        <v>102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25174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290</v>
      </c>
      <c r="B6" s="298"/>
      <c r="C6" s="235">
        <v>50662</v>
      </c>
      <c r="D6" s="235">
        <f>Elect!BK34</f>
        <v>195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50857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291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292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293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294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295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296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297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298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299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300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301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302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303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304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305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306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307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308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309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310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311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312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313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314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315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316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317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318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319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320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321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322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323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324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325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326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327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328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329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330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331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332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333</v>
      </c>
      <c r="B51" s="312" t="s">
        <v>334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335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336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337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338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339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340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341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342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343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344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345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346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347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348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349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98"/>
      <c r="Z66" s="798"/>
    </row>
    <row r="67" spans="1:110" s="10" customFormat="1" ht="15.75" hidden="1">
      <c r="A67" s="319" t="s">
        <v>350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98"/>
      <c r="Z67" s="798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98"/>
      <c r="Z68" s="798"/>
      <c r="AA68" s="798"/>
      <c r="AB68" s="798"/>
      <c r="AC68" s="798"/>
      <c r="AD68" s="798"/>
      <c r="AE68" s="798"/>
      <c r="AF68" s="798"/>
      <c r="AG68" s="798"/>
      <c r="AH68" s="798"/>
      <c r="AI68" s="798"/>
      <c r="AJ68" s="798"/>
      <c r="AK68" s="798"/>
      <c r="AL68" s="798"/>
      <c r="AM68" s="798"/>
      <c r="AN68" s="798"/>
      <c r="AO68" s="798"/>
      <c r="AP68" s="798"/>
      <c r="AQ68" s="798"/>
      <c r="AR68" s="798"/>
      <c r="AS68" s="798"/>
      <c r="AT68" s="798"/>
      <c r="AU68" s="798"/>
      <c r="AV68" s="798"/>
      <c r="AW68" s="798"/>
      <c r="AX68" s="798"/>
      <c r="AY68" s="798"/>
      <c r="AZ68" s="798"/>
      <c r="BA68" s="798"/>
      <c r="BB68" s="798"/>
      <c r="BC68" s="798"/>
      <c r="BD68" s="798"/>
      <c r="BE68" s="798"/>
      <c r="BF68" s="798"/>
      <c r="BG68" s="798"/>
      <c r="BH68" s="798"/>
      <c r="BI68" s="798"/>
      <c r="BJ68" s="798"/>
      <c r="BK68" s="798"/>
      <c r="BL68" s="798"/>
      <c r="BM68" s="798"/>
      <c r="BN68" s="798"/>
      <c r="BO68" s="798"/>
      <c r="BP68" s="798"/>
      <c r="BQ68" s="798"/>
      <c r="BR68" s="798"/>
      <c r="BS68" s="798"/>
      <c r="BT68" s="798"/>
      <c r="BU68" s="798"/>
      <c r="BV68" s="798"/>
      <c r="BW68" s="798"/>
      <c r="BX68" s="798"/>
      <c r="BY68" s="798"/>
      <c r="BZ68" s="798"/>
      <c r="CA68" s="798"/>
      <c r="CB68" s="798"/>
      <c r="CC68" s="798"/>
      <c r="CD68" s="798"/>
      <c r="CE68" s="798"/>
      <c r="CF68" s="798"/>
      <c r="CG68" s="798"/>
      <c r="CH68" s="798"/>
      <c r="CI68" s="798"/>
      <c r="CJ68" s="798"/>
      <c r="CK68" s="798"/>
      <c r="CL68" s="798"/>
      <c r="CM68" s="798"/>
      <c r="CN68" s="798"/>
      <c r="CO68" s="798"/>
      <c r="CP68" s="798"/>
      <c r="CQ68" s="798"/>
      <c r="CR68" s="798"/>
      <c r="CS68" s="798"/>
      <c r="CT68" s="798"/>
      <c r="CU68" s="798"/>
      <c r="CV68" s="798"/>
      <c r="CW68" s="798"/>
      <c r="CX68" s="798"/>
      <c r="CY68" s="798"/>
      <c r="CZ68" s="798"/>
      <c r="DA68" s="798"/>
      <c r="DB68" s="798"/>
      <c r="DC68" s="798"/>
      <c r="DD68" s="798"/>
      <c r="DE68" s="798"/>
      <c r="DF68" s="798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98"/>
      <c r="Z69" s="798"/>
      <c r="AA69" s="798"/>
      <c r="AB69" s="798"/>
      <c r="AC69" s="798"/>
      <c r="AD69" s="798"/>
      <c r="AE69" s="798"/>
      <c r="AF69" s="798"/>
      <c r="AG69" s="798"/>
      <c r="AH69" s="798"/>
      <c r="AI69" s="798"/>
      <c r="AJ69" s="798"/>
      <c r="AK69" s="798"/>
      <c r="AL69" s="798"/>
      <c r="AM69" s="798"/>
      <c r="AN69" s="798"/>
      <c r="AO69" s="798"/>
      <c r="AP69" s="798"/>
      <c r="AQ69" s="798"/>
      <c r="AR69" s="798"/>
      <c r="AS69" s="798"/>
      <c r="AT69" s="798"/>
      <c r="AU69" s="798"/>
      <c r="AV69" s="798"/>
      <c r="AW69" s="798"/>
      <c r="AX69" s="798"/>
      <c r="AY69" s="798"/>
      <c r="AZ69" s="798"/>
      <c r="BA69" s="798"/>
      <c r="BB69" s="798"/>
      <c r="BC69" s="798"/>
      <c r="BD69" s="798"/>
      <c r="BE69" s="798"/>
      <c r="BF69" s="798"/>
      <c r="BG69" s="798"/>
      <c r="BH69" s="798"/>
      <c r="BI69" s="798"/>
      <c r="BJ69" s="798"/>
      <c r="BK69" s="798"/>
      <c r="BL69" s="798"/>
      <c r="BM69" s="798"/>
      <c r="BN69" s="798"/>
      <c r="BO69" s="798"/>
      <c r="BP69" s="798"/>
      <c r="BQ69" s="798"/>
      <c r="BR69" s="798"/>
      <c r="BS69" s="798"/>
      <c r="BT69" s="798"/>
      <c r="BU69" s="798"/>
      <c r="BV69" s="798"/>
      <c r="BW69" s="798"/>
      <c r="BX69" s="798"/>
      <c r="BY69" s="798"/>
      <c r="BZ69" s="798"/>
      <c r="CA69" s="798"/>
      <c r="CB69" s="798"/>
      <c r="CC69" s="798"/>
      <c r="CD69" s="798"/>
      <c r="CE69" s="798"/>
      <c r="CF69" s="798"/>
      <c r="CG69" s="798"/>
      <c r="CH69" s="798"/>
      <c r="CI69" s="798"/>
      <c r="CJ69" s="798"/>
      <c r="CK69" s="798"/>
      <c r="CL69" s="798"/>
      <c r="CM69" s="798"/>
      <c r="CN69" s="798"/>
      <c r="CO69" s="798"/>
      <c r="CP69" s="798"/>
      <c r="CQ69" s="798"/>
      <c r="CR69" s="798"/>
      <c r="CS69" s="798"/>
      <c r="CT69" s="798"/>
      <c r="CU69" s="798"/>
      <c r="CV69" s="798"/>
      <c r="CW69" s="798"/>
      <c r="CX69" s="798"/>
      <c r="CY69" s="798"/>
      <c r="CZ69" s="798"/>
      <c r="DA69" s="798"/>
      <c r="DB69" s="798"/>
      <c r="DC69" s="798"/>
      <c r="DD69" s="798"/>
      <c r="DE69" s="798"/>
      <c r="DF69" s="798"/>
    </row>
    <row r="70" spans="1:110" s="10" customFormat="1" ht="15.75" hidden="1">
      <c r="A70" s="320" t="s">
        <v>351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98"/>
      <c r="Z70" s="798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98"/>
      <c r="Z71" s="798"/>
      <c r="AA71" s="798"/>
      <c r="AB71" s="798"/>
      <c r="AC71" s="798"/>
      <c r="AD71" s="798"/>
      <c r="AE71" s="798"/>
      <c r="AF71" s="798"/>
      <c r="AG71" s="798"/>
      <c r="AH71" s="798"/>
      <c r="AI71" s="798"/>
      <c r="AJ71" s="798"/>
      <c r="AK71" s="798"/>
      <c r="AL71" s="798"/>
      <c r="AM71" s="798"/>
      <c r="AN71" s="798"/>
      <c r="AO71" s="798"/>
      <c r="AP71" s="798"/>
      <c r="AQ71" s="798"/>
      <c r="AR71" s="798"/>
      <c r="AS71" s="798"/>
      <c r="AT71" s="798"/>
      <c r="AU71" s="798"/>
      <c r="AV71" s="798"/>
      <c r="AW71" s="798"/>
      <c r="AX71" s="798"/>
      <c r="AY71" s="798"/>
      <c r="AZ71" s="798"/>
      <c r="BA71" s="798"/>
      <c r="BB71" s="798"/>
      <c r="BC71" s="798"/>
      <c r="BD71" s="798"/>
      <c r="BE71" s="798"/>
      <c r="BF71" s="798"/>
      <c r="BG71" s="798"/>
      <c r="BH71" s="798"/>
      <c r="BI71" s="798"/>
      <c r="BJ71" s="798"/>
      <c r="BK71" s="798"/>
      <c r="BL71" s="798"/>
      <c r="BM71" s="798"/>
      <c r="BN71" s="798"/>
      <c r="BO71" s="798"/>
      <c r="BP71" s="798"/>
      <c r="BQ71" s="798"/>
      <c r="BR71" s="798"/>
      <c r="BS71" s="798"/>
      <c r="BT71" s="798"/>
      <c r="BU71" s="798"/>
      <c r="BV71" s="798"/>
      <c r="BW71" s="798"/>
      <c r="BX71" s="798"/>
      <c r="BY71" s="798"/>
      <c r="BZ71" s="798"/>
      <c r="CA71" s="798"/>
      <c r="CB71" s="798"/>
      <c r="CC71" s="798"/>
      <c r="CD71" s="798"/>
      <c r="CE71" s="798"/>
      <c r="CF71" s="798"/>
      <c r="CG71" s="798"/>
      <c r="CH71" s="798"/>
      <c r="CI71" s="798"/>
      <c r="CJ71" s="798"/>
      <c r="CK71" s="798"/>
      <c r="CL71" s="798"/>
      <c r="CM71" s="798"/>
      <c r="CN71" s="798"/>
      <c r="CO71" s="798"/>
      <c r="CP71" s="798"/>
      <c r="CQ71" s="798"/>
      <c r="CR71" s="798"/>
      <c r="CS71" s="798"/>
      <c r="CT71" s="798"/>
      <c r="CU71" s="798"/>
      <c r="CV71" s="798"/>
      <c r="CW71" s="798"/>
      <c r="CX71" s="798"/>
      <c r="CY71" s="798"/>
      <c r="CZ71" s="798"/>
      <c r="DA71" s="798"/>
      <c r="DB71" s="798"/>
      <c r="DC71" s="798"/>
      <c r="DD71" s="798"/>
      <c r="DE71" s="798"/>
      <c r="DF71" s="798"/>
    </row>
    <row r="72" spans="1:110" s="10" customFormat="1" ht="16.5" hidden="1" thickBot="1">
      <c r="A72" s="321" t="s">
        <v>352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98"/>
      <c r="Z72" s="798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98"/>
      <c r="Z73" s="798"/>
      <c r="AA73" s="798"/>
      <c r="AB73" s="798"/>
      <c r="AC73" s="798"/>
      <c r="AD73" s="798"/>
      <c r="AE73" s="798"/>
      <c r="AF73" s="798"/>
      <c r="AG73" s="798"/>
      <c r="AH73" s="798"/>
      <c r="AI73" s="798"/>
      <c r="AJ73" s="798"/>
      <c r="AK73" s="798"/>
      <c r="AL73" s="798"/>
      <c r="AM73" s="798"/>
      <c r="AN73" s="798"/>
      <c r="AO73" s="798"/>
      <c r="AP73" s="798"/>
      <c r="AQ73" s="798"/>
      <c r="AR73" s="798"/>
      <c r="AS73" s="798"/>
      <c r="AT73" s="798"/>
      <c r="AU73" s="798"/>
      <c r="AV73" s="798"/>
      <c r="AW73" s="798"/>
      <c r="AX73" s="798"/>
      <c r="AY73" s="798"/>
      <c r="AZ73" s="798"/>
      <c r="BA73" s="798"/>
      <c r="BB73" s="798"/>
      <c r="BC73" s="798"/>
      <c r="BD73" s="798"/>
      <c r="BE73" s="798"/>
      <c r="BF73" s="798"/>
      <c r="BG73" s="798"/>
      <c r="BH73" s="798"/>
      <c r="BI73" s="798"/>
      <c r="BJ73" s="798"/>
      <c r="BK73" s="798"/>
      <c r="BL73" s="798"/>
      <c r="BM73" s="798"/>
      <c r="BN73" s="798"/>
      <c r="BO73" s="798"/>
      <c r="BP73" s="798"/>
      <c r="BQ73" s="798"/>
      <c r="BR73" s="798"/>
      <c r="BS73" s="798"/>
      <c r="BT73" s="798"/>
      <c r="BU73" s="798"/>
      <c r="BV73" s="798"/>
      <c r="BW73" s="798"/>
      <c r="BX73" s="798"/>
      <c r="BY73" s="798"/>
      <c r="BZ73" s="798"/>
      <c r="CA73" s="798"/>
      <c r="CB73" s="798"/>
      <c r="CC73" s="798"/>
      <c r="CD73" s="798"/>
      <c r="CE73" s="798"/>
      <c r="CF73" s="798"/>
      <c r="CG73" s="798"/>
      <c r="CH73" s="798"/>
      <c r="CI73" s="798"/>
      <c r="CJ73" s="798"/>
      <c r="CK73" s="798"/>
      <c r="CL73" s="798"/>
      <c r="CM73" s="798"/>
      <c r="CN73" s="798"/>
      <c r="CO73" s="798"/>
      <c r="CP73" s="798"/>
      <c r="CQ73" s="798"/>
      <c r="CR73" s="798"/>
      <c r="CS73" s="798"/>
      <c r="CT73" s="798"/>
      <c r="CU73" s="798"/>
      <c r="CV73" s="798"/>
      <c r="CW73" s="798"/>
      <c r="CX73" s="798"/>
      <c r="CY73" s="798"/>
      <c r="CZ73" s="798"/>
      <c r="DA73" s="798"/>
      <c r="DB73" s="798"/>
      <c r="DC73" s="798"/>
      <c r="DD73" s="798"/>
      <c r="DE73" s="798"/>
      <c r="DF73" s="798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98"/>
      <c r="Z74" s="798"/>
      <c r="AA74" s="798"/>
      <c r="AB74" s="798"/>
      <c r="AC74" s="798"/>
      <c r="AD74" s="798"/>
      <c r="AE74" s="798"/>
      <c r="AF74" s="798"/>
      <c r="AG74" s="798"/>
      <c r="AH74" s="798"/>
      <c r="AI74" s="798"/>
      <c r="AJ74" s="798"/>
      <c r="AK74" s="798"/>
      <c r="AL74" s="798"/>
      <c r="AM74" s="798"/>
      <c r="AN74" s="798"/>
      <c r="AO74" s="798"/>
      <c r="AP74" s="798"/>
      <c r="AQ74" s="798"/>
      <c r="AR74" s="798"/>
      <c r="AS74" s="798"/>
      <c r="AT74" s="798"/>
      <c r="AU74" s="798"/>
      <c r="AV74" s="798"/>
      <c r="AW74" s="798"/>
      <c r="AX74" s="798"/>
      <c r="AY74" s="798"/>
      <c r="AZ74" s="798"/>
      <c r="BA74" s="798"/>
      <c r="BB74" s="798"/>
      <c r="BC74" s="798"/>
      <c r="BD74" s="798"/>
      <c r="BE74" s="798"/>
      <c r="BF74" s="798"/>
      <c r="BG74" s="798"/>
      <c r="BH74" s="798"/>
      <c r="BI74" s="798"/>
      <c r="BJ74" s="798"/>
      <c r="BK74" s="798"/>
      <c r="BL74" s="798"/>
      <c r="BM74" s="798"/>
      <c r="BN74" s="798"/>
      <c r="BO74" s="798"/>
      <c r="BP74" s="798"/>
      <c r="BQ74" s="798"/>
      <c r="BR74" s="798"/>
      <c r="BS74" s="798"/>
      <c r="BT74" s="798"/>
      <c r="BU74" s="798"/>
      <c r="BV74" s="798"/>
      <c r="BW74" s="798"/>
      <c r="BX74" s="798"/>
      <c r="BY74" s="798"/>
      <c r="BZ74" s="798"/>
      <c r="CA74" s="798"/>
      <c r="CB74" s="798"/>
      <c r="CC74" s="798"/>
      <c r="CD74" s="798"/>
      <c r="CE74" s="798"/>
      <c r="CF74" s="798"/>
      <c r="CG74" s="798"/>
      <c r="CH74" s="798"/>
      <c r="CI74" s="798"/>
      <c r="CJ74" s="798"/>
      <c r="CK74" s="798"/>
      <c r="CL74" s="798"/>
      <c r="CM74" s="798"/>
      <c r="CN74" s="798"/>
      <c r="CO74" s="798"/>
      <c r="CP74" s="798"/>
      <c r="CQ74" s="798"/>
      <c r="CR74" s="798"/>
      <c r="CS74" s="798"/>
      <c r="CT74" s="798"/>
      <c r="CU74" s="798"/>
      <c r="CV74" s="798"/>
      <c r="CW74" s="798"/>
      <c r="CX74" s="798"/>
      <c r="CY74" s="798"/>
      <c r="CZ74" s="798"/>
      <c r="DA74" s="798"/>
      <c r="DB74" s="798"/>
      <c r="DC74" s="798"/>
      <c r="DD74" s="798"/>
      <c r="DE74" s="798"/>
      <c r="DF74" s="798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98"/>
      <c r="Z75" s="798"/>
      <c r="AA75" s="798"/>
      <c r="AB75" s="798"/>
      <c r="AC75" s="798"/>
      <c r="AD75" s="798"/>
      <c r="AE75" s="798"/>
      <c r="AF75" s="798"/>
      <c r="AG75" s="798"/>
      <c r="AH75" s="798"/>
      <c r="AI75" s="798"/>
      <c r="AJ75" s="798"/>
      <c r="AK75" s="798"/>
      <c r="AL75" s="798"/>
      <c r="AM75" s="798"/>
      <c r="AN75" s="798"/>
      <c r="AO75" s="798"/>
      <c r="AP75" s="798"/>
      <c r="AQ75" s="798"/>
      <c r="AR75" s="798"/>
      <c r="AS75" s="798"/>
      <c r="AT75" s="798"/>
      <c r="AU75" s="798"/>
      <c r="AV75" s="798"/>
      <c r="AW75" s="798"/>
      <c r="AX75" s="798"/>
      <c r="AY75" s="798"/>
      <c r="AZ75" s="798"/>
      <c r="BA75" s="798"/>
      <c r="BB75" s="798"/>
      <c r="BC75" s="798"/>
      <c r="BD75" s="798"/>
      <c r="BE75" s="798"/>
      <c r="BF75" s="798"/>
      <c r="BG75" s="798"/>
      <c r="BH75" s="798"/>
      <c r="BI75" s="798"/>
      <c r="BJ75" s="798"/>
      <c r="BK75" s="798"/>
      <c r="BL75" s="798"/>
      <c r="BM75" s="798"/>
      <c r="BN75" s="798"/>
      <c r="BO75" s="798"/>
      <c r="BP75" s="798"/>
      <c r="BQ75" s="798"/>
      <c r="BR75" s="798"/>
      <c r="BS75" s="798"/>
      <c r="BT75" s="798"/>
      <c r="BU75" s="798"/>
      <c r="BV75" s="798"/>
      <c r="BW75" s="798"/>
      <c r="BX75" s="798"/>
      <c r="BY75" s="798"/>
      <c r="BZ75" s="798"/>
      <c r="CA75" s="798"/>
      <c r="CB75" s="798"/>
      <c r="CC75" s="798"/>
      <c r="CD75" s="798"/>
      <c r="CE75" s="798"/>
      <c r="CF75" s="798"/>
      <c r="CG75" s="798"/>
      <c r="CH75" s="798"/>
      <c r="CI75" s="798"/>
      <c r="CJ75" s="798"/>
      <c r="CK75" s="798"/>
      <c r="CL75" s="798"/>
      <c r="CM75" s="798"/>
      <c r="CN75" s="798"/>
      <c r="CO75" s="798"/>
      <c r="CP75" s="798"/>
      <c r="CQ75" s="798"/>
      <c r="CR75" s="798"/>
      <c r="CS75" s="798"/>
      <c r="CT75" s="798"/>
      <c r="CU75" s="798"/>
      <c r="CV75" s="798"/>
      <c r="CW75" s="798"/>
      <c r="CX75" s="798"/>
      <c r="CY75" s="798"/>
      <c r="CZ75" s="798"/>
      <c r="DA75" s="798"/>
      <c r="DB75" s="798"/>
      <c r="DC75" s="798"/>
      <c r="DD75" s="798"/>
      <c r="DE75" s="798"/>
      <c r="DF75" s="798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98"/>
      <c r="Z76" s="798"/>
      <c r="AA76" s="798"/>
      <c r="AB76" s="798"/>
      <c r="AC76" s="798"/>
      <c r="AD76" s="798"/>
      <c r="AE76" s="798"/>
      <c r="AF76" s="798"/>
      <c r="AG76" s="798"/>
      <c r="AH76" s="798"/>
      <c r="AI76" s="798"/>
      <c r="AJ76" s="798"/>
      <c r="AK76" s="798"/>
      <c r="AL76" s="798"/>
      <c r="AM76" s="798"/>
      <c r="AN76" s="798"/>
      <c r="AO76" s="798"/>
      <c r="AP76" s="798"/>
      <c r="AQ76" s="798"/>
      <c r="AR76" s="798"/>
      <c r="AS76" s="798"/>
      <c r="AT76" s="798"/>
      <c r="AU76" s="798"/>
      <c r="AV76" s="798"/>
      <c r="AW76" s="798"/>
      <c r="AX76" s="798"/>
      <c r="AY76" s="798"/>
      <c r="AZ76" s="798"/>
      <c r="BA76" s="798"/>
      <c r="BB76" s="798"/>
      <c r="BC76" s="798"/>
      <c r="BD76" s="798"/>
      <c r="BE76" s="798"/>
      <c r="BF76" s="798"/>
      <c r="BG76" s="798"/>
      <c r="BH76" s="798"/>
      <c r="BI76" s="798"/>
      <c r="BJ76" s="798"/>
      <c r="BK76" s="798"/>
      <c r="BL76" s="798"/>
      <c r="BM76" s="798"/>
      <c r="BN76" s="798"/>
      <c r="BO76" s="798"/>
      <c r="BP76" s="798"/>
      <c r="BQ76" s="798"/>
      <c r="BR76" s="798"/>
      <c r="BS76" s="798"/>
      <c r="BT76" s="798"/>
      <c r="BU76" s="798"/>
      <c r="BV76" s="798"/>
      <c r="BW76" s="798"/>
      <c r="BX76" s="798"/>
      <c r="BY76" s="798"/>
      <c r="BZ76" s="798"/>
      <c r="CA76" s="798"/>
      <c r="CB76" s="798"/>
      <c r="CC76" s="798"/>
      <c r="CD76" s="798"/>
      <c r="CE76" s="798"/>
      <c r="CF76" s="798"/>
      <c r="CG76" s="798"/>
      <c r="CH76" s="798"/>
      <c r="CI76" s="798"/>
      <c r="CJ76" s="798"/>
      <c r="CK76" s="798"/>
      <c r="CL76" s="798"/>
      <c r="CM76" s="798"/>
      <c r="CN76" s="798"/>
      <c r="CO76" s="798"/>
      <c r="CP76" s="798"/>
      <c r="CQ76" s="798"/>
      <c r="CR76" s="798"/>
      <c r="CS76" s="798"/>
      <c r="CT76" s="798"/>
      <c r="CU76" s="798"/>
      <c r="CV76" s="798"/>
      <c r="CW76" s="798"/>
      <c r="CX76" s="798"/>
      <c r="CY76" s="798"/>
      <c r="CZ76" s="798"/>
      <c r="DA76" s="798"/>
      <c r="DB76" s="798"/>
      <c r="DC76" s="798"/>
      <c r="DD76" s="798"/>
      <c r="DE76" s="798"/>
      <c r="DF76" s="798"/>
    </row>
    <row r="77" spans="1:110" ht="15.75" hidden="1">
      <c r="A77" s="320" t="s">
        <v>353</v>
      </c>
      <c r="B77" s="320" t="s">
        <v>354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98"/>
      <c r="Z77" s="798"/>
      <c r="AA77" s="798"/>
      <c r="AB77" s="798"/>
      <c r="AC77" s="798"/>
      <c r="AD77" s="798"/>
      <c r="AE77" s="798"/>
      <c r="AF77" s="798"/>
      <c r="AG77" s="798"/>
      <c r="AH77" s="798"/>
      <c r="AI77" s="798"/>
      <c r="AJ77" s="798"/>
      <c r="AK77" s="798"/>
      <c r="AL77" s="798"/>
      <c r="AM77" s="798"/>
      <c r="AN77" s="798"/>
      <c r="AO77" s="798"/>
      <c r="AP77" s="798"/>
      <c r="AQ77" s="798"/>
      <c r="AR77" s="798"/>
      <c r="AS77" s="798"/>
      <c r="AT77" s="798"/>
      <c r="AU77" s="798"/>
      <c r="AV77" s="798"/>
      <c r="AW77" s="798"/>
      <c r="AX77" s="798"/>
      <c r="AY77" s="798"/>
      <c r="AZ77" s="798"/>
      <c r="BA77" s="798"/>
      <c r="BB77" s="798"/>
      <c r="BC77" s="798"/>
      <c r="BD77" s="798"/>
      <c r="BE77" s="798"/>
      <c r="BF77" s="798"/>
      <c r="BG77" s="798"/>
      <c r="BH77" s="798"/>
      <c r="BI77" s="798"/>
      <c r="BJ77" s="798"/>
      <c r="BK77" s="798"/>
      <c r="BL77" s="798"/>
      <c r="BM77" s="798"/>
      <c r="BN77" s="798"/>
      <c r="BO77" s="798"/>
      <c r="BP77" s="798"/>
      <c r="BQ77" s="798"/>
      <c r="BR77" s="798"/>
      <c r="BS77" s="798"/>
      <c r="BT77" s="798"/>
      <c r="BU77" s="798"/>
      <c r="BV77" s="798"/>
      <c r="BW77" s="798"/>
      <c r="BX77" s="798"/>
      <c r="BY77" s="798"/>
      <c r="BZ77" s="798"/>
      <c r="CA77" s="798"/>
      <c r="CB77" s="798"/>
      <c r="CC77" s="798"/>
      <c r="CD77" s="798"/>
      <c r="CE77" s="798"/>
      <c r="CF77" s="798"/>
      <c r="CG77" s="798"/>
      <c r="CH77" s="798"/>
      <c r="CI77" s="798"/>
      <c r="CJ77" s="798"/>
      <c r="CK77" s="798"/>
      <c r="CL77" s="798"/>
      <c r="CM77" s="798"/>
      <c r="CN77" s="798"/>
      <c r="CO77" s="798"/>
      <c r="CP77" s="798"/>
      <c r="CQ77" s="798"/>
      <c r="CR77" s="798"/>
      <c r="CS77" s="798"/>
      <c r="CT77" s="798"/>
      <c r="CU77" s="798"/>
      <c r="CV77" s="798"/>
      <c r="CW77" s="798"/>
      <c r="CX77" s="798"/>
      <c r="CY77" s="798"/>
      <c r="CZ77" s="798"/>
      <c r="DA77" s="798"/>
      <c r="DB77" s="798"/>
      <c r="DC77" s="798"/>
      <c r="DD77" s="798"/>
      <c r="DE77" s="798"/>
      <c r="DF77" s="798"/>
    </row>
    <row r="78" spans="1:110" ht="15.75" hidden="1">
      <c r="A78" s="320" t="s">
        <v>355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98"/>
      <c r="Z78" s="798"/>
      <c r="AA78" s="798"/>
      <c r="AB78" s="798"/>
      <c r="AC78" s="798"/>
      <c r="AD78" s="798"/>
      <c r="AE78" s="798"/>
      <c r="AF78" s="798"/>
      <c r="AG78" s="798"/>
      <c r="AH78" s="798"/>
      <c r="AI78" s="798"/>
      <c r="AJ78" s="798"/>
      <c r="AK78" s="798"/>
      <c r="AL78" s="798"/>
      <c r="AM78" s="798"/>
      <c r="AN78" s="798"/>
      <c r="AO78" s="798"/>
      <c r="AP78" s="798"/>
      <c r="AQ78" s="798"/>
      <c r="AR78" s="798"/>
      <c r="AS78" s="798"/>
      <c r="AT78" s="798"/>
      <c r="AU78" s="798"/>
      <c r="AV78" s="798"/>
      <c r="AW78" s="798"/>
      <c r="AX78" s="798"/>
      <c r="AY78" s="798"/>
      <c r="AZ78" s="798"/>
      <c r="BA78" s="798"/>
      <c r="BB78" s="798"/>
      <c r="BC78" s="798"/>
      <c r="BD78" s="798"/>
      <c r="BE78" s="798"/>
      <c r="BF78" s="798"/>
      <c r="BG78" s="798"/>
      <c r="BH78" s="798"/>
      <c r="BI78" s="798"/>
      <c r="BJ78" s="798"/>
      <c r="BK78" s="798"/>
      <c r="BL78" s="798"/>
      <c r="BM78" s="798"/>
      <c r="BN78" s="798"/>
      <c r="BO78" s="798"/>
      <c r="BP78" s="798"/>
      <c r="BQ78" s="798"/>
      <c r="BR78" s="798"/>
      <c r="BS78" s="798"/>
      <c r="BT78" s="798"/>
      <c r="BU78" s="798"/>
      <c r="BV78" s="798"/>
      <c r="BW78" s="798"/>
      <c r="BX78" s="798"/>
      <c r="BY78" s="798"/>
      <c r="BZ78" s="798"/>
      <c r="CA78" s="798"/>
      <c r="CB78" s="798"/>
      <c r="CC78" s="798"/>
      <c r="CD78" s="798"/>
      <c r="CE78" s="798"/>
      <c r="CF78" s="798"/>
      <c r="CG78" s="798"/>
      <c r="CH78" s="798"/>
      <c r="CI78" s="798"/>
      <c r="CJ78" s="798"/>
      <c r="CK78" s="798"/>
      <c r="CL78" s="798"/>
      <c r="CM78" s="798"/>
      <c r="CN78" s="798"/>
      <c r="CO78" s="798"/>
      <c r="CP78" s="798"/>
      <c r="CQ78" s="798"/>
      <c r="CR78" s="798"/>
      <c r="CS78" s="798"/>
      <c r="CT78" s="798"/>
      <c r="CU78" s="798"/>
      <c r="CV78" s="798"/>
      <c r="CW78" s="798"/>
      <c r="CX78" s="798"/>
      <c r="CY78" s="798"/>
      <c r="CZ78" s="798"/>
      <c r="DA78" s="798"/>
      <c r="DB78" s="798"/>
      <c r="DC78" s="798"/>
      <c r="DD78" s="798"/>
      <c r="DE78" s="798"/>
      <c r="DF78" s="798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98"/>
      <c r="Z79" s="798"/>
      <c r="AA79" s="798"/>
      <c r="AB79" s="798"/>
      <c r="AC79" s="798"/>
      <c r="AD79" s="798"/>
      <c r="AE79" s="798"/>
      <c r="AF79" s="798"/>
      <c r="AG79" s="798"/>
      <c r="AH79" s="798"/>
      <c r="AI79" s="798"/>
      <c r="AJ79" s="798"/>
      <c r="AK79" s="798"/>
      <c r="AL79" s="798"/>
      <c r="AM79" s="798"/>
      <c r="AN79" s="798"/>
      <c r="AO79" s="798"/>
      <c r="AP79" s="798"/>
      <c r="AQ79" s="798"/>
      <c r="AR79" s="798"/>
      <c r="AS79" s="798"/>
      <c r="AT79" s="798"/>
      <c r="AU79" s="798"/>
      <c r="AV79" s="798"/>
      <c r="AW79" s="798"/>
      <c r="AX79" s="798"/>
      <c r="AY79" s="798"/>
      <c r="AZ79" s="798"/>
      <c r="BA79" s="798"/>
      <c r="BB79" s="798"/>
      <c r="BC79" s="798"/>
      <c r="BD79" s="798"/>
      <c r="BE79" s="798"/>
      <c r="BF79" s="798"/>
      <c r="BG79" s="798"/>
      <c r="BH79" s="798"/>
      <c r="BI79" s="798"/>
      <c r="BJ79" s="798"/>
      <c r="BK79" s="798"/>
      <c r="BL79" s="798"/>
      <c r="BM79" s="798"/>
      <c r="BN79" s="798"/>
      <c r="BO79" s="798"/>
      <c r="BP79" s="798"/>
      <c r="BQ79" s="798"/>
      <c r="BR79" s="798"/>
      <c r="BS79" s="798"/>
      <c r="BT79" s="798"/>
      <c r="BU79" s="798"/>
      <c r="BV79" s="798"/>
      <c r="BW79" s="798"/>
      <c r="BX79" s="798"/>
      <c r="BY79" s="798"/>
      <c r="BZ79" s="798"/>
      <c r="CA79" s="798"/>
      <c r="CB79" s="798"/>
      <c r="CC79" s="798"/>
      <c r="CD79" s="798"/>
      <c r="CE79" s="798"/>
      <c r="CF79" s="798"/>
      <c r="CG79" s="798"/>
      <c r="CH79" s="798"/>
      <c r="CI79" s="798"/>
      <c r="CJ79" s="798"/>
      <c r="CK79" s="798"/>
      <c r="CL79" s="798"/>
      <c r="CM79" s="798"/>
      <c r="CN79" s="798"/>
      <c r="CO79" s="798"/>
      <c r="CP79" s="798"/>
      <c r="CQ79" s="798"/>
      <c r="CR79" s="798"/>
      <c r="CS79" s="798"/>
      <c r="CT79" s="798"/>
      <c r="CU79" s="798"/>
      <c r="CV79" s="798"/>
      <c r="CW79" s="798"/>
      <c r="CX79" s="798"/>
      <c r="CY79" s="798"/>
      <c r="CZ79" s="798"/>
      <c r="DA79" s="798"/>
      <c r="DB79" s="798"/>
      <c r="DC79" s="798"/>
      <c r="DD79" s="798"/>
      <c r="DE79" s="798"/>
      <c r="DF79" s="798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98"/>
      <c r="Z80" s="798"/>
      <c r="AA80" s="798"/>
      <c r="AB80" s="798"/>
      <c r="AC80" s="798"/>
      <c r="AD80" s="798"/>
      <c r="AE80" s="798"/>
      <c r="AF80" s="798"/>
      <c r="AG80" s="798"/>
      <c r="AH80" s="798"/>
      <c r="AI80" s="798"/>
      <c r="AJ80" s="798"/>
      <c r="AK80" s="798"/>
      <c r="AL80" s="798"/>
      <c r="AM80" s="798"/>
      <c r="AN80" s="798"/>
      <c r="AO80" s="798"/>
      <c r="AP80" s="798"/>
      <c r="AQ80" s="798"/>
      <c r="AR80" s="798"/>
      <c r="AS80" s="798"/>
      <c r="AT80" s="798"/>
      <c r="AU80" s="798"/>
      <c r="AV80" s="798"/>
      <c r="AW80" s="798"/>
      <c r="AX80" s="798"/>
      <c r="AY80" s="798"/>
      <c r="AZ80" s="798"/>
      <c r="BA80" s="798"/>
      <c r="BB80" s="798"/>
      <c r="BC80" s="798"/>
      <c r="BD80" s="798"/>
      <c r="BE80" s="798"/>
      <c r="BF80" s="798"/>
      <c r="BG80" s="798"/>
      <c r="BH80" s="798"/>
      <c r="BI80" s="798"/>
      <c r="BJ80" s="798"/>
      <c r="BK80" s="798"/>
      <c r="BL80" s="798"/>
      <c r="BM80" s="798"/>
      <c r="BN80" s="798"/>
      <c r="BO80" s="798"/>
      <c r="BP80" s="798"/>
      <c r="BQ80" s="798"/>
      <c r="BR80" s="798"/>
      <c r="BS80" s="798"/>
      <c r="BT80" s="798"/>
      <c r="BU80" s="798"/>
      <c r="BV80" s="798"/>
      <c r="BW80" s="798"/>
      <c r="BX80" s="798"/>
      <c r="BY80" s="798"/>
      <c r="BZ80" s="798"/>
      <c r="CA80" s="798"/>
      <c r="CB80" s="798"/>
      <c r="CC80" s="798"/>
      <c r="CD80" s="798"/>
      <c r="CE80" s="798"/>
      <c r="CF80" s="798"/>
      <c r="CG80" s="798"/>
      <c r="CH80" s="798"/>
      <c r="CI80" s="798"/>
      <c r="CJ80" s="798"/>
      <c r="CK80" s="798"/>
      <c r="CL80" s="798"/>
      <c r="CM80" s="798"/>
      <c r="CN80" s="798"/>
      <c r="CO80" s="798"/>
      <c r="CP80" s="798"/>
      <c r="CQ80" s="798"/>
      <c r="CR80" s="798"/>
      <c r="CS80" s="798"/>
      <c r="CT80" s="798"/>
      <c r="CU80" s="798"/>
      <c r="CV80" s="798"/>
      <c r="CW80" s="798"/>
      <c r="CX80" s="798"/>
      <c r="CY80" s="798"/>
      <c r="CZ80" s="798"/>
      <c r="DA80" s="798"/>
      <c r="DB80" s="798"/>
      <c r="DC80" s="798"/>
      <c r="DD80" s="798"/>
      <c r="DE80" s="798"/>
      <c r="DF80" s="798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353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355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353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355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356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357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358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298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299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300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301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302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303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304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305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306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307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308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309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310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311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312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313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359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315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316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317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318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319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320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321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322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323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324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325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326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327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328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329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330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331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332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333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335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336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337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338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339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360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341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342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343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347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348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361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358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298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299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300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301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302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303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304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305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306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307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308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309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310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311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312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313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359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315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316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317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318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319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320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321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322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323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324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325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326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327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328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329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330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331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332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333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335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336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337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338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339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360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341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342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343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347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348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362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363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364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365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366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367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368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369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370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371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372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373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374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341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375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304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305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306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307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308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309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310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311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312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313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359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315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316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317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318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319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320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321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322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323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324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325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326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327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328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329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330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331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332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333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335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336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337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338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339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360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341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342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343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344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345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347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376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304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305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306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307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308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309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310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311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312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313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359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315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316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317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318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319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320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321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322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323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324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325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326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327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328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329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330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331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332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333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335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336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337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338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339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360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341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342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343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344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345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347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841"/>
      <c r="D2336" s="841"/>
      <c r="E2336" s="841"/>
      <c r="F2336" s="841"/>
      <c r="G2336" s="841"/>
      <c r="H2336" s="841"/>
      <c r="I2336" s="841"/>
      <c r="J2336" s="841"/>
      <c r="K2336" s="841"/>
      <c r="L2336" s="841"/>
      <c r="M2336" s="841"/>
      <c r="N2336" s="841"/>
      <c r="O2336" s="266"/>
      <c r="P2336" s="266"/>
      <c r="Q2336" s="842"/>
      <c r="R2336" s="798"/>
      <c r="S2336" s="798"/>
      <c r="T2336" s="798"/>
      <c r="U2336" s="798"/>
      <c r="V2336" s="798"/>
      <c r="W2336" s="798"/>
      <c r="X2336" s="798"/>
    </row>
    <row r="2337" spans="1:26">
      <c r="B2337" s="323"/>
      <c r="C2337" s="841">
        <v>39814</v>
      </c>
      <c r="D2337" s="841">
        <v>39845</v>
      </c>
      <c r="E2337" s="841">
        <v>39873</v>
      </c>
      <c r="F2337" s="841">
        <v>39904</v>
      </c>
      <c r="G2337" s="841">
        <v>39934</v>
      </c>
      <c r="H2337" s="841">
        <v>39965</v>
      </c>
      <c r="I2337" s="841">
        <v>39995</v>
      </c>
      <c r="J2337" s="841">
        <v>40026</v>
      </c>
      <c r="K2337" s="841">
        <v>40057</v>
      </c>
      <c r="L2337" s="841">
        <v>40087</v>
      </c>
      <c r="M2337" s="841">
        <v>40118</v>
      </c>
      <c r="N2337" s="841">
        <v>40148</v>
      </c>
      <c r="O2337" s="267"/>
      <c r="P2337" s="267"/>
      <c r="Q2337" s="843"/>
      <c r="R2337" s="798"/>
      <c r="S2337" s="798"/>
      <c r="T2337" s="798"/>
      <c r="U2337" s="798"/>
      <c r="V2337" s="798"/>
      <c r="W2337" s="798"/>
      <c r="X2337" s="798"/>
      <c r="Y2337" s="798"/>
      <c r="Z2337" s="798"/>
    </row>
    <row r="2338" spans="1:26" ht="21.75" customHeight="1">
      <c r="A2338" s="323"/>
      <c r="B2338" s="323"/>
      <c r="C2338" s="840"/>
      <c r="D2338" s="840"/>
      <c r="E2338" s="840"/>
      <c r="F2338" s="840"/>
      <c r="G2338" s="840"/>
      <c r="H2338" s="211" t="s">
        <v>377</v>
      </c>
      <c r="I2338" s="214"/>
      <c r="J2338" s="840"/>
      <c r="K2338" s="840"/>
      <c r="L2338" s="840"/>
      <c r="M2338" s="840"/>
      <c r="N2338" s="840"/>
      <c r="Q2338" s="798"/>
      <c r="R2338" s="798"/>
      <c r="S2338" s="798"/>
      <c r="T2338" s="798"/>
      <c r="U2338" s="798"/>
      <c r="V2338" s="798"/>
      <c r="W2338" s="798"/>
      <c r="X2338" s="798"/>
      <c r="Y2338" s="798"/>
      <c r="Z2338" s="798"/>
    </row>
    <row r="2339" spans="1:26" ht="13.5" thickBot="1">
      <c r="A2339" s="323"/>
      <c r="B2339" s="323"/>
      <c r="C2339" s="840"/>
      <c r="D2339" s="840"/>
      <c r="E2339" s="840"/>
      <c r="F2339" s="840"/>
      <c r="G2339" s="840"/>
      <c r="H2339" s="840"/>
      <c r="I2339" s="840"/>
      <c r="J2339" s="840"/>
      <c r="K2339" s="840"/>
      <c r="L2339" s="840"/>
      <c r="M2339" s="840"/>
      <c r="N2339" s="840"/>
      <c r="Q2339" s="798"/>
      <c r="R2339" s="798"/>
      <c r="S2339" s="798"/>
      <c r="T2339" s="798"/>
      <c r="U2339" s="798"/>
      <c r="V2339" s="798"/>
      <c r="W2339" s="798"/>
      <c r="X2339" s="798"/>
      <c r="Y2339" s="798"/>
      <c r="Z2339" s="798"/>
    </row>
    <row r="2340" spans="1:26" s="219" customFormat="1" ht="27.75" customHeight="1" thickTop="1" thickBot="1">
      <c r="A2340" s="324"/>
      <c r="B2340" s="325"/>
      <c r="C2340" s="268" t="s">
        <v>273</v>
      </c>
      <c r="D2340" s="268" t="s">
        <v>274</v>
      </c>
      <c r="E2340" s="268" t="s">
        <v>275</v>
      </c>
      <c r="F2340" s="268" t="s">
        <v>276</v>
      </c>
      <c r="G2340" s="268" t="s">
        <v>277</v>
      </c>
      <c r="H2340" s="268" t="s">
        <v>278</v>
      </c>
      <c r="I2340" s="268" t="s">
        <v>279</v>
      </c>
      <c r="J2340" s="268" t="s">
        <v>280</v>
      </c>
      <c r="K2340" s="268" t="s">
        <v>281</v>
      </c>
      <c r="L2340" s="268" t="s">
        <v>282</v>
      </c>
      <c r="M2340" s="268" t="s">
        <v>283</v>
      </c>
      <c r="N2340" s="269" t="s">
        <v>284</v>
      </c>
      <c r="O2340" s="226" t="s">
        <v>378</v>
      </c>
      <c r="P2340" s="270" t="s">
        <v>286</v>
      </c>
      <c r="Q2340" s="230" t="s">
        <v>379</v>
      </c>
      <c r="R2340" s="844"/>
      <c r="S2340" s="844"/>
      <c r="T2340" s="844"/>
      <c r="U2340" s="844"/>
      <c r="V2340" s="844"/>
      <c r="W2340" s="844"/>
      <c r="X2340" s="844"/>
      <c r="Y2340" s="844"/>
      <c r="Z2340" s="844"/>
    </row>
    <row r="2341" spans="1:26" s="213" customFormat="1" ht="16.5" thickTop="1">
      <c r="A2341" s="326" t="s">
        <v>289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290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297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98"/>
      <c r="Z2343" s="798"/>
    </row>
    <row r="2344" spans="1:26" s="219" customFormat="1" ht="15.75">
      <c r="A2344" s="330" t="s">
        <v>358</v>
      </c>
      <c r="B2344" s="331"/>
      <c r="C2344" s="845"/>
      <c r="D2344" s="845"/>
      <c r="E2344" s="845"/>
      <c r="F2344" s="845"/>
      <c r="G2344" s="845"/>
      <c r="H2344" s="845"/>
      <c r="I2344" s="845"/>
      <c r="J2344" s="845"/>
      <c r="K2344" s="845"/>
      <c r="L2344" s="845"/>
      <c r="M2344" s="845"/>
      <c r="N2344" s="846"/>
      <c r="O2344" s="273"/>
      <c r="P2344" s="274">
        <f t="shared" si="44"/>
        <v>0</v>
      </c>
      <c r="Q2344" s="275">
        <f t="shared" si="45"/>
        <v>0</v>
      </c>
      <c r="R2344" s="844"/>
      <c r="S2344" s="844"/>
      <c r="T2344" s="844"/>
      <c r="U2344" s="844"/>
      <c r="V2344" s="844"/>
      <c r="W2344" s="844"/>
      <c r="X2344" s="844"/>
      <c r="Y2344" s="844"/>
      <c r="Z2344" s="844"/>
    </row>
    <row r="2345" spans="1:26" s="219" customFormat="1" ht="18.75" customHeight="1">
      <c r="A2345" s="847" t="s">
        <v>380</v>
      </c>
      <c r="B2345" s="848" t="s">
        <v>381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844"/>
      <c r="S2345" s="844"/>
      <c r="T2345" s="844"/>
      <c r="U2345" s="844"/>
      <c r="V2345" s="844"/>
      <c r="W2345" s="844"/>
      <c r="X2345" s="844"/>
      <c r="Y2345" s="844"/>
      <c r="Z2345" s="844"/>
    </row>
    <row r="2346" spans="1:26" s="219" customFormat="1" ht="18.75" customHeight="1">
      <c r="A2346" s="847" t="s">
        <v>382</v>
      </c>
      <c r="B2346" s="848" t="s">
        <v>381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844"/>
      <c r="S2346" s="844"/>
      <c r="T2346" s="844"/>
      <c r="U2346" s="844"/>
      <c r="V2346" s="844"/>
      <c r="W2346" s="844"/>
      <c r="X2346" s="844"/>
      <c r="Y2346" s="844"/>
      <c r="Z2346" s="844"/>
    </row>
    <row r="2347" spans="1:26" s="219" customFormat="1" ht="18.75" customHeight="1">
      <c r="A2347" s="847" t="s">
        <v>383</v>
      </c>
      <c r="B2347" s="848" t="s">
        <v>381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844"/>
      <c r="S2347" s="844"/>
      <c r="T2347" s="844"/>
      <c r="U2347" s="844"/>
      <c r="V2347" s="844"/>
      <c r="W2347" s="844"/>
      <c r="X2347" s="844"/>
      <c r="Y2347" s="844"/>
      <c r="Z2347" s="844"/>
    </row>
    <row r="2348" spans="1:26" s="219" customFormat="1" ht="18.75" customHeight="1" thickBot="1">
      <c r="A2348" s="847" t="s">
        <v>384</v>
      </c>
      <c r="B2348" s="848" t="s">
        <v>381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844"/>
      <c r="S2348" s="844"/>
      <c r="T2348" s="844"/>
      <c r="U2348" s="844"/>
      <c r="V2348" s="844"/>
      <c r="W2348" s="844"/>
      <c r="X2348" s="844"/>
      <c r="Y2348" s="844"/>
      <c r="Z2348" s="844"/>
    </row>
    <row r="2349" spans="1:26" s="220" customFormat="1" ht="21.75" customHeight="1" thickTop="1" thickBot="1">
      <c r="A2349" s="379" t="s">
        <v>302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841"/>
      <c r="D2350" s="841"/>
      <c r="E2350" s="841"/>
      <c r="F2350" s="841"/>
      <c r="G2350" s="841"/>
      <c r="H2350" s="841"/>
      <c r="I2350" s="841"/>
      <c r="J2350" s="841"/>
      <c r="K2350" s="841"/>
      <c r="L2350" s="841"/>
      <c r="M2350" s="841"/>
      <c r="N2350" s="841"/>
      <c r="O2350" s="267"/>
      <c r="P2350" s="274">
        <f t="shared" si="44"/>
        <v>0</v>
      </c>
      <c r="Q2350" s="275">
        <f t="shared" si="45"/>
        <v>0</v>
      </c>
      <c r="R2350" s="798"/>
      <c r="S2350" s="798"/>
      <c r="T2350" s="798"/>
      <c r="U2350" s="798"/>
      <c r="V2350" s="798"/>
      <c r="W2350" s="798"/>
      <c r="X2350" s="798"/>
      <c r="Y2350" s="798"/>
      <c r="Z2350" s="798"/>
    </row>
    <row r="2351" spans="1:26" s="10" customFormat="1" ht="17.25" thickTop="1" thickBot="1">
      <c r="A2351" s="334" t="s">
        <v>347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98"/>
      <c r="Z2351" s="798"/>
    </row>
    <row r="2352" spans="1:26" s="10" customFormat="1" ht="17.25" thickTop="1" thickBot="1">
      <c r="A2352" s="336" t="s">
        <v>348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98"/>
      <c r="Z2352" s="798"/>
    </row>
    <row r="2353" spans="1:26" s="10" customFormat="1" ht="19.5" customHeight="1" thickBot="1">
      <c r="A2353" s="337" t="s">
        <v>349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98"/>
      <c r="Z2353" s="798"/>
    </row>
    <row r="2354" spans="1:26" ht="13.5" thickTop="1">
      <c r="A2354" s="323"/>
      <c r="B2354" s="323"/>
      <c r="C2354" s="840"/>
      <c r="D2354" s="840"/>
      <c r="E2354" s="840"/>
      <c r="F2354" s="840"/>
      <c r="G2354" s="840"/>
      <c r="H2354" s="840"/>
      <c r="I2354" s="840"/>
      <c r="J2354" s="840"/>
      <c r="K2354" s="840"/>
      <c r="L2354" s="840"/>
      <c r="M2354" s="840"/>
      <c r="N2354" s="840"/>
      <c r="O2354" s="840"/>
      <c r="P2354" s="840"/>
      <c r="Q2354" s="840"/>
      <c r="R2354" s="840"/>
      <c r="S2354" s="840"/>
      <c r="T2354" s="10"/>
      <c r="U2354" s="798"/>
      <c r="V2354" s="798"/>
      <c r="W2354" s="798"/>
      <c r="X2354" s="798"/>
      <c r="Y2354" s="798"/>
      <c r="Z2354" s="798"/>
    </row>
    <row r="2355" spans="1:26" ht="21.75" customHeight="1">
      <c r="A2355" s="323"/>
      <c r="B2355" s="323"/>
      <c r="C2355" s="840"/>
      <c r="D2355" s="840"/>
      <c r="E2355" s="840"/>
      <c r="F2355" s="840"/>
      <c r="G2355" s="840"/>
      <c r="H2355" s="211" t="s">
        <v>385</v>
      </c>
      <c r="I2355" s="214"/>
      <c r="J2355" s="840"/>
      <c r="K2355" s="840"/>
      <c r="L2355" s="840"/>
      <c r="M2355" s="840"/>
      <c r="N2355" s="840"/>
      <c r="Q2355" s="798"/>
      <c r="R2355" s="798"/>
      <c r="S2355" s="798"/>
      <c r="T2355" s="798"/>
      <c r="U2355" s="798"/>
      <c r="V2355" s="798"/>
      <c r="W2355" s="798"/>
      <c r="X2355" s="798"/>
      <c r="Y2355" s="798"/>
      <c r="Z2355" s="798"/>
    </row>
    <row r="2356" spans="1:26" ht="13.5" thickBot="1">
      <c r="A2356" s="323"/>
      <c r="B2356" s="323"/>
      <c r="C2356" s="840"/>
      <c r="D2356" s="840"/>
      <c r="E2356" s="840"/>
      <c r="F2356" s="840"/>
      <c r="G2356" s="840"/>
      <c r="H2356" s="840"/>
      <c r="I2356" s="840"/>
      <c r="J2356" s="840"/>
      <c r="K2356" s="840"/>
      <c r="L2356" s="840"/>
      <c r="M2356" s="840"/>
      <c r="N2356" s="840"/>
      <c r="Q2356" s="798"/>
      <c r="R2356" s="798"/>
      <c r="S2356" s="798"/>
      <c r="T2356" s="798"/>
      <c r="U2356" s="798"/>
      <c r="V2356" s="798"/>
      <c r="W2356" s="798"/>
      <c r="X2356" s="798"/>
      <c r="Y2356" s="798"/>
      <c r="Z2356" s="798"/>
    </row>
    <row r="2357" spans="1:26" s="219" customFormat="1" ht="27.75" customHeight="1" thickTop="1" thickBot="1">
      <c r="A2357" s="324"/>
      <c r="B2357" s="325"/>
      <c r="C2357" s="268" t="s">
        <v>273</v>
      </c>
      <c r="D2357" s="268" t="s">
        <v>274</v>
      </c>
      <c r="E2357" s="268" t="s">
        <v>275</v>
      </c>
      <c r="F2357" s="268" t="s">
        <v>276</v>
      </c>
      <c r="G2357" s="268" t="s">
        <v>277</v>
      </c>
      <c r="H2357" s="268" t="s">
        <v>278</v>
      </c>
      <c r="I2357" s="268" t="s">
        <v>279</v>
      </c>
      <c r="J2357" s="268" t="s">
        <v>280</v>
      </c>
      <c r="K2357" s="268" t="s">
        <v>281</v>
      </c>
      <c r="L2357" s="268" t="s">
        <v>282</v>
      </c>
      <c r="M2357" s="268" t="s">
        <v>283</v>
      </c>
      <c r="N2357" s="269" t="s">
        <v>284</v>
      </c>
      <c r="O2357" s="226" t="s">
        <v>378</v>
      </c>
      <c r="P2357" s="270" t="s">
        <v>286</v>
      </c>
      <c r="Q2357" s="230" t="s">
        <v>379</v>
      </c>
      <c r="R2357" s="844"/>
      <c r="S2357" s="844"/>
      <c r="T2357" s="844"/>
      <c r="U2357" s="844"/>
      <c r="V2357" s="844"/>
      <c r="W2357" s="844"/>
      <c r="X2357" s="844"/>
      <c r="Y2357" s="844"/>
      <c r="Z2357" s="844"/>
    </row>
    <row r="2358" spans="1:26" s="213" customFormat="1" ht="16.5" thickTop="1">
      <c r="A2358" s="326" t="s">
        <v>289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290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297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98"/>
      <c r="Z2360" s="798"/>
    </row>
    <row r="2361" spans="1:26" s="219" customFormat="1" ht="15.75">
      <c r="A2361" s="330" t="s">
        <v>358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844"/>
      <c r="S2361" s="844"/>
      <c r="T2361" s="844"/>
      <c r="U2361" s="844"/>
      <c r="V2361" s="844"/>
      <c r="W2361" s="844"/>
      <c r="X2361" s="844"/>
      <c r="Y2361" s="844"/>
      <c r="Z2361" s="844"/>
    </row>
    <row r="2362" spans="1:26" s="219" customFormat="1" ht="18.75" customHeight="1">
      <c r="A2362" s="847" t="s">
        <v>380</v>
      </c>
      <c r="B2362" s="848" t="s">
        <v>381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844"/>
      <c r="S2362" s="844"/>
      <c r="T2362" s="844"/>
      <c r="U2362" s="844"/>
      <c r="V2362" s="844"/>
      <c r="W2362" s="844"/>
      <c r="X2362" s="844"/>
      <c r="Y2362" s="844"/>
      <c r="Z2362" s="844"/>
    </row>
    <row r="2363" spans="1:26" s="219" customFormat="1" ht="18.75" customHeight="1">
      <c r="A2363" s="847" t="s">
        <v>382</v>
      </c>
      <c r="B2363" s="848" t="s">
        <v>381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844"/>
      <c r="S2363" s="844"/>
      <c r="T2363" s="844"/>
      <c r="U2363" s="844"/>
      <c r="V2363" s="844"/>
      <c r="W2363" s="844"/>
      <c r="X2363" s="844"/>
      <c r="Y2363" s="844"/>
      <c r="Z2363" s="844"/>
    </row>
    <row r="2364" spans="1:26" s="219" customFormat="1" ht="18.75" customHeight="1">
      <c r="A2364" s="847" t="s">
        <v>383</v>
      </c>
      <c r="B2364" s="848" t="s">
        <v>381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844"/>
      <c r="S2364" s="844"/>
      <c r="T2364" s="844"/>
      <c r="U2364" s="844"/>
      <c r="V2364" s="844"/>
      <c r="W2364" s="844"/>
      <c r="X2364" s="844"/>
      <c r="Y2364" s="844"/>
      <c r="Z2364" s="844"/>
    </row>
    <row r="2365" spans="1:26" s="219" customFormat="1" ht="18.75" customHeight="1" thickBot="1">
      <c r="A2365" s="847" t="s">
        <v>384</v>
      </c>
      <c r="B2365" s="848" t="s">
        <v>381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844"/>
      <c r="S2365" s="844"/>
      <c r="T2365" s="844"/>
      <c r="U2365" s="844"/>
      <c r="V2365" s="844"/>
      <c r="W2365" s="844"/>
      <c r="X2365" s="844"/>
      <c r="Y2365" s="844"/>
      <c r="Z2365" s="844"/>
    </row>
    <row r="2366" spans="1:26" s="220" customFormat="1" ht="21.75" customHeight="1" thickTop="1" thickBot="1">
      <c r="A2366" s="332" t="s">
        <v>302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841"/>
      <c r="D2367" s="841"/>
      <c r="E2367" s="841"/>
      <c r="F2367" s="841"/>
      <c r="G2367" s="841"/>
      <c r="H2367" s="841"/>
      <c r="I2367" s="841"/>
      <c r="J2367" s="841"/>
      <c r="K2367" s="841"/>
      <c r="L2367" s="841"/>
      <c r="M2367" s="841"/>
      <c r="N2367" s="841"/>
      <c r="O2367" s="267"/>
      <c r="P2367" s="274">
        <f t="shared" si="49"/>
        <v>0</v>
      </c>
      <c r="Q2367" s="275">
        <f t="shared" si="50"/>
        <v>0</v>
      </c>
      <c r="R2367" s="798"/>
      <c r="S2367" s="798"/>
      <c r="T2367" s="798"/>
      <c r="U2367" s="798"/>
      <c r="V2367" s="798"/>
      <c r="W2367" s="798"/>
      <c r="X2367" s="798"/>
      <c r="Y2367" s="798"/>
      <c r="Z2367" s="798"/>
    </row>
    <row r="2368" spans="1:26" s="10" customFormat="1" ht="17.25" thickTop="1" thickBot="1">
      <c r="A2368" s="334" t="s">
        <v>347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98"/>
      <c r="Z2368" s="798"/>
    </row>
    <row r="2369" spans="1:26" s="10" customFormat="1" ht="17.25" thickTop="1" thickBot="1">
      <c r="A2369" s="336" t="s">
        <v>348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98"/>
      <c r="Z2369" s="798"/>
    </row>
    <row r="2370" spans="1:26" s="10" customFormat="1" ht="19.5" customHeight="1" thickBot="1">
      <c r="A2370" s="337" t="s">
        <v>349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98"/>
      <c r="Z2370" s="798"/>
    </row>
    <row r="2371" spans="1:26" ht="13.5" thickTop="1">
      <c r="C2371" s="840"/>
      <c r="D2371" s="840"/>
      <c r="E2371" s="840"/>
      <c r="F2371" s="840"/>
      <c r="G2371" s="840"/>
      <c r="H2371" s="840"/>
      <c r="I2371" s="840"/>
      <c r="J2371" s="840"/>
      <c r="K2371" s="840"/>
      <c r="L2371" s="840"/>
      <c r="M2371" s="840"/>
      <c r="N2371" s="840"/>
      <c r="Q2371" s="798"/>
      <c r="R2371" s="798"/>
      <c r="S2371" s="798"/>
      <c r="T2371" s="798"/>
      <c r="U2371" s="798"/>
      <c r="V2371" s="798"/>
      <c r="W2371" s="798"/>
      <c r="X2371" s="798"/>
      <c r="Y2371" s="798"/>
      <c r="Z2371" s="798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G1" zoomScaleSheetLayoutView="100" workbookViewId="0">
      <selection activeCell="K13" sqref="K1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713"/>
      <c r="C5" s="713"/>
      <c r="D5" s="713"/>
      <c r="E5" s="713"/>
      <c r="F5" s="713"/>
      <c r="G5" s="713"/>
      <c r="H5" s="713"/>
      <c r="I5" s="713"/>
      <c r="J5" s="713"/>
      <c r="K5" s="713"/>
    </row>
    <row r="6" spans="2:13" ht="27">
      <c r="B6" s="713"/>
      <c r="C6" s="713"/>
      <c r="D6" s="713"/>
      <c r="E6" s="713" t="s">
        <v>386</v>
      </c>
      <c r="F6" s="714"/>
      <c r="G6" s="713"/>
      <c r="H6" s="715" t="str">
        <f>Elect!A1</f>
        <v>January</v>
      </c>
      <c r="I6" s="713"/>
      <c r="J6" s="713"/>
      <c r="K6" s="713"/>
    </row>
    <row r="9" spans="2:13" ht="13.5" customHeight="1">
      <c r="B9" s="982" t="s">
        <v>387</v>
      </c>
      <c r="C9" s="983"/>
      <c r="D9" s="983"/>
      <c r="E9" s="983"/>
      <c r="F9" s="983"/>
      <c r="G9" s="983"/>
      <c r="H9" s="983"/>
      <c r="I9" s="983"/>
      <c r="J9" s="983"/>
      <c r="K9" s="983"/>
      <c r="L9" s="983"/>
      <c r="M9" s="983"/>
    </row>
    <row r="10" spans="2:13" ht="13.5" customHeight="1" thickBot="1">
      <c r="B10" s="984"/>
      <c r="C10" s="985"/>
      <c r="D10" s="985"/>
      <c r="E10" s="985"/>
      <c r="F10" s="985"/>
      <c r="G10" s="985"/>
      <c r="H10" s="985"/>
      <c r="I10" s="985"/>
      <c r="J10" s="985"/>
      <c r="K10" s="985"/>
      <c r="L10" s="985"/>
      <c r="M10" s="985"/>
    </row>
    <row r="11" spans="2:13" ht="16.5" thickBot="1">
      <c r="B11" s="995" t="s">
        <v>388</v>
      </c>
      <c r="C11" s="995"/>
      <c r="D11" s="995" t="s">
        <v>389</v>
      </c>
      <c r="E11" s="995"/>
      <c r="F11" s="995" t="s">
        <v>390</v>
      </c>
      <c r="G11" s="995"/>
      <c r="H11" s="993" t="s">
        <v>391</v>
      </c>
      <c r="I11" s="994"/>
      <c r="J11" s="993" t="s">
        <v>392</v>
      </c>
      <c r="K11" s="994"/>
      <c r="L11" s="993" t="s">
        <v>393</v>
      </c>
      <c r="M11" s="994"/>
    </row>
    <row r="12" spans="2:13" ht="16.5" thickBot="1">
      <c r="B12" s="716" t="s">
        <v>394</v>
      </c>
      <c r="C12" s="716" t="s">
        <v>395</v>
      </c>
      <c r="D12" s="716" t="s">
        <v>394</v>
      </c>
      <c r="E12" s="716" t="s">
        <v>395</v>
      </c>
      <c r="F12" s="716" t="s">
        <v>394</v>
      </c>
      <c r="G12" s="716" t="s">
        <v>395</v>
      </c>
      <c r="H12" s="716" t="s">
        <v>394</v>
      </c>
      <c r="I12" s="716" t="s">
        <v>395</v>
      </c>
      <c r="J12" s="716" t="s">
        <v>394</v>
      </c>
      <c r="K12" s="716" t="s">
        <v>395</v>
      </c>
      <c r="L12" s="716" t="s">
        <v>394</v>
      </c>
      <c r="M12" s="716" t="s">
        <v>395</v>
      </c>
    </row>
    <row r="13" spans="2:13" ht="13.5" thickBot="1">
      <c r="B13" s="717">
        <f>Elect!AL37</f>
        <v>112538.08</v>
      </c>
      <c r="C13" s="824">
        <f>(B13*1.15)+(2879*60*0.72)</f>
        <v>253791.59199999998</v>
      </c>
      <c r="D13" s="717">
        <f>Elect!J37</f>
        <v>141376</v>
      </c>
      <c r="E13" s="824">
        <f>(D13*1.15)+(573*60)+10000</f>
        <v>206962.4</v>
      </c>
      <c r="F13" s="717">
        <f>Elect!BC37</f>
        <v>291202.89000000147</v>
      </c>
      <c r="G13" s="824">
        <f>(F13*1.15)</f>
        <v>334883.32350000169</v>
      </c>
      <c r="H13" s="717">
        <f>Elect!Q37</f>
        <v>17280</v>
      </c>
      <c r="I13" s="824">
        <f>H13*1.6+1500</f>
        <v>29148</v>
      </c>
      <c r="J13" s="863">
        <f>B13+D13+F13+H13</f>
        <v>562396.97000000149</v>
      </c>
      <c r="K13" s="825">
        <f>G13+E13+C13+I13</f>
        <v>824785.31550000166</v>
      </c>
      <c r="L13" s="863">
        <f>B13+F13</f>
        <v>403740.97000000149</v>
      </c>
      <c r="M13" s="826">
        <f>C13+G13</f>
        <v>588674.91550000163</v>
      </c>
    </row>
    <row r="16" spans="2:13" ht="0.75" customHeight="1" thickBot="1">
      <c r="K16">
        <f>K18</f>
        <v>1052870.0095000016</v>
      </c>
    </row>
    <row r="17" spans="4:11" ht="13.5" customHeight="1">
      <c r="E17" s="986" t="s">
        <v>396</v>
      </c>
      <c r="F17" s="987"/>
      <c r="J17" s="822" t="s">
        <v>397</v>
      </c>
      <c r="K17" s="823">
        <f>K13/J13</f>
        <v>1.4665536258134526</v>
      </c>
    </row>
    <row r="18" spans="4:11" ht="34.5" customHeight="1" thickBot="1">
      <c r="E18" s="988"/>
      <c r="F18" s="989"/>
      <c r="J18" s="822" t="s">
        <v>398</v>
      </c>
      <c r="K18" s="827">
        <f>K13+F20+F27+G35</f>
        <v>1052870.0095000016</v>
      </c>
    </row>
    <row r="19" spans="4:11" ht="13.5" thickBot="1">
      <c r="E19" s="719" t="s">
        <v>399</v>
      </c>
      <c r="F19" s="719" t="s">
        <v>395</v>
      </c>
    </row>
    <row r="20" spans="4:11" ht="13.5" thickBot="1">
      <c r="E20" s="990">
        <f>Water!H38</f>
        <v>7519.119999999999</v>
      </c>
      <c r="F20" s="992">
        <f>E20*10</f>
        <v>75191.199999999983</v>
      </c>
    </row>
    <row r="21" spans="4:11" ht="13.5" thickBot="1">
      <c r="E21" s="991"/>
      <c r="F21" s="992"/>
    </row>
    <row r="23" spans="4:11" ht="13.5" thickBot="1"/>
    <row r="24" spans="4:11" ht="13.5" thickBot="1">
      <c r="E24" s="996" t="s">
        <v>400</v>
      </c>
      <c r="F24" s="996"/>
    </row>
    <row r="25" spans="4:11" ht="11.25" customHeight="1" thickBot="1">
      <c r="E25" s="996"/>
      <c r="F25" s="996"/>
      <c r="H25" s="83"/>
    </row>
    <row r="26" spans="4:11" ht="13.5" thickBot="1">
      <c r="E26" s="719" t="s">
        <v>399</v>
      </c>
      <c r="F26" s="719" t="s">
        <v>395</v>
      </c>
    </row>
    <row r="27" spans="4:11" ht="13.5" thickBot="1">
      <c r="E27" s="991">
        <f>Gas!C38</f>
        <v>31048.460000000006</v>
      </c>
      <c r="F27" s="992">
        <f>E27*3.9</f>
        <v>121088.99400000002</v>
      </c>
    </row>
    <row r="28" spans="4:11" ht="13.5" thickBot="1">
      <c r="E28" s="991"/>
      <c r="F28" s="992"/>
    </row>
    <row r="30" spans="4:11" ht="13.5" thickBot="1"/>
    <row r="31" spans="4:11" ht="20.25">
      <c r="D31" s="997" t="s">
        <v>401</v>
      </c>
      <c r="E31" s="998"/>
      <c r="F31" s="998"/>
      <c r="G31" s="999"/>
      <c r="H31" s="721"/>
      <c r="I31" s="721"/>
    </row>
    <row r="32" spans="4:11" ht="21" thickBot="1">
      <c r="D32" s="982"/>
      <c r="E32" s="983"/>
      <c r="F32" s="983"/>
      <c r="G32" s="1000"/>
      <c r="H32" s="721"/>
      <c r="I32" s="721"/>
    </row>
    <row r="33" spans="3:9" ht="13.5" thickBot="1">
      <c r="D33" s="722" t="s">
        <v>402</v>
      </c>
      <c r="E33" s="722" t="s">
        <v>403</v>
      </c>
      <c r="F33" s="722" t="s">
        <v>404</v>
      </c>
      <c r="G33" s="722" t="s">
        <v>395</v>
      </c>
      <c r="H33" s="723"/>
      <c r="I33" s="723"/>
    </row>
    <row r="34" spans="3:9" ht="13.5" thickBot="1">
      <c r="C34" s="806"/>
      <c r="D34" s="727">
        <f>Gas!D6</f>
        <v>309621</v>
      </c>
      <c r="E34" s="727">
        <f>Gas!D36</f>
        <v>320982</v>
      </c>
      <c r="F34" s="780">
        <f>Gas!E38</f>
        <v>8155</v>
      </c>
      <c r="G34" s="864">
        <f>F34*3.9</f>
        <v>31804.5</v>
      </c>
      <c r="H34" s="725"/>
      <c r="I34" s="725"/>
    </row>
    <row r="35" spans="3:9" ht="18.75" thickBot="1">
      <c r="D35" s="1004" t="s">
        <v>405</v>
      </c>
      <c r="E35" s="1004"/>
      <c r="F35" s="1004"/>
      <c r="G35" s="864">
        <f>G34</f>
        <v>31804.5</v>
      </c>
      <c r="H35" s="33"/>
      <c r="I35" s="33"/>
    </row>
    <row r="37" spans="3:9" ht="13.5" thickBot="1"/>
    <row r="38" spans="3:9" ht="20.25">
      <c r="D38" s="997" t="s">
        <v>406</v>
      </c>
      <c r="E38" s="998"/>
      <c r="F38" s="998"/>
      <c r="G38" s="999"/>
      <c r="H38" s="721"/>
      <c r="I38" s="721"/>
    </row>
    <row r="39" spans="3:9" ht="21" thickBot="1">
      <c r="D39" s="982"/>
      <c r="E39" s="983"/>
      <c r="F39" s="983"/>
      <c r="G39" s="1000"/>
      <c r="H39" s="721"/>
      <c r="I39" s="721"/>
    </row>
    <row r="40" spans="3:9" ht="18.75" customHeight="1" thickBot="1">
      <c r="D40" s="722" t="s">
        <v>402</v>
      </c>
      <c r="E40" s="722" t="s">
        <v>403</v>
      </c>
      <c r="F40" s="722" t="s">
        <v>394</v>
      </c>
      <c r="G40" s="722" t="s">
        <v>395</v>
      </c>
      <c r="H40" s="723"/>
      <c r="I40" s="723"/>
    </row>
    <row r="41" spans="3:9" ht="13.5" thickBot="1">
      <c r="C41" s="724" t="s">
        <v>82</v>
      </c>
      <c r="D41" s="728">
        <f>Elect!V5</f>
        <v>126502</v>
      </c>
      <c r="E41" s="828">
        <f>Elect!V36</f>
        <v>130984</v>
      </c>
      <c r="F41" s="729">
        <f>E41-D41</f>
        <v>4482</v>
      </c>
      <c r="G41" s="830">
        <f>F41*1.15</f>
        <v>5154.2999999999993</v>
      </c>
      <c r="H41" s="730"/>
      <c r="I41" s="730"/>
    </row>
    <row r="42" spans="3:9" ht="13.5" thickBot="1">
      <c r="C42" s="724" t="s">
        <v>83</v>
      </c>
      <c r="D42" s="728">
        <f>Elect!X5</f>
        <v>230746</v>
      </c>
      <c r="E42" s="728">
        <f>Elect!X36</f>
        <v>238297</v>
      </c>
      <c r="F42" s="729">
        <f>E42-D42</f>
        <v>7551</v>
      </c>
      <c r="G42" s="830">
        <f>F42*1.15</f>
        <v>8683.65</v>
      </c>
      <c r="H42" s="730"/>
      <c r="I42" s="730"/>
    </row>
    <row r="43" spans="3:9" ht="18.75" thickBot="1">
      <c r="D43" s="1001" t="s">
        <v>405</v>
      </c>
      <c r="E43" s="1002"/>
      <c r="F43" s="1003"/>
      <c r="G43" s="831">
        <f>G42+G41</f>
        <v>13837.949999999999</v>
      </c>
      <c r="H43" s="33"/>
      <c r="I43" s="33"/>
    </row>
    <row r="44" spans="3:9">
      <c r="F44" s="225"/>
    </row>
    <row r="48" spans="3:9" ht="13.5" thickBot="1"/>
    <row r="49" spans="3:7">
      <c r="D49" s="997" t="s">
        <v>407</v>
      </c>
      <c r="E49" s="998"/>
      <c r="F49" s="998"/>
      <c r="G49" s="999"/>
    </row>
    <row r="50" spans="3:7" ht="13.5" thickBot="1">
      <c r="D50" s="982"/>
      <c r="E50" s="983"/>
      <c r="F50" s="983"/>
      <c r="G50" s="1000"/>
    </row>
    <row r="51" spans="3:7" ht="13.5" thickBot="1">
      <c r="D51" s="722" t="s">
        <v>402</v>
      </c>
      <c r="E51" s="722" t="s">
        <v>403</v>
      </c>
      <c r="F51" s="722" t="s">
        <v>399</v>
      </c>
      <c r="G51" s="722" t="s">
        <v>395</v>
      </c>
    </row>
    <row r="52" spans="3:7" ht="13.5" thickBot="1">
      <c r="C52" s="724" t="s">
        <v>408</v>
      </c>
      <c r="D52" s="727">
        <f>Water!I6</f>
        <v>210</v>
      </c>
      <c r="E52" s="728">
        <f>Water!I37</f>
        <v>211</v>
      </c>
      <c r="F52" s="863">
        <f>E52-D52</f>
        <v>1</v>
      </c>
      <c r="G52" s="720">
        <f>F52*10</f>
        <v>10</v>
      </c>
    </row>
    <row r="53" spans="3:7" ht="13.5" thickBot="1">
      <c r="C53" s="724" t="s">
        <v>409</v>
      </c>
      <c r="D53" s="728">
        <f>Water!K6</f>
        <v>2825</v>
      </c>
      <c r="E53" s="728">
        <f>Water!K37</f>
        <v>2887</v>
      </c>
      <c r="F53" s="729">
        <f>E53-D53</f>
        <v>62</v>
      </c>
      <c r="G53" s="718">
        <f>F53*10</f>
        <v>620</v>
      </c>
    </row>
    <row r="54" spans="3:7" ht="18.75" thickBot="1">
      <c r="D54" s="1001" t="s">
        <v>405</v>
      </c>
      <c r="E54" s="1002"/>
      <c r="F54" s="1003"/>
      <c r="G54" s="726">
        <f>G52+G53</f>
        <v>630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C3762F-25A5-4251-9DC6-548139DFE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2022-08-19T12:29:44Z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