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/Users/madclown/Downloads/"/>
    </mc:Choice>
  </mc:AlternateContent>
  <xr:revisionPtr revIDLastSave="49" documentId="13_ncr:1_{24C81AD9-23EF-774A-824D-E9BA33EDBDD7}" xr6:coauthVersionLast="47" xr6:coauthVersionMax="47" xr10:uidLastSave="{095D8952-AC82-406C-B280-2126CCA22A71}"/>
  <bookViews>
    <workbookView xWindow="0" yWindow="460" windowWidth="25600" windowHeight="15540" firstSheet="4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F33" i="1"/>
  <c r="L33" i="1"/>
  <c r="O41" i="3"/>
  <c r="L46" i="5"/>
  <c r="L45" i="5"/>
  <c r="F42" i="5"/>
  <c r="E31" i="5"/>
  <c r="E10" i="5"/>
  <c r="F41" i="5"/>
  <c r="N31" i="1"/>
  <c r="M31" i="1"/>
  <c r="K31" i="1"/>
  <c r="G31" i="1"/>
  <c r="E27" i="5"/>
  <c r="K38" i="5"/>
  <c r="I38" i="5"/>
  <c r="G38" i="5"/>
  <c r="L38" i="5" s="1"/>
  <c r="M38" i="5" s="1"/>
  <c r="E38" i="5"/>
  <c r="F38" i="4"/>
  <c r="G38" i="3"/>
  <c r="D38" i="3"/>
  <c r="D38" i="4" s="1"/>
  <c r="D38" i="5" s="1"/>
  <c r="C38" i="3"/>
  <c r="C38" i="4" s="1"/>
  <c r="C38" i="5" s="1"/>
  <c r="I37" i="2"/>
  <c r="J37" i="2" s="1"/>
  <c r="F37" i="2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8" i="5"/>
  <c r="E29" i="5"/>
  <c r="E30" i="5"/>
  <c r="E32" i="5"/>
  <c r="E33" i="5"/>
  <c r="E34" i="5"/>
  <c r="E35" i="5"/>
  <c r="E36" i="5"/>
  <c r="E37" i="5"/>
  <c r="E39" i="5"/>
  <c r="E9" i="5"/>
  <c r="E40" i="5" s="1"/>
  <c r="C39" i="2"/>
  <c r="N32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2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40" i="3"/>
  <c r="F9" i="4"/>
  <c r="L40" i="3"/>
  <c r="O40" i="3"/>
  <c r="I40" i="3"/>
  <c r="G2" i="1"/>
  <c r="F27" i="4"/>
  <c r="G27" i="4" s="1"/>
  <c r="F28" i="4"/>
  <c r="F29" i="4"/>
  <c r="F30" i="4"/>
  <c r="F31" i="4"/>
  <c r="F32" i="4"/>
  <c r="F33" i="4"/>
  <c r="F34" i="4"/>
  <c r="F35" i="4"/>
  <c r="F36" i="4"/>
  <c r="F37" i="4"/>
  <c r="F39" i="4"/>
  <c r="G37" i="2" l="1"/>
  <c r="E31" i="1"/>
  <c r="G38" i="4"/>
  <c r="H38" i="4" s="1"/>
  <c r="I31" i="1"/>
  <c r="L31" i="1"/>
  <c r="K37" i="2"/>
  <c r="L37" i="2" s="1"/>
  <c r="M37" i="2" s="1"/>
  <c r="N33" i="1"/>
  <c r="H32" i="4"/>
  <c r="F38" i="2"/>
  <c r="G38" i="2" s="1"/>
  <c r="F26" i="4"/>
  <c r="I19" i="1" s="1"/>
  <c r="F25" i="4"/>
  <c r="I18" i="1" s="1"/>
  <c r="F24" i="4"/>
  <c r="I17" i="1" s="1"/>
  <c r="F23" i="4"/>
  <c r="I16" i="1" s="1"/>
  <c r="F22" i="4"/>
  <c r="G22" i="4" s="1"/>
  <c r="F21" i="4"/>
  <c r="I14" i="1" s="1"/>
  <c r="F20" i="4"/>
  <c r="I13" i="1" s="1"/>
  <c r="F19" i="4"/>
  <c r="G19" i="4" s="1"/>
  <c r="F18" i="4"/>
  <c r="I11" i="1" s="1"/>
  <c r="F17" i="4"/>
  <c r="I10" i="1" s="1"/>
  <c r="F16" i="4"/>
  <c r="I9" i="1" s="1"/>
  <c r="F15" i="4"/>
  <c r="G15" i="4" s="1"/>
  <c r="F14" i="4"/>
  <c r="I7" i="1" s="1"/>
  <c r="F13" i="4"/>
  <c r="I6" i="1" s="1"/>
  <c r="F12" i="4"/>
  <c r="I5" i="1" s="1"/>
  <c r="F11" i="4"/>
  <c r="I4" i="1" s="1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9" i="3"/>
  <c r="C39" i="4" s="1"/>
  <c r="C39" i="5" s="1"/>
  <c r="C9" i="3"/>
  <c r="C9" i="4" s="1"/>
  <c r="C9" i="5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2" i="1"/>
  <c r="G34" i="4"/>
  <c r="I8" i="1"/>
  <c r="I20" i="1"/>
  <c r="I21" i="1"/>
  <c r="I23" i="1"/>
  <c r="I24" i="1"/>
  <c r="I25" i="1"/>
  <c r="I26" i="1"/>
  <c r="I27" i="1"/>
  <c r="I28" i="1"/>
  <c r="I29" i="1"/>
  <c r="I30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2" i="1"/>
  <c r="K2" i="1"/>
  <c r="I2" i="1"/>
  <c r="J40" i="5"/>
  <c r="H40" i="5"/>
  <c r="J41" i="5" s="1"/>
  <c r="J42" i="5" s="1"/>
  <c r="J43" i="5" s="1"/>
  <c r="K39" i="5"/>
  <c r="I39" i="5"/>
  <c r="G39" i="5"/>
  <c r="K37" i="5"/>
  <c r="I37" i="5"/>
  <c r="G37" i="5"/>
  <c r="K36" i="5"/>
  <c r="I36" i="5"/>
  <c r="G36" i="5"/>
  <c r="K35" i="5"/>
  <c r="I35" i="5"/>
  <c r="G35" i="5"/>
  <c r="K34" i="5"/>
  <c r="I34" i="5"/>
  <c r="G34" i="5"/>
  <c r="K33" i="5"/>
  <c r="I33" i="5"/>
  <c r="G33" i="5"/>
  <c r="K32" i="5"/>
  <c r="I32" i="5"/>
  <c r="G32" i="5"/>
  <c r="K31" i="5"/>
  <c r="I31" i="5"/>
  <c r="G31" i="5"/>
  <c r="K30" i="5"/>
  <c r="I30" i="5"/>
  <c r="G30" i="5"/>
  <c r="K29" i="5"/>
  <c r="I29" i="5"/>
  <c r="G29" i="5"/>
  <c r="K28" i="5"/>
  <c r="I28" i="5"/>
  <c r="G28" i="5"/>
  <c r="K27" i="5"/>
  <c r="I27" i="5"/>
  <c r="G27" i="5"/>
  <c r="K26" i="5"/>
  <c r="I26" i="5"/>
  <c r="G26" i="5"/>
  <c r="K25" i="5"/>
  <c r="I25" i="5"/>
  <c r="G25" i="5"/>
  <c r="K24" i="5"/>
  <c r="I24" i="5"/>
  <c r="G24" i="5"/>
  <c r="K23" i="5"/>
  <c r="I23" i="5"/>
  <c r="G23" i="5"/>
  <c r="K22" i="5"/>
  <c r="I22" i="5"/>
  <c r="G22" i="5"/>
  <c r="K21" i="5"/>
  <c r="I21" i="5"/>
  <c r="G21" i="5"/>
  <c r="K20" i="5"/>
  <c r="I20" i="5"/>
  <c r="G20" i="5"/>
  <c r="K19" i="5"/>
  <c r="I19" i="5"/>
  <c r="G19" i="5"/>
  <c r="K18" i="5"/>
  <c r="I18" i="5"/>
  <c r="G18" i="5"/>
  <c r="K17" i="5"/>
  <c r="I17" i="5"/>
  <c r="G17" i="5"/>
  <c r="K16" i="5"/>
  <c r="I16" i="5"/>
  <c r="G16" i="5"/>
  <c r="K15" i="5"/>
  <c r="I15" i="5"/>
  <c r="G15" i="5"/>
  <c r="K14" i="5"/>
  <c r="I14" i="5"/>
  <c r="G14" i="5"/>
  <c r="K13" i="5"/>
  <c r="I13" i="5"/>
  <c r="G13" i="5"/>
  <c r="K12" i="5"/>
  <c r="I12" i="5"/>
  <c r="G12" i="5"/>
  <c r="K11" i="5"/>
  <c r="I11" i="5"/>
  <c r="G11" i="5"/>
  <c r="K10" i="5"/>
  <c r="I10" i="5"/>
  <c r="G10" i="5"/>
  <c r="K9" i="5"/>
  <c r="I9" i="5"/>
  <c r="G9" i="5"/>
  <c r="G39" i="4"/>
  <c r="G37" i="4"/>
  <c r="G36" i="4"/>
  <c r="G35" i="4"/>
  <c r="G33" i="4"/>
  <c r="G31" i="4"/>
  <c r="G30" i="4"/>
  <c r="I22" i="1"/>
  <c r="G28" i="4"/>
  <c r="G25" i="4"/>
  <c r="G23" i="4"/>
  <c r="G17" i="4"/>
  <c r="G11" i="4"/>
  <c r="H11" i="4" s="1"/>
  <c r="G9" i="4"/>
  <c r="J8" i="3"/>
  <c r="G39" i="3"/>
  <c r="G37" i="3"/>
  <c r="J36" i="3"/>
  <c r="G36" i="3"/>
  <c r="J35" i="3"/>
  <c r="G35" i="3"/>
  <c r="G34" i="3"/>
  <c r="G33" i="3"/>
  <c r="J32" i="3"/>
  <c r="G32" i="3"/>
  <c r="G31" i="3"/>
  <c r="J30" i="3"/>
  <c r="G30" i="3"/>
  <c r="G29" i="3"/>
  <c r="J28" i="3"/>
  <c r="G28" i="3"/>
  <c r="G27" i="3"/>
  <c r="G26" i="3"/>
  <c r="G25" i="3"/>
  <c r="G24" i="3"/>
  <c r="G23" i="3"/>
  <c r="G22" i="3"/>
  <c r="J21" i="3"/>
  <c r="G21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I38" i="2"/>
  <c r="E32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G16" i="2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G12" i="4"/>
  <c r="G20" i="4"/>
  <c r="G13" i="4"/>
  <c r="G21" i="4"/>
  <c r="L15" i="5"/>
  <c r="L8" i="1" s="1"/>
  <c r="L9" i="5"/>
  <c r="M9" i="5" s="1"/>
  <c r="G29" i="4"/>
  <c r="P8" i="3"/>
  <c r="J18" i="3"/>
  <c r="M8" i="3"/>
  <c r="J23" i="3"/>
  <c r="J26" i="3"/>
  <c r="J9" i="3"/>
  <c r="J11" i="3"/>
  <c r="J12" i="3"/>
  <c r="J13" i="3"/>
  <c r="J15" i="3"/>
  <c r="J16" i="3"/>
  <c r="J17" i="3"/>
  <c r="P17" i="3"/>
  <c r="P23" i="3"/>
  <c r="P22" i="3"/>
  <c r="P11" i="3"/>
  <c r="P34" i="3"/>
  <c r="M25" i="3"/>
  <c r="M27" i="3"/>
  <c r="P19" i="3"/>
  <c r="M16" i="3"/>
  <c r="M9" i="3"/>
  <c r="P10" i="3"/>
  <c r="P15" i="3"/>
  <c r="P9" i="3"/>
  <c r="M24" i="3" l="1"/>
  <c r="M38" i="3"/>
  <c r="P31" i="3"/>
  <c r="P38" i="3"/>
  <c r="J29" i="3"/>
  <c r="J38" i="3"/>
  <c r="Q38" i="3" s="1"/>
  <c r="F31" i="1"/>
  <c r="L25" i="5"/>
  <c r="M25" i="5" s="1"/>
  <c r="L26" i="5"/>
  <c r="M26" i="5" s="1"/>
  <c r="L10" i="5"/>
  <c r="M10" i="5" s="1"/>
  <c r="L18" i="5"/>
  <c r="M18" i="5" s="1"/>
  <c r="P18" i="3"/>
  <c r="P33" i="3"/>
  <c r="P20" i="3"/>
  <c r="M21" i="3"/>
  <c r="M30" i="3"/>
  <c r="M31" i="3"/>
  <c r="J39" i="3"/>
  <c r="P12" i="3"/>
  <c r="P14" i="3"/>
  <c r="P26" i="3"/>
  <c r="P21" i="3"/>
  <c r="P13" i="3"/>
  <c r="P28" i="3"/>
  <c r="P29" i="3"/>
  <c r="P39" i="3"/>
  <c r="P24" i="3"/>
  <c r="P30" i="3"/>
  <c r="M36" i="3"/>
  <c r="M37" i="3"/>
  <c r="M33" i="3"/>
  <c r="M32" i="3"/>
  <c r="J20" i="3"/>
  <c r="J22" i="3"/>
  <c r="E29" i="1"/>
  <c r="F39" i="2"/>
  <c r="L39" i="5"/>
  <c r="M39" i="5" s="1"/>
  <c r="E8" i="1"/>
  <c r="E25" i="1"/>
  <c r="E15" i="1"/>
  <c r="G14" i="4"/>
  <c r="H14" i="4" s="1"/>
  <c r="G26" i="4"/>
  <c r="H26" i="4" s="1"/>
  <c r="E16" i="1"/>
  <c r="M35" i="3"/>
  <c r="M10" i="3"/>
  <c r="M19" i="3"/>
  <c r="M17" i="3"/>
  <c r="M26" i="3"/>
  <c r="Q26" i="3" s="1"/>
  <c r="M20" i="3"/>
  <c r="M12" i="3"/>
  <c r="M11" i="3"/>
  <c r="Q11" i="3" s="1"/>
  <c r="R11" i="3" s="1"/>
  <c r="M29" i="3"/>
  <c r="Q29" i="3" s="1"/>
  <c r="R29" i="3" s="1"/>
  <c r="M39" i="3"/>
  <c r="M23" i="3"/>
  <c r="M14" i="3"/>
  <c r="P32" i="3"/>
  <c r="Q32" i="3" s="1"/>
  <c r="R32" i="3" s="1"/>
  <c r="P35" i="3"/>
  <c r="P36" i="3"/>
  <c r="Q36" i="3" s="1"/>
  <c r="P25" i="3"/>
  <c r="P16" i="3"/>
  <c r="Q16" i="3" s="1"/>
  <c r="R16" i="3" s="1"/>
  <c r="P27" i="3"/>
  <c r="M13" i="3"/>
  <c r="M34" i="3"/>
  <c r="M28" i="3"/>
  <c r="Q28" i="3" s="1"/>
  <c r="R28" i="3" s="1"/>
  <c r="M18" i="3"/>
  <c r="P37" i="3"/>
  <c r="M22" i="3"/>
  <c r="M15" i="3"/>
  <c r="Q15" i="3" s="1"/>
  <c r="J25" i="3"/>
  <c r="J14" i="3"/>
  <c r="J10" i="3"/>
  <c r="Q10" i="3" s="1"/>
  <c r="J31" i="3"/>
  <c r="Q31" i="3" s="1"/>
  <c r="R31" i="3" s="1"/>
  <c r="J34" i="3"/>
  <c r="Q34" i="3" s="1"/>
  <c r="R34" i="3" s="1"/>
  <c r="J24" i="3"/>
  <c r="Q24" i="3" s="1"/>
  <c r="J27" i="3"/>
  <c r="Q27" i="3" s="1"/>
  <c r="H20" i="1" s="1"/>
  <c r="E18" i="1"/>
  <c r="E10" i="1"/>
  <c r="Q13" i="3"/>
  <c r="R13" i="3" s="1"/>
  <c r="Q9" i="3"/>
  <c r="R9" i="3" s="1"/>
  <c r="L24" i="5"/>
  <c r="M24" i="5" s="1"/>
  <c r="Q39" i="3"/>
  <c r="R39" i="3" s="1"/>
  <c r="Q23" i="3"/>
  <c r="R23" i="3" s="1"/>
  <c r="Q22" i="3"/>
  <c r="R22" i="3" s="1"/>
  <c r="E11" i="1"/>
  <c r="G22" i="2"/>
  <c r="K22" i="2" s="1"/>
  <c r="L22" i="2" s="1"/>
  <c r="M22" i="2" s="1"/>
  <c r="M33" i="1"/>
  <c r="G33" i="1"/>
  <c r="Q17" i="3"/>
  <c r="H10" i="1" s="1"/>
  <c r="Q12" i="3"/>
  <c r="R12" i="3" s="1"/>
  <c r="Q18" i="3"/>
  <c r="R18" i="3" s="1"/>
  <c r="Q33" i="3"/>
  <c r="R33" i="3" s="1"/>
  <c r="Q19" i="3"/>
  <c r="H12" i="1" s="1"/>
  <c r="Q20" i="3"/>
  <c r="R20" i="3" s="1"/>
  <c r="Q21" i="3"/>
  <c r="R21" i="3" s="1"/>
  <c r="H9" i="4"/>
  <c r="L11" i="5"/>
  <c r="L4" i="1" s="1"/>
  <c r="L14" i="5"/>
  <c r="M14" i="5" s="1"/>
  <c r="L22" i="5"/>
  <c r="L15" i="1" s="1"/>
  <c r="L27" i="5"/>
  <c r="M27" i="5" s="1"/>
  <c r="L28" i="5"/>
  <c r="M28" i="5" s="1"/>
  <c r="L30" i="5"/>
  <c r="M30" i="5" s="1"/>
  <c r="L31" i="5"/>
  <c r="M31" i="5" s="1"/>
  <c r="L33" i="5"/>
  <c r="M33" i="5" s="1"/>
  <c r="L34" i="5"/>
  <c r="M34" i="5" s="1"/>
  <c r="L35" i="5"/>
  <c r="M35" i="5" s="1"/>
  <c r="L36" i="5"/>
  <c r="M36" i="5" s="1"/>
  <c r="D40" i="3"/>
  <c r="M11" i="5"/>
  <c r="L2" i="1"/>
  <c r="L17" i="5"/>
  <c r="L10" i="1" s="1"/>
  <c r="L13" i="5"/>
  <c r="L6" i="1" s="1"/>
  <c r="L32" i="5"/>
  <c r="L25" i="1" s="1"/>
  <c r="L19" i="5"/>
  <c r="L12" i="1" s="1"/>
  <c r="L24" i="1"/>
  <c r="L20" i="5"/>
  <c r="M20" i="5" s="1"/>
  <c r="L11" i="1"/>
  <c r="L21" i="5"/>
  <c r="L14" i="1" s="1"/>
  <c r="L29" i="5"/>
  <c r="M29" i="5" s="1"/>
  <c r="L37" i="5"/>
  <c r="M37" i="5" s="1"/>
  <c r="L16" i="5"/>
  <c r="L9" i="1" s="1"/>
  <c r="I12" i="1"/>
  <c r="Q14" i="3"/>
  <c r="R14" i="3" s="1"/>
  <c r="Q25" i="3"/>
  <c r="R25" i="3" s="1"/>
  <c r="J37" i="3"/>
  <c r="I39" i="2"/>
  <c r="E6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M16" i="2" s="1"/>
  <c r="G8" i="2"/>
  <c r="K26" i="2"/>
  <c r="L26" i="2" s="1"/>
  <c r="M26" i="2" s="1"/>
  <c r="K20" i="2"/>
  <c r="L20" i="2" s="1"/>
  <c r="M20" i="2" s="1"/>
  <c r="E19" i="1"/>
  <c r="L19" i="1"/>
  <c r="L12" i="5"/>
  <c r="M12" i="5" s="1"/>
  <c r="L23" i="5"/>
  <c r="M23" i="5" s="1"/>
  <c r="L26" i="1"/>
  <c r="L18" i="1"/>
  <c r="L20" i="1"/>
  <c r="M19" i="5"/>
  <c r="M13" i="5"/>
  <c r="K40" i="5"/>
  <c r="M15" i="5"/>
  <c r="L3" i="1"/>
  <c r="K33" i="1"/>
  <c r="H34" i="4"/>
  <c r="H31" i="4"/>
  <c r="H30" i="4"/>
  <c r="H39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H20" i="4"/>
  <c r="H12" i="4"/>
  <c r="H19" i="4"/>
  <c r="R19" i="3"/>
  <c r="H32" i="1"/>
  <c r="H4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8" i="2"/>
  <c r="K38" i="2" s="1"/>
  <c r="L38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E9" i="1"/>
  <c r="E26" i="1"/>
  <c r="E28" i="1"/>
  <c r="E24" i="1"/>
  <c r="D14" i="4"/>
  <c r="D14" i="5" s="1"/>
  <c r="C40" i="3"/>
  <c r="C10" i="4"/>
  <c r="C10" i="5" s="1"/>
  <c r="C40" i="5" s="1"/>
  <c r="D9" i="5"/>
  <c r="Q35" i="3" l="1"/>
  <c r="H28" i="1" s="1"/>
  <c r="Q30" i="3"/>
  <c r="R30" i="3" s="1"/>
  <c r="R38" i="3"/>
  <c r="H31" i="1"/>
  <c r="F18" i="1"/>
  <c r="L32" i="1"/>
  <c r="H11" i="1"/>
  <c r="L21" i="1"/>
  <c r="I33" i="1"/>
  <c r="L28" i="1"/>
  <c r="R10" i="3"/>
  <c r="H3" i="1"/>
  <c r="R27" i="3"/>
  <c r="R17" i="3"/>
  <c r="H24" i="1"/>
  <c r="H6" i="1"/>
  <c r="F29" i="1"/>
  <c r="F22" i="1"/>
  <c r="F10" i="1"/>
  <c r="L27" i="1"/>
  <c r="L29" i="1"/>
  <c r="L22" i="1"/>
  <c r="M22" i="5"/>
  <c r="L30" i="1"/>
  <c r="L17" i="1"/>
  <c r="H15" i="1"/>
  <c r="H25" i="1"/>
  <c r="H2" i="1"/>
  <c r="H13" i="1"/>
  <c r="L5" i="1"/>
  <c r="D40" i="5"/>
  <c r="D40" i="4"/>
  <c r="R15" i="3"/>
  <c r="H8" i="1"/>
  <c r="H19" i="1"/>
  <c r="R26" i="3"/>
  <c r="R24" i="3"/>
  <c r="H17" i="1"/>
  <c r="R36" i="3"/>
  <c r="H29" i="1"/>
  <c r="H21" i="1"/>
  <c r="H16" i="1"/>
  <c r="H27" i="1"/>
  <c r="Q37" i="3"/>
  <c r="H30" i="1" s="1"/>
  <c r="M32" i="5"/>
  <c r="M21" i="5"/>
  <c r="L23" i="1"/>
  <c r="M17" i="5"/>
  <c r="L7" i="1"/>
  <c r="H22" i="1"/>
  <c r="H7" i="1"/>
  <c r="H26" i="1"/>
  <c r="H23" i="1"/>
  <c r="R35" i="3"/>
  <c r="H14" i="1"/>
  <c r="H5" i="1"/>
  <c r="E33" i="1"/>
  <c r="F30" i="1"/>
  <c r="M16" i="5"/>
  <c r="L16" i="1"/>
  <c r="L13" i="1"/>
  <c r="H18" i="1"/>
  <c r="H9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H16" i="4"/>
  <c r="H24" i="4"/>
  <c r="H18" i="4"/>
  <c r="M38" i="2"/>
  <c r="F32" i="1"/>
  <c r="F4" i="1"/>
  <c r="F7" i="1"/>
  <c r="F15" i="1"/>
  <c r="M23" i="2"/>
  <c r="C40" i="4"/>
  <c r="R37" i="3" l="1"/>
  <c r="R40" i="3" s="1"/>
  <c r="M40" i="5"/>
  <c r="H40" i="4"/>
  <c r="M8" i="2"/>
  <c r="M39" i="2" s="1"/>
  <c r="F2" i="1"/>
</calcChain>
</file>

<file path=xl/sharedStrings.xml><?xml version="1.0" encoding="utf-8"?>
<sst xmlns="http://schemas.openxmlformats.org/spreadsheetml/2006/main" count="115" uniqueCount="61">
  <si>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</si>
  <si>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</si>
  <si>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</si>
  <si>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</si>
  <si>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</si>
  <si>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</si>
  <si>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</si>
  <si>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</si>
  <si>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</si>
  <si>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</si>
  <si>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</si>
  <si>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</si>
  <si>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</si>
  <si>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</si>
  <si>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</si>
  <si>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</si>
  <si>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</si>
  <si>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</si>
  <si>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</si>
  <si>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</si>
  <si>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</si>
  <si>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</si>
  <si>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</si>
  <si>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</si>
  <si>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</si>
  <si>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</si>
  <si>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</si>
  <si>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</si>
  <si>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</si>
  <si>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</si>
  <si>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</si>
  <si>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</si>
  <si>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</si>
  <si>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</si>
  <si>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</si>
  <si>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</si>
  <si>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</si>
  <si>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</si>
  <si>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</si>
  <si>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</si>
  <si>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</si>
  <si>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</si>
  <si>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</si>
  <si>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</si>
  <si>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</si>
  <si>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</si>
  <si>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</si>
  <si>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</si>
  <si>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</si>
  <si>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</si>
  <si>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</si>
  <si>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</si>
  <si>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</si>
  <si>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</si>
  <si>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</si>
  <si>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</si>
  <si>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</si>
  <si>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</si>
  <si>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</si>
  <si>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>15% dari Pemakaian DW</t>
  </si>
  <si>
    <t>PDAM m3/hari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</si>
</sst>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0" fillId="0" borderId="1" xfId="0" applyBorder="1"/>
    <xf numFmtId="165" fontId="13" fillId="0" borderId="1" xfId="1" applyFont="1" applyBorder="1"/>
    <xf numFmtId="0" fontId="14" fillId="0" borderId="1" xfId="0" applyFont="1" applyBorder="1"/>
    <xf numFmtId="170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0" fontId="0" fillId="0" borderId="1" xfId="0" applyNumberFormat="1" applyBorder="1"/>
    <xf numFmtId="167" fontId="9" fillId="0" borderId="0" xfId="1" applyNumberFormat="1" applyFont="1" applyAlignment="1">
      <alignment horizontal="center"/>
    </xf>
    <xf numFmtId="7" fontId="11" fillId="0" borderId="1" xfId="1" applyNumberFormat="1" applyFont="1" applyFill="1" applyBorder="1" applyAlignment="1">
      <alignment horizontal="center" shrinkToFit="1"/>
    </xf>
    <xf numFmtId="170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9" fillId="1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" fontId="18" fillId="11" borderId="6" xfId="0" applyNumberFormat="1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/>
    </xf>
    <xf numFmtId="4" fontId="18" fillId="11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7" fillId="11" borderId="10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/>
    </xf>
    <xf numFmtId="0" fontId="19" fillId="11" borderId="11" xfId="0" applyFont="1" applyFill="1" applyBorder="1" applyAlignment="1">
      <alignment horizontal="center"/>
    </xf>
    <xf numFmtId="0" fontId="19" fillId="11" borderId="12" xfId="0" applyFont="1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9" fillId="11" borderId="10" xfId="0" applyFont="1" applyFill="1" applyBorder="1" applyAlignment="1">
      <alignment horizont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19" activePane="bottomRight" state="frozen"/>
      <selection pane="bottomRight" activeCell="J33" sqref="J33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9.42578125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7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12</v>
      </c>
      <c r="D2" s="7">
        <v>2022</v>
      </c>
      <c r="E2" s="9">
        <f>Electricity!F8+Electricity!I8</f>
        <v>9460</v>
      </c>
      <c r="F2" s="10">
        <f>Electricity!L8/TOTAL!E2</f>
        <v>1231.7633720930235</v>
      </c>
      <c r="G2" s="9">
        <f>Gas!F9+Gas!I9+Gas!L9+Gas!O9</f>
        <v>96.389999999999986</v>
      </c>
      <c r="H2" s="10">
        <f>Gas!Q9/TOTAL!G2</f>
        <v>15840</v>
      </c>
      <c r="I2" s="9">
        <f>'Fuel Diesel'!F9</f>
        <v>0</v>
      </c>
      <c r="J2" s="11">
        <v>24300</v>
      </c>
      <c r="K2" s="9">
        <f>Water!F9+Water!H9+Water!J9</f>
        <v>187</v>
      </c>
      <c r="L2" s="10">
        <f>Water!L9/TOTAL!K2</f>
        <v>4000</v>
      </c>
      <c r="M2" s="9">
        <f>Electricity!C8</f>
        <v>19</v>
      </c>
      <c r="N2" s="9">
        <f>Electricity!D8</f>
        <v>85</v>
      </c>
    </row>
    <row r="3" spans="1:14">
      <c r="A3" s="6" t="s">
        <v>14</v>
      </c>
      <c r="B3" s="7">
        <f>B2+1</f>
        <v>2</v>
      </c>
      <c r="C3" s="8">
        <v>12</v>
      </c>
      <c r="D3" s="7">
        <v>2022</v>
      </c>
      <c r="E3" s="9">
        <f>Electricity!F9+Electricity!I9</f>
        <v>9220</v>
      </c>
      <c r="F3" s="10">
        <f>Electricity!L9/TOTAL!E3</f>
        <v>1237.8829718004338</v>
      </c>
      <c r="G3" s="9">
        <f>Gas!F10+Gas!I10+Gas!L10+Gas!O10</f>
        <v>97.56</v>
      </c>
      <c r="H3" s="10">
        <f>Gas!Q10/TOTAL!G3</f>
        <v>15839.999999999998</v>
      </c>
      <c r="I3" s="9">
        <f>'Fuel Diesel'!F10</f>
        <v>0</v>
      </c>
      <c r="J3" s="11">
        <v>24300</v>
      </c>
      <c r="K3" s="9">
        <f>Water!F10+Water!H10+Water!J10</f>
        <v>210</v>
      </c>
      <c r="L3" s="10">
        <f>Water!L10/TOTAL!K3</f>
        <v>4000</v>
      </c>
      <c r="M3" s="9">
        <f>Electricity!C9</f>
        <v>25</v>
      </c>
      <c r="N3" s="9">
        <f>Electricity!D9</f>
        <v>107</v>
      </c>
    </row>
    <row r="4" spans="1:14">
      <c r="A4" s="6" t="s">
        <v>14</v>
      </c>
      <c r="B4" s="7">
        <f t="shared" ref="B4:B30" si="0">B3+1</f>
        <v>3</v>
      </c>
      <c r="C4" s="8">
        <v>12</v>
      </c>
      <c r="D4" s="7">
        <v>2022</v>
      </c>
      <c r="E4" s="9">
        <f>Electricity!F10+Electricity!I10</f>
        <v>9320</v>
      </c>
      <c r="F4" s="10">
        <f>Electricity!L10/TOTAL!E4</f>
        <v>1239.2668454935624</v>
      </c>
      <c r="G4" s="9">
        <f>Gas!F11+Gas!I11+Gas!L11+Gas!O11</f>
        <v>106.02000000000001</v>
      </c>
      <c r="H4" s="10">
        <f>Gas!Q11/TOTAL!G4</f>
        <v>15839.999999999998</v>
      </c>
      <c r="I4" s="9">
        <f>'Fuel Diesel'!F11</f>
        <v>0</v>
      </c>
      <c r="J4" s="11">
        <v>24300</v>
      </c>
      <c r="K4" s="9">
        <f>Water!F11+Water!H11+Water!J11</f>
        <v>205</v>
      </c>
      <c r="L4" s="10">
        <f>Water!L11/TOTAL!K4</f>
        <v>4000</v>
      </c>
      <c r="M4" s="9">
        <f>Electricity!C10</f>
        <v>27</v>
      </c>
      <c r="N4" s="9">
        <f>Electricity!D10</f>
        <v>122</v>
      </c>
    </row>
    <row r="5" spans="1:14">
      <c r="A5" s="6" t="s">
        <v>14</v>
      </c>
      <c r="B5" s="7">
        <f t="shared" si="0"/>
        <v>4</v>
      </c>
      <c r="C5" s="8">
        <v>12</v>
      </c>
      <c r="D5" s="7">
        <v>2022</v>
      </c>
      <c r="E5" s="9">
        <f>Electricity!F11+Electricity!I11</f>
        <v>9520</v>
      </c>
      <c r="F5" s="10">
        <f>Electricity!L11/TOTAL!E5</f>
        <v>1239.5544117647062</v>
      </c>
      <c r="G5" s="9">
        <f>Gas!F12+Gas!I12+Gas!L12+Gas!O12</f>
        <v>101.25999999999999</v>
      </c>
      <c r="H5" s="10">
        <f>Gas!Q12/TOTAL!G5</f>
        <v>15840</v>
      </c>
      <c r="I5" s="9">
        <f>'Fuel Diesel'!F12</f>
        <v>53</v>
      </c>
      <c r="J5" s="11">
        <v>24300</v>
      </c>
      <c r="K5" s="9">
        <f>Water!F12+Water!H12+Water!J12</f>
        <v>193</v>
      </c>
      <c r="L5" s="10">
        <f>Water!L12/TOTAL!K5</f>
        <v>4000</v>
      </c>
      <c r="M5" s="9">
        <f>Electricity!C11</f>
        <v>30</v>
      </c>
      <c r="N5" s="9">
        <f>Electricity!D11</f>
        <v>129</v>
      </c>
    </row>
    <row r="6" spans="1:14">
      <c r="A6" s="6" t="s">
        <v>14</v>
      </c>
      <c r="B6" s="7">
        <f t="shared" si="0"/>
        <v>5</v>
      </c>
      <c r="C6" s="8">
        <v>12</v>
      </c>
      <c r="D6" s="7">
        <v>2022</v>
      </c>
      <c r="E6" s="9">
        <f>Electricity!F12+Electricity!I12</f>
        <v>9580</v>
      </c>
      <c r="F6" s="10">
        <f>Electricity!L12/TOTAL!E6</f>
        <v>1240.1139352818373</v>
      </c>
      <c r="G6" s="9">
        <f>Gas!F13+Gas!I13+Gas!L13+Gas!O13</f>
        <v>114.67</v>
      </c>
      <c r="H6" s="10">
        <f>Gas!Q13/TOTAL!G6</f>
        <v>15839.999999999998</v>
      </c>
      <c r="I6" s="9">
        <f>'Fuel Diesel'!F13</f>
        <v>0</v>
      </c>
      <c r="J6" s="11">
        <v>24300</v>
      </c>
      <c r="K6" s="9">
        <f>Water!F13+Water!H13+Water!J13</f>
        <v>189</v>
      </c>
      <c r="L6" s="10">
        <f>Water!L13/TOTAL!K6</f>
        <v>4000</v>
      </c>
      <c r="M6" s="9">
        <f>Electricity!C12</f>
        <v>28</v>
      </c>
      <c r="N6" s="9">
        <f>Electricity!D12</f>
        <v>132</v>
      </c>
    </row>
    <row r="7" spans="1:14">
      <c r="A7" s="6" t="s">
        <v>14</v>
      </c>
      <c r="B7" s="7">
        <f t="shared" si="0"/>
        <v>6</v>
      </c>
      <c r="C7" s="8">
        <v>12</v>
      </c>
      <c r="D7" s="7">
        <v>2022</v>
      </c>
      <c r="E7" s="9">
        <f>Electricity!F13+Electricity!I13</f>
        <v>9500</v>
      </c>
      <c r="F7" s="10">
        <f>Electricity!L13/TOTAL!E7</f>
        <v>1237.3680000000002</v>
      </c>
      <c r="G7" s="9">
        <f>Gas!F14+Gas!I14+Gas!L14+Gas!O14</f>
        <v>106.06</v>
      </c>
      <c r="H7" s="10">
        <f>Gas!Q14/TOTAL!G7</f>
        <v>15839.999999999998</v>
      </c>
      <c r="I7" s="9">
        <f>'Fuel Diesel'!F14</f>
        <v>0</v>
      </c>
      <c r="J7" s="11">
        <v>24300</v>
      </c>
      <c r="K7" s="9">
        <f>Water!F14+Water!H14+Water!J14</f>
        <v>191</v>
      </c>
      <c r="L7" s="10">
        <f>Water!L14/TOTAL!K7</f>
        <v>4000</v>
      </c>
      <c r="M7" s="9">
        <f>Electricity!C13</f>
        <v>31</v>
      </c>
      <c r="N7" s="9">
        <f>Electricity!D13</f>
        <v>124</v>
      </c>
    </row>
    <row r="8" spans="1:14">
      <c r="A8" s="6" t="s">
        <v>14</v>
      </c>
      <c r="B8" s="7">
        <f t="shared" si="0"/>
        <v>7</v>
      </c>
      <c r="C8" s="8">
        <v>12</v>
      </c>
      <c r="D8" s="7">
        <v>2022</v>
      </c>
      <c r="E8" s="9">
        <f>Electricity!F14+Electricity!I14</f>
        <v>10600</v>
      </c>
      <c r="F8" s="10">
        <f>Electricity!L14/TOTAL!E8</f>
        <v>1241.1346698113209</v>
      </c>
      <c r="G8" s="9">
        <f>Gas!F15+Gas!I15+Gas!L15+Gas!O15</f>
        <v>110.25</v>
      </c>
      <c r="H8" s="10">
        <f>Gas!Q15/TOTAL!G8</f>
        <v>15840</v>
      </c>
      <c r="I8" s="9">
        <f>'Fuel Diesel'!F15</f>
        <v>0</v>
      </c>
      <c r="J8" s="11">
        <v>24300</v>
      </c>
      <c r="K8" s="9">
        <f>Water!F15+Water!H15+Water!J15</f>
        <v>196</v>
      </c>
      <c r="L8" s="10">
        <f>Water!L15/TOTAL!K8</f>
        <v>4000</v>
      </c>
      <c r="M8" s="9">
        <f>Electricity!C14</f>
        <v>43</v>
      </c>
      <c r="N8" s="9">
        <f>Electricity!D14</f>
        <v>139</v>
      </c>
    </row>
    <row r="9" spans="1:14">
      <c r="A9" s="6" t="s">
        <v>14</v>
      </c>
      <c r="B9" s="7">
        <f t="shared" si="0"/>
        <v>8</v>
      </c>
      <c r="C9" s="8">
        <v>12</v>
      </c>
      <c r="D9" s="7">
        <v>2022</v>
      </c>
      <c r="E9" s="9">
        <f>Electricity!F15+Electricity!I15</f>
        <v>10820</v>
      </c>
      <c r="F9" s="10">
        <f>Electricity!L15/TOTAL!E9</f>
        <v>1238.0062846580408</v>
      </c>
      <c r="G9" s="9">
        <f>Gas!F16+Gas!I16+Gas!L16+Gas!O16</f>
        <v>111.86000000000001</v>
      </c>
      <c r="H9" s="10">
        <f>Gas!Q16/TOTAL!G9</f>
        <v>15840</v>
      </c>
      <c r="I9" s="9">
        <f>'Fuel Diesel'!F16</f>
        <v>0</v>
      </c>
      <c r="J9" s="11">
        <v>24300</v>
      </c>
      <c r="K9" s="9">
        <f>Water!F16+Water!H16+Water!J16</f>
        <v>222</v>
      </c>
      <c r="L9" s="10">
        <f>Water!L16/TOTAL!K9</f>
        <v>4000</v>
      </c>
      <c r="M9" s="9">
        <f>Electricity!C15</f>
        <v>39</v>
      </c>
      <c r="N9" s="9">
        <f>Electricity!D15</f>
        <v>138</v>
      </c>
    </row>
    <row r="10" spans="1:14">
      <c r="A10" s="6" t="s">
        <v>14</v>
      </c>
      <c r="B10" s="7">
        <f t="shared" si="0"/>
        <v>9</v>
      </c>
      <c r="C10" s="8">
        <v>12</v>
      </c>
      <c r="D10" s="7">
        <v>2022</v>
      </c>
      <c r="E10" s="9">
        <f>Electricity!F16+Electricity!I16</f>
        <v>10600</v>
      </c>
      <c r="F10" s="10">
        <f>Electricity!L16/TOTAL!E10</f>
        <v>1234.6872169811322</v>
      </c>
      <c r="G10" s="9">
        <f>Gas!F17+Gas!I17+Gas!L17+Gas!O17</f>
        <v>106.10000000000001</v>
      </c>
      <c r="H10" s="10">
        <f>Gas!Q17/TOTAL!G10</f>
        <v>15839.999999999998</v>
      </c>
      <c r="I10" s="9">
        <f>'Fuel Diesel'!F17</f>
        <v>0</v>
      </c>
      <c r="J10" s="11">
        <v>24300</v>
      </c>
      <c r="K10" s="9">
        <f>Water!F17+Water!H17+Water!J17</f>
        <v>215</v>
      </c>
      <c r="L10" s="10">
        <f>Water!L17/TOTAL!K10</f>
        <v>4000</v>
      </c>
      <c r="M10" s="9">
        <f>Electricity!C16</f>
        <v>34</v>
      </c>
      <c r="N10" s="9">
        <f>Electricity!D16</f>
        <v>138</v>
      </c>
    </row>
    <row r="11" spans="1:14">
      <c r="A11" s="6" t="s">
        <v>14</v>
      </c>
      <c r="B11" s="7">
        <f t="shared" si="0"/>
        <v>10</v>
      </c>
      <c r="C11" s="8">
        <v>12</v>
      </c>
      <c r="D11" s="7">
        <v>2022</v>
      </c>
      <c r="E11" s="9">
        <f>Electricity!F17+Electricity!I17</f>
        <v>10080</v>
      </c>
      <c r="F11" s="10">
        <f>Electricity!L17/TOTAL!E11</f>
        <v>1233.9708333333335</v>
      </c>
      <c r="G11" s="9">
        <f>Gas!F18+Gas!I18+Gas!L18+Gas!O18</f>
        <v>99.29</v>
      </c>
      <c r="H11" s="10">
        <f>Gas!Q18/TOTAL!G11</f>
        <v>15840</v>
      </c>
      <c r="I11" s="9">
        <f>'Fuel Diesel'!F18</f>
        <v>0</v>
      </c>
      <c r="J11" s="11">
        <v>24300</v>
      </c>
      <c r="K11" s="9">
        <f>Water!F18+Water!H18+Water!J18</f>
        <v>218</v>
      </c>
      <c r="L11" s="10">
        <f>Water!L18/TOTAL!K11</f>
        <v>4000</v>
      </c>
      <c r="M11" s="9">
        <f>Electricity!C17</f>
        <v>23</v>
      </c>
      <c r="N11" s="9">
        <f>Electricity!D17</f>
        <v>114</v>
      </c>
    </row>
    <row r="12" spans="1:14">
      <c r="A12" s="6" t="s">
        <v>14</v>
      </c>
      <c r="B12" s="7">
        <f t="shared" si="0"/>
        <v>11</v>
      </c>
      <c r="C12" s="8">
        <v>12</v>
      </c>
      <c r="D12" s="7">
        <v>2022</v>
      </c>
      <c r="E12" s="9">
        <f>Electricity!F18+Electricity!I18</f>
        <v>9940</v>
      </c>
      <c r="F12" s="10">
        <f>Electricity!L18/TOTAL!E12</f>
        <v>1238.7455231388333</v>
      </c>
      <c r="G12" s="9">
        <f>Gas!F19+Gas!I19+Gas!L19+Gas!O19</f>
        <v>94.050000000000011</v>
      </c>
      <c r="H12" s="10">
        <f>Gas!Q19/TOTAL!G12</f>
        <v>15839.999999999998</v>
      </c>
      <c r="I12" s="9">
        <f>'Fuel Diesel'!F19</f>
        <v>0</v>
      </c>
      <c r="J12" s="11">
        <v>24300</v>
      </c>
      <c r="K12" s="9">
        <f>Water!F19+Water!H19+Water!J19</f>
        <v>233</v>
      </c>
      <c r="L12" s="10">
        <f>Water!L19/TOTAL!K12</f>
        <v>4000</v>
      </c>
      <c r="M12" s="9">
        <f>Electricity!C18</f>
        <v>31</v>
      </c>
      <c r="N12" s="9">
        <f>Electricity!D18</f>
        <v>124</v>
      </c>
    </row>
    <row r="13" spans="1:14">
      <c r="A13" s="6" t="s">
        <v>14</v>
      </c>
      <c r="B13" s="7">
        <f t="shared" si="0"/>
        <v>12</v>
      </c>
      <c r="C13" s="8">
        <v>12</v>
      </c>
      <c r="D13" s="7">
        <v>2022</v>
      </c>
      <c r="E13" s="9">
        <f>Electricity!F19+Electricity!I19</f>
        <v>10700</v>
      </c>
      <c r="F13" s="10">
        <f>Electricity!L19/TOTAL!E13</f>
        <v>1238.051542056075</v>
      </c>
      <c r="G13" s="9">
        <f>Gas!F20+Gas!I20+Gas!L20+Gas!O20</f>
        <v>104.73</v>
      </c>
      <c r="H13" s="10">
        <f>Gas!Q20/TOTAL!G13</f>
        <v>15840.000000000002</v>
      </c>
      <c r="I13" s="9">
        <f>'Fuel Diesel'!F20</f>
        <v>0</v>
      </c>
      <c r="J13" s="11">
        <v>24300</v>
      </c>
      <c r="K13" s="9">
        <f>Water!F20+Water!H20+Water!J20</f>
        <v>272</v>
      </c>
      <c r="L13" s="10">
        <f>Water!L20/TOTAL!K13</f>
        <v>4000</v>
      </c>
      <c r="M13" s="9">
        <f>Electricity!C19</f>
        <v>37</v>
      </c>
      <c r="N13" s="9">
        <f>Electricity!D19</f>
        <v>153</v>
      </c>
    </row>
    <row r="14" spans="1:14">
      <c r="A14" s="6" t="s">
        <v>14</v>
      </c>
      <c r="B14" s="7">
        <f t="shared" si="0"/>
        <v>13</v>
      </c>
      <c r="C14" s="8">
        <v>12</v>
      </c>
      <c r="D14" s="7">
        <v>2022</v>
      </c>
      <c r="E14" s="9">
        <f>Electricity!F20+Electricity!I20</f>
        <v>10340</v>
      </c>
      <c r="F14" s="10">
        <f>Electricity!L20/TOTAL!E14</f>
        <v>1235.990425531915</v>
      </c>
      <c r="G14" s="9">
        <f>Gas!F21+Gas!I21+Gas!L21+Gas!O21</f>
        <v>106.59</v>
      </c>
      <c r="H14" s="10">
        <f>Gas!Q21/TOTAL!G14</f>
        <v>15839.999999999998</v>
      </c>
      <c r="I14" s="9">
        <f>'Fuel Diesel'!F21</f>
        <v>0</v>
      </c>
      <c r="J14" s="11">
        <v>24300</v>
      </c>
      <c r="K14" s="9">
        <f>Water!F21+Water!H21+Water!J21</f>
        <v>247</v>
      </c>
      <c r="L14" s="10">
        <f>Water!L21/TOTAL!K14</f>
        <v>4000</v>
      </c>
      <c r="M14" s="9">
        <f>Electricity!C20</f>
        <v>33</v>
      </c>
      <c r="N14" s="9">
        <f>Electricity!D20</f>
        <v>202</v>
      </c>
    </row>
    <row r="15" spans="1:14">
      <c r="A15" s="6" t="s">
        <v>14</v>
      </c>
      <c r="B15" s="7">
        <f t="shared" si="0"/>
        <v>14</v>
      </c>
      <c r="C15" s="8">
        <v>12</v>
      </c>
      <c r="D15" s="7">
        <v>2022</v>
      </c>
      <c r="E15" s="9">
        <f>Electricity!F21+Electricity!I21</f>
        <v>9860</v>
      </c>
      <c r="F15" s="10">
        <f>Electricity!L21/TOTAL!E15</f>
        <v>1238.399188640974</v>
      </c>
      <c r="G15" s="9">
        <f>Gas!F22+Gas!I22+Gas!L22+Gas!O22</f>
        <v>102.99000000000001</v>
      </c>
      <c r="H15" s="10">
        <f>Gas!Q22/TOTAL!G15</f>
        <v>15840</v>
      </c>
      <c r="I15" s="9">
        <f>'Fuel Diesel'!F22</f>
        <v>15</v>
      </c>
      <c r="J15" s="11">
        <v>24300</v>
      </c>
      <c r="K15" s="9">
        <f>Water!F22+Water!H22+Water!J22</f>
        <v>239</v>
      </c>
      <c r="L15" s="10">
        <f>Water!L22/TOTAL!K15</f>
        <v>4000</v>
      </c>
      <c r="M15" s="9">
        <f>Electricity!C21</f>
        <v>30</v>
      </c>
      <c r="N15" s="9">
        <f>Electricity!D21</f>
        <v>102</v>
      </c>
    </row>
    <row r="16" spans="1:14">
      <c r="A16" s="6" t="s">
        <v>14</v>
      </c>
      <c r="B16" s="7">
        <f t="shared" si="0"/>
        <v>15</v>
      </c>
      <c r="C16" s="8">
        <v>12</v>
      </c>
      <c r="D16" s="7">
        <v>2022</v>
      </c>
      <c r="E16" s="9">
        <f>Electricity!F22+Electricity!I22</f>
        <v>9940</v>
      </c>
      <c r="F16" s="10">
        <f>Electricity!L22/TOTAL!E16</f>
        <v>1244.4751509054329</v>
      </c>
      <c r="G16" s="9">
        <f>Gas!F23+Gas!I23+Gas!L23+Gas!O23</f>
        <v>107.38</v>
      </c>
      <c r="H16" s="10">
        <f>Gas!Q23/TOTAL!G16</f>
        <v>15840</v>
      </c>
      <c r="I16" s="9">
        <f>'Fuel Diesel'!F23</f>
        <v>0</v>
      </c>
      <c r="J16" s="11">
        <v>24300</v>
      </c>
      <c r="K16" s="9">
        <f>Water!F23+Water!H23+Water!J23</f>
        <v>205</v>
      </c>
      <c r="L16" s="10">
        <f>Water!L23/TOTAL!K16</f>
        <v>4000</v>
      </c>
      <c r="M16" s="9">
        <f>Electricity!C22</f>
        <v>40</v>
      </c>
      <c r="N16" s="9">
        <f>Electricity!D22</f>
        <v>125</v>
      </c>
    </row>
    <row r="17" spans="1:14">
      <c r="A17" s="6" t="s">
        <v>14</v>
      </c>
      <c r="B17" s="7">
        <f t="shared" si="0"/>
        <v>16</v>
      </c>
      <c r="C17" s="8">
        <v>12</v>
      </c>
      <c r="D17" s="7">
        <v>2022</v>
      </c>
      <c r="E17" s="9">
        <f>Electricity!F23+Electricity!I23</f>
        <v>10260</v>
      </c>
      <c r="F17" s="10">
        <f>Electricity!L23/TOTAL!E17</f>
        <v>1235.6361111111114</v>
      </c>
      <c r="G17" s="9">
        <f>Gas!F24+Gas!I24+Gas!L24+Gas!O24</f>
        <v>121.48</v>
      </c>
      <c r="H17" s="10">
        <f>Gas!Q24/TOTAL!G17</f>
        <v>15840.000000000002</v>
      </c>
      <c r="I17" s="9">
        <f>'Fuel Diesel'!F24</f>
        <v>0</v>
      </c>
      <c r="J17" s="11">
        <v>24300</v>
      </c>
      <c r="K17" s="9">
        <f>Water!F24+Water!H24+Water!J24</f>
        <v>208</v>
      </c>
      <c r="L17" s="10">
        <f>Water!L24/TOTAL!K17</f>
        <v>4000</v>
      </c>
      <c r="M17" s="9">
        <f>Electricity!C23</f>
        <v>52</v>
      </c>
      <c r="N17" s="9">
        <f>Electricity!D23</f>
        <v>172</v>
      </c>
    </row>
    <row r="18" spans="1:14">
      <c r="A18" s="6" t="s">
        <v>14</v>
      </c>
      <c r="B18" s="7">
        <f t="shared" si="0"/>
        <v>17</v>
      </c>
      <c r="C18" s="8">
        <v>12</v>
      </c>
      <c r="D18" s="7">
        <v>2022</v>
      </c>
      <c r="E18" s="9">
        <f>Electricity!F24+Electricity!I24</f>
        <v>9880</v>
      </c>
      <c r="F18" s="10">
        <f>Electricity!L24/TOTAL!E18</f>
        <v>1237.0451923076926</v>
      </c>
      <c r="G18" s="9">
        <f>Gas!F25+Gas!I25+Gas!L25+Gas!O25</f>
        <v>124.34</v>
      </c>
      <c r="H18" s="10">
        <f>Gas!Q25/TOTAL!G18</f>
        <v>15840</v>
      </c>
      <c r="I18" s="9">
        <f>'Fuel Diesel'!F25</f>
        <v>0</v>
      </c>
      <c r="J18" s="11">
        <v>24300</v>
      </c>
      <c r="K18" s="9">
        <f>Water!F25+Water!H25+Water!J25</f>
        <v>203</v>
      </c>
      <c r="L18" s="10">
        <f>Water!L25/TOTAL!K18</f>
        <v>4000</v>
      </c>
      <c r="M18" s="9">
        <f>Electricity!C24</f>
        <v>48</v>
      </c>
      <c r="N18" s="9">
        <f>Electricity!D24</f>
        <v>165</v>
      </c>
    </row>
    <row r="19" spans="1:14">
      <c r="A19" s="6" t="s">
        <v>14</v>
      </c>
      <c r="B19" s="7">
        <f t="shared" si="0"/>
        <v>18</v>
      </c>
      <c r="C19" s="8">
        <v>12</v>
      </c>
      <c r="D19" s="7">
        <v>2022</v>
      </c>
      <c r="E19" s="9">
        <f>Electricity!F25+Electricity!I25</f>
        <v>10120</v>
      </c>
      <c r="F19" s="10">
        <f>Electricity!L25/TOTAL!E19</f>
        <v>1236.9722826086959</v>
      </c>
      <c r="G19" s="9">
        <f>Gas!F26+Gas!I26+Gas!L26+Gas!O26</f>
        <v>111.01</v>
      </c>
      <c r="H19" s="10">
        <f>Gas!Q26/TOTAL!G19</f>
        <v>15840</v>
      </c>
      <c r="I19" s="9">
        <f>'Fuel Diesel'!F26</f>
        <v>0</v>
      </c>
      <c r="J19" s="11">
        <v>24300</v>
      </c>
      <c r="K19" s="9">
        <f>Water!F26+Water!H26+Water!J26</f>
        <v>207</v>
      </c>
      <c r="L19" s="10">
        <f>Water!L26/TOTAL!K19</f>
        <v>4000</v>
      </c>
      <c r="M19" s="9">
        <f>Electricity!C25</f>
        <v>50</v>
      </c>
      <c r="N19" s="9">
        <f>Electricity!D25</f>
        <v>218</v>
      </c>
    </row>
    <row r="20" spans="1:14">
      <c r="A20" s="6" t="s">
        <v>14</v>
      </c>
      <c r="B20" s="7">
        <f t="shared" si="0"/>
        <v>19</v>
      </c>
      <c r="C20" s="8">
        <v>12</v>
      </c>
      <c r="D20" s="7">
        <v>2022</v>
      </c>
      <c r="E20" s="9">
        <f>Electricity!F26+Electricity!I26</f>
        <v>10400</v>
      </c>
      <c r="F20" s="10">
        <f>Electricity!L26/TOTAL!E20</f>
        <v>1237.6216346153849</v>
      </c>
      <c r="G20" s="9">
        <f>Gas!F27+Gas!I27+Gas!L27+Gas!O27</f>
        <v>108.64</v>
      </c>
      <c r="H20" s="10">
        <f>Gas!Q27/TOTAL!G20</f>
        <v>15840</v>
      </c>
      <c r="I20" s="9">
        <f>'Fuel Diesel'!F27</f>
        <v>0</v>
      </c>
      <c r="J20" s="11">
        <v>24300</v>
      </c>
      <c r="K20" s="9">
        <f>Water!F27+Water!H27+Water!J27</f>
        <v>195</v>
      </c>
      <c r="L20" s="10">
        <f>Water!L27/TOTAL!K20</f>
        <v>4000</v>
      </c>
      <c r="M20" s="9">
        <f>Electricity!C26</f>
        <v>50</v>
      </c>
      <c r="N20" s="9">
        <f>Electricity!D26</f>
        <v>242</v>
      </c>
    </row>
    <row r="21" spans="1:14">
      <c r="A21" s="6" t="s">
        <v>14</v>
      </c>
      <c r="B21" s="7">
        <f t="shared" si="0"/>
        <v>20</v>
      </c>
      <c r="C21" s="8">
        <v>12</v>
      </c>
      <c r="D21" s="7">
        <v>2022</v>
      </c>
      <c r="E21" s="9">
        <f>Electricity!F27+Electricity!I27</f>
        <v>10420</v>
      </c>
      <c r="F21" s="10">
        <f>Electricity!L27/TOTAL!E21</f>
        <v>1238.5255758157391</v>
      </c>
      <c r="G21" s="9">
        <f>Gas!F28+Gas!I28+Gas!L28+Gas!O28</f>
        <v>113.94999999999999</v>
      </c>
      <c r="H21" s="10">
        <f>Gas!Q28/TOTAL!G21</f>
        <v>15840.000000000002</v>
      </c>
      <c r="I21" s="9">
        <f>'Fuel Diesel'!F28</f>
        <v>0</v>
      </c>
      <c r="J21" s="11">
        <v>24300</v>
      </c>
      <c r="K21" s="9">
        <f>Water!F28+Water!H28+Water!J28</f>
        <v>201</v>
      </c>
      <c r="L21" s="10">
        <f>Water!L28/TOTAL!K21</f>
        <v>4000</v>
      </c>
      <c r="M21" s="9">
        <f>Electricity!C27</f>
        <v>45</v>
      </c>
      <c r="N21" s="9">
        <f>Electricity!D27</f>
        <v>200</v>
      </c>
    </row>
    <row r="22" spans="1:14">
      <c r="A22" s="6" t="s">
        <v>14</v>
      </c>
      <c r="B22" s="7">
        <f t="shared" si="0"/>
        <v>21</v>
      </c>
      <c r="C22" s="8">
        <v>12</v>
      </c>
      <c r="D22" s="7">
        <v>2022</v>
      </c>
      <c r="E22" s="9">
        <f>Electricity!F28+Electricity!I28</f>
        <v>10520</v>
      </c>
      <c r="F22" s="10">
        <f>Electricity!L28/TOTAL!E22</f>
        <v>1239.7454847908748</v>
      </c>
      <c r="G22" s="9">
        <f>Gas!F29+Gas!I29+Gas!L29+Gas!O29</f>
        <v>108.03</v>
      </c>
      <c r="H22" s="10">
        <f>Gas!Q29/TOTAL!G22</f>
        <v>15840.000000000002</v>
      </c>
      <c r="I22" s="9">
        <f>'Fuel Diesel'!F29</f>
        <v>0</v>
      </c>
      <c r="J22" s="11">
        <v>24300</v>
      </c>
      <c r="K22" s="9">
        <f>Water!F29+Water!H29+Water!J29</f>
        <v>188</v>
      </c>
      <c r="L22" s="10">
        <f>Water!L29/TOTAL!K22</f>
        <v>4000</v>
      </c>
      <c r="M22" s="9">
        <f>Electricity!C28</f>
        <v>46</v>
      </c>
      <c r="N22" s="9">
        <f>Electricity!D28</f>
        <v>194</v>
      </c>
    </row>
    <row r="23" spans="1:14">
      <c r="A23" s="6" t="s">
        <v>14</v>
      </c>
      <c r="B23" s="7">
        <f t="shared" si="0"/>
        <v>22</v>
      </c>
      <c r="C23" s="8">
        <v>12</v>
      </c>
      <c r="D23" s="7">
        <v>2022</v>
      </c>
      <c r="E23" s="9">
        <f>Electricity!F29+Electricity!I29</f>
        <v>10500</v>
      </c>
      <c r="F23" s="10">
        <f>Electricity!L29/TOTAL!E23</f>
        <v>1238.8524761904764</v>
      </c>
      <c r="G23" s="9">
        <f>Gas!F30+Gas!I30+Gas!L30+Gas!O30</f>
        <v>129.82</v>
      </c>
      <c r="H23" s="10">
        <f>Gas!Q30/TOTAL!G23</f>
        <v>15840.000000000002</v>
      </c>
      <c r="I23" s="9">
        <f>'Fuel Diesel'!F30</f>
        <v>90</v>
      </c>
      <c r="J23" s="11">
        <v>24300</v>
      </c>
      <c r="K23" s="9">
        <f>Water!F30+Water!H30+Water!J30</f>
        <v>193</v>
      </c>
      <c r="L23" s="10">
        <f>Water!L30/TOTAL!K23</f>
        <v>4000</v>
      </c>
      <c r="M23" s="9">
        <f>Electricity!C29</f>
        <v>52</v>
      </c>
      <c r="N23" s="9">
        <f>Electricity!D29</f>
        <v>212</v>
      </c>
    </row>
    <row r="24" spans="1:14">
      <c r="A24" s="6" t="s">
        <v>14</v>
      </c>
      <c r="B24" s="7">
        <f t="shared" si="0"/>
        <v>23</v>
      </c>
      <c r="C24" s="8">
        <v>12</v>
      </c>
      <c r="D24" s="7">
        <v>2022</v>
      </c>
      <c r="E24" s="9">
        <f>Electricity!F30+Electricity!I30</f>
        <v>10520</v>
      </c>
      <c r="F24" s="10">
        <f>Electricity!L30/TOTAL!E24</f>
        <v>1236.4972433460077</v>
      </c>
      <c r="G24" s="9">
        <f>Gas!F31+Gas!I31+Gas!L31+Gas!O31</f>
        <v>114.59</v>
      </c>
      <c r="H24" s="10">
        <f>Gas!Q31/TOTAL!G24</f>
        <v>15840</v>
      </c>
      <c r="I24" s="9">
        <f>'Fuel Diesel'!F31</f>
        <v>0</v>
      </c>
      <c r="J24" s="11">
        <v>24300</v>
      </c>
      <c r="K24" s="9">
        <f>Water!F31+Water!H31+Water!J31</f>
        <v>221</v>
      </c>
      <c r="L24" s="10">
        <f>Water!L31/TOTAL!K24</f>
        <v>4953.8642533936654</v>
      </c>
      <c r="M24" s="9">
        <f>Electricity!C30</f>
        <v>53</v>
      </c>
      <c r="N24" s="9">
        <f>Electricity!D30</f>
        <v>200</v>
      </c>
    </row>
    <row r="25" spans="1:14">
      <c r="A25" s="6" t="s">
        <v>14</v>
      </c>
      <c r="B25" s="7">
        <f t="shared" si="0"/>
        <v>24</v>
      </c>
      <c r="C25" s="8">
        <v>12</v>
      </c>
      <c r="D25" s="7">
        <v>2022</v>
      </c>
      <c r="E25" s="9">
        <f>Electricity!F31+Electricity!I31</f>
        <v>10080</v>
      </c>
      <c r="F25" s="10">
        <f>Electricity!L31/TOTAL!E25</f>
        <v>1241.8809027777779</v>
      </c>
      <c r="G25" s="9">
        <f>Gas!F32+Gas!I32+Gas!L32+Gas!O32</f>
        <v>115.64</v>
      </c>
      <c r="H25" s="10">
        <f>Gas!Q32/TOTAL!G25</f>
        <v>15840</v>
      </c>
      <c r="I25" s="9">
        <f>'Fuel Diesel'!F32</f>
        <v>0</v>
      </c>
      <c r="J25" s="11">
        <v>24300</v>
      </c>
      <c r="K25" s="9">
        <f>Water!F32+Water!H32+Water!J32</f>
        <v>153</v>
      </c>
      <c r="L25" s="10">
        <f>Water!L32/TOTAL!K25</f>
        <v>9323.3333333333339</v>
      </c>
      <c r="M25" s="9">
        <f>Electricity!C31</f>
        <v>54</v>
      </c>
      <c r="N25" s="9">
        <f>Electricity!D31</f>
        <v>216</v>
      </c>
    </row>
    <row r="26" spans="1:14">
      <c r="A26" s="6" t="s">
        <v>14</v>
      </c>
      <c r="B26" s="7">
        <f>B25+1</f>
        <v>25</v>
      </c>
      <c r="C26" s="8">
        <v>12</v>
      </c>
      <c r="D26" s="7">
        <v>2022</v>
      </c>
      <c r="E26" s="9">
        <f>Electricity!F32+Electricity!I32</f>
        <v>10020</v>
      </c>
      <c r="F26" s="10">
        <f>Electricity!L32/TOTAL!E26</f>
        <v>1235.6759980039922</v>
      </c>
      <c r="G26" s="9">
        <f>Gas!F33+Gas!I33+Gas!L33+Gas!O33</f>
        <v>122.57000000000001</v>
      </c>
      <c r="H26" s="10">
        <f>Gas!Q33/TOTAL!G26</f>
        <v>15840</v>
      </c>
      <c r="I26" s="9">
        <f>'Fuel Diesel'!F33</f>
        <v>0</v>
      </c>
      <c r="J26" s="11">
        <v>24300</v>
      </c>
      <c r="K26" s="9">
        <f>Water!F33+Water!H33+Water!J33</f>
        <v>175</v>
      </c>
      <c r="L26" s="10">
        <f>Water!L33/TOTAL!K26</f>
        <v>6244.9257142857141</v>
      </c>
      <c r="M26" s="9">
        <f>Electricity!C32</f>
        <v>57</v>
      </c>
      <c r="N26" s="9">
        <f>Electricity!D32</f>
        <v>299</v>
      </c>
    </row>
    <row r="27" spans="1:14">
      <c r="A27" s="6" t="s">
        <v>14</v>
      </c>
      <c r="B27" s="7">
        <f t="shared" si="0"/>
        <v>26</v>
      </c>
      <c r="C27" s="8">
        <v>12</v>
      </c>
      <c r="D27" s="7">
        <v>2022</v>
      </c>
      <c r="E27" s="9">
        <f>Electricity!F33+Electricity!I33</f>
        <v>10060</v>
      </c>
      <c r="F27" s="10">
        <f>Electricity!L33/TOTAL!E27</f>
        <v>1239.8208250497021</v>
      </c>
      <c r="G27" s="9">
        <f>Gas!F34+Gas!I34+Gas!L34+Gas!O34</f>
        <v>128.44999999999999</v>
      </c>
      <c r="H27" s="10">
        <f>Gas!Q34/TOTAL!G27</f>
        <v>15840.000000000002</v>
      </c>
      <c r="I27" s="9">
        <f>'Fuel Diesel'!F34</f>
        <v>0</v>
      </c>
      <c r="J27" s="11">
        <v>24300</v>
      </c>
      <c r="K27" s="9">
        <f>Water!F34+Water!H34+Water!J34</f>
        <v>204</v>
      </c>
      <c r="L27" s="10">
        <f>Water!L34/TOTAL!K27</f>
        <v>6912.1764705882351</v>
      </c>
      <c r="M27" s="9">
        <f>Electricity!C33</f>
        <v>53</v>
      </c>
      <c r="N27" s="9">
        <f>Electricity!D33</f>
        <v>255</v>
      </c>
    </row>
    <row r="28" spans="1:14">
      <c r="A28" s="6" t="s">
        <v>14</v>
      </c>
      <c r="B28" s="7">
        <f t="shared" si="0"/>
        <v>27</v>
      </c>
      <c r="C28" s="8">
        <v>12</v>
      </c>
      <c r="D28" s="7">
        <v>2022</v>
      </c>
      <c r="E28" s="9">
        <f>Electricity!F34+Electricity!I34</f>
        <v>10180</v>
      </c>
      <c r="F28" s="10">
        <f>Electricity!L34/TOTAL!E28</f>
        <v>1241.9896856581533</v>
      </c>
      <c r="G28" s="9">
        <f>Gas!F35+Gas!I35+Gas!L35+Gas!O35</f>
        <v>121.81</v>
      </c>
      <c r="H28" s="10">
        <f>Gas!Q35/TOTAL!G28</f>
        <v>15839.999999999998</v>
      </c>
      <c r="I28" s="9">
        <f>'Fuel Diesel'!F35</f>
        <v>0</v>
      </c>
      <c r="J28" s="11">
        <v>24300</v>
      </c>
      <c r="K28" s="9">
        <f>Water!F35+Water!H35+Water!J35</f>
        <v>181</v>
      </c>
      <c r="L28" s="10">
        <f>Water!L35/TOTAL!K28</f>
        <v>9346.861878453039</v>
      </c>
      <c r="M28" s="9">
        <f>Electricity!C34</f>
        <v>53</v>
      </c>
      <c r="N28" s="9">
        <f>Electricity!D34</f>
        <v>257</v>
      </c>
    </row>
    <row r="29" spans="1:14">
      <c r="A29" s="6" t="s">
        <v>14</v>
      </c>
      <c r="B29" s="7">
        <f t="shared" si="0"/>
        <v>28</v>
      </c>
      <c r="C29" s="8">
        <v>12</v>
      </c>
      <c r="D29" s="7">
        <v>2022</v>
      </c>
      <c r="E29" s="9">
        <f>Electricity!F35+Electricity!I35</f>
        <v>10480</v>
      </c>
      <c r="F29" s="10">
        <f>Electricity!L35/TOTAL!E29</f>
        <v>1239.0429389312978</v>
      </c>
      <c r="G29" s="9">
        <f>Gas!F36+Gas!I36+Gas!L36+Gas!O36</f>
        <v>123.3</v>
      </c>
      <c r="H29" s="10">
        <f>Gas!Q36/TOTAL!G29</f>
        <v>15839.999999999998</v>
      </c>
      <c r="I29" s="9">
        <f>'Fuel Diesel'!F36</f>
        <v>11</v>
      </c>
      <c r="J29" s="11">
        <v>24300</v>
      </c>
      <c r="K29" s="9">
        <f>Water!F36+Water!H36+Water!J36</f>
        <v>210</v>
      </c>
      <c r="L29" s="10">
        <f>Water!L36/TOTAL!K29</f>
        <v>8562.8571428571431</v>
      </c>
      <c r="M29" s="9">
        <f>Electricity!C35</f>
        <v>56</v>
      </c>
      <c r="N29" s="9">
        <f>Electricity!D35</f>
        <v>343</v>
      </c>
    </row>
    <row r="30" spans="1:14">
      <c r="A30" s="87" t="s">
        <v>14</v>
      </c>
      <c r="B30" s="88">
        <f t="shared" si="0"/>
        <v>29</v>
      </c>
      <c r="C30" s="8">
        <v>12</v>
      </c>
      <c r="D30" s="88">
        <v>2022</v>
      </c>
      <c r="E30" s="89">
        <f>Electricity!F36+Electricity!I36</f>
        <v>9920</v>
      </c>
      <c r="F30" s="90">
        <f>Electricity!L36/TOTAL!E30</f>
        <v>1237.7982862903227</v>
      </c>
      <c r="G30" s="89">
        <f>Gas!F37+Gas!I37+Gas!L37+Gas!O37</f>
        <v>126.12</v>
      </c>
      <c r="H30" s="90">
        <f>Gas!Q37/TOTAL!G30</f>
        <v>15840</v>
      </c>
      <c r="I30" s="89">
        <f>'Fuel Diesel'!F37</f>
        <v>0</v>
      </c>
      <c r="J30" s="91">
        <v>24300</v>
      </c>
      <c r="K30" s="89">
        <f>Water!F37+Water!H37+Water!J37</f>
        <v>198</v>
      </c>
      <c r="L30" s="90">
        <f>Water!L37/TOTAL!K30</f>
        <v>8742.6060606060601</v>
      </c>
      <c r="M30" s="89">
        <f>Electricity!C36</f>
        <v>56</v>
      </c>
      <c r="N30" s="89">
        <f>Electricity!D36</f>
        <v>289</v>
      </c>
    </row>
    <row r="31" spans="1:14">
      <c r="A31" s="92" t="s">
        <v>14</v>
      </c>
      <c r="B31" s="93">
        <v>30</v>
      </c>
      <c r="C31" s="8">
        <v>12</v>
      </c>
      <c r="D31" s="93">
        <v>2022</v>
      </c>
      <c r="E31" s="94">
        <f>Electricity!F37+Electricity!I37</f>
        <v>10440</v>
      </c>
      <c r="F31" s="95">
        <f>Electricity!L37/TOTAL!E31</f>
        <v>1241.6081417624523</v>
      </c>
      <c r="G31" s="94">
        <f>Gas!F38+Gas!I38+Gas!L38+Gas!O38</f>
        <v>124.55000000000001</v>
      </c>
      <c r="H31" s="95">
        <f>Gas!Q38/TOTAL!G31</f>
        <v>15839.999999999998</v>
      </c>
      <c r="I31" s="94">
        <f>'Fuel Diesel'!F38</f>
        <v>0</v>
      </c>
      <c r="J31" s="96">
        <v>24300</v>
      </c>
      <c r="K31" s="94">
        <f>Water!F38+Water!H38+Water!J38</f>
        <v>190</v>
      </c>
      <c r="L31" s="95">
        <f>Water!L38/TOTAL!K31</f>
        <v>9144.0210526315786</v>
      </c>
      <c r="M31" s="94">
        <f>Electricity!C37</f>
        <v>55</v>
      </c>
      <c r="N31" s="94">
        <f>Electricity!D37</f>
        <v>252</v>
      </c>
    </row>
    <row r="32" spans="1:14">
      <c r="A32" s="92" t="s">
        <v>14</v>
      </c>
      <c r="B32" s="93">
        <v>31</v>
      </c>
      <c r="C32" s="8">
        <v>12</v>
      </c>
      <c r="D32" s="93">
        <v>2022</v>
      </c>
      <c r="E32" s="94">
        <f>Electricity!F38+Electricity!I38</f>
        <v>11040</v>
      </c>
      <c r="F32" s="95">
        <f>Electricity!L38/TOTAL!E32</f>
        <v>1239.1295742753625</v>
      </c>
      <c r="G32" s="94">
        <f>Gas!F39+Gas!I39+Gas!L39+Gas!O39</f>
        <v>108.43</v>
      </c>
      <c r="H32" s="95">
        <f>Gas!Q39/TOTAL!G32</f>
        <v>15839.999999999998</v>
      </c>
      <c r="I32" s="94">
        <f>'Fuel Diesel'!F39</f>
        <v>0</v>
      </c>
      <c r="J32" s="96">
        <v>24300</v>
      </c>
      <c r="K32" s="94">
        <f>Water!F39+Water!H39+Water!J39</f>
        <v>203</v>
      </c>
      <c r="L32" s="95">
        <f>Water!L39/TOTAL!K32</f>
        <v>8956.2068965517246</v>
      </c>
      <c r="M32" s="94">
        <f>Electricity!C38</f>
        <v>56</v>
      </c>
      <c r="N32" s="94">
        <f>Electricity!D38</f>
        <v>310</v>
      </c>
    </row>
    <row r="33" spans="2:14">
      <c r="B33" s="19"/>
      <c r="C33" s="19"/>
      <c r="D33" s="19"/>
      <c r="E33" s="97">
        <f>SUM(E2:E32)</f>
        <v>314320</v>
      </c>
      <c r="F33" s="97">
        <f>SUM(F2:F32)/31</f>
        <v>1238.2984750008279</v>
      </c>
      <c r="G33" s="97">
        <f>SUM(G2:G32)</f>
        <v>3467.9300000000003</v>
      </c>
      <c r="H33" s="98">
        <f>SUM(H2:H32)/31</f>
        <v>15840</v>
      </c>
      <c r="I33" s="97">
        <f>SUM(I2:I32)</f>
        <v>169</v>
      </c>
      <c r="J33" s="99">
        <v>24300</v>
      </c>
      <c r="K33" s="97">
        <f>SUM(K2:K32)</f>
        <v>6352</v>
      </c>
      <c r="L33" s="100">
        <f>SUM(L2:L32)/31</f>
        <v>5167.3178323451766</v>
      </c>
      <c r="M33" s="97">
        <f>SUM(M2:M32)</f>
        <v>1306</v>
      </c>
      <c r="N33" s="97">
        <f>SUM(N2:N32)</f>
        <v>5758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workbookViewId="0">
      <selection activeCell="G19" sqref="G19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19" t="s">
        <v>15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"/>
      <c r="N1" s="12"/>
    </row>
    <row r="2" spans="1:14" ht="15.95">
      <c r="B2" s="119" t="s">
        <v>16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20">
        <v>44896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6"/>
    </row>
    <row r="5" spans="1:14">
      <c r="A5" s="17"/>
      <c r="B5" s="121" t="s">
        <v>17</v>
      </c>
      <c r="C5" s="121" t="s">
        <v>18</v>
      </c>
      <c r="D5" s="121" t="s">
        <v>13</v>
      </c>
      <c r="E5" s="122" t="s">
        <v>19</v>
      </c>
      <c r="F5" s="122"/>
      <c r="G5" s="122"/>
      <c r="H5" s="123" t="s">
        <v>20</v>
      </c>
      <c r="I5" s="123"/>
      <c r="J5" s="123"/>
      <c r="K5" s="121" t="s">
        <v>21</v>
      </c>
      <c r="L5" s="121" t="s">
        <v>22</v>
      </c>
      <c r="M5" s="121" t="s">
        <v>23</v>
      </c>
      <c r="N5" s="18"/>
    </row>
    <row r="6" spans="1:14" s="19" customFormat="1">
      <c r="A6" s="17"/>
      <c r="B6" s="121"/>
      <c r="C6" s="121"/>
      <c r="D6" s="121"/>
      <c r="E6" s="121" t="s">
        <v>24</v>
      </c>
      <c r="F6" s="121" t="s">
        <v>25</v>
      </c>
      <c r="G6" s="121" t="s">
        <v>26</v>
      </c>
      <c r="H6" s="121" t="s">
        <v>24</v>
      </c>
      <c r="I6" s="121" t="s">
        <v>25</v>
      </c>
      <c r="J6" s="121" t="s">
        <v>27</v>
      </c>
      <c r="K6" s="121"/>
      <c r="L6" s="121"/>
      <c r="M6" s="121"/>
      <c r="N6" s="18"/>
    </row>
    <row r="7" spans="1:14" ht="15.95" thickBot="1">
      <c r="A7" s="20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21"/>
    </row>
    <row r="8" spans="1:14">
      <c r="A8" s="20"/>
      <c r="B8" s="22">
        <v>1</v>
      </c>
      <c r="C8" s="109">
        <v>19</v>
      </c>
      <c r="D8" s="115">
        <v>85</v>
      </c>
      <c r="E8" s="114">
        <v>3.96</v>
      </c>
      <c r="F8" s="25">
        <f t="shared" ref="F8:F38" si="0">E8*2000</f>
        <v>7920</v>
      </c>
      <c r="G8" s="26">
        <f t="shared" ref="G8:G36" si="1">F8*1035.5</f>
        <v>8201160</v>
      </c>
      <c r="H8" s="105">
        <v>0.77</v>
      </c>
      <c r="I8" s="25">
        <f t="shared" ref="I8:I38" si="2">H8*2000</f>
        <v>1540</v>
      </c>
      <c r="J8" s="26">
        <f t="shared" ref="J8:J38" si="3">I8*1553.25</f>
        <v>2392005</v>
      </c>
      <c r="K8" s="24">
        <f t="shared" ref="K8:K38" si="4">G8+J8</f>
        <v>10593165</v>
      </c>
      <c r="L8" s="27">
        <f t="shared" ref="L8:L38" si="5">K8*1.1</f>
        <v>11652481.500000002</v>
      </c>
      <c r="M8" s="28">
        <f>L8/14381</f>
        <v>810.26920937347904</v>
      </c>
      <c r="N8" s="29"/>
    </row>
    <row r="9" spans="1:14">
      <c r="A9" s="20"/>
      <c r="B9" s="22">
        <v>2</v>
      </c>
      <c r="C9" s="110">
        <v>25</v>
      </c>
      <c r="D9" s="113">
        <v>107</v>
      </c>
      <c r="E9" s="114">
        <v>3.81</v>
      </c>
      <c r="F9" s="25">
        <f t="shared" si="0"/>
        <v>7620</v>
      </c>
      <c r="G9" s="26">
        <f t="shared" si="1"/>
        <v>7890510</v>
      </c>
      <c r="H9" s="105">
        <v>0.8</v>
      </c>
      <c r="I9" s="25">
        <f t="shared" si="2"/>
        <v>1600</v>
      </c>
      <c r="J9" s="26">
        <f t="shared" si="3"/>
        <v>2485200</v>
      </c>
      <c r="K9" s="24">
        <f t="shared" si="4"/>
        <v>10375710</v>
      </c>
      <c r="L9" s="27">
        <f t="shared" si="5"/>
        <v>11413281</v>
      </c>
      <c r="M9" s="28">
        <f t="shared" ref="M9:M38" si="6">L9/14381</f>
        <v>793.63611709894997</v>
      </c>
      <c r="N9" s="29"/>
    </row>
    <row r="10" spans="1:14">
      <c r="A10" s="20"/>
      <c r="B10" s="22">
        <v>3</v>
      </c>
      <c r="C10" s="111">
        <v>27</v>
      </c>
      <c r="D10" s="113">
        <v>122</v>
      </c>
      <c r="E10" s="114">
        <v>3.84</v>
      </c>
      <c r="F10" s="25">
        <f t="shared" si="0"/>
        <v>7680</v>
      </c>
      <c r="G10" s="26">
        <f t="shared" si="1"/>
        <v>7952640</v>
      </c>
      <c r="H10" s="105">
        <v>0.82</v>
      </c>
      <c r="I10" s="25">
        <f t="shared" si="2"/>
        <v>1640</v>
      </c>
      <c r="J10" s="26">
        <f t="shared" si="3"/>
        <v>2547330</v>
      </c>
      <c r="K10" s="24">
        <f t="shared" si="4"/>
        <v>10499970</v>
      </c>
      <c r="L10" s="27">
        <f t="shared" si="5"/>
        <v>11549967.000000002</v>
      </c>
      <c r="M10" s="28">
        <f t="shared" si="6"/>
        <v>803.14074125582374</v>
      </c>
      <c r="N10" s="29"/>
    </row>
    <row r="11" spans="1:14">
      <c r="A11" s="20"/>
      <c r="B11" s="22">
        <v>4</v>
      </c>
      <c r="C11" s="110">
        <v>30</v>
      </c>
      <c r="D11" s="113">
        <v>129</v>
      </c>
      <c r="E11" s="114">
        <v>3.92</v>
      </c>
      <c r="F11" s="25">
        <f t="shared" si="0"/>
        <v>7840</v>
      </c>
      <c r="G11" s="26">
        <f t="shared" si="1"/>
        <v>8118320</v>
      </c>
      <c r="H11" s="105">
        <v>0.84</v>
      </c>
      <c r="I11" s="25">
        <f t="shared" si="2"/>
        <v>1680</v>
      </c>
      <c r="J11" s="26">
        <f t="shared" si="3"/>
        <v>2609460</v>
      </c>
      <c r="K11" s="24">
        <f t="shared" si="4"/>
        <v>10727780</v>
      </c>
      <c r="L11" s="27">
        <f t="shared" si="5"/>
        <v>11800558.000000002</v>
      </c>
      <c r="M11" s="28">
        <f t="shared" si="6"/>
        <v>820.56588554342545</v>
      </c>
      <c r="N11" s="29"/>
    </row>
    <row r="12" spans="1:14">
      <c r="A12" s="20"/>
      <c r="B12" s="22">
        <v>5</v>
      </c>
      <c r="C12" s="110">
        <v>28</v>
      </c>
      <c r="D12" s="113">
        <v>132</v>
      </c>
      <c r="E12" s="114">
        <v>3.94</v>
      </c>
      <c r="F12" s="25">
        <f t="shared" si="0"/>
        <v>7880</v>
      </c>
      <c r="G12" s="26">
        <f t="shared" si="1"/>
        <v>8159740</v>
      </c>
      <c r="H12" s="105">
        <v>0.85</v>
      </c>
      <c r="I12" s="25">
        <f t="shared" si="2"/>
        <v>1700</v>
      </c>
      <c r="J12" s="26">
        <f t="shared" si="3"/>
        <v>2640525</v>
      </c>
      <c r="K12" s="24">
        <f t="shared" si="4"/>
        <v>10800265</v>
      </c>
      <c r="L12" s="27">
        <f t="shared" si="5"/>
        <v>11880291.500000002</v>
      </c>
      <c r="M12" s="28">
        <f t="shared" si="6"/>
        <v>826.11024963493514</v>
      </c>
      <c r="N12" s="29"/>
    </row>
    <row r="13" spans="1:14">
      <c r="A13" s="20"/>
      <c r="B13" s="22">
        <v>6</v>
      </c>
      <c r="C13" s="111">
        <v>31</v>
      </c>
      <c r="D13" s="112">
        <v>124</v>
      </c>
      <c r="E13" s="114">
        <v>3.93</v>
      </c>
      <c r="F13" s="25">
        <f t="shared" si="0"/>
        <v>7860</v>
      </c>
      <c r="G13" s="26">
        <f t="shared" si="1"/>
        <v>8139030</v>
      </c>
      <c r="H13" s="105">
        <v>0.82</v>
      </c>
      <c r="I13" s="25">
        <f t="shared" si="2"/>
        <v>1640</v>
      </c>
      <c r="J13" s="26">
        <f t="shared" si="3"/>
        <v>2547330</v>
      </c>
      <c r="K13" s="24">
        <f t="shared" si="4"/>
        <v>10686360</v>
      </c>
      <c r="L13" s="27">
        <f t="shared" si="5"/>
        <v>11754996.000000002</v>
      </c>
      <c r="M13" s="28">
        <f t="shared" si="6"/>
        <v>817.39767749113423</v>
      </c>
      <c r="N13" s="29"/>
    </row>
    <row r="14" spans="1:14">
      <c r="A14" s="20"/>
      <c r="B14" s="22">
        <v>7</v>
      </c>
      <c r="C14" s="110">
        <v>43</v>
      </c>
      <c r="D14" s="113">
        <v>139</v>
      </c>
      <c r="E14" s="114">
        <v>4.3499999999999996</v>
      </c>
      <c r="F14" s="25">
        <f t="shared" si="0"/>
        <v>8700</v>
      </c>
      <c r="G14" s="26">
        <f t="shared" si="1"/>
        <v>9008850</v>
      </c>
      <c r="H14" s="105">
        <v>0.95</v>
      </c>
      <c r="I14" s="25">
        <f t="shared" si="2"/>
        <v>1900</v>
      </c>
      <c r="J14" s="26">
        <f t="shared" si="3"/>
        <v>2951175</v>
      </c>
      <c r="K14" s="24">
        <f t="shared" si="4"/>
        <v>11960025</v>
      </c>
      <c r="L14" s="27">
        <f t="shared" si="5"/>
        <v>13156027.500000002</v>
      </c>
      <c r="M14" s="28">
        <f t="shared" si="6"/>
        <v>914.82007509908919</v>
      </c>
      <c r="N14" s="29"/>
    </row>
    <row r="15" spans="1:14">
      <c r="A15" s="20"/>
      <c r="B15" s="22">
        <v>8</v>
      </c>
      <c r="C15" s="111">
        <v>39</v>
      </c>
      <c r="D15" s="113">
        <v>138</v>
      </c>
      <c r="E15" s="114">
        <v>4.47</v>
      </c>
      <c r="F15" s="25">
        <f t="shared" si="0"/>
        <v>8940</v>
      </c>
      <c r="G15" s="26">
        <f t="shared" si="1"/>
        <v>9257370</v>
      </c>
      <c r="H15" s="105">
        <v>0.94</v>
      </c>
      <c r="I15" s="25">
        <f t="shared" si="2"/>
        <v>1880</v>
      </c>
      <c r="J15" s="26">
        <f t="shared" si="3"/>
        <v>2920110</v>
      </c>
      <c r="K15" s="24">
        <f t="shared" si="4"/>
        <v>12177480</v>
      </c>
      <c r="L15" s="27">
        <f t="shared" si="5"/>
        <v>13395228.000000002</v>
      </c>
      <c r="M15" s="28">
        <f t="shared" si="6"/>
        <v>931.45316737361804</v>
      </c>
      <c r="N15" s="29"/>
    </row>
    <row r="16" spans="1:14">
      <c r="A16" s="20"/>
      <c r="B16" s="22">
        <v>9</v>
      </c>
      <c r="C16" s="110">
        <v>34</v>
      </c>
      <c r="D16" s="113">
        <v>138</v>
      </c>
      <c r="E16" s="114">
        <v>4.41</v>
      </c>
      <c r="F16" s="25">
        <f t="shared" si="0"/>
        <v>8820</v>
      </c>
      <c r="G16" s="26">
        <f t="shared" si="1"/>
        <v>9133110</v>
      </c>
      <c r="H16" s="105">
        <v>0.89</v>
      </c>
      <c r="I16" s="25">
        <f t="shared" si="2"/>
        <v>1780</v>
      </c>
      <c r="J16" s="26">
        <f t="shared" si="3"/>
        <v>2764785</v>
      </c>
      <c r="K16" s="24">
        <f t="shared" si="4"/>
        <v>11897895</v>
      </c>
      <c r="L16" s="27">
        <f t="shared" si="5"/>
        <v>13087684.500000002</v>
      </c>
      <c r="M16" s="28">
        <f t="shared" si="6"/>
        <v>910.06776302065236</v>
      </c>
      <c r="N16" s="29"/>
    </row>
    <row r="17" spans="1:14">
      <c r="A17" s="20"/>
      <c r="B17" s="22">
        <v>10</v>
      </c>
      <c r="C17" s="111">
        <v>23</v>
      </c>
      <c r="D17" s="113">
        <v>114</v>
      </c>
      <c r="E17" s="114">
        <v>4.2</v>
      </c>
      <c r="F17" s="25">
        <f t="shared" si="0"/>
        <v>8400</v>
      </c>
      <c r="G17" s="26">
        <f t="shared" si="1"/>
        <v>8698200</v>
      </c>
      <c r="H17" s="105">
        <v>0.84</v>
      </c>
      <c r="I17" s="25">
        <f t="shared" si="2"/>
        <v>1680</v>
      </c>
      <c r="J17" s="26">
        <f t="shared" si="3"/>
        <v>2609460</v>
      </c>
      <c r="K17" s="24">
        <f t="shared" si="4"/>
        <v>11307660</v>
      </c>
      <c r="L17" s="27">
        <f t="shared" si="5"/>
        <v>12438426.000000002</v>
      </c>
      <c r="M17" s="28">
        <f t="shared" si="6"/>
        <v>864.92079827550253</v>
      </c>
      <c r="N17" s="29"/>
    </row>
    <row r="18" spans="1:14">
      <c r="A18" s="20"/>
      <c r="B18" s="22">
        <v>11</v>
      </c>
      <c r="C18" s="110">
        <v>31</v>
      </c>
      <c r="D18" s="113">
        <v>124</v>
      </c>
      <c r="E18" s="114">
        <v>4.0999999999999996</v>
      </c>
      <c r="F18" s="25">
        <f t="shared" si="0"/>
        <v>8200</v>
      </c>
      <c r="G18" s="26">
        <f t="shared" si="1"/>
        <v>8491100</v>
      </c>
      <c r="H18" s="105">
        <v>0.87</v>
      </c>
      <c r="I18" s="25">
        <f t="shared" si="2"/>
        <v>1740</v>
      </c>
      <c r="J18" s="26">
        <f t="shared" si="3"/>
        <v>2702655</v>
      </c>
      <c r="K18" s="24">
        <f t="shared" si="4"/>
        <v>11193755</v>
      </c>
      <c r="L18" s="27">
        <f t="shared" si="5"/>
        <v>12313130.500000002</v>
      </c>
      <c r="M18" s="28">
        <f t="shared" si="6"/>
        <v>856.20822613170174</v>
      </c>
      <c r="N18" s="29"/>
    </row>
    <row r="19" spans="1:14">
      <c r="A19" s="20"/>
      <c r="B19" s="22">
        <v>12</v>
      </c>
      <c r="C19" s="111">
        <v>37</v>
      </c>
      <c r="D19" s="113">
        <v>153</v>
      </c>
      <c r="E19" s="114">
        <v>4.42</v>
      </c>
      <c r="F19" s="25">
        <f t="shared" si="0"/>
        <v>8840</v>
      </c>
      <c r="G19" s="26">
        <f t="shared" si="1"/>
        <v>9153820</v>
      </c>
      <c r="H19" s="105">
        <v>0.93</v>
      </c>
      <c r="I19" s="25">
        <f t="shared" si="2"/>
        <v>1860</v>
      </c>
      <c r="J19" s="26">
        <f t="shared" si="3"/>
        <v>2889045</v>
      </c>
      <c r="K19" s="24">
        <f t="shared" si="4"/>
        <v>12042865</v>
      </c>
      <c r="L19" s="27">
        <f t="shared" si="5"/>
        <v>13247151.500000002</v>
      </c>
      <c r="M19" s="28">
        <f t="shared" si="6"/>
        <v>921.15649120367164</v>
      </c>
      <c r="N19" s="29"/>
    </row>
    <row r="20" spans="1:14">
      <c r="A20" s="20"/>
      <c r="B20" s="22">
        <v>13</v>
      </c>
      <c r="C20" s="110">
        <v>33</v>
      </c>
      <c r="D20" s="113">
        <v>202</v>
      </c>
      <c r="E20" s="114">
        <v>4.29</v>
      </c>
      <c r="F20" s="25">
        <f t="shared" si="0"/>
        <v>8580</v>
      </c>
      <c r="G20" s="26">
        <f t="shared" si="1"/>
        <v>8884590</v>
      </c>
      <c r="H20" s="105">
        <v>0.88</v>
      </c>
      <c r="I20" s="25">
        <f t="shared" si="2"/>
        <v>1760</v>
      </c>
      <c r="J20" s="26">
        <f t="shared" si="3"/>
        <v>2733720</v>
      </c>
      <c r="K20" s="24">
        <f t="shared" si="4"/>
        <v>11618310</v>
      </c>
      <c r="L20" s="27">
        <f t="shared" si="5"/>
        <v>12780141.000000002</v>
      </c>
      <c r="M20" s="28">
        <f t="shared" si="6"/>
        <v>888.68235866768669</v>
      </c>
      <c r="N20" s="29"/>
    </row>
    <row r="21" spans="1:14">
      <c r="A21" s="20"/>
      <c r="B21" s="22">
        <v>14</v>
      </c>
      <c r="C21" s="111">
        <v>30</v>
      </c>
      <c r="D21" s="113">
        <v>102</v>
      </c>
      <c r="E21" s="114">
        <v>4.07</v>
      </c>
      <c r="F21" s="25">
        <f t="shared" si="0"/>
        <v>8140.0000000000009</v>
      </c>
      <c r="G21" s="26">
        <f t="shared" si="1"/>
        <v>8428970.0000000019</v>
      </c>
      <c r="H21" s="105">
        <v>0.86</v>
      </c>
      <c r="I21" s="25">
        <f t="shared" si="2"/>
        <v>1720</v>
      </c>
      <c r="J21" s="26">
        <f t="shared" si="3"/>
        <v>2671590</v>
      </c>
      <c r="K21" s="24">
        <f t="shared" si="4"/>
        <v>11100560.000000002</v>
      </c>
      <c r="L21" s="27">
        <f t="shared" si="5"/>
        <v>12210616.000000004</v>
      </c>
      <c r="M21" s="28">
        <f t="shared" si="6"/>
        <v>849.07975801404655</v>
      </c>
      <c r="N21" s="29"/>
    </row>
    <row r="22" spans="1:14">
      <c r="A22" s="20"/>
      <c r="B22" s="22">
        <v>15</v>
      </c>
      <c r="C22" s="111">
        <v>40</v>
      </c>
      <c r="D22" s="113">
        <v>125</v>
      </c>
      <c r="E22" s="114">
        <v>4.05</v>
      </c>
      <c r="F22" s="25">
        <f t="shared" si="0"/>
        <v>8100</v>
      </c>
      <c r="G22" s="26">
        <f t="shared" si="1"/>
        <v>8387550</v>
      </c>
      <c r="H22" s="105">
        <v>0.92</v>
      </c>
      <c r="I22" s="25">
        <f t="shared" si="2"/>
        <v>1840</v>
      </c>
      <c r="J22" s="26">
        <f t="shared" si="3"/>
        <v>2857980</v>
      </c>
      <c r="K22" s="24">
        <f t="shared" si="4"/>
        <v>11245530</v>
      </c>
      <c r="L22" s="27">
        <f t="shared" si="5"/>
        <v>12370083.000000002</v>
      </c>
      <c r="M22" s="28">
        <f t="shared" si="6"/>
        <v>860.1684861970657</v>
      </c>
      <c r="N22" s="29"/>
    </row>
    <row r="23" spans="1:14">
      <c r="A23" s="20"/>
      <c r="B23" s="22">
        <v>16</v>
      </c>
      <c r="C23" s="110">
        <v>52</v>
      </c>
      <c r="D23" s="113">
        <v>172</v>
      </c>
      <c r="E23" s="114">
        <v>4.26</v>
      </c>
      <c r="F23" s="25">
        <f t="shared" si="0"/>
        <v>8520</v>
      </c>
      <c r="G23" s="26">
        <f t="shared" si="1"/>
        <v>8822460</v>
      </c>
      <c r="H23" s="105">
        <v>0.87</v>
      </c>
      <c r="I23" s="25">
        <f t="shared" si="2"/>
        <v>1740</v>
      </c>
      <c r="J23" s="26">
        <f t="shared" si="3"/>
        <v>2702655</v>
      </c>
      <c r="K23" s="24">
        <f t="shared" si="4"/>
        <v>11525115</v>
      </c>
      <c r="L23" s="27">
        <f t="shared" si="5"/>
        <v>12677626.500000002</v>
      </c>
      <c r="M23" s="28">
        <f t="shared" si="6"/>
        <v>881.55389055003138</v>
      </c>
      <c r="N23" s="29"/>
    </row>
    <row r="24" spans="1:14">
      <c r="A24" s="20"/>
      <c r="B24" s="22">
        <v>17</v>
      </c>
      <c r="C24" s="110">
        <v>48</v>
      </c>
      <c r="D24" s="113">
        <v>165</v>
      </c>
      <c r="E24" s="114">
        <v>4.09</v>
      </c>
      <c r="F24" s="25">
        <f t="shared" si="0"/>
        <v>8180</v>
      </c>
      <c r="G24" s="26">
        <f t="shared" si="1"/>
        <v>8470390</v>
      </c>
      <c r="H24" s="105">
        <v>0.85</v>
      </c>
      <c r="I24" s="25">
        <f t="shared" si="2"/>
        <v>1700</v>
      </c>
      <c r="J24" s="26">
        <f t="shared" si="3"/>
        <v>2640525</v>
      </c>
      <c r="K24" s="24">
        <f t="shared" si="4"/>
        <v>11110915</v>
      </c>
      <c r="L24" s="27">
        <f t="shared" si="5"/>
        <v>12222006.500000002</v>
      </c>
      <c r="M24" s="28">
        <f t="shared" si="6"/>
        <v>849.8718100271193</v>
      </c>
      <c r="N24" s="29"/>
    </row>
    <row r="25" spans="1:14">
      <c r="A25" s="20"/>
      <c r="B25" s="22">
        <v>18</v>
      </c>
      <c r="C25" s="110">
        <v>50</v>
      </c>
      <c r="D25" s="113">
        <v>218</v>
      </c>
      <c r="E25" s="114">
        <v>4.1900000000000004</v>
      </c>
      <c r="F25" s="25">
        <f t="shared" si="0"/>
        <v>8380</v>
      </c>
      <c r="G25" s="26">
        <f t="shared" si="1"/>
        <v>8677490</v>
      </c>
      <c r="H25" s="105">
        <v>0.87</v>
      </c>
      <c r="I25" s="25">
        <f t="shared" si="2"/>
        <v>1740</v>
      </c>
      <c r="J25" s="26">
        <f t="shared" si="3"/>
        <v>2702655</v>
      </c>
      <c r="K25" s="24">
        <f t="shared" si="4"/>
        <v>11380145</v>
      </c>
      <c r="L25" s="27">
        <f t="shared" si="5"/>
        <v>12518159.500000002</v>
      </c>
      <c r="M25" s="28">
        <f t="shared" si="6"/>
        <v>870.46516236701211</v>
      </c>
      <c r="N25" s="29"/>
    </row>
    <row r="26" spans="1:14">
      <c r="A26" s="20"/>
      <c r="B26" s="22">
        <v>19</v>
      </c>
      <c r="C26" s="111">
        <v>50</v>
      </c>
      <c r="D26" s="113">
        <v>242</v>
      </c>
      <c r="E26" s="114">
        <v>4.3</v>
      </c>
      <c r="F26" s="25">
        <f t="shared" si="0"/>
        <v>8600</v>
      </c>
      <c r="G26" s="26">
        <f t="shared" si="1"/>
        <v>8905300</v>
      </c>
      <c r="H26" s="105">
        <v>0.9</v>
      </c>
      <c r="I26" s="25">
        <f t="shared" si="2"/>
        <v>1800</v>
      </c>
      <c r="J26" s="26">
        <f t="shared" si="3"/>
        <v>2795850</v>
      </c>
      <c r="K26" s="24">
        <f t="shared" si="4"/>
        <v>11701150</v>
      </c>
      <c r="L26" s="27">
        <f t="shared" si="5"/>
        <v>12871265.000000002</v>
      </c>
      <c r="M26" s="28">
        <f t="shared" si="6"/>
        <v>895.01877477226913</v>
      </c>
      <c r="N26" s="29"/>
    </row>
    <row r="27" spans="1:14">
      <c r="A27" s="20"/>
      <c r="B27" s="22">
        <v>20</v>
      </c>
      <c r="C27" s="110">
        <v>45</v>
      </c>
      <c r="D27" s="113">
        <v>200</v>
      </c>
      <c r="E27" s="114">
        <v>4.3</v>
      </c>
      <c r="F27" s="25">
        <f t="shared" si="0"/>
        <v>8600</v>
      </c>
      <c r="G27" s="26">
        <f t="shared" si="1"/>
        <v>8905300</v>
      </c>
      <c r="H27" s="105">
        <v>0.91</v>
      </c>
      <c r="I27" s="25">
        <f t="shared" si="2"/>
        <v>1820</v>
      </c>
      <c r="J27" s="26">
        <f t="shared" si="3"/>
        <v>2826915</v>
      </c>
      <c r="K27" s="24">
        <f t="shared" si="4"/>
        <v>11732215</v>
      </c>
      <c r="L27" s="27">
        <f t="shared" si="5"/>
        <v>12905436.500000002</v>
      </c>
      <c r="M27" s="28">
        <f t="shared" si="6"/>
        <v>897.39493081148748</v>
      </c>
      <c r="N27" s="29"/>
    </row>
    <row r="28" spans="1:14">
      <c r="A28" s="20"/>
      <c r="B28" s="22">
        <v>21</v>
      </c>
      <c r="C28" s="111">
        <v>46</v>
      </c>
      <c r="D28" s="113">
        <v>194</v>
      </c>
      <c r="E28" s="114">
        <v>4.33</v>
      </c>
      <c r="F28" s="25">
        <f t="shared" si="0"/>
        <v>8660</v>
      </c>
      <c r="G28" s="26">
        <f t="shared" si="1"/>
        <v>8967430</v>
      </c>
      <c r="H28" s="105">
        <v>0.93</v>
      </c>
      <c r="I28" s="25">
        <f t="shared" si="2"/>
        <v>1860</v>
      </c>
      <c r="J28" s="26">
        <f t="shared" si="3"/>
        <v>2889045</v>
      </c>
      <c r="K28" s="24">
        <f t="shared" si="4"/>
        <v>11856475</v>
      </c>
      <c r="L28" s="27">
        <f t="shared" si="5"/>
        <v>13042122.500000002</v>
      </c>
      <c r="M28" s="28">
        <f t="shared" si="6"/>
        <v>906.89955496836114</v>
      </c>
      <c r="N28" s="29"/>
    </row>
    <row r="29" spans="1:14">
      <c r="A29" s="20"/>
      <c r="B29" s="22">
        <v>22</v>
      </c>
      <c r="C29" s="110">
        <v>52</v>
      </c>
      <c r="D29" s="113">
        <v>212</v>
      </c>
      <c r="E29" s="114">
        <v>4.33</v>
      </c>
      <c r="F29" s="25">
        <f t="shared" si="0"/>
        <v>8660</v>
      </c>
      <c r="G29" s="26">
        <f t="shared" si="1"/>
        <v>8967430</v>
      </c>
      <c r="H29" s="105">
        <v>0.92</v>
      </c>
      <c r="I29" s="25">
        <f t="shared" si="2"/>
        <v>1840</v>
      </c>
      <c r="J29" s="26">
        <f t="shared" si="3"/>
        <v>2857980</v>
      </c>
      <c r="K29" s="24">
        <f t="shared" si="4"/>
        <v>11825410</v>
      </c>
      <c r="L29" s="27">
        <f t="shared" si="5"/>
        <v>13007951.000000002</v>
      </c>
      <c r="M29" s="28">
        <f t="shared" si="6"/>
        <v>904.52339892914279</v>
      </c>
      <c r="N29" s="29"/>
    </row>
    <row r="30" spans="1:14">
      <c r="A30" s="20"/>
      <c r="B30" s="22">
        <v>23</v>
      </c>
      <c r="C30" s="111">
        <v>53</v>
      </c>
      <c r="D30" s="113">
        <v>200</v>
      </c>
      <c r="E30" s="114">
        <v>4.3600000000000003</v>
      </c>
      <c r="F30" s="25">
        <f t="shared" si="0"/>
        <v>8720</v>
      </c>
      <c r="G30" s="26">
        <f>F30*1035.5</f>
        <v>9029560</v>
      </c>
      <c r="H30" s="105">
        <v>0.9</v>
      </c>
      <c r="I30" s="25">
        <f t="shared" si="2"/>
        <v>1800</v>
      </c>
      <c r="J30" s="26">
        <f t="shared" si="3"/>
        <v>2795850</v>
      </c>
      <c r="K30" s="24">
        <f t="shared" si="4"/>
        <v>11825410</v>
      </c>
      <c r="L30" s="27">
        <f t="shared" si="5"/>
        <v>13007951.000000002</v>
      </c>
      <c r="M30" s="28">
        <f t="shared" si="6"/>
        <v>904.52339892914279</v>
      </c>
      <c r="N30" s="29"/>
    </row>
    <row r="31" spans="1:14">
      <c r="A31" s="20"/>
      <c r="B31" s="22">
        <v>24</v>
      </c>
      <c r="C31" s="110">
        <v>54</v>
      </c>
      <c r="D31" s="113">
        <v>216</v>
      </c>
      <c r="E31" s="114">
        <v>4.13</v>
      </c>
      <c r="F31" s="25">
        <f t="shared" si="0"/>
        <v>8260</v>
      </c>
      <c r="G31" s="26">
        <f t="shared" si="1"/>
        <v>8553230</v>
      </c>
      <c r="H31" s="105">
        <v>0.91</v>
      </c>
      <c r="I31" s="25">
        <f t="shared" si="2"/>
        <v>1820</v>
      </c>
      <c r="J31" s="26">
        <f t="shared" si="3"/>
        <v>2826915</v>
      </c>
      <c r="K31" s="24">
        <f t="shared" si="4"/>
        <v>11380145</v>
      </c>
      <c r="L31" s="27">
        <f t="shared" si="5"/>
        <v>12518159.500000002</v>
      </c>
      <c r="M31" s="28">
        <f t="shared" si="6"/>
        <v>870.46516236701211</v>
      </c>
      <c r="N31" s="29"/>
    </row>
    <row r="32" spans="1:14">
      <c r="A32" s="20"/>
      <c r="B32" s="22">
        <v>25</v>
      </c>
      <c r="C32" s="111">
        <v>57</v>
      </c>
      <c r="D32" s="113">
        <v>299</v>
      </c>
      <c r="E32" s="114">
        <v>4.16</v>
      </c>
      <c r="F32" s="25">
        <f t="shared" si="0"/>
        <v>8320</v>
      </c>
      <c r="G32" s="26">
        <f t="shared" si="1"/>
        <v>8615360</v>
      </c>
      <c r="H32" s="105">
        <v>0.85</v>
      </c>
      <c r="I32" s="25">
        <f t="shared" si="2"/>
        <v>1700</v>
      </c>
      <c r="J32" s="26">
        <f t="shared" si="3"/>
        <v>2640525</v>
      </c>
      <c r="K32" s="24">
        <f t="shared" si="4"/>
        <v>11255885</v>
      </c>
      <c r="L32" s="27">
        <f t="shared" si="5"/>
        <v>12381473.500000002</v>
      </c>
      <c r="M32" s="28">
        <f t="shared" si="6"/>
        <v>860.96053821013845</v>
      </c>
      <c r="N32" s="29"/>
    </row>
    <row r="33" spans="1:16">
      <c r="A33" s="20"/>
      <c r="B33" s="22">
        <v>26</v>
      </c>
      <c r="C33" s="110">
        <v>53</v>
      </c>
      <c r="D33" s="113">
        <v>255</v>
      </c>
      <c r="E33" s="114">
        <v>4.1399999999999997</v>
      </c>
      <c r="F33" s="25">
        <f t="shared" si="0"/>
        <v>8280</v>
      </c>
      <c r="G33" s="26">
        <f t="shared" si="1"/>
        <v>8573940</v>
      </c>
      <c r="H33" s="105">
        <v>0.89</v>
      </c>
      <c r="I33" s="25">
        <f t="shared" si="2"/>
        <v>1780</v>
      </c>
      <c r="J33" s="26">
        <f t="shared" si="3"/>
        <v>2764785</v>
      </c>
      <c r="K33" s="24">
        <f t="shared" si="4"/>
        <v>11338725</v>
      </c>
      <c r="L33" s="27">
        <f t="shared" si="5"/>
        <v>12472597.500000002</v>
      </c>
      <c r="M33" s="28">
        <f t="shared" si="6"/>
        <v>867.29695431472089</v>
      </c>
      <c r="N33" s="29"/>
    </row>
    <row r="34" spans="1:16">
      <c r="A34" s="20"/>
      <c r="B34" s="22">
        <v>27</v>
      </c>
      <c r="C34" s="110">
        <v>53</v>
      </c>
      <c r="D34" s="113">
        <v>257</v>
      </c>
      <c r="E34" s="114">
        <v>4.17</v>
      </c>
      <c r="F34" s="25">
        <f t="shared" si="0"/>
        <v>8340</v>
      </c>
      <c r="G34" s="26">
        <f t="shared" si="1"/>
        <v>8636070</v>
      </c>
      <c r="H34" s="105">
        <v>0.92</v>
      </c>
      <c r="I34" s="25">
        <f t="shared" si="2"/>
        <v>1840</v>
      </c>
      <c r="J34" s="26">
        <f t="shared" si="3"/>
        <v>2857980</v>
      </c>
      <c r="K34" s="24">
        <f t="shared" si="4"/>
        <v>11494050</v>
      </c>
      <c r="L34" s="27">
        <f t="shared" si="5"/>
        <v>12643455.000000002</v>
      </c>
      <c r="M34" s="28">
        <f t="shared" si="6"/>
        <v>879.17773451081302</v>
      </c>
      <c r="N34" s="29"/>
    </row>
    <row r="35" spans="1:16">
      <c r="A35" s="20"/>
      <c r="B35" s="22">
        <v>28</v>
      </c>
      <c r="C35" s="110">
        <v>56</v>
      </c>
      <c r="D35" s="113">
        <v>343</v>
      </c>
      <c r="E35" s="114">
        <v>4.32</v>
      </c>
      <c r="F35" s="25">
        <f t="shared" si="0"/>
        <v>8640</v>
      </c>
      <c r="G35" s="26">
        <f t="shared" si="1"/>
        <v>8946720</v>
      </c>
      <c r="H35" s="105">
        <v>0.92</v>
      </c>
      <c r="I35" s="25">
        <f t="shared" si="2"/>
        <v>1840</v>
      </c>
      <c r="J35" s="26">
        <f t="shared" si="3"/>
        <v>2857980</v>
      </c>
      <c r="K35" s="24">
        <f t="shared" si="4"/>
        <v>11804700</v>
      </c>
      <c r="L35" s="27">
        <f t="shared" si="5"/>
        <v>12985170.000000002</v>
      </c>
      <c r="M35" s="28">
        <f t="shared" si="6"/>
        <v>902.93929490299718</v>
      </c>
      <c r="N35" s="29"/>
    </row>
    <row r="36" spans="1:16">
      <c r="A36" s="20"/>
      <c r="B36" s="22">
        <v>29</v>
      </c>
      <c r="C36" s="110">
        <v>56</v>
      </c>
      <c r="D36" s="113">
        <v>289</v>
      </c>
      <c r="E36" s="114">
        <v>4.0999999999999996</v>
      </c>
      <c r="F36" s="25">
        <f t="shared" si="0"/>
        <v>8200</v>
      </c>
      <c r="G36" s="26">
        <f t="shared" si="1"/>
        <v>8491100</v>
      </c>
      <c r="H36" s="105">
        <v>0.86</v>
      </c>
      <c r="I36" s="25">
        <f t="shared" si="2"/>
        <v>1720</v>
      </c>
      <c r="J36" s="26">
        <f t="shared" si="3"/>
        <v>2671590</v>
      </c>
      <c r="K36" s="24">
        <f t="shared" si="4"/>
        <v>11162690</v>
      </c>
      <c r="L36" s="27">
        <f t="shared" si="5"/>
        <v>12278959.000000002</v>
      </c>
      <c r="M36" s="28">
        <f t="shared" si="6"/>
        <v>853.83207009248326</v>
      </c>
      <c r="N36" s="29"/>
    </row>
    <row r="37" spans="1:16">
      <c r="A37" s="20"/>
      <c r="B37" s="22">
        <v>30</v>
      </c>
      <c r="C37" s="110">
        <v>55</v>
      </c>
      <c r="D37" s="113">
        <v>252</v>
      </c>
      <c r="E37" s="114">
        <v>4.28</v>
      </c>
      <c r="F37" s="25">
        <f t="shared" ref="F37" si="7">E37*2000</f>
        <v>8560</v>
      </c>
      <c r="G37" s="26">
        <f>F37*1035.5</f>
        <v>8863880</v>
      </c>
      <c r="H37" s="105">
        <v>0.94</v>
      </c>
      <c r="I37" s="25">
        <f t="shared" ref="I37" si="8">H37*2000</f>
        <v>1880</v>
      </c>
      <c r="J37" s="26">
        <f t="shared" ref="J37" si="9">I37*1553.25</f>
        <v>2920110</v>
      </c>
      <c r="K37" s="24">
        <f t="shared" ref="K37" si="10">G37+J37</f>
        <v>11783990</v>
      </c>
      <c r="L37" s="27">
        <f t="shared" ref="L37" si="11">K37*1.1</f>
        <v>12962389.000000002</v>
      </c>
      <c r="M37" s="28">
        <f t="shared" ref="M37" si="12">L37/14381</f>
        <v>901.35519087685157</v>
      </c>
      <c r="N37" s="29"/>
    </row>
    <row r="38" spans="1:16">
      <c r="A38" s="20"/>
      <c r="B38" s="22">
        <v>31</v>
      </c>
      <c r="C38" s="110">
        <v>56</v>
      </c>
      <c r="D38" s="113">
        <v>310</v>
      </c>
      <c r="E38" s="114">
        <v>4.55</v>
      </c>
      <c r="F38" s="25">
        <f t="shared" si="0"/>
        <v>9100</v>
      </c>
      <c r="G38" s="26">
        <f>F38*1035.5</f>
        <v>9423050</v>
      </c>
      <c r="H38" s="105">
        <v>0.97</v>
      </c>
      <c r="I38" s="25">
        <f t="shared" si="2"/>
        <v>1940</v>
      </c>
      <c r="J38" s="26">
        <f t="shared" si="3"/>
        <v>3013305</v>
      </c>
      <c r="K38" s="24">
        <f t="shared" si="4"/>
        <v>12436355</v>
      </c>
      <c r="L38" s="27">
        <f t="shared" si="5"/>
        <v>13679990.500000002</v>
      </c>
      <c r="M38" s="28">
        <f t="shared" si="6"/>
        <v>951.25446770043823</v>
      </c>
      <c r="N38" s="29"/>
    </row>
    <row r="39" spans="1:16">
      <c r="C39" s="30">
        <f>SUM(C8:C38)</f>
        <v>1306</v>
      </c>
      <c r="D39" s="30">
        <f>SUM(D8:D38)</f>
        <v>5758</v>
      </c>
      <c r="F39" s="30">
        <f>SUM(F8:F38)</f>
        <v>259540</v>
      </c>
      <c r="I39" s="30">
        <f>SUM(I8:I38)</f>
        <v>54780</v>
      </c>
      <c r="L39" s="32">
        <f>SUM(L8:L38)</f>
        <v>389224775.5</v>
      </c>
      <c r="M39" s="33">
        <f>SUM(M8:M38)</f>
        <v>27065.209338710803</v>
      </c>
      <c r="N39" s="34"/>
      <c r="P39" s="35"/>
    </row>
    <row r="41" spans="1:16">
      <c r="G41" s="79" t="s">
        <v>28</v>
      </c>
      <c r="H41" s="80"/>
      <c r="I41" s="81">
        <f>F39+I39</f>
        <v>314320</v>
      </c>
      <c r="M41" s="36"/>
      <c r="P41" s="37"/>
    </row>
    <row r="42" spans="1:16">
      <c r="M42" s="38"/>
    </row>
  </sheetData>
  <mergeCells count="17"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I48" sqref="I48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19" t="s">
        <v>29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21" ht="15.95">
      <c r="B2" s="119" t="s">
        <v>16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24">
        <v>44896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6"/>
    </row>
    <row r="5" spans="1:21">
      <c r="A5" s="17"/>
      <c r="B5" s="121" t="s">
        <v>17</v>
      </c>
      <c r="C5" s="121" t="s">
        <v>18</v>
      </c>
      <c r="D5" s="121" t="s">
        <v>13</v>
      </c>
      <c r="E5" s="125" t="s">
        <v>30</v>
      </c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6" t="s">
        <v>31</v>
      </c>
      <c r="R5" s="126"/>
      <c r="S5" s="18"/>
    </row>
    <row r="6" spans="1:21" s="19" customFormat="1">
      <c r="A6" s="17"/>
      <c r="B6" s="121"/>
      <c r="C6" s="121"/>
      <c r="D6" s="121"/>
      <c r="E6" s="125" t="s">
        <v>32</v>
      </c>
      <c r="F6" s="125"/>
      <c r="G6" s="125"/>
      <c r="H6" s="125" t="s">
        <v>33</v>
      </c>
      <c r="I6" s="125"/>
      <c r="J6" s="125"/>
      <c r="K6" s="125" t="s">
        <v>34</v>
      </c>
      <c r="L6" s="125"/>
      <c r="M6" s="125"/>
      <c r="N6" s="127" t="s">
        <v>35</v>
      </c>
      <c r="O6" s="127"/>
      <c r="P6" s="127"/>
      <c r="Q6" s="126"/>
      <c r="R6" s="126"/>
      <c r="S6" s="18"/>
    </row>
    <row r="7" spans="1:21" ht="24">
      <c r="A7" s="20"/>
      <c r="B7" s="121"/>
      <c r="C7" s="121"/>
      <c r="D7" s="121"/>
      <c r="E7" s="121" t="s">
        <v>36</v>
      </c>
      <c r="F7" s="128" t="s">
        <v>37</v>
      </c>
      <c r="G7" s="43" t="s">
        <v>38</v>
      </c>
      <c r="H7" s="121" t="s">
        <v>39</v>
      </c>
      <c r="I7" s="121" t="s">
        <v>37</v>
      </c>
      <c r="J7" s="43" t="s">
        <v>38</v>
      </c>
      <c r="K7" s="121" t="s">
        <v>36</v>
      </c>
      <c r="L7" s="121" t="s">
        <v>37</v>
      </c>
      <c r="M7" s="43" t="s">
        <v>40</v>
      </c>
      <c r="N7" s="121" t="s">
        <v>41</v>
      </c>
      <c r="O7" s="121" t="s">
        <v>37</v>
      </c>
      <c r="P7" s="43" t="s">
        <v>40</v>
      </c>
      <c r="Q7" s="126"/>
      <c r="R7" s="126"/>
      <c r="S7" s="21"/>
    </row>
    <row r="8" spans="1:21">
      <c r="A8" s="20"/>
      <c r="B8" s="121"/>
      <c r="C8" s="121"/>
      <c r="D8" s="121"/>
      <c r="E8" s="121"/>
      <c r="F8" s="129"/>
      <c r="G8" s="44">
        <v>15840</v>
      </c>
      <c r="H8" s="121"/>
      <c r="I8" s="121"/>
      <c r="J8" s="44">
        <f>G8</f>
        <v>15840</v>
      </c>
      <c r="K8" s="121"/>
      <c r="L8" s="121"/>
      <c r="M8" s="44">
        <f>J8</f>
        <v>15840</v>
      </c>
      <c r="N8" s="121"/>
      <c r="O8" s="121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19</v>
      </c>
      <c r="D9" s="47">
        <f>Electricity!D8</f>
        <v>85</v>
      </c>
      <c r="E9" s="102">
        <v>13835.4</v>
      </c>
      <c r="F9" s="103">
        <v>77.739999999999995</v>
      </c>
      <c r="G9" s="49">
        <f>F9*$G$8</f>
        <v>1231401.5999999999</v>
      </c>
      <c r="H9" s="106">
        <v>1884.85</v>
      </c>
      <c r="I9" s="107">
        <v>18.649999999999999</v>
      </c>
      <c r="J9" s="49">
        <f>I9*$J$8</f>
        <v>295416</v>
      </c>
      <c r="K9" s="48"/>
      <c r="L9" s="24">
        <v>0</v>
      </c>
      <c r="M9" s="25">
        <f>L9*$M$8</f>
        <v>0</v>
      </c>
      <c r="N9" s="48"/>
      <c r="O9" s="24">
        <v>0</v>
      </c>
      <c r="P9" s="50">
        <f>O9*$P$8</f>
        <v>0</v>
      </c>
      <c r="Q9" s="51">
        <f>P9+G9+J9+M9</f>
        <v>1526817.5999999999</v>
      </c>
      <c r="R9" s="52">
        <f>Q9/14381</f>
        <v>106.16908420833043</v>
      </c>
      <c r="S9" s="21"/>
    </row>
    <row r="10" spans="1:21">
      <c r="A10" s="20"/>
      <c r="B10" s="22">
        <v>2</v>
      </c>
      <c r="C10" s="46">
        <f>Electricity!C9</f>
        <v>25</v>
      </c>
      <c r="D10" s="47">
        <f>Electricity!D9</f>
        <v>107</v>
      </c>
      <c r="E10" s="102">
        <v>13854.92</v>
      </c>
      <c r="F10" s="103">
        <v>78.63</v>
      </c>
      <c r="G10" s="49">
        <f>F10*$G$8</f>
        <v>1245499.2</v>
      </c>
      <c r="H10" s="106">
        <v>1889.55</v>
      </c>
      <c r="I10" s="107">
        <v>18.93</v>
      </c>
      <c r="J10" s="49">
        <f>I10*$J$8</f>
        <v>299851.2</v>
      </c>
      <c r="K10" s="48"/>
      <c r="L10" s="24">
        <v>0</v>
      </c>
      <c r="M10" s="25">
        <f t="shared" ref="M10:M39" si="0">L10*$M$8</f>
        <v>0</v>
      </c>
      <c r="N10" s="48"/>
      <c r="O10" s="24">
        <v>0</v>
      </c>
      <c r="P10" s="50">
        <f>O10*$P$8</f>
        <v>0</v>
      </c>
      <c r="Q10" s="51">
        <f>J10+M10+G10+P10</f>
        <v>1545350.4</v>
      </c>
      <c r="R10" s="52">
        <f t="shared" ref="R10:R39" si="1">Q10/14381</f>
        <v>107.45778457687226</v>
      </c>
      <c r="S10" s="21"/>
    </row>
    <row r="11" spans="1:21">
      <c r="A11" s="20"/>
      <c r="B11" s="22">
        <v>3</v>
      </c>
      <c r="C11" s="46">
        <f>Electricity!C10</f>
        <v>27</v>
      </c>
      <c r="D11" s="47">
        <f>Electricity!D10</f>
        <v>122</v>
      </c>
      <c r="E11" s="102">
        <v>13877.1</v>
      </c>
      <c r="F11" s="103">
        <v>89.34</v>
      </c>
      <c r="G11" s="49">
        <f t="shared" ref="G11:G39" si="2">F11*$G$8</f>
        <v>1415145.6</v>
      </c>
      <c r="H11" s="106">
        <v>1893.69</v>
      </c>
      <c r="I11" s="107">
        <v>16.68</v>
      </c>
      <c r="J11" s="49">
        <f t="shared" ref="J11:J39" si="3">I11*$J$8</f>
        <v>264211.20000000001</v>
      </c>
      <c r="K11" s="48"/>
      <c r="L11" s="24">
        <v>0</v>
      </c>
      <c r="M11" s="25">
        <f t="shared" si="0"/>
        <v>0</v>
      </c>
      <c r="N11" s="48"/>
      <c r="O11" s="24">
        <v>0</v>
      </c>
      <c r="P11" s="50">
        <f t="shared" ref="P11:P39" si="4">O11*$P$8</f>
        <v>0</v>
      </c>
      <c r="Q11" s="51">
        <f t="shared" ref="Q11:Q39" si="5">J11+M11+G11+P11</f>
        <v>1679356.8</v>
      </c>
      <c r="R11" s="52">
        <f t="shared" si="1"/>
        <v>116.77607954940547</v>
      </c>
      <c r="S11" s="21"/>
    </row>
    <row r="12" spans="1:21">
      <c r="A12" s="20"/>
      <c r="B12" s="22">
        <v>4</v>
      </c>
      <c r="C12" s="46">
        <f>Electricity!C11</f>
        <v>30</v>
      </c>
      <c r="D12" s="47">
        <f>Electricity!D11</f>
        <v>129</v>
      </c>
      <c r="E12" s="102">
        <v>13897.78</v>
      </c>
      <c r="F12" s="103">
        <v>83.3</v>
      </c>
      <c r="G12" s="49">
        <f t="shared" si="2"/>
        <v>1319472</v>
      </c>
      <c r="H12" s="106">
        <v>1898.15</v>
      </c>
      <c r="I12" s="107">
        <v>17.96</v>
      </c>
      <c r="J12" s="49">
        <f t="shared" si="3"/>
        <v>284486.40000000002</v>
      </c>
      <c r="K12" s="48"/>
      <c r="L12" s="24">
        <v>0</v>
      </c>
      <c r="M12" s="25">
        <f t="shared" si="0"/>
        <v>0</v>
      </c>
      <c r="N12" s="48"/>
      <c r="O12" s="24">
        <v>0</v>
      </c>
      <c r="P12" s="50">
        <f t="shared" si="4"/>
        <v>0</v>
      </c>
      <c r="Q12" s="51">
        <f t="shared" si="5"/>
        <v>1603958.4</v>
      </c>
      <c r="R12" s="52">
        <f t="shared" si="1"/>
        <v>111.53316181072248</v>
      </c>
      <c r="S12" s="21"/>
    </row>
    <row r="13" spans="1:21">
      <c r="A13" s="20"/>
      <c r="B13" s="22">
        <v>5</v>
      </c>
      <c r="C13" s="46">
        <f>Electricity!C12</f>
        <v>28</v>
      </c>
      <c r="D13" s="47">
        <f>Electricity!D12</f>
        <v>132</v>
      </c>
      <c r="E13" s="102">
        <v>13920.73</v>
      </c>
      <c r="F13" s="103">
        <v>92.44</v>
      </c>
      <c r="G13" s="49">
        <f t="shared" si="2"/>
        <v>1464249.5999999999</v>
      </c>
      <c r="H13" s="106">
        <v>1903.67</v>
      </c>
      <c r="I13" s="107">
        <v>22.23</v>
      </c>
      <c r="J13" s="49">
        <f t="shared" si="3"/>
        <v>352123.2</v>
      </c>
      <c r="K13" s="48"/>
      <c r="L13" s="24">
        <v>0</v>
      </c>
      <c r="M13" s="25">
        <f t="shared" si="0"/>
        <v>0</v>
      </c>
      <c r="N13" s="48"/>
      <c r="O13" s="24">
        <v>0</v>
      </c>
      <c r="P13" s="50">
        <f t="shared" si="4"/>
        <v>0</v>
      </c>
      <c r="Q13" s="51">
        <f t="shared" si="5"/>
        <v>1816372.7999999998</v>
      </c>
      <c r="R13" s="52">
        <f t="shared" si="1"/>
        <v>126.30365065016339</v>
      </c>
      <c r="S13" s="21"/>
    </row>
    <row r="14" spans="1:21">
      <c r="A14" s="20"/>
      <c r="B14" s="22">
        <v>6</v>
      </c>
      <c r="C14" s="46">
        <f>Electricity!C13</f>
        <v>31</v>
      </c>
      <c r="D14" s="47">
        <f>Electricity!D13</f>
        <v>124</v>
      </c>
      <c r="E14" s="102">
        <v>13941.81</v>
      </c>
      <c r="F14" s="103">
        <v>84.91</v>
      </c>
      <c r="G14" s="49">
        <f t="shared" si="2"/>
        <v>1344974.4</v>
      </c>
      <c r="H14" s="106">
        <v>1908.92</v>
      </c>
      <c r="I14" s="107">
        <v>21.15</v>
      </c>
      <c r="J14" s="49">
        <f t="shared" si="3"/>
        <v>335016</v>
      </c>
      <c r="K14" s="48"/>
      <c r="L14" s="24">
        <v>0</v>
      </c>
      <c r="M14" s="25">
        <f t="shared" si="0"/>
        <v>0</v>
      </c>
      <c r="N14" s="48"/>
      <c r="O14" s="24">
        <v>0</v>
      </c>
      <c r="P14" s="50">
        <f t="shared" si="4"/>
        <v>0</v>
      </c>
      <c r="Q14" s="51">
        <f t="shared" si="5"/>
        <v>1679990.4</v>
      </c>
      <c r="R14" s="52">
        <f t="shared" si="1"/>
        <v>116.8201376816633</v>
      </c>
      <c r="S14" s="21"/>
    </row>
    <row r="15" spans="1:21">
      <c r="A15" s="20"/>
      <c r="B15" s="22">
        <v>7</v>
      </c>
      <c r="C15" s="46">
        <f>Electricity!C14</f>
        <v>43</v>
      </c>
      <c r="D15" s="47">
        <f>Electricity!D14</f>
        <v>139</v>
      </c>
      <c r="E15" s="102">
        <v>13963.96</v>
      </c>
      <c r="F15" s="103">
        <v>89.22</v>
      </c>
      <c r="G15" s="49">
        <f t="shared" si="2"/>
        <v>1413244.8</v>
      </c>
      <c r="H15" s="106">
        <v>1914.14</v>
      </c>
      <c r="I15" s="107">
        <v>21.03</v>
      </c>
      <c r="J15" s="49">
        <f t="shared" si="3"/>
        <v>333115.2</v>
      </c>
      <c r="K15" s="48"/>
      <c r="L15" s="24">
        <v>0</v>
      </c>
      <c r="M15" s="25">
        <f t="shared" si="0"/>
        <v>0</v>
      </c>
      <c r="N15" s="48"/>
      <c r="O15" s="24">
        <v>0</v>
      </c>
      <c r="P15" s="50">
        <f t="shared" si="4"/>
        <v>0</v>
      </c>
      <c r="Q15" s="51">
        <f t="shared" si="5"/>
        <v>1746360</v>
      </c>
      <c r="R15" s="52">
        <f t="shared" si="1"/>
        <v>121.43522703567207</v>
      </c>
      <c r="S15" s="21"/>
    </row>
    <row r="16" spans="1:21">
      <c r="A16" s="20"/>
      <c r="B16" s="22">
        <v>8</v>
      </c>
      <c r="C16" s="46">
        <f>Electricity!C15</f>
        <v>39</v>
      </c>
      <c r="D16" s="47">
        <f>Electricity!D15</f>
        <v>138</v>
      </c>
      <c r="E16" s="102">
        <v>13986.72</v>
      </c>
      <c r="F16" s="103">
        <v>91.68</v>
      </c>
      <c r="G16" s="49">
        <f t="shared" si="2"/>
        <v>1452211.2000000002</v>
      </c>
      <c r="H16" s="106">
        <v>1919.15</v>
      </c>
      <c r="I16" s="107">
        <v>20.18</v>
      </c>
      <c r="J16" s="49">
        <f t="shared" si="3"/>
        <v>319651.20000000001</v>
      </c>
      <c r="K16" s="48"/>
      <c r="L16" s="24">
        <v>0</v>
      </c>
      <c r="M16" s="25">
        <f t="shared" si="0"/>
        <v>0</v>
      </c>
      <c r="N16" s="48"/>
      <c r="O16" s="24">
        <v>0</v>
      </c>
      <c r="P16" s="50">
        <f t="shared" si="4"/>
        <v>0</v>
      </c>
      <c r="Q16" s="51">
        <f t="shared" si="5"/>
        <v>1771862.4000000001</v>
      </c>
      <c r="R16" s="52">
        <f t="shared" si="1"/>
        <v>123.20856685905015</v>
      </c>
      <c r="S16" s="21"/>
    </row>
    <row r="17" spans="1:19">
      <c r="A17" s="20"/>
      <c r="B17" s="22">
        <v>9</v>
      </c>
      <c r="C17" s="46">
        <f>Electricity!C16</f>
        <v>34</v>
      </c>
      <c r="D17" s="47">
        <f>Electricity!D16</f>
        <v>138</v>
      </c>
      <c r="E17" s="102">
        <v>14008.48</v>
      </c>
      <c r="F17" s="103">
        <v>87.65</v>
      </c>
      <c r="G17" s="49">
        <f t="shared" si="2"/>
        <v>1388376</v>
      </c>
      <c r="H17" s="106">
        <v>1923.73</v>
      </c>
      <c r="I17" s="107">
        <v>18.45</v>
      </c>
      <c r="J17" s="49">
        <f t="shared" si="3"/>
        <v>292248</v>
      </c>
      <c r="K17" s="48"/>
      <c r="L17" s="24">
        <v>0</v>
      </c>
      <c r="M17" s="25">
        <f t="shared" si="0"/>
        <v>0</v>
      </c>
      <c r="N17" s="48"/>
      <c r="O17" s="24">
        <v>0</v>
      </c>
      <c r="P17" s="50">
        <f t="shared" si="4"/>
        <v>0</v>
      </c>
      <c r="Q17" s="51">
        <f t="shared" si="5"/>
        <v>1680624</v>
      </c>
      <c r="R17" s="52">
        <f t="shared" si="1"/>
        <v>116.86419581392114</v>
      </c>
      <c r="S17" s="21"/>
    </row>
    <row r="18" spans="1:19">
      <c r="A18" s="20"/>
      <c r="B18" s="22">
        <v>10</v>
      </c>
      <c r="C18" s="46">
        <f>Electricity!C17</f>
        <v>23</v>
      </c>
      <c r="D18" s="47">
        <f>Electricity!D17</f>
        <v>114</v>
      </c>
      <c r="E18" s="102">
        <v>14028.95</v>
      </c>
      <c r="F18" s="103">
        <v>82.45</v>
      </c>
      <c r="G18" s="49">
        <f t="shared" si="2"/>
        <v>1306008</v>
      </c>
      <c r="H18" s="106">
        <v>1927.91</v>
      </c>
      <c r="I18" s="107">
        <v>16.84</v>
      </c>
      <c r="J18" s="49">
        <f t="shared" si="3"/>
        <v>266745.59999999998</v>
      </c>
      <c r="K18" s="48"/>
      <c r="L18" s="24">
        <v>0</v>
      </c>
      <c r="M18" s="25">
        <f t="shared" si="0"/>
        <v>0</v>
      </c>
      <c r="N18" s="48"/>
      <c r="O18" s="24">
        <v>0</v>
      </c>
      <c r="P18" s="50">
        <f t="shared" si="4"/>
        <v>0</v>
      </c>
      <c r="Q18" s="51">
        <f t="shared" si="5"/>
        <v>1572753.6</v>
      </c>
      <c r="R18" s="52">
        <f t="shared" si="1"/>
        <v>109.36329879702386</v>
      </c>
      <c r="S18" s="21"/>
    </row>
    <row r="19" spans="1:19">
      <c r="A19" s="20"/>
      <c r="B19" s="22">
        <v>11</v>
      </c>
      <c r="C19" s="46">
        <f>Electricity!C18</f>
        <v>31</v>
      </c>
      <c r="D19" s="47">
        <f>Electricity!D18</f>
        <v>124</v>
      </c>
      <c r="E19" s="102">
        <v>14047.93</v>
      </c>
      <c r="F19" s="103">
        <v>76.45</v>
      </c>
      <c r="G19" s="49">
        <f t="shared" si="2"/>
        <v>1210968</v>
      </c>
      <c r="H19" s="106">
        <v>1932.28</v>
      </c>
      <c r="I19" s="107">
        <v>17.600000000000001</v>
      </c>
      <c r="J19" s="49">
        <f t="shared" si="3"/>
        <v>278784</v>
      </c>
      <c r="K19" s="48"/>
      <c r="L19" s="24">
        <v>0</v>
      </c>
      <c r="M19" s="25">
        <f t="shared" si="0"/>
        <v>0</v>
      </c>
      <c r="N19" s="48"/>
      <c r="O19" s="24">
        <v>0</v>
      </c>
      <c r="P19" s="50">
        <f t="shared" si="4"/>
        <v>0</v>
      </c>
      <c r="Q19" s="51">
        <f t="shared" si="5"/>
        <v>1489752</v>
      </c>
      <c r="R19" s="52">
        <f t="shared" si="1"/>
        <v>103.59168347124678</v>
      </c>
      <c r="S19" s="21"/>
    </row>
    <row r="20" spans="1:19">
      <c r="A20" s="20"/>
      <c r="B20" s="22">
        <v>12</v>
      </c>
      <c r="C20" s="46">
        <f>Electricity!C19</f>
        <v>37</v>
      </c>
      <c r="D20" s="47">
        <f>Electricity!D19</f>
        <v>153</v>
      </c>
      <c r="E20" s="102">
        <v>14069.46</v>
      </c>
      <c r="F20" s="103">
        <v>86.72</v>
      </c>
      <c r="G20" s="49">
        <f t="shared" si="2"/>
        <v>1373644.8</v>
      </c>
      <c r="H20" s="106">
        <v>1936.75</v>
      </c>
      <c r="I20" s="107">
        <v>18.010000000000002</v>
      </c>
      <c r="J20" s="49">
        <f t="shared" si="3"/>
        <v>285278.40000000002</v>
      </c>
      <c r="K20" s="48"/>
      <c r="L20" s="24">
        <v>0</v>
      </c>
      <c r="M20" s="25">
        <f t="shared" si="0"/>
        <v>0</v>
      </c>
      <c r="N20" s="48"/>
      <c r="O20" s="24">
        <v>0</v>
      </c>
      <c r="P20" s="50">
        <f t="shared" si="4"/>
        <v>0</v>
      </c>
      <c r="Q20" s="51">
        <f t="shared" si="5"/>
        <v>1658923.2000000002</v>
      </c>
      <c r="R20" s="52">
        <f t="shared" si="1"/>
        <v>115.35520478409013</v>
      </c>
      <c r="S20" s="21"/>
    </row>
    <row r="21" spans="1:19">
      <c r="A21" s="20"/>
      <c r="B21" s="22">
        <v>13</v>
      </c>
      <c r="C21" s="46">
        <f>Electricity!C20</f>
        <v>33</v>
      </c>
      <c r="D21" s="47">
        <f>Electricity!D20</f>
        <v>202</v>
      </c>
      <c r="E21" s="102">
        <v>14090.37</v>
      </c>
      <c r="F21" s="103">
        <v>84.23</v>
      </c>
      <c r="G21" s="49">
        <f t="shared" si="2"/>
        <v>1334203.2</v>
      </c>
      <c r="H21" s="106">
        <v>1942.3</v>
      </c>
      <c r="I21" s="107">
        <v>22.36</v>
      </c>
      <c r="J21" s="49">
        <f t="shared" si="3"/>
        <v>354182.39999999997</v>
      </c>
      <c r="K21" s="48"/>
      <c r="L21" s="24">
        <v>0</v>
      </c>
      <c r="M21" s="25">
        <f t="shared" si="0"/>
        <v>0</v>
      </c>
      <c r="N21" s="48"/>
      <c r="O21" s="24">
        <v>0</v>
      </c>
      <c r="P21" s="50">
        <f t="shared" si="4"/>
        <v>0</v>
      </c>
      <c r="Q21" s="51">
        <f t="shared" si="5"/>
        <v>1688385.5999999999</v>
      </c>
      <c r="R21" s="52">
        <f t="shared" si="1"/>
        <v>117.40390793407968</v>
      </c>
      <c r="S21" s="21"/>
    </row>
    <row r="22" spans="1:19">
      <c r="A22" s="20"/>
      <c r="B22" s="22">
        <v>14</v>
      </c>
      <c r="C22" s="46">
        <f>Electricity!C21</f>
        <v>30</v>
      </c>
      <c r="D22" s="47">
        <f>Electricity!D21</f>
        <v>102</v>
      </c>
      <c r="E22" s="102">
        <v>14110.84</v>
      </c>
      <c r="F22" s="103">
        <v>82.45</v>
      </c>
      <c r="G22" s="49">
        <f t="shared" si="2"/>
        <v>1306008</v>
      </c>
      <c r="H22" s="106">
        <v>1947.4</v>
      </c>
      <c r="I22" s="107">
        <v>20.54</v>
      </c>
      <c r="J22" s="49">
        <f t="shared" si="3"/>
        <v>325353.59999999998</v>
      </c>
      <c r="K22" s="48"/>
      <c r="L22" s="24">
        <v>0</v>
      </c>
      <c r="M22" s="25">
        <f t="shared" si="0"/>
        <v>0</v>
      </c>
      <c r="N22" s="48"/>
      <c r="O22" s="24">
        <v>0</v>
      </c>
      <c r="P22" s="50">
        <f t="shared" si="4"/>
        <v>0</v>
      </c>
      <c r="Q22" s="51">
        <f t="shared" si="5"/>
        <v>1631361.6</v>
      </c>
      <c r="R22" s="52">
        <f t="shared" si="1"/>
        <v>113.43867603087408</v>
      </c>
      <c r="S22" s="21"/>
    </row>
    <row r="23" spans="1:19">
      <c r="A23" s="20"/>
      <c r="B23" s="22">
        <v>15</v>
      </c>
      <c r="C23" s="46">
        <f>Electricity!C22</f>
        <v>40</v>
      </c>
      <c r="D23" s="47">
        <f>Electricity!D22</f>
        <v>125</v>
      </c>
      <c r="E23" s="102">
        <v>14132.8</v>
      </c>
      <c r="F23" s="103">
        <v>88.45</v>
      </c>
      <c r="G23" s="49">
        <f t="shared" si="2"/>
        <v>1401048</v>
      </c>
      <c r="H23" s="106">
        <v>1952.1</v>
      </c>
      <c r="I23" s="107">
        <v>18.93</v>
      </c>
      <c r="J23" s="49">
        <f t="shared" si="3"/>
        <v>299851.2</v>
      </c>
      <c r="K23" s="48"/>
      <c r="L23" s="24">
        <v>0</v>
      </c>
      <c r="M23" s="25">
        <f t="shared" si="0"/>
        <v>0</v>
      </c>
      <c r="N23" s="48"/>
      <c r="O23" s="24">
        <v>0</v>
      </c>
      <c r="P23" s="50">
        <f t="shared" si="4"/>
        <v>0</v>
      </c>
      <c r="Q23" s="51">
        <f t="shared" si="5"/>
        <v>1700899.2</v>
      </c>
      <c r="R23" s="52">
        <f t="shared" si="1"/>
        <v>118.27405604617203</v>
      </c>
      <c r="S23" s="21"/>
    </row>
    <row r="24" spans="1:19">
      <c r="A24" s="20"/>
      <c r="B24" s="22">
        <v>16</v>
      </c>
      <c r="C24" s="46">
        <f>Electricity!C23</f>
        <v>52</v>
      </c>
      <c r="D24" s="47">
        <f>Electricity!D23</f>
        <v>172</v>
      </c>
      <c r="E24" s="102">
        <v>14157.91</v>
      </c>
      <c r="F24" s="103">
        <v>101.14</v>
      </c>
      <c r="G24" s="49">
        <f t="shared" si="2"/>
        <v>1602057.6</v>
      </c>
      <c r="H24" s="106">
        <v>1957.15</v>
      </c>
      <c r="I24" s="107">
        <v>20.34</v>
      </c>
      <c r="J24" s="49">
        <f t="shared" si="3"/>
        <v>322185.59999999998</v>
      </c>
      <c r="K24" s="48"/>
      <c r="L24" s="24">
        <v>0</v>
      </c>
      <c r="M24" s="25">
        <f t="shared" si="0"/>
        <v>0</v>
      </c>
      <c r="N24" s="48"/>
      <c r="O24" s="24">
        <v>0</v>
      </c>
      <c r="P24" s="50">
        <f t="shared" si="4"/>
        <v>0</v>
      </c>
      <c r="Q24" s="51">
        <f t="shared" si="5"/>
        <v>1924243.2000000002</v>
      </c>
      <c r="R24" s="52">
        <f t="shared" si="1"/>
        <v>133.80454766706072</v>
      </c>
      <c r="S24" s="21"/>
    </row>
    <row r="25" spans="1:19">
      <c r="A25" s="20"/>
      <c r="B25" s="22">
        <v>17</v>
      </c>
      <c r="C25" s="46">
        <f>Electricity!C24</f>
        <v>48</v>
      </c>
      <c r="D25" s="47">
        <f>Electricity!D24</f>
        <v>165</v>
      </c>
      <c r="E25" s="102">
        <v>14183.42</v>
      </c>
      <c r="F25" s="103">
        <v>102.75</v>
      </c>
      <c r="G25" s="49">
        <f t="shared" si="2"/>
        <v>1627560</v>
      </c>
      <c r="H25" s="106">
        <v>1962.51</v>
      </c>
      <c r="I25" s="107">
        <v>21.59</v>
      </c>
      <c r="J25" s="49">
        <f t="shared" si="3"/>
        <v>341985.6</v>
      </c>
      <c r="K25" s="48"/>
      <c r="L25" s="24">
        <v>0</v>
      </c>
      <c r="M25" s="25">
        <f t="shared" si="0"/>
        <v>0</v>
      </c>
      <c r="N25" s="48"/>
      <c r="O25" s="24">
        <v>0</v>
      </c>
      <c r="P25" s="50">
        <f t="shared" si="4"/>
        <v>0</v>
      </c>
      <c r="Q25" s="51">
        <f t="shared" si="5"/>
        <v>1969545.6</v>
      </c>
      <c r="R25" s="52">
        <f t="shared" si="1"/>
        <v>136.9547041234963</v>
      </c>
      <c r="S25" s="21"/>
    </row>
    <row r="26" spans="1:19">
      <c r="A26" s="20"/>
      <c r="B26" s="22">
        <v>18</v>
      </c>
      <c r="C26" s="46">
        <f>Electricity!C25</f>
        <v>50</v>
      </c>
      <c r="D26" s="47">
        <f>Electricity!D25</f>
        <v>218</v>
      </c>
      <c r="E26" s="102">
        <v>14206.42</v>
      </c>
      <c r="F26" s="103">
        <v>92.64</v>
      </c>
      <c r="G26" s="49">
        <f t="shared" si="2"/>
        <v>1467417.6000000001</v>
      </c>
      <c r="H26" s="106">
        <v>1967.07</v>
      </c>
      <c r="I26" s="107">
        <v>18.37</v>
      </c>
      <c r="J26" s="49">
        <f t="shared" si="3"/>
        <v>290980.8</v>
      </c>
      <c r="K26" s="48"/>
      <c r="L26" s="24">
        <v>0</v>
      </c>
      <c r="M26" s="25">
        <f t="shared" si="0"/>
        <v>0</v>
      </c>
      <c r="N26" s="48"/>
      <c r="O26" s="24">
        <v>0</v>
      </c>
      <c r="P26" s="50">
        <f t="shared" si="4"/>
        <v>0</v>
      </c>
      <c r="Q26" s="51">
        <f t="shared" si="5"/>
        <v>1758398.4000000001</v>
      </c>
      <c r="R26" s="52">
        <f t="shared" si="1"/>
        <v>122.27233154857105</v>
      </c>
      <c r="S26" s="21"/>
    </row>
    <row r="27" spans="1:19">
      <c r="A27" s="20"/>
      <c r="B27" s="22">
        <v>19</v>
      </c>
      <c r="C27" s="46">
        <f>Electricity!C26</f>
        <v>50</v>
      </c>
      <c r="D27" s="47">
        <f>Electricity!D26</f>
        <v>242</v>
      </c>
      <c r="E27" s="102">
        <v>14228.39</v>
      </c>
      <c r="F27" s="103">
        <v>88.5</v>
      </c>
      <c r="G27" s="49">
        <f t="shared" si="2"/>
        <v>1401840</v>
      </c>
      <c r="H27" s="106">
        <v>1972.07</v>
      </c>
      <c r="I27" s="107">
        <v>20.14</v>
      </c>
      <c r="J27" s="49">
        <f t="shared" si="3"/>
        <v>319017.60000000003</v>
      </c>
      <c r="K27" s="48"/>
      <c r="L27" s="24">
        <v>0</v>
      </c>
      <c r="M27" s="25">
        <f t="shared" si="0"/>
        <v>0</v>
      </c>
      <c r="N27" s="48"/>
      <c r="O27" s="24">
        <v>0</v>
      </c>
      <c r="P27" s="50">
        <f t="shared" si="4"/>
        <v>0</v>
      </c>
      <c r="Q27" s="51">
        <f t="shared" si="5"/>
        <v>1720857.6000000001</v>
      </c>
      <c r="R27" s="52">
        <f t="shared" si="1"/>
        <v>119.661887212294</v>
      </c>
      <c r="S27" s="21"/>
    </row>
    <row r="28" spans="1:19">
      <c r="A28" s="20"/>
      <c r="B28" s="22">
        <v>20</v>
      </c>
      <c r="C28" s="46">
        <f>Electricity!C27</f>
        <v>45</v>
      </c>
      <c r="D28" s="47">
        <f>Electricity!D27</f>
        <v>200</v>
      </c>
      <c r="E28" s="102">
        <v>14251.58</v>
      </c>
      <c r="F28" s="103">
        <v>93.41</v>
      </c>
      <c r="G28" s="49">
        <f t="shared" si="2"/>
        <v>1479614.4</v>
      </c>
      <c r="H28" s="106">
        <v>1977.17</v>
      </c>
      <c r="I28" s="107">
        <v>20.54</v>
      </c>
      <c r="J28" s="49">
        <f t="shared" si="3"/>
        <v>325353.59999999998</v>
      </c>
      <c r="K28" s="48"/>
      <c r="L28" s="24">
        <v>0</v>
      </c>
      <c r="M28" s="25">
        <f t="shared" si="0"/>
        <v>0</v>
      </c>
      <c r="N28" s="48"/>
      <c r="O28" s="24">
        <v>0</v>
      </c>
      <c r="P28" s="50">
        <f t="shared" si="4"/>
        <v>0</v>
      </c>
      <c r="Q28" s="51">
        <f t="shared" si="5"/>
        <v>1804968</v>
      </c>
      <c r="R28" s="52">
        <f t="shared" si="1"/>
        <v>125.51060426952229</v>
      </c>
      <c r="S28" s="21"/>
    </row>
    <row r="29" spans="1:19">
      <c r="A29" s="20"/>
      <c r="B29" s="22">
        <v>21</v>
      </c>
      <c r="C29" s="46">
        <f>Electricity!C28</f>
        <v>46</v>
      </c>
      <c r="D29" s="47">
        <f>Electricity!D28</f>
        <v>194</v>
      </c>
      <c r="E29" s="102">
        <v>14273.27</v>
      </c>
      <c r="F29" s="103">
        <v>87.37</v>
      </c>
      <c r="G29" s="49">
        <f t="shared" si="2"/>
        <v>1383940.8</v>
      </c>
      <c r="H29" s="106">
        <v>1982.3</v>
      </c>
      <c r="I29" s="107">
        <v>20.66</v>
      </c>
      <c r="J29" s="49">
        <f t="shared" si="3"/>
        <v>327254.40000000002</v>
      </c>
      <c r="K29" s="48"/>
      <c r="L29" s="24"/>
      <c r="M29" s="25">
        <f t="shared" si="0"/>
        <v>0</v>
      </c>
      <c r="N29" s="48"/>
      <c r="O29" s="24">
        <v>0</v>
      </c>
      <c r="P29" s="50">
        <f t="shared" si="4"/>
        <v>0</v>
      </c>
      <c r="Q29" s="51">
        <f t="shared" si="5"/>
        <v>1711195.2000000002</v>
      </c>
      <c r="R29" s="52">
        <f t="shared" si="1"/>
        <v>118.99000069536194</v>
      </c>
      <c r="S29" s="21"/>
    </row>
    <row r="30" spans="1:19">
      <c r="A30" s="20"/>
      <c r="B30" s="22">
        <v>22</v>
      </c>
      <c r="C30" s="46">
        <f>Electricity!C29</f>
        <v>52</v>
      </c>
      <c r="D30" s="47">
        <f>Electricity!D29</f>
        <v>212</v>
      </c>
      <c r="E30" s="102">
        <v>14300.59</v>
      </c>
      <c r="F30" s="103">
        <v>110.04</v>
      </c>
      <c r="G30" s="49">
        <f t="shared" si="2"/>
        <v>1743033.6</v>
      </c>
      <c r="H30" s="106">
        <v>1987.21</v>
      </c>
      <c r="I30" s="107">
        <v>19.78</v>
      </c>
      <c r="J30" s="49">
        <f t="shared" si="3"/>
        <v>313315.20000000001</v>
      </c>
      <c r="K30" s="48"/>
      <c r="L30" s="24">
        <v>0</v>
      </c>
      <c r="M30" s="25">
        <f t="shared" si="0"/>
        <v>0</v>
      </c>
      <c r="N30" s="48"/>
      <c r="O30" s="24">
        <v>0</v>
      </c>
      <c r="P30" s="50">
        <f t="shared" si="4"/>
        <v>0</v>
      </c>
      <c r="Q30" s="51">
        <f t="shared" si="5"/>
        <v>2056348.8</v>
      </c>
      <c r="R30" s="52">
        <f t="shared" si="1"/>
        <v>142.99066824282039</v>
      </c>
      <c r="S30" s="21"/>
    </row>
    <row r="31" spans="1:19">
      <c r="A31" s="20"/>
      <c r="B31" s="22">
        <v>23</v>
      </c>
      <c r="C31" s="46">
        <f>Electricity!C30</f>
        <v>53</v>
      </c>
      <c r="D31" s="47">
        <f>Electricity!D30</f>
        <v>200</v>
      </c>
      <c r="E31" s="102">
        <v>14324.63</v>
      </c>
      <c r="F31" s="103">
        <v>96.83</v>
      </c>
      <c r="G31" s="49">
        <f t="shared" si="2"/>
        <v>1533787.2</v>
      </c>
      <c r="H31" s="106">
        <v>1991.62</v>
      </c>
      <c r="I31" s="107">
        <v>17.760000000000002</v>
      </c>
      <c r="J31" s="49">
        <f t="shared" si="3"/>
        <v>281318.40000000002</v>
      </c>
      <c r="K31" s="48"/>
      <c r="L31" s="24">
        <v>0</v>
      </c>
      <c r="M31" s="25">
        <f t="shared" si="0"/>
        <v>0</v>
      </c>
      <c r="N31" s="48"/>
      <c r="O31" s="24">
        <v>0</v>
      </c>
      <c r="P31" s="50">
        <f t="shared" si="4"/>
        <v>0</v>
      </c>
      <c r="Q31" s="51">
        <f t="shared" si="5"/>
        <v>1815105.6</v>
      </c>
      <c r="R31" s="52">
        <f t="shared" si="1"/>
        <v>126.21553438564774</v>
      </c>
      <c r="S31" s="21"/>
    </row>
    <row r="32" spans="1:19">
      <c r="A32" s="20"/>
      <c r="B32" s="22">
        <v>24</v>
      </c>
      <c r="C32" s="46">
        <f>Electricity!C31</f>
        <v>54</v>
      </c>
      <c r="D32" s="47">
        <f>Electricity!D31</f>
        <v>216</v>
      </c>
      <c r="E32" s="102">
        <v>14348.58</v>
      </c>
      <c r="F32" s="103">
        <v>96.47</v>
      </c>
      <c r="G32" s="49">
        <f t="shared" si="2"/>
        <v>1528084.8</v>
      </c>
      <c r="H32" s="106">
        <v>1996.38</v>
      </c>
      <c r="I32" s="107">
        <v>19.170000000000002</v>
      </c>
      <c r="J32" s="49">
        <f t="shared" si="3"/>
        <v>303652.80000000005</v>
      </c>
      <c r="K32" s="48"/>
      <c r="L32" s="24">
        <v>0</v>
      </c>
      <c r="M32" s="25">
        <f t="shared" si="0"/>
        <v>0</v>
      </c>
      <c r="N32" s="48"/>
      <c r="O32" s="24">
        <v>0</v>
      </c>
      <c r="P32" s="50">
        <f t="shared" si="4"/>
        <v>0</v>
      </c>
      <c r="Q32" s="51">
        <f t="shared" si="5"/>
        <v>1831737.6</v>
      </c>
      <c r="R32" s="52">
        <f t="shared" si="1"/>
        <v>127.37206035741605</v>
      </c>
      <c r="S32" s="21"/>
    </row>
    <row r="33" spans="1:21">
      <c r="A33" s="20"/>
      <c r="B33" s="22">
        <v>25</v>
      </c>
      <c r="C33" s="46">
        <f>Electricity!C32</f>
        <v>57</v>
      </c>
      <c r="D33" s="47">
        <f>Electricity!D32</f>
        <v>299</v>
      </c>
      <c r="E33" s="102">
        <v>14372.94</v>
      </c>
      <c r="F33" s="103">
        <v>98.12</v>
      </c>
      <c r="G33" s="49">
        <f t="shared" si="2"/>
        <v>1554220.8</v>
      </c>
      <c r="H33" s="106">
        <v>2002.45</v>
      </c>
      <c r="I33" s="107">
        <v>24.45</v>
      </c>
      <c r="J33" s="49">
        <f t="shared" si="3"/>
        <v>387288</v>
      </c>
      <c r="K33" s="48"/>
      <c r="L33" s="24">
        <v>0</v>
      </c>
      <c r="M33" s="25">
        <f t="shared" si="0"/>
        <v>0</v>
      </c>
      <c r="N33" s="48"/>
      <c r="O33" s="24">
        <v>0</v>
      </c>
      <c r="P33" s="50">
        <f t="shared" si="4"/>
        <v>0</v>
      </c>
      <c r="Q33" s="51">
        <f t="shared" si="5"/>
        <v>1941508.8</v>
      </c>
      <c r="R33" s="52">
        <f t="shared" si="1"/>
        <v>135.00513177108687</v>
      </c>
      <c r="S33" s="21"/>
    </row>
    <row r="34" spans="1:21">
      <c r="A34" s="20"/>
      <c r="B34" s="22">
        <v>26</v>
      </c>
      <c r="C34" s="46">
        <f>Electricity!C33</f>
        <v>53</v>
      </c>
      <c r="D34" s="47">
        <f>Electricity!D33</f>
        <v>255</v>
      </c>
      <c r="E34" s="102">
        <v>14399.5</v>
      </c>
      <c r="F34" s="103">
        <v>106.98</v>
      </c>
      <c r="G34" s="49">
        <f t="shared" si="2"/>
        <v>1694563.2</v>
      </c>
      <c r="H34" s="106">
        <v>2007.78</v>
      </c>
      <c r="I34" s="107">
        <v>21.47</v>
      </c>
      <c r="J34" s="49">
        <f t="shared" si="3"/>
        <v>340084.8</v>
      </c>
      <c r="K34" s="48"/>
      <c r="L34" s="24">
        <v>0</v>
      </c>
      <c r="M34" s="25">
        <f t="shared" si="0"/>
        <v>0</v>
      </c>
      <c r="N34" s="48"/>
      <c r="O34" s="24">
        <v>0</v>
      </c>
      <c r="P34" s="50">
        <f t="shared" si="4"/>
        <v>0</v>
      </c>
      <c r="Q34" s="51">
        <f t="shared" si="5"/>
        <v>2034648</v>
      </c>
      <c r="R34" s="52">
        <f t="shared" si="1"/>
        <v>141.48167721298935</v>
      </c>
      <c r="S34" s="21"/>
    </row>
    <row r="35" spans="1:21">
      <c r="A35" s="20"/>
      <c r="B35" s="22">
        <v>27</v>
      </c>
      <c r="C35" s="46">
        <f>Electricity!C34</f>
        <v>53</v>
      </c>
      <c r="D35" s="47">
        <f>Electricity!D34</f>
        <v>257</v>
      </c>
      <c r="E35" s="102">
        <v>14423.64</v>
      </c>
      <c r="F35" s="103">
        <v>97.24</v>
      </c>
      <c r="G35" s="49">
        <f t="shared" si="2"/>
        <v>1540281.5999999999</v>
      </c>
      <c r="H35" s="106">
        <v>2013.88</v>
      </c>
      <c r="I35" s="107">
        <v>24.57</v>
      </c>
      <c r="J35" s="49">
        <f t="shared" si="3"/>
        <v>389188.8</v>
      </c>
      <c r="K35" s="48"/>
      <c r="L35" s="24">
        <v>0</v>
      </c>
      <c r="M35" s="25">
        <f t="shared" si="0"/>
        <v>0</v>
      </c>
      <c r="N35" s="48"/>
      <c r="O35" s="24">
        <v>0</v>
      </c>
      <c r="P35" s="50">
        <f t="shared" si="4"/>
        <v>0</v>
      </c>
      <c r="Q35" s="51">
        <f t="shared" si="5"/>
        <v>1929470.4</v>
      </c>
      <c r="R35" s="52">
        <f t="shared" si="1"/>
        <v>134.16802725818789</v>
      </c>
      <c r="S35" s="21"/>
    </row>
    <row r="36" spans="1:21">
      <c r="A36" s="20"/>
      <c r="B36" s="22">
        <v>28</v>
      </c>
      <c r="C36" s="46">
        <f>Electricity!C35</f>
        <v>56</v>
      </c>
      <c r="D36" s="47">
        <f>Electricity!D35</f>
        <v>343</v>
      </c>
      <c r="E36" s="102">
        <v>14448.96</v>
      </c>
      <c r="F36" s="103">
        <v>101.99</v>
      </c>
      <c r="G36" s="49">
        <f t="shared" si="2"/>
        <v>1615521.5999999999</v>
      </c>
      <c r="H36" s="106">
        <v>2019.17</v>
      </c>
      <c r="I36" s="107">
        <v>21.31</v>
      </c>
      <c r="J36" s="49">
        <f t="shared" si="3"/>
        <v>337550.39999999997</v>
      </c>
      <c r="K36" s="48"/>
      <c r="L36" s="24">
        <v>0</v>
      </c>
      <c r="M36" s="25">
        <f t="shared" si="0"/>
        <v>0</v>
      </c>
      <c r="N36" s="48"/>
      <c r="O36" s="24">
        <v>0</v>
      </c>
      <c r="P36" s="50">
        <f t="shared" si="4"/>
        <v>0</v>
      </c>
      <c r="Q36" s="51">
        <f t="shared" si="5"/>
        <v>1953071.9999999998</v>
      </c>
      <c r="R36" s="52">
        <f t="shared" si="1"/>
        <v>135.80919268479241</v>
      </c>
      <c r="S36" s="21"/>
    </row>
    <row r="37" spans="1:21">
      <c r="A37" s="20"/>
      <c r="B37" s="22">
        <v>29</v>
      </c>
      <c r="C37" s="46">
        <f>Electricity!C36</f>
        <v>56</v>
      </c>
      <c r="D37" s="47">
        <f>Electricity!D36</f>
        <v>289</v>
      </c>
      <c r="E37" s="102">
        <v>14475.04</v>
      </c>
      <c r="F37" s="103">
        <v>105.05</v>
      </c>
      <c r="G37" s="49">
        <f t="shared" si="2"/>
        <v>1663992</v>
      </c>
      <c r="H37" s="106">
        <v>2024.4</v>
      </c>
      <c r="I37" s="107">
        <v>21.07</v>
      </c>
      <c r="J37" s="49">
        <f t="shared" si="3"/>
        <v>333748.8</v>
      </c>
      <c r="K37" s="48"/>
      <c r="L37" s="24">
        <v>0</v>
      </c>
      <c r="M37" s="25">
        <f t="shared" si="0"/>
        <v>0</v>
      </c>
      <c r="N37" s="48"/>
      <c r="O37" s="24">
        <v>0</v>
      </c>
      <c r="P37" s="50">
        <f t="shared" si="4"/>
        <v>0</v>
      </c>
      <c r="Q37" s="51">
        <f t="shared" si="5"/>
        <v>1997740.8</v>
      </c>
      <c r="R37" s="52">
        <f t="shared" si="1"/>
        <v>138.91529100897017</v>
      </c>
      <c r="S37" s="21"/>
    </row>
    <row r="38" spans="1:21">
      <c r="A38" s="20"/>
      <c r="B38" s="22">
        <v>30</v>
      </c>
      <c r="C38" s="46">
        <f>Electricity!C37</f>
        <v>55</v>
      </c>
      <c r="D38" s="47">
        <f>Electricity!D37</f>
        <v>252</v>
      </c>
      <c r="E38" s="102">
        <v>14501.42</v>
      </c>
      <c r="F38" s="103">
        <v>106.26</v>
      </c>
      <c r="G38" s="49">
        <f t="shared" ref="G38" si="6">F38*$G$8</f>
        <v>1683158.4000000001</v>
      </c>
      <c r="H38" s="106">
        <v>2028.94</v>
      </c>
      <c r="I38" s="107">
        <v>18.29</v>
      </c>
      <c r="J38" s="49">
        <f t="shared" ref="J38" si="7">I38*$J$8</f>
        <v>289713.59999999998</v>
      </c>
      <c r="K38" s="48"/>
      <c r="L38" s="24">
        <v>0</v>
      </c>
      <c r="M38" s="25">
        <f t="shared" ref="M38" si="8">L38*$M$8</f>
        <v>0</v>
      </c>
      <c r="N38" s="48"/>
      <c r="O38" s="24">
        <v>0</v>
      </c>
      <c r="P38" s="50">
        <f t="shared" ref="P38" si="9">O38*$P$8</f>
        <v>0</v>
      </c>
      <c r="Q38" s="51">
        <f t="shared" ref="Q38" si="10">J38+M38+G38+P38</f>
        <v>1972872</v>
      </c>
      <c r="R38" s="52">
        <f t="shared" ref="R38" si="11">Q38/14381</f>
        <v>137.18600931784994</v>
      </c>
      <c r="S38" s="21"/>
    </row>
    <row r="39" spans="1:21">
      <c r="A39" s="20"/>
      <c r="B39" s="22">
        <v>31</v>
      </c>
      <c r="C39" s="46">
        <f>Electricity!C38</f>
        <v>56</v>
      </c>
      <c r="D39" s="47">
        <f>Electricity!D38</f>
        <v>310</v>
      </c>
      <c r="E39" s="102">
        <v>14523.71</v>
      </c>
      <c r="F39" s="103">
        <v>89.78</v>
      </c>
      <c r="G39" s="49">
        <f t="shared" si="2"/>
        <v>1422115.2</v>
      </c>
      <c r="H39" s="106">
        <v>2033.57</v>
      </c>
      <c r="I39" s="107">
        <v>18.649999999999999</v>
      </c>
      <c r="J39" s="49">
        <f t="shared" si="3"/>
        <v>295416</v>
      </c>
      <c r="K39" s="48"/>
      <c r="L39" s="24">
        <v>0</v>
      </c>
      <c r="M39" s="25">
        <f t="shared" si="0"/>
        <v>0</v>
      </c>
      <c r="N39" s="48"/>
      <c r="O39" s="24">
        <v>0</v>
      </c>
      <c r="P39" s="50">
        <f t="shared" si="4"/>
        <v>0</v>
      </c>
      <c r="Q39" s="51">
        <f t="shared" si="5"/>
        <v>1717531.2</v>
      </c>
      <c r="R39" s="52">
        <f t="shared" si="1"/>
        <v>119.43058201794034</v>
      </c>
      <c r="S39" s="21"/>
    </row>
    <row r="40" spans="1:21">
      <c r="C40" s="53">
        <f>SUM(C9:C39)</f>
        <v>1306</v>
      </c>
      <c r="D40" s="53">
        <f>SUM(D9:D39)</f>
        <v>5758</v>
      </c>
      <c r="E40" s="30"/>
      <c r="F40" s="30">
        <f>SUM(F9:F39)</f>
        <v>2850.23</v>
      </c>
      <c r="G40" s="40"/>
      <c r="H40" s="40"/>
      <c r="I40" s="30">
        <f>SUM(I9:I39)</f>
        <v>617.70000000000005</v>
      </c>
      <c r="J40" s="40"/>
      <c r="K40" s="40"/>
      <c r="L40" s="30">
        <f>SUM(L9:L39)</f>
        <v>0</v>
      </c>
      <c r="M40" s="40"/>
      <c r="N40" s="39"/>
      <c r="O40" s="30">
        <f>SUM(O9:O39)</f>
        <v>0</v>
      </c>
      <c r="P40" s="40"/>
      <c r="Q40"/>
      <c r="R40" s="85">
        <f>SUM(R9:R39)</f>
        <v>3819.7629650232948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43</v>
      </c>
      <c r="O41" s="63">
        <f>F40+I40+L40+O40</f>
        <v>3467.9300000000003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11" workbookViewId="0">
      <selection activeCell="E9" sqref="E9:E39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4" bestFit="1" customWidth="1"/>
    <col min="7" max="7" width="14" style="74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19" t="s">
        <v>44</v>
      </c>
      <c r="C1" s="119"/>
      <c r="D1" s="119"/>
      <c r="E1" s="119"/>
      <c r="F1" s="119"/>
      <c r="G1" s="119"/>
      <c r="H1" s="119"/>
    </row>
    <row r="2" spans="1:9" ht="15.95">
      <c r="B2" s="119" t="s">
        <v>16</v>
      </c>
      <c r="C2" s="119"/>
      <c r="D2" s="119"/>
      <c r="E2" s="119"/>
      <c r="F2" s="119"/>
      <c r="G2" s="119"/>
      <c r="H2" s="119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24">
        <v>44896</v>
      </c>
      <c r="C4" s="124"/>
      <c r="D4" s="124"/>
      <c r="E4" s="124"/>
      <c r="F4" s="124"/>
      <c r="G4" s="124"/>
      <c r="H4" s="124"/>
      <c r="I4" s="16"/>
    </row>
    <row r="5" spans="1:9">
      <c r="A5" s="66"/>
      <c r="B5" s="121" t="s">
        <v>45</v>
      </c>
      <c r="C5" s="121" t="s">
        <v>18</v>
      </c>
      <c r="D5" s="121" t="s">
        <v>13</v>
      </c>
      <c r="E5" s="121" t="s">
        <v>46</v>
      </c>
      <c r="F5" s="121"/>
      <c r="G5" s="121"/>
      <c r="H5" s="121" t="s">
        <v>23</v>
      </c>
      <c r="I5" s="18"/>
    </row>
    <row r="6" spans="1:9">
      <c r="A6" s="66"/>
      <c r="B6" s="121"/>
      <c r="C6" s="121"/>
      <c r="D6" s="121"/>
      <c r="E6" s="121"/>
      <c r="F6" s="121"/>
      <c r="G6" s="121"/>
      <c r="H6" s="121"/>
      <c r="I6" s="18"/>
    </row>
    <row r="7" spans="1:9" s="19" customFormat="1" ht="24">
      <c r="A7" s="66"/>
      <c r="B7" s="121"/>
      <c r="C7" s="121"/>
      <c r="D7" s="121"/>
      <c r="E7" s="43" t="s">
        <v>36</v>
      </c>
      <c r="F7" s="130" t="s">
        <v>47</v>
      </c>
      <c r="G7" s="67" t="s">
        <v>40</v>
      </c>
      <c r="H7" s="121"/>
      <c r="I7" s="18"/>
    </row>
    <row r="8" spans="1:9" s="19" customFormat="1">
      <c r="A8" s="66"/>
      <c r="B8" s="121"/>
      <c r="C8" s="121"/>
      <c r="D8" s="121"/>
      <c r="E8" s="86">
        <v>5534</v>
      </c>
      <c r="F8" s="130"/>
      <c r="G8" s="67">
        <v>24300</v>
      </c>
      <c r="H8" s="121"/>
      <c r="I8" s="18"/>
    </row>
    <row r="9" spans="1:9">
      <c r="A9" s="68"/>
      <c r="B9" s="22">
        <v>1</v>
      </c>
      <c r="C9" s="23">
        <f>Gas!C9</f>
        <v>19</v>
      </c>
      <c r="D9" s="23">
        <f>Gas!D9</f>
        <v>85</v>
      </c>
      <c r="E9" s="101">
        <v>5534</v>
      </c>
      <c r="F9" s="69">
        <f>E9-E8</f>
        <v>0</v>
      </c>
      <c r="G9" s="69">
        <f t="shared" ref="G9:G39" si="0">F9*$G$8</f>
        <v>0</v>
      </c>
      <c r="H9" s="77">
        <f>G9/14381</f>
        <v>0</v>
      </c>
      <c r="I9" s="21"/>
    </row>
    <row r="10" spans="1:9">
      <c r="A10" s="68"/>
      <c r="B10" s="22">
        <v>2</v>
      </c>
      <c r="C10" s="23">
        <f>Gas!C10</f>
        <v>25</v>
      </c>
      <c r="D10" s="23">
        <f>Gas!D10</f>
        <v>107</v>
      </c>
      <c r="E10" s="101">
        <v>5534</v>
      </c>
      <c r="F10" s="70">
        <f t="shared" ref="F10:F37" si="1">E10-E9</f>
        <v>0</v>
      </c>
      <c r="G10" s="69">
        <f>F10*$G$8</f>
        <v>0</v>
      </c>
      <c r="H10" s="77">
        <f t="shared" ref="H10:H39" si="2">G10/14381</f>
        <v>0</v>
      </c>
      <c r="I10" s="21"/>
    </row>
    <row r="11" spans="1:9">
      <c r="A11" s="68"/>
      <c r="B11" s="22">
        <v>3</v>
      </c>
      <c r="C11" s="23">
        <f>Gas!C11</f>
        <v>27</v>
      </c>
      <c r="D11" s="23">
        <f>Gas!D11</f>
        <v>122</v>
      </c>
      <c r="E11" s="101">
        <v>5534</v>
      </c>
      <c r="F11" s="70">
        <f t="shared" si="1"/>
        <v>0</v>
      </c>
      <c r="G11" s="69">
        <f t="shared" si="0"/>
        <v>0</v>
      </c>
      <c r="H11" s="77">
        <f t="shared" si="2"/>
        <v>0</v>
      </c>
      <c r="I11" s="21"/>
    </row>
    <row r="12" spans="1:9">
      <c r="A12" s="68"/>
      <c r="B12" s="22">
        <v>4</v>
      </c>
      <c r="C12" s="23">
        <f>Gas!C12</f>
        <v>30</v>
      </c>
      <c r="D12" s="23">
        <f>Gas!D12</f>
        <v>129</v>
      </c>
      <c r="E12" s="101">
        <v>5587</v>
      </c>
      <c r="F12" s="70">
        <f t="shared" si="1"/>
        <v>53</v>
      </c>
      <c r="G12" s="69">
        <f t="shared" si="0"/>
        <v>1287900</v>
      </c>
      <c r="H12" s="77">
        <f t="shared" si="2"/>
        <v>89.555663722967807</v>
      </c>
      <c r="I12" s="21"/>
    </row>
    <row r="13" spans="1:9">
      <c r="A13" s="68"/>
      <c r="B13" s="22">
        <v>5</v>
      </c>
      <c r="C13" s="23">
        <f>Gas!C13</f>
        <v>28</v>
      </c>
      <c r="D13" s="23">
        <f>Gas!D13</f>
        <v>132</v>
      </c>
      <c r="E13" s="101">
        <v>5587</v>
      </c>
      <c r="F13" s="70">
        <f t="shared" si="1"/>
        <v>0</v>
      </c>
      <c r="G13" s="69">
        <f t="shared" si="0"/>
        <v>0</v>
      </c>
      <c r="H13" s="77">
        <f t="shared" si="2"/>
        <v>0</v>
      </c>
      <c r="I13" s="21"/>
    </row>
    <row r="14" spans="1:9">
      <c r="A14" s="68"/>
      <c r="B14" s="22">
        <v>6</v>
      </c>
      <c r="C14" s="23">
        <f>Gas!C14</f>
        <v>31</v>
      </c>
      <c r="D14" s="23">
        <f>Gas!D14</f>
        <v>124</v>
      </c>
      <c r="E14" s="101">
        <v>5587</v>
      </c>
      <c r="F14" s="70">
        <f t="shared" si="1"/>
        <v>0</v>
      </c>
      <c r="G14" s="69">
        <f t="shared" si="0"/>
        <v>0</v>
      </c>
      <c r="H14" s="77">
        <f t="shared" si="2"/>
        <v>0</v>
      </c>
      <c r="I14" s="21"/>
    </row>
    <row r="15" spans="1:9">
      <c r="A15" s="68"/>
      <c r="B15" s="22">
        <v>7</v>
      </c>
      <c r="C15" s="23">
        <f>Gas!C15</f>
        <v>43</v>
      </c>
      <c r="D15" s="23">
        <f>Gas!D15</f>
        <v>139</v>
      </c>
      <c r="E15" s="101">
        <v>5587</v>
      </c>
      <c r="F15" s="70">
        <f t="shared" si="1"/>
        <v>0</v>
      </c>
      <c r="G15" s="69">
        <f t="shared" si="0"/>
        <v>0</v>
      </c>
      <c r="H15" s="77">
        <f t="shared" si="2"/>
        <v>0</v>
      </c>
      <c r="I15" s="21"/>
    </row>
    <row r="16" spans="1:9">
      <c r="A16" s="68"/>
      <c r="B16" s="22">
        <v>8</v>
      </c>
      <c r="C16" s="23">
        <f>Gas!C16</f>
        <v>39</v>
      </c>
      <c r="D16" s="23">
        <f>Gas!D16</f>
        <v>138</v>
      </c>
      <c r="E16" s="101">
        <v>5587</v>
      </c>
      <c r="F16" s="70">
        <f t="shared" si="1"/>
        <v>0</v>
      </c>
      <c r="G16" s="69">
        <f t="shared" si="0"/>
        <v>0</v>
      </c>
      <c r="H16" s="77">
        <f t="shared" si="2"/>
        <v>0</v>
      </c>
      <c r="I16" s="21"/>
    </row>
    <row r="17" spans="1:9">
      <c r="A17" s="68"/>
      <c r="B17" s="22">
        <v>9</v>
      </c>
      <c r="C17" s="23">
        <f>Gas!C17</f>
        <v>34</v>
      </c>
      <c r="D17" s="23">
        <f>Gas!D17</f>
        <v>138</v>
      </c>
      <c r="E17" s="101">
        <v>5587</v>
      </c>
      <c r="F17" s="70">
        <f t="shared" si="1"/>
        <v>0</v>
      </c>
      <c r="G17" s="69">
        <f t="shared" si="0"/>
        <v>0</v>
      </c>
      <c r="H17" s="77">
        <f t="shared" si="2"/>
        <v>0</v>
      </c>
      <c r="I17" s="21"/>
    </row>
    <row r="18" spans="1:9">
      <c r="A18" s="68"/>
      <c r="B18" s="22">
        <v>10</v>
      </c>
      <c r="C18" s="23">
        <f>Gas!C18</f>
        <v>23</v>
      </c>
      <c r="D18" s="23">
        <f>Gas!D18</f>
        <v>114</v>
      </c>
      <c r="E18" s="101">
        <v>5587</v>
      </c>
      <c r="F18" s="70">
        <f t="shared" si="1"/>
        <v>0</v>
      </c>
      <c r="G18" s="69">
        <f t="shared" si="0"/>
        <v>0</v>
      </c>
      <c r="H18" s="77">
        <f t="shared" si="2"/>
        <v>0</v>
      </c>
      <c r="I18" s="21"/>
    </row>
    <row r="19" spans="1:9">
      <c r="A19" s="68"/>
      <c r="B19" s="22">
        <v>11</v>
      </c>
      <c r="C19" s="23">
        <f>Gas!C19</f>
        <v>31</v>
      </c>
      <c r="D19" s="23">
        <f>Gas!D19</f>
        <v>124</v>
      </c>
      <c r="E19" s="101">
        <v>5587</v>
      </c>
      <c r="F19" s="70">
        <f t="shared" si="1"/>
        <v>0</v>
      </c>
      <c r="G19" s="69">
        <f t="shared" si="0"/>
        <v>0</v>
      </c>
      <c r="H19" s="77">
        <f t="shared" si="2"/>
        <v>0</v>
      </c>
      <c r="I19" s="21"/>
    </row>
    <row r="20" spans="1:9">
      <c r="A20" s="68"/>
      <c r="B20" s="22">
        <v>12</v>
      </c>
      <c r="C20" s="23">
        <f>Gas!C20</f>
        <v>37</v>
      </c>
      <c r="D20" s="23">
        <f>Gas!D20</f>
        <v>153</v>
      </c>
      <c r="E20" s="101">
        <v>5587</v>
      </c>
      <c r="F20" s="70">
        <f t="shared" si="1"/>
        <v>0</v>
      </c>
      <c r="G20" s="69">
        <f t="shared" si="0"/>
        <v>0</v>
      </c>
      <c r="H20" s="77">
        <f t="shared" si="2"/>
        <v>0</v>
      </c>
      <c r="I20" s="21"/>
    </row>
    <row r="21" spans="1:9">
      <c r="A21" s="68"/>
      <c r="B21" s="22">
        <v>13</v>
      </c>
      <c r="C21" s="23">
        <f>Gas!C21</f>
        <v>33</v>
      </c>
      <c r="D21" s="23">
        <f>Gas!D21</f>
        <v>202</v>
      </c>
      <c r="E21" s="101">
        <v>5587</v>
      </c>
      <c r="F21" s="70">
        <f t="shared" si="1"/>
        <v>0</v>
      </c>
      <c r="G21" s="69">
        <f t="shared" si="0"/>
        <v>0</v>
      </c>
      <c r="H21" s="77">
        <f t="shared" si="2"/>
        <v>0</v>
      </c>
      <c r="I21" s="21"/>
    </row>
    <row r="22" spans="1:9">
      <c r="A22" s="68"/>
      <c r="B22" s="22">
        <v>14</v>
      </c>
      <c r="C22" s="23">
        <f>Gas!C22</f>
        <v>30</v>
      </c>
      <c r="D22" s="23">
        <f>Gas!D22</f>
        <v>102</v>
      </c>
      <c r="E22" s="101">
        <v>5602</v>
      </c>
      <c r="F22" s="70">
        <f t="shared" si="1"/>
        <v>15</v>
      </c>
      <c r="G22" s="69">
        <f t="shared" si="0"/>
        <v>364500</v>
      </c>
      <c r="H22" s="77">
        <f t="shared" si="2"/>
        <v>25.345942563104096</v>
      </c>
      <c r="I22" s="21"/>
    </row>
    <row r="23" spans="1:9">
      <c r="A23" s="68"/>
      <c r="B23" s="22">
        <v>15</v>
      </c>
      <c r="C23" s="23">
        <f>Gas!C23</f>
        <v>40</v>
      </c>
      <c r="D23" s="23">
        <f>Gas!D23</f>
        <v>125</v>
      </c>
      <c r="E23" s="101">
        <v>5602</v>
      </c>
      <c r="F23" s="70">
        <f t="shared" si="1"/>
        <v>0</v>
      </c>
      <c r="G23" s="69">
        <f t="shared" si="0"/>
        <v>0</v>
      </c>
      <c r="H23" s="77">
        <f t="shared" si="2"/>
        <v>0</v>
      </c>
      <c r="I23" s="21"/>
    </row>
    <row r="24" spans="1:9">
      <c r="A24" s="68"/>
      <c r="B24" s="22">
        <v>16</v>
      </c>
      <c r="C24" s="23">
        <f>Gas!C24</f>
        <v>52</v>
      </c>
      <c r="D24" s="23">
        <f>Gas!D24</f>
        <v>172</v>
      </c>
      <c r="E24" s="101">
        <v>5602</v>
      </c>
      <c r="F24" s="70">
        <f t="shared" si="1"/>
        <v>0</v>
      </c>
      <c r="G24" s="69">
        <f t="shared" si="0"/>
        <v>0</v>
      </c>
      <c r="H24" s="77">
        <f t="shared" si="2"/>
        <v>0</v>
      </c>
      <c r="I24" s="21"/>
    </row>
    <row r="25" spans="1:9">
      <c r="A25" s="68"/>
      <c r="B25" s="22">
        <v>17</v>
      </c>
      <c r="C25" s="23">
        <f>Gas!C25</f>
        <v>48</v>
      </c>
      <c r="D25" s="23">
        <f>Gas!D25</f>
        <v>165</v>
      </c>
      <c r="E25" s="101">
        <v>5602</v>
      </c>
      <c r="F25" s="70">
        <f t="shared" si="1"/>
        <v>0</v>
      </c>
      <c r="G25" s="69">
        <f t="shared" si="0"/>
        <v>0</v>
      </c>
      <c r="H25" s="77">
        <f t="shared" si="2"/>
        <v>0</v>
      </c>
      <c r="I25" s="21"/>
    </row>
    <row r="26" spans="1:9">
      <c r="A26" s="68"/>
      <c r="B26" s="22">
        <v>18</v>
      </c>
      <c r="C26" s="23">
        <f>Gas!C26</f>
        <v>50</v>
      </c>
      <c r="D26" s="23">
        <f>Gas!D26</f>
        <v>218</v>
      </c>
      <c r="E26" s="101">
        <v>5602</v>
      </c>
      <c r="F26" s="70">
        <f t="shared" si="1"/>
        <v>0</v>
      </c>
      <c r="G26" s="69">
        <f t="shared" si="0"/>
        <v>0</v>
      </c>
      <c r="H26" s="77">
        <f t="shared" si="2"/>
        <v>0</v>
      </c>
      <c r="I26" s="21"/>
    </row>
    <row r="27" spans="1:9">
      <c r="A27" s="68"/>
      <c r="B27" s="22">
        <v>19</v>
      </c>
      <c r="C27" s="23">
        <f>Gas!C27</f>
        <v>50</v>
      </c>
      <c r="D27" s="23">
        <f>Gas!D27</f>
        <v>242</v>
      </c>
      <c r="E27" s="101">
        <v>5602</v>
      </c>
      <c r="F27" s="70">
        <f t="shared" si="1"/>
        <v>0</v>
      </c>
      <c r="G27" s="69">
        <f>F27*$G$8</f>
        <v>0</v>
      </c>
      <c r="H27" s="77">
        <f t="shared" si="2"/>
        <v>0</v>
      </c>
      <c r="I27" s="21"/>
    </row>
    <row r="28" spans="1:9">
      <c r="A28" s="68"/>
      <c r="B28" s="22">
        <v>20</v>
      </c>
      <c r="C28" s="23">
        <f>Gas!C28</f>
        <v>45</v>
      </c>
      <c r="D28" s="23">
        <f>Gas!D28</f>
        <v>200</v>
      </c>
      <c r="E28" s="101">
        <v>5602</v>
      </c>
      <c r="F28" s="70">
        <f t="shared" si="1"/>
        <v>0</v>
      </c>
      <c r="G28" s="69">
        <f t="shared" si="0"/>
        <v>0</v>
      </c>
      <c r="H28" s="77">
        <f t="shared" si="2"/>
        <v>0</v>
      </c>
      <c r="I28" s="21"/>
    </row>
    <row r="29" spans="1:9">
      <c r="A29" s="68"/>
      <c r="B29" s="22">
        <v>21</v>
      </c>
      <c r="C29" s="23">
        <f>Gas!C29</f>
        <v>46</v>
      </c>
      <c r="D29" s="23">
        <f>Gas!D29</f>
        <v>194</v>
      </c>
      <c r="E29" s="101">
        <v>5602</v>
      </c>
      <c r="F29" s="70">
        <f t="shared" si="1"/>
        <v>0</v>
      </c>
      <c r="G29" s="69">
        <f t="shared" si="0"/>
        <v>0</v>
      </c>
      <c r="H29" s="77">
        <f t="shared" si="2"/>
        <v>0</v>
      </c>
      <c r="I29" s="21"/>
    </row>
    <row r="30" spans="1:9">
      <c r="A30" s="68"/>
      <c r="B30" s="22">
        <v>22</v>
      </c>
      <c r="C30" s="23">
        <f>Gas!C30</f>
        <v>52</v>
      </c>
      <c r="D30" s="23">
        <f>Gas!D30</f>
        <v>212</v>
      </c>
      <c r="E30" s="101">
        <v>5692</v>
      </c>
      <c r="F30" s="70">
        <f t="shared" si="1"/>
        <v>90</v>
      </c>
      <c r="G30" s="69">
        <f t="shared" si="0"/>
        <v>2187000</v>
      </c>
      <c r="H30" s="77">
        <f t="shared" si="2"/>
        <v>152.07565537862456</v>
      </c>
      <c r="I30" s="21"/>
    </row>
    <row r="31" spans="1:9">
      <c r="A31" s="68"/>
      <c r="B31" s="22">
        <v>23</v>
      </c>
      <c r="C31" s="23">
        <f>Gas!C31</f>
        <v>53</v>
      </c>
      <c r="D31" s="23">
        <f>Gas!D31</f>
        <v>200</v>
      </c>
      <c r="E31" s="101">
        <v>5692</v>
      </c>
      <c r="F31" s="70">
        <f t="shared" si="1"/>
        <v>0</v>
      </c>
      <c r="G31" s="69">
        <f t="shared" si="0"/>
        <v>0</v>
      </c>
      <c r="H31" s="77">
        <f t="shared" si="2"/>
        <v>0</v>
      </c>
      <c r="I31" s="21"/>
    </row>
    <row r="32" spans="1:9">
      <c r="A32" s="68"/>
      <c r="B32" s="22">
        <v>24</v>
      </c>
      <c r="C32" s="23">
        <f>Gas!C32</f>
        <v>54</v>
      </c>
      <c r="D32" s="23">
        <f>Gas!D32</f>
        <v>216</v>
      </c>
      <c r="E32" s="101">
        <v>5692</v>
      </c>
      <c r="F32" s="70">
        <f t="shared" si="1"/>
        <v>0</v>
      </c>
      <c r="G32" s="69"/>
      <c r="H32" s="77">
        <f t="shared" si="2"/>
        <v>0</v>
      </c>
      <c r="I32" s="21"/>
    </row>
    <row r="33" spans="1:11">
      <c r="A33" s="68"/>
      <c r="B33" s="22">
        <v>25</v>
      </c>
      <c r="C33" s="23">
        <f>Gas!C33</f>
        <v>57</v>
      </c>
      <c r="D33" s="23">
        <f>Gas!D33</f>
        <v>299</v>
      </c>
      <c r="E33" s="101">
        <v>5692</v>
      </c>
      <c r="F33" s="70">
        <f t="shared" si="1"/>
        <v>0</v>
      </c>
      <c r="G33" s="69">
        <f t="shared" si="0"/>
        <v>0</v>
      </c>
      <c r="H33" s="77">
        <f t="shared" si="2"/>
        <v>0</v>
      </c>
      <c r="I33" s="21"/>
    </row>
    <row r="34" spans="1:11">
      <c r="A34" s="68"/>
      <c r="B34" s="22">
        <v>26</v>
      </c>
      <c r="C34" s="23">
        <f>Gas!C34</f>
        <v>53</v>
      </c>
      <c r="D34" s="23">
        <f>Gas!D34</f>
        <v>255</v>
      </c>
      <c r="E34" s="101">
        <v>5692</v>
      </c>
      <c r="F34" s="70">
        <f t="shared" si="1"/>
        <v>0</v>
      </c>
      <c r="G34" s="69">
        <f t="shared" si="0"/>
        <v>0</v>
      </c>
      <c r="H34" s="77">
        <f t="shared" si="2"/>
        <v>0</v>
      </c>
      <c r="I34" s="21"/>
    </row>
    <row r="35" spans="1:11">
      <c r="A35" s="68"/>
      <c r="B35" s="22">
        <v>27</v>
      </c>
      <c r="C35" s="23">
        <f>Gas!C35</f>
        <v>53</v>
      </c>
      <c r="D35" s="23">
        <f>Gas!D35</f>
        <v>257</v>
      </c>
      <c r="E35" s="101">
        <v>5692</v>
      </c>
      <c r="F35" s="70">
        <f t="shared" si="1"/>
        <v>0</v>
      </c>
      <c r="G35" s="69">
        <f t="shared" si="0"/>
        <v>0</v>
      </c>
      <c r="H35" s="77">
        <f t="shared" si="2"/>
        <v>0</v>
      </c>
      <c r="I35" s="21"/>
    </row>
    <row r="36" spans="1:11">
      <c r="A36" s="68"/>
      <c r="B36" s="22">
        <v>28</v>
      </c>
      <c r="C36" s="23">
        <f>Gas!C36</f>
        <v>56</v>
      </c>
      <c r="D36" s="23">
        <f>Gas!D36</f>
        <v>343</v>
      </c>
      <c r="E36" s="101">
        <v>5703</v>
      </c>
      <c r="F36" s="70">
        <f t="shared" si="1"/>
        <v>11</v>
      </c>
      <c r="G36" s="69">
        <f t="shared" si="0"/>
        <v>267300</v>
      </c>
      <c r="H36" s="77">
        <f t="shared" si="2"/>
        <v>18.587024546276336</v>
      </c>
      <c r="I36" s="21"/>
    </row>
    <row r="37" spans="1:11">
      <c r="A37" s="68"/>
      <c r="B37" s="22">
        <v>29</v>
      </c>
      <c r="C37" s="23">
        <f>Gas!C37</f>
        <v>56</v>
      </c>
      <c r="D37" s="23">
        <f>Gas!D37</f>
        <v>289</v>
      </c>
      <c r="E37" s="101">
        <v>5703</v>
      </c>
      <c r="F37" s="70">
        <f t="shared" si="1"/>
        <v>0</v>
      </c>
      <c r="G37" s="69">
        <f t="shared" si="0"/>
        <v>0</v>
      </c>
      <c r="H37" s="77">
        <f t="shared" si="2"/>
        <v>0</v>
      </c>
      <c r="I37" s="21"/>
    </row>
    <row r="38" spans="1:11">
      <c r="A38" s="68"/>
      <c r="B38" s="22">
        <v>30</v>
      </c>
      <c r="C38" s="23">
        <f>Gas!C38</f>
        <v>55</v>
      </c>
      <c r="D38" s="23">
        <f>Gas!D38</f>
        <v>252</v>
      </c>
      <c r="E38" s="101">
        <v>5703</v>
      </c>
      <c r="F38" s="70">
        <f>E38-E36</f>
        <v>0</v>
      </c>
      <c r="G38" s="69">
        <f t="shared" ref="G38" si="3">F38*$G$8</f>
        <v>0</v>
      </c>
      <c r="H38" s="77">
        <f t="shared" ref="H38" si="4">G38/14381</f>
        <v>0</v>
      </c>
      <c r="I38" s="21"/>
    </row>
    <row r="39" spans="1:11">
      <c r="A39" s="68"/>
      <c r="B39" s="22">
        <v>31</v>
      </c>
      <c r="C39" s="23">
        <f>Gas!C39</f>
        <v>56</v>
      </c>
      <c r="D39" s="23">
        <f>Gas!D39</f>
        <v>310</v>
      </c>
      <c r="E39" s="101">
        <v>5703</v>
      </c>
      <c r="F39" s="70">
        <f>E39-E37</f>
        <v>0</v>
      </c>
      <c r="G39" s="69">
        <f t="shared" si="0"/>
        <v>0</v>
      </c>
      <c r="H39" s="77">
        <f t="shared" si="2"/>
        <v>0</v>
      </c>
      <c r="I39" s="21"/>
    </row>
    <row r="40" spans="1:11">
      <c r="C40" s="30">
        <f>SUM(C9:C39)</f>
        <v>1306</v>
      </c>
      <c r="D40" s="30">
        <f>SUM(D9:D39)</f>
        <v>5758</v>
      </c>
      <c r="E40" s="30"/>
      <c r="F40" s="30">
        <f>SUM(F9:F39)</f>
        <v>169</v>
      </c>
      <c r="G40" s="30"/>
      <c r="H40" s="71">
        <f>SUM(H9:H39)</f>
        <v>285.5642862109728</v>
      </c>
      <c r="K40" s="35"/>
    </row>
    <row r="41" spans="1:11">
      <c r="E41" s="30"/>
      <c r="F41" s="72"/>
      <c r="G41" s="72"/>
      <c r="H41" s="41"/>
    </row>
    <row r="42" spans="1:11">
      <c r="E42" s="59"/>
      <c r="F42" s="73"/>
      <c r="G42" s="73"/>
    </row>
    <row r="43" spans="1:11">
      <c r="E43" s="59"/>
      <c r="F43" s="73"/>
      <c r="G43" s="73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46"/>
  <sheetViews>
    <sheetView topLeftCell="C21" workbookViewId="0">
      <selection activeCell="F31" sqref="F31:F39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5" width="6.42578125" style="19" customWidth="1"/>
    <col min="6" max="6" width="9.42578125" style="31" customWidth="1"/>
    <col min="7" max="7" width="16.42578125" style="31" customWidth="1"/>
    <col min="8" max="8" width="10.28515625" style="31" customWidth="1"/>
    <col min="9" max="9" width="16.7109375" style="31" customWidth="1"/>
    <col min="10" max="10" width="10.28515625" style="31" customWidth="1"/>
    <col min="11" max="11" width="16.7109375" style="31" customWidth="1"/>
    <col min="12" max="12" width="16.28515625" style="31" customWidth="1"/>
    <col min="13" max="13" width="19.7109375" customWidth="1"/>
    <col min="14" max="14" width="34" customWidth="1"/>
    <col min="16" max="16" width="20.42578125" customWidth="1"/>
  </cols>
  <sheetData>
    <row r="2" spans="1:14" ht="15.95">
      <c r="B2" s="119" t="s">
        <v>48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3" spans="1:14" ht="15.95">
      <c r="B3" s="119" t="s">
        <v>16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4" ht="8.25" customHeight="1">
      <c r="B4" s="13"/>
      <c r="C4" s="14"/>
      <c r="D4" s="15"/>
      <c r="E4" s="15"/>
      <c r="F4" s="14"/>
      <c r="G4" s="14"/>
      <c r="H4" s="14"/>
      <c r="I4" s="14"/>
      <c r="J4" s="14"/>
      <c r="K4" s="14"/>
      <c r="L4" s="14"/>
    </row>
    <row r="5" spans="1:14">
      <c r="A5" s="16"/>
      <c r="B5" s="120">
        <v>44896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6"/>
    </row>
    <row r="6" spans="1:14">
      <c r="A6" s="17"/>
      <c r="B6" s="121">
        <v>3</v>
      </c>
      <c r="C6" s="121" t="s">
        <v>49</v>
      </c>
      <c r="D6" s="121" t="s">
        <v>13</v>
      </c>
      <c r="E6" s="43"/>
      <c r="F6" s="125" t="s">
        <v>50</v>
      </c>
      <c r="G6" s="125"/>
      <c r="H6" s="127" t="s">
        <v>51</v>
      </c>
      <c r="I6" s="127"/>
      <c r="J6" s="127"/>
      <c r="K6" s="127"/>
      <c r="L6" s="121" t="s">
        <v>52</v>
      </c>
      <c r="M6" s="121" t="s">
        <v>53</v>
      </c>
      <c r="N6" s="18"/>
    </row>
    <row r="7" spans="1:14" s="19" customFormat="1">
      <c r="A7" s="17"/>
      <c r="B7" s="121"/>
      <c r="C7" s="121"/>
      <c r="D7" s="121"/>
      <c r="E7" s="43"/>
      <c r="F7" s="121" t="s">
        <v>54</v>
      </c>
      <c r="G7" s="121" t="s">
        <v>55</v>
      </c>
      <c r="H7" s="121" t="s">
        <v>54</v>
      </c>
      <c r="I7" s="121" t="s">
        <v>56</v>
      </c>
      <c r="J7" s="121" t="s">
        <v>54</v>
      </c>
      <c r="K7" s="121" t="s">
        <v>57</v>
      </c>
      <c r="L7" s="121"/>
      <c r="M7" s="121"/>
      <c r="N7" s="18"/>
    </row>
    <row r="8" spans="1:14">
      <c r="A8" s="20"/>
      <c r="B8" s="121"/>
      <c r="C8" s="121"/>
      <c r="D8" s="121"/>
      <c r="E8" s="43"/>
      <c r="F8" s="121"/>
      <c r="G8" s="121"/>
      <c r="H8" s="121"/>
      <c r="I8" s="121"/>
      <c r="J8" s="121"/>
      <c r="K8" s="121"/>
      <c r="L8" s="121"/>
      <c r="M8" s="121"/>
      <c r="N8" s="21"/>
    </row>
    <row r="9" spans="1:14">
      <c r="A9" s="20"/>
      <c r="B9" s="22">
        <v>1</v>
      </c>
      <c r="C9" s="23">
        <f>'Fuel Diesel'!C9</f>
        <v>19</v>
      </c>
      <c r="D9" s="23">
        <f>'Fuel Diesel'!D9</f>
        <v>85</v>
      </c>
      <c r="E9" s="23">
        <f>F9+H9+J9</f>
        <v>187</v>
      </c>
      <c r="F9" s="103">
        <v>0</v>
      </c>
      <c r="G9" s="26">
        <f>F9*13582</f>
        <v>0</v>
      </c>
      <c r="H9" s="108">
        <v>60</v>
      </c>
      <c r="I9" s="26">
        <f>H9*4000</f>
        <v>240000</v>
      </c>
      <c r="J9" s="108">
        <v>127</v>
      </c>
      <c r="K9" s="26">
        <f>J9*4000</f>
        <v>508000</v>
      </c>
      <c r="L9" s="24">
        <f t="shared" ref="L9:L39" si="0">G9+I9+K9</f>
        <v>748000</v>
      </c>
      <c r="M9" s="75">
        <f>L9/14381</f>
        <v>52.013072804394689</v>
      </c>
      <c r="N9" s="21"/>
    </row>
    <row r="10" spans="1:14">
      <c r="A10" s="20"/>
      <c r="B10" s="22">
        <v>2</v>
      </c>
      <c r="C10" s="23">
        <f>'Fuel Diesel'!C10</f>
        <v>25</v>
      </c>
      <c r="D10" s="23">
        <f>'Fuel Diesel'!D10</f>
        <v>107</v>
      </c>
      <c r="E10" s="23">
        <f>F10+H10+J10</f>
        <v>210</v>
      </c>
      <c r="F10" s="103">
        <v>0</v>
      </c>
      <c r="G10" s="26">
        <f>F10*13582</f>
        <v>0</v>
      </c>
      <c r="H10" s="108">
        <v>77</v>
      </c>
      <c r="I10" s="26">
        <f>H10*4000</f>
        <v>308000</v>
      </c>
      <c r="J10" s="108">
        <v>133</v>
      </c>
      <c r="K10" s="26">
        <f>J10*4000</f>
        <v>532000</v>
      </c>
      <c r="L10" s="24">
        <f t="shared" si="0"/>
        <v>840000</v>
      </c>
      <c r="M10" s="75">
        <f t="shared" ref="M10:M39" si="1">L10/14381</f>
        <v>58.41040261456088</v>
      </c>
      <c r="N10" s="21"/>
    </row>
    <row r="11" spans="1:14">
      <c r="A11" s="20"/>
      <c r="B11" s="22">
        <v>3</v>
      </c>
      <c r="C11" s="23">
        <f>'Fuel Diesel'!C11</f>
        <v>27</v>
      </c>
      <c r="D11" s="23">
        <f>'Fuel Diesel'!D11</f>
        <v>122</v>
      </c>
      <c r="E11" s="23">
        <f t="shared" ref="E11:E39" si="2">F11+H11+J11</f>
        <v>205</v>
      </c>
      <c r="F11" s="103">
        <v>0</v>
      </c>
      <c r="G11" s="26">
        <f t="shared" ref="G11:G39" si="3">F11*13582</f>
        <v>0</v>
      </c>
      <c r="H11" s="108">
        <v>72</v>
      </c>
      <c r="I11" s="26">
        <f t="shared" ref="I11:I39" si="4">H11*4000</f>
        <v>288000</v>
      </c>
      <c r="J11" s="108">
        <v>133</v>
      </c>
      <c r="K11" s="26">
        <f t="shared" ref="K11:K39" si="5">J11*4000</f>
        <v>532000</v>
      </c>
      <c r="L11" s="24">
        <f t="shared" si="0"/>
        <v>820000</v>
      </c>
      <c r="M11" s="75">
        <f t="shared" si="1"/>
        <v>57.019678742785622</v>
      </c>
      <c r="N11" s="21"/>
    </row>
    <row r="12" spans="1:14">
      <c r="A12" s="20"/>
      <c r="B12" s="22">
        <v>4</v>
      </c>
      <c r="C12" s="23">
        <f>'Fuel Diesel'!C12</f>
        <v>30</v>
      </c>
      <c r="D12" s="23">
        <f>'Fuel Diesel'!D12</f>
        <v>129</v>
      </c>
      <c r="E12" s="23">
        <f t="shared" si="2"/>
        <v>193</v>
      </c>
      <c r="F12" s="103">
        <v>0</v>
      </c>
      <c r="G12" s="26">
        <f t="shared" si="3"/>
        <v>0</v>
      </c>
      <c r="H12" s="108">
        <v>66</v>
      </c>
      <c r="I12" s="26">
        <f t="shared" si="4"/>
        <v>264000</v>
      </c>
      <c r="J12" s="108">
        <v>127</v>
      </c>
      <c r="K12" s="26">
        <f t="shared" si="5"/>
        <v>508000</v>
      </c>
      <c r="L12" s="24">
        <f t="shared" si="0"/>
        <v>772000</v>
      </c>
      <c r="M12" s="75">
        <f t="shared" si="1"/>
        <v>53.681941450524995</v>
      </c>
      <c r="N12" s="21"/>
    </row>
    <row r="13" spans="1:14">
      <c r="A13" s="20"/>
      <c r="B13" s="22">
        <v>5</v>
      </c>
      <c r="C13" s="23">
        <f>'Fuel Diesel'!C13</f>
        <v>28</v>
      </c>
      <c r="D13" s="23">
        <f>'Fuel Diesel'!D13</f>
        <v>132</v>
      </c>
      <c r="E13" s="23">
        <f t="shared" si="2"/>
        <v>189</v>
      </c>
      <c r="F13" s="103">
        <v>0</v>
      </c>
      <c r="G13" s="26">
        <f t="shared" si="3"/>
        <v>0</v>
      </c>
      <c r="H13" s="108">
        <v>66</v>
      </c>
      <c r="I13" s="26">
        <f t="shared" si="4"/>
        <v>264000</v>
      </c>
      <c r="J13" s="108">
        <v>123</v>
      </c>
      <c r="K13" s="26">
        <f t="shared" si="5"/>
        <v>492000</v>
      </c>
      <c r="L13" s="24">
        <f t="shared" si="0"/>
        <v>756000</v>
      </c>
      <c r="M13" s="75">
        <f t="shared" si="1"/>
        <v>52.569362353104793</v>
      </c>
      <c r="N13" s="21"/>
    </row>
    <row r="14" spans="1:14">
      <c r="A14" s="20"/>
      <c r="B14" s="22">
        <v>6</v>
      </c>
      <c r="C14" s="23">
        <f>'Fuel Diesel'!C14</f>
        <v>31</v>
      </c>
      <c r="D14" s="23">
        <f>'Fuel Diesel'!D14</f>
        <v>124</v>
      </c>
      <c r="E14" s="23">
        <f t="shared" si="2"/>
        <v>191</v>
      </c>
      <c r="F14" s="103">
        <v>0</v>
      </c>
      <c r="G14" s="26">
        <f t="shared" si="3"/>
        <v>0</v>
      </c>
      <c r="H14" s="108">
        <v>67</v>
      </c>
      <c r="I14" s="26">
        <f t="shared" si="4"/>
        <v>268000</v>
      </c>
      <c r="J14" s="108">
        <v>124</v>
      </c>
      <c r="K14" s="26">
        <f t="shared" si="5"/>
        <v>496000</v>
      </c>
      <c r="L14" s="24">
        <f t="shared" si="0"/>
        <v>764000</v>
      </c>
      <c r="M14" s="75">
        <f t="shared" si="1"/>
        <v>53.125651901814898</v>
      </c>
      <c r="N14" s="21"/>
    </row>
    <row r="15" spans="1:14">
      <c r="A15" s="20"/>
      <c r="B15" s="22">
        <v>7</v>
      </c>
      <c r="C15" s="23">
        <f>'Fuel Diesel'!C15</f>
        <v>43</v>
      </c>
      <c r="D15" s="23">
        <f>'Fuel Diesel'!D15</f>
        <v>139</v>
      </c>
      <c r="E15" s="23">
        <f t="shared" si="2"/>
        <v>196</v>
      </c>
      <c r="F15" s="103">
        <v>0</v>
      </c>
      <c r="G15" s="26">
        <f t="shared" si="3"/>
        <v>0</v>
      </c>
      <c r="H15" s="108">
        <v>62</v>
      </c>
      <c r="I15" s="26">
        <f t="shared" si="4"/>
        <v>248000</v>
      </c>
      <c r="J15" s="108">
        <v>134</v>
      </c>
      <c r="K15" s="26">
        <f t="shared" si="5"/>
        <v>536000</v>
      </c>
      <c r="L15" s="24">
        <f t="shared" si="0"/>
        <v>784000</v>
      </c>
      <c r="M15" s="75">
        <f t="shared" si="1"/>
        <v>54.516375773590156</v>
      </c>
      <c r="N15" s="21"/>
    </row>
    <row r="16" spans="1:14">
      <c r="A16" s="20"/>
      <c r="B16" s="22">
        <v>8</v>
      </c>
      <c r="C16" s="23">
        <f>'Fuel Diesel'!C16</f>
        <v>39</v>
      </c>
      <c r="D16" s="23">
        <f>'Fuel Diesel'!D16</f>
        <v>138</v>
      </c>
      <c r="E16" s="23">
        <f t="shared" si="2"/>
        <v>222</v>
      </c>
      <c r="F16" s="103">
        <v>0</v>
      </c>
      <c r="G16" s="26">
        <f t="shared" si="3"/>
        <v>0</v>
      </c>
      <c r="H16" s="108">
        <v>82</v>
      </c>
      <c r="I16" s="26">
        <f t="shared" si="4"/>
        <v>328000</v>
      </c>
      <c r="J16" s="108">
        <v>140</v>
      </c>
      <c r="K16" s="26">
        <f t="shared" si="5"/>
        <v>560000</v>
      </c>
      <c r="L16" s="24">
        <f t="shared" si="0"/>
        <v>888000</v>
      </c>
      <c r="M16" s="75">
        <f t="shared" si="1"/>
        <v>61.7481399068215</v>
      </c>
      <c r="N16" s="21"/>
    </row>
    <row r="17" spans="1:14">
      <c r="A17" s="20"/>
      <c r="B17" s="22">
        <v>9</v>
      </c>
      <c r="C17" s="23">
        <f>'Fuel Diesel'!C17</f>
        <v>34</v>
      </c>
      <c r="D17" s="23">
        <f>'Fuel Diesel'!D17</f>
        <v>138</v>
      </c>
      <c r="E17" s="23">
        <f t="shared" si="2"/>
        <v>215</v>
      </c>
      <c r="F17" s="103">
        <v>0</v>
      </c>
      <c r="G17" s="26">
        <f t="shared" si="3"/>
        <v>0</v>
      </c>
      <c r="H17" s="108">
        <v>75</v>
      </c>
      <c r="I17" s="26">
        <f t="shared" si="4"/>
        <v>300000</v>
      </c>
      <c r="J17" s="108">
        <v>140</v>
      </c>
      <c r="K17" s="26">
        <f t="shared" si="5"/>
        <v>560000</v>
      </c>
      <c r="L17" s="24">
        <f t="shared" si="0"/>
        <v>860000</v>
      </c>
      <c r="M17" s="75">
        <f t="shared" si="1"/>
        <v>59.801126486336138</v>
      </c>
      <c r="N17" s="21"/>
    </row>
    <row r="18" spans="1:14">
      <c r="A18" s="20"/>
      <c r="B18" s="22">
        <v>10</v>
      </c>
      <c r="C18" s="23">
        <f>'Fuel Diesel'!C18</f>
        <v>23</v>
      </c>
      <c r="D18" s="23">
        <f>'Fuel Diesel'!D18</f>
        <v>114</v>
      </c>
      <c r="E18" s="23">
        <f t="shared" si="2"/>
        <v>218</v>
      </c>
      <c r="F18" s="103">
        <v>0</v>
      </c>
      <c r="G18" s="26">
        <f t="shared" si="3"/>
        <v>0</v>
      </c>
      <c r="H18" s="108">
        <v>76</v>
      </c>
      <c r="I18" s="26">
        <f t="shared" si="4"/>
        <v>304000</v>
      </c>
      <c r="J18" s="108">
        <v>142</v>
      </c>
      <c r="K18" s="26">
        <f t="shared" si="5"/>
        <v>568000</v>
      </c>
      <c r="L18" s="24">
        <f t="shared" si="0"/>
        <v>872000</v>
      </c>
      <c r="M18" s="75">
        <f t="shared" si="1"/>
        <v>60.635560809401291</v>
      </c>
      <c r="N18" s="21"/>
    </row>
    <row r="19" spans="1:14">
      <c r="A19" s="20"/>
      <c r="B19" s="22">
        <v>11</v>
      </c>
      <c r="C19" s="23">
        <f>'Fuel Diesel'!C19</f>
        <v>31</v>
      </c>
      <c r="D19" s="23">
        <f>'Fuel Diesel'!D19</f>
        <v>124</v>
      </c>
      <c r="E19" s="23">
        <f t="shared" si="2"/>
        <v>233</v>
      </c>
      <c r="F19" s="103">
        <v>0</v>
      </c>
      <c r="G19" s="26">
        <f t="shared" si="3"/>
        <v>0</v>
      </c>
      <c r="H19" s="108">
        <v>80</v>
      </c>
      <c r="I19" s="26">
        <f t="shared" si="4"/>
        <v>320000</v>
      </c>
      <c r="J19" s="108">
        <v>153</v>
      </c>
      <c r="K19" s="26">
        <f t="shared" si="5"/>
        <v>612000</v>
      </c>
      <c r="L19" s="24">
        <f t="shared" si="0"/>
        <v>932000</v>
      </c>
      <c r="M19" s="75">
        <f t="shared" si="1"/>
        <v>64.807732424727064</v>
      </c>
      <c r="N19" s="21"/>
    </row>
    <row r="20" spans="1:14">
      <c r="A20" s="20"/>
      <c r="B20" s="22">
        <v>12</v>
      </c>
      <c r="C20" s="23">
        <f>'Fuel Diesel'!C20</f>
        <v>37</v>
      </c>
      <c r="D20" s="23">
        <f>'Fuel Diesel'!D20</f>
        <v>153</v>
      </c>
      <c r="E20" s="23">
        <f t="shared" si="2"/>
        <v>272</v>
      </c>
      <c r="F20" s="103">
        <v>0</v>
      </c>
      <c r="G20" s="26">
        <f t="shared" si="3"/>
        <v>0</v>
      </c>
      <c r="H20" s="108">
        <v>94</v>
      </c>
      <c r="I20" s="26">
        <f>H20*4000</f>
        <v>376000</v>
      </c>
      <c r="J20" s="108">
        <v>178</v>
      </c>
      <c r="K20" s="26">
        <f t="shared" si="5"/>
        <v>712000</v>
      </c>
      <c r="L20" s="24">
        <f t="shared" si="0"/>
        <v>1088000</v>
      </c>
      <c r="M20" s="75">
        <f t="shared" si="1"/>
        <v>75.655378624574084</v>
      </c>
      <c r="N20" s="21"/>
    </row>
    <row r="21" spans="1:14">
      <c r="A21" s="20"/>
      <c r="B21" s="22">
        <v>13</v>
      </c>
      <c r="C21" s="23">
        <f>'Fuel Diesel'!C21</f>
        <v>33</v>
      </c>
      <c r="D21" s="23">
        <f>'Fuel Diesel'!D21</f>
        <v>202</v>
      </c>
      <c r="E21" s="23">
        <f t="shared" si="2"/>
        <v>247</v>
      </c>
      <c r="F21" s="103">
        <v>0</v>
      </c>
      <c r="G21" s="26">
        <f t="shared" si="3"/>
        <v>0</v>
      </c>
      <c r="H21" s="108">
        <v>85</v>
      </c>
      <c r="I21" s="26">
        <f t="shared" si="4"/>
        <v>340000</v>
      </c>
      <c r="J21" s="108">
        <v>162</v>
      </c>
      <c r="K21" s="26">
        <f t="shared" si="5"/>
        <v>648000</v>
      </c>
      <c r="L21" s="24">
        <f t="shared" si="0"/>
        <v>988000</v>
      </c>
      <c r="M21" s="75">
        <f t="shared" si="1"/>
        <v>68.701759265697802</v>
      </c>
      <c r="N21" s="21"/>
    </row>
    <row r="22" spans="1:14">
      <c r="A22" s="20"/>
      <c r="B22" s="22">
        <v>14</v>
      </c>
      <c r="C22" s="23">
        <f>'Fuel Diesel'!C22</f>
        <v>30</v>
      </c>
      <c r="D22" s="23">
        <f>'Fuel Diesel'!D22</f>
        <v>102</v>
      </c>
      <c r="E22" s="23">
        <f t="shared" si="2"/>
        <v>239</v>
      </c>
      <c r="F22" s="103">
        <v>0</v>
      </c>
      <c r="G22" s="26">
        <f t="shared" si="3"/>
        <v>0</v>
      </c>
      <c r="H22" s="108">
        <v>81</v>
      </c>
      <c r="I22" s="26">
        <f t="shared" si="4"/>
        <v>324000</v>
      </c>
      <c r="J22" s="108">
        <v>158</v>
      </c>
      <c r="K22" s="26">
        <f t="shared" si="5"/>
        <v>632000</v>
      </c>
      <c r="L22" s="24">
        <f t="shared" si="0"/>
        <v>956000</v>
      </c>
      <c r="M22" s="75">
        <f t="shared" si="1"/>
        <v>66.476601070857384</v>
      </c>
      <c r="N22" s="21"/>
    </row>
    <row r="23" spans="1:14">
      <c r="A23" s="20"/>
      <c r="B23" s="22">
        <v>15</v>
      </c>
      <c r="C23" s="23">
        <f>'Fuel Diesel'!C23</f>
        <v>40</v>
      </c>
      <c r="D23" s="23">
        <f>'Fuel Diesel'!D23</f>
        <v>125</v>
      </c>
      <c r="E23" s="23">
        <f t="shared" si="2"/>
        <v>205</v>
      </c>
      <c r="F23" s="103">
        <v>0</v>
      </c>
      <c r="G23" s="26">
        <f t="shared" si="3"/>
        <v>0</v>
      </c>
      <c r="H23" s="108">
        <v>70</v>
      </c>
      <c r="I23" s="26">
        <f t="shared" si="4"/>
        <v>280000</v>
      </c>
      <c r="J23" s="108">
        <v>135</v>
      </c>
      <c r="K23" s="26">
        <f t="shared" si="5"/>
        <v>540000</v>
      </c>
      <c r="L23" s="24">
        <f t="shared" si="0"/>
        <v>820000</v>
      </c>
      <c r="M23" s="75">
        <f t="shared" si="1"/>
        <v>57.019678742785622</v>
      </c>
      <c r="N23" s="21"/>
    </row>
    <row r="24" spans="1:14">
      <c r="A24" s="20"/>
      <c r="B24" s="22">
        <v>16</v>
      </c>
      <c r="C24" s="23">
        <f>'Fuel Diesel'!C24</f>
        <v>52</v>
      </c>
      <c r="D24" s="23">
        <f>'Fuel Diesel'!D24</f>
        <v>172</v>
      </c>
      <c r="E24" s="23">
        <f t="shared" si="2"/>
        <v>208</v>
      </c>
      <c r="F24" s="103">
        <v>0</v>
      </c>
      <c r="G24" s="26">
        <f t="shared" si="3"/>
        <v>0</v>
      </c>
      <c r="H24" s="108">
        <v>41</v>
      </c>
      <c r="I24" s="26">
        <f t="shared" si="4"/>
        <v>164000</v>
      </c>
      <c r="J24" s="108">
        <v>167</v>
      </c>
      <c r="K24" s="26">
        <f t="shared" si="5"/>
        <v>668000</v>
      </c>
      <c r="L24" s="24">
        <f t="shared" si="0"/>
        <v>832000</v>
      </c>
      <c r="M24" s="75">
        <f t="shared" si="1"/>
        <v>57.854113065850775</v>
      </c>
      <c r="N24" s="21"/>
    </row>
    <row r="25" spans="1:14">
      <c r="A25" s="20"/>
      <c r="B25" s="22">
        <v>17</v>
      </c>
      <c r="C25" s="23">
        <f>'Fuel Diesel'!C25</f>
        <v>48</v>
      </c>
      <c r="D25" s="23">
        <f>'Fuel Diesel'!D25</f>
        <v>165</v>
      </c>
      <c r="E25" s="23">
        <f t="shared" si="2"/>
        <v>203</v>
      </c>
      <c r="F25" s="103">
        <v>0</v>
      </c>
      <c r="G25" s="26">
        <f t="shared" si="3"/>
        <v>0</v>
      </c>
      <c r="H25" s="108">
        <v>0</v>
      </c>
      <c r="I25" s="26">
        <f t="shared" si="4"/>
        <v>0</v>
      </c>
      <c r="J25" s="108">
        <v>203</v>
      </c>
      <c r="K25" s="26">
        <f t="shared" si="5"/>
        <v>812000</v>
      </c>
      <c r="L25" s="24">
        <f t="shared" si="0"/>
        <v>812000</v>
      </c>
      <c r="M25" s="75">
        <f t="shared" si="1"/>
        <v>56.463389194075518</v>
      </c>
      <c r="N25" s="21"/>
    </row>
    <row r="26" spans="1:14">
      <c r="A26" s="20"/>
      <c r="B26" s="22">
        <v>18</v>
      </c>
      <c r="C26" s="23">
        <f>'Fuel Diesel'!C26</f>
        <v>50</v>
      </c>
      <c r="D26" s="23">
        <f>'Fuel Diesel'!D26</f>
        <v>218</v>
      </c>
      <c r="E26" s="23">
        <f t="shared" si="2"/>
        <v>207</v>
      </c>
      <c r="F26" s="103">
        <v>0</v>
      </c>
      <c r="G26" s="26">
        <f t="shared" si="3"/>
        <v>0</v>
      </c>
      <c r="H26" s="108">
        <v>0</v>
      </c>
      <c r="I26" s="26">
        <f t="shared" si="4"/>
        <v>0</v>
      </c>
      <c r="J26" s="108">
        <v>207</v>
      </c>
      <c r="K26" s="26">
        <f t="shared" si="5"/>
        <v>828000</v>
      </c>
      <c r="L26" s="24">
        <f t="shared" si="0"/>
        <v>828000</v>
      </c>
      <c r="M26" s="75">
        <f t="shared" si="1"/>
        <v>57.575968291495727</v>
      </c>
      <c r="N26" s="21"/>
    </row>
    <row r="27" spans="1:14">
      <c r="A27" s="20"/>
      <c r="B27" s="22">
        <v>19</v>
      </c>
      <c r="C27" s="23">
        <f>'Fuel Diesel'!C27</f>
        <v>50</v>
      </c>
      <c r="D27" s="23">
        <f>'Fuel Diesel'!D27</f>
        <v>242</v>
      </c>
      <c r="E27" s="23">
        <f t="shared" si="2"/>
        <v>195</v>
      </c>
      <c r="F27" s="103">
        <v>0</v>
      </c>
      <c r="G27" s="26">
        <f t="shared" si="3"/>
        <v>0</v>
      </c>
      <c r="H27" s="108">
        <v>49</v>
      </c>
      <c r="I27" s="26">
        <f t="shared" si="4"/>
        <v>196000</v>
      </c>
      <c r="J27" s="108">
        <v>146</v>
      </c>
      <c r="K27" s="26">
        <f t="shared" si="5"/>
        <v>584000</v>
      </c>
      <c r="L27" s="24">
        <f t="shared" si="0"/>
        <v>780000</v>
      </c>
      <c r="M27" s="75">
        <f t="shared" si="1"/>
        <v>54.2382309992351</v>
      </c>
      <c r="N27" s="21"/>
    </row>
    <row r="28" spans="1:14">
      <c r="A28" s="20"/>
      <c r="B28" s="22">
        <v>20</v>
      </c>
      <c r="C28" s="23">
        <f>'Fuel Diesel'!C28</f>
        <v>45</v>
      </c>
      <c r="D28" s="23">
        <f>'Fuel Diesel'!D28</f>
        <v>200</v>
      </c>
      <c r="E28" s="23">
        <f t="shared" si="2"/>
        <v>201</v>
      </c>
      <c r="F28" s="103">
        <v>0</v>
      </c>
      <c r="G28" s="26">
        <f t="shared" si="3"/>
        <v>0</v>
      </c>
      <c r="H28" s="108">
        <v>68</v>
      </c>
      <c r="I28" s="26">
        <f t="shared" si="4"/>
        <v>272000</v>
      </c>
      <c r="J28" s="108">
        <v>133</v>
      </c>
      <c r="K28" s="26">
        <f t="shared" si="5"/>
        <v>532000</v>
      </c>
      <c r="L28" s="24">
        <f t="shared" si="0"/>
        <v>804000</v>
      </c>
      <c r="M28" s="75">
        <f t="shared" si="1"/>
        <v>55.907099645365413</v>
      </c>
      <c r="N28" s="21"/>
    </row>
    <row r="29" spans="1:14">
      <c r="A29" s="20"/>
      <c r="B29" s="22">
        <v>21</v>
      </c>
      <c r="C29" s="23">
        <f>'Fuel Diesel'!C29</f>
        <v>46</v>
      </c>
      <c r="D29" s="23">
        <f>'Fuel Diesel'!D29</f>
        <v>194</v>
      </c>
      <c r="E29" s="23">
        <f t="shared" si="2"/>
        <v>188</v>
      </c>
      <c r="F29" s="103">
        <v>0</v>
      </c>
      <c r="G29" s="26">
        <f t="shared" si="3"/>
        <v>0</v>
      </c>
      <c r="H29" s="108">
        <v>63</v>
      </c>
      <c r="I29" s="26">
        <f t="shared" si="4"/>
        <v>252000</v>
      </c>
      <c r="J29" s="108">
        <v>125</v>
      </c>
      <c r="K29" s="26">
        <f t="shared" si="5"/>
        <v>500000</v>
      </c>
      <c r="L29" s="24">
        <f t="shared" si="0"/>
        <v>752000</v>
      </c>
      <c r="M29" s="75">
        <f t="shared" si="1"/>
        <v>52.291217578749738</v>
      </c>
      <c r="N29" s="21"/>
    </row>
    <row r="30" spans="1:14">
      <c r="A30" s="20"/>
      <c r="B30" s="22">
        <v>22</v>
      </c>
      <c r="C30" s="23">
        <f>'Fuel Diesel'!C30</f>
        <v>52</v>
      </c>
      <c r="D30" s="23">
        <f>'Fuel Diesel'!D30</f>
        <v>212</v>
      </c>
      <c r="E30" s="23">
        <f t="shared" si="2"/>
        <v>193</v>
      </c>
      <c r="F30" s="103">
        <v>0</v>
      </c>
      <c r="G30" s="26">
        <f t="shared" si="3"/>
        <v>0</v>
      </c>
      <c r="H30" s="108">
        <v>66</v>
      </c>
      <c r="I30" s="26">
        <f t="shared" si="4"/>
        <v>264000</v>
      </c>
      <c r="J30" s="108">
        <v>127</v>
      </c>
      <c r="K30" s="26">
        <f t="shared" si="5"/>
        <v>508000</v>
      </c>
      <c r="L30" s="24">
        <f t="shared" si="0"/>
        <v>772000</v>
      </c>
      <c r="M30" s="75">
        <f t="shared" si="1"/>
        <v>53.681941450524995</v>
      </c>
      <c r="N30" s="21"/>
    </row>
    <row r="31" spans="1:14">
      <c r="A31" s="20"/>
      <c r="B31" s="22">
        <v>23</v>
      </c>
      <c r="C31" s="23">
        <f>'Fuel Diesel'!C31</f>
        <v>53</v>
      </c>
      <c r="D31" s="23">
        <f>'Fuel Diesel'!D31</f>
        <v>200</v>
      </c>
      <c r="E31" s="23">
        <f>F31+H31+J31</f>
        <v>221</v>
      </c>
      <c r="F31" s="103">
        <v>22</v>
      </c>
      <c r="G31" s="26">
        <f t="shared" si="3"/>
        <v>298804</v>
      </c>
      <c r="H31" s="108">
        <v>67</v>
      </c>
      <c r="I31" s="26">
        <f t="shared" si="4"/>
        <v>268000</v>
      </c>
      <c r="J31" s="108">
        <v>132</v>
      </c>
      <c r="K31" s="26">
        <f t="shared" si="5"/>
        <v>528000</v>
      </c>
      <c r="L31" s="24">
        <f t="shared" si="0"/>
        <v>1094804</v>
      </c>
      <c r="M31" s="75">
        <f t="shared" si="1"/>
        <v>76.128502885752027</v>
      </c>
      <c r="N31" s="21"/>
    </row>
    <row r="32" spans="1:14">
      <c r="A32" s="20"/>
      <c r="B32" s="22">
        <v>24</v>
      </c>
      <c r="C32" s="23">
        <f>'Fuel Diesel'!C32</f>
        <v>54</v>
      </c>
      <c r="D32" s="23">
        <f>'Fuel Diesel'!D32</f>
        <v>216</v>
      </c>
      <c r="E32" s="23">
        <f t="shared" si="2"/>
        <v>153</v>
      </c>
      <c r="F32" s="103">
        <v>85</v>
      </c>
      <c r="G32" s="26">
        <f t="shared" si="3"/>
        <v>1154470</v>
      </c>
      <c r="H32" s="108">
        <v>23</v>
      </c>
      <c r="I32" s="26">
        <f t="shared" si="4"/>
        <v>92000</v>
      </c>
      <c r="J32" s="108">
        <v>45</v>
      </c>
      <c r="K32" s="26">
        <f t="shared" si="5"/>
        <v>180000</v>
      </c>
      <c r="L32" s="24">
        <f t="shared" si="0"/>
        <v>1426470</v>
      </c>
      <c r="M32" s="75">
        <f t="shared" si="1"/>
        <v>99.191294068562684</v>
      </c>
      <c r="N32" s="21"/>
    </row>
    <row r="33" spans="1:16">
      <c r="A33" s="20"/>
      <c r="B33" s="22">
        <v>25</v>
      </c>
      <c r="C33" s="23">
        <f>'Fuel Diesel'!C33</f>
        <v>57</v>
      </c>
      <c r="D33" s="23">
        <f>'Fuel Diesel'!D33</f>
        <v>299</v>
      </c>
      <c r="E33" s="23">
        <f t="shared" si="2"/>
        <v>175</v>
      </c>
      <c r="F33" s="103">
        <v>41</v>
      </c>
      <c r="G33" s="26">
        <f t="shared" si="3"/>
        <v>556862</v>
      </c>
      <c r="H33" s="108">
        <v>49</v>
      </c>
      <c r="I33" s="26">
        <f t="shared" si="4"/>
        <v>196000</v>
      </c>
      <c r="J33" s="108">
        <v>85</v>
      </c>
      <c r="K33" s="26">
        <f t="shared" si="5"/>
        <v>340000</v>
      </c>
      <c r="L33" s="24">
        <f t="shared" si="0"/>
        <v>1092862</v>
      </c>
      <c r="M33" s="75">
        <f t="shared" si="1"/>
        <v>75.993463597802659</v>
      </c>
      <c r="N33" s="21"/>
    </row>
    <row r="34" spans="1:16">
      <c r="A34" s="20"/>
      <c r="B34" s="22">
        <v>26</v>
      </c>
      <c r="C34" s="23">
        <f>'Fuel Diesel'!C34</f>
        <v>53</v>
      </c>
      <c r="D34" s="23">
        <f>'Fuel Diesel'!D34</f>
        <v>255</v>
      </c>
      <c r="E34" s="23">
        <f t="shared" si="2"/>
        <v>204</v>
      </c>
      <c r="F34" s="103">
        <v>62</v>
      </c>
      <c r="G34" s="26">
        <f t="shared" si="3"/>
        <v>842084</v>
      </c>
      <c r="H34" s="108">
        <v>48</v>
      </c>
      <c r="I34" s="26">
        <f t="shared" si="4"/>
        <v>192000</v>
      </c>
      <c r="J34" s="108">
        <v>94</v>
      </c>
      <c r="K34" s="26">
        <f t="shared" si="5"/>
        <v>376000</v>
      </c>
      <c r="L34" s="24">
        <f t="shared" si="0"/>
        <v>1410084</v>
      </c>
      <c r="M34" s="75">
        <f t="shared" si="1"/>
        <v>98.051874000417214</v>
      </c>
      <c r="N34" s="21"/>
    </row>
    <row r="35" spans="1:16">
      <c r="A35" s="20"/>
      <c r="B35" s="22">
        <v>27</v>
      </c>
      <c r="C35" s="23">
        <f>'Fuel Diesel'!C35</f>
        <v>53</v>
      </c>
      <c r="D35" s="23">
        <f>'Fuel Diesel'!D35</f>
        <v>257</v>
      </c>
      <c r="E35" s="23">
        <f t="shared" si="2"/>
        <v>181</v>
      </c>
      <c r="F35" s="103">
        <v>101</v>
      </c>
      <c r="G35" s="26">
        <f t="shared" si="3"/>
        <v>1371782</v>
      </c>
      <c r="H35" s="108">
        <v>27</v>
      </c>
      <c r="I35" s="26">
        <f t="shared" si="4"/>
        <v>108000</v>
      </c>
      <c r="J35" s="108">
        <v>53</v>
      </c>
      <c r="K35" s="26">
        <f t="shared" si="5"/>
        <v>212000</v>
      </c>
      <c r="L35" s="24">
        <f t="shared" si="0"/>
        <v>1691782</v>
      </c>
      <c r="M35" s="75">
        <f t="shared" si="1"/>
        <v>117.64008066198457</v>
      </c>
      <c r="N35" s="21"/>
    </row>
    <row r="36" spans="1:16">
      <c r="A36" s="20"/>
      <c r="B36" s="22">
        <v>28</v>
      </c>
      <c r="C36" s="23">
        <f>'Fuel Diesel'!C36</f>
        <v>56</v>
      </c>
      <c r="D36" s="23">
        <f>'Fuel Diesel'!D36</f>
        <v>343</v>
      </c>
      <c r="E36" s="23">
        <f t="shared" si="2"/>
        <v>210</v>
      </c>
      <c r="F36" s="103">
        <v>100</v>
      </c>
      <c r="G36" s="26">
        <f t="shared" si="3"/>
        <v>1358200</v>
      </c>
      <c r="H36" s="108">
        <v>47</v>
      </c>
      <c r="I36" s="26">
        <f t="shared" si="4"/>
        <v>188000</v>
      </c>
      <c r="J36" s="108">
        <v>63</v>
      </c>
      <c r="K36" s="26">
        <f t="shared" si="5"/>
        <v>252000</v>
      </c>
      <c r="L36" s="24">
        <f t="shared" si="0"/>
        <v>1798200</v>
      </c>
      <c r="M36" s="75">
        <f t="shared" si="1"/>
        <v>125.03998331131353</v>
      </c>
      <c r="N36" s="21"/>
    </row>
    <row r="37" spans="1:16">
      <c r="A37" s="20"/>
      <c r="B37" s="22">
        <v>29</v>
      </c>
      <c r="C37" s="23">
        <f>'Fuel Diesel'!C37</f>
        <v>56</v>
      </c>
      <c r="D37" s="23">
        <f>'Fuel Diesel'!D37</f>
        <v>289</v>
      </c>
      <c r="E37" s="23">
        <f t="shared" si="2"/>
        <v>198</v>
      </c>
      <c r="F37" s="103">
        <v>98</v>
      </c>
      <c r="G37" s="26">
        <f t="shared" si="3"/>
        <v>1331036</v>
      </c>
      <c r="H37" s="108">
        <v>34</v>
      </c>
      <c r="I37" s="26">
        <f t="shared" si="4"/>
        <v>136000</v>
      </c>
      <c r="J37" s="108">
        <v>66</v>
      </c>
      <c r="K37" s="26">
        <f t="shared" si="5"/>
        <v>264000</v>
      </c>
      <c r="L37" s="24">
        <f t="shared" si="0"/>
        <v>1731036</v>
      </c>
      <c r="M37" s="75">
        <f t="shared" si="1"/>
        <v>120.36965440511787</v>
      </c>
      <c r="N37" s="21"/>
    </row>
    <row r="38" spans="1:16">
      <c r="A38" s="20"/>
      <c r="B38" s="22">
        <v>30</v>
      </c>
      <c r="C38" s="23">
        <f>'Fuel Diesel'!C38</f>
        <v>55</v>
      </c>
      <c r="D38" s="23">
        <f>'Fuel Diesel'!D38</f>
        <v>252</v>
      </c>
      <c r="E38" s="23">
        <f t="shared" ref="E38" si="6">F38+H38+J38</f>
        <v>190</v>
      </c>
      <c r="F38" s="103">
        <v>102</v>
      </c>
      <c r="G38" s="26">
        <f t="shared" ref="G38" si="7">F38*13582</f>
        <v>1385364</v>
      </c>
      <c r="H38" s="108">
        <v>30</v>
      </c>
      <c r="I38" s="26">
        <f t="shared" ref="I38" si="8">H38*4000</f>
        <v>120000</v>
      </c>
      <c r="J38" s="108">
        <v>58</v>
      </c>
      <c r="K38" s="26">
        <f t="shared" ref="K38" si="9">J38*4000</f>
        <v>232000</v>
      </c>
      <c r="L38" s="24">
        <f t="shared" ref="L38" si="10">G38+I38+K38</f>
        <v>1737364</v>
      </c>
      <c r="M38" s="75">
        <f t="shared" ref="M38" si="11">L38/14381</f>
        <v>120.80967943814755</v>
      </c>
      <c r="N38" s="21"/>
    </row>
    <row r="39" spans="1:16">
      <c r="A39" s="20"/>
      <c r="B39" s="22">
        <v>31</v>
      </c>
      <c r="C39" s="23">
        <f>'Fuel Diesel'!C39</f>
        <v>56</v>
      </c>
      <c r="D39" s="23">
        <f>'Fuel Diesel'!D39</f>
        <v>310</v>
      </c>
      <c r="E39" s="23">
        <f t="shared" si="2"/>
        <v>203</v>
      </c>
      <c r="F39" s="103">
        <v>105</v>
      </c>
      <c r="G39" s="26">
        <f t="shared" si="3"/>
        <v>1426110</v>
      </c>
      <c r="H39" s="108">
        <v>32</v>
      </c>
      <c r="I39" s="26">
        <f t="shared" si="4"/>
        <v>128000</v>
      </c>
      <c r="J39" s="108">
        <v>66</v>
      </c>
      <c r="K39" s="26">
        <f t="shared" si="5"/>
        <v>264000</v>
      </c>
      <c r="L39" s="24">
        <f t="shared" si="0"/>
        <v>1818110</v>
      </c>
      <c r="M39" s="75">
        <f t="shared" si="1"/>
        <v>126.42444892566581</v>
      </c>
      <c r="N39" s="21"/>
    </row>
    <row r="40" spans="1:16">
      <c r="C40" s="30">
        <f>SUM(C9:C39)</f>
        <v>1306</v>
      </c>
      <c r="D40" s="30">
        <f>SUM(D9:D39)</f>
        <v>5758</v>
      </c>
      <c r="E40" s="30">
        <f>SUM(E9:E39)</f>
        <v>6352</v>
      </c>
      <c r="F40" s="30">
        <v>0</v>
      </c>
      <c r="H40" s="30">
        <f>SUM(H9:H39)</f>
        <v>1757</v>
      </c>
      <c r="J40" s="30">
        <f>SUM(J9:J39)</f>
        <v>3879</v>
      </c>
      <c r="K40" s="84">
        <f>H40+J40</f>
        <v>5636</v>
      </c>
      <c r="L40" s="76"/>
      <c r="M40" s="78">
        <f>SUM(M9:M39)</f>
        <v>2243.8434044920382</v>
      </c>
      <c r="P40" s="35"/>
    </row>
    <row r="41" spans="1:16">
      <c r="F41" s="31">
        <f>SUM(F31:F39)</f>
        <v>716</v>
      </c>
      <c r="I41" s="83" t="s">
        <v>58</v>
      </c>
      <c r="J41" s="82">
        <f>H40+J40</f>
        <v>5636</v>
      </c>
      <c r="M41" s="36"/>
    </row>
    <row r="42" spans="1:16" ht="30.75">
      <c r="F42" s="116">
        <f>F41/E40</f>
        <v>0.11272040302267003</v>
      </c>
      <c r="G42" s="19"/>
      <c r="H42" s="19"/>
      <c r="I42" s="19"/>
      <c r="J42" s="58">
        <f>J41*15%</f>
        <v>845.4</v>
      </c>
      <c r="K42" s="117" t="s">
        <v>59</v>
      </c>
      <c r="M42" s="38"/>
    </row>
    <row r="43" spans="1:16">
      <c r="F43" s="19"/>
      <c r="G43" s="19"/>
      <c r="H43" s="19"/>
      <c r="I43" s="19"/>
      <c r="J43" s="58">
        <f>J42/30</f>
        <v>28.18</v>
      </c>
      <c r="K43" s="31" t="s">
        <v>60</v>
      </c>
    </row>
    <row r="44" spans="1:16">
      <c r="G44" s="104"/>
    </row>
    <row r="45" spans="1:16">
      <c r="K45" s="104"/>
      <c r="L45" s="31">
        <f>60*30*2</f>
        <v>3600</v>
      </c>
      <c r="M45" s="118"/>
      <c r="N45" s="118"/>
    </row>
    <row r="46" spans="1:16">
      <c r="L46" s="104">
        <f>L45/J41</f>
        <v>0.63875088715400996</v>
      </c>
    </row>
  </sheetData>
  <mergeCells count="16">
    <mergeCell ref="K7:K8"/>
    <mergeCell ref="B2:M2"/>
    <mergeCell ref="B3:M3"/>
    <mergeCell ref="B5:M5"/>
    <mergeCell ref="B6:B8"/>
    <mergeCell ref="C6:C8"/>
    <mergeCell ref="D6:D8"/>
    <mergeCell ref="F6:G6"/>
    <mergeCell ref="H6:K6"/>
    <mergeCell ref="L6:L8"/>
    <mergeCell ref="M6:M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0D56E-76D4-4A07-ADB0-326CB9B396F7}"/>
</file>

<file path=customXml/itemProps2.xml><?xml version="1.0" encoding="utf-8"?>
<ds:datastoreItem xmlns:ds="http://schemas.openxmlformats.org/officeDocument/2006/customXml" ds:itemID="{38AAAFBA-24AE-41D5-B538-7FF216155BDB}"/>
</file>

<file path=customXml/itemProps3.xml><?xml version="1.0" encoding="utf-8"?>
<ds:datastoreItem xmlns:ds="http://schemas.openxmlformats.org/officeDocument/2006/customXml" ds:itemID="{E1F59F86-2A63-47CA-80BE-C2B914246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2023-01-09T08:16:40Z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