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xr:revisionPtr revIDLastSave="0" documentId="13_ncr:1_{4504D76E-C5CC-40EB-BC29-25CA31A81FB1}" xr6:coauthVersionLast="36" xr6:coauthVersionMax="36" xr10:uidLastSave="{00000000-0000-0000-0000-000000000000}"/>
  <bookViews>
    <workbookView xWindow="0" yWindow="0" windowWidth="28800" windowHeight="12225" tabRatio="620" activeTab="1" xr2:uid="{00000000-000D-0000-FFFF-FFFF00000000}"/>
  </bookViews>
  <sheets>
    <sheet name="TOTAL" sheetId="117" r:id="rId1"/>
    <sheet name="Macao Daily" sheetId="119" r:id="rId2"/>
  </sheets>
  <calcPr calcId="191029" calcCompleted="0" calcOnSave="0" concurrentCalc="0"/>
</workbook>
</file>

<file path=xl/calcChain.xml><?xml version="1.0" encoding="utf-8"?>
<calcChain xmlns="http://schemas.openxmlformats.org/spreadsheetml/2006/main">
  <c r="D33" i="119" l="1"/>
  <c r="F33" i="119"/>
  <c r="H33" i="119"/>
  <c r="J33" i="119"/>
  <c r="D34" i="119"/>
  <c r="F34" i="119"/>
  <c r="H34" i="119"/>
  <c r="J34" i="119"/>
  <c r="D35" i="119"/>
  <c r="F35" i="119"/>
  <c r="H35" i="119"/>
  <c r="J35" i="119"/>
  <c r="B30" i="117"/>
  <c r="E30" i="117"/>
  <c r="G30" i="117"/>
  <c r="I30" i="117"/>
  <c r="K30" i="117"/>
  <c r="M30" i="117"/>
  <c r="N30" i="117"/>
  <c r="B31" i="117"/>
  <c r="E31" i="117"/>
  <c r="G31" i="117"/>
  <c r="I31" i="117"/>
  <c r="K31" i="117"/>
  <c r="M31" i="117"/>
  <c r="N31" i="117"/>
  <c r="B32" i="117"/>
  <c r="E32" i="117"/>
  <c r="G32" i="117"/>
  <c r="I32" i="117"/>
  <c r="K32" i="117"/>
  <c r="M32" i="117"/>
  <c r="N32" i="117"/>
  <c r="H20" i="119"/>
  <c r="J20" i="119"/>
  <c r="F5" i="119"/>
  <c r="H5" i="119"/>
  <c r="J5" i="119"/>
  <c r="F20" i="119"/>
  <c r="D20" i="119"/>
  <c r="H6" i="119"/>
  <c r="I3" i="117"/>
  <c r="H7" i="119"/>
  <c r="I4" i="117"/>
  <c r="H8" i="119"/>
  <c r="I5" i="117"/>
  <c r="H9" i="119"/>
  <c r="I6" i="117"/>
  <c r="H10" i="119"/>
  <c r="I7" i="117"/>
  <c r="H11" i="119"/>
  <c r="I8" i="117"/>
  <c r="H12" i="119"/>
  <c r="I9" i="117"/>
  <c r="H13" i="119"/>
  <c r="I10" i="117"/>
  <c r="H14" i="119"/>
  <c r="I11" i="117"/>
  <c r="H15" i="119"/>
  <c r="I12" i="117"/>
  <c r="H16" i="119"/>
  <c r="I13" i="117"/>
  <c r="H17" i="119"/>
  <c r="I14" i="117"/>
  <c r="H18" i="119"/>
  <c r="I15" i="117"/>
  <c r="H19" i="119"/>
  <c r="I16" i="117"/>
  <c r="I17" i="117"/>
  <c r="H21" i="119"/>
  <c r="I18" i="117"/>
  <c r="H22" i="119"/>
  <c r="I19" i="117"/>
  <c r="H23" i="119"/>
  <c r="I20" i="117"/>
  <c r="H24" i="119"/>
  <c r="I21" i="117"/>
  <c r="H25" i="119"/>
  <c r="I22" i="117"/>
  <c r="H26" i="119"/>
  <c r="I23" i="117"/>
  <c r="H27" i="119"/>
  <c r="I24" i="117"/>
  <c r="H28" i="119"/>
  <c r="I25" i="117"/>
  <c r="H29" i="119"/>
  <c r="I26" i="117"/>
  <c r="H30" i="119"/>
  <c r="I27" i="117"/>
  <c r="H31" i="119"/>
  <c r="I28" i="117"/>
  <c r="H32" i="119"/>
  <c r="I29" i="117"/>
  <c r="I2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/>
  <c r="D32" i="119"/>
  <c r="E29" i="117"/>
  <c r="J31" i="119"/>
  <c r="K28" i="117"/>
  <c r="F31" i="119"/>
  <c r="G28" i="117"/>
  <c r="D31" i="119"/>
  <c r="E28" i="117"/>
  <c r="J30" i="119"/>
  <c r="K27" i="117"/>
  <c r="F30" i="119"/>
  <c r="G27" i="117"/>
  <c r="D30" i="119"/>
  <c r="E27" i="117"/>
  <c r="J29" i="119"/>
  <c r="K26" i="117"/>
  <c r="F29" i="119"/>
  <c r="G26" i="117"/>
  <c r="D29" i="119"/>
  <c r="E26" i="117"/>
  <c r="J28" i="119"/>
  <c r="K25" i="117"/>
  <c r="F28" i="119"/>
  <c r="G25" i="117"/>
  <c r="D28" i="119"/>
  <c r="E25" i="117"/>
  <c r="J27" i="119"/>
  <c r="K24" i="117"/>
  <c r="F27" i="119"/>
  <c r="G24" i="117"/>
  <c r="D27" i="119"/>
  <c r="E24" i="117"/>
  <c r="J26" i="119"/>
  <c r="K23" i="117"/>
  <c r="F26" i="119"/>
  <c r="G23" i="117"/>
  <c r="D26" i="119"/>
  <c r="E23" i="117"/>
  <c r="J25" i="119"/>
  <c r="K22" i="117"/>
  <c r="F25" i="119"/>
  <c r="G22" i="117"/>
  <c r="D25" i="119"/>
  <c r="E22" i="117"/>
  <c r="J24" i="119"/>
  <c r="K21" i="117"/>
  <c r="F24" i="119"/>
  <c r="G21" i="117"/>
  <c r="D24" i="119"/>
  <c r="E21" i="117"/>
  <c r="J23" i="119"/>
  <c r="K20" i="117"/>
  <c r="F23" i="119"/>
  <c r="G20" i="117"/>
  <c r="D23" i="119"/>
  <c r="E20" i="117"/>
  <c r="J22" i="119"/>
  <c r="K19" i="117"/>
  <c r="F22" i="119"/>
  <c r="G19" i="117"/>
  <c r="D22" i="119"/>
  <c r="E19" i="117"/>
  <c r="J21" i="119"/>
  <c r="K18" i="117"/>
  <c r="F21" i="119"/>
  <c r="G18" i="117"/>
  <c r="D21" i="119"/>
  <c r="E18" i="117"/>
  <c r="K17" i="117"/>
  <c r="G17" i="117"/>
  <c r="E17" i="117"/>
  <c r="J19" i="119"/>
  <c r="K16" i="117"/>
  <c r="F19" i="119"/>
  <c r="G16" i="117"/>
  <c r="D19" i="119"/>
  <c r="E16" i="117"/>
  <c r="J18" i="119"/>
  <c r="K15" i="117"/>
  <c r="F18" i="119"/>
  <c r="G15" i="117"/>
  <c r="D18" i="119"/>
  <c r="E15" i="117"/>
  <c r="J17" i="119"/>
  <c r="K14" i="117"/>
  <c r="F17" i="119"/>
  <c r="G14" i="117"/>
  <c r="D17" i="119"/>
  <c r="E14" i="117"/>
  <c r="J16" i="119"/>
  <c r="K13" i="117"/>
  <c r="F16" i="119"/>
  <c r="G13" i="117"/>
  <c r="D16" i="119"/>
  <c r="E13" i="117"/>
  <c r="J15" i="119"/>
  <c r="K12" i="117"/>
  <c r="F15" i="119"/>
  <c r="G12" i="117"/>
  <c r="D15" i="119"/>
  <c r="E12" i="117"/>
  <c r="J14" i="119"/>
  <c r="K11" i="117"/>
  <c r="F14" i="119"/>
  <c r="G11" i="117"/>
  <c r="D14" i="119"/>
  <c r="E11" i="117"/>
  <c r="J13" i="119"/>
  <c r="K10" i="117"/>
  <c r="F13" i="119"/>
  <c r="G10" i="117"/>
  <c r="D13" i="119"/>
  <c r="E10" i="117"/>
  <c r="J12" i="119"/>
  <c r="K9" i="117"/>
  <c r="F12" i="119"/>
  <c r="G9" i="117"/>
  <c r="D12" i="119"/>
  <c r="E9" i="117"/>
  <c r="J11" i="119"/>
  <c r="K8" i="117"/>
  <c r="F11" i="119"/>
  <c r="G8" i="117"/>
  <c r="D11" i="119"/>
  <c r="E8" i="117"/>
  <c r="J10" i="119"/>
  <c r="K7" i="117"/>
  <c r="F10" i="119"/>
  <c r="G7" i="117"/>
  <c r="D10" i="119"/>
  <c r="E7" i="117"/>
  <c r="J9" i="119"/>
  <c r="K6" i="117"/>
  <c r="F9" i="119"/>
  <c r="G6" i="117"/>
  <c r="D9" i="119"/>
  <c r="E6" i="117"/>
  <c r="J8" i="119"/>
  <c r="K5" i="117"/>
  <c r="F8" i="119"/>
  <c r="G5" i="117"/>
  <c r="D8" i="119"/>
  <c r="E5" i="117"/>
  <c r="J7" i="119"/>
  <c r="K4" i="117"/>
  <c r="F7" i="119"/>
  <c r="G4" i="117"/>
  <c r="D7" i="119"/>
  <c r="E4" i="117"/>
  <c r="J6" i="119"/>
  <c r="K3" i="117"/>
  <c r="F6" i="119"/>
  <c r="G3" i="117"/>
  <c r="D6" i="119"/>
  <c r="E3" i="117"/>
  <c r="K2" i="117"/>
  <c r="G2" i="117"/>
  <c r="D5" i="119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<sst xmlns="http://schemas.openxmlformats.org/spreadsheetml/2006/main" count="61" uniqueCount="29">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</sst>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6">
    <font>
      <sz val="10"/>
      <name val="Arial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2"/>
      <scheme val="minor"/>
    </font>
    <font>
      <b/>
      <sz val="11"/>
      <color rgb="FFFF0000"/>
      <name val="新細明體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8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1" xfId="11" applyFont="1" applyBorder="1" applyAlignment="1">
      <alignment horizontal="center"/>
    </xf>
    <xf numFmtId="1" fontId="10" fillId="0" borderId="0" xfId="11" applyNumberFormat="1" applyFont="1" applyAlignment="1">
      <alignment horizontal="center"/>
    </xf>
    <xf numFmtId="0" fontId="9" fillId="0" borderId="0" xfId="11" applyFont="1" applyAlignment="1">
      <alignment horizontal="center"/>
    </xf>
    <xf numFmtId="0" fontId="9" fillId="0" borderId="0" xfId="11" applyFont="1"/>
    <xf numFmtId="1" fontId="9" fillId="0" borderId="1" xfId="11" applyNumberFormat="1" applyFont="1" applyBorder="1" applyAlignment="1">
      <alignment horizontal="center" vertical="center"/>
    </xf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11" applyFont="1" applyAlignment="1">
      <alignment horizont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zoomScale="85" zoomScaleNormal="85" workbookViewId="0">
      <selection activeCell="N32" sqref="N32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4" t="s">
        <v>7</v>
      </c>
      <c r="J1" s="35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.75">
      <c r="A2" s="6" t="s">
        <v>13</v>
      </c>
      <c r="B2" s="7">
        <v>1</v>
      </c>
      <c r="C2" s="8">
        <v>3</v>
      </c>
      <c r="D2" s="7">
        <v>2021</v>
      </c>
      <c r="E2" s="9">
        <f>'Macao Daily'!D5</f>
        <v>32026</v>
      </c>
      <c r="F2" s="36">
        <v>1.1718999999999999</v>
      </c>
      <c r="G2" s="9">
        <f>'Macao Daily'!F5</f>
        <v>76</v>
      </c>
      <c r="H2" s="36">
        <v>5.6875</v>
      </c>
      <c r="I2" s="9">
        <f>'Macao Daily'!H5</f>
        <v>28453</v>
      </c>
      <c r="J2" s="36">
        <v>0.1925</v>
      </c>
      <c r="K2" s="9">
        <f>'Macao Daily'!J5</f>
        <v>0</v>
      </c>
      <c r="L2" s="36">
        <v>7.7647000000000004</v>
      </c>
      <c r="M2" s="9">
        <f>'Macao Daily'!K5</f>
        <v>107</v>
      </c>
      <c r="N2" s="9">
        <f>'Macao Daily'!L5</f>
        <v>196</v>
      </c>
    </row>
    <row r="3" spans="1:14" ht="15.75">
      <c r="A3" s="6" t="s">
        <v>13</v>
      </c>
      <c r="B3" s="7">
        <f>B2+1</f>
        <v>2</v>
      </c>
      <c r="C3" s="8">
        <v>3</v>
      </c>
      <c r="D3" s="7">
        <v>2021</v>
      </c>
      <c r="E3" s="9">
        <f>'Macao Daily'!D6</f>
        <v>31746</v>
      </c>
      <c r="F3" s="36">
        <v>1.1718999999999999</v>
      </c>
      <c r="G3" s="9">
        <f>'Macao Daily'!F6</f>
        <v>72</v>
      </c>
      <c r="H3" s="36">
        <v>5.6875</v>
      </c>
      <c r="I3" s="9">
        <f>'Macao Daily'!H6</f>
        <v>25593</v>
      </c>
      <c r="J3" s="36">
        <v>0.1925</v>
      </c>
      <c r="K3" s="9">
        <f>'Macao Daily'!J6</f>
        <v>0</v>
      </c>
      <c r="L3" s="36">
        <v>7.7647000000000004</v>
      </c>
      <c r="M3" s="9">
        <f>'Macao Daily'!K6</f>
        <v>106</v>
      </c>
      <c r="N3" s="9">
        <f>'Macao Daily'!L6</f>
        <v>173</v>
      </c>
    </row>
    <row r="4" spans="1:14" ht="15.75">
      <c r="A4" s="6" t="s">
        <v>13</v>
      </c>
      <c r="B4" s="7">
        <f t="shared" ref="B4:B32" si="0">B3+1</f>
        <v>3</v>
      </c>
      <c r="C4" s="8">
        <v>3</v>
      </c>
      <c r="D4" s="7">
        <v>2021</v>
      </c>
      <c r="E4" s="9">
        <f>'Macao Daily'!D7</f>
        <v>32762</v>
      </c>
      <c r="F4" s="36">
        <v>1.1718999999999999</v>
      </c>
      <c r="G4" s="9">
        <f>'Macao Daily'!F7</f>
        <v>68</v>
      </c>
      <c r="H4" s="36">
        <v>5.6875</v>
      </c>
      <c r="I4" s="9">
        <f>'Macao Daily'!H7</f>
        <v>23922</v>
      </c>
      <c r="J4" s="36">
        <v>0.1925</v>
      </c>
      <c r="K4" s="9">
        <f>'Macao Daily'!J7</f>
        <v>0</v>
      </c>
      <c r="L4" s="36">
        <v>7.7647000000000004</v>
      </c>
      <c r="M4" s="9">
        <f>'Macao Daily'!K7</f>
        <v>100</v>
      </c>
      <c r="N4" s="9">
        <f>'Macao Daily'!L7</f>
        <v>145</v>
      </c>
    </row>
    <row r="5" spans="1:14" ht="15.75">
      <c r="A5" s="6" t="s">
        <v>13</v>
      </c>
      <c r="B5" s="7">
        <f t="shared" si="0"/>
        <v>4</v>
      </c>
      <c r="C5" s="8">
        <v>3</v>
      </c>
      <c r="D5" s="7">
        <v>2021</v>
      </c>
      <c r="E5" s="9">
        <f>'Macao Daily'!D8</f>
        <v>32612</v>
      </c>
      <c r="F5" s="36">
        <v>1.1718999999999999</v>
      </c>
      <c r="G5" s="9">
        <f>'Macao Daily'!F8</f>
        <v>72</v>
      </c>
      <c r="H5" s="36">
        <v>5.6875</v>
      </c>
      <c r="I5" s="9">
        <f>'Macao Daily'!H8</f>
        <v>24196</v>
      </c>
      <c r="J5" s="36">
        <v>0.1925</v>
      </c>
      <c r="K5" s="9">
        <f>'Macao Daily'!J8</f>
        <v>0</v>
      </c>
      <c r="L5" s="36">
        <v>7.7647000000000004</v>
      </c>
      <c r="M5" s="9">
        <f>'Macao Daily'!K8</f>
        <v>91</v>
      </c>
      <c r="N5" s="9">
        <f>'Macao Daily'!L8</f>
        <v>209</v>
      </c>
    </row>
    <row r="6" spans="1:14" ht="15.75">
      <c r="A6" s="6" t="s">
        <v>13</v>
      </c>
      <c r="B6" s="7">
        <f t="shared" si="0"/>
        <v>5</v>
      </c>
      <c r="C6" s="8">
        <v>3</v>
      </c>
      <c r="D6" s="7">
        <v>2021</v>
      </c>
      <c r="E6" s="9">
        <f>'Macao Daily'!D9</f>
        <v>33378</v>
      </c>
      <c r="F6" s="36">
        <v>1.1718999999999999</v>
      </c>
      <c r="G6" s="9">
        <f>'Macao Daily'!F9</f>
        <v>87</v>
      </c>
      <c r="H6" s="36">
        <v>5.6875</v>
      </c>
      <c r="I6" s="9">
        <f>'Macao Daily'!H9</f>
        <v>27265</v>
      </c>
      <c r="J6" s="36">
        <v>0.1925</v>
      </c>
      <c r="K6" s="9">
        <f>'Macao Daily'!J9</f>
        <v>0</v>
      </c>
      <c r="L6" s="36">
        <v>7.7647000000000004</v>
      </c>
      <c r="M6" s="9">
        <f>'Macao Daily'!K9</f>
        <v>173</v>
      </c>
      <c r="N6" s="9">
        <f>'Macao Daily'!L9</f>
        <v>346</v>
      </c>
    </row>
    <row r="7" spans="1:14" ht="15.75">
      <c r="A7" s="6" t="s">
        <v>13</v>
      </c>
      <c r="B7" s="7">
        <f t="shared" si="0"/>
        <v>6</v>
      </c>
      <c r="C7" s="8">
        <v>3</v>
      </c>
      <c r="D7" s="7">
        <v>2021</v>
      </c>
      <c r="E7" s="9">
        <f>'Macao Daily'!D10</f>
        <v>33355</v>
      </c>
      <c r="F7" s="36">
        <v>1.1718999999999999</v>
      </c>
      <c r="G7" s="9">
        <f>'Macao Daily'!F10</f>
        <v>90</v>
      </c>
      <c r="H7" s="36">
        <v>5.6875</v>
      </c>
      <c r="I7" s="9">
        <f>'Macao Daily'!H10</f>
        <v>29578</v>
      </c>
      <c r="J7" s="36">
        <v>0.1925</v>
      </c>
      <c r="K7" s="9">
        <f>'Macao Daily'!J10</f>
        <v>0</v>
      </c>
      <c r="L7" s="36">
        <v>7.7647000000000004</v>
      </c>
      <c r="M7" s="9">
        <f>'Macao Daily'!K10</f>
        <v>221</v>
      </c>
      <c r="N7" s="9">
        <f>'Macao Daily'!L10</f>
        <v>468</v>
      </c>
    </row>
    <row r="8" spans="1:14" ht="15.75">
      <c r="A8" s="6" t="s">
        <v>13</v>
      </c>
      <c r="B8" s="7">
        <f t="shared" si="0"/>
        <v>7</v>
      </c>
      <c r="C8" s="8">
        <v>3</v>
      </c>
      <c r="D8" s="7">
        <v>2021</v>
      </c>
      <c r="E8" s="9">
        <f>'Macao Daily'!D11</f>
        <v>34984</v>
      </c>
      <c r="F8" s="36">
        <v>1.1718999999999999</v>
      </c>
      <c r="G8" s="9">
        <f>'Macao Daily'!F11</f>
        <v>95</v>
      </c>
      <c r="H8" s="36">
        <v>5.6875</v>
      </c>
      <c r="I8" s="9">
        <f>'Macao Daily'!H11</f>
        <v>29715</v>
      </c>
      <c r="J8" s="36">
        <v>0.1925</v>
      </c>
      <c r="K8" s="9">
        <f>'Macao Daily'!J11</f>
        <v>0</v>
      </c>
      <c r="L8" s="36">
        <v>7.7647000000000004</v>
      </c>
      <c r="M8" s="9">
        <f>'Macao Daily'!K11</f>
        <v>161</v>
      </c>
      <c r="N8" s="9">
        <f>'Macao Daily'!L11</f>
        <v>443</v>
      </c>
    </row>
    <row r="9" spans="1:14" ht="15.75">
      <c r="A9" s="6" t="s">
        <v>13</v>
      </c>
      <c r="B9" s="7">
        <f t="shared" si="0"/>
        <v>8</v>
      </c>
      <c r="C9" s="8">
        <v>3</v>
      </c>
      <c r="D9" s="7">
        <v>2021</v>
      </c>
      <c r="E9" s="9">
        <f>'Macao Daily'!D12</f>
        <v>33904</v>
      </c>
      <c r="F9" s="36">
        <v>1.1718999999999999</v>
      </c>
      <c r="G9" s="9">
        <f>'Macao Daily'!F12</f>
        <v>72</v>
      </c>
      <c r="H9" s="36">
        <v>5.6875</v>
      </c>
      <c r="I9" s="9">
        <f>'Macao Daily'!H12</f>
        <v>26551</v>
      </c>
      <c r="J9" s="36">
        <v>0.1925</v>
      </c>
      <c r="K9" s="9">
        <f>'Macao Daily'!J12</f>
        <v>0</v>
      </c>
      <c r="L9" s="36">
        <v>7.7647000000000004</v>
      </c>
      <c r="M9" s="9">
        <f>'Macao Daily'!K12</f>
        <v>130</v>
      </c>
      <c r="N9" s="9">
        <f>'Macao Daily'!L12</f>
        <v>231</v>
      </c>
    </row>
    <row r="10" spans="1:14" ht="15.75">
      <c r="A10" s="6" t="s">
        <v>13</v>
      </c>
      <c r="B10" s="7">
        <f t="shared" si="0"/>
        <v>9</v>
      </c>
      <c r="C10" s="8">
        <v>3</v>
      </c>
      <c r="D10" s="7">
        <v>2021</v>
      </c>
      <c r="E10" s="9">
        <f>'Macao Daily'!D13</f>
        <v>32936</v>
      </c>
      <c r="F10" s="36">
        <v>1.1718999999999999</v>
      </c>
      <c r="G10" s="9">
        <f>'Macao Daily'!F13</f>
        <v>62</v>
      </c>
      <c r="H10" s="36">
        <v>5.6875</v>
      </c>
      <c r="I10" s="9">
        <f>'Macao Daily'!H13</f>
        <v>29000</v>
      </c>
      <c r="J10" s="36">
        <v>0.1925</v>
      </c>
      <c r="K10" s="9">
        <f>'Macao Daily'!J13</f>
        <v>0</v>
      </c>
      <c r="L10" s="36">
        <v>7.7647000000000004</v>
      </c>
      <c r="M10" s="9">
        <f>'Macao Daily'!K13</f>
        <v>129</v>
      </c>
      <c r="N10" s="9">
        <f>'Macao Daily'!L13</f>
        <v>181</v>
      </c>
    </row>
    <row r="11" spans="1:14" ht="15.75">
      <c r="A11" s="6" t="s">
        <v>13</v>
      </c>
      <c r="B11" s="7">
        <f t="shared" si="0"/>
        <v>10</v>
      </c>
      <c r="C11" s="8">
        <v>3</v>
      </c>
      <c r="D11" s="7">
        <v>2021</v>
      </c>
      <c r="E11" s="9">
        <f>'Macao Daily'!D14</f>
        <v>34295</v>
      </c>
      <c r="F11" s="36">
        <v>1.1718999999999999</v>
      </c>
      <c r="G11" s="9">
        <f>'Macao Daily'!F14</f>
        <v>67</v>
      </c>
      <c r="H11" s="36">
        <v>5.6875</v>
      </c>
      <c r="I11" s="9">
        <f>'Macao Daily'!H14</f>
        <v>29797</v>
      </c>
      <c r="J11" s="36">
        <v>0.1925</v>
      </c>
      <c r="K11" s="9">
        <f>'Macao Daily'!J14</f>
        <v>0</v>
      </c>
      <c r="L11" s="36">
        <v>7.7647000000000004</v>
      </c>
      <c r="M11" s="9">
        <f>'Macao Daily'!K14</f>
        <v>142</v>
      </c>
      <c r="N11" s="9">
        <f>'Macao Daily'!L14</f>
        <v>209</v>
      </c>
    </row>
    <row r="12" spans="1:14" ht="15.75">
      <c r="A12" s="6" t="s">
        <v>13</v>
      </c>
      <c r="B12" s="7">
        <f t="shared" si="0"/>
        <v>11</v>
      </c>
      <c r="C12" s="8">
        <v>3</v>
      </c>
      <c r="D12" s="7">
        <v>2021</v>
      </c>
      <c r="E12" s="9">
        <f>'Macao Daily'!D15</f>
        <v>34429</v>
      </c>
      <c r="F12" s="36">
        <v>1.1718999999999999</v>
      </c>
      <c r="G12" s="9">
        <f>'Macao Daily'!F15</f>
        <v>65</v>
      </c>
      <c r="H12" s="36">
        <v>5.6875</v>
      </c>
      <c r="I12" s="9">
        <f>'Macao Daily'!H15</f>
        <v>30039</v>
      </c>
      <c r="J12" s="36">
        <v>0.1925</v>
      </c>
      <c r="K12" s="9">
        <f>'Macao Daily'!J15</f>
        <v>0</v>
      </c>
      <c r="L12" s="36">
        <v>7.7647000000000004</v>
      </c>
      <c r="M12" s="9">
        <f>'Macao Daily'!K15</f>
        <v>168</v>
      </c>
      <c r="N12" s="9">
        <f>'Macao Daily'!L15</f>
        <v>233</v>
      </c>
    </row>
    <row r="13" spans="1:14" ht="15.75">
      <c r="A13" s="6" t="s">
        <v>13</v>
      </c>
      <c r="B13" s="7">
        <f t="shared" si="0"/>
        <v>12</v>
      </c>
      <c r="C13" s="8">
        <v>3</v>
      </c>
      <c r="D13" s="7">
        <v>2021</v>
      </c>
      <c r="E13" s="9">
        <f>'Macao Daily'!D16</f>
        <v>34989</v>
      </c>
      <c r="F13" s="36">
        <v>1.1718999999999999</v>
      </c>
      <c r="G13" s="9">
        <f>'Macao Daily'!F16</f>
        <v>86</v>
      </c>
      <c r="H13" s="36">
        <v>5.6875</v>
      </c>
      <c r="I13" s="9">
        <f>'Macao Daily'!H16</f>
        <v>34187</v>
      </c>
      <c r="J13" s="36">
        <v>0.1925</v>
      </c>
      <c r="K13" s="9">
        <f>'Macao Daily'!J16</f>
        <v>0</v>
      </c>
      <c r="L13" s="36">
        <v>7.7647000000000004</v>
      </c>
      <c r="M13" s="9">
        <f>'Macao Daily'!K16</f>
        <v>220</v>
      </c>
      <c r="N13" s="9">
        <f>'Macao Daily'!L16</f>
        <v>331</v>
      </c>
    </row>
    <row r="14" spans="1:14" ht="15.75">
      <c r="A14" s="6" t="s">
        <v>13</v>
      </c>
      <c r="B14" s="7">
        <f t="shared" si="0"/>
        <v>13</v>
      </c>
      <c r="C14" s="8">
        <v>3</v>
      </c>
      <c r="D14" s="7">
        <v>2021</v>
      </c>
      <c r="E14" s="9">
        <f>'Macao Daily'!D17</f>
        <v>36553</v>
      </c>
      <c r="F14" s="36">
        <v>1.1718999999999999</v>
      </c>
      <c r="G14" s="9">
        <f>'Macao Daily'!F17</f>
        <v>102</v>
      </c>
      <c r="H14" s="36">
        <v>5.6875</v>
      </c>
      <c r="I14" s="9">
        <f>'Macao Daily'!H17</f>
        <v>33438</v>
      </c>
      <c r="J14" s="36">
        <v>0.1925</v>
      </c>
      <c r="K14" s="9">
        <f>'Macao Daily'!J17</f>
        <v>0</v>
      </c>
      <c r="L14" s="36">
        <v>7.7647000000000004</v>
      </c>
      <c r="M14" s="9">
        <f>'Macao Daily'!K17</f>
        <v>233</v>
      </c>
      <c r="N14" s="9">
        <f>'Macao Daily'!L17</f>
        <v>560</v>
      </c>
    </row>
    <row r="15" spans="1:14" ht="15.75">
      <c r="A15" s="6" t="s">
        <v>13</v>
      </c>
      <c r="B15" s="7">
        <f t="shared" si="0"/>
        <v>14</v>
      </c>
      <c r="C15" s="8">
        <v>3</v>
      </c>
      <c r="D15" s="7">
        <v>2021</v>
      </c>
      <c r="E15" s="9">
        <f>'Macao Daily'!D18</f>
        <v>35298</v>
      </c>
      <c r="F15" s="36">
        <v>1.1718999999999999</v>
      </c>
      <c r="G15" s="9">
        <f>'Macao Daily'!F18</f>
        <v>92</v>
      </c>
      <c r="H15" s="36">
        <v>5.6875</v>
      </c>
      <c r="I15" s="9">
        <f>'Macao Daily'!H18</f>
        <v>30609</v>
      </c>
      <c r="J15" s="36">
        <v>0.1925</v>
      </c>
      <c r="K15" s="9">
        <f>'Macao Daily'!J18</f>
        <v>0</v>
      </c>
      <c r="L15" s="36">
        <v>7.7647000000000004</v>
      </c>
      <c r="M15" s="9">
        <f>'Macao Daily'!K18</f>
        <v>156</v>
      </c>
      <c r="N15" s="9">
        <f>'Macao Daily'!L18</f>
        <v>650</v>
      </c>
    </row>
    <row r="16" spans="1:14" ht="15.75">
      <c r="A16" s="6" t="s">
        <v>13</v>
      </c>
      <c r="B16" s="7">
        <f t="shared" si="0"/>
        <v>15</v>
      </c>
      <c r="C16" s="8">
        <v>3</v>
      </c>
      <c r="D16" s="7">
        <v>2021</v>
      </c>
      <c r="E16" s="9">
        <f>'Macao Daily'!D19</f>
        <v>35333</v>
      </c>
      <c r="F16" s="36">
        <v>1.1718999999999999</v>
      </c>
      <c r="G16" s="9">
        <f>'Macao Daily'!F19</f>
        <v>81</v>
      </c>
      <c r="H16" s="36">
        <v>5.6875</v>
      </c>
      <c r="I16" s="9">
        <f>'Macao Daily'!H19</f>
        <v>30414</v>
      </c>
      <c r="J16" s="36">
        <v>0.1925</v>
      </c>
      <c r="K16" s="9">
        <f>'Macao Daily'!J19</f>
        <v>0</v>
      </c>
      <c r="L16" s="36">
        <v>7.7647000000000004</v>
      </c>
      <c r="M16" s="9">
        <f>'Macao Daily'!K19</f>
        <v>126</v>
      </c>
      <c r="N16" s="9">
        <f>'Macao Daily'!L19</f>
        <v>273</v>
      </c>
    </row>
    <row r="17" spans="1:14" ht="15.75">
      <c r="A17" s="6" t="s">
        <v>13</v>
      </c>
      <c r="B17" s="7">
        <f t="shared" si="0"/>
        <v>16</v>
      </c>
      <c r="C17" s="8">
        <v>3</v>
      </c>
      <c r="D17" s="7">
        <v>2021</v>
      </c>
      <c r="E17" s="9">
        <f>'Macao Daily'!D20</f>
        <v>33073</v>
      </c>
      <c r="F17" s="36">
        <v>1.1718999999999999</v>
      </c>
      <c r="G17" s="9">
        <f>'Macao Daily'!F20</f>
        <v>59</v>
      </c>
      <c r="H17" s="36">
        <v>5.6875</v>
      </c>
      <c r="I17" s="9">
        <f>'Macao Daily'!H20</f>
        <v>34008</v>
      </c>
      <c r="J17" s="36">
        <v>0.1925</v>
      </c>
      <c r="K17" s="9">
        <f>'Macao Daily'!J20</f>
        <v>0</v>
      </c>
      <c r="L17" s="36">
        <v>7.7647000000000004</v>
      </c>
      <c r="M17" s="9">
        <f>'Macao Daily'!K20</f>
        <v>116</v>
      </c>
      <c r="N17" s="9">
        <f>'Macao Daily'!L20</f>
        <v>203</v>
      </c>
    </row>
    <row r="18" spans="1:14" ht="15.75">
      <c r="A18" s="6" t="s">
        <v>13</v>
      </c>
      <c r="B18" s="7">
        <f t="shared" si="0"/>
        <v>17</v>
      </c>
      <c r="C18" s="8">
        <v>3</v>
      </c>
      <c r="D18" s="7">
        <v>2021</v>
      </c>
      <c r="E18" s="9">
        <f>'Macao Daily'!D21</f>
        <v>33368</v>
      </c>
      <c r="F18" s="36">
        <v>1.1718999999999999</v>
      </c>
      <c r="G18" s="9">
        <f>'Macao Daily'!F21</f>
        <v>66</v>
      </c>
      <c r="H18" s="36">
        <v>5.6875</v>
      </c>
      <c r="I18" s="9">
        <f>'Macao Daily'!H21</f>
        <v>38922</v>
      </c>
      <c r="J18" s="36">
        <v>0.1925</v>
      </c>
      <c r="K18" s="9">
        <f>'Macao Daily'!J21</f>
        <v>0</v>
      </c>
      <c r="L18" s="36">
        <v>7.7647000000000004</v>
      </c>
      <c r="M18" s="9">
        <f>'Macao Daily'!K21</f>
        <v>120</v>
      </c>
      <c r="N18" s="9">
        <f>'Macao Daily'!L21</f>
        <v>202</v>
      </c>
    </row>
    <row r="19" spans="1:14" ht="15.75">
      <c r="A19" s="6" t="s">
        <v>13</v>
      </c>
      <c r="B19" s="7">
        <f t="shared" si="0"/>
        <v>18</v>
      </c>
      <c r="C19" s="8">
        <v>3</v>
      </c>
      <c r="D19" s="7">
        <v>2021</v>
      </c>
      <c r="E19" s="9">
        <f>'Macao Daily'!D22</f>
        <v>32727</v>
      </c>
      <c r="F19" s="36">
        <v>1.1718999999999999</v>
      </c>
      <c r="G19" s="9">
        <f>'Macao Daily'!F22</f>
        <v>70</v>
      </c>
      <c r="H19" s="36">
        <v>5.6875</v>
      </c>
      <c r="I19" s="9">
        <f>'Macao Daily'!H22</f>
        <v>39609</v>
      </c>
      <c r="J19" s="36">
        <v>0.1925</v>
      </c>
      <c r="K19" s="9">
        <f>'Macao Daily'!J22</f>
        <v>0</v>
      </c>
      <c r="L19" s="36">
        <v>7.7647000000000004</v>
      </c>
      <c r="M19" s="9">
        <f>'Macao Daily'!K22</f>
        <v>151</v>
      </c>
      <c r="N19" s="9">
        <f>'Macao Daily'!L22</f>
        <v>226</v>
      </c>
    </row>
    <row r="20" spans="1:14" ht="15.75">
      <c r="A20" s="6" t="s">
        <v>13</v>
      </c>
      <c r="B20" s="7">
        <f t="shared" si="0"/>
        <v>19</v>
      </c>
      <c r="C20" s="8">
        <v>3</v>
      </c>
      <c r="D20" s="7">
        <v>2021</v>
      </c>
      <c r="E20" s="9">
        <f>'Macao Daily'!D23</f>
        <v>37037</v>
      </c>
      <c r="F20" s="36">
        <v>1.1718999999999999</v>
      </c>
      <c r="G20" s="9">
        <f>'Macao Daily'!F23</f>
        <v>92</v>
      </c>
      <c r="H20" s="36">
        <v>5.6875</v>
      </c>
      <c r="I20" s="9">
        <f>'Macao Daily'!H23</f>
        <v>46094</v>
      </c>
      <c r="J20" s="36">
        <v>0.1925</v>
      </c>
      <c r="K20" s="9">
        <f>'Macao Daily'!J23</f>
        <v>0</v>
      </c>
      <c r="L20" s="36">
        <v>7.7647000000000004</v>
      </c>
      <c r="M20" s="9">
        <f>'Macao Daily'!K23</f>
        <v>221</v>
      </c>
      <c r="N20" s="9">
        <f>'Macao Daily'!L23</f>
        <v>312</v>
      </c>
    </row>
    <row r="21" spans="1:14" ht="15.75">
      <c r="A21" s="6" t="s">
        <v>13</v>
      </c>
      <c r="B21" s="7">
        <f t="shared" si="0"/>
        <v>20</v>
      </c>
      <c r="C21" s="8">
        <v>3</v>
      </c>
      <c r="D21" s="7">
        <v>2021</v>
      </c>
      <c r="E21" s="9">
        <f>'Macao Daily'!D24</f>
        <v>36472</v>
      </c>
      <c r="F21" s="36">
        <v>1.1718999999999999</v>
      </c>
      <c r="G21" s="9">
        <f>'Macao Daily'!F24</f>
        <v>115</v>
      </c>
      <c r="H21" s="36">
        <v>5.6875</v>
      </c>
      <c r="I21" s="9">
        <f>'Macao Daily'!H24</f>
        <v>49094</v>
      </c>
      <c r="J21" s="36">
        <v>0.1925</v>
      </c>
      <c r="K21" s="9">
        <f>'Macao Daily'!J24</f>
        <v>0</v>
      </c>
      <c r="L21" s="36">
        <v>7.7647000000000004</v>
      </c>
      <c r="M21" s="9">
        <f>'Macao Daily'!K24</f>
        <v>360</v>
      </c>
      <c r="N21" s="9">
        <f>'Macao Daily'!L24</f>
        <v>904</v>
      </c>
    </row>
    <row r="22" spans="1:14" ht="15.75">
      <c r="A22" s="6" t="s">
        <v>13</v>
      </c>
      <c r="B22" s="7">
        <f t="shared" si="0"/>
        <v>21</v>
      </c>
      <c r="C22" s="8">
        <v>3</v>
      </c>
      <c r="D22" s="7">
        <v>2021</v>
      </c>
      <c r="E22" s="9">
        <f>'Macao Daily'!D25</f>
        <v>37492</v>
      </c>
      <c r="F22" s="36">
        <v>1.1718999999999999</v>
      </c>
      <c r="G22" s="9">
        <f>'Macao Daily'!F25</f>
        <v>97</v>
      </c>
      <c r="H22" s="36">
        <v>5.6875</v>
      </c>
      <c r="I22" s="9">
        <f>'Macao Daily'!H25</f>
        <v>39391</v>
      </c>
      <c r="J22" s="36">
        <v>0.1925</v>
      </c>
      <c r="K22" s="9">
        <f>'Macao Daily'!J25</f>
        <v>0</v>
      </c>
      <c r="L22" s="36">
        <v>7.7647000000000004</v>
      </c>
      <c r="M22" s="9">
        <f>'Macao Daily'!K25</f>
        <v>199</v>
      </c>
      <c r="N22" s="9">
        <f>'Macao Daily'!L25</f>
        <v>667</v>
      </c>
    </row>
    <row r="23" spans="1:14" ht="15.75">
      <c r="A23" s="6" t="s">
        <v>13</v>
      </c>
      <c r="B23" s="7">
        <f t="shared" si="0"/>
        <v>22</v>
      </c>
      <c r="C23" s="8">
        <v>3</v>
      </c>
      <c r="D23" s="7">
        <v>2021</v>
      </c>
      <c r="E23" s="9">
        <f>'Macao Daily'!D26</f>
        <v>35933</v>
      </c>
      <c r="F23" s="36">
        <v>1.1718999999999999</v>
      </c>
      <c r="G23" s="9">
        <f>'Macao Daily'!F26</f>
        <v>95</v>
      </c>
      <c r="H23" s="36">
        <v>5.6875</v>
      </c>
      <c r="I23" s="9">
        <f>'Macao Daily'!H26</f>
        <v>22445</v>
      </c>
      <c r="J23" s="36">
        <v>0.1925</v>
      </c>
      <c r="K23" s="9">
        <f>'Macao Daily'!J26</f>
        <v>0</v>
      </c>
      <c r="L23" s="36">
        <v>7.7647000000000004</v>
      </c>
      <c r="M23" s="9">
        <f>'Macao Daily'!K26</f>
        <v>164</v>
      </c>
      <c r="N23" s="9">
        <f>'Macao Daily'!L26</f>
        <v>255</v>
      </c>
    </row>
    <row r="24" spans="1:14" ht="15.75">
      <c r="A24" s="6" t="s">
        <v>13</v>
      </c>
      <c r="B24" s="7">
        <f t="shared" si="0"/>
        <v>23</v>
      </c>
      <c r="C24" s="8">
        <v>3</v>
      </c>
      <c r="D24" s="7">
        <v>2021</v>
      </c>
      <c r="E24" s="9">
        <f>'Macao Daily'!D27</f>
        <v>31731</v>
      </c>
      <c r="F24" s="36">
        <v>1.1718999999999999</v>
      </c>
      <c r="G24" s="9">
        <f>'Macao Daily'!F27</f>
        <v>59</v>
      </c>
      <c r="H24" s="36">
        <v>5.6875</v>
      </c>
      <c r="I24" s="9">
        <f>'Macao Daily'!H27</f>
        <v>20234</v>
      </c>
      <c r="J24" s="36">
        <v>0.1925</v>
      </c>
      <c r="K24" s="9">
        <f>'Macao Daily'!J27</f>
        <v>0</v>
      </c>
      <c r="L24" s="36">
        <v>7.7647000000000004</v>
      </c>
      <c r="M24" s="9">
        <f>'Macao Daily'!K27</f>
        <v>181</v>
      </c>
      <c r="N24" s="9">
        <f>'Macao Daily'!L27</f>
        <v>226</v>
      </c>
    </row>
    <row r="25" spans="1:14" ht="15.75">
      <c r="A25" s="6" t="s">
        <v>13</v>
      </c>
      <c r="B25" s="7">
        <f t="shared" si="0"/>
        <v>24</v>
      </c>
      <c r="C25" s="8">
        <v>3</v>
      </c>
      <c r="D25" s="7">
        <v>2021</v>
      </c>
      <c r="E25" s="9">
        <f>'Macao Daily'!D28</f>
        <v>32140</v>
      </c>
      <c r="F25" s="36">
        <v>1.1718999999999999</v>
      </c>
      <c r="G25" s="9">
        <f>'Macao Daily'!F28</f>
        <v>70</v>
      </c>
      <c r="H25" s="36">
        <v>5.6875</v>
      </c>
      <c r="I25" s="9">
        <f>'Macao Daily'!H28</f>
        <v>23250</v>
      </c>
      <c r="J25" s="36">
        <v>0.1925</v>
      </c>
      <c r="K25" s="9">
        <f>'Macao Daily'!J28</f>
        <v>0</v>
      </c>
      <c r="L25" s="36">
        <v>7.7647000000000004</v>
      </c>
      <c r="M25" s="9">
        <f>'Macao Daily'!K28</f>
        <v>190</v>
      </c>
      <c r="N25" s="9">
        <f>'Macao Daily'!L28</f>
        <v>226</v>
      </c>
    </row>
    <row r="26" spans="1:14" ht="15.75">
      <c r="A26" s="6" t="s">
        <v>13</v>
      </c>
      <c r="B26" s="7">
        <f>B25+1</f>
        <v>25</v>
      </c>
      <c r="C26" s="8">
        <v>3</v>
      </c>
      <c r="D26" s="7">
        <v>2021</v>
      </c>
      <c r="E26" s="9">
        <f>'Macao Daily'!D29</f>
        <v>35368</v>
      </c>
      <c r="F26" s="36">
        <v>1.1718999999999999</v>
      </c>
      <c r="G26" s="9">
        <f>'Macao Daily'!F29</f>
        <v>61</v>
      </c>
      <c r="H26" s="36">
        <v>5.6875</v>
      </c>
      <c r="I26" s="9">
        <f>'Macao Daily'!H29</f>
        <v>30172</v>
      </c>
      <c r="J26" s="36">
        <v>0.1925</v>
      </c>
      <c r="K26" s="9">
        <f>'Macao Daily'!J29</f>
        <v>0</v>
      </c>
      <c r="L26" s="36">
        <v>7.7647000000000004</v>
      </c>
      <c r="M26" s="9">
        <f>'Macao Daily'!K29</f>
        <v>228</v>
      </c>
      <c r="N26" s="9">
        <f>'Macao Daily'!L29</f>
        <v>212</v>
      </c>
    </row>
    <row r="27" spans="1:14" ht="15.75">
      <c r="A27" s="6" t="s">
        <v>13</v>
      </c>
      <c r="B27" s="7">
        <f t="shared" si="0"/>
        <v>26</v>
      </c>
      <c r="C27" s="8">
        <v>3</v>
      </c>
      <c r="D27" s="7">
        <v>2021</v>
      </c>
      <c r="E27" s="9">
        <f>'Macao Daily'!D30</f>
        <v>35422</v>
      </c>
      <c r="F27" s="36">
        <v>1.1718999999999999</v>
      </c>
      <c r="G27" s="9">
        <f>'Macao Daily'!F30</f>
        <v>88</v>
      </c>
      <c r="H27" s="36">
        <v>5.6875</v>
      </c>
      <c r="I27" s="9">
        <f>'Macao Daily'!H30</f>
        <v>32422</v>
      </c>
      <c r="J27" s="36">
        <v>0.1925</v>
      </c>
      <c r="K27" s="9">
        <f>'Macao Daily'!J30</f>
        <v>0</v>
      </c>
      <c r="L27" s="36">
        <v>7.7647000000000004</v>
      </c>
      <c r="M27" s="9">
        <f>'Macao Daily'!K30</f>
        <v>257</v>
      </c>
      <c r="N27" s="9">
        <f>'Macao Daily'!L30</f>
        <v>405</v>
      </c>
    </row>
    <row r="28" spans="1:14" ht="15.75">
      <c r="A28" s="6" t="s">
        <v>13</v>
      </c>
      <c r="B28" s="7">
        <f t="shared" si="0"/>
        <v>27</v>
      </c>
      <c r="C28" s="8">
        <v>3</v>
      </c>
      <c r="D28" s="7">
        <v>2021</v>
      </c>
      <c r="E28" s="9">
        <f>'Macao Daily'!D31</f>
        <v>36889</v>
      </c>
      <c r="F28" s="36">
        <v>1.1718999999999999</v>
      </c>
      <c r="G28" s="9">
        <f>'Macao Daily'!F31</f>
        <v>104</v>
      </c>
      <c r="H28" s="36">
        <v>5.6875</v>
      </c>
      <c r="I28" s="9">
        <f>'Macao Daily'!H31</f>
        <v>40172</v>
      </c>
      <c r="J28" s="36">
        <v>0.1925</v>
      </c>
      <c r="K28" s="9">
        <f>'Macao Daily'!J31</f>
        <v>0</v>
      </c>
      <c r="L28" s="36">
        <v>7.7647000000000004</v>
      </c>
      <c r="M28" s="9">
        <f>'Macao Daily'!K31</f>
        <v>347</v>
      </c>
      <c r="N28" s="9">
        <f>'Macao Daily'!L31</f>
        <v>966</v>
      </c>
    </row>
    <row r="29" spans="1:14" ht="15.75">
      <c r="A29" s="6" t="s">
        <v>13</v>
      </c>
      <c r="B29" s="7">
        <f t="shared" si="0"/>
        <v>28</v>
      </c>
      <c r="C29" s="8">
        <v>3</v>
      </c>
      <c r="D29" s="7">
        <v>2021</v>
      </c>
      <c r="E29" s="9">
        <f>'Macao Daily'!D32</f>
        <v>35485</v>
      </c>
      <c r="F29" s="36">
        <v>1.1718999999999999</v>
      </c>
      <c r="G29" s="9">
        <f>'Macao Daily'!F32</f>
        <v>101</v>
      </c>
      <c r="H29" s="36">
        <v>5.6875</v>
      </c>
      <c r="I29" s="9">
        <f>'Macao Daily'!H32</f>
        <v>42648</v>
      </c>
      <c r="J29" s="36">
        <v>0.1925</v>
      </c>
      <c r="K29" s="9">
        <f>'Macao Daily'!J32</f>
        <v>0</v>
      </c>
      <c r="L29" s="36">
        <v>7.7647000000000004</v>
      </c>
      <c r="M29" s="9">
        <f>'Macao Daily'!K32</f>
        <v>232</v>
      </c>
      <c r="N29" s="9">
        <f>'Macao Daily'!L32</f>
        <v>590</v>
      </c>
    </row>
    <row r="30" spans="1:14" ht="15.75">
      <c r="A30" s="6" t="s">
        <v>13</v>
      </c>
      <c r="B30" s="7">
        <f t="shared" si="0"/>
        <v>29</v>
      </c>
      <c r="C30" s="8">
        <v>3</v>
      </c>
      <c r="D30" s="7">
        <v>2021</v>
      </c>
      <c r="E30" s="9">
        <f>'Macao Daily'!D33</f>
        <v>36269</v>
      </c>
      <c r="F30" s="36">
        <v>2.1718999999999999</v>
      </c>
      <c r="G30" s="9">
        <f>'Macao Daily'!F33</f>
        <v>90</v>
      </c>
      <c r="H30" s="36">
        <v>6.6875</v>
      </c>
      <c r="I30" s="9">
        <f>'Macao Daily'!H33</f>
        <v>49922</v>
      </c>
      <c r="J30" s="36">
        <v>1.1924999999999999</v>
      </c>
      <c r="K30" s="9">
        <f>'Macao Daily'!J33</f>
        <v>0</v>
      </c>
      <c r="L30" s="36">
        <v>8.7646999999999995</v>
      </c>
      <c r="M30" s="9">
        <f>'Macao Daily'!K33</f>
        <v>189</v>
      </c>
      <c r="N30" s="9">
        <f>'Macao Daily'!L33</f>
        <v>256</v>
      </c>
    </row>
    <row r="31" spans="1:14" ht="15.75">
      <c r="A31" s="6" t="s">
        <v>13</v>
      </c>
      <c r="B31" s="7">
        <f t="shared" si="0"/>
        <v>30</v>
      </c>
      <c r="C31" s="8">
        <v>3</v>
      </c>
      <c r="D31" s="7">
        <v>2021</v>
      </c>
      <c r="E31" s="9">
        <f>'Macao Daily'!D34</f>
        <v>33912</v>
      </c>
      <c r="F31" s="36">
        <v>3.1718999999999999</v>
      </c>
      <c r="G31" s="9">
        <f>'Macao Daily'!F34</f>
        <v>77</v>
      </c>
      <c r="H31" s="36">
        <v>7.6875</v>
      </c>
      <c r="I31" s="9">
        <f>'Macao Daily'!H34</f>
        <v>50516</v>
      </c>
      <c r="J31" s="36">
        <v>2.1924999999999999</v>
      </c>
      <c r="K31" s="9">
        <f>'Macao Daily'!J34</f>
        <v>0</v>
      </c>
      <c r="L31" s="36">
        <v>9.7646999999999995</v>
      </c>
      <c r="M31" s="9">
        <f>'Macao Daily'!K34</f>
        <v>174</v>
      </c>
      <c r="N31" s="9">
        <f>'Macao Daily'!L34</f>
        <v>263</v>
      </c>
    </row>
    <row r="32" spans="1:14" ht="15.75">
      <c r="A32" s="6" t="s">
        <v>13</v>
      </c>
      <c r="B32" s="7">
        <f t="shared" si="0"/>
        <v>31</v>
      </c>
      <c r="C32" s="8">
        <v>3</v>
      </c>
      <c r="D32" s="7">
        <v>2021</v>
      </c>
      <c r="E32" s="9">
        <f>'Macao Daily'!D35</f>
        <v>33061</v>
      </c>
      <c r="F32" s="36">
        <v>4.1718999999999999</v>
      </c>
      <c r="G32" s="9">
        <f>'Macao Daily'!F35</f>
        <v>75</v>
      </c>
      <c r="H32" s="36">
        <v>8.6875</v>
      </c>
      <c r="I32" s="9">
        <f>'Macao Daily'!H35</f>
        <v>50844</v>
      </c>
      <c r="J32" s="36">
        <v>3.1924999999999999</v>
      </c>
      <c r="K32" s="9">
        <f>'Macao Daily'!J35</f>
        <v>0</v>
      </c>
      <c r="L32" s="36">
        <v>10.764699999999999</v>
      </c>
      <c r="M32" s="9">
        <f>'Macao Daily'!K35</f>
        <v>172</v>
      </c>
      <c r="N32" s="9">
        <f>'Macao Daily'!L35</f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47"/>
  <sheetViews>
    <sheetView tabSelected="1" zoomScale="85" zoomScaleNormal="85" workbookViewId="0">
      <pane xSplit="1" topLeftCell="B1" activePane="topRight" state="frozen"/>
      <selection pane="topRight" activeCell="G39" sqref="G39"/>
    </sheetView>
  </sheetViews>
  <sheetFormatPr defaultRowHeight="15.75"/>
  <cols>
    <col min="1" max="1" width="14" style="13" customWidth="1"/>
    <col min="2" max="2" width="2" style="13" customWidth="1"/>
    <col min="3" max="3" width="14.28515625" style="31" bestFit="1" customWidth="1"/>
    <col min="4" max="4" width="13.5703125" style="32" customWidth="1"/>
    <col min="5" max="5" width="14.85546875" style="13" customWidth="1"/>
    <col min="6" max="8" width="14.85546875" style="31" customWidth="1"/>
    <col min="9" max="9" width="8.85546875" style="13" customWidth="1"/>
    <col min="10" max="10" width="12.5703125" style="13" customWidth="1"/>
    <col min="11" max="12" width="13" style="33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>
      <c r="A1" s="10"/>
      <c r="B1" s="39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2" ht="35.25" customHeight="1" thickBot="1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>
      <c r="A4" s="22">
        <v>44255</v>
      </c>
      <c r="B4" s="39"/>
      <c r="C4" s="23">
        <v>158693959</v>
      </c>
      <c r="D4" s="24"/>
      <c r="E4" s="23">
        <v>521394</v>
      </c>
      <c r="F4" s="25"/>
      <c r="G4" s="23">
        <v>95264699</v>
      </c>
      <c r="H4" s="25"/>
      <c r="I4" s="23">
        <v>0</v>
      </c>
      <c r="K4" s="27"/>
      <c r="L4" s="27"/>
    </row>
    <row r="5" spans="1:12" ht="33" customHeight="1">
      <c r="A5" s="28">
        <v>44256</v>
      </c>
      <c r="B5" s="39"/>
      <c r="C5" s="29">
        <v>158725985</v>
      </c>
      <c r="D5" s="30">
        <f t="shared" ref="D5:D19" si="0">IF((C5-C4&lt;0), "0",C5-C4)</f>
        <v>32026</v>
      </c>
      <c r="E5" s="29">
        <v>521470</v>
      </c>
      <c r="F5" s="30">
        <f>IF((E5-E4&lt;0), "0",E5-E4)</f>
        <v>76</v>
      </c>
      <c r="G5" s="29">
        <v>95293152</v>
      </c>
      <c r="H5" s="30">
        <f>IF((G5-G4&lt;0), "0",G5-G4)</f>
        <v>28453</v>
      </c>
      <c r="I5" s="29">
        <v>0</v>
      </c>
      <c r="J5" s="30">
        <f>IF((I5-I4&lt;0), "0",I5-I4)</f>
        <v>0</v>
      </c>
      <c r="K5" s="37">
        <v>107</v>
      </c>
      <c r="L5" s="37">
        <v>196</v>
      </c>
    </row>
    <row r="6" spans="1:12" ht="45" customHeight="1">
      <c r="A6" s="28">
        <v>44257</v>
      </c>
      <c r="B6" s="39"/>
      <c r="C6" s="29">
        <v>158757731</v>
      </c>
      <c r="D6" s="30">
        <f t="shared" si="0"/>
        <v>31746</v>
      </c>
      <c r="E6" s="29">
        <v>521542</v>
      </c>
      <c r="F6" s="30">
        <f t="shared" ref="F6:F19" si="1">IF((E6-E5&lt;0), "0",E6-E5)</f>
        <v>72</v>
      </c>
      <c r="G6" s="29">
        <v>95318745</v>
      </c>
      <c r="H6" s="30">
        <f t="shared" ref="H6:H32" si="2">IF((G6-G5&lt;0), "0",G6-G5)</f>
        <v>25593</v>
      </c>
      <c r="I6" s="29">
        <v>0</v>
      </c>
      <c r="J6" s="30">
        <f t="shared" ref="J6:J32" si="3">IF((I6-I5&lt;0), "0",I6-I5)</f>
        <v>0</v>
      </c>
      <c r="K6" s="37">
        <v>106</v>
      </c>
      <c r="L6" s="37">
        <v>173</v>
      </c>
    </row>
    <row r="7" spans="1:12" ht="45" customHeight="1">
      <c r="A7" s="28">
        <v>44258</v>
      </c>
      <c r="B7" s="39"/>
      <c r="C7" s="29">
        <v>158790493</v>
      </c>
      <c r="D7" s="30">
        <f t="shared" si="0"/>
        <v>32762</v>
      </c>
      <c r="E7" s="29">
        <v>521610</v>
      </c>
      <c r="F7" s="30">
        <f t="shared" si="1"/>
        <v>68</v>
      </c>
      <c r="G7" s="29">
        <v>95342667</v>
      </c>
      <c r="H7" s="30">
        <f t="shared" si="2"/>
        <v>23922</v>
      </c>
      <c r="I7" s="29">
        <v>0</v>
      </c>
      <c r="J7" s="30">
        <f t="shared" si="3"/>
        <v>0</v>
      </c>
      <c r="K7" s="37">
        <v>100</v>
      </c>
      <c r="L7" s="37">
        <v>145</v>
      </c>
    </row>
    <row r="8" spans="1:12" ht="45" customHeight="1">
      <c r="A8" s="28">
        <v>44259</v>
      </c>
      <c r="B8" s="39"/>
      <c r="C8" s="29">
        <v>158823105</v>
      </c>
      <c r="D8" s="30">
        <f t="shared" si="0"/>
        <v>32612</v>
      </c>
      <c r="E8" s="29">
        <v>521682</v>
      </c>
      <c r="F8" s="30">
        <f t="shared" si="1"/>
        <v>72</v>
      </c>
      <c r="G8" s="29">
        <v>95366863</v>
      </c>
      <c r="H8" s="30">
        <f t="shared" si="2"/>
        <v>24196</v>
      </c>
      <c r="I8" s="29">
        <v>0</v>
      </c>
      <c r="J8" s="30">
        <f t="shared" si="3"/>
        <v>0</v>
      </c>
      <c r="K8" s="37">
        <v>91</v>
      </c>
      <c r="L8" s="37">
        <v>209</v>
      </c>
    </row>
    <row r="9" spans="1:12" ht="45" customHeight="1">
      <c r="A9" s="28">
        <v>44260</v>
      </c>
      <c r="B9" s="39"/>
      <c r="C9" s="29">
        <v>158856483</v>
      </c>
      <c r="D9" s="30">
        <f t="shared" si="0"/>
        <v>33378</v>
      </c>
      <c r="E9" s="29">
        <v>521769</v>
      </c>
      <c r="F9" s="30">
        <f t="shared" si="1"/>
        <v>87</v>
      </c>
      <c r="G9" s="29">
        <v>95394128</v>
      </c>
      <c r="H9" s="30">
        <f t="shared" si="2"/>
        <v>27265</v>
      </c>
      <c r="I9" s="29">
        <v>0</v>
      </c>
      <c r="J9" s="30">
        <f t="shared" si="3"/>
        <v>0</v>
      </c>
      <c r="K9" s="37">
        <v>173</v>
      </c>
      <c r="L9" s="37">
        <v>346</v>
      </c>
    </row>
    <row r="10" spans="1:12" ht="45" customHeight="1">
      <c r="A10" s="28">
        <v>44261</v>
      </c>
      <c r="B10" s="39"/>
      <c r="C10" s="29">
        <v>158889838</v>
      </c>
      <c r="D10" s="30">
        <f t="shared" si="0"/>
        <v>33355</v>
      </c>
      <c r="E10" s="29">
        <v>521859</v>
      </c>
      <c r="F10" s="30">
        <f t="shared" si="1"/>
        <v>90</v>
      </c>
      <c r="G10" s="29">
        <v>95423706</v>
      </c>
      <c r="H10" s="30">
        <f t="shared" si="2"/>
        <v>29578</v>
      </c>
      <c r="I10" s="29">
        <v>0</v>
      </c>
      <c r="J10" s="30">
        <f t="shared" si="3"/>
        <v>0</v>
      </c>
      <c r="K10" s="37">
        <v>221</v>
      </c>
      <c r="L10" s="37">
        <v>468</v>
      </c>
    </row>
    <row r="11" spans="1:12" ht="45" customHeight="1">
      <c r="A11" s="28">
        <v>44262</v>
      </c>
      <c r="B11" s="39"/>
      <c r="C11" s="29">
        <v>158924822</v>
      </c>
      <c r="D11" s="30">
        <f t="shared" si="0"/>
        <v>34984</v>
      </c>
      <c r="E11" s="29">
        <v>521954</v>
      </c>
      <c r="F11" s="30">
        <f t="shared" si="1"/>
        <v>95</v>
      </c>
      <c r="G11" s="29">
        <v>95453421</v>
      </c>
      <c r="H11" s="30">
        <f t="shared" si="2"/>
        <v>29715</v>
      </c>
      <c r="I11" s="29">
        <v>0</v>
      </c>
      <c r="J11" s="30">
        <f t="shared" si="3"/>
        <v>0</v>
      </c>
      <c r="K11" s="37">
        <v>161</v>
      </c>
      <c r="L11" s="37">
        <v>443</v>
      </c>
    </row>
    <row r="12" spans="1:12" ht="45" customHeight="1">
      <c r="A12" s="28">
        <v>44263</v>
      </c>
      <c r="B12" s="39"/>
      <c r="C12" s="29">
        <v>158958726</v>
      </c>
      <c r="D12" s="30">
        <f t="shared" si="0"/>
        <v>33904</v>
      </c>
      <c r="E12" s="29">
        <v>522026</v>
      </c>
      <c r="F12" s="30">
        <f t="shared" si="1"/>
        <v>72</v>
      </c>
      <c r="G12" s="29">
        <v>95479972</v>
      </c>
      <c r="H12" s="30">
        <f t="shared" si="2"/>
        <v>26551</v>
      </c>
      <c r="I12" s="29">
        <v>0</v>
      </c>
      <c r="J12" s="30">
        <f t="shared" si="3"/>
        <v>0</v>
      </c>
      <c r="K12" s="37">
        <v>130</v>
      </c>
      <c r="L12" s="37">
        <v>231</v>
      </c>
    </row>
    <row r="13" spans="1:12" ht="45" customHeight="1">
      <c r="A13" s="28">
        <v>44264</v>
      </c>
      <c r="B13" s="39"/>
      <c r="C13" s="29">
        <v>158991662</v>
      </c>
      <c r="D13" s="30">
        <f t="shared" si="0"/>
        <v>32936</v>
      </c>
      <c r="E13" s="29">
        <v>522088</v>
      </c>
      <c r="F13" s="30">
        <f t="shared" si="1"/>
        <v>62</v>
      </c>
      <c r="G13" s="29">
        <v>95508972</v>
      </c>
      <c r="H13" s="30">
        <f t="shared" si="2"/>
        <v>29000</v>
      </c>
      <c r="I13" s="29">
        <v>0</v>
      </c>
      <c r="J13" s="30">
        <f t="shared" si="3"/>
        <v>0</v>
      </c>
      <c r="K13" s="37">
        <v>129</v>
      </c>
      <c r="L13" s="37">
        <v>181</v>
      </c>
    </row>
    <row r="14" spans="1:12" ht="45" customHeight="1">
      <c r="A14" s="28">
        <v>44265</v>
      </c>
      <c r="B14" s="39"/>
      <c r="C14" s="29">
        <v>159025957</v>
      </c>
      <c r="D14" s="30">
        <f t="shared" si="0"/>
        <v>34295</v>
      </c>
      <c r="E14" s="29">
        <v>522155</v>
      </c>
      <c r="F14" s="30">
        <f t="shared" si="1"/>
        <v>67</v>
      </c>
      <c r="G14" s="29">
        <v>95538769</v>
      </c>
      <c r="H14" s="30">
        <f t="shared" si="2"/>
        <v>29797</v>
      </c>
      <c r="I14" s="29">
        <v>0</v>
      </c>
      <c r="J14" s="30">
        <f t="shared" si="3"/>
        <v>0</v>
      </c>
      <c r="K14" s="37">
        <v>142</v>
      </c>
      <c r="L14" s="37">
        <v>209</v>
      </c>
    </row>
    <row r="15" spans="1:12" ht="45" customHeight="1">
      <c r="A15" s="28">
        <v>44266</v>
      </c>
      <c r="B15" s="39"/>
      <c r="C15" s="29">
        <v>159060386</v>
      </c>
      <c r="D15" s="30">
        <f t="shared" si="0"/>
        <v>34429</v>
      </c>
      <c r="E15" s="29">
        <v>522220</v>
      </c>
      <c r="F15" s="30">
        <f t="shared" si="1"/>
        <v>65</v>
      </c>
      <c r="G15" s="29">
        <v>95568808</v>
      </c>
      <c r="H15" s="30">
        <f t="shared" si="2"/>
        <v>30039</v>
      </c>
      <c r="I15" s="29">
        <v>0</v>
      </c>
      <c r="J15" s="30">
        <f t="shared" si="3"/>
        <v>0</v>
      </c>
      <c r="K15" s="37">
        <v>168</v>
      </c>
      <c r="L15" s="37">
        <v>233</v>
      </c>
    </row>
    <row r="16" spans="1:12" ht="45" customHeight="1">
      <c r="A16" s="28">
        <v>44267</v>
      </c>
      <c r="B16" s="39"/>
      <c r="C16" s="29">
        <v>159095375</v>
      </c>
      <c r="D16" s="30">
        <f t="shared" si="0"/>
        <v>34989</v>
      </c>
      <c r="E16" s="29">
        <v>522306</v>
      </c>
      <c r="F16" s="30">
        <f t="shared" si="1"/>
        <v>86</v>
      </c>
      <c r="G16" s="29">
        <v>95602995</v>
      </c>
      <c r="H16" s="30">
        <f t="shared" si="2"/>
        <v>34187</v>
      </c>
      <c r="I16" s="29">
        <v>0</v>
      </c>
      <c r="J16" s="30">
        <f t="shared" si="3"/>
        <v>0</v>
      </c>
      <c r="K16" s="37">
        <v>220</v>
      </c>
      <c r="L16" s="37">
        <v>331</v>
      </c>
    </row>
    <row r="17" spans="1:12" ht="45" customHeight="1">
      <c r="A17" s="28">
        <v>44268</v>
      </c>
      <c r="B17" s="39"/>
      <c r="C17" s="29">
        <v>159131928</v>
      </c>
      <c r="D17" s="30">
        <f t="shared" si="0"/>
        <v>36553</v>
      </c>
      <c r="E17" s="29">
        <v>522408</v>
      </c>
      <c r="F17" s="30">
        <f t="shared" si="1"/>
        <v>102</v>
      </c>
      <c r="G17" s="29">
        <v>95636433</v>
      </c>
      <c r="H17" s="30">
        <f t="shared" si="2"/>
        <v>33438</v>
      </c>
      <c r="I17" s="29">
        <v>0</v>
      </c>
      <c r="J17" s="30">
        <f t="shared" si="3"/>
        <v>0</v>
      </c>
      <c r="K17" s="37">
        <v>233</v>
      </c>
      <c r="L17" s="37">
        <v>560</v>
      </c>
    </row>
    <row r="18" spans="1:12" ht="45" customHeight="1">
      <c r="A18" s="28">
        <v>44269</v>
      </c>
      <c r="B18" s="39"/>
      <c r="C18" s="29">
        <v>159167226</v>
      </c>
      <c r="D18" s="30">
        <f t="shared" si="0"/>
        <v>35298</v>
      </c>
      <c r="E18" s="29">
        <v>522500</v>
      </c>
      <c r="F18" s="30">
        <f t="shared" si="1"/>
        <v>92</v>
      </c>
      <c r="G18" s="29">
        <v>95667042</v>
      </c>
      <c r="H18" s="30">
        <f t="shared" si="2"/>
        <v>30609</v>
      </c>
      <c r="I18" s="29">
        <v>0</v>
      </c>
      <c r="J18" s="30">
        <f t="shared" si="3"/>
        <v>0</v>
      </c>
      <c r="K18" s="37">
        <v>156</v>
      </c>
      <c r="L18" s="37">
        <v>650</v>
      </c>
    </row>
    <row r="19" spans="1:12" ht="45" customHeight="1">
      <c r="A19" s="28">
        <v>44270</v>
      </c>
      <c r="B19" s="39"/>
      <c r="C19" s="29">
        <v>159202559</v>
      </c>
      <c r="D19" s="30">
        <f t="shared" si="0"/>
        <v>35333</v>
      </c>
      <c r="E19" s="29">
        <v>522581</v>
      </c>
      <c r="F19" s="30">
        <f t="shared" si="1"/>
        <v>81</v>
      </c>
      <c r="G19" s="29">
        <v>95697456</v>
      </c>
      <c r="H19" s="30">
        <f t="shared" si="2"/>
        <v>30414</v>
      </c>
      <c r="I19" s="29">
        <v>0</v>
      </c>
      <c r="J19" s="30">
        <f t="shared" si="3"/>
        <v>0</v>
      </c>
      <c r="K19" s="37">
        <v>126</v>
      </c>
      <c r="L19" s="37">
        <v>273</v>
      </c>
    </row>
    <row r="20" spans="1:12" ht="45" customHeight="1">
      <c r="A20" s="28">
        <v>44271</v>
      </c>
      <c r="B20" s="39"/>
      <c r="C20" s="29">
        <v>159235632</v>
      </c>
      <c r="D20" s="30">
        <f t="shared" ref="D20:D32" si="4">IF((C20-C19&lt;0), "0",C20-C19)</f>
        <v>33073</v>
      </c>
      <c r="E20" s="29">
        <v>522640</v>
      </c>
      <c r="F20" s="30">
        <f t="shared" ref="F20:F32" si="5">IF((E20-E19&lt;0), "0",E20-E19)</f>
        <v>59</v>
      </c>
      <c r="G20" s="29">
        <v>95731464</v>
      </c>
      <c r="H20" s="30">
        <f t="shared" si="2"/>
        <v>34008</v>
      </c>
      <c r="I20" s="29">
        <v>0</v>
      </c>
      <c r="J20" s="30">
        <f t="shared" si="3"/>
        <v>0</v>
      </c>
      <c r="K20" s="37">
        <v>116</v>
      </c>
      <c r="L20" s="37">
        <v>203</v>
      </c>
    </row>
    <row r="21" spans="1:12" ht="45" customHeight="1">
      <c r="A21" s="28">
        <v>44272</v>
      </c>
      <c r="B21" s="39"/>
      <c r="C21" s="29">
        <v>159269000</v>
      </c>
      <c r="D21" s="30">
        <f t="shared" si="4"/>
        <v>33368</v>
      </c>
      <c r="E21" s="29">
        <v>522706</v>
      </c>
      <c r="F21" s="30">
        <f t="shared" si="5"/>
        <v>66</v>
      </c>
      <c r="G21" s="29">
        <v>95770386</v>
      </c>
      <c r="H21" s="30">
        <f t="shared" si="2"/>
        <v>38922</v>
      </c>
      <c r="I21" s="29">
        <v>0</v>
      </c>
      <c r="J21" s="30">
        <f t="shared" si="3"/>
        <v>0</v>
      </c>
      <c r="K21" s="37">
        <v>120</v>
      </c>
      <c r="L21" s="37">
        <v>202</v>
      </c>
    </row>
    <row r="22" spans="1:12" ht="45" customHeight="1">
      <c r="A22" s="28">
        <v>44273</v>
      </c>
      <c r="B22" s="39"/>
      <c r="C22" s="29">
        <v>159301727</v>
      </c>
      <c r="D22" s="30">
        <f t="shared" si="4"/>
        <v>32727</v>
      </c>
      <c r="E22" s="29">
        <v>522776</v>
      </c>
      <c r="F22" s="30">
        <f t="shared" si="5"/>
        <v>70</v>
      </c>
      <c r="G22" s="29">
        <v>95809995</v>
      </c>
      <c r="H22" s="30">
        <f t="shared" si="2"/>
        <v>39609</v>
      </c>
      <c r="I22" s="29">
        <v>0</v>
      </c>
      <c r="J22" s="30">
        <f t="shared" si="3"/>
        <v>0</v>
      </c>
      <c r="K22" s="37">
        <v>151</v>
      </c>
      <c r="L22" s="37">
        <v>226</v>
      </c>
    </row>
    <row r="23" spans="1:12" ht="45" customHeight="1">
      <c r="A23" s="28">
        <v>44274</v>
      </c>
      <c r="B23" s="39"/>
      <c r="C23" s="29">
        <v>159338764</v>
      </c>
      <c r="D23" s="30">
        <f t="shared" si="4"/>
        <v>37037</v>
      </c>
      <c r="E23" s="29">
        <v>522868</v>
      </c>
      <c r="F23" s="30">
        <f t="shared" si="5"/>
        <v>92</v>
      </c>
      <c r="G23" s="29">
        <v>95856089</v>
      </c>
      <c r="H23" s="30">
        <f t="shared" si="2"/>
        <v>46094</v>
      </c>
      <c r="I23" s="29">
        <v>0</v>
      </c>
      <c r="J23" s="30">
        <f t="shared" si="3"/>
        <v>0</v>
      </c>
      <c r="K23" s="37">
        <v>221</v>
      </c>
      <c r="L23" s="37">
        <v>312</v>
      </c>
    </row>
    <row r="24" spans="1:12" ht="45" customHeight="1">
      <c r="A24" s="28">
        <v>44275</v>
      </c>
      <c r="B24" s="39"/>
      <c r="C24" s="29">
        <v>159375236</v>
      </c>
      <c r="D24" s="30">
        <f t="shared" si="4"/>
        <v>36472</v>
      </c>
      <c r="E24" s="29">
        <v>522983</v>
      </c>
      <c r="F24" s="30">
        <f t="shared" si="5"/>
        <v>115</v>
      </c>
      <c r="G24" s="29">
        <v>95905183</v>
      </c>
      <c r="H24" s="30">
        <f t="shared" si="2"/>
        <v>49094</v>
      </c>
      <c r="I24" s="29">
        <v>0</v>
      </c>
      <c r="J24" s="30">
        <f t="shared" si="3"/>
        <v>0</v>
      </c>
      <c r="K24" s="37">
        <v>360</v>
      </c>
      <c r="L24" s="37">
        <v>904</v>
      </c>
    </row>
    <row r="25" spans="1:12" ht="45" customHeight="1">
      <c r="A25" s="28">
        <v>44276</v>
      </c>
      <c r="B25" s="39"/>
      <c r="C25" s="29">
        <v>159412728</v>
      </c>
      <c r="D25" s="30">
        <f t="shared" si="4"/>
        <v>37492</v>
      </c>
      <c r="E25" s="29">
        <v>523080</v>
      </c>
      <c r="F25" s="30">
        <f t="shared" si="5"/>
        <v>97</v>
      </c>
      <c r="G25" s="29">
        <v>95944574</v>
      </c>
      <c r="H25" s="30">
        <f t="shared" si="2"/>
        <v>39391</v>
      </c>
      <c r="I25" s="29">
        <v>0</v>
      </c>
      <c r="J25" s="30">
        <f t="shared" si="3"/>
        <v>0</v>
      </c>
      <c r="K25" s="37">
        <v>199</v>
      </c>
      <c r="L25" s="37">
        <v>667</v>
      </c>
    </row>
    <row r="26" spans="1:12" ht="45" customHeight="1">
      <c r="A26" s="28">
        <v>44277</v>
      </c>
      <c r="B26" s="39"/>
      <c r="C26" s="29">
        <v>159448661</v>
      </c>
      <c r="D26" s="30">
        <f t="shared" si="4"/>
        <v>35933</v>
      </c>
      <c r="E26" s="29">
        <v>523175</v>
      </c>
      <c r="F26" s="30">
        <f t="shared" si="5"/>
        <v>95</v>
      </c>
      <c r="G26" s="29">
        <v>95967019</v>
      </c>
      <c r="H26" s="30">
        <f t="shared" si="2"/>
        <v>22445</v>
      </c>
      <c r="I26" s="29">
        <v>0</v>
      </c>
      <c r="J26" s="30">
        <f t="shared" si="3"/>
        <v>0</v>
      </c>
      <c r="K26" s="37">
        <v>164</v>
      </c>
      <c r="L26" s="37">
        <v>255</v>
      </c>
    </row>
    <row r="27" spans="1:12" ht="45" customHeight="1">
      <c r="A27" s="28">
        <v>44278</v>
      </c>
      <c r="B27" s="39"/>
      <c r="C27" s="29">
        <v>159480392</v>
      </c>
      <c r="D27" s="30">
        <f t="shared" si="4"/>
        <v>31731</v>
      </c>
      <c r="E27" s="29">
        <v>523234</v>
      </c>
      <c r="F27" s="30">
        <f t="shared" si="5"/>
        <v>59</v>
      </c>
      <c r="G27" s="29">
        <v>95987253</v>
      </c>
      <c r="H27" s="30">
        <f t="shared" si="2"/>
        <v>20234</v>
      </c>
      <c r="I27" s="29">
        <v>0</v>
      </c>
      <c r="J27" s="30">
        <f t="shared" si="3"/>
        <v>0</v>
      </c>
      <c r="K27" s="37">
        <v>181</v>
      </c>
      <c r="L27" s="37">
        <v>226</v>
      </c>
    </row>
    <row r="28" spans="1:12" ht="45" customHeight="1">
      <c r="A28" s="28">
        <v>44279</v>
      </c>
      <c r="B28" s="39"/>
      <c r="C28" s="29">
        <v>159512532</v>
      </c>
      <c r="D28" s="30">
        <f t="shared" si="4"/>
        <v>32140</v>
      </c>
      <c r="E28" s="29">
        <v>523304</v>
      </c>
      <c r="F28" s="30">
        <f t="shared" si="5"/>
        <v>70</v>
      </c>
      <c r="G28" s="29">
        <v>96010503</v>
      </c>
      <c r="H28" s="30">
        <f t="shared" si="2"/>
        <v>23250</v>
      </c>
      <c r="I28" s="29">
        <v>0</v>
      </c>
      <c r="J28" s="30">
        <f t="shared" si="3"/>
        <v>0</v>
      </c>
      <c r="K28" s="37">
        <v>190</v>
      </c>
      <c r="L28" s="37">
        <v>226</v>
      </c>
    </row>
    <row r="29" spans="1:12" ht="45" customHeight="1">
      <c r="A29" s="28">
        <v>44280</v>
      </c>
      <c r="B29" s="39"/>
      <c r="C29" s="29">
        <v>159547900</v>
      </c>
      <c r="D29" s="30">
        <f t="shared" si="4"/>
        <v>35368</v>
      </c>
      <c r="E29" s="29">
        <v>523365</v>
      </c>
      <c r="F29" s="30">
        <f t="shared" si="5"/>
        <v>61</v>
      </c>
      <c r="G29" s="29">
        <v>96040675</v>
      </c>
      <c r="H29" s="30">
        <f t="shared" si="2"/>
        <v>30172</v>
      </c>
      <c r="I29" s="29">
        <v>0</v>
      </c>
      <c r="J29" s="30">
        <f t="shared" si="3"/>
        <v>0</v>
      </c>
      <c r="K29" s="37">
        <v>228</v>
      </c>
      <c r="L29" s="37">
        <v>212</v>
      </c>
    </row>
    <row r="30" spans="1:12" ht="45" customHeight="1">
      <c r="A30" s="28">
        <v>44281</v>
      </c>
      <c r="B30" s="39"/>
      <c r="C30" s="29">
        <v>159583322</v>
      </c>
      <c r="D30" s="30">
        <f t="shared" si="4"/>
        <v>35422</v>
      </c>
      <c r="E30" s="29">
        <v>523453</v>
      </c>
      <c r="F30" s="30">
        <f t="shared" si="5"/>
        <v>88</v>
      </c>
      <c r="G30" s="29">
        <v>96073097</v>
      </c>
      <c r="H30" s="30">
        <f t="shared" si="2"/>
        <v>32422</v>
      </c>
      <c r="I30" s="29">
        <v>0</v>
      </c>
      <c r="J30" s="30">
        <f t="shared" si="3"/>
        <v>0</v>
      </c>
      <c r="K30" s="37">
        <v>257</v>
      </c>
      <c r="L30" s="37">
        <v>405</v>
      </c>
    </row>
    <row r="31" spans="1:12" ht="45" customHeight="1">
      <c r="A31" s="28">
        <v>44282</v>
      </c>
      <c r="B31" s="39"/>
      <c r="C31" s="29">
        <v>159620211</v>
      </c>
      <c r="D31" s="30">
        <f t="shared" si="4"/>
        <v>36889</v>
      </c>
      <c r="E31" s="29">
        <v>523557</v>
      </c>
      <c r="F31" s="30">
        <f t="shared" si="5"/>
        <v>104</v>
      </c>
      <c r="G31" s="29">
        <v>96113269</v>
      </c>
      <c r="H31" s="30">
        <f t="shared" si="2"/>
        <v>40172</v>
      </c>
      <c r="I31" s="29">
        <v>0</v>
      </c>
      <c r="J31" s="30">
        <f t="shared" si="3"/>
        <v>0</v>
      </c>
      <c r="K31" s="37">
        <v>347</v>
      </c>
      <c r="L31" s="37">
        <v>966</v>
      </c>
    </row>
    <row r="32" spans="1:12" ht="45" customHeight="1">
      <c r="A32" s="28">
        <v>44283</v>
      </c>
      <c r="B32" s="39"/>
      <c r="C32" s="29">
        <v>159655696</v>
      </c>
      <c r="D32" s="30">
        <f t="shared" si="4"/>
        <v>35485</v>
      </c>
      <c r="E32" s="29">
        <v>523658</v>
      </c>
      <c r="F32" s="30">
        <f t="shared" si="5"/>
        <v>101</v>
      </c>
      <c r="G32" s="29">
        <v>96155917</v>
      </c>
      <c r="H32" s="30">
        <f t="shared" si="2"/>
        <v>42648</v>
      </c>
      <c r="I32" s="29">
        <v>0</v>
      </c>
      <c r="J32" s="30">
        <f t="shared" si="3"/>
        <v>0</v>
      </c>
      <c r="K32" s="37">
        <v>232</v>
      </c>
      <c r="L32" s="37">
        <v>590</v>
      </c>
    </row>
    <row r="33" spans="1:12" ht="45" customHeight="1">
      <c r="A33" s="28">
        <v>44284</v>
      </c>
      <c r="C33" s="29">
        <v>159691965</v>
      </c>
      <c r="D33" s="30">
        <f t="shared" ref="D33:D35" si="6">IF((C33-C32&lt;0), "0",C33-C32)</f>
        <v>36269</v>
      </c>
      <c r="E33" s="29">
        <v>523748</v>
      </c>
      <c r="F33" s="30">
        <f t="shared" ref="F33:F35" si="7">IF((E33-E32&lt;0), "0",E33-E32)</f>
        <v>90</v>
      </c>
      <c r="G33" s="29">
        <v>96205839</v>
      </c>
      <c r="H33" s="30">
        <f t="shared" ref="H33:H35" si="8">IF((G33-G32&lt;0), "0",G33-G32)</f>
        <v>49922</v>
      </c>
      <c r="I33" s="29">
        <v>0</v>
      </c>
      <c r="J33" s="30">
        <f t="shared" ref="J33:J35" si="9">IF((I33-I32&lt;0), "0",I33-I32)</f>
        <v>0</v>
      </c>
      <c r="K33" s="37">
        <v>189</v>
      </c>
      <c r="L33" s="37">
        <v>256</v>
      </c>
    </row>
    <row r="34" spans="1:12" ht="45" customHeight="1">
      <c r="A34" s="28">
        <v>44285</v>
      </c>
      <c r="C34" s="29">
        <v>159725877</v>
      </c>
      <c r="D34" s="30">
        <f t="shared" si="6"/>
        <v>33912</v>
      </c>
      <c r="E34" s="29">
        <v>523825</v>
      </c>
      <c r="F34" s="30">
        <f t="shared" si="7"/>
        <v>77</v>
      </c>
      <c r="G34" s="29">
        <v>96256355</v>
      </c>
      <c r="H34" s="30">
        <f t="shared" si="8"/>
        <v>50516</v>
      </c>
      <c r="I34" s="29">
        <v>0</v>
      </c>
      <c r="J34" s="30">
        <f t="shared" si="9"/>
        <v>0</v>
      </c>
      <c r="K34" s="37">
        <v>174</v>
      </c>
      <c r="L34" s="37">
        <v>263</v>
      </c>
    </row>
    <row r="35" spans="1:12" ht="45" customHeight="1">
      <c r="A35" s="28">
        <v>44286</v>
      </c>
      <c r="C35" s="29">
        <v>159758938</v>
      </c>
      <c r="D35" s="30">
        <f t="shared" si="6"/>
        <v>33061</v>
      </c>
      <c r="E35" s="29">
        <v>523900</v>
      </c>
      <c r="F35" s="30">
        <f t="shared" si="7"/>
        <v>75</v>
      </c>
      <c r="G35" s="29">
        <v>96307199</v>
      </c>
      <c r="H35" s="30">
        <f t="shared" si="8"/>
        <v>50844</v>
      </c>
      <c r="I35" s="29">
        <v>0</v>
      </c>
      <c r="J35" s="30">
        <f t="shared" si="9"/>
        <v>0</v>
      </c>
      <c r="K35" s="37">
        <v>172</v>
      </c>
      <c r="L35" s="37">
        <v>248</v>
      </c>
    </row>
    <row r="47" spans="1:12" ht="15.75" customHeight="1">
      <c r="C47" s="38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Eddie Fong</cp:lastModifiedBy>
  <cp:revision/>
  <dcterms:created xsi:type="dcterms:W3CDTF">2009-02-11T09:03:59Z</dcterms:created>
  <dcterms:modified xsi:type="dcterms:W3CDTF">2021-04-13T07:33:45Z</dcterms:modified>
  <cp:category/>
  <cp:contentStatus/>
</cp:coreProperties>
</file>