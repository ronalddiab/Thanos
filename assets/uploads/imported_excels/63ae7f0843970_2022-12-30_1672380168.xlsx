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26" documentId="11_CCC2C1DB208A2E5D0918FB30CD6141A09D2EB6FA" xr6:coauthVersionLast="47" xr6:coauthVersionMax="47" xr10:uidLastSave="{B0192D7A-4D3C-483F-9364-98A3F1F80C46}"/>
  <bookViews>
    <workbookView xWindow="0" yWindow="0" windowWidth="15690" windowHeight="8055" firstSheet="1" activeTab="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6" i="1" l="1"/>
  <c r="G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<sst xmlns="http://schemas.openxmlformats.org/spreadsheetml/2006/main" count="692" uniqueCount="79">
  <si>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</si>
  <si>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</si>
  <si>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</si>
  <si>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</si>
  <si>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</si>
  <si>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</si>
  <si>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</si>
  <si>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</si>
  <si>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</si>
  <si>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</si>
  <si>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</si>
  <si>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</si>
  <si>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</si>
  <si>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</si>
  <si>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31,.5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</si>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</sst>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3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B322" workbookViewId="0">
      <selection activeCell="P354" sqref="P354"/>
    </sheetView>
  </sheetViews>
  <sheetFormatPr defaultRowHeight="1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>
        <v>31.44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>
        <v>31.44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>
        <v>31.44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>
        <v>31.44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>
        <v>31.44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>
        <v>31.44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>
        <v>31.44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>
        <v>31.44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3.94</v>
      </c>
      <c r="G275" s="4">
        <f>'Gas Water'!M278</f>
        <v>1829</v>
      </c>
      <c r="H275" s="124">
        <v>20</v>
      </c>
      <c r="I275" s="2">
        <f>'Gas Water'!L278</f>
        <v>283</v>
      </c>
      <c r="J275" s="124">
        <v>31.5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3.4</v>
      </c>
      <c r="G276" s="4">
        <f>'Gas Water'!M279</f>
        <v>2320</v>
      </c>
      <c r="H276" s="124">
        <v>22.15</v>
      </c>
      <c r="I276" s="2">
        <f>'Gas Water'!L279</f>
        <v>335</v>
      </c>
      <c r="J276" s="124">
        <v>31.5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3.4</v>
      </c>
      <c r="G277" s="4">
        <f>'Gas Water'!M280</f>
        <v>2189</v>
      </c>
      <c r="H277" s="124">
        <v>22.15</v>
      </c>
      <c r="I277" s="2">
        <f>'Gas Water'!L280</f>
        <v>251</v>
      </c>
      <c r="J277" s="124">
        <v>31.5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3.4</v>
      </c>
      <c r="G278" s="4">
        <f>'Gas Water'!M281</f>
        <v>2461</v>
      </c>
      <c r="H278" s="124">
        <v>22.15</v>
      </c>
      <c r="I278" s="2">
        <f>'Gas Water'!L281</f>
        <v>277</v>
      </c>
      <c r="J278" s="124">
        <v>31.5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3.4</v>
      </c>
      <c r="G279" s="4">
        <f>'Gas Water'!M282</f>
        <v>2849</v>
      </c>
      <c r="H279" s="124">
        <v>22.15</v>
      </c>
      <c r="I279" s="2">
        <f>'Gas Water'!L282</f>
        <v>243</v>
      </c>
      <c r="J279" s="124">
        <v>31.5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3.4</v>
      </c>
      <c r="G280" s="4">
        <f>'Gas Water'!M283</f>
        <v>1574</v>
      </c>
      <c r="H280" s="124">
        <v>22.15</v>
      </c>
      <c r="I280" s="2">
        <f>'Gas Water'!L283</f>
        <v>290</v>
      </c>
      <c r="J280" s="124">
        <v>31.5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3.4</v>
      </c>
      <c r="G281" s="4">
        <f>'Gas Water'!M284</f>
        <v>2356</v>
      </c>
      <c r="H281" s="124">
        <v>22.15</v>
      </c>
      <c r="I281" s="2">
        <f>'Gas Water'!L284</f>
        <v>285</v>
      </c>
      <c r="J281" s="124">
        <v>31.5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3.4</v>
      </c>
      <c r="G282" s="4">
        <f>'Gas Water'!M285</f>
        <v>2221</v>
      </c>
      <c r="H282" s="124">
        <v>22.15</v>
      </c>
      <c r="I282" s="2">
        <f>'Gas Water'!L285</f>
        <v>252</v>
      </c>
      <c r="J282" s="124">
        <v>31.5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3.4</v>
      </c>
      <c r="G283" s="4">
        <f>'Gas Water'!M286</f>
        <v>2181</v>
      </c>
      <c r="H283" s="124">
        <v>22.15</v>
      </c>
      <c r="I283" s="2">
        <f>'Gas Water'!L286</f>
        <v>254</v>
      </c>
      <c r="J283" s="124">
        <v>31.5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3.4</v>
      </c>
      <c r="G284" s="4">
        <f>'Gas Water'!M287</f>
        <v>1995</v>
      </c>
      <c r="H284" s="124">
        <v>22.15</v>
      </c>
      <c r="I284" s="2">
        <f>'Gas Water'!L287</f>
        <v>291</v>
      </c>
      <c r="J284" s="124">
        <v>31.5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>
        <v>3.4</v>
      </c>
      <c r="G285" s="4">
        <f>'Gas Water'!M288</f>
        <v>2359</v>
      </c>
      <c r="H285" s="124">
        <v>22.15</v>
      </c>
      <c r="I285" s="2">
        <f>'Gas Water'!L288</f>
        <v>261</v>
      </c>
      <c r="J285" s="124">
        <v>31.5</v>
      </c>
      <c r="K285" s="5">
        <v>143</v>
      </c>
      <c r="L285" s="5">
        <v>239</v>
      </c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>
        <v>3.4</v>
      </c>
      <c r="G286" s="4">
        <f>'Gas Water'!M289</f>
        <v>1969</v>
      </c>
      <c r="H286" s="124">
        <v>22.15</v>
      </c>
      <c r="I286" s="2">
        <f>'Gas Water'!L289</f>
        <v>266</v>
      </c>
      <c r="J286" s="124">
        <v>31.5</v>
      </c>
      <c r="K286" s="5">
        <v>135</v>
      </c>
      <c r="L286" s="5">
        <v>243</v>
      </c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>
        <v>3.4</v>
      </c>
      <c r="G287" s="4">
        <f>'Gas Water'!M290</f>
        <v>2194</v>
      </c>
      <c r="H287" s="124">
        <v>22.15</v>
      </c>
      <c r="I287" s="2">
        <f>'Gas Water'!L290</f>
        <v>333</v>
      </c>
      <c r="J287" s="124">
        <v>31.5</v>
      </c>
      <c r="K287" s="5">
        <v>134</v>
      </c>
      <c r="L287" s="5">
        <v>232</v>
      </c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>
        <v>3.4</v>
      </c>
      <c r="G288" s="4">
        <f>'Gas Water'!M291</f>
        <v>1888</v>
      </c>
      <c r="H288" s="124">
        <v>22.15</v>
      </c>
      <c r="I288" s="2">
        <f>'Gas Water'!L291</f>
        <v>297</v>
      </c>
      <c r="J288" s="124">
        <v>31.5</v>
      </c>
      <c r="K288" s="5">
        <v>159</v>
      </c>
      <c r="L288" s="5">
        <v>241</v>
      </c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>
        <v>3.4</v>
      </c>
      <c r="G289" s="4">
        <f>'Gas Water'!M292</f>
        <v>2213</v>
      </c>
      <c r="H289" s="124">
        <v>22.15</v>
      </c>
      <c r="I289" s="2">
        <f>'Gas Water'!L292</f>
        <v>287</v>
      </c>
      <c r="J289" s="124">
        <v>31.5</v>
      </c>
      <c r="K289" s="5">
        <v>163</v>
      </c>
      <c r="L289" s="5">
        <v>252</v>
      </c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>
        <v>3.4</v>
      </c>
      <c r="G290" s="4">
        <f>'Gas Water'!M293</f>
        <v>2123</v>
      </c>
      <c r="H290" s="124">
        <v>22.15</v>
      </c>
      <c r="I290" s="2">
        <f>'Gas Water'!L293</f>
        <v>267</v>
      </c>
      <c r="J290" s="124">
        <v>31.5</v>
      </c>
      <c r="K290" s="5">
        <v>124</v>
      </c>
      <c r="L290" s="5">
        <v>225</v>
      </c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>
        <v>3.4</v>
      </c>
      <c r="G291" s="4">
        <f>'Gas Water'!M294</f>
        <v>1715</v>
      </c>
      <c r="H291" s="124">
        <v>22.15</v>
      </c>
      <c r="I291" s="2">
        <f>'Gas Water'!L294</f>
        <v>274</v>
      </c>
      <c r="J291" s="124">
        <v>31.5</v>
      </c>
      <c r="K291" s="5">
        <v>126</v>
      </c>
      <c r="L291" s="5">
        <v>226</v>
      </c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>
        <v>3.4</v>
      </c>
      <c r="G292" s="4">
        <f>'Gas Water'!M295</f>
        <v>1770</v>
      </c>
      <c r="H292" s="124">
        <v>22.15</v>
      </c>
      <c r="I292" s="2">
        <f>'Gas Water'!L295</f>
        <v>321</v>
      </c>
      <c r="J292" s="124">
        <v>31.5</v>
      </c>
      <c r="K292" s="5">
        <v>130</v>
      </c>
      <c r="L292" s="5">
        <v>234</v>
      </c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>
        <v>3.4</v>
      </c>
      <c r="G293" s="4">
        <f>'Gas Water'!M296</f>
        <v>1932</v>
      </c>
      <c r="H293" s="124">
        <v>22.15</v>
      </c>
      <c r="I293" s="2">
        <f>'Gas Water'!L296</f>
        <v>283</v>
      </c>
      <c r="J293" s="124">
        <v>31.5</v>
      </c>
      <c r="K293" s="5">
        <v>115</v>
      </c>
      <c r="L293" s="5">
        <v>229</v>
      </c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>
        <v>3.4</v>
      </c>
      <c r="G294" s="4">
        <f>'Gas Water'!M297</f>
        <v>2029</v>
      </c>
      <c r="H294" s="124">
        <v>22.15</v>
      </c>
      <c r="I294" s="2">
        <f>'Gas Water'!L297</f>
        <v>304</v>
      </c>
      <c r="J294" s="124">
        <v>31.5</v>
      </c>
      <c r="K294" s="5">
        <v>116</v>
      </c>
      <c r="L294" s="5">
        <v>239</v>
      </c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>
        <v>3.4</v>
      </c>
      <c r="G295" s="4">
        <f>'Gas Water'!M298</f>
        <v>2098</v>
      </c>
      <c r="H295" s="124">
        <v>22.15</v>
      </c>
      <c r="I295" s="2">
        <f>'Gas Water'!L298</f>
        <v>335</v>
      </c>
      <c r="J295" s="124" t="s">
        <v>14</v>
      </c>
      <c r="K295" s="5">
        <v>148</v>
      </c>
      <c r="L295" s="5">
        <v>271</v>
      </c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>
        <v>3.4</v>
      </c>
      <c r="G296" s="4">
        <f>'Gas Water'!M299</f>
        <v>2011</v>
      </c>
      <c r="H296" s="124">
        <v>22.15</v>
      </c>
      <c r="I296" s="2">
        <f>'Gas Water'!L299</f>
        <v>307</v>
      </c>
      <c r="J296" s="124">
        <v>31.5</v>
      </c>
      <c r="K296" s="5">
        <v>144</v>
      </c>
      <c r="L296" s="5">
        <v>270</v>
      </c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>
        <v>3.4</v>
      </c>
      <c r="G297" s="4">
        <f>'Gas Water'!M300</f>
        <v>1916</v>
      </c>
      <c r="H297" s="124">
        <v>22.15</v>
      </c>
      <c r="I297" s="2">
        <f>'Gas Water'!L300</f>
        <v>274</v>
      </c>
      <c r="J297" s="124">
        <v>31.5</v>
      </c>
      <c r="K297" s="5">
        <v>133</v>
      </c>
      <c r="L297" s="5">
        <v>258</v>
      </c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>
        <v>3.4</v>
      </c>
      <c r="G298" s="4">
        <f>'Gas Water'!M301</f>
        <v>1719</v>
      </c>
      <c r="H298" s="124">
        <v>22.15</v>
      </c>
      <c r="I298" s="2">
        <f>'Gas Water'!L301</f>
        <v>278</v>
      </c>
      <c r="J298" s="124">
        <v>31.5</v>
      </c>
      <c r="K298" s="5">
        <v>139</v>
      </c>
      <c r="L298" s="5">
        <v>254</v>
      </c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>
        <f>'Electricity '!I301+'Electricity '!O301</f>
        <v>25291.260000001566</v>
      </c>
      <c r="F299" s="124">
        <v>3.4</v>
      </c>
      <c r="G299" s="4">
        <f>'Gas Water'!M302</f>
        <v>1612</v>
      </c>
      <c r="H299" s="124">
        <v>22.15</v>
      </c>
      <c r="I299" s="2">
        <f>'Gas Water'!L302</f>
        <v>270</v>
      </c>
      <c r="J299" s="124">
        <v>31.5</v>
      </c>
      <c r="K299" s="5">
        <v>151</v>
      </c>
      <c r="L299" s="5">
        <v>264</v>
      </c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>
        <f>'Electricity '!I302+'Electricity '!O302</f>
        <v>26251.739999999561</v>
      </c>
      <c r="F300" s="124">
        <v>3.4</v>
      </c>
      <c r="G300" s="4">
        <f>'Gas Water'!M303</f>
        <v>1591</v>
      </c>
      <c r="H300" s="124">
        <v>22.15</v>
      </c>
      <c r="I300" s="2">
        <f>'Gas Water'!L303</f>
        <v>273</v>
      </c>
      <c r="J300" s="124">
        <v>31.5</v>
      </c>
      <c r="K300" s="5">
        <v>148</v>
      </c>
      <c r="L300" s="5">
        <v>250</v>
      </c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>
        <f>'Electricity '!I303+'Electricity '!O303</f>
        <v>24736.680000000331</v>
      </c>
      <c r="F301" s="124">
        <v>3.4</v>
      </c>
      <c r="G301" s="4">
        <f>'Gas Water'!M304</f>
        <v>1752</v>
      </c>
      <c r="H301" s="124">
        <v>22.15</v>
      </c>
      <c r="I301" s="2">
        <f>'Gas Water'!L304</f>
        <v>277</v>
      </c>
      <c r="J301" s="124">
        <v>31.5</v>
      </c>
      <c r="K301" s="5">
        <v>146</v>
      </c>
      <c r="L301" s="5">
        <v>255</v>
      </c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>
        <f>'Electricity '!I304+'Electricity '!O304</f>
        <v>24591.599999998343</v>
      </c>
      <c r="F302" s="124">
        <v>3.4</v>
      </c>
      <c r="G302" s="4">
        <f>'Gas Water'!M305</f>
        <v>1654</v>
      </c>
      <c r="H302" s="124">
        <v>22.15</v>
      </c>
      <c r="I302" s="2">
        <f>'Gas Water'!L305</f>
        <v>297</v>
      </c>
      <c r="J302" s="124">
        <v>31.5</v>
      </c>
      <c r="K302" s="5">
        <v>153</v>
      </c>
      <c r="L302" s="5">
        <v>272</v>
      </c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>
        <f>'Electricity '!I305+'Electricity '!O305</f>
        <v>24678.540000000994</v>
      </c>
      <c r="F303" s="124">
        <v>3.4</v>
      </c>
      <c r="G303" s="4">
        <f>'Gas Water'!M306</f>
        <v>1779</v>
      </c>
      <c r="H303" s="124">
        <v>22.15</v>
      </c>
      <c r="I303" s="2">
        <f>'Gas Water'!L306</f>
        <v>262</v>
      </c>
      <c r="J303" s="124">
        <v>31.5</v>
      </c>
      <c r="K303" s="5">
        <v>156</v>
      </c>
      <c r="L303" s="5">
        <v>274</v>
      </c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>
        <f>'Electricity '!I306+'Electricity '!O306</f>
        <v>25846.019999999742</v>
      </c>
      <c r="F304" s="124">
        <v>3.4</v>
      </c>
      <c r="G304" s="4">
        <f>'Gas Water'!M307</f>
        <v>1780</v>
      </c>
      <c r="H304" s="124">
        <v>22.15</v>
      </c>
      <c r="I304" s="2">
        <f>'Gas Water'!L307</f>
        <v>219</v>
      </c>
      <c r="J304" s="124">
        <v>31.5</v>
      </c>
      <c r="K304" s="5">
        <v>140</v>
      </c>
      <c r="L304" s="5">
        <v>250</v>
      </c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>
        <f>'Electricity '!I307+'Electricity '!O307</f>
        <v>24682.679999999957</v>
      </c>
      <c r="F305" s="124">
        <v>3.4</v>
      </c>
      <c r="G305" s="4">
        <f>'Gas Water'!M308</f>
        <v>1622</v>
      </c>
      <c r="H305" s="124">
        <v>22.15</v>
      </c>
      <c r="I305" s="2">
        <f>'Gas Water'!L308</f>
        <v>263</v>
      </c>
      <c r="J305" s="124">
        <v>31.5</v>
      </c>
      <c r="K305" s="5">
        <v>139</v>
      </c>
      <c r="L305" s="5">
        <v>245</v>
      </c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>
        <f>'Electricity '!I308+'Electricity '!O308</f>
        <v>27568.260000000439</v>
      </c>
      <c r="F306" s="124">
        <v>3.94</v>
      </c>
      <c r="G306" s="4">
        <f>'Gas Water'!M309</f>
        <v>1708</v>
      </c>
      <c r="H306" s="124">
        <v>22.15</v>
      </c>
      <c r="I306" s="2">
        <f>'Gas Water'!L309</f>
        <v>250</v>
      </c>
      <c r="J306" s="124">
        <v>31.5</v>
      </c>
      <c r="K306" s="5">
        <v>129</v>
      </c>
      <c r="L306" s="5">
        <v>227</v>
      </c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>
        <f>'Electricity '!I309+'Electricity '!O309</f>
        <v>27083.599999999475</v>
      </c>
      <c r="F307" s="124">
        <v>3.94</v>
      </c>
      <c r="G307" s="4">
        <f>'Gas Water'!M310</f>
        <v>2282</v>
      </c>
      <c r="H307" s="124">
        <v>22.15</v>
      </c>
      <c r="I307" s="2">
        <f>'Gas Water'!L310</f>
        <v>262</v>
      </c>
      <c r="J307" s="124">
        <v>31.5</v>
      </c>
      <c r="K307" s="5">
        <v>139</v>
      </c>
      <c r="L307" s="5">
        <v>245</v>
      </c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>
        <f>'Electricity '!I310+'Electricity '!O310</f>
        <v>26239.3200000008</v>
      </c>
      <c r="F308" s="124">
        <v>3.94</v>
      </c>
      <c r="G308" s="4">
        <f>'Gas Water'!M311</f>
        <v>1740</v>
      </c>
      <c r="H308" s="124">
        <v>22.15</v>
      </c>
      <c r="I308" s="2">
        <f>'Gas Water'!L311</f>
        <v>288</v>
      </c>
      <c r="J308" s="124">
        <v>31.5</v>
      </c>
      <c r="K308" s="5">
        <v>149</v>
      </c>
      <c r="L308" s="5">
        <v>270</v>
      </c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>
        <f>'Electricity '!I311+'Electricity '!O311</f>
        <v>29100.059999999983</v>
      </c>
      <c r="F309" s="124">
        <v>3.94</v>
      </c>
      <c r="G309" s="4">
        <f>'Gas Water'!M312</f>
        <v>1747</v>
      </c>
      <c r="H309" s="124">
        <v>22.15</v>
      </c>
      <c r="I309" s="2">
        <f>'Gas Water'!L312</f>
        <v>287</v>
      </c>
      <c r="J309" s="124">
        <v>31.5</v>
      </c>
      <c r="K309" s="5">
        <v>152</v>
      </c>
      <c r="L309" s="5">
        <v>270</v>
      </c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>
        <f>'Electricity '!I312+'Electricity '!O312</f>
        <v>26235.179999999957</v>
      </c>
      <c r="F310" s="124">
        <v>3.94</v>
      </c>
      <c r="G310" s="4">
        <f>'Gas Water'!M313</f>
        <v>1665</v>
      </c>
      <c r="H310" s="124">
        <v>22.15</v>
      </c>
      <c r="I310" s="2">
        <f>'Gas Water'!L313</f>
        <v>300</v>
      </c>
      <c r="J310" s="124">
        <v>31.5</v>
      </c>
      <c r="K310" s="5">
        <v>147</v>
      </c>
      <c r="L310" s="5">
        <v>249</v>
      </c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>
        <f>'Electricity '!I313+'Electricity '!O313</f>
        <v>25974.359999999535</v>
      </c>
      <c r="F311" s="124">
        <v>3.94</v>
      </c>
      <c r="G311" s="4">
        <f>'Gas Water'!M314</f>
        <v>1567</v>
      </c>
      <c r="H311" s="124">
        <v>22.15</v>
      </c>
      <c r="I311" s="2">
        <f>'Gas Water'!L314</f>
        <v>298</v>
      </c>
      <c r="J311" s="124">
        <v>31.5</v>
      </c>
      <c r="K311" s="5">
        <v>148</v>
      </c>
      <c r="L311" s="5">
        <v>246</v>
      </c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>
        <f>'Electricity '!I314+'Electricity '!O314</f>
        <v>25088.399999999776</v>
      </c>
      <c r="F312" s="124">
        <v>3.94</v>
      </c>
      <c r="G312" s="4">
        <f>'Gas Water'!M315</f>
        <v>1513</v>
      </c>
      <c r="H312" s="124">
        <v>22.15</v>
      </c>
      <c r="I312" s="2">
        <f>'Gas Water'!L315</f>
        <v>248</v>
      </c>
      <c r="J312" s="124">
        <v>31.5</v>
      </c>
      <c r="K312" s="5">
        <v>140</v>
      </c>
      <c r="L312" s="5">
        <v>210</v>
      </c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>
        <f>'Electricity '!I315+'Electricity '!O315</f>
        <v>25713.540000000994</v>
      </c>
      <c r="F313" s="124">
        <v>3.94</v>
      </c>
      <c r="G313" s="4">
        <f>'Gas Water'!M316</f>
        <v>1588</v>
      </c>
      <c r="H313" s="124">
        <v>22.15</v>
      </c>
      <c r="I313" s="2">
        <f>'Gas Water'!L316</f>
        <v>271</v>
      </c>
      <c r="J313" s="124">
        <v>31.5</v>
      </c>
      <c r="K313" s="5">
        <v>152</v>
      </c>
      <c r="L313" s="5">
        <v>217</v>
      </c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>
        <f>'Electricity '!I316+'Electricity '!O316</f>
        <v>27005.219999998691</v>
      </c>
      <c r="F314" s="124">
        <v>3.94</v>
      </c>
      <c r="G314" s="4">
        <f>'Gas Water'!M317</f>
        <v>1749</v>
      </c>
      <c r="H314" s="124">
        <v>22.15</v>
      </c>
      <c r="I314" s="2">
        <f>'Gas Water'!L317</f>
        <v>277</v>
      </c>
      <c r="J314" s="124">
        <v>31.5</v>
      </c>
      <c r="K314" s="5">
        <v>146</v>
      </c>
      <c r="L314" s="5">
        <v>217</v>
      </c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>
        <f>'Electricity '!I317+'Electricity '!O317</f>
        <v>29805.900000000904</v>
      </c>
      <c r="F315" s="124">
        <v>3.94</v>
      </c>
      <c r="G315" s="4">
        <f>'Gas Water'!M318</f>
        <v>2050</v>
      </c>
      <c r="H315" s="124">
        <v>22.15</v>
      </c>
      <c r="I315" s="2">
        <f>'Gas Water'!L318</f>
        <v>303</v>
      </c>
      <c r="J315" s="124">
        <v>31.5</v>
      </c>
      <c r="K315" s="5">
        <v>146</v>
      </c>
      <c r="L315" s="5">
        <v>217</v>
      </c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>
        <f>'Electricity '!I318+'Electricity '!O318</f>
        <v>26996.939999998885</v>
      </c>
      <c r="F316" s="124">
        <v>3.94</v>
      </c>
      <c r="G316" s="4">
        <f>'Gas Water'!M319</f>
        <v>1840</v>
      </c>
      <c r="H316" s="124">
        <v>22.15</v>
      </c>
      <c r="I316" s="2">
        <f>'Gas Water'!L319</f>
        <v>256</v>
      </c>
      <c r="J316" s="124">
        <v>31.5</v>
      </c>
      <c r="K316" s="5">
        <v>145</v>
      </c>
      <c r="L316" s="5">
        <v>249</v>
      </c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>
        <f>'Electricity '!I319+'Electricity '!O319</f>
        <v>26657.460000001265</v>
      </c>
      <c r="F317" s="124">
        <v>3.94</v>
      </c>
      <c r="G317" s="4">
        <f>'Gas Water'!M320</f>
        <v>1821</v>
      </c>
      <c r="H317" s="124">
        <v>22.15</v>
      </c>
      <c r="I317" s="2">
        <f>'Gas Water'!L320</f>
        <v>242</v>
      </c>
      <c r="J317" s="124">
        <v>31.5</v>
      </c>
      <c r="K317" s="5">
        <v>134</v>
      </c>
      <c r="L317" s="5">
        <v>239</v>
      </c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>
        <f>'Electricity '!I320+'Electricity '!O320</f>
        <v>25150.499999999247</v>
      </c>
      <c r="F318" s="124">
        <v>3.94</v>
      </c>
      <c r="G318" s="4">
        <f>'Gas Water'!M321</f>
        <v>1769</v>
      </c>
      <c r="H318" s="124">
        <v>22.15</v>
      </c>
      <c r="I318" s="2">
        <f>'Gas Water'!L321</f>
        <v>215</v>
      </c>
      <c r="J318" s="124">
        <v>31.5</v>
      </c>
      <c r="K318" s="5">
        <v>88</v>
      </c>
      <c r="L318" s="5">
        <v>156</v>
      </c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>
        <f>'Electricity '!I321+'Electricity '!O321</f>
        <v>25866.720000000198</v>
      </c>
      <c r="F319" s="124">
        <v>3.94</v>
      </c>
      <c r="G319" s="4">
        <f>'Gas Water'!M322</f>
        <v>2060</v>
      </c>
      <c r="H319" s="124">
        <v>22.15</v>
      </c>
      <c r="I319" s="2">
        <f>'Gas Water'!L322</f>
        <v>226</v>
      </c>
      <c r="J319" s="124">
        <v>31.5</v>
      </c>
      <c r="K319" s="5">
        <v>97</v>
      </c>
      <c r="L319" s="5">
        <v>174</v>
      </c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>
        <f>'Electricity '!I322+'Electricity '!O322</f>
        <v>27088.020000000499</v>
      </c>
      <c r="F320" s="124">
        <v>3.94</v>
      </c>
      <c r="G320" s="4">
        <f>'Gas Water'!M323</f>
        <v>1906</v>
      </c>
      <c r="H320" s="124">
        <v>22.15</v>
      </c>
      <c r="I320" s="2">
        <f>'Gas Water'!L323</f>
        <v>227</v>
      </c>
      <c r="J320" s="124">
        <v>31.5</v>
      </c>
      <c r="K320" s="5">
        <v>101</v>
      </c>
      <c r="L320" s="5">
        <v>169</v>
      </c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>
        <f>'Electricity '!I323+'Electricity '!O323</f>
        <v>26057.159999999458</v>
      </c>
      <c r="F321" s="124">
        <v>3.94</v>
      </c>
      <c r="G321" s="4">
        <f>'Gas Water'!M324</f>
        <v>1903</v>
      </c>
      <c r="H321" s="124">
        <v>22.15</v>
      </c>
      <c r="I321" s="2">
        <f>'Gas Water'!L324</f>
        <v>215</v>
      </c>
      <c r="J321" s="124">
        <v>31.5</v>
      </c>
      <c r="K321" s="5">
        <v>101</v>
      </c>
      <c r="L321" s="5">
        <v>162</v>
      </c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>
        <f>'Electricity '!I324+'Electricity '!O324</f>
        <v>26762.059999999608</v>
      </c>
      <c r="F322" s="124">
        <v>3.94</v>
      </c>
      <c r="G322" s="4">
        <f>'Gas Water'!M325</f>
        <v>2015</v>
      </c>
      <c r="H322" s="124">
        <v>22.15</v>
      </c>
      <c r="I322" s="2">
        <f>'Gas Water'!L325</f>
        <v>222</v>
      </c>
      <c r="J322" s="124">
        <v>31.5</v>
      </c>
      <c r="K322" s="5">
        <v>122</v>
      </c>
      <c r="L322" s="5">
        <v>175</v>
      </c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>
        <f>'Electricity '!I325+'Electricity '!O325</f>
        <v>27357.120000000723</v>
      </c>
      <c r="F323" s="124">
        <v>3.94</v>
      </c>
      <c r="G323" s="4">
        <f>'Gas Water'!M326</f>
        <v>1947</v>
      </c>
      <c r="H323" s="124">
        <v>22.15</v>
      </c>
      <c r="I323" s="2">
        <f>'Gas Water'!L326</f>
        <v>216</v>
      </c>
      <c r="J323" s="124">
        <v>31.5</v>
      </c>
      <c r="K323" s="5">
        <v>112</v>
      </c>
      <c r="L323" s="5">
        <v>165</v>
      </c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>
        <f>'Electricity '!I326+'Electricity '!O326</f>
        <v>27671.759999998932</v>
      </c>
      <c r="F324" s="124">
        <v>3.94</v>
      </c>
      <c r="G324" s="4">
        <f>'Gas Water'!M327</f>
        <v>1874</v>
      </c>
      <c r="H324" s="124">
        <v>22.15</v>
      </c>
      <c r="I324" s="2">
        <f>'Gas Water'!L327</f>
        <v>234</v>
      </c>
      <c r="J324" s="124">
        <v>31.5</v>
      </c>
      <c r="K324" s="5">
        <v>79</v>
      </c>
      <c r="L324" s="5">
        <v>128</v>
      </c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>
        <f>'Electricity '!I327+'Electricity '!O327</f>
        <v>26160.660000001717</v>
      </c>
      <c r="F325" s="124">
        <v>3.94</v>
      </c>
      <c r="G325" s="4">
        <f>'Gas Water'!M328</f>
        <v>1764</v>
      </c>
      <c r="H325" s="124">
        <v>22.15</v>
      </c>
      <c r="I325" s="2">
        <f>'Gas Water'!L328</f>
        <v>199</v>
      </c>
      <c r="J325" s="124">
        <v>31.5</v>
      </c>
      <c r="K325" s="5">
        <v>50</v>
      </c>
      <c r="L325" s="5">
        <v>103</v>
      </c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>
        <f>'Electricity '!I328+'Electricity '!O328</f>
        <v>26370.440000000017</v>
      </c>
      <c r="F326" s="124">
        <v>3.94</v>
      </c>
      <c r="G326" s="4">
        <f>'Gas Water'!M329</f>
        <v>1868</v>
      </c>
      <c r="H326" s="124">
        <v>22.15</v>
      </c>
      <c r="I326" s="2">
        <f>'Gas Water'!L329</f>
        <v>171</v>
      </c>
      <c r="J326" s="124">
        <v>31.5</v>
      </c>
      <c r="K326" s="5">
        <v>95</v>
      </c>
      <c r="L326" s="5">
        <v>146</v>
      </c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>
        <f>'Electricity '!I329+'Electricity '!O329</f>
        <v>25481.699999998946</v>
      </c>
      <c r="F327" s="124">
        <v>3.94</v>
      </c>
      <c r="G327" s="4">
        <f>'Gas Water'!M330</f>
        <v>2262</v>
      </c>
      <c r="H327" s="124">
        <v>22.15</v>
      </c>
      <c r="I327" s="2">
        <f>'Gas Water'!L330</f>
        <v>206</v>
      </c>
      <c r="J327" s="124">
        <v>31.5</v>
      </c>
      <c r="K327" s="5">
        <v>124</v>
      </c>
      <c r="L327" s="5">
        <v>192</v>
      </c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>
        <f>'Electricity '!I330+'Electricity '!O330</f>
        <v>25974.359999999535</v>
      </c>
      <c r="F328" s="124">
        <v>3.94</v>
      </c>
      <c r="G328" s="4">
        <f>'Gas Water'!M331</f>
        <v>2088</v>
      </c>
      <c r="H328" s="124">
        <v>22.15</v>
      </c>
      <c r="I328" s="2">
        <f>'Gas Water'!L331</f>
        <v>225</v>
      </c>
      <c r="J328" s="124">
        <v>31.5</v>
      </c>
      <c r="K328" s="5">
        <v>126</v>
      </c>
      <c r="L328" s="5">
        <v>204</v>
      </c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>
        <f>'Electricity '!I331+'Electricity '!O331</f>
        <v>26177.220000001325</v>
      </c>
      <c r="F329" s="124">
        <v>3.94</v>
      </c>
      <c r="G329" s="4">
        <f>'Gas Water'!M332</f>
        <v>2453</v>
      </c>
      <c r="H329" s="124">
        <v>22.15</v>
      </c>
      <c r="I329" s="2">
        <f>'Gas Water'!L332</f>
        <v>244</v>
      </c>
      <c r="J329" s="124">
        <v>31.5</v>
      </c>
      <c r="K329" s="5">
        <v>133</v>
      </c>
      <c r="L329" s="5">
        <v>213</v>
      </c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>
        <f>'Electricity '!I332+'Electricity '!O332</f>
        <v>24748.91999999839</v>
      </c>
      <c r="F330" s="124">
        <v>3.94</v>
      </c>
      <c r="G330" s="4">
        <f>'Gas Water'!M333</f>
        <v>2405</v>
      </c>
      <c r="H330" s="124">
        <v>22.15</v>
      </c>
      <c r="I330" s="2">
        <f>'Gas Water'!L333</f>
        <v>258</v>
      </c>
      <c r="J330" s="124">
        <v>31.5</v>
      </c>
      <c r="K330" s="5">
        <v>129</v>
      </c>
      <c r="L330" s="5">
        <v>219</v>
      </c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>
        <f>'Electricity '!I333+'Electricity '!O333</f>
        <v>25403.040000001747</v>
      </c>
      <c r="F331" s="124">
        <v>3.94</v>
      </c>
      <c r="G331" s="4">
        <f>'Gas Water'!M334</f>
        <v>2505</v>
      </c>
      <c r="H331" s="124">
        <v>22.15</v>
      </c>
      <c r="I331" s="2">
        <f>'Gas Water'!L334</f>
        <v>203</v>
      </c>
      <c r="J331" s="124">
        <v>31.5</v>
      </c>
      <c r="K331" s="5">
        <v>120</v>
      </c>
      <c r="L331" s="5">
        <v>218</v>
      </c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>
        <f>'Electricity '!I334+'Electricity '!O334</f>
        <v>25481.699999998946</v>
      </c>
      <c r="F332" s="124">
        <v>3.94</v>
      </c>
      <c r="G332" s="4">
        <f>'Gas Water'!M335</f>
        <v>2654</v>
      </c>
      <c r="H332" s="124">
        <v>22.15</v>
      </c>
      <c r="I332" s="2">
        <f>'Gas Water'!L335</f>
        <v>217</v>
      </c>
      <c r="J332" s="124">
        <v>31.5</v>
      </c>
      <c r="K332" s="5">
        <v>106</v>
      </c>
      <c r="L332" s="5">
        <v>192</v>
      </c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>
        <f>'Electricity '!I335+'Electricity '!O335</f>
        <v>24955.920000001024</v>
      </c>
      <c r="F333" s="124">
        <v>3.94</v>
      </c>
      <c r="G333" s="4">
        <f>'Gas Water'!M336</f>
        <v>2360</v>
      </c>
      <c r="H333" s="124">
        <v>22.15</v>
      </c>
      <c r="I333" s="2">
        <f>'Gas Water'!L336</f>
        <v>191</v>
      </c>
      <c r="J333" s="124">
        <v>31.5</v>
      </c>
      <c r="K333" s="5">
        <v>97</v>
      </c>
      <c r="L333" s="5">
        <v>164</v>
      </c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>
        <f>'Electricity '!I336+'Electricity '!O336</f>
        <v>25601.759999998932</v>
      </c>
      <c r="F334" s="124">
        <v>3.94</v>
      </c>
      <c r="G334" s="4">
        <f>'Gas Water'!M337</f>
        <v>2178</v>
      </c>
      <c r="H334" s="124">
        <v>22.15</v>
      </c>
      <c r="I334" s="2">
        <f>'Gas Water'!L337</f>
        <v>192</v>
      </c>
      <c r="J334" s="124">
        <v>31.5</v>
      </c>
      <c r="K334" s="5">
        <v>76</v>
      </c>
      <c r="L334" s="5">
        <v>127</v>
      </c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>
        <f>'Electricity '!I337+'Electricity '!O337</f>
        <v>24456.06000000074</v>
      </c>
      <c r="F335" s="124">
        <v>3.94</v>
      </c>
      <c r="G335" s="4">
        <f>'Gas Water'!M338</f>
        <v>2266</v>
      </c>
      <c r="H335" s="124">
        <v>22.15</v>
      </c>
      <c r="I335" s="2">
        <f>'Gas Water'!L338</f>
        <v>195</v>
      </c>
      <c r="J335" s="124">
        <v>31.5</v>
      </c>
      <c r="K335" s="5">
        <v>120</v>
      </c>
      <c r="L335" s="5">
        <v>178</v>
      </c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>
        <f>'Electricity '!I338+'Electricity '!O338</f>
        <v>26573.959999999759</v>
      </c>
      <c r="F336" s="124">
        <v>3.94</v>
      </c>
      <c r="G336" s="4">
        <f>'Gas Water'!M339</f>
        <v>2839</v>
      </c>
      <c r="H336" s="124">
        <v>22.15</v>
      </c>
      <c r="I336" s="2">
        <f>'Gas Water'!L339</f>
        <v>214</v>
      </c>
      <c r="J336" s="124">
        <v>31.5</v>
      </c>
      <c r="K336" s="5">
        <v>129</v>
      </c>
      <c r="L336" s="5">
        <v>129</v>
      </c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>
        <f>'Electricity '!I339+'Electricity '!O339</f>
        <v>26222.759999999307</v>
      </c>
      <c r="F337" s="124">
        <v>3.94</v>
      </c>
      <c r="G337" s="4">
        <f>'Gas Water'!M340</f>
        <v>2641</v>
      </c>
      <c r="H337" s="124">
        <v>22.15</v>
      </c>
      <c r="I337" s="2">
        <f>'Gas Water'!L340</f>
        <v>233</v>
      </c>
      <c r="J337" s="124">
        <v>31.5</v>
      </c>
      <c r="K337" s="5">
        <v>163</v>
      </c>
      <c r="L337" s="5">
        <v>260</v>
      </c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>
        <f>'Electricity '!I340+'Electricity '!O340</f>
        <v>25121.520000000874</v>
      </c>
      <c r="F338" s="124">
        <v>3.94</v>
      </c>
      <c r="G338" s="4">
        <f>'Gas Water'!M341</f>
        <v>2299</v>
      </c>
      <c r="H338" s="124">
        <v>22.15</v>
      </c>
      <c r="I338" s="2">
        <f>'Gas Water'!L341</f>
        <v>217</v>
      </c>
      <c r="J338" s="124">
        <v>31.5</v>
      </c>
      <c r="K338" s="5">
        <v>137</v>
      </c>
      <c r="L338" s="5">
        <v>240</v>
      </c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>
        <f>'Electricity '!I341+'Electricity '!O341</f>
        <v>24272.819999999294</v>
      </c>
      <c r="F339" s="124">
        <v>3.97</v>
      </c>
      <c r="G339" s="4">
        <f>'Gas Water'!M342</f>
        <v>2333</v>
      </c>
      <c r="H339" s="124">
        <v>22.15</v>
      </c>
      <c r="I339" s="2">
        <f>'Gas Water'!L342</f>
        <v>209</v>
      </c>
      <c r="J339" s="124">
        <v>31.5</v>
      </c>
      <c r="K339" s="5">
        <v>68</v>
      </c>
      <c r="L339" s="5">
        <v>111</v>
      </c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>
        <f>'Electricity '!I342+'Electricity '!O342</f>
        <v>24546.059999998477</v>
      </c>
      <c r="F340" s="124">
        <v>3.97</v>
      </c>
      <c r="G340" s="4">
        <f>'Gas Water'!M343</f>
        <v>1435</v>
      </c>
      <c r="H340" s="124">
        <v>22.15</v>
      </c>
      <c r="I340" s="2">
        <f>'Gas Water'!L343</f>
        <v>175</v>
      </c>
      <c r="J340" s="124">
        <v>31.5</v>
      </c>
      <c r="K340" s="5">
        <v>69</v>
      </c>
      <c r="L340" s="5">
        <v>104</v>
      </c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>
        <f>'Electricity '!I343+'Electricity '!O343</f>
        <v>26305.560000001115</v>
      </c>
      <c r="F341" s="124">
        <v>3.97</v>
      </c>
      <c r="G341" s="4">
        <f>'Gas Water'!M344</f>
        <v>3415</v>
      </c>
      <c r="H341" s="124">
        <v>22.15</v>
      </c>
      <c r="I341" s="2">
        <f>'Gas Water'!L344</f>
        <v>179</v>
      </c>
      <c r="J341" s="124">
        <v>31.5</v>
      </c>
      <c r="K341" s="5">
        <v>90</v>
      </c>
      <c r="L341" s="5">
        <v>133</v>
      </c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>
        <f>'Electricity '!I344+'Electricity '!O344</f>
        <v>25846.020000001627</v>
      </c>
      <c r="F342" s="124">
        <v>3.97</v>
      </c>
      <c r="G342" s="4">
        <f>'Gas Water'!M345</f>
        <v>2481</v>
      </c>
      <c r="H342" s="124">
        <v>22.15</v>
      </c>
      <c r="I342" s="2">
        <f>'Gas Water'!L345</f>
        <v>202</v>
      </c>
      <c r="J342" s="124">
        <v>31.5</v>
      </c>
      <c r="K342" s="5">
        <v>89</v>
      </c>
      <c r="L342" s="5">
        <v>136</v>
      </c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>
        <f>'Electricity '!I345+'Electricity '!O345</f>
        <v>24686.819999998916</v>
      </c>
      <c r="F343" s="124">
        <v>3.97</v>
      </c>
      <c r="G343" s="4">
        <f>'Gas Water'!M346</f>
        <v>2197</v>
      </c>
      <c r="H343" s="124">
        <v>22.15</v>
      </c>
      <c r="I343" s="2">
        <f>'Gas Water'!L346</f>
        <v>187</v>
      </c>
      <c r="J343" s="124">
        <v>31.5</v>
      </c>
      <c r="K343" s="5">
        <v>90</v>
      </c>
      <c r="L343" s="5">
        <v>136</v>
      </c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>
        <f>'Electricity '!I346+'Electricity '!O346</f>
        <v>24831.719999998313</v>
      </c>
      <c r="F344" s="124">
        <v>3.97</v>
      </c>
      <c r="G344" s="4">
        <f>'Gas Water'!M347</f>
        <v>2216</v>
      </c>
      <c r="H344" s="124">
        <v>22.15</v>
      </c>
      <c r="I344" s="2">
        <f>'Gas Water'!L347</f>
        <v>198</v>
      </c>
      <c r="J344" s="124">
        <v>31.5</v>
      </c>
      <c r="K344" s="5">
        <v>96</v>
      </c>
      <c r="L344" s="5">
        <v>128</v>
      </c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>
        <f>'Electricity '!I347+'Electricity '!O347</f>
        <v>24657.840000000542</v>
      </c>
      <c r="F345" s="124">
        <v>3.97</v>
      </c>
      <c r="G345" s="4">
        <f>'Gas Water'!M348</f>
        <v>2105</v>
      </c>
      <c r="H345" s="124">
        <v>22.15</v>
      </c>
      <c r="I345" s="2">
        <f>'Gas Water'!L348</f>
        <v>180</v>
      </c>
      <c r="J345" s="124">
        <v>31.5</v>
      </c>
      <c r="K345" s="5">
        <v>81</v>
      </c>
      <c r="L345" s="5">
        <v>129</v>
      </c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>
        <f>'Electricity '!I348+'Electricity '!O348</f>
        <v>25378.200000000452</v>
      </c>
      <c r="F346" s="124">
        <v>3.97</v>
      </c>
      <c r="G346" s="4">
        <f>'Gas Water'!M349</f>
        <v>2083</v>
      </c>
      <c r="H346" s="124">
        <v>22.15</v>
      </c>
      <c r="I346" s="2">
        <f>'Gas Water'!L349</f>
        <v>185</v>
      </c>
      <c r="J346" s="124">
        <v>31.5</v>
      </c>
      <c r="K346" s="5">
        <v>49</v>
      </c>
      <c r="L346" s="5">
        <v>86</v>
      </c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>
        <f>'Electricity '!I349+'Electricity '!O349</f>
        <v>25169.240000001446</v>
      </c>
      <c r="F347" s="124">
        <v>3.97</v>
      </c>
      <c r="G347" s="4">
        <f>'Gas Water'!M350</f>
        <v>3250</v>
      </c>
      <c r="H347" s="124">
        <v>22.15</v>
      </c>
      <c r="I347" s="2">
        <f>'Gas Water'!L350</f>
        <v>202</v>
      </c>
      <c r="J347" s="124">
        <v>31.5</v>
      </c>
      <c r="K347" s="5">
        <v>56</v>
      </c>
      <c r="L347" s="5">
        <v>95</v>
      </c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>
        <f>'Electricity '!I350+'Electricity '!O350</f>
        <v>26763.400000000904</v>
      </c>
      <c r="F348" s="124">
        <v>3.97</v>
      </c>
      <c r="G348" s="4">
        <f>'Gas Water'!M351</f>
        <v>5735</v>
      </c>
      <c r="H348" s="124">
        <v>22.15</v>
      </c>
      <c r="I348" s="2">
        <f>'Gas Water'!L351</f>
        <v>153</v>
      </c>
      <c r="J348" s="124">
        <v>31.5</v>
      </c>
      <c r="K348" s="5">
        <v>73</v>
      </c>
      <c r="L348" s="5">
        <v>127</v>
      </c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>
        <f>'Electricity '!I351+'Electricity '!O351</f>
        <v>25448.579999999729</v>
      </c>
      <c r="F349" s="124">
        <v>3.97</v>
      </c>
      <c r="G349" s="4">
        <f>'Gas Water'!M352</f>
        <v>2464</v>
      </c>
      <c r="H349" s="124">
        <v>22.15</v>
      </c>
      <c r="I349" s="2">
        <f>'Gas Water'!L352</f>
        <v>194</v>
      </c>
      <c r="J349" s="124">
        <v>31.5</v>
      </c>
      <c r="K349" s="5">
        <v>81</v>
      </c>
      <c r="L349" s="5">
        <v>142</v>
      </c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>
        <f>'Electricity '!I352+'Electricity '!O352</f>
        <v>25278.839999999036</v>
      </c>
      <c r="F350" s="124">
        <v>3.97</v>
      </c>
      <c r="G350" s="4">
        <f>'Gas Water'!M353</f>
        <v>2273</v>
      </c>
      <c r="H350" s="124">
        <v>22.15</v>
      </c>
      <c r="I350" s="2">
        <f>'Gas Water'!L353</f>
        <v>195</v>
      </c>
      <c r="J350" s="124">
        <v>31.5</v>
      </c>
      <c r="K350" s="5">
        <v>90</v>
      </c>
      <c r="L350" s="5">
        <v>167</v>
      </c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>
        <f>'Electricity '!I353+'Electricity '!O353</f>
        <v>26363.519999997861</v>
      </c>
      <c r="F351" s="124">
        <v>3.97</v>
      </c>
      <c r="G351" s="4">
        <f>'Gas Water'!M354</f>
        <v>2140</v>
      </c>
      <c r="H351" s="124">
        <v>22.15</v>
      </c>
      <c r="I351" s="2">
        <f>'Gas Water'!L354</f>
        <v>243</v>
      </c>
      <c r="J351" s="124">
        <v>31.5</v>
      </c>
      <c r="K351" s="5">
        <v>77</v>
      </c>
      <c r="L351" s="5">
        <v>163</v>
      </c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>
        <f>'Electricity '!I354+'Electricity '!O354</f>
        <v>27009.360000001416</v>
      </c>
      <c r="F352" s="124">
        <v>3.97</v>
      </c>
      <c r="G352" s="4">
        <f>'Gas Water'!M355</f>
        <v>1994</v>
      </c>
      <c r="H352" s="124">
        <v>22.15</v>
      </c>
      <c r="I352" s="2">
        <f>'Gas Water'!L355</f>
        <v>226</v>
      </c>
      <c r="J352" s="124">
        <v>31.5</v>
      </c>
      <c r="K352" s="5">
        <v>81</v>
      </c>
      <c r="L352" s="5">
        <v>142</v>
      </c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>
        <f>'Electricity '!I355+'Electricity '!O355</f>
        <v>28052.639999999337</v>
      </c>
      <c r="F353" s="124">
        <v>3.97</v>
      </c>
      <c r="G353" s="4">
        <f>'Gas Water'!M356</f>
        <v>2487</v>
      </c>
      <c r="H353" s="124">
        <v>22.15</v>
      </c>
      <c r="I353" s="2">
        <f>'Gas Water'!L356</f>
        <v>218</v>
      </c>
      <c r="J353" s="124">
        <v>31.5</v>
      </c>
      <c r="K353" s="5">
        <v>48</v>
      </c>
      <c r="L353" s="5">
        <v>105</v>
      </c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>
        <f>'Electricity '!I356+'Electricity '!O356</f>
        <v>27104.580000001988</v>
      </c>
      <c r="F354" s="124">
        <v>3.97</v>
      </c>
      <c r="G354" s="4">
        <f>'Gas Water'!M357</f>
        <v>2930</v>
      </c>
      <c r="H354" s="124">
        <v>22.15</v>
      </c>
      <c r="I354" s="2">
        <f>'Gas Water'!L357</f>
        <v>206</v>
      </c>
      <c r="J354" s="124">
        <v>31.5</v>
      </c>
      <c r="K354" s="5">
        <v>47</v>
      </c>
      <c r="L354" s="5">
        <v>94</v>
      </c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>
        <f>'Electricity '!I357+'Electricity '!O357</f>
        <v>29621.699999998946</v>
      </c>
      <c r="F355" s="124">
        <v>3.97</v>
      </c>
      <c r="G355" s="4">
        <f>'Gas Water'!M358</f>
        <v>2735</v>
      </c>
      <c r="H355" s="124">
        <v>22.15</v>
      </c>
      <c r="I355" s="2">
        <f>'Gas Water'!L358</f>
        <v>192</v>
      </c>
      <c r="J355" s="124">
        <v>31.5</v>
      </c>
      <c r="K355" s="5">
        <v>74</v>
      </c>
      <c r="L355" s="5">
        <v>127</v>
      </c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>
        <f>'Electricity '!I358+'Electricity '!O358</f>
        <v>27481.319999999669</v>
      </c>
      <c r="F356" s="124">
        <v>3.97</v>
      </c>
      <c r="G356" s="4">
        <f>'Gas Water'!M359</f>
        <v>3418</v>
      </c>
      <c r="H356" s="124">
        <v>22.15</v>
      </c>
      <c r="I356" s="2">
        <f>'Gas Water'!L359</f>
        <v>202</v>
      </c>
      <c r="J356" s="124">
        <v>31.5</v>
      </c>
      <c r="K356" s="5">
        <v>113</v>
      </c>
      <c r="L356" s="5">
        <v>206</v>
      </c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>
        <f>'Electricity '!I359+'Electricity '!O359</f>
        <v>27645.240000002199</v>
      </c>
      <c r="F357" s="124">
        <v>3.97</v>
      </c>
      <c r="G357" s="4">
        <f>'Gas Water'!M360</f>
        <v>3873</v>
      </c>
      <c r="H357" s="124">
        <v>22.15</v>
      </c>
      <c r="I357" s="2">
        <f>'Gas Water'!L360</f>
        <v>227</v>
      </c>
      <c r="J357" s="124">
        <v>31.5</v>
      </c>
      <c r="K357" s="5">
        <v>122</v>
      </c>
      <c r="L357" s="5">
        <v>205</v>
      </c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>
        <f>'Electricity '!I360+'Electricity '!O360</f>
        <v>28690.19999999744</v>
      </c>
      <c r="F358" s="124">
        <v>3.97</v>
      </c>
      <c r="G358" s="4">
        <f>'Gas Water'!M361</f>
        <v>2758</v>
      </c>
      <c r="H358" s="124">
        <v>22.15</v>
      </c>
      <c r="I358" s="2">
        <f>'Gas Water'!L361</f>
        <v>252</v>
      </c>
      <c r="J358" s="124">
        <v>31.5</v>
      </c>
      <c r="K358" s="5">
        <v>120</v>
      </c>
      <c r="L358" s="5">
        <v>205</v>
      </c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>
        <f>'Electricity '!I361+'Electricity '!O361</f>
        <v>40249.080000002738</v>
      </c>
      <c r="F359" s="124">
        <v>3.97</v>
      </c>
      <c r="G359" s="4">
        <f>'Gas Water'!M362</f>
        <v>2562</v>
      </c>
      <c r="H359" s="124">
        <v>22.15</v>
      </c>
      <c r="I359" s="2">
        <f>'Gas Water'!L362</f>
        <v>261</v>
      </c>
      <c r="J359" s="124">
        <v>31.5</v>
      </c>
      <c r="K359" s="5">
        <v>98</v>
      </c>
      <c r="L359" s="5">
        <v>191</v>
      </c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>
        <f>'Electricity '!I362+'Electricity '!O362</f>
        <v>15148.259999998554</v>
      </c>
      <c r="F360" s="124">
        <v>3.97</v>
      </c>
      <c r="G360" s="4">
        <f>'Gas Water'!M363</f>
        <v>2642</v>
      </c>
      <c r="H360" s="124">
        <v>22.15</v>
      </c>
      <c r="I360" s="2">
        <f>'Gas Water'!L363</f>
        <v>235</v>
      </c>
      <c r="J360" s="124">
        <v>31.5</v>
      </c>
      <c r="K360" s="5">
        <v>79</v>
      </c>
      <c r="L360" s="5">
        <v>160</v>
      </c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>
        <f>'Electricity '!I363+'Electricity '!O363</f>
        <v>24165.179999998072</v>
      </c>
      <c r="F361" s="124">
        <v>3.97</v>
      </c>
      <c r="G361" s="4">
        <f>'Gas Water'!M364</f>
        <v>2259</v>
      </c>
      <c r="H361" s="124">
        <v>22.15</v>
      </c>
      <c r="I361" s="2">
        <f>'Gas Water'!L364</f>
        <v>236</v>
      </c>
      <c r="J361" s="124">
        <v>31.5</v>
      </c>
      <c r="K361" s="5">
        <v>69</v>
      </c>
      <c r="L361" s="5">
        <v>135</v>
      </c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>
        <f>'Electricity '!I364+'Electricity '!O364</f>
        <v>24835.860000002922</v>
      </c>
      <c r="F362" s="124">
        <v>3.97</v>
      </c>
      <c r="G362" s="4">
        <f>'Gas Water'!M365</f>
        <v>2187</v>
      </c>
      <c r="H362" s="124">
        <v>22.15</v>
      </c>
      <c r="I362" s="2">
        <f>'Gas Water'!L365</f>
        <v>199</v>
      </c>
      <c r="J362" s="124">
        <v>31.5</v>
      </c>
      <c r="K362" s="5">
        <v>81</v>
      </c>
      <c r="L362" s="5">
        <v>167</v>
      </c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>
        <f>'Electricity '!I365+'Electricity '!O365</f>
        <v>23829.83999999753</v>
      </c>
      <c r="F363" s="124">
        <v>3.97</v>
      </c>
      <c r="G363" s="4">
        <f>'Gas Water'!M366</f>
        <v>2404</v>
      </c>
      <c r="H363" s="124">
        <v>22.15</v>
      </c>
      <c r="I363" s="2">
        <f>'Gas Water'!L366</f>
        <v>196</v>
      </c>
      <c r="J363" s="124">
        <v>31.5</v>
      </c>
      <c r="K363" s="5">
        <v>92</v>
      </c>
      <c r="L363" s="5">
        <v>188</v>
      </c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>
        <f>'Electricity '!I366+'Electricity '!O366</f>
        <v>24169.320000002681</v>
      </c>
      <c r="F364" s="124">
        <v>3.97</v>
      </c>
      <c r="G364" s="4">
        <f>'Gas Water'!M367</f>
        <v>2391</v>
      </c>
      <c r="H364" s="124">
        <v>22.15</v>
      </c>
      <c r="I364" s="2">
        <f>'Gas Water'!L367</f>
        <v>214</v>
      </c>
      <c r="J364" s="124">
        <v>31.5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>
        <v>3.97</v>
      </c>
      <c r="G365" s="4" t="str">
        <f>'Gas Water'!M368</f>
        <v/>
      </c>
      <c r="H365" s="124">
        <v>22.15</v>
      </c>
      <c r="I365" s="2" t="str">
        <f>'Gas Water'!L368</f>
        <v/>
      </c>
      <c r="J365" s="124">
        <v>31.5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>
        <v>3.97</v>
      </c>
      <c r="G366" s="4">
        <f>'Gas Water'!M369</f>
        <v>0</v>
      </c>
      <c r="H366" s="124">
        <v>22.15</v>
      </c>
      <c r="I366" s="2">
        <f>'Gas Water'!L369</f>
        <v>0</v>
      </c>
      <c r="J366" s="124">
        <v>31.5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341" workbookViewId="0">
      <selection activeCell="S362" sqref="S362"/>
    </sheetView>
  </sheetViews>
  <sheetFormatPr defaultColWidth="9.140625" defaultRowHeight="1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.7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.7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3" t="s">
        <v>30</v>
      </c>
      <c r="Q21" s="184"/>
      <c r="R21" s="19">
        <f t="shared" si="7"/>
        <v>1</v>
      </c>
      <c r="S21" s="19">
        <f t="shared" si="8"/>
        <v>0</v>
      </c>
      <c r="T21" s="145"/>
    </row>
    <row r="22" spans="1:21" ht="15.7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5"/>
      <c r="Q22" s="186"/>
      <c r="R22" s="19">
        <f t="shared" si="7"/>
        <v>1</v>
      </c>
      <c r="S22" s="19">
        <f t="shared" si="8"/>
        <v>0</v>
      </c>
      <c r="T22" s="145"/>
    </row>
    <row r="23" spans="1:21" ht="15.7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.7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.7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.7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.7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.7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.7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.7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.7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.7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.7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.7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.7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.7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.7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.7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.7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.7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.7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.7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.7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.7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.7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.7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.7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.7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3" t="s">
        <v>42</v>
      </c>
      <c r="Q49" s="184"/>
      <c r="R49" s="19">
        <f t="shared" si="7"/>
        <v>1</v>
      </c>
      <c r="S49" s="19">
        <f t="shared" si="8"/>
        <v>0</v>
      </c>
      <c r="T49" s="144"/>
    </row>
    <row r="50" spans="1:20" ht="15.7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5"/>
      <c r="Q50" s="186"/>
      <c r="R50" s="19">
        <f t="shared" si="7"/>
        <v>1</v>
      </c>
      <c r="S50" s="19">
        <f t="shared" si="8"/>
        <v>0</v>
      </c>
      <c r="T50" s="144"/>
    </row>
    <row r="51" spans="1:20" ht="15.7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.7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.7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.7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.7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.7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.7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.7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.7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.7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.7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.7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.7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.7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.7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.7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.7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.7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.7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.7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.7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.7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.7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.7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.7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.7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.7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.7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.7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.7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.7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3" t="s">
        <v>45</v>
      </c>
      <c r="Q81" s="184"/>
      <c r="R81" s="19">
        <f t="shared" si="39"/>
        <v>1</v>
      </c>
      <c r="S81" s="19">
        <f t="shared" si="40"/>
        <v>0</v>
      </c>
      <c r="T81" s="145"/>
    </row>
    <row r="82" spans="1:20" ht="15.7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5"/>
      <c r="Q82" s="186"/>
      <c r="R82" s="19">
        <f t="shared" si="39"/>
        <v>1</v>
      </c>
      <c r="S82" s="19">
        <f t="shared" si="40"/>
        <v>0</v>
      </c>
      <c r="T82" s="144"/>
    </row>
    <row r="83" spans="1:20" ht="15.7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.7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.7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.7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.7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.7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.7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.7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.7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.7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.7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.7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.7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.7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.7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.7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.7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.7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.7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.7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.7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.7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.7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.7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.7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.7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.7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.7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.7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3" t="s">
        <v>46</v>
      </c>
      <c r="Q111" s="184"/>
      <c r="R111" s="19">
        <f t="shared" si="61"/>
        <v>1</v>
      </c>
      <c r="S111" s="19">
        <f t="shared" si="40"/>
        <v>0</v>
      </c>
      <c r="T111" s="145"/>
    </row>
    <row r="112" spans="1:20" ht="15.7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5"/>
      <c r="Q112" s="186"/>
      <c r="R112" s="19">
        <f t="shared" si="61"/>
        <v>1</v>
      </c>
      <c r="S112" s="19">
        <f t="shared" si="40"/>
        <v>0</v>
      </c>
      <c r="T112" s="145"/>
    </row>
    <row r="113" spans="1:20" ht="15.7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.7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.7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.7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.7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.7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.7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.7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.7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.7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.7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.7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.7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.7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.7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.7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.7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.7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.7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.7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.7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.7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.7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.7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.7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.7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.7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.7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.7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3" t="s">
        <v>47</v>
      </c>
      <c r="Q142" s="184"/>
      <c r="R142" s="19">
        <f t="shared" si="61"/>
        <v>1</v>
      </c>
      <c r="S142" s="19">
        <f t="shared" si="71"/>
        <v>0</v>
      </c>
      <c r="T142" s="145"/>
    </row>
    <row r="143" spans="1:20" ht="15.7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5"/>
      <c r="Q143" s="186"/>
      <c r="R143" s="19">
        <f t="shared" si="61"/>
        <v>1</v>
      </c>
      <c r="S143" s="19">
        <f t="shared" si="71"/>
        <v>0</v>
      </c>
      <c r="T143" s="144"/>
    </row>
    <row r="144" spans="1:20" ht="15.7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.7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.7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.7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.7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.7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.7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.7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.7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.7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.7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.7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.7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.7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.7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.7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.7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.7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.7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.7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.7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.7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.7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.7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.7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.7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.7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.7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.7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3" t="s">
        <v>48</v>
      </c>
      <c r="Q172" s="184"/>
      <c r="R172" s="19">
        <f t="shared" si="78"/>
        <v>1</v>
      </c>
      <c r="S172" s="19">
        <f t="shared" si="71"/>
        <v>0</v>
      </c>
      <c r="T172" s="145"/>
    </row>
    <row r="173" spans="1:20" ht="15.7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5"/>
      <c r="Q173" s="186"/>
      <c r="R173" s="19">
        <f t="shared" si="78"/>
        <v>1</v>
      </c>
      <c r="S173" s="19">
        <f t="shared" si="71"/>
        <v>0</v>
      </c>
      <c r="T173" s="145"/>
    </row>
    <row r="174" spans="1:20" ht="15.7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.7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.7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.7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7" t="s">
        <v>49</v>
      </c>
      <c r="Q203" s="188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5"/>
      <c r="Q204" s="186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7" t="s">
        <v>51</v>
      </c>
      <c r="Q234" s="188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5"/>
      <c r="Q235" s="186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3" t="s">
        <v>52</v>
      </c>
      <c r="Q264" s="184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5"/>
      <c r="Q265" s="186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3" t="s">
        <v>54</v>
      </c>
      <c r="Q295" s="184"/>
      <c r="R295" s="19">
        <f t="shared" si="88"/>
        <v>1</v>
      </c>
      <c r="S295" s="19">
        <f t="shared" si="91"/>
        <v>0</v>
      </c>
      <c r="T295" s="145"/>
    </row>
    <row r="296" spans="1:20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5"/>
      <c r="Q296" s="186"/>
      <c r="R296" s="19">
        <f t="shared" si="88"/>
        <v>1</v>
      </c>
      <c r="S296" s="19">
        <f t="shared" si="91"/>
        <v>0</v>
      </c>
      <c r="T296" s="144"/>
    </row>
    <row r="297" spans="1:20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31</v>
      </c>
      <c r="Q297" s="62" t="s">
        <v>32</v>
      </c>
      <c r="R297" s="19">
        <f t="shared" si="88"/>
        <v>1</v>
      </c>
      <c r="S297" s="19">
        <f t="shared" si="91"/>
        <v>0</v>
      </c>
      <c r="T297" s="144"/>
    </row>
    <row r="298" spans="1:20">
      <c r="A298" s="50">
        <v>44856</v>
      </c>
      <c r="D298" s="128" t="s">
        <v>50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4.0552477700218026E-2</v>
      </c>
      <c r="Q298" s="63">
        <f>IF(L277="",0,+SUM(L277:L307)/SUM(I277:I307))</f>
        <v>4.0552477700218026E-2</v>
      </c>
      <c r="R298" s="19">
        <f t="shared" si="88"/>
        <v>1</v>
      </c>
      <c r="S298" s="19">
        <f t="shared" si="91"/>
        <v>0</v>
      </c>
      <c r="T298" s="145"/>
    </row>
    <row r="299" spans="1:20">
      <c r="A299" s="50">
        <v>44857</v>
      </c>
      <c r="D299" s="128" t="s">
        <v>50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33</v>
      </c>
      <c r="Q300" s="66" t="s">
        <v>34</v>
      </c>
      <c r="R300" s="19">
        <f t="shared" si="88"/>
        <v>1</v>
      </c>
      <c r="S300" s="19">
        <f t="shared" si="91"/>
        <v>0</v>
      </c>
      <c r="T300" s="145"/>
    </row>
    <row r="301" spans="1:20">
      <c r="A301" s="50">
        <v>44859</v>
      </c>
      <c r="D301" s="128">
        <v>0.14199999999999999</v>
      </c>
      <c r="E301" s="129">
        <v>3844.0390000000002</v>
      </c>
      <c r="F301" s="130">
        <v>127.053</v>
      </c>
      <c r="G301" s="53"/>
      <c r="H301" s="53">
        <v>4140</v>
      </c>
      <c r="I301" s="53">
        <f t="shared" si="94"/>
        <v>25291.260000001566</v>
      </c>
      <c r="J301" s="53">
        <f t="shared" si="94"/>
        <v>977.04000000001747</v>
      </c>
      <c r="K301" s="54">
        <f t="shared" si="92"/>
        <v>3.863152725486816E-2</v>
      </c>
      <c r="L301" s="53">
        <f t="shared" si="89"/>
        <v>977.04000000001747</v>
      </c>
      <c r="M301" s="54">
        <f t="shared" si="93"/>
        <v>3.863152725486816E-2</v>
      </c>
      <c r="N301" s="55">
        <v>66744579</v>
      </c>
      <c r="O301" s="55">
        <f t="shared" si="90"/>
        <v>0</v>
      </c>
      <c r="P301" s="67">
        <f>IF(N276="",0,+(LOOKUP(9.99999999999999E+307,N276:N307)-N276))</f>
        <v>1731</v>
      </c>
      <c r="Q301" s="68">
        <f>IF(P301="",0,+P301/SUM(R277:R307))</f>
        <v>55.838709677419352</v>
      </c>
      <c r="R301" s="19">
        <f t="shared" si="88"/>
        <v>1</v>
      </c>
      <c r="S301" s="19">
        <f t="shared" si="91"/>
        <v>0</v>
      </c>
      <c r="T301" s="145"/>
    </row>
    <row r="302" spans="1:20">
      <c r="A302" s="50">
        <v>44860</v>
      </c>
      <c r="D302" s="128">
        <v>0.14199999999999999</v>
      </c>
      <c r="E302" s="129">
        <v>3850.38</v>
      </c>
      <c r="F302" s="130">
        <v>127.295</v>
      </c>
      <c r="G302" s="53"/>
      <c r="H302" s="53">
        <v>4140</v>
      </c>
      <c r="I302" s="53">
        <f t="shared" si="94"/>
        <v>26251.739999999561</v>
      </c>
      <c r="J302" s="53">
        <f t="shared" si="94"/>
        <v>1001.8800000000183</v>
      </c>
      <c r="K302" s="54">
        <f t="shared" si="92"/>
        <v>3.8164327393156991E-2</v>
      </c>
      <c r="L302" s="53">
        <f t="shared" si="89"/>
        <v>1001.8800000000183</v>
      </c>
      <c r="M302" s="54">
        <f t="shared" si="93"/>
        <v>3.8164327393156991E-2</v>
      </c>
      <c r="N302" s="55">
        <v>66744579</v>
      </c>
      <c r="O302" s="55">
        <f t="shared" si="90"/>
        <v>0</v>
      </c>
      <c r="P302" s="69" t="s">
        <v>35</v>
      </c>
      <c r="Q302" s="70" t="s">
        <v>43</v>
      </c>
      <c r="R302" s="19">
        <f t="shared" si="88"/>
        <v>1</v>
      </c>
      <c r="S302" s="19">
        <f t="shared" si="91"/>
        <v>0</v>
      </c>
      <c r="T302" s="144"/>
    </row>
    <row r="303" spans="1:20">
      <c r="A303" s="50">
        <v>44861</v>
      </c>
      <c r="D303" s="128">
        <v>0.14199999999999999</v>
      </c>
      <c r="E303" s="129">
        <v>3856.2420000000002</v>
      </c>
      <c r="F303" s="130">
        <v>127.545</v>
      </c>
      <c r="G303" s="53"/>
      <c r="H303" s="53">
        <v>4140</v>
      </c>
      <c r="I303" s="53">
        <f t="shared" si="94"/>
        <v>24268.680000000331</v>
      </c>
      <c r="J303" s="53">
        <f t="shared" si="94"/>
        <v>1035</v>
      </c>
      <c r="K303" s="54">
        <f t="shared" si="92"/>
        <v>4.2647560559535412E-2</v>
      </c>
      <c r="L303" s="53">
        <f t="shared" si="89"/>
        <v>1035</v>
      </c>
      <c r="M303" s="54">
        <f t="shared" si="93"/>
        <v>4.2647560559535412E-2</v>
      </c>
      <c r="N303" s="55">
        <v>66745047</v>
      </c>
      <c r="O303" s="55">
        <f t="shared" si="90"/>
        <v>468</v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1</v>
      </c>
      <c r="S303" s="19">
        <f t="shared" si="91"/>
        <v>0</v>
      </c>
      <c r="T303" s="144"/>
    </row>
    <row r="304" spans="1:20">
      <c r="A304" s="50">
        <v>44862</v>
      </c>
      <c r="D304" s="128">
        <v>0.14199999999999999</v>
      </c>
      <c r="E304" s="129">
        <v>3862.1819999999998</v>
      </c>
      <c r="F304" s="130">
        <v>127.748</v>
      </c>
      <c r="G304" s="53"/>
      <c r="H304" s="53">
        <v>4140</v>
      </c>
      <c r="I304" s="53">
        <f t="shared" si="94"/>
        <v>24591.599999998343</v>
      </c>
      <c r="J304" s="53">
        <f t="shared" si="94"/>
        <v>840.42000000001224</v>
      </c>
      <c r="K304" s="54">
        <f t="shared" si="92"/>
        <v>3.4175084175086974E-2</v>
      </c>
      <c r="L304" s="53">
        <f t="shared" si="89"/>
        <v>840.42000000001224</v>
      </c>
      <c r="M304" s="54">
        <f t="shared" si="93"/>
        <v>3.4175084175086974E-2</v>
      </c>
      <c r="N304" s="55">
        <v>66745047</v>
      </c>
      <c r="O304" s="55">
        <f t="shared" si="90"/>
        <v>0</v>
      </c>
      <c r="P304" s="146" t="s">
        <v>37</v>
      </c>
      <c r="Q304" s="147" t="s">
        <v>44</v>
      </c>
      <c r="R304" s="19">
        <f t="shared" si="88"/>
        <v>1</v>
      </c>
      <c r="S304" s="19">
        <f t="shared" si="91"/>
        <v>0</v>
      </c>
      <c r="T304" s="144"/>
    </row>
    <row r="305" spans="1:20">
      <c r="A305" s="50">
        <v>44863</v>
      </c>
      <c r="D305" s="128">
        <v>0.14199999999999999</v>
      </c>
      <c r="E305" s="129">
        <v>3868.143</v>
      </c>
      <c r="F305" s="130">
        <v>127.926</v>
      </c>
      <c r="G305" s="53"/>
      <c r="H305" s="53">
        <v>4140</v>
      </c>
      <c r="I305" s="53">
        <f t="shared" si="94"/>
        <v>24678.540000000994</v>
      </c>
      <c r="J305" s="53">
        <f t="shared" si="94"/>
        <v>736.9199999999887</v>
      </c>
      <c r="K305" s="54">
        <f t="shared" si="92"/>
        <v>2.9860761617176667E-2</v>
      </c>
      <c r="L305" s="53">
        <f t="shared" si="89"/>
        <v>736.9199999999887</v>
      </c>
      <c r="M305" s="54">
        <f t="shared" si="93"/>
        <v>2.9860761617176667E-2</v>
      </c>
      <c r="N305" s="55">
        <v>66745047</v>
      </c>
      <c r="O305" s="55">
        <f t="shared" si="90"/>
        <v>0</v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1</v>
      </c>
      <c r="S305" s="19">
        <f t="shared" si="91"/>
        <v>0</v>
      </c>
      <c r="T305" s="144"/>
    </row>
    <row r="306" spans="1:20">
      <c r="A306" s="50">
        <v>44864</v>
      </c>
      <c r="D306" s="128">
        <v>0.14199999999999999</v>
      </c>
      <c r="E306" s="163">
        <v>3874.386</v>
      </c>
      <c r="F306" s="164">
        <v>128.142</v>
      </c>
      <c r="G306" s="53"/>
      <c r="H306" s="53">
        <v>4140</v>
      </c>
      <c r="I306" s="53">
        <f t="shared" si="94"/>
        <v>25846.019999999742</v>
      </c>
      <c r="J306" s="53">
        <f t="shared" si="94"/>
        <v>894.239999999975</v>
      </c>
      <c r="K306" s="54">
        <f t="shared" si="92"/>
        <v>3.4598750600672135E-2</v>
      </c>
      <c r="L306" s="53">
        <f t="shared" si="89"/>
        <v>894.239999999975</v>
      </c>
      <c r="M306" s="54">
        <f t="shared" si="93"/>
        <v>3.4598750600672135E-2</v>
      </c>
      <c r="N306" s="55">
        <v>66745047</v>
      </c>
      <c r="O306" s="55">
        <f t="shared" si="90"/>
        <v>0</v>
      </c>
      <c r="P306" s="148" t="s">
        <v>39</v>
      </c>
      <c r="Q306" s="149" t="s">
        <v>40</v>
      </c>
      <c r="R306" s="19">
        <f t="shared" si="88"/>
        <v>1</v>
      </c>
      <c r="S306" s="19">
        <f t="shared" si="91"/>
        <v>0</v>
      </c>
      <c r="T306" s="144"/>
    </row>
    <row r="307" spans="1:20">
      <c r="A307" s="50">
        <v>44865</v>
      </c>
      <c r="D307" s="153">
        <v>0.14199999999999999</v>
      </c>
      <c r="E307" s="165">
        <v>3880.348</v>
      </c>
      <c r="F307" s="165">
        <v>128.34700000000001</v>
      </c>
      <c r="G307" s="166"/>
      <c r="H307" s="166">
        <v>4140</v>
      </c>
      <c r="I307" s="166">
        <f t="shared" si="94"/>
        <v>24682.679999999957</v>
      </c>
      <c r="J307" s="166">
        <f t="shared" si="94"/>
        <v>848.70000000005177</v>
      </c>
      <c r="K307" s="167">
        <f t="shared" si="92"/>
        <v>3.43844347534406E-2</v>
      </c>
      <c r="L307" s="166">
        <f t="shared" si="89"/>
        <v>848.70000000005177</v>
      </c>
      <c r="M307" s="179">
        <f t="shared" si="93"/>
        <v>3.43844347534406E-2</v>
      </c>
      <c r="N307" s="168">
        <v>66745047</v>
      </c>
      <c r="O307" s="180">
        <f t="shared" si="90"/>
        <v>0</v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1</v>
      </c>
      <c r="S307" s="19">
        <f t="shared" si="91"/>
        <v>0</v>
      </c>
      <c r="T307" s="144"/>
    </row>
    <row r="308" spans="1:20">
      <c r="A308" s="50">
        <v>44866</v>
      </c>
      <c r="D308" s="128">
        <v>0.14199999999999999</v>
      </c>
      <c r="E308" s="129">
        <v>3887.0070000000001</v>
      </c>
      <c r="F308" s="130">
        <v>128.559</v>
      </c>
      <c r="G308" s="53"/>
      <c r="H308" s="53">
        <v>4140</v>
      </c>
      <c r="I308" s="53">
        <f t="shared" si="94"/>
        <v>27568.260000000439</v>
      </c>
      <c r="J308" s="53">
        <f t="shared" si="94"/>
        <v>877.67999999995482</v>
      </c>
      <c r="K308" s="54">
        <f t="shared" si="92"/>
        <v>3.1836612103917361E-2</v>
      </c>
      <c r="L308" s="53">
        <f t="shared" si="89"/>
        <v>877.67999999995482</v>
      </c>
      <c r="M308" s="54">
        <f t="shared" si="93"/>
        <v>3.1836612103917361E-2</v>
      </c>
      <c r="N308" s="55">
        <v>66745047</v>
      </c>
      <c r="O308" s="55">
        <f t="shared" si="90"/>
        <v>0</v>
      </c>
      <c r="P308" s="95" t="s">
        <v>41</v>
      </c>
      <c r="Q308" s="96">
        <v>0.56999999999999995</v>
      </c>
      <c r="R308" s="19">
        <f t="shared" si="88"/>
        <v>1</v>
      </c>
      <c r="S308" s="19">
        <f t="shared" si="91"/>
        <v>0</v>
      </c>
      <c r="T308" s="144"/>
    </row>
    <row r="309" spans="1:20">
      <c r="A309" s="50">
        <v>44867</v>
      </c>
      <c r="D309" s="128">
        <v>0.14199999999999999</v>
      </c>
      <c r="E309" s="129">
        <v>3892.8969999999999</v>
      </c>
      <c r="F309" s="130">
        <v>128.78200000000001</v>
      </c>
      <c r="G309" s="53"/>
      <c r="H309" s="53">
        <v>4140</v>
      </c>
      <c r="I309" s="53">
        <f t="shared" si="94"/>
        <v>24384.599999999475</v>
      </c>
      <c r="J309" s="53">
        <f t="shared" si="94"/>
        <v>923.2200000000546</v>
      </c>
      <c r="K309" s="54">
        <f t="shared" si="92"/>
        <v>3.7860780984722918E-2</v>
      </c>
      <c r="L309" s="53">
        <f t="shared" si="89"/>
        <v>923.2200000000546</v>
      </c>
      <c r="M309" s="54">
        <f t="shared" si="93"/>
        <v>3.7860780984722918E-2</v>
      </c>
      <c r="N309" s="55">
        <v>66747746</v>
      </c>
      <c r="O309" s="55">
        <f t="shared" si="90"/>
        <v>2699</v>
      </c>
      <c r="P309" s="113"/>
      <c r="Q309" s="113"/>
      <c r="R309" s="19">
        <f t="shared" si="88"/>
        <v>1</v>
      </c>
      <c r="S309" s="19">
        <f t="shared" si="91"/>
        <v>0</v>
      </c>
      <c r="T309" s="144"/>
    </row>
    <row r="310" spans="1:20">
      <c r="A310" s="50">
        <v>44868</v>
      </c>
      <c r="D310" s="128">
        <v>0.14199999999999999</v>
      </c>
      <c r="E310" s="129">
        <v>3899.2350000000001</v>
      </c>
      <c r="F310" s="130">
        <v>129.01499999999999</v>
      </c>
      <c r="G310" s="53"/>
      <c r="H310" s="53">
        <v>4140</v>
      </c>
      <c r="I310" s="53">
        <f t="shared" si="94"/>
        <v>26239.3200000008</v>
      </c>
      <c r="J310" s="53">
        <f t="shared" si="94"/>
        <v>964.61999999989928</v>
      </c>
      <c r="K310" s="54">
        <f t="shared" si="92"/>
        <v>3.6762385610597755E-2</v>
      </c>
      <c r="L310" s="53">
        <f t="shared" si="89"/>
        <v>964.61999999989928</v>
      </c>
      <c r="M310" s="54">
        <f t="shared" si="93"/>
        <v>3.6762385610597755E-2</v>
      </c>
      <c r="N310" s="55">
        <v>66747746</v>
      </c>
      <c r="O310" s="55">
        <f t="shared" si="90"/>
        <v>0</v>
      </c>
      <c r="P310" s="84"/>
      <c r="Q310" s="85"/>
      <c r="R310" s="19">
        <f>IF(N310="",0,1)</f>
        <v>1</v>
      </c>
      <c r="S310" s="19">
        <f t="shared" si="91"/>
        <v>0</v>
      </c>
      <c r="T310" s="145"/>
    </row>
    <row r="311" spans="1:20">
      <c r="A311" s="50">
        <v>44869</v>
      </c>
      <c r="D311" s="128">
        <v>0.14199999999999999</v>
      </c>
      <c r="E311" s="129">
        <v>3906.2640000000001</v>
      </c>
      <c r="F311" s="130">
        <v>129.315</v>
      </c>
      <c r="G311" s="53"/>
      <c r="H311" s="53">
        <v>4140</v>
      </c>
      <c r="I311" s="53">
        <f t="shared" si="94"/>
        <v>29100.059999999983</v>
      </c>
      <c r="J311" s="53">
        <f t="shared" si="94"/>
        <v>1242.0000000000471</v>
      </c>
      <c r="K311" s="54">
        <f t="shared" si="92"/>
        <v>4.2680324370466857E-2</v>
      </c>
      <c r="L311" s="53">
        <f t="shared" si="89"/>
        <v>1242.0000000000471</v>
      </c>
      <c r="M311" s="54">
        <f t="shared" si="93"/>
        <v>4.2680324370466857E-2</v>
      </c>
      <c r="N311" s="55">
        <v>66747746</v>
      </c>
      <c r="O311" s="55">
        <f t="shared" si="90"/>
        <v>0</v>
      </c>
      <c r="P311" s="86"/>
      <c r="Q311" s="87"/>
      <c r="R311" s="19">
        <f>IF(N311="",0,1)</f>
        <v>1</v>
      </c>
      <c r="S311" s="19">
        <f>IF(N312="",1,0)</f>
        <v>0</v>
      </c>
      <c r="T311" s="145"/>
    </row>
    <row r="312" spans="1:20">
      <c r="A312" s="50">
        <v>44870</v>
      </c>
      <c r="D312" s="128">
        <v>0.14199999999999999</v>
      </c>
      <c r="E312" s="129">
        <v>3912.6010000000001</v>
      </c>
      <c r="F312" s="130">
        <v>129.547</v>
      </c>
      <c r="G312" s="53"/>
      <c r="H312" s="53">
        <v>4140</v>
      </c>
      <c r="I312" s="53">
        <f t="shared" si="94"/>
        <v>26235.179999999957</v>
      </c>
      <c r="J312" s="53">
        <f t="shared" si="94"/>
        <v>960.47999999999718</v>
      </c>
      <c r="K312" s="54">
        <f t="shared" si="92"/>
        <v>3.6610383462206041E-2</v>
      </c>
      <c r="L312" s="53">
        <f t="shared" si="89"/>
        <v>960.47999999999718</v>
      </c>
      <c r="M312" s="54">
        <f t="shared" si="93"/>
        <v>3.6610383462206041E-2</v>
      </c>
      <c r="N312" s="55">
        <v>66747746</v>
      </c>
      <c r="O312" s="55">
        <f t="shared" si="90"/>
        <v>0</v>
      </c>
      <c r="P312" s="86"/>
      <c r="Q312" s="85"/>
      <c r="R312" s="19">
        <f>IF(N312="",0,1)</f>
        <v>1</v>
      </c>
      <c r="S312" s="19">
        <f>IF(N313="",1,0)</f>
        <v>0</v>
      </c>
      <c r="T312" s="144"/>
    </row>
    <row r="313" spans="1:20">
      <c r="A313" s="50">
        <v>44871</v>
      </c>
      <c r="D313" s="128">
        <v>0.14199999999999999</v>
      </c>
      <c r="E313" s="129">
        <v>3918.875</v>
      </c>
      <c r="F313" s="130">
        <v>129.77699999999999</v>
      </c>
      <c r="G313" s="53"/>
      <c r="H313" s="53">
        <v>4140</v>
      </c>
      <c r="I313" s="53">
        <f t="shared" si="94"/>
        <v>25974.359999999535</v>
      </c>
      <c r="J313" s="53">
        <f t="shared" si="94"/>
        <v>952.19999999995764</v>
      </c>
      <c r="K313" s="54">
        <f t="shared" si="92"/>
        <v>3.6659228562319714E-2</v>
      </c>
      <c r="L313" s="53">
        <f t="shared" si="89"/>
        <v>952.19999999995764</v>
      </c>
      <c r="M313" s="54">
        <f t="shared" si="93"/>
        <v>3.6659228562319714E-2</v>
      </c>
      <c r="N313" s="55">
        <v>66747746</v>
      </c>
      <c r="O313" s="55">
        <f t="shared" si="90"/>
        <v>0</v>
      </c>
      <c r="P313" s="56"/>
      <c r="Q313" s="58"/>
      <c r="R313" s="19">
        <f t="shared" si="88"/>
        <v>1</v>
      </c>
      <c r="S313" s="19">
        <f t="shared" si="91"/>
        <v>0</v>
      </c>
      <c r="T313" s="144"/>
    </row>
    <row r="314" spans="1:20">
      <c r="A314" s="50">
        <v>44872</v>
      </c>
      <c r="D314" s="128">
        <v>0.14199999999999999</v>
      </c>
      <c r="E314" s="129">
        <v>3924.9349999999999</v>
      </c>
      <c r="F314" s="130">
        <v>130.00800000000001</v>
      </c>
      <c r="G314" s="53"/>
      <c r="H314" s="53">
        <v>4140</v>
      </c>
      <c r="I314" s="53">
        <f t="shared" si="94"/>
        <v>25088.399999999776</v>
      </c>
      <c r="J314" s="53">
        <f t="shared" si="94"/>
        <v>956.34000000009507</v>
      </c>
      <c r="K314" s="54">
        <f t="shared" si="92"/>
        <v>3.8118811881192247E-2</v>
      </c>
      <c r="L314" s="53">
        <f t="shared" si="89"/>
        <v>956.34000000009507</v>
      </c>
      <c r="M314" s="54">
        <f t="shared" si="93"/>
        <v>3.8118811881192247E-2</v>
      </c>
      <c r="N314" s="55">
        <v>66747746</v>
      </c>
      <c r="O314" s="55">
        <f t="shared" si="90"/>
        <v>0</v>
      </c>
      <c r="P314" s="56"/>
      <c r="Q314" s="58"/>
      <c r="R314" s="19">
        <f t="shared" si="88"/>
        <v>1</v>
      </c>
      <c r="S314" s="19">
        <f t="shared" si="91"/>
        <v>0</v>
      </c>
      <c r="T314" s="144"/>
    </row>
    <row r="315" spans="1:20">
      <c r="A315" s="50">
        <v>44873</v>
      </c>
      <c r="D315" s="128">
        <v>0.14199999999999999</v>
      </c>
      <c r="E315" s="129">
        <v>3931.1460000000002</v>
      </c>
      <c r="F315" s="130">
        <v>130.24199999999999</v>
      </c>
      <c r="G315" s="53"/>
      <c r="H315" s="53">
        <v>4140</v>
      </c>
      <c r="I315" s="53">
        <f t="shared" si="94"/>
        <v>25713.540000000994</v>
      </c>
      <c r="J315" s="53">
        <f t="shared" si="94"/>
        <v>968.75999999991905</v>
      </c>
      <c r="K315" s="54">
        <f t="shared" si="92"/>
        <v>3.7675092577680147E-2</v>
      </c>
      <c r="L315" s="53">
        <f t="shared" si="89"/>
        <v>968.75999999991905</v>
      </c>
      <c r="M315" s="54">
        <f t="shared" si="93"/>
        <v>3.7675092577680147E-2</v>
      </c>
      <c r="N315" s="55">
        <v>66747746</v>
      </c>
      <c r="O315" s="55">
        <f>IF(N315="","",N315-N314)</f>
        <v>0</v>
      </c>
      <c r="P315" s="56"/>
      <c r="Q315" s="58"/>
      <c r="R315" s="19">
        <f t="shared" si="88"/>
        <v>1</v>
      </c>
      <c r="S315" s="19">
        <f t="shared" si="91"/>
        <v>0</v>
      </c>
      <c r="T315" s="145"/>
    </row>
    <row r="316" spans="1:20">
      <c r="A316" s="50">
        <v>44874</v>
      </c>
      <c r="D316" s="128">
        <v>0.14199999999999999</v>
      </c>
      <c r="E316" s="129">
        <v>3937.6689999999999</v>
      </c>
      <c r="F316" s="130">
        <v>130.49600000000001</v>
      </c>
      <c r="G316" s="53"/>
      <c r="H316" s="53">
        <v>4140</v>
      </c>
      <c r="I316" s="53">
        <f t="shared" ref="I316:I369" si="95">IF(D316="","",+(E316-E315)*4140)</f>
        <v>27005.219999998691</v>
      </c>
      <c r="J316" s="53">
        <f t="shared" ref="J316:J367" si="96">IF(E316="","",+(F316-F315)*4140)</f>
        <v>1051.5600000000791</v>
      </c>
      <c r="K316" s="54">
        <f t="shared" si="92"/>
        <v>3.8939138433241052E-2</v>
      </c>
      <c r="L316" s="53">
        <f t="shared" si="89"/>
        <v>1051.5600000000791</v>
      </c>
      <c r="M316" s="54">
        <f t="shared" si="93"/>
        <v>3.8939138433241052E-2</v>
      </c>
      <c r="N316" s="55">
        <v>66747746</v>
      </c>
      <c r="O316" s="55">
        <f t="shared" ref="O316:O369" si="97">IF(N316="","",N316-N315)</f>
        <v>0</v>
      </c>
      <c r="P316" s="56"/>
      <c r="Q316" s="57"/>
      <c r="R316" s="19">
        <f t="shared" si="88"/>
        <v>1</v>
      </c>
      <c r="S316" s="19">
        <f t="shared" si="91"/>
        <v>0</v>
      </c>
      <c r="T316" s="145"/>
    </row>
    <row r="317" spans="1:20">
      <c r="A317" s="50">
        <v>44875</v>
      </c>
      <c r="D317" s="128">
        <v>0.14199999999999999</v>
      </c>
      <c r="E317" s="129">
        <v>3944.8040000000001</v>
      </c>
      <c r="F317" s="130">
        <v>130.76599999999999</v>
      </c>
      <c r="G317" s="53"/>
      <c r="H317" s="53">
        <v>4140</v>
      </c>
      <c r="I317" s="53">
        <f t="shared" si="95"/>
        <v>29538.900000000904</v>
      </c>
      <c r="J317" s="53">
        <f t="shared" si="96"/>
        <v>1117.7999999999247</v>
      </c>
      <c r="K317" s="54">
        <f t="shared" si="92"/>
        <v>3.7841625788363496E-2</v>
      </c>
      <c r="L317" s="53">
        <f t="shared" si="89"/>
        <v>1117.7999999999247</v>
      </c>
      <c r="M317" s="54">
        <f t="shared" si="93"/>
        <v>3.7841625788363496E-2</v>
      </c>
      <c r="N317" s="55">
        <v>66748013</v>
      </c>
      <c r="O317" s="55">
        <f t="shared" si="97"/>
        <v>267</v>
      </c>
      <c r="P317" s="56"/>
      <c r="Q317" s="57"/>
      <c r="R317" s="19">
        <f t="shared" ref="R317:R368" si="98">IF(N317="",0,1)</f>
        <v>1</v>
      </c>
      <c r="S317" s="19">
        <f t="shared" si="91"/>
        <v>0</v>
      </c>
      <c r="T317" s="144"/>
    </row>
    <row r="318" spans="1:20">
      <c r="A318" s="50">
        <v>44876</v>
      </c>
      <c r="D318" s="128">
        <v>0.14199999999999999</v>
      </c>
      <c r="E318" s="129">
        <v>3951.3249999999998</v>
      </c>
      <c r="F318" s="130">
        <v>130.999</v>
      </c>
      <c r="G318" s="53"/>
      <c r="H318" s="53">
        <v>4140</v>
      </c>
      <c r="I318" s="53">
        <f t="shared" si="95"/>
        <v>26996.939999998885</v>
      </c>
      <c r="J318" s="53">
        <f t="shared" si="96"/>
        <v>964.62000000001694</v>
      </c>
      <c r="K318" s="54">
        <f t="shared" si="92"/>
        <v>3.5730716147832194E-2</v>
      </c>
      <c r="L318" s="53">
        <f t="shared" si="89"/>
        <v>964.62000000001694</v>
      </c>
      <c r="M318" s="54">
        <f t="shared" si="93"/>
        <v>3.5730716147832194E-2</v>
      </c>
      <c r="N318" s="55">
        <v>66748013</v>
      </c>
      <c r="O318" s="55">
        <f t="shared" si="97"/>
        <v>0</v>
      </c>
      <c r="P318" s="56"/>
      <c r="Q318" s="58"/>
      <c r="R318" s="19">
        <f t="shared" si="98"/>
        <v>1</v>
      </c>
      <c r="S318" s="19">
        <f t="shared" si="91"/>
        <v>0</v>
      </c>
      <c r="T318" s="144"/>
    </row>
    <row r="319" spans="1:20">
      <c r="A319" s="50">
        <v>44877</v>
      </c>
      <c r="D319" s="128">
        <v>0.14199999999999999</v>
      </c>
      <c r="E319" s="129">
        <v>3957.7640000000001</v>
      </c>
      <c r="F319" s="130">
        <v>131.221</v>
      </c>
      <c r="G319" s="53"/>
      <c r="H319" s="53">
        <v>4140</v>
      </c>
      <c r="I319" s="53">
        <f t="shared" si="95"/>
        <v>26657.460000001265</v>
      </c>
      <c r="J319" s="53">
        <f t="shared" si="96"/>
        <v>919.08000000003483</v>
      </c>
      <c r="K319" s="54">
        <f t="shared" si="92"/>
        <v>3.4477403323497108E-2</v>
      </c>
      <c r="L319" s="53">
        <f t="shared" si="89"/>
        <v>919.08000000003483</v>
      </c>
      <c r="M319" s="54">
        <f t="shared" si="93"/>
        <v>3.4477403323497108E-2</v>
      </c>
      <c r="N319" s="55">
        <v>66748013</v>
      </c>
      <c r="O319" s="55">
        <f>IF(N319="","",N319-N318)</f>
        <v>0</v>
      </c>
      <c r="P319" s="56"/>
      <c r="Q319" s="58"/>
      <c r="R319" s="19">
        <f t="shared" si="98"/>
        <v>1</v>
      </c>
      <c r="S319" s="19">
        <f t="shared" si="91"/>
        <v>0</v>
      </c>
      <c r="T319" s="144"/>
    </row>
    <row r="320" spans="1:20">
      <c r="A320" s="50">
        <v>44878</v>
      </c>
      <c r="D320" s="128">
        <v>0.14199999999999999</v>
      </c>
      <c r="E320" s="129">
        <v>3963.8389999999999</v>
      </c>
      <c r="F320" s="130">
        <v>131.429</v>
      </c>
      <c r="G320" s="53"/>
      <c r="H320" s="53">
        <v>4140</v>
      </c>
      <c r="I320" s="53">
        <f t="shared" si="95"/>
        <v>25150.499999999247</v>
      </c>
      <c r="J320" s="53">
        <f t="shared" si="96"/>
        <v>861.11999999999341</v>
      </c>
      <c r="K320" s="54">
        <f t="shared" si="92"/>
        <v>3.4238683127572778E-2</v>
      </c>
      <c r="L320" s="53">
        <f t="shared" si="89"/>
        <v>861.11999999999341</v>
      </c>
      <c r="M320" s="54">
        <f t="shared" si="93"/>
        <v>3.4238683127572778E-2</v>
      </c>
      <c r="N320" s="55">
        <v>66748013</v>
      </c>
      <c r="O320" s="55">
        <f t="shared" si="97"/>
        <v>0</v>
      </c>
      <c r="P320" s="56"/>
      <c r="Q320" s="57"/>
      <c r="R320" s="19">
        <f t="shared" si="98"/>
        <v>1</v>
      </c>
      <c r="S320" s="19">
        <f t="shared" si="91"/>
        <v>0</v>
      </c>
      <c r="T320" s="145"/>
    </row>
    <row r="321" spans="1:20">
      <c r="A321" s="50">
        <v>44879</v>
      </c>
      <c r="D321" s="128">
        <v>0.14199999999999999</v>
      </c>
      <c r="E321" s="129">
        <v>3970.087</v>
      </c>
      <c r="F321" s="130">
        <v>131.64400000000001</v>
      </c>
      <c r="G321" s="53"/>
      <c r="H321" s="53">
        <v>4140</v>
      </c>
      <c r="I321" s="53">
        <f t="shared" si="95"/>
        <v>25866.720000000198</v>
      </c>
      <c r="J321" s="53">
        <f t="shared" si="96"/>
        <v>890.10000000001412</v>
      </c>
      <c r="K321" s="54">
        <f t="shared" si="92"/>
        <v>3.4411011523687862E-2</v>
      </c>
      <c r="L321" s="53">
        <f t="shared" si="89"/>
        <v>890.10000000001412</v>
      </c>
      <c r="M321" s="54">
        <f t="shared" si="93"/>
        <v>3.4411011523687862E-2</v>
      </c>
      <c r="N321" s="55">
        <v>66748013</v>
      </c>
      <c r="O321" s="55">
        <f t="shared" si="97"/>
        <v>0</v>
      </c>
      <c r="P321" s="56"/>
      <c r="Q321" s="114"/>
      <c r="R321" s="19">
        <f t="shared" si="98"/>
        <v>1</v>
      </c>
      <c r="S321" s="19">
        <f t="shared" si="91"/>
        <v>0</v>
      </c>
      <c r="T321" s="145"/>
    </row>
    <row r="322" spans="1:20">
      <c r="A322" s="50">
        <v>44880</v>
      </c>
      <c r="D322" s="128">
        <v>0.14199999999999999</v>
      </c>
      <c r="E322" s="129">
        <v>3976.63</v>
      </c>
      <c r="F322" s="130">
        <v>131.86699999999999</v>
      </c>
      <c r="G322" s="53"/>
      <c r="H322" s="53">
        <v>4140</v>
      </c>
      <c r="I322" s="53">
        <f t="shared" si="95"/>
        <v>27088.020000000499</v>
      </c>
      <c r="J322" s="53">
        <f t="shared" si="96"/>
        <v>923.21999999993693</v>
      </c>
      <c r="K322" s="54">
        <f t="shared" si="92"/>
        <v>3.4082225278921088E-2</v>
      </c>
      <c r="L322" s="53">
        <f t="shared" si="89"/>
        <v>923.21999999993693</v>
      </c>
      <c r="M322" s="54">
        <f t="shared" si="93"/>
        <v>3.4082225278921088E-2</v>
      </c>
      <c r="N322" s="55">
        <v>66748013</v>
      </c>
      <c r="O322" s="55">
        <f t="shared" si="97"/>
        <v>0</v>
      </c>
      <c r="P322" s="56"/>
      <c r="Q322" s="57"/>
      <c r="R322" s="19">
        <f t="shared" si="98"/>
        <v>1</v>
      </c>
      <c r="S322" s="19">
        <f t="shared" si="91"/>
        <v>0</v>
      </c>
      <c r="T322" s="144"/>
    </row>
    <row r="323" spans="1:20">
      <c r="A323" s="50">
        <v>44881</v>
      </c>
      <c r="D323" s="128">
        <v>0.14199999999999999</v>
      </c>
      <c r="E323" s="129">
        <v>3982.924</v>
      </c>
      <c r="F323" s="130">
        <v>132.09700000000001</v>
      </c>
      <c r="G323" s="53"/>
      <c r="H323" s="53">
        <v>4140</v>
      </c>
      <c r="I323" s="53">
        <f t="shared" si="95"/>
        <v>26057.159999999458</v>
      </c>
      <c r="J323" s="53">
        <f t="shared" si="96"/>
        <v>952.20000000007531</v>
      </c>
      <c r="K323" s="54">
        <f t="shared" si="92"/>
        <v>3.6542739116622654E-2</v>
      </c>
      <c r="L323" s="53">
        <f t="shared" si="89"/>
        <v>952.20000000007531</v>
      </c>
      <c r="M323" s="54">
        <f t="shared" si="93"/>
        <v>3.6542739116622654E-2</v>
      </c>
      <c r="N323" s="55">
        <v>66748013</v>
      </c>
      <c r="O323" s="55">
        <f t="shared" si="97"/>
        <v>0</v>
      </c>
      <c r="P323" s="56"/>
      <c r="Q323" s="88"/>
      <c r="R323" s="19">
        <f t="shared" si="98"/>
        <v>1</v>
      </c>
      <c r="S323" s="19">
        <f t="shared" si="91"/>
        <v>0</v>
      </c>
      <c r="T323" s="144"/>
    </row>
    <row r="324" spans="1:20">
      <c r="A324" s="50">
        <v>44882</v>
      </c>
      <c r="D324" s="128">
        <v>0.14199999999999999</v>
      </c>
      <c r="E324" s="129">
        <v>3989.3029999999999</v>
      </c>
      <c r="F324" s="130">
        <v>132.32300000000001</v>
      </c>
      <c r="G324" s="53"/>
      <c r="H324" s="53">
        <v>4140</v>
      </c>
      <c r="I324" s="53">
        <f t="shared" si="95"/>
        <v>26409.059999999608</v>
      </c>
      <c r="J324" s="53">
        <f t="shared" si="96"/>
        <v>935.63999999999623</v>
      </c>
      <c r="K324" s="54">
        <f t="shared" si="92"/>
        <v>3.542875058786682E-2</v>
      </c>
      <c r="L324" s="53">
        <f t="shared" si="89"/>
        <v>935.63999999999623</v>
      </c>
      <c r="M324" s="54">
        <f t="shared" si="93"/>
        <v>3.542875058786682E-2</v>
      </c>
      <c r="N324" s="55">
        <v>66748366</v>
      </c>
      <c r="O324" s="55">
        <f t="shared" si="97"/>
        <v>353</v>
      </c>
      <c r="P324" s="56"/>
      <c r="Q324" s="88"/>
      <c r="R324" s="19">
        <f t="shared" si="98"/>
        <v>1</v>
      </c>
      <c r="S324" s="19">
        <f t="shared" si="91"/>
        <v>0</v>
      </c>
      <c r="T324" s="144"/>
    </row>
    <row r="325" spans="1:20">
      <c r="A325" s="50">
        <v>44883</v>
      </c>
      <c r="D325" s="128">
        <v>0.14199999999999999</v>
      </c>
      <c r="E325" s="129">
        <v>3995.9110000000001</v>
      </c>
      <c r="F325" s="130">
        <v>132.54499999999999</v>
      </c>
      <c r="G325" s="53"/>
      <c r="H325" s="53">
        <v>4140</v>
      </c>
      <c r="I325" s="53">
        <f t="shared" si="95"/>
        <v>27357.120000000723</v>
      </c>
      <c r="J325" s="53">
        <f t="shared" si="96"/>
        <v>919.07999999991716</v>
      </c>
      <c r="K325" s="54">
        <f t="shared" si="92"/>
        <v>3.3595641646485187E-2</v>
      </c>
      <c r="L325" s="53">
        <f t="shared" ref="L325:L367" si="99">IF(F325="","",+(F325-F324)*4140)</f>
        <v>919.07999999991716</v>
      </c>
      <c r="M325" s="54">
        <f t="shared" si="93"/>
        <v>3.3595641646485187E-2</v>
      </c>
      <c r="N325" s="55">
        <v>66748366</v>
      </c>
      <c r="O325" s="55">
        <f t="shared" si="97"/>
        <v>0</v>
      </c>
      <c r="P325" s="183" t="s">
        <v>55</v>
      </c>
      <c r="Q325" s="184"/>
      <c r="R325" s="19">
        <f t="shared" si="98"/>
        <v>1</v>
      </c>
      <c r="S325" s="19">
        <f t="shared" si="91"/>
        <v>0</v>
      </c>
      <c r="T325" s="145"/>
    </row>
    <row r="326" spans="1:20">
      <c r="A326" s="50">
        <v>44884</v>
      </c>
      <c r="D326" s="128">
        <v>0.14199999999999999</v>
      </c>
      <c r="E326" s="129">
        <v>4002.5949999999998</v>
      </c>
      <c r="F326" s="130">
        <v>132.79</v>
      </c>
      <c r="G326" s="53"/>
      <c r="H326" s="53">
        <v>4140</v>
      </c>
      <c r="I326" s="53">
        <f t="shared" ref="I326:J328" si="100">IF(D326="","",+(E326-E325)*4140)</f>
        <v>27671.759999998932</v>
      </c>
      <c r="J326" s="53">
        <f t="shared" si="100"/>
        <v>1014.3000000000188</v>
      </c>
      <c r="K326" s="54">
        <f t="shared" si="92"/>
        <v>3.6654697785759124E-2</v>
      </c>
      <c r="L326" s="53">
        <f>IF(F326="","",+(F326-F325)*4140)</f>
        <v>1014.3000000000188</v>
      </c>
      <c r="M326" s="54">
        <f t="shared" si="93"/>
        <v>3.6654697785759124E-2</v>
      </c>
      <c r="N326" s="55">
        <v>66748366</v>
      </c>
      <c r="O326" s="55">
        <f t="shared" si="97"/>
        <v>0</v>
      </c>
      <c r="P326" s="185"/>
      <c r="Q326" s="186"/>
      <c r="R326" s="19">
        <f t="shared" si="98"/>
        <v>1</v>
      </c>
      <c r="S326" s="19">
        <f t="shared" si="91"/>
        <v>0</v>
      </c>
      <c r="T326" s="145"/>
    </row>
    <row r="327" spans="1:20">
      <c r="A327" s="50">
        <v>44885</v>
      </c>
      <c r="D327" s="128">
        <v>0.14199999999999999</v>
      </c>
      <c r="E327" s="129">
        <v>4008.9140000000002</v>
      </c>
      <c r="F327" s="130">
        <v>133.00800000000001</v>
      </c>
      <c r="G327" s="53"/>
      <c r="H327" s="53">
        <v>4140</v>
      </c>
      <c r="I327" s="53">
        <f t="shared" si="100"/>
        <v>26160.660000001717</v>
      </c>
      <c r="J327" s="53">
        <f t="shared" si="100"/>
        <v>902.52000000007342</v>
      </c>
      <c r="K327" s="54">
        <f t="shared" si="92"/>
        <v>3.4499129609115907E-2</v>
      </c>
      <c r="L327" s="53">
        <f>IF(F327="","",+(F327-F326)*4140)</f>
        <v>902.52000000007342</v>
      </c>
      <c r="M327" s="54">
        <f t="shared" si="93"/>
        <v>3.4499129609115907E-2</v>
      </c>
      <c r="N327" s="55">
        <v>66748366</v>
      </c>
      <c r="O327" s="55">
        <f t="shared" si="97"/>
        <v>0</v>
      </c>
      <c r="P327" s="62" t="s">
        <v>31</v>
      </c>
      <c r="Q327" s="62" t="s">
        <v>32</v>
      </c>
      <c r="R327" s="19">
        <f t="shared" si="98"/>
        <v>1</v>
      </c>
      <c r="S327" s="19">
        <f t="shared" si="91"/>
        <v>0</v>
      </c>
      <c r="T327" s="144"/>
    </row>
    <row r="328" spans="1:20" ht="16.5">
      <c r="A328" s="50">
        <v>44886</v>
      </c>
      <c r="D328" s="128">
        <v>0.14199999999999999</v>
      </c>
      <c r="E328" s="129">
        <v>4015.26</v>
      </c>
      <c r="F328" s="130">
        <v>134.41499999999999</v>
      </c>
      <c r="G328" s="53"/>
      <c r="H328" s="53">
        <v>4140</v>
      </c>
      <c r="I328" s="53">
        <f t="shared" si="100"/>
        <v>26272.440000000017</v>
      </c>
      <c r="J328" s="53">
        <f t="shared" si="100"/>
        <v>5824.9799999999268</v>
      </c>
      <c r="K328" s="181">
        <f t="shared" si="92"/>
        <v>0.22171446580522872</v>
      </c>
      <c r="L328" s="53">
        <f>IF(F328="","",+(F328-F327)*4140)</f>
        <v>5824.9799999999268</v>
      </c>
      <c r="M328" s="54">
        <f t="shared" si="93"/>
        <v>0.22171446580522872</v>
      </c>
      <c r="N328" s="55">
        <v>66748464</v>
      </c>
      <c r="O328" s="55">
        <f>IF(N328="","",N328-N327)</f>
        <v>98</v>
      </c>
      <c r="P328" s="63">
        <f>IF(J308="",0,+SUM(J308:J337)/SUM(I308:I337))</f>
        <v>4.3263815048374982E-2</v>
      </c>
      <c r="Q328" s="63">
        <f>IF(L308="",0,+SUM(L308:L337)/SUM(I308:I337))</f>
        <v>4.3263815048374982E-2</v>
      </c>
      <c r="R328" s="19">
        <f t="shared" si="98"/>
        <v>1</v>
      </c>
      <c r="S328" s="19">
        <f t="shared" ref="S328:S368" si="101">IF(N328="",1,0)</f>
        <v>0</v>
      </c>
      <c r="T328" s="144"/>
    </row>
    <row r="329" spans="1:20">
      <c r="A329" s="50">
        <v>44887</v>
      </c>
      <c r="D329" s="128">
        <v>0.14199999999999999</v>
      </c>
      <c r="E329" s="129">
        <v>4021.415</v>
      </c>
      <c r="F329" s="130">
        <v>134.80000000000001</v>
      </c>
      <c r="G329" s="53"/>
      <c r="H329" s="53">
        <v>4140</v>
      </c>
      <c r="I329" s="53">
        <f t="shared" si="95"/>
        <v>25481.699999998946</v>
      </c>
      <c r="J329" s="53">
        <f t="shared" si="96"/>
        <v>1593.9000000000801</v>
      </c>
      <c r="K329" s="54">
        <f t="shared" si="92"/>
        <v>6.2550771730306307E-2</v>
      </c>
      <c r="L329" s="53">
        <f t="shared" si="99"/>
        <v>1593.9000000000801</v>
      </c>
      <c r="M329" s="54">
        <f t="shared" si="93"/>
        <v>6.2550771730306307E-2</v>
      </c>
      <c r="N329" s="55">
        <v>66748464</v>
      </c>
      <c r="O329" s="55">
        <f t="shared" si="97"/>
        <v>0</v>
      </c>
      <c r="P329" s="64" t="e">
        <f>IF(J308="",0,+(+(LOOKUP(9.99999999999999E+307,E308:E337)-E307))/(+(LOOKUP(9.99999999999999E+307,D308:D337)-D307)))</f>
        <v>#DIV/0!</v>
      </c>
      <c r="Q329" s="64" t="e">
        <f>IF(L308="",0,+(+(LOOKUP(9.99999999999999E+307,F308:F337)-F307))/(+(LOOKUP(9.99999999999999E+307,D308:D337)-D307)))</f>
        <v>#DIV/0!</v>
      </c>
      <c r="R329" s="19">
        <f t="shared" si="98"/>
        <v>1</v>
      </c>
      <c r="S329" s="19">
        <f t="shared" si="101"/>
        <v>0</v>
      </c>
      <c r="T329" s="145"/>
    </row>
    <row r="330" spans="1:20">
      <c r="A330" s="50">
        <v>44888</v>
      </c>
      <c r="D330" s="128">
        <v>0.14199999999999999</v>
      </c>
      <c r="E330" s="129">
        <v>4027.6889999999999</v>
      </c>
      <c r="F330" s="130">
        <v>135.04400000000001</v>
      </c>
      <c r="G330" s="53"/>
      <c r="H330" s="53">
        <v>4140</v>
      </c>
      <c r="I330" s="53">
        <f t="shared" si="95"/>
        <v>25974.359999999535</v>
      </c>
      <c r="J330" s="53">
        <f t="shared" si="96"/>
        <v>1010.1599999999991</v>
      </c>
      <c r="K330" s="54">
        <f t="shared" si="92"/>
        <v>3.8890659866114785E-2</v>
      </c>
      <c r="L330" s="53">
        <f t="shared" si="99"/>
        <v>1010.1599999999991</v>
      </c>
      <c r="M330" s="54">
        <f t="shared" si="93"/>
        <v>3.8890659866114785E-2</v>
      </c>
      <c r="N330" s="55">
        <v>66748464</v>
      </c>
      <c r="O330" s="55">
        <f t="shared" si="97"/>
        <v>0</v>
      </c>
      <c r="P330" s="65" t="s">
        <v>33</v>
      </c>
      <c r="Q330" s="66" t="s">
        <v>34</v>
      </c>
      <c r="R330" s="19">
        <f t="shared" si="98"/>
        <v>1</v>
      </c>
      <c r="S330" s="19">
        <f t="shared" si="101"/>
        <v>0</v>
      </c>
      <c r="T330" s="145"/>
    </row>
    <row r="331" spans="1:20">
      <c r="A331" s="50">
        <v>44889</v>
      </c>
      <c r="D331" s="128">
        <v>0.14199999999999999</v>
      </c>
      <c r="E331" s="129">
        <v>4034.0120000000002</v>
      </c>
      <c r="F331" s="130">
        <v>135.28100000000001</v>
      </c>
      <c r="G331" s="53"/>
      <c r="H331" s="53">
        <v>4140</v>
      </c>
      <c r="I331" s="53">
        <f t="shared" si="95"/>
        <v>26177.220000001325</v>
      </c>
      <c r="J331" s="53">
        <f t="shared" si="96"/>
        <v>981.17999999997835</v>
      </c>
      <c r="K331" s="54">
        <f t="shared" si="92"/>
        <v>3.7482207812744389E-2</v>
      </c>
      <c r="L331" s="53">
        <f t="shared" si="99"/>
        <v>981.17999999997835</v>
      </c>
      <c r="M331" s="54">
        <f t="shared" si="93"/>
        <v>3.7482207812744389E-2</v>
      </c>
      <c r="N331" s="55">
        <v>66748464</v>
      </c>
      <c r="O331" s="55">
        <f t="shared" si="97"/>
        <v>0</v>
      </c>
      <c r="P331" s="67">
        <f>IF(N307="",0,+(LOOKUP(9.99999999999999E+307,N307:N337)-N307))</f>
        <v>3741</v>
      </c>
      <c r="Q331" s="68">
        <f>IF(P331="",0,+P331/SUM(R308:R337))</f>
        <v>124.7</v>
      </c>
      <c r="R331" s="19">
        <f t="shared" si="98"/>
        <v>1</v>
      </c>
      <c r="S331" s="19">
        <f t="shared" si="101"/>
        <v>0</v>
      </c>
      <c r="T331" s="145"/>
    </row>
    <row r="332" spans="1:20">
      <c r="A332" s="50">
        <v>44890</v>
      </c>
      <c r="D332" s="128">
        <v>0.14199999999999999</v>
      </c>
      <c r="E332" s="129">
        <v>4039.99</v>
      </c>
      <c r="F332" s="130">
        <v>135.488</v>
      </c>
      <c r="G332" s="53"/>
      <c r="H332" s="53">
        <v>4140</v>
      </c>
      <c r="I332" s="53">
        <f t="shared" si="95"/>
        <v>24748.91999999839</v>
      </c>
      <c r="J332" s="53">
        <f t="shared" si="96"/>
        <v>856.97999999997364</v>
      </c>
      <c r="K332" s="54">
        <f t="shared" si="92"/>
        <v>3.4626965540315677E-2</v>
      </c>
      <c r="L332" s="53">
        <f t="shared" si="99"/>
        <v>856.97999999997364</v>
      </c>
      <c r="M332" s="54">
        <f t="shared" si="93"/>
        <v>3.4626965540315677E-2</v>
      </c>
      <c r="N332" s="55">
        <v>66748464</v>
      </c>
      <c r="O332" s="55">
        <f t="shared" si="97"/>
        <v>0</v>
      </c>
      <c r="P332" s="69" t="s">
        <v>35</v>
      </c>
      <c r="Q332" s="70" t="s">
        <v>43</v>
      </c>
      <c r="R332" s="19">
        <f t="shared" si="98"/>
        <v>1</v>
      </c>
      <c r="S332" s="19">
        <f t="shared" si="101"/>
        <v>0</v>
      </c>
      <c r="T332" s="145"/>
    </row>
    <row r="333" spans="1:20">
      <c r="A333" s="50">
        <v>44891</v>
      </c>
      <c r="D333" s="128">
        <v>0.14199999999999999</v>
      </c>
      <c r="E333" s="129">
        <v>4046.1260000000002</v>
      </c>
      <c r="F333" s="130">
        <v>135.70099999999999</v>
      </c>
      <c r="G333" s="53"/>
      <c r="H333" s="53">
        <v>4140</v>
      </c>
      <c r="I333" s="53">
        <f t="shared" si="95"/>
        <v>25403.040000001747</v>
      </c>
      <c r="J333" s="53">
        <f t="shared" si="96"/>
        <v>881.81999999997458</v>
      </c>
      <c r="K333" s="54">
        <f t="shared" ref="K333:K337" si="102">IF(J333="","",+(J333/I333))</f>
        <v>3.4713168187741068E-2</v>
      </c>
      <c r="L333" s="53">
        <f t="shared" si="99"/>
        <v>881.81999999997458</v>
      </c>
      <c r="M333" s="54">
        <f t="shared" ref="M333:M362" si="103">IF(L333="","",(L333/I333))</f>
        <v>3.4713168187741068E-2</v>
      </c>
      <c r="N333" s="55">
        <v>66748464</v>
      </c>
      <c r="O333" s="55">
        <f t="shared" si="97"/>
        <v>0</v>
      </c>
      <c r="P333" s="71">
        <f>IF(D307="",0,+(LOOKUP(9.99999999999999E+307,D307:D337)-D307))*4140</f>
        <v>0</v>
      </c>
      <c r="Q333" s="72">
        <f>IF(P333="",0,+P333/SUM(R308:R337))</f>
        <v>0</v>
      </c>
      <c r="R333" s="19">
        <f t="shared" si="98"/>
        <v>1</v>
      </c>
      <c r="S333" s="19">
        <f t="shared" si="101"/>
        <v>0</v>
      </c>
      <c r="T333" s="144"/>
    </row>
    <row r="334" spans="1:20">
      <c r="A334" s="50">
        <v>44892</v>
      </c>
      <c r="D334" s="128">
        <v>0.14199999999999999</v>
      </c>
      <c r="E334" s="129">
        <v>4052.2809999999999</v>
      </c>
      <c r="F334" s="130">
        <v>135.90600000000001</v>
      </c>
      <c r="G334" s="53"/>
      <c r="H334" s="53">
        <v>4140</v>
      </c>
      <c r="I334" s="53">
        <f t="shared" si="95"/>
        <v>25481.699999998946</v>
      </c>
      <c r="J334" s="53">
        <f t="shared" si="96"/>
        <v>848.70000000005177</v>
      </c>
      <c r="K334" s="54">
        <f t="shared" si="102"/>
        <v>3.3306255077176439E-2</v>
      </c>
      <c r="L334" s="53">
        <f t="shared" si="99"/>
        <v>848.70000000005177</v>
      </c>
      <c r="M334" s="54">
        <f t="shared" si="103"/>
        <v>3.3306255077176439E-2</v>
      </c>
      <c r="N334" s="55">
        <v>66748464</v>
      </c>
      <c r="O334" s="55">
        <f t="shared" si="97"/>
        <v>0</v>
      </c>
      <c r="P334" s="146" t="s">
        <v>37</v>
      </c>
      <c r="Q334" s="147" t="s">
        <v>44</v>
      </c>
      <c r="R334" s="19">
        <f t="shared" si="98"/>
        <v>1</v>
      </c>
      <c r="S334" s="19">
        <f t="shared" si="101"/>
        <v>0</v>
      </c>
      <c r="T334" s="144"/>
    </row>
    <row r="335" spans="1:20">
      <c r="A335" s="50">
        <v>44893</v>
      </c>
      <c r="D335" s="128">
        <v>0.14199999999999999</v>
      </c>
      <c r="E335" s="129">
        <v>4058.3090000000002</v>
      </c>
      <c r="F335" s="130">
        <v>136.131</v>
      </c>
      <c r="G335" s="53"/>
      <c r="H335" s="53">
        <v>4140</v>
      </c>
      <c r="I335" s="53">
        <f t="shared" si="95"/>
        <v>24955.920000001024</v>
      </c>
      <c r="J335" s="53">
        <f t="shared" si="96"/>
        <v>931.49999999997647</v>
      </c>
      <c r="K335" s="54">
        <f t="shared" si="102"/>
        <v>3.7325812873255655E-2</v>
      </c>
      <c r="L335" s="53">
        <f t="shared" si="99"/>
        <v>931.49999999997647</v>
      </c>
      <c r="M335" s="54">
        <f t="shared" si="103"/>
        <v>3.7325812873255655E-2</v>
      </c>
      <c r="N335" s="55">
        <v>66748464</v>
      </c>
      <c r="O335" s="55">
        <f t="shared" si="97"/>
        <v>0</v>
      </c>
      <c r="P335" s="115">
        <f>P333*Q338</f>
        <v>0</v>
      </c>
      <c r="Q335" s="116">
        <f>IF(Q34="",0,(SUM('[1]Günlük Tüketim'!H308:H337)*1.62)/SUM(O308:O337))</f>
        <v>0</v>
      </c>
      <c r="R335" s="19">
        <f t="shared" si="98"/>
        <v>1</v>
      </c>
      <c r="S335" s="19">
        <f t="shared" si="101"/>
        <v>0</v>
      </c>
      <c r="T335" s="144"/>
    </row>
    <row r="336" spans="1:20">
      <c r="A336" s="50">
        <v>44894</v>
      </c>
      <c r="D336" s="128">
        <v>0.14199999999999999</v>
      </c>
      <c r="E336" s="129">
        <v>4064.4929999999999</v>
      </c>
      <c r="F336" s="130">
        <v>136.35900000000001</v>
      </c>
      <c r="G336" s="53"/>
      <c r="H336" s="53">
        <v>4140</v>
      </c>
      <c r="I336" s="53">
        <f t="shared" si="95"/>
        <v>25601.759999998932</v>
      </c>
      <c r="J336" s="53">
        <f t="shared" si="96"/>
        <v>943.92000000003577</v>
      </c>
      <c r="K336" s="54">
        <f t="shared" si="102"/>
        <v>3.6869340232861925E-2</v>
      </c>
      <c r="L336" s="53">
        <f t="shared" si="99"/>
        <v>943.92000000003577</v>
      </c>
      <c r="M336" s="54">
        <f t="shared" si="103"/>
        <v>3.6869340232861925E-2</v>
      </c>
      <c r="N336" s="55">
        <v>66748464</v>
      </c>
      <c r="O336" s="55">
        <f t="shared" si="97"/>
        <v>0</v>
      </c>
      <c r="P336" s="150" t="s">
        <v>39</v>
      </c>
      <c r="Q336" s="150" t="s">
        <v>40</v>
      </c>
      <c r="R336" s="19">
        <f t="shared" si="98"/>
        <v>1</v>
      </c>
      <c r="S336" s="19">
        <f t="shared" si="101"/>
        <v>0</v>
      </c>
      <c r="T336" s="144"/>
    </row>
    <row r="337" spans="1:20">
      <c r="A337" s="50">
        <v>44895</v>
      </c>
      <c r="D337" s="153">
        <v>0.14199999999999999</v>
      </c>
      <c r="E337" s="153">
        <v>4070.3220000000001</v>
      </c>
      <c r="F337" s="153">
        <v>136.566</v>
      </c>
      <c r="G337" s="154"/>
      <c r="H337" s="155">
        <v>4140</v>
      </c>
      <c r="I337" s="155">
        <f t="shared" si="95"/>
        <v>24132.06000000074</v>
      </c>
      <c r="J337" s="155">
        <f t="shared" si="96"/>
        <v>856.97999999997364</v>
      </c>
      <c r="K337" s="156">
        <f t="shared" si="102"/>
        <v>3.5512094698917016E-2</v>
      </c>
      <c r="L337" s="155">
        <f t="shared" si="99"/>
        <v>856.97999999997364</v>
      </c>
      <c r="M337" s="156">
        <f t="shared" si="103"/>
        <v>3.5512094698917016E-2</v>
      </c>
      <c r="N337" s="157">
        <v>66748788</v>
      </c>
      <c r="O337" s="169">
        <f t="shared" si="97"/>
        <v>324</v>
      </c>
      <c r="P337" s="117">
        <f>(P335+Q333*SUM(S308:S337)*Q338)</f>
        <v>0</v>
      </c>
      <c r="Q337" s="118">
        <f>Q333*30</f>
        <v>0</v>
      </c>
      <c r="R337" s="19">
        <f t="shared" si="98"/>
        <v>1</v>
      </c>
      <c r="S337" s="19">
        <f t="shared" si="101"/>
        <v>0</v>
      </c>
      <c r="T337" s="144"/>
    </row>
    <row r="338" spans="1:20">
      <c r="A338" s="50">
        <v>44896</v>
      </c>
      <c r="D338" s="128">
        <v>0.14199999999999999</v>
      </c>
      <c r="E338" s="129">
        <v>4076.2860000000001</v>
      </c>
      <c r="F338" s="130">
        <v>136.79900000000001</v>
      </c>
      <c r="G338" s="53"/>
      <c r="H338" s="53">
        <v>4140</v>
      </c>
      <c r="I338" s="53">
        <f t="shared" si="95"/>
        <v>24690.959999999759</v>
      </c>
      <c r="J338" s="53">
        <f t="shared" si="96"/>
        <v>964.62000000001694</v>
      </c>
      <c r="K338" s="54">
        <f t="shared" ref="K338:K367" si="104">IF(J338="","",+(J338/I338))</f>
        <v>3.906773977196619E-2</v>
      </c>
      <c r="L338" s="53">
        <f t="shared" si="99"/>
        <v>964.62000000001694</v>
      </c>
      <c r="M338" s="54">
        <f t="shared" si="103"/>
        <v>3.906773977196619E-2</v>
      </c>
      <c r="N338" s="55">
        <v>66750671</v>
      </c>
      <c r="O338" s="55">
        <f t="shared" si="97"/>
        <v>1883</v>
      </c>
      <c r="P338" s="119" t="s">
        <v>41</v>
      </c>
      <c r="Q338" s="120">
        <v>0.56999999999999995</v>
      </c>
      <c r="R338" s="19">
        <f t="shared" si="98"/>
        <v>1</v>
      </c>
      <c r="S338" s="19">
        <f t="shared" si="101"/>
        <v>0</v>
      </c>
      <c r="T338" s="144"/>
    </row>
    <row r="339" spans="1:20">
      <c r="A339" s="50">
        <v>44897</v>
      </c>
      <c r="D339" s="128">
        <v>0.14199999999999999</v>
      </c>
      <c r="E339" s="129">
        <v>4082.62</v>
      </c>
      <c r="F339" s="130">
        <v>137.02799999999999</v>
      </c>
      <c r="G339" s="53"/>
      <c r="H339" s="53">
        <v>4140</v>
      </c>
      <c r="I339" s="53">
        <f t="shared" si="95"/>
        <v>26222.759999999307</v>
      </c>
      <c r="J339" s="53">
        <f t="shared" si="96"/>
        <v>948.05999999993787</v>
      </c>
      <c r="K339" s="54">
        <f t="shared" si="104"/>
        <v>3.615408904325719E-2</v>
      </c>
      <c r="L339" s="53">
        <f t="shared" si="99"/>
        <v>948.05999999993787</v>
      </c>
      <c r="M339" s="54">
        <f t="shared" si="103"/>
        <v>3.615408904325719E-2</v>
      </c>
      <c r="N339" s="55">
        <v>66750671</v>
      </c>
      <c r="O339" s="55">
        <f t="shared" si="97"/>
        <v>0</v>
      </c>
      <c r="P339" s="113"/>
      <c r="Q339" s="113"/>
      <c r="R339" s="19">
        <f t="shared" si="98"/>
        <v>1</v>
      </c>
      <c r="S339" s="19">
        <f t="shared" si="101"/>
        <v>0</v>
      </c>
      <c r="T339" s="144"/>
    </row>
    <row r="340" spans="1:20">
      <c r="A340" s="50">
        <v>44898</v>
      </c>
      <c r="D340" s="128">
        <v>0.14199999999999999</v>
      </c>
      <c r="E340" s="129">
        <v>4088.6880000000001</v>
      </c>
      <c r="F340" s="130">
        <v>137.22800000000001</v>
      </c>
      <c r="G340" s="53"/>
      <c r="H340" s="53">
        <v>4140</v>
      </c>
      <c r="I340" s="53">
        <f t="shared" si="95"/>
        <v>25121.520000000874</v>
      </c>
      <c r="J340" s="53">
        <f t="shared" si="96"/>
        <v>828.0000000000706</v>
      </c>
      <c r="K340" s="54">
        <f t="shared" si="104"/>
        <v>3.2959789057351696E-2</v>
      </c>
      <c r="L340" s="53">
        <f t="shared" si="99"/>
        <v>828.0000000000706</v>
      </c>
      <c r="M340" s="54">
        <f t="shared" si="103"/>
        <v>3.2959789057351696E-2</v>
      </c>
      <c r="N340" s="55">
        <v>66750671</v>
      </c>
      <c r="O340" s="55">
        <f t="shared" si="97"/>
        <v>0</v>
      </c>
      <c r="P340" s="84"/>
      <c r="Q340" s="85"/>
      <c r="R340" s="19">
        <f t="shared" si="98"/>
        <v>1</v>
      </c>
      <c r="S340" s="19">
        <f t="shared" si="101"/>
        <v>0</v>
      </c>
      <c r="T340" s="145"/>
    </row>
    <row r="341" spans="1:20">
      <c r="A341" s="50">
        <v>44899</v>
      </c>
      <c r="D341" s="128">
        <v>0.14199999999999999</v>
      </c>
      <c r="E341" s="129">
        <v>4094.5509999999999</v>
      </c>
      <c r="F341" s="130">
        <v>137.39599999999999</v>
      </c>
      <c r="G341" s="53"/>
      <c r="H341" s="53">
        <v>4140</v>
      </c>
      <c r="I341" s="53">
        <f t="shared" si="95"/>
        <v>24272.819999999294</v>
      </c>
      <c r="J341" s="53">
        <f t="shared" si="96"/>
        <v>695.51999999990869</v>
      </c>
      <c r="K341" s="54">
        <f t="shared" si="104"/>
        <v>2.8654272556708653E-2</v>
      </c>
      <c r="L341" s="53">
        <f t="shared" si="99"/>
        <v>695.51999999990869</v>
      </c>
      <c r="M341" s="54">
        <f t="shared" si="103"/>
        <v>2.8654272556708653E-2</v>
      </c>
      <c r="N341" s="55">
        <v>66750671</v>
      </c>
      <c r="O341" s="55">
        <f t="shared" si="97"/>
        <v>0</v>
      </c>
      <c r="P341" s="86"/>
      <c r="Q341" s="87"/>
      <c r="R341" s="19">
        <f t="shared" si="98"/>
        <v>1</v>
      </c>
      <c r="S341" s="19">
        <f t="shared" si="101"/>
        <v>0</v>
      </c>
      <c r="T341" s="145"/>
    </row>
    <row r="342" spans="1:20">
      <c r="A342" s="50">
        <v>44900</v>
      </c>
      <c r="D342" s="128">
        <v>0.14199999999999999</v>
      </c>
      <c r="E342" s="129">
        <v>4100.4799999999996</v>
      </c>
      <c r="F342" s="130">
        <v>137.61099999999999</v>
      </c>
      <c r="G342" s="53"/>
      <c r="H342" s="53">
        <v>4140</v>
      </c>
      <c r="I342" s="53">
        <f t="shared" ref="I342:J344" si="105">IF(D342="","",+(E342-E341)*4140)</f>
        <v>24546.059999998477</v>
      </c>
      <c r="J342" s="53">
        <f t="shared" si="105"/>
        <v>890.10000000001412</v>
      </c>
      <c r="K342" s="54">
        <f t="shared" si="104"/>
        <v>3.626243885984428E-2</v>
      </c>
      <c r="L342" s="53">
        <f>IF(F342="","",+(F342-F341)*4140)</f>
        <v>890.10000000001412</v>
      </c>
      <c r="M342" s="54">
        <f t="shared" si="103"/>
        <v>3.626243885984428E-2</v>
      </c>
      <c r="N342" s="55">
        <v>66750671</v>
      </c>
      <c r="O342" s="55">
        <f t="shared" si="97"/>
        <v>0</v>
      </c>
      <c r="P342" s="86"/>
      <c r="Q342" s="85"/>
      <c r="R342" s="19">
        <f t="shared" si="98"/>
        <v>1</v>
      </c>
      <c r="S342" s="19">
        <f t="shared" si="101"/>
        <v>0</v>
      </c>
      <c r="T342" s="144"/>
    </row>
    <row r="343" spans="1:20">
      <c r="A343" s="50">
        <v>44901</v>
      </c>
      <c r="D343" s="128">
        <v>0.14199999999999999</v>
      </c>
      <c r="E343" s="129">
        <v>4106.8339999999998</v>
      </c>
      <c r="F343" s="130">
        <v>137.83699999999999</v>
      </c>
      <c r="G343" s="53"/>
      <c r="H343" s="53">
        <v>4140</v>
      </c>
      <c r="I343" s="53">
        <f t="shared" si="105"/>
        <v>26305.560000001115</v>
      </c>
      <c r="J343" s="53">
        <f t="shared" si="105"/>
        <v>935.63999999999623</v>
      </c>
      <c r="K343" s="54">
        <f t="shared" si="104"/>
        <v>3.5568146049730805E-2</v>
      </c>
      <c r="L343" s="53">
        <f>IF(F343="","",+(F343-F342)*4140)</f>
        <v>935.63999999999623</v>
      </c>
      <c r="M343" s="54">
        <f t="shared" si="103"/>
        <v>3.5568146049730805E-2</v>
      </c>
      <c r="N343" s="55">
        <v>66750671</v>
      </c>
      <c r="O343" s="55">
        <f t="shared" si="97"/>
        <v>0</v>
      </c>
      <c r="P343" s="56"/>
      <c r="Q343" s="57"/>
      <c r="R343" s="19">
        <f t="shared" si="98"/>
        <v>1</v>
      </c>
      <c r="S343" s="19">
        <f t="shared" si="101"/>
        <v>0</v>
      </c>
      <c r="T343" s="144"/>
    </row>
    <row r="344" spans="1:20">
      <c r="A344" s="50">
        <v>44902</v>
      </c>
      <c r="D344" s="128">
        <v>0.14199999999999999</v>
      </c>
      <c r="E344" s="129">
        <v>4113.0770000000002</v>
      </c>
      <c r="F344" s="130">
        <v>138.06399999999999</v>
      </c>
      <c r="G344" s="53"/>
      <c r="H344" s="53">
        <v>4140</v>
      </c>
      <c r="I344" s="53">
        <f t="shared" si="105"/>
        <v>25846.020000001627</v>
      </c>
      <c r="J344" s="53">
        <f t="shared" si="105"/>
        <v>939.780000000016</v>
      </c>
      <c r="K344" s="54">
        <f t="shared" si="104"/>
        <v>3.6360724010890529E-2</v>
      </c>
      <c r="L344" s="53">
        <f>IF(F344="","",+(F344-F343)*4140)</f>
        <v>939.780000000016</v>
      </c>
      <c r="M344" s="54">
        <f t="shared" si="103"/>
        <v>3.6360724010890529E-2</v>
      </c>
      <c r="N344" s="55">
        <v>66750671</v>
      </c>
      <c r="O344" s="55">
        <f>IF(N344="","",N344-N343)</f>
        <v>0</v>
      </c>
      <c r="P344" s="56"/>
      <c r="Q344" s="58"/>
      <c r="R344" s="19">
        <f t="shared" si="98"/>
        <v>1</v>
      </c>
      <c r="S344" s="19">
        <f t="shared" si="101"/>
        <v>0</v>
      </c>
      <c r="T344" s="144"/>
    </row>
    <row r="345" spans="1:20">
      <c r="A345" s="50">
        <v>44903</v>
      </c>
      <c r="D345" s="128">
        <v>0.14199999999999999</v>
      </c>
      <c r="E345" s="129">
        <v>4119.04</v>
      </c>
      <c r="F345" s="130">
        <v>138.26499999999999</v>
      </c>
      <c r="G345" s="53"/>
      <c r="H345" s="53">
        <v>4140</v>
      </c>
      <c r="I345" s="53">
        <f t="shared" si="95"/>
        <v>24686.819999998916</v>
      </c>
      <c r="J345" s="53">
        <f t="shared" si="96"/>
        <v>832.1399999999727</v>
      </c>
      <c r="K345" s="54">
        <f t="shared" si="104"/>
        <v>3.37078651685397E-2</v>
      </c>
      <c r="L345" s="53">
        <f t="shared" si="99"/>
        <v>832.1399999999727</v>
      </c>
      <c r="M345" s="54">
        <f t="shared" si="103"/>
        <v>3.37078651685397E-2</v>
      </c>
      <c r="N345" s="55">
        <v>66750671</v>
      </c>
      <c r="O345" s="55">
        <f t="shared" si="97"/>
        <v>0</v>
      </c>
      <c r="P345" s="56"/>
      <c r="Q345" s="58"/>
      <c r="R345" s="19">
        <f t="shared" si="98"/>
        <v>1</v>
      </c>
      <c r="S345" s="19">
        <f t="shared" si="101"/>
        <v>0</v>
      </c>
      <c r="T345" s="145"/>
    </row>
    <row r="346" spans="1:20">
      <c r="A346" s="50">
        <v>44904</v>
      </c>
      <c r="D346" s="128">
        <v>0.14199999999999999</v>
      </c>
      <c r="E346" s="129">
        <v>4125.0379999999996</v>
      </c>
      <c r="F346" s="130">
        <v>138.48699999999999</v>
      </c>
      <c r="G346" s="53"/>
      <c r="H346" s="53">
        <v>4140</v>
      </c>
      <c r="I346" s="53">
        <f t="shared" si="95"/>
        <v>24831.719999998313</v>
      </c>
      <c r="J346" s="53">
        <f t="shared" si="96"/>
        <v>919.08000000003483</v>
      </c>
      <c r="K346" s="54">
        <f t="shared" si="104"/>
        <v>3.7012337445819186E-2</v>
      </c>
      <c r="L346" s="53">
        <f t="shared" si="99"/>
        <v>919.08000000003483</v>
      </c>
      <c r="M346" s="54">
        <f t="shared" si="103"/>
        <v>3.7012337445819186E-2</v>
      </c>
      <c r="N346" s="55">
        <v>66750671</v>
      </c>
      <c r="O346" s="55">
        <f t="shared" si="97"/>
        <v>0</v>
      </c>
      <c r="P346" s="56"/>
      <c r="Q346" s="58"/>
      <c r="R346" s="19">
        <f t="shared" si="98"/>
        <v>1</v>
      </c>
      <c r="S346" s="19">
        <f t="shared" si="101"/>
        <v>0</v>
      </c>
      <c r="T346" s="145"/>
    </row>
    <row r="347" spans="1:20">
      <c r="A347" s="50">
        <v>44905</v>
      </c>
      <c r="D347" s="128">
        <v>0.14199999999999999</v>
      </c>
      <c r="E347" s="129">
        <v>4130.9939999999997</v>
      </c>
      <c r="F347" s="130">
        <v>138.69900000000001</v>
      </c>
      <c r="G347" s="53"/>
      <c r="H347" s="53">
        <v>4140</v>
      </c>
      <c r="I347" s="53">
        <f t="shared" si="95"/>
        <v>24657.840000000542</v>
      </c>
      <c r="J347" s="53">
        <f t="shared" si="96"/>
        <v>877.68000000007248</v>
      </c>
      <c r="K347" s="54">
        <f t="shared" si="104"/>
        <v>3.5594358629955143E-2</v>
      </c>
      <c r="L347" s="53">
        <f t="shared" si="99"/>
        <v>877.68000000007248</v>
      </c>
      <c r="M347" s="54">
        <f t="shared" si="103"/>
        <v>3.5594358629955143E-2</v>
      </c>
      <c r="N347" s="55">
        <v>66750671</v>
      </c>
      <c r="O347" s="55">
        <f t="shared" si="97"/>
        <v>0</v>
      </c>
      <c r="P347" s="56"/>
      <c r="Q347" s="57"/>
      <c r="R347" s="19">
        <f t="shared" si="98"/>
        <v>1</v>
      </c>
      <c r="S347" s="19">
        <f t="shared" si="101"/>
        <v>0</v>
      </c>
      <c r="T347" s="144"/>
    </row>
    <row r="348" spans="1:20">
      <c r="A348" s="50">
        <v>44906</v>
      </c>
      <c r="D348" s="128">
        <v>0.14199999999999999</v>
      </c>
      <c r="E348" s="129">
        <v>4137.1239999999998</v>
      </c>
      <c r="F348" s="130">
        <v>138.91200000000001</v>
      </c>
      <c r="G348" s="53"/>
      <c r="H348" s="53">
        <v>4140</v>
      </c>
      <c r="I348" s="53">
        <f t="shared" si="95"/>
        <v>25378.200000000452</v>
      </c>
      <c r="J348" s="53">
        <f t="shared" si="96"/>
        <v>881.81999999997458</v>
      </c>
      <c r="K348" s="54">
        <f t="shared" si="104"/>
        <v>3.4747145187600338E-2</v>
      </c>
      <c r="L348" s="53">
        <f t="shared" si="99"/>
        <v>881.81999999997458</v>
      </c>
      <c r="M348" s="54">
        <f t="shared" si="103"/>
        <v>3.4747145187600338E-2</v>
      </c>
      <c r="N348" s="55">
        <v>66750671</v>
      </c>
      <c r="O348" s="55">
        <f t="shared" si="97"/>
        <v>0</v>
      </c>
      <c r="P348" s="56"/>
      <c r="Q348" s="57"/>
      <c r="R348" s="19">
        <f t="shared" si="98"/>
        <v>1</v>
      </c>
      <c r="S348" s="19">
        <f t="shared" si="101"/>
        <v>0</v>
      </c>
      <c r="T348" s="144"/>
    </row>
    <row r="349" spans="1:20">
      <c r="A349" s="50">
        <v>44907</v>
      </c>
      <c r="D349" s="128">
        <v>0.14199999999999999</v>
      </c>
      <c r="E349" s="129">
        <v>4142.59</v>
      </c>
      <c r="F349" s="130">
        <v>139.1</v>
      </c>
      <c r="G349" s="53"/>
      <c r="H349" s="53">
        <v>4140</v>
      </c>
      <c r="I349" s="53">
        <f t="shared" si="95"/>
        <v>22629.240000001446</v>
      </c>
      <c r="J349" s="53">
        <f t="shared" si="96"/>
        <v>778.31999999995105</v>
      </c>
      <c r="K349" s="54">
        <f t="shared" si="104"/>
        <v>3.4394438346135411E-2</v>
      </c>
      <c r="L349" s="53">
        <f t="shared" si="99"/>
        <v>778.31999999995105</v>
      </c>
      <c r="M349" s="54">
        <f t="shared" si="103"/>
        <v>3.4394438346135411E-2</v>
      </c>
      <c r="N349" s="55">
        <v>66753211</v>
      </c>
      <c r="O349" s="55">
        <f t="shared" si="97"/>
        <v>2540</v>
      </c>
      <c r="P349" s="56"/>
      <c r="Q349" s="58"/>
      <c r="R349" s="19">
        <f t="shared" si="98"/>
        <v>1</v>
      </c>
      <c r="S349" s="19">
        <f t="shared" si="101"/>
        <v>0</v>
      </c>
      <c r="T349" s="144"/>
    </row>
    <row r="350" spans="1:20">
      <c r="A350" s="50">
        <v>44908</v>
      </c>
      <c r="D350" s="128">
        <v>0.14199999999999999</v>
      </c>
      <c r="E350" s="129">
        <v>4145.1000000000004</v>
      </c>
      <c r="F350" s="130">
        <v>139.18899999999999</v>
      </c>
      <c r="G350" s="53"/>
      <c r="H350" s="53">
        <v>4140</v>
      </c>
      <c r="I350" s="53">
        <f t="shared" si="95"/>
        <v>10391.400000000904</v>
      </c>
      <c r="J350" s="53">
        <f t="shared" si="96"/>
        <v>368.45999999999435</v>
      </c>
      <c r="K350" s="54">
        <f t="shared" si="104"/>
        <v>3.5458167330673661E-2</v>
      </c>
      <c r="L350" s="53">
        <f t="shared" si="99"/>
        <v>368.45999999999435</v>
      </c>
      <c r="M350" s="54">
        <f t="shared" si="103"/>
        <v>3.5458167330673661E-2</v>
      </c>
      <c r="N350" s="55">
        <v>66769583</v>
      </c>
      <c r="O350" s="55">
        <f t="shared" si="97"/>
        <v>16372</v>
      </c>
      <c r="P350" s="56"/>
      <c r="Q350" s="58"/>
      <c r="R350" s="19">
        <f t="shared" si="98"/>
        <v>1</v>
      </c>
      <c r="S350" s="19">
        <f t="shared" si="101"/>
        <v>0</v>
      </c>
      <c r="T350" s="145"/>
    </row>
    <row r="351" spans="1:20">
      <c r="A351" s="50">
        <v>44909</v>
      </c>
      <c r="D351" s="128">
        <v>0.14199999999999999</v>
      </c>
      <c r="E351" s="129">
        <v>4151.2470000000003</v>
      </c>
      <c r="F351" s="130">
        <v>139.38999999999999</v>
      </c>
      <c r="G351" s="53"/>
      <c r="H351" s="53">
        <v>4140</v>
      </c>
      <c r="I351" s="53">
        <f t="shared" si="95"/>
        <v>25448.579999999729</v>
      </c>
      <c r="J351" s="53">
        <f t="shared" si="96"/>
        <v>832.1399999999727</v>
      </c>
      <c r="K351" s="54">
        <f t="shared" si="104"/>
        <v>3.269887750121938E-2</v>
      </c>
      <c r="L351" s="53">
        <f t="shared" si="99"/>
        <v>832.1399999999727</v>
      </c>
      <c r="M351" s="54">
        <f t="shared" si="103"/>
        <v>3.269887750121938E-2</v>
      </c>
      <c r="N351" s="55">
        <v>66769583</v>
      </c>
      <c r="O351" s="55">
        <f t="shared" si="97"/>
        <v>0</v>
      </c>
      <c r="P351" s="56"/>
      <c r="Q351" s="57"/>
      <c r="R351" s="19">
        <f t="shared" si="98"/>
        <v>1</v>
      </c>
      <c r="S351" s="19">
        <f t="shared" si="101"/>
        <v>0</v>
      </c>
      <c r="T351" s="145"/>
    </row>
    <row r="352" spans="1:20">
      <c r="A352" s="50">
        <v>44910</v>
      </c>
      <c r="D352" s="128">
        <v>0.14199999999999999</v>
      </c>
      <c r="E352" s="129">
        <v>4157.3530000000001</v>
      </c>
      <c r="F352" s="130">
        <v>139.56800000000001</v>
      </c>
      <c r="G352" s="53"/>
      <c r="H352" s="53">
        <v>4140</v>
      </c>
      <c r="I352" s="53">
        <f t="shared" si="95"/>
        <v>25278.839999999036</v>
      </c>
      <c r="J352" s="53">
        <f t="shared" si="96"/>
        <v>736.92000000010637</v>
      </c>
      <c r="K352" s="54">
        <f t="shared" si="104"/>
        <v>2.9151654110716095E-2</v>
      </c>
      <c r="L352" s="53">
        <f t="shared" si="99"/>
        <v>736.92000000010637</v>
      </c>
      <c r="M352" s="54">
        <f t="shared" si="103"/>
        <v>2.9151654110716095E-2</v>
      </c>
      <c r="N352" s="55">
        <v>66769583</v>
      </c>
      <c r="O352" s="55">
        <f t="shared" si="97"/>
        <v>0</v>
      </c>
      <c r="P352" s="56"/>
      <c r="Q352" s="57"/>
      <c r="R352" s="19">
        <f t="shared" si="98"/>
        <v>1</v>
      </c>
      <c r="S352" s="19">
        <f t="shared" si="101"/>
        <v>0</v>
      </c>
      <c r="T352" s="144"/>
    </row>
    <row r="353" spans="1:20">
      <c r="A353" s="50">
        <v>44911</v>
      </c>
      <c r="D353" s="128">
        <v>0.14199999999999999</v>
      </c>
      <c r="E353" s="129">
        <v>4163.7209999999995</v>
      </c>
      <c r="F353" s="130">
        <v>139.77699999999999</v>
      </c>
      <c r="G353" s="53"/>
      <c r="H353" s="53">
        <v>4140</v>
      </c>
      <c r="I353" s="53">
        <f t="shared" si="95"/>
        <v>26363.519999997861</v>
      </c>
      <c r="J353" s="53">
        <f t="shared" si="96"/>
        <v>865.25999999989551</v>
      </c>
      <c r="K353" s="54">
        <f t="shared" si="104"/>
        <v>3.2820351758792672E-2</v>
      </c>
      <c r="L353" s="53">
        <f t="shared" si="99"/>
        <v>865.25999999989551</v>
      </c>
      <c r="M353" s="54">
        <f t="shared" si="103"/>
        <v>3.2820351758792672E-2</v>
      </c>
      <c r="N353" s="55">
        <v>66769583</v>
      </c>
      <c r="O353" s="55">
        <f t="shared" si="97"/>
        <v>0</v>
      </c>
      <c r="P353" s="56"/>
      <c r="Q353" s="57"/>
      <c r="R353" s="19">
        <f t="shared" si="98"/>
        <v>1</v>
      </c>
      <c r="S353" s="19">
        <f t="shared" si="101"/>
        <v>0</v>
      </c>
      <c r="T353" s="144"/>
    </row>
    <row r="354" spans="1:20">
      <c r="A354" s="50">
        <v>44912</v>
      </c>
      <c r="D354" s="128">
        <v>0.14199999999999999</v>
      </c>
      <c r="E354" s="129">
        <v>4170.2449999999999</v>
      </c>
      <c r="F354" s="130">
        <v>139.982</v>
      </c>
      <c r="G354" s="53"/>
      <c r="H354" s="53">
        <v>4140</v>
      </c>
      <c r="I354" s="53">
        <f t="shared" si="95"/>
        <v>27009.360000001416</v>
      </c>
      <c r="J354" s="53">
        <f t="shared" si="96"/>
        <v>848.70000000005177</v>
      </c>
      <c r="K354" s="54">
        <f t="shared" si="104"/>
        <v>3.1422440220723755E-2</v>
      </c>
      <c r="L354" s="53">
        <f t="shared" si="99"/>
        <v>848.70000000005177</v>
      </c>
      <c r="M354" s="54">
        <f t="shared" si="103"/>
        <v>3.1422440220723755E-2</v>
      </c>
      <c r="N354" s="55">
        <v>66769583</v>
      </c>
      <c r="O354" s="55">
        <f t="shared" si="97"/>
        <v>0</v>
      </c>
      <c r="P354" s="56"/>
      <c r="Q354" s="88"/>
      <c r="R354" s="19">
        <f t="shared" si="98"/>
        <v>1</v>
      </c>
      <c r="S354" s="19">
        <f t="shared" si="101"/>
        <v>0</v>
      </c>
      <c r="T354" s="144"/>
    </row>
    <row r="355" spans="1:20">
      <c r="A355" s="50">
        <v>44913</v>
      </c>
      <c r="D355" s="128">
        <v>0.14199999999999999</v>
      </c>
      <c r="E355" s="129">
        <v>4177.0209999999997</v>
      </c>
      <c r="F355" s="130">
        <v>140.20099999999999</v>
      </c>
      <c r="G355" s="53"/>
      <c r="H355" s="53">
        <v>4140</v>
      </c>
      <c r="I355" s="53">
        <f t="shared" si="95"/>
        <v>28052.639999999337</v>
      </c>
      <c r="J355" s="53">
        <f t="shared" si="96"/>
        <v>906.65999999997553</v>
      </c>
      <c r="K355" s="54">
        <f t="shared" si="104"/>
        <v>3.2319952774498117E-2</v>
      </c>
      <c r="L355" s="53">
        <f t="shared" si="99"/>
        <v>906.65999999997553</v>
      </c>
      <c r="M355" s="54">
        <f t="shared" si="103"/>
        <v>3.2319952774498117E-2</v>
      </c>
      <c r="N355" s="55">
        <v>66769583</v>
      </c>
      <c r="O355" s="55">
        <f t="shared" si="97"/>
        <v>0</v>
      </c>
      <c r="P355" s="56"/>
      <c r="Q355" s="88"/>
      <c r="R355" s="19">
        <f t="shared" si="98"/>
        <v>1</v>
      </c>
      <c r="S355" s="19">
        <f t="shared" si="101"/>
        <v>0</v>
      </c>
      <c r="T355" s="145"/>
    </row>
    <row r="356" spans="1:20">
      <c r="A356" s="50">
        <v>44914</v>
      </c>
      <c r="D356" s="128">
        <v>0.14199999999999999</v>
      </c>
      <c r="E356" s="129">
        <v>4183.5680000000002</v>
      </c>
      <c r="F356" s="130">
        <v>140.42699999999999</v>
      </c>
      <c r="G356" s="53"/>
      <c r="H356" s="53">
        <v>4140</v>
      </c>
      <c r="I356" s="53">
        <f t="shared" si="95"/>
        <v>27104.580000001988</v>
      </c>
      <c r="J356" s="53">
        <f t="shared" si="96"/>
        <v>935.63999999999623</v>
      </c>
      <c r="K356" s="54">
        <f t="shared" si="104"/>
        <v>3.4519627310215753E-2</v>
      </c>
      <c r="L356" s="53">
        <f t="shared" si="99"/>
        <v>935.63999999999623</v>
      </c>
      <c r="M356" s="54">
        <f t="shared" si="103"/>
        <v>3.4519627310215753E-2</v>
      </c>
      <c r="N356" s="55">
        <v>66769583</v>
      </c>
      <c r="O356" s="55">
        <f t="shared" si="97"/>
        <v>0</v>
      </c>
      <c r="P356" s="183" t="s">
        <v>56</v>
      </c>
      <c r="Q356" s="184"/>
      <c r="R356" s="19">
        <f t="shared" si="98"/>
        <v>1</v>
      </c>
      <c r="S356" s="19">
        <f t="shared" si="101"/>
        <v>0</v>
      </c>
      <c r="T356" s="145"/>
    </row>
    <row r="357" spans="1:20">
      <c r="A357" s="50">
        <v>44915</v>
      </c>
      <c r="D357" s="128">
        <v>0.14199999999999999</v>
      </c>
      <c r="E357" s="129">
        <v>4190.723</v>
      </c>
      <c r="F357" s="130">
        <v>140.678</v>
      </c>
      <c r="G357" s="53"/>
      <c r="H357" s="53">
        <v>4140</v>
      </c>
      <c r="I357" s="53">
        <f t="shared" si="95"/>
        <v>29621.699999998946</v>
      </c>
      <c r="J357" s="53">
        <f t="shared" si="96"/>
        <v>1039.1400000000199</v>
      </c>
      <c r="K357" s="54">
        <f t="shared" si="104"/>
        <v>3.5080363382252094E-2</v>
      </c>
      <c r="L357" s="53">
        <f t="shared" si="99"/>
        <v>1039.1400000000199</v>
      </c>
      <c r="M357" s="54">
        <f t="shared" si="103"/>
        <v>3.5080363382252094E-2</v>
      </c>
      <c r="N357" s="55">
        <v>66769583</v>
      </c>
      <c r="O357" s="55">
        <f t="shared" si="97"/>
        <v>0</v>
      </c>
      <c r="P357" s="185"/>
      <c r="Q357" s="186"/>
      <c r="R357" s="19">
        <f t="shared" si="98"/>
        <v>1</v>
      </c>
      <c r="S357" s="19">
        <f t="shared" si="101"/>
        <v>0</v>
      </c>
      <c r="T357" s="144"/>
    </row>
    <row r="358" spans="1:20">
      <c r="A358" s="50">
        <v>44916</v>
      </c>
      <c r="D358" s="128">
        <v>0.14199999999999999</v>
      </c>
      <c r="E358" s="129">
        <v>4197.3609999999999</v>
      </c>
      <c r="F358" s="130">
        <v>140.91999999999999</v>
      </c>
      <c r="G358" s="53"/>
      <c r="H358" s="53">
        <v>4140</v>
      </c>
      <c r="I358" s="53">
        <f t="shared" si="95"/>
        <v>27481.319999999669</v>
      </c>
      <c r="J358" s="53">
        <f t="shared" si="96"/>
        <v>1001.8799999999595</v>
      </c>
      <c r="K358" s="54">
        <f t="shared" si="104"/>
        <v>3.645676408556691E-2</v>
      </c>
      <c r="L358" s="53">
        <f t="shared" si="99"/>
        <v>1001.8799999999595</v>
      </c>
      <c r="M358" s="54">
        <f t="shared" si="103"/>
        <v>3.645676408556691E-2</v>
      </c>
      <c r="N358" s="55">
        <v>66769583</v>
      </c>
      <c r="O358" s="55">
        <f t="shared" si="97"/>
        <v>0</v>
      </c>
      <c r="P358" s="62" t="s">
        <v>31</v>
      </c>
      <c r="Q358" s="62" t="s">
        <v>32</v>
      </c>
      <c r="R358" s="19">
        <f t="shared" si="98"/>
        <v>1</v>
      </c>
      <c r="S358" s="19">
        <f t="shared" si="101"/>
        <v>0</v>
      </c>
      <c r="T358" s="144"/>
    </row>
    <row r="359" spans="1:20">
      <c r="A359" s="50">
        <v>44917</v>
      </c>
      <c r="D359" s="128">
        <v>0.14199999999999999</v>
      </c>
      <c r="E359" s="129">
        <v>4202.3770000000004</v>
      </c>
      <c r="F359" s="130">
        <v>141.09899999999999</v>
      </c>
      <c r="G359" s="53"/>
      <c r="H359" s="53">
        <v>4140</v>
      </c>
      <c r="I359" s="53">
        <f t="shared" si="95"/>
        <v>20766.240000002199</v>
      </c>
      <c r="J359" s="53">
        <f t="shared" si="96"/>
        <v>741.06000000000847</v>
      </c>
      <c r="K359" s="54">
        <f t="shared" si="104"/>
        <v>3.5685805422644157E-2</v>
      </c>
      <c r="L359" s="53">
        <f t="shared" si="99"/>
        <v>741.06000000000847</v>
      </c>
      <c r="M359" s="54">
        <f t="shared" si="103"/>
        <v>3.5685805422644157E-2</v>
      </c>
      <c r="N359" s="55">
        <v>66776462</v>
      </c>
      <c r="O359" s="55">
        <f t="shared" si="97"/>
        <v>6879</v>
      </c>
      <c r="P359" s="63">
        <f>IF(J338="",0,+SUM(J338:J368)/SUM(I338:I368))</f>
        <v>3.3248765614689701E-2</v>
      </c>
      <c r="Q359" s="63">
        <f>IF(L338="",0,+SUM(L338:L368)/SUM(I338:I368))</f>
        <v>3.3248765614689701E-2</v>
      </c>
      <c r="R359" s="19">
        <f t="shared" si="98"/>
        <v>1</v>
      </c>
      <c r="S359" s="19">
        <f t="shared" si="101"/>
        <v>0</v>
      </c>
      <c r="T359" s="145"/>
    </row>
    <row r="360" spans="1:20">
      <c r="A360" s="50">
        <v>44918</v>
      </c>
      <c r="D360" s="128">
        <v>0.14199999999999999</v>
      </c>
      <c r="E360" s="129">
        <v>4209.3069999999998</v>
      </c>
      <c r="F360" s="130">
        <v>141.35</v>
      </c>
      <c r="G360" s="53"/>
      <c r="H360" s="53">
        <v>4140</v>
      </c>
      <c r="I360" s="53">
        <f t="shared" si="95"/>
        <v>28690.19999999744</v>
      </c>
      <c r="J360" s="53">
        <f t="shared" si="96"/>
        <v>1039.1400000000199</v>
      </c>
      <c r="K360" s="54">
        <f t="shared" si="104"/>
        <v>3.6219336219340148E-2</v>
      </c>
      <c r="L360" s="53">
        <f t="shared" si="99"/>
        <v>1039.1400000000199</v>
      </c>
      <c r="M360" s="54">
        <f t="shared" si="103"/>
        <v>3.6219336219340148E-2</v>
      </c>
      <c r="N360" s="55">
        <v>66776462</v>
      </c>
      <c r="O360" s="55">
        <f t="shared" si="97"/>
        <v>0</v>
      </c>
      <c r="P360" s="64" t="e">
        <f>IF(J338="",0,+(+(LOOKUP(9.99999999999999E+307,E338:E368)-E337))/(+(LOOKUP(9.99999999999999E+307,D338:D368)-D337)))</f>
        <v>#DIV/0!</v>
      </c>
      <c r="Q360" s="64" t="e">
        <f>IF(L338="",0,+(+(LOOKUP(9.99999999999999E+307,F338:F368)-F337))/(+(LOOKUP(9.99999999999999E+307,D338:D368)-D337)))</f>
        <v>#DIV/0!</v>
      </c>
      <c r="R360" s="19">
        <f t="shared" si="98"/>
        <v>1</v>
      </c>
      <c r="S360" s="19">
        <f t="shared" si="101"/>
        <v>0</v>
      </c>
      <c r="T360" s="145"/>
    </row>
    <row r="361" spans="1:20">
      <c r="A361" s="50">
        <v>44919</v>
      </c>
      <c r="D361" s="128">
        <v>0.14199999999999999</v>
      </c>
      <c r="E361" s="129">
        <v>4219.0290000000005</v>
      </c>
      <c r="F361" s="130">
        <v>141.57900000000001</v>
      </c>
      <c r="G361" s="53"/>
      <c r="H361" s="53">
        <v>4140</v>
      </c>
      <c r="I361" s="53">
        <f t="shared" si="95"/>
        <v>40249.080000002738</v>
      </c>
      <c r="J361" s="53">
        <f t="shared" si="96"/>
        <v>948.06000000005554</v>
      </c>
      <c r="K361" s="54">
        <f t="shared" si="104"/>
        <v>2.3554824110265157E-2</v>
      </c>
      <c r="L361" s="53">
        <f t="shared" si="99"/>
        <v>948.06000000005554</v>
      </c>
      <c r="M361" s="54">
        <f t="shared" si="103"/>
        <v>2.3554824110265157E-2</v>
      </c>
      <c r="N361" s="55">
        <v>66776462</v>
      </c>
      <c r="O361" s="55">
        <f t="shared" si="97"/>
        <v>0</v>
      </c>
      <c r="P361" s="65" t="s">
        <v>33</v>
      </c>
      <c r="Q361" s="66" t="s">
        <v>34</v>
      </c>
      <c r="R361" s="19">
        <f t="shared" si="98"/>
        <v>1</v>
      </c>
      <c r="S361" s="19">
        <f t="shared" si="101"/>
        <v>0</v>
      </c>
      <c r="T361" s="145"/>
    </row>
    <row r="362" spans="1:20">
      <c r="A362" s="50">
        <v>44920</v>
      </c>
      <c r="D362" s="128">
        <v>0.14199999999999999</v>
      </c>
      <c r="E362" s="129">
        <v>4222.6880000000001</v>
      </c>
      <c r="F362" s="130">
        <v>141.77099999999999</v>
      </c>
      <c r="G362" s="53"/>
      <c r="H362" s="53">
        <v>4140</v>
      </c>
      <c r="I362" s="53">
        <f t="shared" si="95"/>
        <v>15148.259999998554</v>
      </c>
      <c r="J362" s="53">
        <f t="shared" si="96"/>
        <v>794.87999999991246</v>
      </c>
      <c r="K362" s="54">
        <f t="shared" si="104"/>
        <v>5.2473353375238369E-2</v>
      </c>
      <c r="L362" s="53">
        <f t="shared" si="99"/>
        <v>794.87999999991246</v>
      </c>
      <c r="M362" s="54">
        <f t="shared" si="103"/>
        <v>5.2473353375238369E-2</v>
      </c>
      <c r="N362" s="55">
        <v>66776462</v>
      </c>
      <c r="O362" s="55">
        <f t="shared" si="97"/>
        <v>0</v>
      </c>
      <c r="P362" s="67">
        <f>IF(N337="",0,+(LOOKUP(9.99999999999999E+307,N337:N368)-N337))</f>
        <v>27674</v>
      </c>
      <c r="Q362" s="68">
        <f>IF(P362="",0,+P362/SUM(R338:R368))</f>
        <v>954.27586206896547</v>
      </c>
      <c r="R362" s="19">
        <f t="shared" si="98"/>
        <v>1</v>
      </c>
      <c r="S362" s="19">
        <f t="shared" si="101"/>
        <v>0</v>
      </c>
      <c r="T362" s="145"/>
    </row>
    <row r="363" spans="1:20">
      <c r="A363" s="50">
        <v>44921</v>
      </c>
      <c r="D363" s="128">
        <v>0.14199999999999999</v>
      </c>
      <c r="E363" s="129">
        <v>4228.5249999999996</v>
      </c>
      <c r="F363" s="130">
        <v>141.93299999999999</v>
      </c>
      <c r="G363" s="53"/>
      <c r="H363" s="53">
        <v>4140</v>
      </c>
      <c r="I363" s="53">
        <f t="shared" si="95"/>
        <v>24165.179999998072</v>
      </c>
      <c r="J363" s="53">
        <f t="shared" si="96"/>
        <v>670.68000000002542</v>
      </c>
      <c r="K363" s="54">
        <f t="shared" si="104"/>
        <v>2.7753983210556634E-2</v>
      </c>
      <c r="L363" s="53">
        <f t="shared" si="99"/>
        <v>670.68000000002542</v>
      </c>
      <c r="M363" s="54">
        <f t="shared" ref="M363:M367" si="106">IF(L363="","",(L363/I363))</f>
        <v>2.7753983210556634E-2</v>
      </c>
      <c r="N363" s="55">
        <v>66776462</v>
      </c>
      <c r="O363" s="55">
        <f t="shared" si="97"/>
        <v>0</v>
      </c>
      <c r="P363" s="69" t="s">
        <v>35</v>
      </c>
      <c r="Q363" s="70" t="s">
        <v>43</v>
      </c>
      <c r="R363" s="19">
        <f t="shared" si="98"/>
        <v>1</v>
      </c>
      <c r="S363" s="19">
        <f t="shared" si="101"/>
        <v>0</v>
      </c>
      <c r="T363" s="144"/>
    </row>
    <row r="364" spans="1:20">
      <c r="A364" s="50">
        <v>44922</v>
      </c>
      <c r="D364" s="128">
        <v>0.14199999999999999</v>
      </c>
      <c r="E364" s="129">
        <v>4234.5240000000003</v>
      </c>
      <c r="F364" s="130">
        <v>142.077</v>
      </c>
      <c r="G364" s="53"/>
      <c r="H364" s="53">
        <v>4140</v>
      </c>
      <c r="I364" s="53">
        <f t="shared" si="95"/>
        <v>24835.860000002922</v>
      </c>
      <c r="J364" s="53">
        <f t="shared" si="96"/>
        <v>596.16000000002259</v>
      </c>
      <c r="K364" s="54">
        <f t="shared" si="104"/>
        <v>2.4004000666775882E-2</v>
      </c>
      <c r="L364" s="53">
        <f t="shared" si="99"/>
        <v>596.16000000002259</v>
      </c>
      <c r="M364" s="54">
        <f t="shared" si="106"/>
        <v>2.4004000666775882E-2</v>
      </c>
      <c r="N364" s="55">
        <v>66776462</v>
      </c>
      <c r="O364" s="55">
        <f t="shared" si="97"/>
        <v>0</v>
      </c>
      <c r="P364" s="71">
        <f>IF(D337="",0,+(LOOKUP(9.99999999999999E+307,D337:D368)-D337))*4140</f>
        <v>0</v>
      </c>
      <c r="Q364" s="72">
        <f>IF(P364="",0,+P364/SUM(R338:R368))</f>
        <v>0</v>
      </c>
      <c r="R364" s="19">
        <f t="shared" si="98"/>
        <v>1</v>
      </c>
      <c r="S364" s="19">
        <f t="shared" si="101"/>
        <v>0</v>
      </c>
      <c r="T364" s="144"/>
    </row>
    <row r="365" spans="1:20">
      <c r="A365" s="50">
        <v>44923</v>
      </c>
      <c r="D365" s="128">
        <v>0.14199999999999999</v>
      </c>
      <c r="E365" s="129">
        <v>4240.28</v>
      </c>
      <c r="F365" s="130">
        <v>142.24</v>
      </c>
      <c r="G365" s="53"/>
      <c r="H365" s="53">
        <v>4140</v>
      </c>
      <c r="I365" s="53">
        <f t="shared" si="95"/>
        <v>23829.83999999753</v>
      </c>
      <c r="J365" s="53">
        <f t="shared" si="96"/>
        <v>674.82000000004518</v>
      </c>
      <c r="K365" s="54">
        <f t="shared" si="104"/>
        <v>2.8318276580963829E-2</v>
      </c>
      <c r="L365" s="53">
        <f t="shared" si="99"/>
        <v>674.82000000004518</v>
      </c>
      <c r="M365" s="54">
        <f t="shared" si="106"/>
        <v>2.8318276580963829E-2</v>
      </c>
      <c r="N365" s="55">
        <v>66776462</v>
      </c>
      <c r="O365" s="55">
        <f t="shared" si="97"/>
        <v>0</v>
      </c>
      <c r="P365" s="146" t="s">
        <v>37</v>
      </c>
      <c r="Q365" s="147" t="s">
        <v>44</v>
      </c>
      <c r="R365" s="19">
        <f t="shared" si="98"/>
        <v>1</v>
      </c>
      <c r="S365" s="19">
        <f t="shared" si="101"/>
        <v>0</v>
      </c>
      <c r="T365" s="144"/>
    </row>
    <row r="366" spans="1:20">
      <c r="A366" s="50">
        <v>44924</v>
      </c>
      <c r="D366" s="128">
        <v>0.14199999999999999</v>
      </c>
      <c r="E366" s="129">
        <v>4246.1180000000004</v>
      </c>
      <c r="F366" s="130">
        <v>142.411</v>
      </c>
      <c r="G366" s="53"/>
      <c r="H366" s="53">
        <v>4140</v>
      </c>
      <c r="I366" s="53">
        <f t="shared" si="95"/>
        <v>24169.320000002681</v>
      </c>
      <c r="J366" s="53">
        <f t="shared" si="96"/>
        <v>707.93999999996799</v>
      </c>
      <c r="K366" s="54">
        <f t="shared" si="104"/>
        <v>2.9290853031855652E-2</v>
      </c>
      <c r="L366" s="53">
        <f t="shared" si="99"/>
        <v>707.93999999996799</v>
      </c>
      <c r="M366" s="54">
        <f t="shared" si="106"/>
        <v>2.9290853031855652E-2</v>
      </c>
      <c r="N366" s="55">
        <v>66776462</v>
      </c>
      <c r="O366" s="55">
        <f t="shared" si="97"/>
        <v>0</v>
      </c>
      <c r="P366" s="73">
        <f>P364*Q369</f>
        <v>0</v>
      </c>
      <c r="Q366" s="74">
        <f>IF(Q34="",0,(SUM('[1]Günlük Tüketim'!H338:H368)*1.62)/SUM(O338:O368))</f>
        <v>0</v>
      </c>
      <c r="R366" s="19">
        <f t="shared" si="98"/>
        <v>1</v>
      </c>
      <c r="S366" s="19">
        <f t="shared" si="101"/>
        <v>0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6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7">IF(E368="","",+(F368-F367)*4140)</f>
        <v/>
      </c>
      <c r="K368" s="156" t="str">
        <f t="shared" ref="K368:K369" si="108">IF(J368="","",+(J368/I368))</f>
        <v/>
      </c>
      <c r="L368" s="155" t="str">
        <f t="shared" ref="L368:L369" si="109">IF(F368="","",+(F368-F367)*4140)</f>
        <v/>
      </c>
      <c r="M368" s="156" t="str">
        <f t="shared" ref="M368:M369" si="110">IF(L368="","",(L368/I368))</f>
        <v/>
      </c>
      <c r="N368" s="157"/>
      <c r="O368" s="157" t="str">
        <f t="shared" si="97"/>
        <v/>
      </c>
      <c r="P368" s="78">
        <f>(P366+Q364*SUM(S338:S368)*Q369)</f>
        <v>0</v>
      </c>
      <c r="Q368" s="79">
        <f>Q364*31</f>
        <v>0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7"/>
        <v/>
      </c>
      <c r="K369" s="54" t="str">
        <f t="shared" si="108"/>
        <v/>
      </c>
      <c r="L369" s="53" t="str">
        <f t="shared" si="109"/>
        <v/>
      </c>
      <c r="M369" s="54" t="str">
        <f t="shared" si="110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2 M97:M230 M234:M65173">
    <cfRule type="cellIs" dxfId="8" priority="14" stopIfTrue="1" operator="between">
      <formula>0.15</formula>
      <formula>100</formula>
    </cfRule>
  </conditionalFormatting>
  <conditionalFormatting sqref="K3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4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abSelected="1" topLeftCell="A336" workbookViewId="0">
      <selection activeCell="G368" sqref="G368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2"/>
      <c r="C1" s="192"/>
      <c r="D1" s="192"/>
      <c r="E1" s="192"/>
      <c r="F1" s="192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9" t="s">
        <v>68</v>
      </c>
      <c r="O25" s="189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90"/>
      <c r="O26" s="190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91"/>
      <c r="O27" s="191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9" t="s">
        <v>70</v>
      </c>
      <c r="O29" s="189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91"/>
      <c r="O30" s="191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6">
        <v>44227</v>
      </c>
      <c r="C35" s="171">
        <v>16228335</v>
      </c>
      <c r="D35" s="171">
        <v>5191070</v>
      </c>
      <c r="E35" s="171">
        <v>248709</v>
      </c>
      <c r="F35" s="171">
        <v>644320</v>
      </c>
      <c r="G35" s="171">
        <v>298833</v>
      </c>
      <c r="H35" s="172">
        <f t="shared" si="1"/>
        <v>0</v>
      </c>
      <c r="I35" s="172">
        <f t="shared" si="6"/>
        <v>3066</v>
      </c>
      <c r="J35" s="172">
        <f t="shared" si="2"/>
        <v>150</v>
      </c>
      <c r="K35" s="172">
        <f t="shared" si="7"/>
        <v>143</v>
      </c>
      <c r="L35" s="173">
        <f t="shared" si="4"/>
        <v>124</v>
      </c>
      <c r="M35" s="174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9" t="s">
        <v>68</v>
      </c>
      <c r="O53" s="189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90"/>
      <c r="O54" s="190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91"/>
      <c r="O55" s="191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9" t="s">
        <v>70</v>
      </c>
      <c r="O57" s="189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91"/>
      <c r="O58" s="191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9" t="s">
        <v>72</v>
      </c>
      <c r="O60" s="189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91"/>
      <c r="O61" s="191"/>
      <c r="Q61" s="19">
        <f t="shared" si="5"/>
        <v>0</v>
      </c>
    </row>
    <row r="62" spans="2:17" ht="12.95" customHeight="1" thickBot="1">
      <c r="B62" s="21">
        <v>44254</v>
      </c>
      <c r="C62" s="171">
        <v>16228335</v>
      </c>
      <c r="D62" s="175">
        <v>5270544</v>
      </c>
      <c r="E62" s="175">
        <v>253486</v>
      </c>
      <c r="F62" s="175">
        <v>649063</v>
      </c>
      <c r="G62" s="175">
        <v>303745</v>
      </c>
      <c r="H62" s="172">
        <f t="shared" ref="H62" si="21">IF(C62="","",+(C62-C61))</f>
        <v>0</v>
      </c>
      <c r="I62" s="172">
        <f t="shared" si="18"/>
        <v>2667</v>
      </c>
      <c r="J62" s="172">
        <f t="shared" si="18"/>
        <v>202</v>
      </c>
      <c r="K62" s="172">
        <f t="shared" si="18"/>
        <v>192</v>
      </c>
      <c r="L62" s="173">
        <f t="shared" si="18"/>
        <v>207</v>
      </c>
      <c r="M62" s="174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9" t="s">
        <v>68</v>
      </c>
      <c r="O84" s="189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90"/>
      <c r="O85" s="190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91"/>
      <c r="O86" s="191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9" t="s">
        <v>70</v>
      </c>
      <c r="O88" s="189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91"/>
      <c r="O89" s="191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9" t="s">
        <v>72</v>
      </c>
      <c r="O91" s="189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91"/>
      <c r="O92" s="191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1">
        <v>16228335</v>
      </c>
      <c r="D94" s="177">
        <v>5371841</v>
      </c>
      <c r="E94" s="177">
        <v>259360</v>
      </c>
      <c r="F94" s="177">
        <v>655111</v>
      </c>
      <c r="G94" s="177">
        <v>310452</v>
      </c>
      <c r="H94" s="172">
        <f t="shared" ref="H94" si="72">IF(C94="","",+(C94-C93))</f>
        <v>0</v>
      </c>
      <c r="I94" s="172">
        <f t="shared" si="71"/>
        <v>1868</v>
      </c>
      <c r="J94" s="172">
        <f t="shared" si="71"/>
        <v>206</v>
      </c>
      <c r="K94" s="172">
        <f t="shared" si="71"/>
        <v>205</v>
      </c>
      <c r="L94" s="173">
        <f t="shared" si="71"/>
        <v>255</v>
      </c>
      <c r="M94" s="174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9" t="s">
        <v>68</v>
      </c>
      <c r="O114" s="189" t="s">
        <v>69</v>
      </c>
      <c r="Q114" s="19">
        <f t="shared" si="35"/>
        <v>0</v>
      </c>
    </row>
    <row r="115" spans="2:17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90"/>
      <c r="O115" s="190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91"/>
      <c r="O116" s="191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9" t="s">
        <v>70</v>
      </c>
      <c r="O118" s="189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91"/>
      <c r="O119" s="191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1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3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9" t="s">
        <v>68</v>
      </c>
      <c r="O145" s="189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90"/>
      <c r="O146" s="190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91"/>
      <c r="O147" s="191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9" t="s">
        <v>70</v>
      </c>
      <c r="O149" s="189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91"/>
      <c r="O150" s="191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1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9" t="s">
        <v>68</v>
      </c>
      <c r="O175" s="189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90"/>
      <c r="O176" s="190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91"/>
      <c r="O177" s="191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9" t="s">
        <v>70</v>
      </c>
      <c r="O179" s="189" t="s">
        <v>71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91"/>
      <c r="O180" s="191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0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78">
        <f t="shared" si="88"/>
        <v>265</v>
      </c>
      <c r="L185" s="173">
        <f t="shared" si="92"/>
        <v>281</v>
      </c>
      <c r="M185" s="178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9" t="s">
        <v>68</v>
      </c>
      <c r="O206" s="189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90"/>
      <c r="O207" s="190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91"/>
      <c r="O208" s="191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9" t="s">
        <v>70</v>
      </c>
      <c r="O210" s="189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91"/>
      <c r="O211" s="191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0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9" t="s">
        <v>68</v>
      </c>
      <c r="O237" s="189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90"/>
      <c r="O238" s="190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91"/>
      <c r="O239" s="191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9" t="s">
        <v>70</v>
      </c>
      <c r="O241" s="189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91"/>
      <c r="O242" s="191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0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9" t="s">
        <v>68</v>
      </c>
      <c r="O267" s="189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90"/>
      <c r="O268" s="190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91"/>
      <c r="O269" s="191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9" t="s">
        <v>70</v>
      </c>
      <c r="O271" s="189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91"/>
      <c r="O272" s="191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0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5" customHeight="1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5" customHeight="1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5" customHeight="1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5" customHeight="1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5" customHeight="1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5" customHeight="1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5" customHeight="1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5" customHeight="1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5" customHeight="1" thickBot="1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5" customHeight="1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9" t="s">
        <v>68</v>
      </c>
      <c r="O298" s="189" t="s">
        <v>69</v>
      </c>
      <c r="Q298" s="19">
        <f t="shared" si="104"/>
        <v>0</v>
      </c>
    </row>
    <row r="299" spans="2:17" ht="12.95" customHeight="1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90"/>
      <c r="O299" s="190"/>
      <c r="Q299" s="19">
        <f t="shared" si="104"/>
        <v>0</v>
      </c>
    </row>
    <row r="300" spans="2:17" ht="12.95" customHeight="1" thickBot="1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91"/>
      <c r="O300" s="191"/>
      <c r="Q300" s="19">
        <f t="shared" si="104"/>
        <v>0</v>
      </c>
    </row>
    <row r="301" spans="2:17" ht="12.95" customHeight="1" thickBot="1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8709</v>
      </c>
      <c r="O301" s="30">
        <f>SUM(M278:M308)</f>
        <v>61701</v>
      </c>
      <c r="Q301" s="19">
        <f t="shared" si="104"/>
        <v>0</v>
      </c>
    </row>
    <row r="302" spans="2:17" ht="12.95" customHeight="1">
      <c r="B302" s="21">
        <v>44494</v>
      </c>
      <c r="C302" s="39">
        <v>16416052</v>
      </c>
      <c r="D302" s="22">
        <v>5659447</v>
      </c>
      <c r="E302" s="23">
        <v>301842</v>
      </c>
      <c r="F302" s="24">
        <v>35850</v>
      </c>
      <c r="G302" s="25">
        <v>372882</v>
      </c>
      <c r="H302" s="26">
        <f t="shared" si="101"/>
        <v>0</v>
      </c>
      <c r="I302" s="26">
        <f t="shared" si="101"/>
        <v>1154</v>
      </c>
      <c r="J302" s="26">
        <f t="shared" si="101"/>
        <v>194</v>
      </c>
      <c r="K302" s="26">
        <f t="shared" si="101"/>
        <v>264</v>
      </c>
      <c r="L302" s="27">
        <f t="shared" si="101"/>
        <v>270</v>
      </c>
      <c r="M302" s="28">
        <f t="shared" si="102"/>
        <v>1612</v>
      </c>
      <c r="N302" s="189" t="s">
        <v>70</v>
      </c>
      <c r="O302" s="189" t="s">
        <v>71</v>
      </c>
      <c r="Q302" s="19">
        <f t="shared" si="104"/>
        <v>0</v>
      </c>
    </row>
    <row r="303" spans="2:17" ht="12.95" customHeight="1" thickBot="1">
      <c r="B303" s="21">
        <v>44495</v>
      </c>
      <c r="C303" s="39">
        <v>16416052</v>
      </c>
      <c r="D303" s="22">
        <v>5660614</v>
      </c>
      <c r="E303" s="23">
        <v>302014</v>
      </c>
      <c r="F303" s="24">
        <v>36102</v>
      </c>
      <c r="G303" s="25">
        <v>373155</v>
      </c>
      <c r="H303" s="26">
        <f t="shared" si="101"/>
        <v>0</v>
      </c>
      <c r="I303" s="26">
        <f t="shared" si="101"/>
        <v>1167</v>
      </c>
      <c r="J303" s="26">
        <f t="shared" si="101"/>
        <v>172</v>
      </c>
      <c r="K303" s="26">
        <f t="shared" si="101"/>
        <v>252</v>
      </c>
      <c r="L303" s="27">
        <f t="shared" si="101"/>
        <v>273</v>
      </c>
      <c r="M303" s="28">
        <f t="shared" si="102"/>
        <v>1591</v>
      </c>
      <c r="N303" s="191"/>
      <c r="O303" s="191"/>
      <c r="Q303" s="19">
        <f t="shared" si="104"/>
        <v>0</v>
      </c>
    </row>
    <row r="304" spans="2:17" ht="12.95" customHeight="1" thickBot="1">
      <c r="B304" s="21">
        <v>44496</v>
      </c>
      <c r="C304" s="39">
        <v>16416191</v>
      </c>
      <c r="D304" s="22">
        <v>5661779</v>
      </c>
      <c r="E304" s="23">
        <v>302197</v>
      </c>
      <c r="F304" s="24">
        <v>36367</v>
      </c>
      <c r="G304" s="25">
        <v>373432</v>
      </c>
      <c r="H304" s="26">
        <f t="shared" si="101"/>
        <v>139</v>
      </c>
      <c r="I304" s="26">
        <f t="shared" si="101"/>
        <v>1165</v>
      </c>
      <c r="J304" s="26">
        <f t="shared" si="101"/>
        <v>183</v>
      </c>
      <c r="K304" s="26">
        <f t="shared" si="101"/>
        <v>265</v>
      </c>
      <c r="L304" s="27">
        <f t="shared" si="101"/>
        <v>277</v>
      </c>
      <c r="M304" s="28">
        <f t="shared" si="102"/>
        <v>1752</v>
      </c>
      <c r="N304" s="30">
        <f>AVERAGE(L278:L308)</f>
        <v>280.93548387096774</v>
      </c>
      <c r="O304" s="30">
        <f>AVERAGE(M278:M308)</f>
        <v>1990.3548387096773</v>
      </c>
      <c r="Q304" s="19">
        <f t="shared" si="104"/>
        <v>0</v>
      </c>
    </row>
    <row r="305" spans="1:17" ht="12.95" customHeight="1">
      <c r="B305" s="21">
        <v>44497</v>
      </c>
      <c r="C305" s="39">
        <v>16416191</v>
      </c>
      <c r="D305" s="22">
        <v>5662986</v>
      </c>
      <c r="E305" s="23">
        <v>302385</v>
      </c>
      <c r="F305" s="24">
        <v>36626</v>
      </c>
      <c r="G305" s="25">
        <v>373729</v>
      </c>
      <c r="H305" s="26">
        <f t="shared" si="101"/>
        <v>0</v>
      </c>
      <c r="I305" s="26">
        <f t="shared" si="101"/>
        <v>1207</v>
      </c>
      <c r="J305" s="26">
        <f t="shared" si="101"/>
        <v>188</v>
      </c>
      <c r="K305" s="26">
        <f t="shared" si="101"/>
        <v>259</v>
      </c>
      <c r="L305" s="27">
        <f t="shared" si="101"/>
        <v>297</v>
      </c>
      <c r="M305" s="28">
        <f t="shared" si="102"/>
        <v>1654</v>
      </c>
      <c r="O305" s="19">
        <f>IF(L305="",1,0)</f>
        <v>0</v>
      </c>
    </row>
    <row r="306" spans="1:17" ht="12.95" customHeight="1">
      <c r="B306" s="21">
        <v>44498</v>
      </c>
      <c r="C306" s="39">
        <v>16416191</v>
      </c>
      <c r="D306" s="22">
        <v>5664371</v>
      </c>
      <c r="E306" s="23">
        <v>302521</v>
      </c>
      <c r="F306" s="24">
        <v>36884</v>
      </c>
      <c r="G306" s="25">
        <v>373991</v>
      </c>
      <c r="H306" s="26">
        <f t="shared" si="101"/>
        <v>0</v>
      </c>
      <c r="I306" s="26">
        <f t="shared" si="101"/>
        <v>1385</v>
      </c>
      <c r="J306" s="26">
        <f t="shared" si="101"/>
        <v>136</v>
      </c>
      <c r="K306" s="26">
        <f t="shared" si="101"/>
        <v>258</v>
      </c>
      <c r="L306" s="27">
        <f t="shared" si="101"/>
        <v>262</v>
      </c>
      <c r="M306" s="28">
        <f t="shared" si="102"/>
        <v>1779</v>
      </c>
      <c r="O306" s="19">
        <f>IF(L306="",1,0)</f>
        <v>0</v>
      </c>
    </row>
    <row r="307" spans="1:17" ht="12.95" customHeight="1">
      <c r="B307" s="21">
        <v>44499</v>
      </c>
      <c r="C307" s="39">
        <v>16416191</v>
      </c>
      <c r="D307" s="22">
        <v>5665769</v>
      </c>
      <c r="E307" s="23">
        <v>302669</v>
      </c>
      <c r="F307" s="24">
        <v>37118</v>
      </c>
      <c r="G307" s="25">
        <v>374210</v>
      </c>
      <c r="H307" s="26">
        <f t="shared" si="101"/>
        <v>0</v>
      </c>
      <c r="I307" s="26">
        <f t="shared" si="101"/>
        <v>1398</v>
      </c>
      <c r="J307" s="26">
        <f t="shared" si="101"/>
        <v>148</v>
      </c>
      <c r="K307" s="26">
        <f t="shared" si="101"/>
        <v>234</v>
      </c>
      <c r="L307" s="27">
        <f t="shared" si="101"/>
        <v>219</v>
      </c>
      <c r="M307" s="28">
        <f t="shared" si="102"/>
        <v>1780</v>
      </c>
      <c r="O307" s="19">
        <f>IF(L307="",1,0)</f>
        <v>0</v>
      </c>
    </row>
    <row r="308" spans="1:17" ht="12.95" customHeight="1">
      <c r="B308" s="21">
        <v>44500</v>
      </c>
      <c r="C308" s="170">
        <v>16416191</v>
      </c>
      <c r="D308" s="32">
        <v>5666986</v>
      </c>
      <c r="E308" s="32">
        <v>302821</v>
      </c>
      <c r="F308" s="32">
        <v>37371</v>
      </c>
      <c r="G308" s="32">
        <v>374473</v>
      </c>
      <c r="H308" s="33">
        <f t="shared" si="101"/>
        <v>0</v>
      </c>
      <c r="I308" s="37">
        <f t="shared" si="101"/>
        <v>1217</v>
      </c>
      <c r="J308" s="33">
        <f t="shared" si="101"/>
        <v>152</v>
      </c>
      <c r="K308" s="33">
        <f t="shared" si="101"/>
        <v>253</v>
      </c>
      <c r="L308" s="34">
        <f t="shared" si="101"/>
        <v>263</v>
      </c>
      <c r="M308" s="33">
        <f t="shared" si="102"/>
        <v>1622</v>
      </c>
      <c r="Q308" s="19">
        <f t="shared" si="104"/>
        <v>0</v>
      </c>
    </row>
    <row r="309" spans="1:17" ht="12.95" customHeight="1">
      <c r="B309" s="21">
        <v>44501</v>
      </c>
      <c r="C309" s="39">
        <v>16416191</v>
      </c>
      <c r="D309" s="22">
        <v>5668289</v>
      </c>
      <c r="E309" s="23">
        <v>302986</v>
      </c>
      <c r="F309" s="24">
        <v>37611</v>
      </c>
      <c r="G309" s="25">
        <v>374723</v>
      </c>
      <c r="H309" s="26">
        <f t="shared" si="101"/>
        <v>0</v>
      </c>
      <c r="I309" s="26">
        <f t="shared" si="101"/>
        <v>1303</v>
      </c>
      <c r="J309" s="26">
        <f t="shared" si="101"/>
        <v>165</v>
      </c>
      <c r="K309" s="26">
        <f t="shared" si="101"/>
        <v>240</v>
      </c>
      <c r="L309" s="27">
        <f t="shared" si="101"/>
        <v>250</v>
      </c>
      <c r="M309" s="28">
        <f t="shared" si="102"/>
        <v>1708</v>
      </c>
      <c r="Q309" s="19">
        <f t="shared" si="104"/>
        <v>0</v>
      </c>
    </row>
    <row r="310" spans="1:17" ht="12.95" customHeight="1">
      <c r="B310" s="21">
        <v>44502</v>
      </c>
      <c r="C310" s="39">
        <v>16416902</v>
      </c>
      <c r="D310" s="22">
        <v>5669438</v>
      </c>
      <c r="E310" s="23">
        <v>303174</v>
      </c>
      <c r="F310" s="24">
        <v>37845</v>
      </c>
      <c r="G310" s="25">
        <v>374985</v>
      </c>
      <c r="H310" s="26">
        <f t="shared" si="101"/>
        <v>711</v>
      </c>
      <c r="I310" s="26">
        <f t="shared" si="101"/>
        <v>1149</v>
      </c>
      <c r="J310" s="26">
        <f t="shared" si="101"/>
        <v>188</v>
      </c>
      <c r="K310" s="26">
        <f t="shared" si="101"/>
        <v>234</v>
      </c>
      <c r="L310" s="27">
        <f t="shared" si="101"/>
        <v>262</v>
      </c>
      <c r="M310" s="28">
        <f t="shared" si="102"/>
        <v>2282</v>
      </c>
      <c r="Q310" s="19">
        <f t="shared" si="104"/>
        <v>0</v>
      </c>
    </row>
    <row r="311" spans="1:17" ht="12.95" customHeight="1">
      <c r="B311" s="21">
        <v>44503</v>
      </c>
      <c r="C311" s="39">
        <v>16416902</v>
      </c>
      <c r="D311" s="22">
        <v>5670758</v>
      </c>
      <c r="E311" s="23">
        <v>303353</v>
      </c>
      <c r="F311" s="24">
        <v>38086</v>
      </c>
      <c r="G311" s="25">
        <v>375273</v>
      </c>
      <c r="H311" s="26">
        <f t="shared" si="101"/>
        <v>0</v>
      </c>
      <c r="I311" s="26">
        <f t="shared" si="101"/>
        <v>1320</v>
      </c>
      <c r="J311" s="26">
        <f t="shared" si="101"/>
        <v>179</v>
      </c>
      <c r="K311" s="26">
        <f t="shared" si="101"/>
        <v>241</v>
      </c>
      <c r="L311" s="27">
        <f t="shared" si="101"/>
        <v>288</v>
      </c>
      <c r="M311" s="28">
        <f t="shared" si="102"/>
        <v>1740</v>
      </c>
      <c r="Q311" s="19">
        <f t="shared" si="104"/>
        <v>0</v>
      </c>
    </row>
    <row r="312" spans="1:17" ht="12.95" customHeight="1">
      <c r="B312" s="21">
        <v>44504</v>
      </c>
      <c r="C312" s="39">
        <v>16416902</v>
      </c>
      <c r="D312" s="22">
        <v>5672076</v>
      </c>
      <c r="E312" s="23">
        <v>303544</v>
      </c>
      <c r="F312" s="24">
        <v>38324</v>
      </c>
      <c r="G312" s="25">
        <v>375560</v>
      </c>
      <c r="H312" s="26">
        <f t="shared" si="101"/>
        <v>0</v>
      </c>
      <c r="I312" s="26">
        <f t="shared" si="101"/>
        <v>1318</v>
      </c>
      <c r="J312" s="26">
        <f t="shared" si="101"/>
        <v>191</v>
      </c>
      <c r="K312" s="26">
        <f t="shared" si="101"/>
        <v>238</v>
      </c>
      <c r="L312" s="27">
        <f t="shared" si="101"/>
        <v>287</v>
      </c>
      <c r="M312" s="28">
        <f t="shared" si="102"/>
        <v>1747</v>
      </c>
      <c r="Q312" s="19">
        <f t="shared" si="104"/>
        <v>0</v>
      </c>
    </row>
    <row r="313" spans="1:17" ht="12.95" customHeight="1">
      <c r="A313" s="8" t="s">
        <v>76</v>
      </c>
      <c r="B313" s="21">
        <v>44505</v>
      </c>
      <c r="C313" s="39">
        <v>16416902</v>
      </c>
      <c r="D313" s="22">
        <v>5673324</v>
      </c>
      <c r="E313" s="23">
        <v>303723</v>
      </c>
      <c r="F313" s="24">
        <v>38562</v>
      </c>
      <c r="G313" s="25">
        <v>375860</v>
      </c>
      <c r="H313" s="26">
        <f t="shared" si="101"/>
        <v>0</v>
      </c>
      <c r="I313" s="26">
        <f t="shared" si="101"/>
        <v>1248</v>
      </c>
      <c r="J313" s="26">
        <f t="shared" si="101"/>
        <v>179</v>
      </c>
      <c r="K313" s="26">
        <f t="shared" si="101"/>
        <v>238</v>
      </c>
      <c r="L313" s="27">
        <f t="shared" si="101"/>
        <v>300</v>
      </c>
      <c r="M313" s="28">
        <f t="shared" si="102"/>
        <v>1665</v>
      </c>
      <c r="Q313" s="19">
        <f t="shared" si="104"/>
        <v>0</v>
      </c>
    </row>
    <row r="314" spans="1:17" ht="12.95" customHeight="1">
      <c r="B314" s="21">
        <v>44506</v>
      </c>
      <c r="C314" s="39">
        <v>16416902</v>
      </c>
      <c r="D314" s="22">
        <v>5674440</v>
      </c>
      <c r="E314" s="23">
        <v>303916</v>
      </c>
      <c r="F314" s="24">
        <v>38820</v>
      </c>
      <c r="G314" s="25">
        <v>376158</v>
      </c>
      <c r="H314" s="26">
        <f t="shared" si="101"/>
        <v>0</v>
      </c>
      <c r="I314" s="26">
        <f t="shared" si="101"/>
        <v>1116</v>
      </c>
      <c r="J314" s="26">
        <f t="shared" si="101"/>
        <v>193</v>
      </c>
      <c r="K314" s="26">
        <f t="shared" si="101"/>
        <v>258</v>
      </c>
      <c r="L314" s="27">
        <f t="shared" si="101"/>
        <v>298</v>
      </c>
      <c r="M314" s="28">
        <f t="shared" si="102"/>
        <v>1567</v>
      </c>
      <c r="Q314" s="19">
        <f t="shared" si="104"/>
        <v>0</v>
      </c>
    </row>
    <row r="315" spans="1:17" ht="12.95" customHeight="1">
      <c r="B315" s="21">
        <v>44507</v>
      </c>
      <c r="C315" s="39">
        <v>16416902</v>
      </c>
      <c r="D315" s="22">
        <v>5675542</v>
      </c>
      <c r="E315" s="23">
        <v>304083</v>
      </c>
      <c r="F315" s="24">
        <v>39064</v>
      </c>
      <c r="G315" s="25">
        <v>376406</v>
      </c>
      <c r="H315" s="26">
        <f t="shared" si="101"/>
        <v>0</v>
      </c>
      <c r="I315" s="26">
        <f t="shared" si="101"/>
        <v>1102</v>
      </c>
      <c r="J315" s="26">
        <f t="shared" si="101"/>
        <v>167</v>
      </c>
      <c r="K315" s="26">
        <f t="shared" si="101"/>
        <v>244</v>
      </c>
      <c r="L315" s="27">
        <f t="shared" si="101"/>
        <v>248</v>
      </c>
      <c r="M315" s="28">
        <f t="shared" si="102"/>
        <v>1513</v>
      </c>
      <c r="Q315" s="19">
        <f t="shared" si="104"/>
        <v>0</v>
      </c>
    </row>
    <row r="316" spans="1:17" ht="12.95" customHeight="1">
      <c r="B316" s="21">
        <v>44508</v>
      </c>
      <c r="C316" s="39">
        <v>16416902</v>
      </c>
      <c r="D316" s="22">
        <v>5676696</v>
      </c>
      <c r="E316" s="23">
        <v>304286</v>
      </c>
      <c r="F316" s="24">
        <v>39295</v>
      </c>
      <c r="G316" s="25">
        <v>376677</v>
      </c>
      <c r="H316" s="26">
        <f t="shared" ref="H316:L367" si="105">IF(C316="","",+(C316-C315))</f>
        <v>0</v>
      </c>
      <c r="I316" s="26">
        <f t="shared" si="105"/>
        <v>1154</v>
      </c>
      <c r="J316" s="26">
        <f t="shared" si="105"/>
        <v>203</v>
      </c>
      <c r="K316" s="26">
        <f t="shared" si="105"/>
        <v>231</v>
      </c>
      <c r="L316" s="27">
        <f t="shared" si="105"/>
        <v>271</v>
      </c>
      <c r="M316" s="28">
        <f t="shared" si="102"/>
        <v>1588</v>
      </c>
      <c r="Q316" s="19">
        <f t="shared" si="104"/>
        <v>0</v>
      </c>
    </row>
    <row r="317" spans="1:17" ht="12.95" customHeight="1">
      <c r="B317" s="21">
        <v>44509</v>
      </c>
      <c r="C317" s="39">
        <v>16416902</v>
      </c>
      <c r="D317" s="22">
        <v>5678017</v>
      </c>
      <c r="E317" s="23">
        <v>304482</v>
      </c>
      <c r="F317" s="24">
        <v>39527</v>
      </c>
      <c r="G317" s="25">
        <v>376954</v>
      </c>
      <c r="H317" s="26">
        <f t="shared" si="105"/>
        <v>0</v>
      </c>
      <c r="I317" s="26">
        <f t="shared" si="105"/>
        <v>1321</v>
      </c>
      <c r="J317" s="26">
        <f t="shared" si="105"/>
        <v>196</v>
      </c>
      <c r="K317" s="26">
        <f t="shared" si="105"/>
        <v>232</v>
      </c>
      <c r="L317" s="27">
        <f t="shared" si="105"/>
        <v>277</v>
      </c>
      <c r="M317" s="28">
        <f t="shared" si="102"/>
        <v>1749</v>
      </c>
      <c r="Q317" s="19">
        <f t="shared" si="104"/>
        <v>0</v>
      </c>
    </row>
    <row r="318" spans="1:17" ht="12.95" customHeight="1">
      <c r="B318" s="21">
        <v>44510</v>
      </c>
      <c r="C318" s="39">
        <v>16416977</v>
      </c>
      <c r="D318" s="22">
        <v>5679511</v>
      </c>
      <c r="E318" s="23">
        <v>304716</v>
      </c>
      <c r="F318" s="24">
        <v>39774</v>
      </c>
      <c r="G318" s="25">
        <v>377257</v>
      </c>
      <c r="H318" s="26">
        <f t="shared" si="105"/>
        <v>75</v>
      </c>
      <c r="I318" s="26">
        <f t="shared" si="105"/>
        <v>1494</v>
      </c>
      <c r="J318" s="26">
        <f t="shared" si="105"/>
        <v>234</v>
      </c>
      <c r="K318" s="26">
        <f t="shared" si="105"/>
        <v>247</v>
      </c>
      <c r="L318" s="27">
        <f t="shared" si="105"/>
        <v>303</v>
      </c>
      <c r="M318" s="28">
        <f t="shared" si="102"/>
        <v>2050</v>
      </c>
      <c r="Q318" s="19">
        <f t="shared" si="104"/>
        <v>0</v>
      </c>
    </row>
    <row r="319" spans="1:17" ht="12.95" customHeight="1">
      <c r="B319" s="21">
        <v>44511</v>
      </c>
      <c r="C319" s="39">
        <v>16416977</v>
      </c>
      <c r="D319" s="22">
        <v>5680940</v>
      </c>
      <c r="E319" s="23">
        <v>304897</v>
      </c>
      <c r="F319" s="24">
        <v>40004</v>
      </c>
      <c r="G319" s="25">
        <v>377513</v>
      </c>
      <c r="H319" s="26">
        <f t="shared" si="105"/>
        <v>0</v>
      </c>
      <c r="I319" s="26">
        <f t="shared" si="105"/>
        <v>1429</v>
      </c>
      <c r="J319" s="26">
        <f t="shared" si="105"/>
        <v>181</v>
      </c>
      <c r="K319" s="26">
        <f t="shared" si="105"/>
        <v>230</v>
      </c>
      <c r="L319" s="27">
        <f t="shared" si="105"/>
        <v>256</v>
      </c>
      <c r="M319" s="28">
        <f t="shared" si="102"/>
        <v>1840</v>
      </c>
      <c r="Q319" s="19">
        <f t="shared" si="104"/>
        <v>0</v>
      </c>
    </row>
    <row r="320" spans="1:17" ht="12.95" customHeight="1">
      <c r="B320" s="21">
        <v>44512</v>
      </c>
      <c r="C320" s="39">
        <v>16416977</v>
      </c>
      <c r="D320" s="22">
        <v>5682337</v>
      </c>
      <c r="E320" s="23">
        <v>305067</v>
      </c>
      <c r="F320" s="24">
        <v>40258</v>
      </c>
      <c r="G320" s="25">
        <v>377755</v>
      </c>
      <c r="H320" s="26">
        <f t="shared" si="105"/>
        <v>0</v>
      </c>
      <c r="I320" s="26">
        <f t="shared" si="105"/>
        <v>1397</v>
      </c>
      <c r="J320" s="26">
        <f t="shared" si="105"/>
        <v>170</v>
      </c>
      <c r="K320" s="26">
        <f t="shared" si="105"/>
        <v>254</v>
      </c>
      <c r="L320" s="27">
        <f t="shared" si="105"/>
        <v>242</v>
      </c>
      <c r="M320" s="28">
        <f t="shared" si="102"/>
        <v>1821</v>
      </c>
      <c r="Q320" s="19">
        <f t="shared" si="104"/>
        <v>0</v>
      </c>
    </row>
    <row r="321" spans="1:17" ht="12.95" customHeight="1">
      <c r="B321" s="21">
        <v>44513</v>
      </c>
      <c r="C321" s="39">
        <v>16416977</v>
      </c>
      <c r="D321" s="22">
        <v>5683695</v>
      </c>
      <c r="E321" s="23">
        <v>305219</v>
      </c>
      <c r="F321" s="24">
        <v>40517</v>
      </c>
      <c r="G321" s="25">
        <v>377970</v>
      </c>
      <c r="H321" s="26">
        <f>IF(C321="","",+(C321-C320))</f>
        <v>0</v>
      </c>
      <c r="I321" s="26">
        <f t="shared" si="105"/>
        <v>1358</v>
      </c>
      <c r="J321" s="26">
        <f t="shared" si="105"/>
        <v>152</v>
      </c>
      <c r="K321" s="26">
        <f t="shared" si="105"/>
        <v>259</v>
      </c>
      <c r="L321" s="27">
        <f t="shared" si="105"/>
        <v>215</v>
      </c>
      <c r="M321" s="28">
        <f t="shared" si="102"/>
        <v>1769</v>
      </c>
      <c r="Q321" s="19">
        <f t="shared" si="104"/>
        <v>0</v>
      </c>
    </row>
    <row r="322" spans="1:17" ht="12.95" customHeight="1">
      <c r="B322" s="21">
        <v>44514</v>
      </c>
      <c r="C322" s="39">
        <v>16416977</v>
      </c>
      <c r="D322" s="22">
        <v>5685336</v>
      </c>
      <c r="E322" s="23">
        <v>305390</v>
      </c>
      <c r="F322" s="24">
        <v>40765</v>
      </c>
      <c r="G322" s="25">
        <v>378196</v>
      </c>
      <c r="H322" s="26">
        <f t="shared" si="105"/>
        <v>0</v>
      </c>
      <c r="I322" s="26">
        <f t="shared" si="105"/>
        <v>1641</v>
      </c>
      <c r="J322" s="26">
        <f t="shared" si="105"/>
        <v>171</v>
      </c>
      <c r="K322" s="26">
        <f t="shared" si="105"/>
        <v>248</v>
      </c>
      <c r="L322" s="27">
        <f t="shared" si="105"/>
        <v>226</v>
      </c>
      <c r="M322" s="28">
        <f t="shared" si="102"/>
        <v>2060</v>
      </c>
      <c r="Q322" s="19">
        <f t="shared" si="104"/>
        <v>0</v>
      </c>
    </row>
    <row r="323" spans="1:17" ht="12.95" customHeight="1">
      <c r="B323" s="21">
        <v>44515</v>
      </c>
      <c r="C323" s="39">
        <v>16416977</v>
      </c>
      <c r="D323" s="22">
        <v>5686840</v>
      </c>
      <c r="E323" s="23">
        <v>305558</v>
      </c>
      <c r="F323" s="24">
        <v>40999</v>
      </c>
      <c r="G323" s="25">
        <v>378423</v>
      </c>
      <c r="H323" s="26">
        <f t="shared" si="105"/>
        <v>0</v>
      </c>
      <c r="I323" s="26">
        <f t="shared" si="105"/>
        <v>1504</v>
      </c>
      <c r="J323" s="26">
        <f t="shared" si="105"/>
        <v>168</v>
      </c>
      <c r="K323" s="26">
        <f t="shared" si="105"/>
        <v>234</v>
      </c>
      <c r="L323" s="27">
        <f t="shared" si="105"/>
        <v>227</v>
      </c>
      <c r="M323" s="28">
        <f t="shared" si="102"/>
        <v>1906</v>
      </c>
      <c r="Q323" s="19">
        <f t="shared" si="104"/>
        <v>0</v>
      </c>
    </row>
    <row r="324" spans="1:17" ht="12.95" customHeight="1">
      <c r="A324" s="8" t="s">
        <v>77</v>
      </c>
      <c r="B324" s="21">
        <v>44516</v>
      </c>
      <c r="C324" s="39">
        <v>16416977</v>
      </c>
      <c r="D324" s="22">
        <v>5688341</v>
      </c>
      <c r="E324" s="23">
        <v>305732</v>
      </c>
      <c r="F324" s="24">
        <v>41227</v>
      </c>
      <c r="G324" s="25">
        <v>378638</v>
      </c>
      <c r="H324" s="26">
        <f t="shared" si="105"/>
        <v>0</v>
      </c>
      <c r="I324" s="26">
        <f t="shared" si="105"/>
        <v>1501</v>
      </c>
      <c r="J324" s="26">
        <f t="shared" si="105"/>
        <v>174</v>
      </c>
      <c r="K324" s="26">
        <f t="shared" si="105"/>
        <v>228</v>
      </c>
      <c r="L324" s="27">
        <f t="shared" si="105"/>
        <v>215</v>
      </c>
      <c r="M324" s="28">
        <f t="shared" si="102"/>
        <v>1903</v>
      </c>
      <c r="Q324" s="19">
        <f t="shared" si="104"/>
        <v>0</v>
      </c>
    </row>
    <row r="325" spans="1:17" ht="12.95" customHeight="1">
      <c r="B325" s="21">
        <v>44517</v>
      </c>
      <c r="C325" s="39">
        <v>16417080</v>
      </c>
      <c r="D325" s="22">
        <v>5689836</v>
      </c>
      <c r="E325" s="23">
        <v>305936</v>
      </c>
      <c r="F325" s="24">
        <v>41440</v>
      </c>
      <c r="G325" s="25">
        <v>378860</v>
      </c>
      <c r="H325" s="26">
        <f t="shared" si="105"/>
        <v>103</v>
      </c>
      <c r="I325" s="26">
        <f t="shared" si="105"/>
        <v>1495</v>
      </c>
      <c r="J325" s="26">
        <f t="shared" si="105"/>
        <v>204</v>
      </c>
      <c r="K325" s="26">
        <f t="shared" si="105"/>
        <v>213</v>
      </c>
      <c r="L325" s="27">
        <f t="shared" si="105"/>
        <v>222</v>
      </c>
      <c r="M325" s="28">
        <f t="shared" si="102"/>
        <v>2015</v>
      </c>
      <c r="Q325" s="19">
        <f t="shared" si="104"/>
        <v>0</v>
      </c>
    </row>
    <row r="326" spans="1:17" ht="12.95" customHeight="1">
      <c r="B326" s="21">
        <v>44518</v>
      </c>
      <c r="C326" s="39">
        <v>16417080</v>
      </c>
      <c r="D326" s="22">
        <v>5691400</v>
      </c>
      <c r="E326" s="23">
        <v>306096</v>
      </c>
      <c r="F326" s="24">
        <v>41663</v>
      </c>
      <c r="G326" s="25">
        <v>379076</v>
      </c>
      <c r="H326" s="26">
        <f t="shared" si="105"/>
        <v>0</v>
      </c>
      <c r="I326" s="26">
        <f t="shared" si="105"/>
        <v>1564</v>
      </c>
      <c r="J326" s="26">
        <f t="shared" si="105"/>
        <v>160</v>
      </c>
      <c r="K326" s="26">
        <f t="shared" si="105"/>
        <v>223</v>
      </c>
      <c r="L326" s="27">
        <f t="shared" si="105"/>
        <v>216</v>
      </c>
      <c r="M326" s="28">
        <f t="shared" ref="M326:M368" si="106">IF(H326="","",+(H326+I326+J326+K326))</f>
        <v>1947</v>
      </c>
      <c r="Q326" s="19">
        <f t="shared" si="104"/>
        <v>0</v>
      </c>
    </row>
    <row r="327" spans="1:17" ht="12.95" customHeight="1" thickBot="1">
      <c r="B327" s="21">
        <v>44519</v>
      </c>
      <c r="C327" s="39">
        <v>16417080</v>
      </c>
      <c r="D327" s="22">
        <v>5692878</v>
      </c>
      <c r="E327" s="23">
        <v>306268</v>
      </c>
      <c r="F327" s="24">
        <v>41887</v>
      </c>
      <c r="G327" s="25">
        <v>379310</v>
      </c>
      <c r="H327" s="26">
        <f t="shared" si="105"/>
        <v>0</v>
      </c>
      <c r="I327" s="26">
        <f t="shared" si="105"/>
        <v>1478</v>
      </c>
      <c r="J327" s="26">
        <f t="shared" si="105"/>
        <v>172</v>
      </c>
      <c r="K327" s="26">
        <f t="shared" si="105"/>
        <v>224</v>
      </c>
      <c r="L327" s="27">
        <f t="shared" si="105"/>
        <v>234</v>
      </c>
      <c r="M327" s="28">
        <f t="shared" si="106"/>
        <v>1874</v>
      </c>
      <c r="Q327" s="19">
        <f t="shared" si="104"/>
        <v>0</v>
      </c>
    </row>
    <row r="328" spans="1:17" ht="12.95" customHeight="1">
      <c r="B328" s="21">
        <v>44520</v>
      </c>
      <c r="C328" s="39">
        <v>16417080</v>
      </c>
      <c r="D328" s="22">
        <v>5694283</v>
      </c>
      <c r="E328" s="23">
        <v>306415</v>
      </c>
      <c r="F328" s="24">
        <v>42099</v>
      </c>
      <c r="G328" s="25">
        <v>379509</v>
      </c>
      <c r="H328" s="26">
        <f t="shared" si="105"/>
        <v>0</v>
      </c>
      <c r="I328" s="26">
        <f t="shared" si="105"/>
        <v>1405</v>
      </c>
      <c r="J328" s="26">
        <f t="shared" si="105"/>
        <v>147</v>
      </c>
      <c r="K328" s="26">
        <f t="shared" si="105"/>
        <v>212</v>
      </c>
      <c r="L328" s="27">
        <f t="shared" si="105"/>
        <v>199</v>
      </c>
      <c r="M328" s="28">
        <f t="shared" si="106"/>
        <v>1764</v>
      </c>
      <c r="N328" s="189" t="s">
        <v>68</v>
      </c>
      <c r="O328" s="189" t="s">
        <v>69</v>
      </c>
      <c r="Q328" s="19">
        <f t="shared" si="104"/>
        <v>0</v>
      </c>
    </row>
    <row r="329" spans="1:17" ht="12.95" customHeight="1">
      <c r="B329" s="21">
        <v>44521</v>
      </c>
      <c r="C329" s="39">
        <v>16417131</v>
      </c>
      <c r="D329" s="22">
        <v>5695711</v>
      </c>
      <c r="E329" s="23">
        <v>306585</v>
      </c>
      <c r="F329" s="24">
        <v>42318</v>
      </c>
      <c r="G329" s="25">
        <v>379680</v>
      </c>
      <c r="H329" s="26">
        <f t="shared" si="105"/>
        <v>51</v>
      </c>
      <c r="I329" s="26">
        <f t="shared" si="105"/>
        <v>1428</v>
      </c>
      <c r="J329" s="26">
        <f t="shared" si="105"/>
        <v>170</v>
      </c>
      <c r="K329" s="26">
        <f t="shared" si="105"/>
        <v>219</v>
      </c>
      <c r="L329" s="27">
        <f t="shared" si="105"/>
        <v>171</v>
      </c>
      <c r="M329" s="28">
        <f t="shared" si="106"/>
        <v>1868</v>
      </c>
      <c r="N329" s="190"/>
      <c r="O329" s="190"/>
      <c r="Q329" s="19">
        <f t="shared" si="104"/>
        <v>0</v>
      </c>
    </row>
    <row r="330" spans="1:17" ht="12.95" customHeight="1" thickBot="1">
      <c r="B330" s="21">
        <v>44522</v>
      </c>
      <c r="C330" s="39">
        <v>16417131</v>
      </c>
      <c r="D330" s="22">
        <v>5697559</v>
      </c>
      <c r="E330" s="23">
        <v>306783</v>
      </c>
      <c r="F330" s="24">
        <v>42534</v>
      </c>
      <c r="G330" s="25">
        <v>379886</v>
      </c>
      <c r="H330" s="26">
        <f t="shared" si="105"/>
        <v>0</v>
      </c>
      <c r="I330" s="26">
        <f t="shared" si="105"/>
        <v>1848</v>
      </c>
      <c r="J330" s="26">
        <f t="shared" si="105"/>
        <v>198</v>
      </c>
      <c r="K330" s="26">
        <f t="shared" si="105"/>
        <v>216</v>
      </c>
      <c r="L330" s="27">
        <f t="shared" si="105"/>
        <v>206</v>
      </c>
      <c r="M330" s="28">
        <f t="shared" si="106"/>
        <v>2262</v>
      </c>
      <c r="N330" s="191"/>
      <c r="O330" s="191"/>
      <c r="Q330" s="19">
        <f t="shared" si="104"/>
        <v>0</v>
      </c>
    </row>
    <row r="331" spans="1:17" ht="12.95" customHeight="1" thickBot="1">
      <c r="B331" s="21">
        <v>44523</v>
      </c>
      <c r="C331" s="39">
        <v>16417131</v>
      </c>
      <c r="D331" s="22">
        <v>5699243</v>
      </c>
      <c r="E331" s="23">
        <v>306969</v>
      </c>
      <c r="F331" s="24">
        <v>42752</v>
      </c>
      <c r="G331" s="25">
        <v>380111</v>
      </c>
      <c r="H331" s="26">
        <f t="shared" si="105"/>
        <v>0</v>
      </c>
      <c r="I331" s="26">
        <f t="shared" si="105"/>
        <v>1684</v>
      </c>
      <c r="J331" s="26">
        <f t="shared" si="105"/>
        <v>186</v>
      </c>
      <c r="K331" s="26">
        <f t="shared" si="105"/>
        <v>218</v>
      </c>
      <c r="L331" s="27">
        <f t="shared" si="105"/>
        <v>225</v>
      </c>
      <c r="M331" s="28">
        <f t="shared" si="106"/>
        <v>2088</v>
      </c>
      <c r="N331" s="30">
        <f>SUM(L309:L338)</f>
        <v>7138</v>
      </c>
      <c r="O331" s="30">
        <f>SUM(M309:M338)</f>
        <v>59547</v>
      </c>
      <c r="Q331" s="19">
        <f t="shared" si="104"/>
        <v>0</v>
      </c>
    </row>
    <row r="332" spans="1:17" ht="12.95" customHeight="1">
      <c r="B332" s="21">
        <v>44524</v>
      </c>
      <c r="C332" s="39">
        <v>16417131</v>
      </c>
      <c r="D332" s="22">
        <v>5701296</v>
      </c>
      <c r="E332" s="23">
        <v>307144</v>
      </c>
      <c r="F332" s="24">
        <v>42977</v>
      </c>
      <c r="G332" s="25">
        <v>380355</v>
      </c>
      <c r="H332" s="26">
        <f t="shared" si="105"/>
        <v>0</v>
      </c>
      <c r="I332" s="26">
        <f t="shared" si="105"/>
        <v>2053</v>
      </c>
      <c r="J332" s="26">
        <f t="shared" si="105"/>
        <v>175</v>
      </c>
      <c r="K332" s="26">
        <f t="shared" si="105"/>
        <v>225</v>
      </c>
      <c r="L332" s="27">
        <f t="shared" si="105"/>
        <v>244</v>
      </c>
      <c r="M332" s="28">
        <f t="shared" si="106"/>
        <v>2453</v>
      </c>
      <c r="N332" s="189" t="s">
        <v>70</v>
      </c>
      <c r="O332" s="189" t="s">
        <v>71</v>
      </c>
      <c r="Q332" s="19">
        <f t="shared" si="104"/>
        <v>0</v>
      </c>
    </row>
    <row r="333" spans="1:17" ht="12.95" customHeight="1" thickBot="1">
      <c r="B333" s="21">
        <v>44525</v>
      </c>
      <c r="C333" s="39">
        <v>16417131</v>
      </c>
      <c r="D333" s="22">
        <v>5703279</v>
      </c>
      <c r="E333" s="23">
        <v>307315</v>
      </c>
      <c r="F333" s="24">
        <v>43228</v>
      </c>
      <c r="G333" s="25">
        <v>380613</v>
      </c>
      <c r="H333" s="26">
        <f t="shared" si="105"/>
        <v>0</v>
      </c>
      <c r="I333" s="26">
        <f t="shared" si="105"/>
        <v>1983</v>
      </c>
      <c r="J333" s="26">
        <f t="shared" si="105"/>
        <v>171</v>
      </c>
      <c r="K333" s="26">
        <f t="shared" si="105"/>
        <v>251</v>
      </c>
      <c r="L333" s="27">
        <f t="shared" si="105"/>
        <v>258</v>
      </c>
      <c r="M333" s="28">
        <f t="shared" si="106"/>
        <v>2405</v>
      </c>
      <c r="N333" s="191"/>
      <c r="O333" s="191"/>
      <c r="Q333" s="19">
        <f t="shared" si="104"/>
        <v>0</v>
      </c>
    </row>
    <row r="334" spans="1:17" ht="12.95" customHeight="1" thickBot="1">
      <c r="B334" s="21">
        <v>44526</v>
      </c>
      <c r="C334" s="39">
        <v>16417131</v>
      </c>
      <c r="D334" s="22">
        <v>5705367</v>
      </c>
      <c r="E334" s="23">
        <v>307501</v>
      </c>
      <c r="F334" s="24">
        <v>43459</v>
      </c>
      <c r="G334" s="25">
        <v>380816</v>
      </c>
      <c r="H334" s="26">
        <f t="shared" si="105"/>
        <v>0</v>
      </c>
      <c r="I334" s="26">
        <f t="shared" si="105"/>
        <v>2088</v>
      </c>
      <c r="J334" s="26">
        <f t="shared" si="105"/>
        <v>186</v>
      </c>
      <c r="K334" s="26">
        <f t="shared" si="105"/>
        <v>231</v>
      </c>
      <c r="L334" s="27">
        <f t="shared" si="105"/>
        <v>203</v>
      </c>
      <c r="M334" s="28">
        <f t="shared" si="106"/>
        <v>2505</v>
      </c>
      <c r="N334" s="30">
        <f>AVERAGE(L309:L338)</f>
        <v>237.93333333333334</v>
      </c>
      <c r="O334" s="30">
        <f>AVERAGE(M309:M338)</f>
        <v>1984.9</v>
      </c>
      <c r="Q334" s="19">
        <f t="shared" si="104"/>
        <v>0</v>
      </c>
    </row>
    <row r="335" spans="1:17" ht="12.95" customHeight="1">
      <c r="B335" s="21">
        <v>44527</v>
      </c>
      <c r="C335" s="39">
        <v>16417131</v>
      </c>
      <c r="D335" s="22">
        <v>5707588</v>
      </c>
      <c r="E335" s="23">
        <v>307686</v>
      </c>
      <c r="F335" s="24">
        <v>43707</v>
      </c>
      <c r="G335" s="25">
        <v>381033</v>
      </c>
      <c r="H335" s="26">
        <f t="shared" si="105"/>
        <v>0</v>
      </c>
      <c r="I335" s="26">
        <f t="shared" si="105"/>
        <v>2221</v>
      </c>
      <c r="J335" s="26">
        <f t="shared" si="105"/>
        <v>185</v>
      </c>
      <c r="K335" s="26">
        <f t="shared" si="105"/>
        <v>248</v>
      </c>
      <c r="L335" s="27">
        <f t="shared" si="105"/>
        <v>217</v>
      </c>
      <c r="M335" s="28">
        <f t="shared" si="106"/>
        <v>2654</v>
      </c>
      <c r="O335" s="19">
        <f>IF(L335="",1,0)</f>
        <v>0</v>
      </c>
    </row>
    <row r="336" spans="1:17" ht="12.95" customHeight="1">
      <c r="B336" s="21">
        <v>44528</v>
      </c>
      <c r="C336" s="39">
        <v>16417131</v>
      </c>
      <c r="D336" s="22">
        <v>5709512</v>
      </c>
      <c r="E336" s="23">
        <v>307855</v>
      </c>
      <c r="F336" s="24">
        <v>43974</v>
      </c>
      <c r="G336" s="25">
        <v>381224</v>
      </c>
      <c r="H336" s="26">
        <f t="shared" si="105"/>
        <v>0</v>
      </c>
      <c r="I336" s="26">
        <f t="shared" si="105"/>
        <v>1924</v>
      </c>
      <c r="J336" s="26">
        <f>IF(E336="","",+(E336-E335))</f>
        <v>169</v>
      </c>
      <c r="K336" s="26">
        <f t="shared" si="105"/>
        <v>267</v>
      </c>
      <c r="L336" s="27">
        <f t="shared" si="105"/>
        <v>191</v>
      </c>
      <c r="M336" s="28">
        <f t="shared" si="106"/>
        <v>2360</v>
      </c>
      <c r="O336" s="19">
        <f>IF(L336="",1,0)</f>
        <v>0</v>
      </c>
    </row>
    <row r="337" spans="2:19" ht="12.95" customHeight="1">
      <c r="B337" s="21">
        <v>44529</v>
      </c>
      <c r="C337" s="39">
        <v>16417131</v>
      </c>
      <c r="D337" s="22">
        <v>5711322</v>
      </c>
      <c r="E337" s="23">
        <v>308007</v>
      </c>
      <c r="F337" s="24">
        <v>44190</v>
      </c>
      <c r="G337" s="25">
        <v>381416</v>
      </c>
      <c r="H337" s="26">
        <f t="shared" si="105"/>
        <v>0</v>
      </c>
      <c r="I337" s="26">
        <f t="shared" si="105"/>
        <v>1810</v>
      </c>
      <c r="J337" s="26">
        <f>IF(E337="","",+(E337-E336))</f>
        <v>152</v>
      </c>
      <c r="K337" s="26">
        <f t="shared" si="105"/>
        <v>216</v>
      </c>
      <c r="L337" s="27">
        <f>IF(G337="","",+(G337-G336))</f>
        <v>192</v>
      </c>
      <c r="M337" s="28">
        <f t="shared" si="106"/>
        <v>2178</v>
      </c>
      <c r="O337" s="19">
        <f>IF(L337="",1,0)</f>
        <v>0</v>
      </c>
    </row>
    <row r="338" spans="2:19" ht="12.95" customHeight="1">
      <c r="B338" s="21">
        <v>44530</v>
      </c>
      <c r="C338" s="32">
        <v>16417223</v>
      </c>
      <c r="D338" s="32">
        <v>5713146</v>
      </c>
      <c r="E338" s="32">
        <v>308159</v>
      </c>
      <c r="F338" s="32">
        <v>44388</v>
      </c>
      <c r="G338" s="32">
        <v>381611</v>
      </c>
      <c r="H338" s="33">
        <f t="shared" si="105"/>
        <v>92</v>
      </c>
      <c r="I338" s="37">
        <f t="shared" si="105"/>
        <v>1824</v>
      </c>
      <c r="J338" s="33">
        <f t="shared" si="105"/>
        <v>152</v>
      </c>
      <c r="K338" s="33">
        <f t="shared" si="105"/>
        <v>198</v>
      </c>
      <c r="L338" s="34">
        <f t="shared" si="105"/>
        <v>195</v>
      </c>
      <c r="M338" s="33">
        <f t="shared" si="106"/>
        <v>2266</v>
      </c>
      <c r="Q338" s="19">
        <f t="shared" si="104"/>
        <v>0</v>
      </c>
    </row>
    <row r="339" spans="2:19" ht="12.95" customHeight="1">
      <c r="B339" s="21">
        <v>44531</v>
      </c>
      <c r="C339" s="39">
        <v>16417736</v>
      </c>
      <c r="D339" s="22">
        <v>5715081</v>
      </c>
      <c r="E339" s="23">
        <v>308344</v>
      </c>
      <c r="F339" s="24">
        <v>44594</v>
      </c>
      <c r="G339" s="25">
        <v>381825</v>
      </c>
      <c r="H339" s="26">
        <f t="shared" si="105"/>
        <v>513</v>
      </c>
      <c r="I339" s="26">
        <f t="shared" si="105"/>
        <v>1935</v>
      </c>
      <c r="J339" s="26">
        <f t="shared" si="105"/>
        <v>185</v>
      </c>
      <c r="K339" s="26">
        <f t="shared" si="105"/>
        <v>206</v>
      </c>
      <c r="L339" s="27">
        <f t="shared" si="105"/>
        <v>214</v>
      </c>
      <c r="M339" s="28">
        <f t="shared" si="106"/>
        <v>2839</v>
      </c>
      <c r="Q339" s="19">
        <f t="shared" si="104"/>
        <v>0</v>
      </c>
    </row>
    <row r="340" spans="2:19" ht="12.95" customHeight="1">
      <c r="B340" s="21">
        <v>44532</v>
      </c>
      <c r="C340" s="39">
        <v>16417736</v>
      </c>
      <c r="D340" s="22">
        <v>5717244</v>
      </c>
      <c r="E340" s="23">
        <v>308523</v>
      </c>
      <c r="F340" s="24">
        <v>44893</v>
      </c>
      <c r="G340" s="25">
        <v>382058</v>
      </c>
      <c r="H340" s="26">
        <f t="shared" si="105"/>
        <v>0</v>
      </c>
      <c r="I340" s="26">
        <f t="shared" si="105"/>
        <v>2163</v>
      </c>
      <c r="J340" s="26">
        <f t="shared" si="105"/>
        <v>179</v>
      </c>
      <c r="K340" s="26">
        <f t="shared" si="105"/>
        <v>299</v>
      </c>
      <c r="L340" s="27">
        <f t="shared" si="105"/>
        <v>233</v>
      </c>
      <c r="M340" s="28">
        <f t="shared" si="106"/>
        <v>2641</v>
      </c>
      <c r="Q340" s="19">
        <f t="shared" si="104"/>
        <v>0</v>
      </c>
    </row>
    <row r="341" spans="2:19" ht="12.95" customHeight="1">
      <c r="B341" s="21">
        <v>44533</v>
      </c>
      <c r="C341" s="39">
        <v>16417736</v>
      </c>
      <c r="D341" s="22">
        <v>5719276</v>
      </c>
      <c r="E341" s="23">
        <v>308680</v>
      </c>
      <c r="F341" s="24">
        <v>45003</v>
      </c>
      <c r="G341" s="25">
        <v>382275</v>
      </c>
      <c r="H341" s="26">
        <f t="shared" si="105"/>
        <v>0</v>
      </c>
      <c r="I341" s="26">
        <f t="shared" si="105"/>
        <v>2032</v>
      </c>
      <c r="J341" s="26">
        <f t="shared" si="105"/>
        <v>157</v>
      </c>
      <c r="K341" s="26">
        <f t="shared" si="105"/>
        <v>110</v>
      </c>
      <c r="L341" s="27">
        <f t="shared" si="105"/>
        <v>217</v>
      </c>
      <c r="M341" s="28">
        <f t="shared" si="106"/>
        <v>2299</v>
      </c>
      <c r="Q341" s="19">
        <f t="shared" si="104"/>
        <v>0</v>
      </c>
    </row>
    <row r="342" spans="2:19" ht="12.95" customHeight="1">
      <c r="B342" s="21">
        <v>44534</v>
      </c>
      <c r="C342" s="39">
        <v>16417736</v>
      </c>
      <c r="D342" s="22">
        <v>5721198</v>
      </c>
      <c r="E342" s="23">
        <v>308880</v>
      </c>
      <c r="F342" s="24">
        <v>45214</v>
      </c>
      <c r="G342" s="25">
        <v>382484</v>
      </c>
      <c r="H342" s="26">
        <f t="shared" si="105"/>
        <v>0</v>
      </c>
      <c r="I342" s="26">
        <f t="shared" si="105"/>
        <v>1922</v>
      </c>
      <c r="J342" s="26">
        <f t="shared" si="105"/>
        <v>200</v>
      </c>
      <c r="K342" s="26">
        <f t="shared" si="105"/>
        <v>211</v>
      </c>
      <c r="L342" s="27">
        <f t="shared" si="105"/>
        <v>209</v>
      </c>
      <c r="M342" s="28">
        <f t="shared" si="106"/>
        <v>2333</v>
      </c>
      <c r="Q342" s="19">
        <f t="shared" si="104"/>
        <v>0</v>
      </c>
    </row>
    <row r="343" spans="2:19" ht="12.95" customHeight="1">
      <c r="B343" s="21">
        <v>44535</v>
      </c>
      <c r="C343" s="39">
        <v>16417736</v>
      </c>
      <c r="D343" s="22">
        <v>5722249</v>
      </c>
      <c r="E343" s="23">
        <v>309033</v>
      </c>
      <c r="F343" s="24">
        <v>45445</v>
      </c>
      <c r="G343" s="25">
        <v>382659</v>
      </c>
      <c r="H343" s="26">
        <f t="shared" si="105"/>
        <v>0</v>
      </c>
      <c r="I343" s="26">
        <f t="shared" si="105"/>
        <v>1051</v>
      </c>
      <c r="J343" s="26">
        <f t="shared" si="105"/>
        <v>153</v>
      </c>
      <c r="K343" s="26">
        <f t="shared" si="105"/>
        <v>231</v>
      </c>
      <c r="L343" s="27">
        <f t="shared" si="105"/>
        <v>175</v>
      </c>
      <c r="M343" s="28">
        <f t="shared" si="106"/>
        <v>1435</v>
      </c>
      <c r="Q343" s="19">
        <f t="shared" si="104"/>
        <v>0</v>
      </c>
    </row>
    <row r="344" spans="2:19" ht="12.95" customHeight="1">
      <c r="B344" s="21">
        <v>44536</v>
      </c>
      <c r="C344" s="39">
        <v>16417736</v>
      </c>
      <c r="D344" s="22">
        <v>5725293</v>
      </c>
      <c r="E344" s="23">
        <v>309206</v>
      </c>
      <c r="F344" s="24">
        <v>45643</v>
      </c>
      <c r="G344" s="25">
        <v>382838</v>
      </c>
      <c r="H344" s="26">
        <f t="shared" si="105"/>
        <v>0</v>
      </c>
      <c r="I344" s="26">
        <f t="shared" si="105"/>
        <v>3044</v>
      </c>
      <c r="J344" s="26">
        <f t="shared" ref="J344:J347" si="107">IF(E344="","",+(E344-E343))</f>
        <v>173</v>
      </c>
      <c r="K344" s="26">
        <f t="shared" si="105"/>
        <v>198</v>
      </c>
      <c r="L344" s="27">
        <f t="shared" si="105"/>
        <v>179</v>
      </c>
      <c r="M344" s="28">
        <f t="shared" si="106"/>
        <v>3415</v>
      </c>
      <c r="Q344" s="19">
        <f t="shared" ref="Q344:Q369" si="108">IF(L344="",1,0)</f>
        <v>0</v>
      </c>
    </row>
    <row r="345" spans="2:19" ht="12.95" customHeight="1">
      <c r="B345" s="21">
        <v>44537</v>
      </c>
      <c r="C345" s="39">
        <v>16417736</v>
      </c>
      <c r="D345" s="22">
        <v>5727418</v>
      </c>
      <c r="E345" s="23">
        <v>309380</v>
      </c>
      <c r="F345" s="24">
        <v>45825</v>
      </c>
      <c r="G345" s="25">
        <v>383040</v>
      </c>
      <c r="H345" s="26">
        <f t="shared" si="105"/>
        <v>0</v>
      </c>
      <c r="I345" s="26">
        <f t="shared" si="105"/>
        <v>2125</v>
      </c>
      <c r="J345" s="26">
        <f t="shared" si="107"/>
        <v>174</v>
      </c>
      <c r="K345" s="26">
        <f t="shared" si="105"/>
        <v>182</v>
      </c>
      <c r="L345" s="27">
        <f t="shared" si="105"/>
        <v>202</v>
      </c>
      <c r="M345" s="28">
        <f t="shared" si="106"/>
        <v>2481</v>
      </c>
      <c r="Q345" s="19">
        <f t="shared" si="108"/>
        <v>0</v>
      </c>
    </row>
    <row r="346" spans="2:19" ht="12.95" customHeight="1">
      <c r="B346" s="21">
        <v>44538</v>
      </c>
      <c r="C346" s="39">
        <v>16417736</v>
      </c>
      <c r="D346" s="22">
        <v>5729266</v>
      </c>
      <c r="E346" s="23">
        <v>309551</v>
      </c>
      <c r="F346" s="24">
        <v>46003</v>
      </c>
      <c r="G346" s="25">
        <v>383227</v>
      </c>
      <c r="H346" s="26">
        <f t="shared" si="105"/>
        <v>0</v>
      </c>
      <c r="I346" s="26">
        <f t="shared" si="105"/>
        <v>1848</v>
      </c>
      <c r="J346" s="26">
        <f t="shared" si="107"/>
        <v>171</v>
      </c>
      <c r="K346" s="26">
        <f t="shared" si="105"/>
        <v>178</v>
      </c>
      <c r="L346" s="27">
        <f t="shared" si="105"/>
        <v>187</v>
      </c>
      <c r="M346" s="28">
        <f t="shared" si="106"/>
        <v>2197</v>
      </c>
      <c r="Q346" s="19">
        <f t="shared" si="108"/>
        <v>0</v>
      </c>
    </row>
    <row r="347" spans="2:19" ht="12.95" customHeight="1">
      <c r="B347" s="21">
        <v>44539</v>
      </c>
      <c r="C347" s="39">
        <v>16417736</v>
      </c>
      <c r="D347" s="22">
        <v>5731145</v>
      </c>
      <c r="E347" s="23">
        <v>309706</v>
      </c>
      <c r="F347" s="24">
        <v>46185</v>
      </c>
      <c r="G347" s="25">
        <v>383425</v>
      </c>
      <c r="H347" s="26">
        <f t="shared" si="105"/>
        <v>0</v>
      </c>
      <c r="I347" s="26">
        <f t="shared" si="105"/>
        <v>1879</v>
      </c>
      <c r="J347" s="26">
        <f t="shared" si="107"/>
        <v>155</v>
      </c>
      <c r="K347" s="26">
        <f t="shared" si="105"/>
        <v>182</v>
      </c>
      <c r="L347" s="27">
        <f t="shared" si="105"/>
        <v>198</v>
      </c>
      <c r="M347" s="28">
        <f t="shared" si="106"/>
        <v>2216</v>
      </c>
      <c r="Q347" s="19">
        <f t="shared" si="108"/>
        <v>0</v>
      </c>
    </row>
    <row r="348" spans="2:19" ht="12.95" customHeight="1">
      <c r="B348" s="21">
        <v>44540</v>
      </c>
      <c r="C348" s="39">
        <v>16417736</v>
      </c>
      <c r="D348" s="22">
        <v>5732913</v>
      </c>
      <c r="E348" s="23">
        <v>309833</v>
      </c>
      <c r="F348" s="24">
        <v>46395</v>
      </c>
      <c r="G348" s="25">
        <v>383605</v>
      </c>
      <c r="H348" s="26">
        <f t="shared" si="105"/>
        <v>0</v>
      </c>
      <c r="I348" s="26">
        <f t="shared" si="105"/>
        <v>1768</v>
      </c>
      <c r="J348" s="26">
        <f t="shared" si="105"/>
        <v>127</v>
      </c>
      <c r="K348" s="26">
        <f t="shared" si="105"/>
        <v>210</v>
      </c>
      <c r="L348" s="27">
        <f t="shared" si="105"/>
        <v>180</v>
      </c>
      <c r="M348" s="28">
        <f t="shared" si="106"/>
        <v>2105</v>
      </c>
      <c r="Q348" s="19">
        <f t="shared" si="108"/>
        <v>0</v>
      </c>
    </row>
    <row r="349" spans="2:19" ht="12.95" customHeight="1">
      <c r="B349" s="21">
        <v>44541</v>
      </c>
      <c r="C349" s="39">
        <v>16417736</v>
      </c>
      <c r="D349" s="22">
        <v>5734655</v>
      </c>
      <c r="E349" s="23">
        <v>309948</v>
      </c>
      <c r="F349" s="24">
        <v>46621</v>
      </c>
      <c r="G349" s="25">
        <v>383790</v>
      </c>
      <c r="H349" s="26">
        <f t="shared" si="105"/>
        <v>0</v>
      </c>
      <c r="I349" s="26">
        <f t="shared" si="105"/>
        <v>1742</v>
      </c>
      <c r="J349" s="26">
        <f t="shared" si="105"/>
        <v>115</v>
      </c>
      <c r="K349" s="26">
        <f t="shared" si="105"/>
        <v>226</v>
      </c>
      <c r="L349" s="27">
        <f t="shared" si="105"/>
        <v>185</v>
      </c>
      <c r="M349" s="28">
        <f t="shared" si="106"/>
        <v>2083</v>
      </c>
      <c r="Q349" s="19">
        <f t="shared" si="108"/>
        <v>0</v>
      </c>
      <c r="S349" s="182" t="s">
        <v>78</v>
      </c>
    </row>
    <row r="350" spans="2:19" ht="12.95" customHeight="1">
      <c r="B350" s="21">
        <v>44542</v>
      </c>
      <c r="C350" s="39">
        <v>16418987</v>
      </c>
      <c r="D350" s="22">
        <v>5736328</v>
      </c>
      <c r="E350" s="23">
        <v>310061</v>
      </c>
      <c r="F350" s="24">
        <v>46834</v>
      </c>
      <c r="G350" s="25">
        <v>383992</v>
      </c>
      <c r="H350" s="26">
        <f t="shared" si="105"/>
        <v>1251</v>
      </c>
      <c r="I350" s="26">
        <f t="shared" si="105"/>
        <v>1673</v>
      </c>
      <c r="J350" s="26">
        <f t="shared" si="105"/>
        <v>113</v>
      </c>
      <c r="K350" s="26">
        <f t="shared" si="105"/>
        <v>213</v>
      </c>
      <c r="L350" s="27">
        <f t="shared" si="105"/>
        <v>202</v>
      </c>
      <c r="M350" s="28">
        <f t="shared" si="106"/>
        <v>3250</v>
      </c>
      <c r="Q350" s="19">
        <f t="shared" si="108"/>
        <v>0</v>
      </c>
    </row>
    <row r="351" spans="2:19" ht="12.95" customHeight="1">
      <c r="B351" s="21">
        <v>44543</v>
      </c>
      <c r="C351" s="39">
        <v>16423032</v>
      </c>
      <c r="D351" s="22">
        <v>5737722</v>
      </c>
      <c r="E351" s="23">
        <v>310183</v>
      </c>
      <c r="F351" s="24">
        <v>47008</v>
      </c>
      <c r="G351" s="25">
        <v>384145</v>
      </c>
      <c r="H351" s="26">
        <f t="shared" si="105"/>
        <v>4045</v>
      </c>
      <c r="I351" s="26">
        <f t="shared" si="105"/>
        <v>1394</v>
      </c>
      <c r="J351" s="26">
        <f t="shared" si="105"/>
        <v>122</v>
      </c>
      <c r="K351" s="26">
        <f t="shared" si="105"/>
        <v>174</v>
      </c>
      <c r="L351" s="27">
        <f t="shared" si="105"/>
        <v>153</v>
      </c>
      <c r="M351" s="28">
        <f t="shared" si="106"/>
        <v>5735</v>
      </c>
      <c r="Q351" s="19">
        <f t="shared" si="108"/>
        <v>0</v>
      </c>
    </row>
    <row r="352" spans="2:19" ht="12.95" customHeight="1">
      <c r="B352" s="21">
        <v>44544</v>
      </c>
      <c r="C352" s="39">
        <v>16423032</v>
      </c>
      <c r="D352" s="22">
        <v>5739877</v>
      </c>
      <c r="E352" s="23">
        <v>310308</v>
      </c>
      <c r="F352" s="24">
        <v>47192</v>
      </c>
      <c r="G352" s="25">
        <v>384339</v>
      </c>
      <c r="H352" s="26">
        <f t="shared" si="105"/>
        <v>0</v>
      </c>
      <c r="I352" s="26">
        <f t="shared" si="105"/>
        <v>2155</v>
      </c>
      <c r="J352" s="26">
        <f t="shared" si="105"/>
        <v>125</v>
      </c>
      <c r="K352" s="26">
        <f t="shared" si="105"/>
        <v>184</v>
      </c>
      <c r="L352" s="27">
        <f t="shared" si="105"/>
        <v>194</v>
      </c>
      <c r="M352" s="28">
        <f t="shared" si="106"/>
        <v>2464</v>
      </c>
      <c r="Q352" s="19">
        <f t="shared" si="108"/>
        <v>0</v>
      </c>
    </row>
    <row r="353" spans="2:17" ht="12.95" customHeight="1">
      <c r="B353" s="21">
        <v>44545</v>
      </c>
      <c r="C353" s="39">
        <v>16423032</v>
      </c>
      <c r="D353" s="22">
        <v>5741791</v>
      </c>
      <c r="E353" s="23">
        <v>310465</v>
      </c>
      <c r="F353" s="24">
        <v>47394</v>
      </c>
      <c r="G353" s="25">
        <v>384534</v>
      </c>
      <c r="H353" s="26">
        <f t="shared" si="105"/>
        <v>0</v>
      </c>
      <c r="I353" s="26">
        <f t="shared" si="105"/>
        <v>1914</v>
      </c>
      <c r="J353" s="26">
        <f t="shared" si="105"/>
        <v>157</v>
      </c>
      <c r="K353" s="26">
        <f>IF(F353="","",+(F353-F352))</f>
        <v>202</v>
      </c>
      <c r="L353" s="27">
        <f t="shared" si="105"/>
        <v>195</v>
      </c>
      <c r="M353" s="28">
        <f t="shared" si="106"/>
        <v>2273</v>
      </c>
      <c r="Q353" s="19">
        <f t="shared" si="108"/>
        <v>0</v>
      </c>
    </row>
    <row r="354" spans="2:17" ht="12.95" customHeight="1">
      <c r="B354" s="21">
        <v>44546</v>
      </c>
      <c r="C354" s="39">
        <v>16423032</v>
      </c>
      <c r="D354" s="22">
        <v>5743562</v>
      </c>
      <c r="E354" s="23">
        <v>310625</v>
      </c>
      <c r="F354" s="24">
        <v>47603</v>
      </c>
      <c r="G354" s="25">
        <v>384777</v>
      </c>
      <c r="H354" s="26">
        <f t="shared" si="105"/>
        <v>0</v>
      </c>
      <c r="I354" s="26">
        <f t="shared" si="105"/>
        <v>1771</v>
      </c>
      <c r="J354" s="26">
        <f t="shared" si="105"/>
        <v>160</v>
      </c>
      <c r="K354" s="26">
        <f t="shared" si="105"/>
        <v>209</v>
      </c>
      <c r="L354" s="27">
        <f t="shared" si="105"/>
        <v>243</v>
      </c>
      <c r="M354" s="28">
        <f t="shared" si="106"/>
        <v>2140</v>
      </c>
      <c r="Q354" s="19">
        <f t="shared" si="108"/>
        <v>0</v>
      </c>
    </row>
    <row r="355" spans="2:17" ht="12.95" customHeight="1">
      <c r="B355" s="21">
        <v>44547</v>
      </c>
      <c r="C355" s="39">
        <v>16423032</v>
      </c>
      <c r="D355" s="22">
        <v>5745211</v>
      </c>
      <c r="E355" s="23">
        <v>310751</v>
      </c>
      <c r="F355" s="24">
        <v>47822</v>
      </c>
      <c r="G355" s="25">
        <v>385003</v>
      </c>
      <c r="H355" s="26">
        <f t="shared" si="105"/>
        <v>0</v>
      </c>
      <c r="I355" s="26">
        <f t="shared" si="105"/>
        <v>1649</v>
      </c>
      <c r="J355" s="26">
        <f t="shared" si="105"/>
        <v>126</v>
      </c>
      <c r="K355" s="26">
        <f t="shared" si="105"/>
        <v>219</v>
      </c>
      <c r="L355" s="27">
        <f t="shared" si="105"/>
        <v>226</v>
      </c>
      <c r="M355" s="28">
        <f t="shared" si="106"/>
        <v>1994</v>
      </c>
      <c r="Q355" s="19">
        <f t="shared" si="108"/>
        <v>0</v>
      </c>
    </row>
    <row r="356" spans="2:17" ht="12.95" customHeight="1">
      <c r="B356" s="21">
        <v>44548</v>
      </c>
      <c r="C356" s="39">
        <v>16423032</v>
      </c>
      <c r="D356" s="22">
        <v>5747363</v>
      </c>
      <c r="E356" s="23">
        <v>310883</v>
      </c>
      <c r="F356" s="24">
        <v>48025</v>
      </c>
      <c r="G356" s="25">
        <v>385221</v>
      </c>
      <c r="H356" s="26">
        <f t="shared" si="105"/>
        <v>0</v>
      </c>
      <c r="I356" s="26">
        <f t="shared" si="105"/>
        <v>2152</v>
      </c>
      <c r="J356" s="26">
        <f t="shared" si="105"/>
        <v>132</v>
      </c>
      <c r="K356" s="26">
        <f t="shared" si="105"/>
        <v>203</v>
      </c>
      <c r="L356" s="27">
        <f t="shared" si="105"/>
        <v>218</v>
      </c>
      <c r="M356" s="28">
        <f t="shared" si="106"/>
        <v>2487</v>
      </c>
      <c r="Q356" s="19">
        <f t="shared" si="108"/>
        <v>0</v>
      </c>
    </row>
    <row r="357" spans="2:17" ht="12.95" customHeight="1">
      <c r="B357" s="21">
        <v>44549</v>
      </c>
      <c r="C357" s="39">
        <v>16423032</v>
      </c>
      <c r="D357" s="22">
        <v>5749942</v>
      </c>
      <c r="E357" s="23">
        <v>311003</v>
      </c>
      <c r="F357" s="24">
        <v>48256</v>
      </c>
      <c r="G357" s="25">
        <v>385427</v>
      </c>
      <c r="H357" s="26">
        <f t="shared" si="105"/>
        <v>0</v>
      </c>
      <c r="I357" s="26">
        <f t="shared" si="105"/>
        <v>2579</v>
      </c>
      <c r="J357" s="26">
        <f t="shared" si="105"/>
        <v>120</v>
      </c>
      <c r="K357" s="26">
        <f t="shared" si="105"/>
        <v>231</v>
      </c>
      <c r="L357" s="27">
        <f t="shared" si="105"/>
        <v>206</v>
      </c>
      <c r="M357" s="28">
        <f t="shared" si="106"/>
        <v>2930</v>
      </c>
      <c r="Q357" s="19">
        <f t="shared" si="108"/>
        <v>0</v>
      </c>
    </row>
    <row r="358" spans="2:17" ht="12.95" customHeight="1" thickBot="1">
      <c r="B358" s="21">
        <v>44550</v>
      </c>
      <c r="C358" s="39">
        <v>16423032</v>
      </c>
      <c r="D358" s="22">
        <v>5752355</v>
      </c>
      <c r="E358" s="23">
        <v>311152</v>
      </c>
      <c r="F358" s="24">
        <v>48429</v>
      </c>
      <c r="G358" s="25">
        <v>385619</v>
      </c>
      <c r="H358" s="26">
        <f t="shared" si="105"/>
        <v>0</v>
      </c>
      <c r="I358" s="26">
        <f t="shared" si="105"/>
        <v>2413</v>
      </c>
      <c r="J358" s="26">
        <f t="shared" si="105"/>
        <v>149</v>
      </c>
      <c r="K358" s="26">
        <f t="shared" si="105"/>
        <v>173</v>
      </c>
      <c r="L358" s="27">
        <f t="shared" si="105"/>
        <v>192</v>
      </c>
      <c r="M358" s="28">
        <f t="shared" si="106"/>
        <v>2735</v>
      </c>
      <c r="Q358" s="19">
        <f t="shared" si="108"/>
        <v>0</v>
      </c>
    </row>
    <row r="359" spans="2:17" ht="12.95" customHeight="1">
      <c r="B359" s="21">
        <v>44551</v>
      </c>
      <c r="C359" s="39">
        <v>16423625</v>
      </c>
      <c r="D359" s="22">
        <v>5754866</v>
      </c>
      <c r="E359" s="23">
        <v>311288</v>
      </c>
      <c r="F359" s="24">
        <v>48607</v>
      </c>
      <c r="G359" s="25">
        <v>385821</v>
      </c>
      <c r="H359" s="26">
        <f t="shared" si="105"/>
        <v>593</v>
      </c>
      <c r="I359" s="26">
        <f t="shared" si="105"/>
        <v>2511</v>
      </c>
      <c r="J359" s="26">
        <f t="shared" si="105"/>
        <v>136</v>
      </c>
      <c r="K359" s="26">
        <f t="shared" si="105"/>
        <v>178</v>
      </c>
      <c r="L359" s="27">
        <f t="shared" si="105"/>
        <v>202</v>
      </c>
      <c r="M359" s="28">
        <f t="shared" si="106"/>
        <v>3418</v>
      </c>
      <c r="N359" s="189" t="s">
        <v>68</v>
      </c>
      <c r="O359" s="189" t="s">
        <v>69</v>
      </c>
      <c r="Q359" s="19">
        <f t="shared" si="108"/>
        <v>0</v>
      </c>
    </row>
    <row r="360" spans="2:17" ht="12.95" customHeight="1">
      <c r="B360" s="21">
        <v>44552</v>
      </c>
      <c r="C360" s="39">
        <v>16424990</v>
      </c>
      <c r="D360" s="22">
        <v>5757013</v>
      </c>
      <c r="E360" s="23">
        <v>311450</v>
      </c>
      <c r="F360" s="24">
        <v>48806</v>
      </c>
      <c r="G360" s="25">
        <v>386048</v>
      </c>
      <c r="H360" s="26">
        <f t="shared" si="105"/>
        <v>1365</v>
      </c>
      <c r="I360" s="26">
        <f t="shared" si="105"/>
        <v>2147</v>
      </c>
      <c r="J360" s="26">
        <f t="shared" si="105"/>
        <v>162</v>
      </c>
      <c r="K360" s="26">
        <f t="shared" si="105"/>
        <v>199</v>
      </c>
      <c r="L360" s="27">
        <f t="shared" si="105"/>
        <v>227</v>
      </c>
      <c r="M360" s="28">
        <f t="shared" si="106"/>
        <v>3873</v>
      </c>
      <c r="N360" s="190"/>
      <c r="O360" s="190"/>
      <c r="Q360" s="19">
        <f t="shared" si="108"/>
        <v>0</v>
      </c>
    </row>
    <row r="361" spans="2:17" ht="12.95" customHeight="1" thickBot="1">
      <c r="B361" s="21">
        <v>44553</v>
      </c>
      <c r="C361" s="39">
        <v>16424990</v>
      </c>
      <c r="D361" s="22">
        <v>5759408</v>
      </c>
      <c r="E361" s="23">
        <v>311605</v>
      </c>
      <c r="F361" s="24">
        <v>49014</v>
      </c>
      <c r="G361" s="25">
        <v>386300</v>
      </c>
      <c r="H361" s="26">
        <f t="shared" si="105"/>
        <v>0</v>
      </c>
      <c r="I361" s="26">
        <f t="shared" si="105"/>
        <v>2395</v>
      </c>
      <c r="J361" s="26">
        <f t="shared" si="105"/>
        <v>155</v>
      </c>
      <c r="K361" s="26">
        <f t="shared" si="105"/>
        <v>208</v>
      </c>
      <c r="L361" s="27">
        <f t="shared" si="105"/>
        <v>252</v>
      </c>
      <c r="M361" s="28">
        <f t="shared" si="106"/>
        <v>2758</v>
      </c>
      <c r="N361" s="191"/>
      <c r="O361" s="191"/>
      <c r="Q361" s="19">
        <f t="shared" si="108"/>
        <v>0</v>
      </c>
    </row>
    <row r="362" spans="2:17" ht="12.95" customHeight="1" thickBot="1">
      <c r="B362" s="21">
        <v>44554</v>
      </c>
      <c r="C362" s="39">
        <v>16424990</v>
      </c>
      <c r="D362" s="22">
        <v>5761616</v>
      </c>
      <c r="E362" s="23">
        <v>311743</v>
      </c>
      <c r="F362" s="24">
        <v>49230</v>
      </c>
      <c r="G362" s="25">
        <v>386561</v>
      </c>
      <c r="H362" s="26">
        <f t="shared" si="105"/>
        <v>0</v>
      </c>
      <c r="I362" s="26">
        <f t="shared" si="105"/>
        <v>2208</v>
      </c>
      <c r="J362" s="26">
        <f t="shared" si="105"/>
        <v>138</v>
      </c>
      <c r="K362" s="26">
        <f t="shared" si="105"/>
        <v>216</v>
      </c>
      <c r="L362" s="27">
        <f t="shared" si="105"/>
        <v>261</v>
      </c>
      <c r="M362" s="28">
        <f t="shared" si="106"/>
        <v>2562</v>
      </c>
      <c r="N362" s="30">
        <f>SUM(L339:L369)</f>
        <v>6030</v>
      </c>
      <c r="O362" s="30">
        <f>SUM(M339:M369)</f>
        <v>76546</v>
      </c>
      <c r="Q362" s="19">
        <f t="shared" si="108"/>
        <v>0</v>
      </c>
    </row>
    <row r="363" spans="2:17" ht="12.95" customHeight="1">
      <c r="B363" s="21">
        <v>44555</v>
      </c>
      <c r="C363" s="39">
        <v>16424990</v>
      </c>
      <c r="D363" s="22">
        <v>5763899</v>
      </c>
      <c r="E363" s="23">
        <v>311882</v>
      </c>
      <c r="F363" s="24">
        <v>49450</v>
      </c>
      <c r="G363" s="25">
        <v>386796</v>
      </c>
      <c r="H363" s="26">
        <f t="shared" si="105"/>
        <v>0</v>
      </c>
      <c r="I363" s="26">
        <f t="shared" si="105"/>
        <v>2283</v>
      </c>
      <c r="J363" s="26">
        <f t="shared" si="105"/>
        <v>139</v>
      </c>
      <c r="K363" s="26">
        <f t="shared" si="105"/>
        <v>220</v>
      </c>
      <c r="L363" s="27">
        <f t="shared" si="105"/>
        <v>235</v>
      </c>
      <c r="M363" s="28">
        <f t="shared" si="106"/>
        <v>2642</v>
      </c>
      <c r="N363" s="189" t="s">
        <v>70</v>
      </c>
      <c r="O363" s="189" t="s">
        <v>71</v>
      </c>
      <c r="Q363" s="19">
        <f t="shared" si="108"/>
        <v>0</v>
      </c>
    </row>
    <row r="364" spans="2:17" ht="12.95" customHeight="1" thickBot="1">
      <c r="B364" s="21">
        <v>44556</v>
      </c>
      <c r="C364" s="39">
        <v>16424990</v>
      </c>
      <c r="D364" s="22">
        <v>5765792</v>
      </c>
      <c r="E364" s="23">
        <v>312028</v>
      </c>
      <c r="F364" s="24">
        <v>49670</v>
      </c>
      <c r="G364" s="25">
        <v>387032</v>
      </c>
      <c r="H364" s="26">
        <f t="shared" si="105"/>
        <v>0</v>
      </c>
      <c r="I364" s="26">
        <f t="shared" si="105"/>
        <v>1893</v>
      </c>
      <c r="J364" s="26">
        <f t="shared" si="105"/>
        <v>146</v>
      </c>
      <c r="K364" s="26">
        <f t="shared" si="105"/>
        <v>220</v>
      </c>
      <c r="L364" s="27">
        <f t="shared" si="105"/>
        <v>236</v>
      </c>
      <c r="M364" s="28">
        <f t="shared" si="106"/>
        <v>2259</v>
      </c>
      <c r="N364" s="191"/>
      <c r="O364" s="191"/>
      <c r="Q364" s="19">
        <f t="shared" si="108"/>
        <v>0</v>
      </c>
    </row>
    <row r="365" spans="2:17" ht="12.95" customHeight="1" thickBot="1">
      <c r="B365" s="21">
        <v>44557</v>
      </c>
      <c r="C365" s="39">
        <v>16424990</v>
      </c>
      <c r="D365" s="22">
        <v>5767659</v>
      </c>
      <c r="E365" s="23">
        <v>312155</v>
      </c>
      <c r="F365" s="24">
        <v>49863</v>
      </c>
      <c r="G365" s="25">
        <v>387231</v>
      </c>
      <c r="H365" s="26">
        <f t="shared" si="105"/>
        <v>0</v>
      </c>
      <c r="I365" s="26">
        <f t="shared" si="105"/>
        <v>1867</v>
      </c>
      <c r="J365" s="26">
        <f t="shared" si="105"/>
        <v>127</v>
      </c>
      <c r="K365" s="26">
        <f t="shared" si="105"/>
        <v>193</v>
      </c>
      <c r="L365" s="27">
        <f t="shared" si="105"/>
        <v>199</v>
      </c>
      <c r="M365" s="28">
        <f t="shared" si="106"/>
        <v>2187</v>
      </c>
      <c r="N365" s="30">
        <f>AVERAGE(L339:L369)</f>
        <v>207.93103448275863</v>
      </c>
      <c r="O365" s="30">
        <f>AVERAGE(M339:M369)</f>
        <v>2639.5172413793102</v>
      </c>
      <c r="Q365" s="19">
        <f t="shared" si="108"/>
        <v>0</v>
      </c>
    </row>
    <row r="366" spans="2:17" ht="12.95" customHeight="1">
      <c r="B366" s="21">
        <v>44558</v>
      </c>
      <c r="C366" s="39">
        <v>16424990</v>
      </c>
      <c r="D366" s="22">
        <v>5769669</v>
      </c>
      <c r="E366" s="23">
        <v>312335</v>
      </c>
      <c r="F366" s="24">
        <v>50077</v>
      </c>
      <c r="G366" s="25">
        <v>387427</v>
      </c>
      <c r="H366" s="26">
        <f t="shared" si="105"/>
        <v>0</v>
      </c>
      <c r="I366" s="26">
        <f t="shared" si="105"/>
        <v>2010</v>
      </c>
      <c r="J366" s="26">
        <f t="shared" si="105"/>
        <v>180</v>
      </c>
      <c r="K366" s="26">
        <f t="shared" si="105"/>
        <v>214</v>
      </c>
      <c r="L366" s="27">
        <f t="shared" si="105"/>
        <v>196</v>
      </c>
      <c r="M366" s="28">
        <f t="shared" si="106"/>
        <v>2404</v>
      </c>
      <c r="O366" s="19">
        <f>IF(L366="",1,0)</f>
        <v>0</v>
      </c>
    </row>
    <row r="367" spans="2:17" ht="12.95" customHeight="1">
      <c r="B367" s="21">
        <v>44559</v>
      </c>
      <c r="C367" s="39">
        <v>16424990</v>
      </c>
      <c r="D367" s="22">
        <v>5771675</v>
      </c>
      <c r="E367" s="23">
        <v>312515</v>
      </c>
      <c r="F367" s="24">
        <v>50282</v>
      </c>
      <c r="G367" s="25">
        <v>387641</v>
      </c>
      <c r="H367" s="26">
        <f t="shared" si="105"/>
        <v>0</v>
      </c>
      <c r="I367" s="26">
        <f t="shared" si="105"/>
        <v>2006</v>
      </c>
      <c r="J367" s="26">
        <f t="shared" si="105"/>
        <v>180</v>
      </c>
      <c r="K367" s="26">
        <f t="shared" si="105"/>
        <v>205</v>
      </c>
      <c r="L367" s="27">
        <f t="shared" si="105"/>
        <v>214</v>
      </c>
      <c r="M367" s="28">
        <f t="shared" si="106"/>
        <v>2391</v>
      </c>
      <c r="O367" s="19">
        <f>IF(L367="",1,0)</f>
        <v>0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0"/>
      <c r="D369" s="177"/>
      <c r="E369" s="177"/>
      <c r="F369" s="177"/>
      <c r="G369" s="177"/>
      <c r="H369" s="172"/>
      <c r="I369" s="172"/>
      <c r="J369" s="172"/>
      <c r="K369" s="172"/>
      <c r="L369" s="173"/>
      <c r="M369" s="174"/>
      <c r="Q369" s="19">
        <f t="shared" si="108"/>
        <v>1</v>
      </c>
    </row>
    <row r="383" spans="2:17">
      <c r="C383" s="182"/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CEBED28E-7EB1-4939-B257-E9DD061D19F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İlker Şark</cp:lastModifiedBy>
  <cp:revision/>
  <dcterms:created xsi:type="dcterms:W3CDTF">2021-02-26T04:38:42Z</dcterms:created>
  <dcterms:modified xsi:type="dcterms:W3CDTF">2022-12-30T06:01:44Z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