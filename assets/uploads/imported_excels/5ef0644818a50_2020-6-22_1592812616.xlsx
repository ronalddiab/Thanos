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 activeTab="1"/>
  </bookViews>
  <sheets>
    <sheet name="TOTAL" sheetId="13" r:id="rId1"/>
    <sheet name="Consommation du 01.06 au 30.06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01.06 au 30.06'!$A$1:$AE$49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2" i="4" l="1"/>
  <c r="E32" i="4"/>
  <c r="C32" i="4"/>
  <c r="G37" i="6"/>
  <c r="E37" i="6"/>
  <c r="C37" i="6"/>
  <c r="G31" i="4" l="1"/>
  <c r="E31" i="4"/>
  <c r="C31" i="4"/>
  <c r="G36" i="6"/>
  <c r="E36" i="6"/>
  <c r="C36" i="6"/>
  <c r="O11" i="10" l="1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32" i="10"/>
  <c r="O33" i="10"/>
  <c r="O34" i="10"/>
  <c r="O35" i="10"/>
  <c r="O36" i="10"/>
  <c r="O37" i="10"/>
  <c r="O38" i="10"/>
  <c r="O39" i="10"/>
  <c r="O40" i="10"/>
  <c r="O10" i="10"/>
  <c r="C29" i="4"/>
  <c r="E29" i="4"/>
  <c r="C30" i="4"/>
  <c r="E30" i="4"/>
  <c r="G33" i="6" l="1"/>
  <c r="E33" i="6"/>
  <c r="C33" i="6"/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G28" i="6" l="1"/>
  <c r="E28" i="6"/>
  <c r="C28" i="6"/>
  <c r="G27" i="6"/>
  <c r="E27" i="6"/>
  <c r="C27" i="6"/>
  <c r="G26" i="6" l="1"/>
  <c r="E26" i="6"/>
  <c r="C26" i="6"/>
  <c r="G25" i="6" l="1"/>
  <c r="E25" i="6"/>
  <c r="C25" i="6"/>
  <c r="G24" i="6" l="1"/>
  <c r="E24" i="6"/>
  <c r="C24" i="6"/>
  <c r="G23" i="6" l="1"/>
  <c r="E23" i="6"/>
  <c r="C23" i="6"/>
  <c r="G22" i="6" l="1"/>
  <c r="E22" i="6"/>
  <c r="C22" i="6"/>
  <c r="G21" i="6"/>
  <c r="E21" i="6"/>
  <c r="C21" i="6"/>
  <c r="G20" i="6"/>
  <c r="E20" i="6"/>
  <c r="C20" i="6"/>
  <c r="G19" i="6" l="1"/>
  <c r="E19" i="6"/>
  <c r="C19" i="6"/>
  <c r="G18" i="6" l="1"/>
  <c r="E18" i="6"/>
  <c r="C18" i="6"/>
  <c r="G17" i="6" l="1"/>
  <c r="E17" i="6"/>
  <c r="C17" i="6"/>
  <c r="J11" i="10" l="1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32" i="10"/>
  <c r="K33" i="10"/>
  <c r="J36" i="10"/>
  <c r="K37" i="10"/>
  <c r="J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33" i="10"/>
  <c r="D37" i="10"/>
  <c r="C34" i="6"/>
  <c r="D28" i="10" s="1"/>
  <c r="E34" i="6"/>
  <c r="J28" i="10" s="1"/>
  <c r="G34" i="6"/>
  <c r="K28" i="10" s="1"/>
  <c r="C35" i="6"/>
  <c r="D29" i="10" s="1"/>
  <c r="E35" i="6"/>
  <c r="J29" i="10" s="1"/>
  <c r="G35" i="6"/>
  <c r="K29" i="10" s="1"/>
  <c r="D30" i="10"/>
  <c r="J30" i="10"/>
  <c r="K30" i="10"/>
  <c r="D31" i="10"/>
  <c r="J31" i="10"/>
  <c r="K31" i="10"/>
  <c r="C38" i="6"/>
  <c r="D32" i="10" s="1"/>
  <c r="E38" i="6"/>
  <c r="G38" i="6"/>
  <c r="K32" i="10" s="1"/>
  <c r="C39" i="6"/>
  <c r="E39" i="6"/>
  <c r="J33" i="10" s="1"/>
  <c r="G39" i="6"/>
  <c r="C40" i="6"/>
  <c r="D34" i="10" s="1"/>
  <c r="E40" i="6"/>
  <c r="J34" i="10" s="1"/>
  <c r="G40" i="6"/>
  <c r="K34" i="10" s="1"/>
  <c r="C41" i="6"/>
  <c r="D35" i="10" s="1"/>
  <c r="E41" i="6"/>
  <c r="J35" i="10" s="1"/>
  <c r="G41" i="6"/>
  <c r="K35" i="10" s="1"/>
  <c r="C42" i="6"/>
  <c r="D36" i="10" s="1"/>
  <c r="E42" i="6"/>
  <c r="G42" i="6"/>
  <c r="K36" i="10" s="1"/>
  <c r="C43" i="6"/>
  <c r="E43" i="6"/>
  <c r="J37" i="10" s="1"/>
  <c r="G43" i="6"/>
  <c r="C44" i="6"/>
  <c r="D38" i="10" s="1"/>
  <c r="E44" i="6"/>
  <c r="J38" i="10" s="1"/>
  <c r="G44" i="6"/>
  <c r="K38" i="10" s="1"/>
  <c r="C45" i="6"/>
  <c r="D39" i="10" s="1"/>
  <c r="E45" i="6"/>
  <c r="J39" i="10" s="1"/>
  <c r="G45" i="6"/>
  <c r="K39" i="10" s="1"/>
  <c r="C46" i="6"/>
  <c r="D40" i="10" s="1"/>
  <c r="E46" i="6"/>
  <c r="G46" i="6"/>
  <c r="K40" i="10" s="1"/>
  <c r="C47" i="6"/>
  <c r="E47" i="6"/>
  <c r="G47" i="6"/>
  <c r="D11" i="10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G8" i="4"/>
  <c r="E8" i="4"/>
  <c r="C8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L11" i="10" s="1"/>
  <c r="I37" i="6"/>
  <c r="L31" i="10" s="1"/>
  <c r="O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Y14" i="10"/>
  <c r="I6" i="13" s="1"/>
  <c r="Y15" i="10"/>
  <c r="I7" i="13" s="1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Y32" i="10"/>
  <c r="I24" i="13" s="1"/>
  <c r="Y33" i="10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Z37" i="10"/>
  <c r="K3" i="13"/>
  <c r="B11" i="10"/>
  <c r="K6" i="13"/>
  <c r="M14" i="10"/>
  <c r="E6" i="13" s="1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L13" i="10" s="1"/>
  <c r="I20" i="6"/>
  <c r="L14" i="10" s="1"/>
  <c r="I21" i="6"/>
  <c r="L15" i="10" s="1"/>
  <c r="I22" i="6"/>
  <c r="L16" i="10" s="1"/>
  <c r="I23" i="6"/>
  <c r="L17" i="10" s="1"/>
  <c r="M17" i="10" s="1"/>
  <c r="E9" i="13" s="1"/>
  <c r="I24" i="6"/>
  <c r="I25" i="6"/>
  <c r="L19" i="10" s="1"/>
  <c r="I26" i="6"/>
  <c r="L20" i="10" s="1"/>
  <c r="M20" i="10" s="1"/>
  <c r="E12" i="13" s="1"/>
  <c r="I27" i="6"/>
  <c r="L21" i="10" s="1"/>
  <c r="M21" i="10" s="1"/>
  <c r="E13" i="13" s="1"/>
  <c r="I28" i="6"/>
  <c r="L22" i="10" s="1"/>
  <c r="I29" i="6"/>
  <c r="L23" i="10" s="1"/>
  <c r="I30" i="6"/>
  <c r="L24" i="10" s="1"/>
  <c r="I31" i="6"/>
  <c r="L25" i="10" s="1"/>
  <c r="M25" i="10" s="1"/>
  <c r="E17" i="13" s="1"/>
  <c r="I32" i="6"/>
  <c r="L26" i="10" s="1"/>
  <c r="I33" i="6"/>
  <c r="L27" i="10" s="1"/>
  <c r="I34" i="6"/>
  <c r="L28" i="10" s="1"/>
  <c r="I35" i="6"/>
  <c r="I36" i="6"/>
  <c r="L30" i="10" s="1"/>
  <c r="O30" i="10" s="1"/>
  <c r="I44" i="6"/>
  <c r="L38" i="10" s="1"/>
  <c r="I45" i="6"/>
  <c r="I46" i="6"/>
  <c r="L40" i="10" s="1"/>
  <c r="I47" i="6"/>
  <c r="J4" i="4"/>
  <c r="K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/>
  <c r="M8" i="4"/>
  <c r="AD8" i="4"/>
  <c r="AE8" i="4"/>
  <c r="J9" i="4"/>
  <c r="K9" i="4"/>
  <c r="L8" i="4" s="1"/>
  <c r="N8" i="4" s="1"/>
  <c r="O8" i="4" s="1"/>
  <c r="P8" i="4" s="1"/>
  <c r="M9" i="4"/>
  <c r="AC9" i="4"/>
  <c r="AD9" i="4"/>
  <c r="AE9" i="4"/>
  <c r="J10" i="4"/>
  <c r="K10" i="4" s="1"/>
  <c r="L9" i="4" s="1"/>
  <c r="N9" i="4" s="1"/>
  <c r="O9" i="4" s="1"/>
  <c r="P9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L39" i="4" s="1"/>
  <c r="N39" i="4" s="1"/>
  <c r="O39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E42" i="4" s="1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Z15" i="10"/>
  <c r="F26" i="10"/>
  <c r="F29" i="10"/>
  <c r="F31" i="10"/>
  <c r="F35" i="10"/>
  <c r="K2" i="13"/>
  <c r="F27" i="10"/>
  <c r="Z10" i="10"/>
  <c r="Z11" i="10"/>
  <c r="Z31" i="10"/>
  <c r="Z36" i="10"/>
  <c r="L4" i="4"/>
  <c r="N4" i="4" s="1"/>
  <c r="O4" i="4" s="1"/>
  <c r="P4" i="4" s="1"/>
  <c r="F33" i="10"/>
  <c r="F10" i="10"/>
  <c r="B12" i="10"/>
  <c r="K7" i="13"/>
  <c r="Z17" i="10"/>
  <c r="E48" i="6"/>
  <c r="K14" i="13"/>
  <c r="K16" i="13"/>
  <c r="Z29" i="10" l="1"/>
  <c r="L6" i="4"/>
  <c r="N6" i="4" s="1"/>
  <c r="O6" i="4" s="1"/>
  <c r="P6" i="4" s="1"/>
  <c r="L5" i="4"/>
  <c r="N5" i="4" s="1"/>
  <c r="O5" i="4" s="1"/>
  <c r="P5" i="4" s="1"/>
  <c r="E37" i="4"/>
  <c r="C37" i="4"/>
  <c r="G37" i="4"/>
  <c r="C22" i="4"/>
  <c r="G22" i="4"/>
  <c r="E22" i="4"/>
  <c r="I19" i="4"/>
  <c r="G19" i="4"/>
  <c r="E19" i="4"/>
  <c r="C19" i="4"/>
  <c r="G10" i="4"/>
  <c r="E10" i="4"/>
  <c r="C10" i="4"/>
  <c r="E4" i="4"/>
  <c r="C4" i="4"/>
  <c r="G4" i="4"/>
  <c r="M30" i="10"/>
  <c r="E22" i="13" s="1"/>
  <c r="L29" i="10"/>
  <c r="O29" i="10" s="1"/>
  <c r="I4" i="4"/>
  <c r="E41" i="4"/>
  <c r="G41" i="4"/>
  <c r="C41" i="4"/>
  <c r="I41" i="4"/>
  <c r="C36" i="4"/>
  <c r="G36" i="4"/>
  <c r="E36" i="4"/>
  <c r="E28" i="4"/>
  <c r="C28" i="4"/>
  <c r="G28" i="4"/>
  <c r="L25" i="4"/>
  <c r="N25" i="4" s="1"/>
  <c r="O25" i="4" s="1"/>
  <c r="U24" i="10" s="1"/>
  <c r="E24" i="4"/>
  <c r="G24" i="4"/>
  <c r="C24" i="4"/>
  <c r="I21" i="4"/>
  <c r="E21" i="4"/>
  <c r="C21" i="4"/>
  <c r="G21" i="4"/>
  <c r="G43" i="4" s="1"/>
  <c r="I18" i="4"/>
  <c r="G18" i="4"/>
  <c r="C18" i="4"/>
  <c r="E18" i="4"/>
  <c r="I15" i="4"/>
  <c r="E15" i="4"/>
  <c r="G15" i="4"/>
  <c r="C15" i="4"/>
  <c r="G13" i="4"/>
  <c r="E13" i="4"/>
  <c r="C13" i="4"/>
  <c r="G6" i="4"/>
  <c r="E6" i="4"/>
  <c r="C6" i="4"/>
  <c r="M40" i="10"/>
  <c r="L39" i="10"/>
  <c r="M39" i="10" s="1"/>
  <c r="E31" i="13" s="1"/>
  <c r="I6" i="4"/>
  <c r="Z38" i="10"/>
  <c r="W38" i="10"/>
  <c r="AJ38" i="10" s="1"/>
  <c r="AK38" i="10" s="1"/>
  <c r="U38" i="10"/>
  <c r="G30" i="13" s="1"/>
  <c r="E39" i="4"/>
  <c r="G39" i="4"/>
  <c r="C39" i="4"/>
  <c r="L36" i="4"/>
  <c r="N36" i="4" s="1"/>
  <c r="O36" i="4" s="1"/>
  <c r="U35" i="10" s="1"/>
  <c r="G27" i="13" s="1"/>
  <c r="C35" i="4"/>
  <c r="E35" i="4"/>
  <c r="G35" i="4"/>
  <c r="E27" i="4"/>
  <c r="G27" i="4"/>
  <c r="C27" i="4"/>
  <c r="L24" i="4"/>
  <c r="N24" i="4" s="1"/>
  <c r="O24" i="4" s="1"/>
  <c r="E23" i="4"/>
  <c r="C23" i="4"/>
  <c r="G23" i="4"/>
  <c r="L21" i="4"/>
  <c r="N21" i="4" s="1"/>
  <c r="O21" i="4" s="1"/>
  <c r="U20" i="10" s="1"/>
  <c r="I20" i="4"/>
  <c r="E20" i="4"/>
  <c r="C20" i="4"/>
  <c r="G20" i="4"/>
  <c r="I17" i="4"/>
  <c r="G17" i="4"/>
  <c r="E17" i="4"/>
  <c r="C17" i="4"/>
  <c r="E14" i="4"/>
  <c r="C14" i="4"/>
  <c r="G14" i="4"/>
  <c r="G12" i="4"/>
  <c r="E12" i="4"/>
  <c r="C12" i="4"/>
  <c r="L7" i="4"/>
  <c r="N7" i="4" s="1"/>
  <c r="O7" i="4" s="1"/>
  <c r="P7" i="4" s="1"/>
  <c r="L40" i="4"/>
  <c r="N40" i="4" s="1"/>
  <c r="O40" i="4" s="1"/>
  <c r="I14" i="4"/>
  <c r="I10" i="4"/>
  <c r="I27" i="4"/>
  <c r="Z34" i="10"/>
  <c r="G38" i="4"/>
  <c r="C38" i="4"/>
  <c r="E38" i="4"/>
  <c r="G34" i="4"/>
  <c r="E34" i="4"/>
  <c r="C34" i="4"/>
  <c r="G30" i="4"/>
  <c r="G26" i="4"/>
  <c r="E26" i="4"/>
  <c r="C26" i="4"/>
  <c r="L23" i="4"/>
  <c r="N23" i="4" s="1"/>
  <c r="O23" i="4" s="1"/>
  <c r="U22" i="10" s="1"/>
  <c r="L17" i="4"/>
  <c r="N17" i="4" s="1"/>
  <c r="O17" i="4" s="1"/>
  <c r="G16" i="4"/>
  <c r="C16" i="4"/>
  <c r="E16" i="4"/>
  <c r="L12" i="4"/>
  <c r="N12" i="4" s="1"/>
  <c r="O12" i="4" s="1"/>
  <c r="C11" i="4"/>
  <c r="G11" i="4"/>
  <c r="E11" i="4"/>
  <c r="E43" i="4" s="1"/>
  <c r="AC43" i="4"/>
  <c r="K48" i="4" s="1"/>
  <c r="L48" i="4" s="1"/>
  <c r="M48" i="4" s="1"/>
  <c r="G9" i="4"/>
  <c r="C9" i="4"/>
  <c r="E9" i="4"/>
  <c r="C7" i="4"/>
  <c r="G7" i="4"/>
  <c r="E7" i="4"/>
  <c r="I5" i="4"/>
  <c r="G5" i="4"/>
  <c r="C5" i="4"/>
  <c r="E5" i="4"/>
  <c r="Z20" i="10"/>
  <c r="C40" i="4"/>
  <c r="E40" i="4"/>
  <c r="G40" i="4"/>
  <c r="E33" i="4"/>
  <c r="G33" i="4"/>
  <c r="C33" i="4"/>
  <c r="G29" i="4"/>
  <c r="G25" i="4"/>
  <c r="E25" i="4"/>
  <c r="C25" i="4"/>
  <c r="Z27" i="10"/>
  <c r="Z22" i="10"/>
  <c r="U23" i="10"/>
  <c r="P24" i="4"/>
  <c r="Z19" i="10"/>
  <c r="Z18" i="10"/>
  <c r="M19" i="10"/>
  <c r="E11" i="13" s="1"/>
  <c r="L18" i="10"/>
  <c r="M16" i="10"/>
  <c r="E8" i="13" s="1"/>
  <c r="P17" i="4"/>
  <c r="U16" i="10"/>
  <c r="G8" i="13" s="1"/>
  <c r="Z13" i="10"/>
  <c r="L12" i="10"/>
  <c r="M11" i="10"/>
  <c r="E3" i="13" s="1"/>
  <c r="L10" i="10"/>
  <c r="P12" i="4"/>
  <c r="U11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M23" i="10"/>
  <c r="E15" i="13" s="1"/>
  <c r="F15" i="10"/>
  <c r="K41" i="10"/>
  <c r="G44" i="10" s="1"/>
  <c r="J44" i="10" s="1"/>
  <c r="F18" i="10"/>
  <c r="K10" i="13"/>
  <c r="F11" i="10"/>
  <c r="F12" i="10"/>
  <c r="K4" i="13"/>
  <c r="P13" i="4"/>
  <c r="W20" i="10"/>
  <c r="G12" i="13"/>
  <c r="O12" i="13" s="1"/>
  <c r="L15" i="4"/>
  <c r="N15" i="4" s="1"/>
  <c r="O15" i="4" s="1"/>
  <c r="U14" i="10" s="1"/>
  <c r="L19" i="4"/>
  <c r="N19" i="4" s="1"/>
  <c r="O19" i="4" s="1"/>
  <c r="U18" i="10" s="1"/>
  <c r="W23" i="10"/>
  <c r="G15" i="13"/>
  <c r="Z40" i="10"/>
  <c r="I48" i="6"/>
  <c r="F39" i="10"/>
  <c r="K31" i="13"/>
  <c r="F24" i="10"/>
  <c r="F40" i="10"/>
  <c r="C48" i="6"/>
  <c r="L37" i="4"/>
  <c r="N37" i="4" s="1"/>
  <c r="O37" i="4" s="1"/>
  <c r="U36" i="10" s="1"/>
  <c r="G28" i="13" s="1"/>
  <c r="L38" i="4"/>
  <c r="N38" i="4" s="1"/>
  <c r="O38" i="4" s="1"/>
  <c r="P39" i="4"/>
  <c r="L34" i="4"/>
  <c r="N34" i="4" s="1"/>
  <c r="O34" i="4" s="1"/>
  <c r="L35" i="4"/>
  <c r="N35" i="4" s="1"/>
  <c r="O35" i="4" s="1"/>
  <c r="U34" i="10" s="1"/>
  <c r="G26" i="13" s="1"/>
  <c r="L30" i="4"/>
  <c r="N30" i="4" s="1"/>
  <c r="O30" i="4" s="1"/>
  <c r="L31" i="4"/>
  <c r="N31" i="4" s="1"/>
  <c r="O31" i="4" s="1"/>
  <c r="U30" i="10" s="1"/>
  <c r="L33" i="4"/>
  <c r="N33" i="4" s="1"/>
  <c r="O33" i="4" s="1"/>
  <c r="U32" i="10" s="1"/>
  <c r="G24" i="13" s="1"/>
  <c r="L32" i="4"/>
  <c r="N32" i="4" s="1"/>
  <c r="O32" i="4" s="1"/>
  <c r="U31" i="10" s="1"/>
  <c r="L28" i="4"/>
  <c r="N28" i="4" s="1"/>
  <c r="O28" i="4" s="1"/>
  <c r="L29" i="4"/>
  <c r="N29" i="4" s="1"/>
  <c r="O29" i="4" s="1"/>
  <c r="U28" i="10" s="1"/>
  <c r="L27" i="4"/>
  <c r="N27" i="4" s="1"/>
  <c r="O27" i="4" s="1"/>
  <c r="U26" i="10" s="1"/>
  <c r="P25" i="4"/>
  <c r="W25" i="10"/>
  <c r="G17" i="13"/>
  <c r="Z32" i="10"/>
  <c r="Z33" i="10"/>
  <c r="I25" i="13"/>
  <c r="Z28" i="10"/>
  <c r="I20" i="13"/>
  <c r="Z25" i="10"/>
  <c r="I17" i="13"/>
  <c r="Y41" i="10"/>
  <c r="Z30" i="10"/>
  <c r="I22" i="13"/>
  <c r="Z24" i="10"/>
  <c r="P33" i="4"/>
  <c r="P35" i="4"/>
  <c r="W34" i="10"/>
  <c r="P36" i="4"/>
  <c r="W35" i="10"/>
  <c r="P26" i="4"/>
  <c r="B13" i="10"/>
  <c r="M10" i="10"/>
  <c r="E2" i="13" s="1"/>
  <c r="P38" i="4"/>
  <c r="P37" i="4"/>
  <c r="W36" i="10"/>
  <c r="AJ36" i="10" s="1"/>
  <c r="AK36" i="10" s="1"/>
  <c r="I35" i="4"/>
  <c r="I33" i="4"/>
  <c r="I32" i="4"/>
  <c r="I31" i="4"/>
  <c r="I30" i="4"/>
  <c r="I29" i="4"/>
  <c r="I28" i="4"/>
  <c r="L41" i="4"/>
  <c r="N41" i="4" s="1"/>
  <c r="O41" i="4" s="1"/>
  <c r="U40" i="10" s="1"/>
  <c r="I39" i="4"/>
  <c r="I36" i="4"/>
  <c r="L11" i="4"/>
  <c r="N11" i="4" s="1"/>
  <c r="AC44" i="4"/>
  <c r="C42" i="4"/>
  <c r="G42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Z39" i="10"/>
  <c r="M35" i="10"/>
  <c r="E27" i="13" s="1"/>
  <c r="O27" i="13" s="1"/>
  <c r="M32" i="10"/>
  <c r="E24" i="13" s="1"/>
  <c r="O24" i="13" s="1"/>
  <c r="I16" i="4"/>
  <c r="M31" i="10"/>
  <c r="E23" i="13" s="1"/>
  <c r="M26" i="10"/>
  <c r="E18" i="13" s="1"/>
  <c r="M38" i="10"/>
  <c r="E30" i="13" s="1"/>
  <c r="O30" i="13" s="1"/>
  <c r="M34" i="10"/>
  <c r="E26" i="13" s="1"/>
  <c r="O26" i="13" s="1"/>
  <c r="M37" i="10"/>
  <c r="E29" i="13" s="1"/>
  <c r="M27" i="10"/>
  <c r="E19" i="13" s="1"/>
  <c r="M22" i="10"/>
  <c r="E14" i="13" s="1"/>
  <c r="M36" i="10"/>
  <c r="E28" i="13" s="1"/>
  <c r="O28" i="13" s="1"/>
  <c r="M33" i="10"/>
  <c r="E25" i="13" s="1"/>
  <c r="U37" i="10" l="1"/>
  <c r="G29" i="13" s="1"/>
  <c r="M29" i="10"/>
  <c r="E21" i="13" s="1"/>
  <c r="P31" i="4"/>
  <c r="W32" i="10"/>
  <c r="AJ32" i="10" s="1"/>
  <c r="AK32" i="10" s="1"/>
  <c r="P23" i="4"/>
  <c r="P21" i="4"/>
  <c r="O29" i="13"/>
  <c r="U29" i="10"/>
  <c r="W29" i="10" s="1"/>
  <c r="AJ29" i="10" s="1"/>
  <c r="AK29" i="10" s="1"/>
  <c r="P40" i="4"/>
  <c r="U39" i="10"/>
  <c r="W39" i="10" s="1"/>
  <c r="AJ39" i="10" s="1"/>
  <c r="AK39" i="10" s="1"/>
  <c r="U33" i="10"/>
  <c r="G25" i="13" s="1"/>
  <c r="O25" i="13" s="1"/>
  <c r="P28" i="4"/>
  <c r="U27" i="10"/>
  <c r="G19" i="13" s="1"/>
  <c r="O19" i="13" s="1"/>
  <c r="M18" i="10"/>
  <c r="E10" i="13" s="1"/>
  <c r="W16" i="10"/>
  <c r="M12" i="10"/>
  <c r="E4" i="13" s="1"/>
  <c r="L41" i="10"/>
  <c r="G45" i="10" s="1"/>
  <c r="J45" i="10" s="1"/>
  <c r="O17" i="13"/>
  <c r="AJ25" i="10"/>
  <c r="AK25" i="10" s="1"/>
  <c r="AJ20" i="10"/>
  <c r="AK20" i="10" s="1"/>
  <c r="O8" i="13"/>
  <c r="AJ16" i="10"/>
  <c r="AK16" i="10" s="1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G31" i="13"/>
  <c r="O31" i="13" s="1"/>
  <c r="AJ35" i="10"/>
  <c r="AK35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I43" i="4"/>
  <c r="P27" i="4"/>
  <c r="G16" i="13"/>
  <c r="O16" i="13" s="1"/>
  <c r="W24" i="10"/>
  <c r="AJ24" i="10" s="1"/>
  <c r="AK24" i="10" s="1"/>
  <c r="AJ34" i="10"/>
  <c r="AK34" i="10" s="1"/>
  <c r="Z41" i="10"/>
  <c r="P41" i="4"/>
  <c r="P16" i="4"/>
  <c r="P20" i="4"/>
  <c r="P22" i="4"/>
  <c r="B14" i="10"/>
  <c r="J41" i="10"/>
  <c r="G43" i="10" s="1"/>
  <c r="J43" i="10" s="1"/>
  <c r="P10" i="4"/>
  <c r="P18" i="4"/>
  <c r="P14" i="4"/>
  <c r="M15" i="10"/>
  <c r="O11" i="4"/>
  <c r="U10" i="10" s="1"/>
  <c r="G2" i="13" s="1"/>
  <c r="O2" i="13" s="1"/>
  <c r="N43" i="4"/>
  <c r="W27" i="10" l="1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F41" i="10"/>
  <c r="L43" i="10"/>
  <c r="M41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AJ14" i="10" s="1"/>
  <c r="AK14" i="10" s="1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O41" i="10"/>
  <c r="B15" i="10"/>
  <c r="K47" i="4"/>
  <c r="O43" i="4"/>
  <c r="P43" i="4" s="1"/>
  <c r="W10" i="10"/>
  <c r="O7" i="13" l="1"/>
  <c r="W11" i="10"/>
  <c r="AJ11" i="10" s="1"/>
  <c r="AK11" i="10" s="1"/>
  <c r="G3" i="13"/>
  <c r="O3" i="13" s="1"/>
  <c r="O32" i="13" s="1"/>
  <c r="M47" i="4"/>
  <c r="L47" i="4"/>
  <c r="AJ10" i="10"/>
  <c r="B16" i="10"/>
  <c r="U41" i="10"/>
  <c r="G47" i="10" s="1"/>
  <c r="J47" i="10" s="1"/>
  <c r="L47" i="10" s="1"/>
  <c r="W41" i="10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<sst xmlns="http://schemas.openxmlformats.org/spreadsheetml/2006/main" count="210" uniqueCount="86">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</sst>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3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8"/>
      <color theme="0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17D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2" fontId="30" fillId="25" borderId="18" xfId="0" applyNumberFormat="1" applyFont="1" applyFill="1" applyBorder="1" applyAlignment="1">
      <alignment horizontal="center" vertical="center" wrapText="1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1" fillId="0" borderId="47" xfId="0" applyFont="1" applyFill="1" applyBorder="1"/>
    <xf numFmtId="0" fontId="31" fillId="0" borderId="47" xfId="0" applyFont="1" applyFill="1" applyBorder="1" applyAlignment="1">
      <alignment wrapText="1"/>
    </xf>
    <xf numFmtId="2" fontId="32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9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50</c:v>
                </c:pt>
                <c:pt idx="7">
                  <c:v>90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70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70</c:v>
                </c:pt>
                <c:pt idx="20">
                  <c:v>50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229248"/>
        <c:axId val="244230784"/>
      </c:lineChart>
      <c:dateAx>
        <c:axId val="24422924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4230784"/>
        <c:crosses val="autoZero"/>
        <c:auto val="1"/>
        <c:lblOffset val="100"/>
        <c:baseTimeUnit val="days"/>
      </c:dateAx>
      <c:valAx>
        <c:axId val="244230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422924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896</c:v>
                </c:pt>
                <c:pt idx="1">
                  <c:v>980</c:v>
                </c:pt>
                <c:pt idx="2">
                  <c:v>681</c:v>
                </c:pt>
                <c:pt idx="3">
                  <c:v>989</c:v>
                </c:pt>
                <c:pt idx="4">
                  <c:v>973</c:v>
                </c:pt>
                <c:pt idx="5">
                  <c:v>936</c:v>
                </c:pt>
                <c:pt idx="6">
                  <c:v>907</c:v>
                </c:pt>
                <c:pt idx="7">
                  <c:v>1856</c:v>
                </c:pt>
                <c:pt idx="8">
                  <c:v>843</c:v>
                </c:pt>
                <c:pt idx="9">
                  <c:v>880</c:v>
                </c:pt>
                <c:pt idx="10">
                  <c:v>935</c:v>
                </c:pt>
                <c:pt idx="11">
                  <c:v>852</c:v>
                </c:pt>
                <c:pt idx="12">
                  <c:v>886</c:v>
                </c:pt>
                <c:pt idx="13">
                  <c:v>934</c:v>
                </c:pt>
                <c:pt idx="14">
                  <c:v>926</c:v>
                </c:pt>
                <c:pt idx="15">
                  <c:v>936</c:v>
                </c:pt>
                <c:pt idx="16">
                  <c:v>919</c:v>
                </c:pt>
                <c:pt idx="17">
                  <c:v>1065</c:v>
                </c:pt>
                <c:pt idx="18">
                  <c:v>982</c:v>
                </c:pt>
                <c:pt idx="19">
                  <c:v>917</c:v>
                </c:pt>
                <c:pt idx="20">
                  <c:v>919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1319</c:v>
                </c:pt>
                <c:pt idx="1">
                  <c:v>1309</c:v>
                </c:pt>
                <c:pt idx="2">
                  <c:v>1363</c:v>
                </c:pt>
                <c:pt idx="3">
                  <c:v>1316</c:v>
                </c:pt>
                <c:pt idx="4">
                  <c:v>1369</c:v>
                </c:pt>
                <c:pt idx="5">
                  <c:v>1331</c:v>
                </c:pt>
                <c:pt idx="6">
                  <c:v>1336</c:v>
                </c:pt>
                <c:pt idx="7">
                  <c:v>2802</c:v>
                </c:pt>
                <c:pt idx="8">
                  <c:v>1511</c:v>
                </c:pt>
                <c:pt idx="9">
                  <c:v>1347</c:v>
                </c:pt>
                <c:pt idx="10">
                  <c:v>1390</c:v>
                </c:pt>
                <c:pt idx="11">
                  <c:v>1411</c:v>
                </c:pt>
                <c:pt idx="12">
                  <c:v>1356</c:v>
                </c:pt>
                <c:pt idx="13">
                  <c:v>1302</c:v>
                </c:pt>
                <c:pt idx="14">
                  <c:v>1354</c:v>
                </c:pt>
                <c:pt idx="15">
                  <c:v>1409</c:v>
                </c:pt>
                <c:pt idx="16">
                  <c:v>1367</c:v>
                </c:pt>
                <c:pt idx="17">
                  <c:v>1301</c:v>
                </c:pt>
                <c:pt idx="18">
                  <c:v>1433</c:v>
                </c:pt>
                <c:pt idx="19">
                  <c:v>1402</c:v>
                </c:pt>
                <c:pt idx="20">
                  <c:v>1394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568</c:v>
                </c:pt>
                <c:pt idx="1">
                  <c:v>510</c:v>
                </c:pt>
                <c:pt idx="2">
                  <c:v>558</c:v>
                </c:pt>
                <c:pt idx="3">
                  <c:v>565</c:v>
                </c:pt>
                <c:pt idx="4">
                  <c:v>564</c:v>
                </c:pt>
                <c:pt idx="5">
                  <c:v>599</c:v>
                </c:pt>
                <c:pt idx="6">
                  <c:v>577</c:v>
                </c:pt>
                <c:pt idx="7">
                  <c:v>1266</c:v>
                </c:pt>
                <c:pt idx="8">
                  <c:v>588</c:v>
                </c:pt>
                <c:pt idx="9">
                  <c:v>555</c:v>
                </c:pt>
                <c:pt idx="10">
                  <c:v>586</c:v>
                </c:pt>
                <c:pt idx="11">
                  <c:v>561</c:v>
                </c:pt>
                <c:pt idx="12">
                  <c:v>576</c:v>
                </c:pt>
                <c:pt idx="13">
                  <c:v>575</c:v>
                </c:pt>
                <c:pt idx="14">
                  <c:v>601</c:v>
                </c:pt>
                <c:pt idx="15">
                  <c:v>584</c:v>
                </c:pt>
                <c:pt idx="16">
                  <c:v>599</c:v>
                </c:pt>
                <c:pt idx="17">
                  <c:v>599</c:v>
                </c:pt>
                <c:pt idx="18">
                  <c:v>608</c:v>
                </c:pt>
                <c:pt idx="19">
                  <c:v>576</c:v>
                </c:pt>
                <c:pt idx="20">
                  <c:v>598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540544"/>
        <c:axId val="244542080"/>
      </c:lineChart>
      <c:dateAx>
        <c:axId val="24454054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4542080"/>
        <c:crosses val="autoZero"/>
        <c:auto val="1"/>
        <c:lblOffset val="100"/>
        <c:baseTimeUnit val="days"/>
      </c:dateAx>
      <c:valAx>
        <c:axId val="2445420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454054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43982</c:v>
                </c:pt>
                <c:pt idx="1">
                  <c:v>43983</c:v>
                </c:pt>
                <c:pt idx="2">
                  <c:v>43984</c:v>
                </c:pt>
                <c:pt idx="3">
                  <c:v>43985</c:v>
                </c:pt>
                <c:pt idx="4">
                  <c:v>43986</c:v>
                </c:pt>
                <c:pt idx="5">
                  <c:v>43987</c:v>
                </c:pt>
                <c:pt idx="6">
                  <c:v>43988</c:v>
                </c:pt>
                <c:pt idx="7">
                  <c:v>43989</c:v>
                </c:pt>
                <c:pt idx="8">
                  <c:v>43990</c:v>
                </c:pt>
                <c:pt idx="9">
                  <c:v>43991</c:v>
                </c:pt>
                <c:pt idx="10">
                  <c:v>43992</c:v>
                </c:pt>
                <c:pt idx="11">
                  <c:v>43993</c:v>
                </c:pt>
                <c:pt idx="12">
                  <c:v>43994</c:v>
                </c:pt>
                <c:pt idx="13">
                  <c:v>43995</c:v>
                </c:pt>
                <c:pt idx="14">
                  <c:v>43996</c:v>
                </c:pt>
                <c:pt idx="15">
                  <c:v>43997</c:v>
                </c:pt>
                <c:pt idx="16">
                  <c:v>43998</c:v>
                </c:pt>
                <c:pt idx="17">
                  <c:v>43999</c:v>
                </c:pt>
                <c:pt idx="18">
                  <c:v>44000</c:v>
                </c:pt>
                <c:pt idx="19">
                  <c:v>44001</c:v>
                </c:pt>
                <c:pt idx="20">
                  <c:v>44002</c:v>
                </c:pt>
                <c:pt idx="21">
                  <c:v>44003</c:v>
                </c:pt>
                <c:pt idx="22">
                  <c:v>44004</c:v>
                </c:pt>
                <c:pt idx="23">
                  <c:v>44005</c:v>
                </c:pt>
                <c:pt idx="24">
                  <c:v>44006</c:v>
                </c:pt>
                <c:pt idx="25">
                  <c:v>44007</c:v>
                </c:pt>
                <c:pt idx="26">
                  <c:v>44008</c:v>
                </c:pt>
                <c:pt idx="27">
                  <c:v>44009</c:v>
                </c:pt>
                <c:pt idx="28">
                  <c:v>44010</c:v>
                </c:pt>
                <c:pt idx="29">
                  <c:v>44011</c:v>
                </c:pt>
                <c:pt idx="30">
                  <c:v>44012</c:v>
                </c:pt>
                <c:pt idx="31">
                  <c:v>44013</c:v>
                </c:pt>
                <c:pt idx="32">
                  <c:v>44014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552832"/>
        <c:axId val="244554368"/>
      </c:lineChart>
      <c:dateAx>
        <c:axId val="24455283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4554368"/>
        <c:crosses val="autoZero"/>
        <c:auto val="1"/>
        <c:lblOffset val="100"/>
        <c:baseTimeUnit val="days"/>
      </c:dateAx>
      <c:valAx>
        <c:axId val="2445543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45528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selection activeCell="A21" sqref="A21:XFD21"/>
    </sheetView>
  </sheetViews>
  <sheetFormatPr defaultRowHeight="12.75" x14ac:dyDescent="0.2"/>
  <cols>
    <col min="1" max="1" width="23" style="160" customWidth="1"/>
    <col min="2" max="2" width="11.5703125" style="160" customWidth="1"/>
    <col min="3" max="3" width="11.5703125" style="160"/>
    <col min="4" max="4" width="13.42578125" style="160" customWidth="1"/>
    <col min="5" max="6" width="12.5703125" style="160" customWidth="1"/>
    <col min="7" max="13" width="11.5703125" style="160"/>
    <col min="14" max="15" width="11.5703125" style="160" customWidth="1"/>
  </cols>
  <sheetData>
    <row r="1" spans="1:15" ht="60.75" thickBot="1" x14ac:dyDescent="0.3">
      <c r="A1" s="156" t="s">
        <v>70</v>
      </c>
      <c r="B1" s="156" t="s">
        <v>71</v>
      </c>
      <c r="C1" s="156" t="s">
        <v>72</v>
      </c>
      <c r="D1" s="156" t="s">
        <v>73</v>
      </c>
      <c r="E1" s="157" t="s">
        <v>74</v>
      </c>
      <c r="F1" s="157" t="s">
        <v>75</v>
      </c>
      <c r="G1" s="157" t="s">
        <v>76</v>
      </c>
      <c r="H1" s="157" t="s">
        <v>77</v>
      </c>
      <c r="I1" s="158" t="s">
        <v>78</v>
      </c>
      <c r="J1" s="158" t="s">
        <v>79</v>
      </c>
      <c r="K1" s="157" t="s">
        <v>80</v>
      </c>
      <c r="L1" s="157" t="s">
        <v>81</v>
      </c>
      <c r="M1" s="157" t="s">
        <v>82</v>
      </c>
      <c r="N1" s="157" t="s">
        <v>83</v>
      </c>
      <c r="O1" s="157" t="s">
        <v>84</v>
      </c>
    </row>
    <row r="2" spans="1:15" x14ac:dyDescent="0.2">
      <c r="A2" s="159" t="s">
        <v>85</v>
      </c>
      <c r="B2" s="160">
        <v>1</v>
      </c>
      <c r="C2" s="160">
        <v>6</v>
      </c>
      <c r="D2" s="161">
        <v>2020</v>
      </c>
      <c r="E2" s="162">
        <f>'Consommation du 01.06 au 30.06'!M10</f>
        <v>2783</v>
      </c>
      <c r="F2" s="162">
        <v>0.99</v>
      </c>
      <c r="G2" s="162">
        <f>'Consommation du 01.06 au 30.06'!U10</f>
        <v>0</v>
      </c>
      <c r="H2" s="162">
        <v>7.8338000000000001</v>
      </c>
      <c r="I2" s="162">
        <f>'Consommation du 01.06 au 30.06'!Y10*1000</f>
        <v>0</v>
      </c>
      <c r="J2" s="162">
        <v>0.53</v>
      </c>
      <c r="K2" s="162">
        <f>'Consommation du 01.06 au 30.06'!D10</f>
        <v>60</v>
      </c>
      <c r="L2" s="162">
        <v>12.67</v>
      </c>
      <c r="M2" s="161">
        <f>'Consommation du 01.06 au 30.06'!AC10</f>
        <v>0</v>
      </c>
      <c r="N2" s="161">
        <v>0</v>
      </c>
      <c r="O2" s="162">
        <f>E2*F2+G2*H2+I2*J2+K2*L2</f>
        <v>3515.37</v>
      </c>
    </row>
    <row r="3" spans="1:15" x14ac:dyDescent="0.2">
      <c r="A3" s="159" t="s">
        <v>85</v>
      </c>
      <c r="B3" s="160">
        <f>B2+1</f>
        <v>2</v>
      </c>
      <c r="C3" s="160">
        <v>6</v>
      </c>
      <c r="D3" s="161">
        <v>2020</v>
      </c>
      <c r="E3" s="162">
        <f>'Consommation du 01.06 au 30.06'!M11</f>
        <v>2799</v>
      </c>
      <c r="F3" s="162">
        <v>0.99</v>
      </c>
      <c r="G3" s="162">
        <f>'Consommation du 01.06 au 30.06'!U11</f>
        <v>0</v>
      </c>
      <c r="H3" s="162">
        <v>7.8338000000000001</v>
      </c>
      <c r="I3" s="162">
        <f>'Consommation du 01.06 au 30.06'!Y11*1000</f>
        <v>0</v>
      </c>
      <c r="J3" s="162">
        <v>0.53</v>
      </c>
      <c r="K3" s="162">
        <f>'Consommation du 01.06 au 30.06'!D11</f>
        <v>60</v>
      </c>
      <c r="L3" s="162">
        <v>12.67</v>
      </c>
      <c r="M3" s="161">
        <f>'Consommation du 01.06 au 30.06'!AC11</f>
        <v>0</v>
      </c>
      <c r="N3" s="161">
        <v>0</v>
      </c>
      <c r="O3" s="162">
        <f t="shared" ref="O3:O31" si="0">E3*F3+G3*H3+I3*J3+K3*L3</f>
        <v>3531.21</v>
      </c>
    </row>
    <row r="4" spans="1:15" x14ac:dyDescent="0.2">
      <c r="A4" s="159" t="s">
        <v>85</v>
      </c>
      <c r="B4" s="160">
        <f t="shared" ref="B4:B31" si="1">B3+1</f>
        <v>3</v>
      </c>
      <c r="C4" s="160">
        <v>6</v>
      </c>
      <c r="D4" s="161">
        <v>2020</v>
      </c>
      <c r="E4" s="162">
        <f>'Consommation du 01.06 au 30.06'!M12</f>
        <v>2602</v>
      </c>
      <c r="F4" s="162">
        <v>0.99</v>
      </c>
      <c r="G4" s="162">
        <f>'Consommation du 01.06 au 30.06'!U12</f>
        <v>0</v>
      </c>
      <c r="H4" s="162">
        <v>7.8338000000000001</v>
      </c>
      <c r="I4" s="162">
        <f>'Consommation du 01.06 au 30.06'!Y12*1000</f>
        <v>0</v>
      </c>
      <c r="J4" s="162">
        <v>0.53</v>
      </c>
      <c r="K4" s="162">
        <f>'Consommation du 01.06 au 30.06'!D12</f>
        <v>70</v>
      </c>
      <c r="L4" s="162">
        <v>12.67</v>
      </c>
      <c r="M4" s="161">
        <f>'Consommation du 01.06 au 30.06'!AC12</f>
        <v>0</v>
      </c>
      <c r="N4" s="161">
        <v>0</v>
      </c>
      <c r="O4" s="162">
        <f t="shared" si="0"/>
        <v>3462.88</v>
      </c>
    </row>
    <row r="5" spans="1:15" x14ac:dyDescent="0.2">
      <c r="A5" s="159" t="s">
        <v>85</v>
      </c>
      <c r="B5" s="160">
        <f t="shared" si="1"/>
        <v>4</v>
      </c>
      <c r="C5" s="160">
        <v>6</v>
      </c>
      <c r="D5" s="161">
        <v>2020</v>
      </c>
      <c r="E5" s="162">
        <f>'Consommation du 01.06 au 30.06'!M13</f>
        <v>2870</v>
      </c>
      <c r="F5" s="162">
        <v>0.99</v>
      </c>
      <c r="G5" s="162">
        <f>'Consommation du 01.06 au 30.06'!U13</f>
        <v>37.1</v>
      </c>
      <c r="H5" s="162">
        <v>7.8338000000000001</v>
      </c>
      <c r="I5" s="162">
        <f>'Consommation du 01.06 au 30.06'!Y13*1000</f>
        <v>0</v>
      </c>
      <c r="J5" s="162">
        <v>0.53</v>
      </c>
      <c r="K5" s="162">
        <f>'Consommation du 01.06 au 30.06'!D13</f>
        <v>60</v>
      </c>
      <c r="L5" s="162">
        <v>12.67</v>
      </c>
      <c r="M5" s="161">
        <f>'Consommation du 01.06 au 30.06'!AC13</f>
        <v>0</v>
      </c>
      <c r="N5" s="161">
        <v>0</v>
      </c>
      <c r="O5" s="162">
        <f t="shared" si="0"/>
        <v>3892.1339800000005</v>
      </c>
    </row>
    <row r="6" spans="1:15" x14ac:dyDescent="0.2">
      <c r="A6" s="159" t="s">
        <v>85</v>
      </c>
      <c r="B6" s="160">
        <f t="shared" si="1"/>
        <v>5</v>
      </c>
      <c r="C6" s="160">
        <v>6</v>
      </c>
      <c r="D6" s="161">
        <v>2020</v>
      </c>
      <c r="E6" s="162">
        <f>'Consommation du 01.06 au 30.06'!M14</f>
        <v>2906</v>
      </c>
      <c r="F6" s="162">
        <v>0.99</v>
      </c>
      <c r="G6" s="162">
        <f>'Consommation du 01.06 au 30.06'!U14</f>
        <v>0</v>
      </c>
      <c r="H6" s="162">
        <v>7.8338000000000001</v>
      </c>
      <c r="I6" s="162">
        <f>'Consommation du 01.06 au 30.06'!Y14*1000</f>
        <v>0</v>
      </c>
      <c r="J6" s="162">
        <v>0.53</v>
      </c>
      <c r="K6" s="162">
        <f>'Consommation du 01.06 au 30.06'!D14</f>
        <v>60</v>
      </c>
      <c r="L6" s="162">
        <v>12.67</v>
      </c>
      <c r="M6" s="161">
        <f>'Consommation du 01.06 au 30.06'!AC14</f>
        <v>0</v>
      </c>
      <c r="N6" s="161">
        <v>0</v>
      </c>
      <c r="O6" s="162">
        <f t="shared" si="0"/>
        <v>3637.1400000000003</v>
      </c>
    </row>
    <row r="7" spans="1:15" x14ac:dyDescent="0.2">
      <c r="A7" s="159" t="s">
        <v>85</v>
      </c>
      <c r="B7" s="160">
        <f t="shared" si="1"/>
        <v>6</v>
      </c>
      <c r="C7" s="160">
        <v>6</v>
      </c>
      <c r="D7" s="161">
        <v>2020</v>
      </c>
      <c r="E7" s="162">
        <f>'Consommation du 01.06 au 30.06'!M15</f>
        <v>2866</v>
      </c>
      <c r="F7" s="162">
        <v>0.99</v>
      </c>
      <c r="G7" s="162">
        <f>'Consommation du 01.06 au 30.06'!U15</f>
        <v>0</v>
      </c>
      <c r="H7" s="162">
        <v>7.8338000000000001</v>
      </c>
      <c r="I7" s="162">
        <f>'Consommation du 01.06 au 30.06'!Y15*1000</f>
        <v>0</v>
      </c>
      <c r="J7" s="162">
        <v>0.53</v>
      </c>
      <c r="K7" s="162">
        <f>'Consommation du 01.06 au 30.06'!D15</f>
        <v>60</v>
      </c>
      <c r="L7" s="162">
        <v>12.67</v>
      </c>
      <c r="M7" s="161">
        <f>'Consommation du 01.06 au 30.06'!AC15</f>
        <v>0</v>
      </c>
      <c r="N7" s="161">
        <v>0</v>
      </c>
      <c r="O7" s="162">
        <f t="shared" si="0"/>
        <v>3597.54</v>
      </c>
    </row>
    <row r="8" spans="1:15" x14ac:dyDescent="0.2">
      <c r="A8" s="159" t="s">
        <v>85</v>
      </c>
      <c r="B8" s="160">
        <f t="shared" si="1"/>
        <v>7</v>
      </c>
      <c r="C8" s="160">
        <v>6</v>
      </c>
      <c r="D8" s="161">
        <v>2020</v>
      </c>
      <c r="E8" s="162">
        <f>'Consommation du 01.06 au 30.06'!M16</f>
        <v>2820</v>
      </c>
      <c r="F8" s="162">
        <v>0.99</v>
      </c>
      <c r="G8" s="162">
        <f>'Consommation du 01.06 au 30.06'!U16</f>
        <v>0</v>
      </c>
      <c r="H8" s="162">
        <v>7.8338000000000001</v>
      </c>
      <c r="I8" s="162">
        <f>'Consommation du 01.06 au 30.06'!Y16*1000</f>
        <v>0</v>
      </c>
      <c r="J8" s="162">
        <v>0.53</v>
      </c>
      <c r="K8" s="162">
        <f>'Consommation du 01.06 au 30.06'!D16</f>
        <v>50</v>
      </c>
      <c r="L8" s="162">
        <v>12.67</v>
      </c>
      <c r="M8" s="161">
        <f>'Consommation du 01.06 au 30.06'!AC16</f>
        <v>0</v>
      </c>
      <c r="N8" s="161">
        <v>0</v>
      </c>
      <c r="O8" s="162">
        <f t="shared" si="0"/>
        <v>3425.3</v>
      </c>
    </row>
    <row r="9" spans="1:15" x14ac:dyDescent="0.2">
      <c r="A9" s="159" t="s">
        <v>85</v>
      </c>
      <c r="B9" s="160">
        <f t="shared" si="1"/>
        <v>8</v>
      </c>
      <c r="C9" s="160">
        <v>6</v>
      </c>
      <c r="D9" s="161">
        <v>2020</v>
      </c>
      <c r="E9" s="162">
        <f>'Consommation du 01.06 au 30.06'!M17</f>
        <v>5924</v>
      </c>
      <c r="F9" s="162">
        <v>0.99</v>
      </c>
      <c r="G9" s="162">
        <f>'Consommation du 01.06 au 30.06'!U17</f>
        <v>0</v>
      </c>
      <c r="H9" s="162">
        <v>7.8338000000000001</v>
      </c>
      <c r="I9" s="162">
        <f>'Consommation du 01.06 au 30.06'!Y17*1000</f>
        <v>0</v>
      </c>
      <c r="J9" s="162">
        <v>0.53</v>
      </c>
      <c r="K9" s="162">
        <f>'Consommation du 01.06 au 30.06'!D17</f>
        <v>90</v>
      </c>
      <c r="L9" s="162">
        <v>12.67</v>
      </c>
      <c r="M9" s="161">
        <f>'Consommation du 01.06 au 30.06'!AC17</f>
        <v>0</v>
      </c>
      <c r="N9" s="161">
        <v>0</v>
      </c>
      <c r="O9" s="162">
        <f t="shared" si="0"/>
        <v>7005.06</v>
      </c>
    </row>
    <row r="10" spans="1:15" x14ac:dyDescent="0.2">
      <c r="A10" s="159" t="s">
        <v>85</v>
      </c>
      <c r="B10" s="160">
        <f t="shared" si="1"/>
        <v>9</v>
      </c>
      <c r="C10" s="160">
        <v>6</v>
      </c>
      <c r="D10" s="161">
        <v>2020</v>
      </c>
      <c r="E10" s="162">
        <f>'Consommation du 01.06 au 30.06'!M18</f>
        <v>2942</v>
      </c>
      <c r="F10" s="162">
        <v>0.99</v>
      </c>
      <c r="G10" s="162">
        <f>'Consommation du 01.06 au 30.06'!U18</f>
        <v>0</v>
      </c>
      <c r="H10" s="162">
        <v>7.8338000000000001</v>
      </c>
      <c r="I10" s="162">
        <f>'Consommation du 01.06 au 30.06'!Y18*1000</f>
        <v>0</v>
      </c>
      <c r="J10" s="162">
        <v>0.53</v>
      </c>
      <c r="K10" s="162">
        <f>'Consommation du 01.06 au 30.06'!D18</f>
        <v>60</v>
      </c>
      <c r="L10" s="162">
        <v>12.67</v>
      </c>
      <c r="M10" s="161">
        <f>'Consommation du 01.06 au 30.06'!AC18</f>
        <v>0</v>
      </c>
      <c r="N10" s="161">
        <v>0</v>
      </c>
      <c r="O10" s="162">
        <f t="shared" si="0"/>
        <v>3672.7799999999997</v>
      </c>
    </row>
    <row r="11" spans="1:15" x14ac:dyDescent="0.2">
      <c r="A11" s="159" t="s">
        <v>85</v>
      </c>
      <c r="B11" s="160">
        <f t="shared" si="1"/>
        <v>10</v>
      </c>
      <c r="C11" s="160">
        <v>6</v>
      </c>
      <c r="D11" s="161">
        <v>2020</v>
      </c>
      <c r="E11" s="162">
        <f>'Consommation du 01.06 au 30.06'!M19</f>
        <v>2782</v>
      </c>
      <c r="F11" s="162">
        <v>0.99</v>
      </c>
      <c r="G11" s="162">
        <f>'Consommation du 01.06 au 30.06'!U19</f>
        <v>0</v>
      </c>
      <c r="H11" s="162">
        <v>7.8338000000000001</v>
      </c>
      <c r="I11" s="162">
        <f>'Consommation du 01.06 au 30.06'!Y19*1000</f>
        <v>0</v>
      </c>
      <c r="J11" s="162">
        <v>0.53</v>
      </c>
      <c r="K11" s="162">
        <f>'Consommation du 01.06 au 30.06'!D19</f>
        <v>60</v>
      </c>
      <c r="L11" s="162">
        <v>12.67</v>
      </c>
      <c r="M11" s="161">
        <f>'Consommation du 01.06 au 30.06'!AC19</f>
        <v>0</v>
      </c>
      <c r="N11" s="161">
        <v>0</v>
      </c>
      <c r="O11" s="162">
        <f t="shared" si="0"/>
        <v>3514.38</v>
      </c>
    </row>
    <row r="12" spans="1:15" x14ac:dyDescent="0.2">
      <c r="A12" s="159" t="s">
        <v>85</v>
      </c>
      <c r="B12" s="160">
        <f t="shared" si="1"/>
        <v>11</v>
      </c>
      <c r="C12" s="160">
        <v>6</v>
      </c>
      <c r="D12" s="161">
        <v>2020</v>
      </c>
      <c r="E12" s="162">
        <f>'Consommation du 01.06 au 30.06'!M20</f>
        <v>2911</v>
      </c>
      <c r="F12" s="162">
        <v>0.99</v>
      </c>
      <c r="G12" s="162">
        <f>'Consommation du 01.06 au 30.06'!U20</f>
        <v>0</v>
      </c>
      <c r="H12" s="162">
        <v>7.8338000000000001</v>
      </c>
      <c r="I12" s="162">
        <f>'Consommation du 01.06 au 30.06'!Y20*1000</f>
        <v>0</v>
      </c>
      <c r="J12" s="162">
        <v>0.53</v>
      </c>
      <c r="K12" s="162">
        <f>'Consommation du 01.06 au 30.06'!D20</f>
        <v>60</v>
      </c>
      <c r="L12" s="162">
        <v>12.67</v>
      </c>
      <c r="M12" s="161">
        <f>'Consommation du 01.06 au 30.06'!AC20</f>
        <v>0</v>
      </c>
      <c r="N12" s="161">
        <v>0</v>
      </c>
      <c r="O12" s="162">
        <f t="shared" si="0"/>
        <v>3642.09</v>
      </c>
    </row>
    <row r="13" spans="1:15" x14ac:dyDescent="0.2">
      <c r="A13" s="159" t="s">
        <v>85</v>
      </c>
      <c r="B13" s="160">
        <f t="shared" si="1"/>
        <v>12</v>
      </c>
      <c r="C13" s="160">
        <v>6</v>
      </c>
      <c r="D13" s="161">
        <v>2020</v>
      </c>
      <c r="E13" s="162">
        <f>'Consommation du 01.06 au 30.06'!M21</f>
        <v>2824</v>
      </c>
      <c r="F13" s="162">
        <v>0.99</v>
      </c>
      <c r="G13" s="162">
        <f>'Consommation du 01.06 au 30.06'!U21</f>
        <v>0</v>
      </c>
      <c r="H13" s="162">
        <v>7.8338000000000001</v>
      </c>
      <c r="I13" s="162">
        <f>'Consommation du 01.06 au 30.06'!Y21*1000</f>
        <v>0</v>
      </c>
      <c r="J13" s="162">
        <v>0.53</v>
      </c>
      <c r="K13" s="162">
        <f>'Consommation du 01.06 au 30.06'!D21</f>
        <v>60</v>
      </c>
      <c r="L13" s="162">
        <v>12.67</v>
      </c>
      <c r="M13" s="161">
        <f>'Consommation du 01.06 au 30.06'!AC21</f>
        <v>0</v>
      </c>
      <c r="N13" s="161">
        <v>0</v>
      </c>
      <c r="O13" s="162">
        <f t="shared" si="0"/>
        <v>3555.96</v>
      </c>
    </row>
    <row r="14" spans="1:15" x14ac:dyDescent="0.2">
      <c r="A14" s="159" t="s">
        <v>85</v>
      </c>
      <c r="B14" s="160">
        <f t="shared" si="1"/>
        <v>13</v>
      </c>
      <c r="C14" s="160">
        <v>6</v>
      </c>
      <c r="D14" s="161">
        <v>2020</v>
      </c>
      <c r="E14" s="162">
        <f>'Consommation du 01.06 au 30.06'!M22</f>
        <v>2818</v>
      </c>
      <c r="F14" s="162">
        <v>0.99</v>
      </c>
      <c r="G14" s="162">
        <f>'Consommation du 01.06 au 30.06'!U22</f>
        <v>0</v>
      </c>
      <c r="H14" s="162">
        <v>7.8338000000000001</v>
      </c>
      <c r="I14" s="162">
        <f>'Consommation du 01.06 au 30.06'!Y22*1000</f>
        <v>0</v>
      </c>
      <c r="J14" s="162">
        <v>0.53</v>
      </c>
      <c r="K14" s="162">
        <f>'Consommation du 01.06 au 30.06'!D22</f>
        <v>60</v>
      </c>
      <c r="L14" s="162">
        <v>12.67</v>
      </c>
      <c r="M14" s="161">
        <f>'Consommation du 01.06 au 30.06'!AC22</f>
        <v>0</v>
      </c>
      <c r="N14" s="161">
        <v>0</v>
      </c>
      <c r="O14" s="162">
        <f t="shared" si="0"/>
        <v>3550.0200000000004</v>
      </c>
    </row>
    <row r="15" spans="1:15" x14ac:dyDescent="0.2">
      <c r="A15" s="159" t="s">
        <v>85</v>
      </c>
      <c r="B15" s="160">
        <f t="shared" si="1"/>
        <v>14</v>
      </c>
      <c r="C15" s="160">
        <v>6</v>
      </c>
      <c r="D15" s="161">
        <v>2020</v>
      </c>
      <c r="E15" s="162">
        <f>'Consommation du 01.06 au 30.06'!M23</f>
        <v>2811</v>
      </c>
      <c r="F15" s="162">
        <v>0.99</v>
      </c>
      <c r="G15" s="162">
        <f>'Consommation du 01.06 au 30.06'!U23</f>
        <v>0</v>
      </c>
      <c r="H15" s="162">
        <v>7.8338000000000001</v>
      </c>
      <c r="I15" s="162">
        <f>'Consommation du 01.06 au 30.06'!Y23*1000</f>
        <v>0</v>
      </c>
      <c r="J15" s="162">
        <v>0.53</v>
      </c>
      <c r="K15" s="162">
        <f>'Consommation du 01.06 au 30.06'!D23</f>
        <v>60</v>
      </c>
      <c r="L15" s="162">
        <v>12.67</v>
      </c>
      <c r="M15" s="161">
        <f>'Consommation du 01.06 au 30.06'!AC23</f>
        <v>0</v>
      </c>
      <c r="N15" s="161">
        <v>0</v>
      </c>
      <c r="O15" s="162">
        <f t="shared" si="0"/>
        <v>3543.09</v>
      </c>
    </row>
    <row r="16" spans="1:15" x14ac:dyDescent="0.2">
      <c r="A16" s="159" t="s">
        <v>85</v>
      </c>
      <c r="B16" s="160">
        <f t="shared" si="1"/>
        <v>15</v>
      </c>
      <c r="C16" s="160">
        <v>6</v>
      </c>
      <c r="D16" s="161">
        <v>2020</v>
      </c>
      <c r="E16" s="162">
        <f>'Consommation du 01.06 au 30.06'!M24</f>
        <v>2881</v>
      </c>
      <c r="F16" s="162">
        <v>0.99</v>
      </c>
      <c r="G16" s="162">
        <f>'Consommation du 01.06 au 30.06'!U24</f>
        <v>0</v>
      </c>
      <c r="H16" s="162">
        <v>7.8338000000000001</v>
      </c>
      <c r="I16" s="162">
        <f>'Consommation du 01.06 au 30.06'!Y24*1000</f>
        <v>0</v>
      </c>
      <c r="J16" s="162">
        <v>0.53</v>
      </c>
      <c r="K16" s="162">
        <f>'Consommation du 01.06 au 30.06'!D24</f>
        <v>60</v>
      </c>
      <c r="L16" s="162">
        <v>12.67</v>
      </c>
      <c r="M16" s="161">
        <f>'Consommation du 01.06 au 30.06'!AC24</f>
        <v>0</v>
      </c>
      <c r="N16" s="161">
        <v>0</v>
      </c>
      <c r="O16" s="162">
        <f t="shared" si="0"/>
        <v>3612.3900000000003</v>
      </c>
    </row>
    <row r="17" spans="1:15" x14ac:dyDescent="0.2">
      <c r="A17" s="159" t="s">
        <v>85</v>
      </c>
      <c r="B17" s="160">
        <f t="shared" si="1"/>
        <v>16</v>
      </c>
      <c r="C17" s="160">
        <v>6</v>
      </c>
      <c r="D17" s="161">
        <v>2020</v>
      </c>
      <c r="E17" s="162">
        <f>'Consommation du 01.06 au 30.06'!M25</f>
        <v>2929</v>
      </c>
      <c r="F17" s="162">
        <v>0.99</v>
      </c>
      <c r="G17" s="162">
        <f>'Consommation du 01.06 au 30.06'!U25</f>
        <v>0</v>
      </c>
      <c r="H17" s="162">
        <v>7.8338000000000001</v>
      </c>
      <c r="I17" s="162">
        <f>'Consommation du 01.06 au 30.06'!Y25*1000</f>
        <v>0</v>
      </c>
      <c r="J17" s="162">
        <v>0.53</v>
      </c>
      <c r="K17" s="162">
        <f>'Consommation du 01.06 au 30.06'!D25</f>
        <v>70</v>
      </c>
      <c r="L17" s="162">
        <v>12.67</v>
      </c>
      <c r="M17" s="161">
        <f>'Consommation du 01.06 au 30.06'!AC25</f>
        <v>0</v>
      </c>
      <c r="N17" s="161">
        <v>0</v>
      </c>
      <c r="O17" s="162">
        <f t="shared" si="0"/>
        <v>3786.61</v>
      </c>
    </row>
    <row r="18" spans="1:15" x14ac:dyDescent="0.2">
      <c r="A18" s="159" t="s">
        <v>85</v>
      </c>
      <c r="B18" s="160">
        <f t="shared" si="1"/>
        <v>17</v>
      </c>
      <c r="C18" s="160">
        <v>6</v>
      </c>
      <c r="D18" s="161">
        <v>2020</v>
      </c>
      <c r="E18" s="162">
        <f>'Consommation du 01.06 au 30.06'!M26</f>
        <v>2885</v>
      </c>
      <c r="F18" s="162">
        <v>0.99</v>
      </c>
      <c r="G18" s="162">
        <f>'Consommation du 01.06 au 30.06'!U26</f>
        <v>0</v>
      </c>
      <c r="H18" s="162">
        <v>7.8338000000000001</v>
      </c>
      <c r="I18" s="162">
        <f>'Consommation du 01.06 au 30.06'!Y26*1000</f>
        <v>0</v>
      </c>
      <c r="J18" s="162">
        <v>0.53</v>
      </c>
      <c r="K18" s="162">
        <f>'Consommation du 01.06 au 30.06'!D26</f>
        <v>60</v>
      </c>
      <c r="L18" s="162">
        <v>12.67</v>
      </c>
      <c r="M18" s="161">
        <f>'Consommation du 01.06 au 30.06'!AC26</f>
        <v>0</v>
      </c>
      <c r="N18" s="161">
        <v>0</v>
      </c>
      <c r="O18" s="162">
        <f t="shared" si="0"/>
        <v>3616.3500000000004</v>
      </c>
    </row>
    <row r="19" spans="1:15" x14ac:dyDescent="0.2">
      <c r="A19" s="159" t="s">
        <v>85</v>
      </c>
      <c r="B19" s="160">
        <f t="shared" si="1"/>
        <v>18</v>
      </c>
      <c r="C19" s="160">
        <v>6</v>
      </c>
      <c r="D19" s="161">
        <v>2020</v>
      </c>
      <c r="E19" s="162">
        <f>'Consommation du 01.06 au 30.06'!M27</f>
        <v>2965</v>
      </c>
      <c r="F19" s="162">
        <v>0.99</v>
      </c>
      <c r="G19" s="162">
        <f>'Consommation du 01.06 au 30.06'!U27</f>
        <v>0</v>
      </c>
      <c r="H19" s="162">
        <v>7.8338000000000001</v>
      </c>
      <c r="I19" s="162">
        <f>'Consommation du 01.06 au 30.06'!Y27*1000</f>
        <v>0</v>
      </c>
      <c r="J19" s="162">
        <v>0.53</v>
      </c>
      <c r="K19" s="162">
        <f>'Consommation du 01.06 au 30.06'!D27</f>
        <v>60</v>
      </c>
      <c r="L19" s="162">
        <v>12.67</v>
      </c>
      <c r="M19" s="161">
        <f>'Consommation du 01.06 au 30.06'!AC27</f>
        <v>0</v>
      </c>
      <c r="N19" s="161">
        <v>0</v>
      </c>
      <c r="O19" s="162">
        <f t="shared" si="0"/>
        <v>3695.55</v>
      </c>
    </row>
    <row r="20" spans="1:15" x14ac:dyDescent="0.2">
      <c r="A20" s="159" t="s">
        <v>85</v>
      </c>
      <c r="B20" s="160">
        <f t="shared" si="1"/>
        <v>19</v>
      </c>
      <c r="C20" s="160">
        <v>6</v>
      </c>
      <c r="D20" s="161">
        <v>2020</v>
      </c>
      <c r="E20" s="162">
        <f>'Consommation du 01.06 au 30.06'!M28</f>
        <v>3023</v>
      </c>
      <c r="F20" s="162">
        <v>0.99</v>
      </c>
      <c r="G20" s="162">
        <f>'Consommation du 01.06 au 30.06'!U28</f>
        <v>0</v>
      </c>
      <c r="H20" s="162">
        <v>7.8338000000000001</v>
      </c>
      <c r="I20" s="162">
        <f>'Consommation du 01.06 au 30.06'!Y28*1000</f>
        <v>0</v>
      </c>
      <c r="J20" s="162">
        <v>0.53</v>
      </c>
      <c r="K20" s="162">
        <f>'Consommation du 01.06 au 30.06'!D28</f>
        <v>60</v>
      </c>
      <c r="L20" s="162">
        <v>12.67</v>
      </c>
      <c r="M20" s="161">
        <f>'Consommation du 01.06 au 30.06'!AC28</f>
        <v>0</v>
      </c>
      <c r="N20" s="161">
        <v>0</v>
      </c>
      <c r="O20" s="162">
        <f t="shared" si="0"/>
        <v>3752.9700000000003</v>
      </c>
    </row>
    <row r="21" spans="1:15" x14ac:dyDescent="0.2">
      <c r="A21" s="159" t="s">
        <v>85</v>
      </c>
      <c r="B21" s="160">
        <f t="shared" si="1"/>
        <v>20</v>
      </c>
      <c r="C21" s="160">
        <v>6</v>
      </c>
      <c r="D21" s="161">
        <v>2020</v>
      </c>
      <c r="E21" s="162">
        <f>'Consommation du 01.06 au 30.06'!M29</f>
        <v>2895</v>
      </c>
      <c r="F21" s="162">
        <v>0.99</v>
      </c>
      <c r="G21" s="162">
        <f>'Consommation du 01.06 au 30.06'!U29</f>
        <v>0</v>
      </c>
      <c r="H21" s="162">
        <v>7.8338000000000001</v>
      </c>
      <c r="I21" s="162">
        <f>'Consommation du 01.06 au 30.06'!Y29*1000</f>
        <v>0</v>
      </c>
      <c r="J21" s="162">
        <v>0.53</v>
      </c>
      <c r="K21" s="162">
        <f>'Consommation du 01.06 au 30.06'!D29</f>
        <v>70</v>
      </c>
      <c r="L21" s="162">
        <v>12.67</v>
      </c>
      <c r="M21" s="161">
        <f>'Consommation du 01.06 au 30.06'!AC29</f>
        <v>0</v>
      </c>
      <c r="N21" s="161">
        <v>0</v>
      </c>
      <c r="O21" s="162">
        <f t="shared" si="0"/>
        <v>3752.9500000000003</v>
      </c>
    </row>
    <row r="22" spans="1:15" x14ac:dyDescent="0.2">
      <c r="A22" s="159" t="s">
        <v>85</v>
      </c>
      <c r="B22" s="160">
        <f t="shared" si="1"/>
        <v>21</v>
      </c>
      <c r="C22" s="160">
        <v>6</v>
      </c>
      <c r="D22" s="161">
        <v>2020</v>
      </c>
      <c r="E22" s="162">
        <f>'Consommation du 01.06 au 30.06'!M30</f>
        <v>2911</v>
      </c>
      <c r="F22" s="162">
        <v>0.99</v>
      </c>
      <c r="G22" s="162">
        <f>'Consommation du 01.06 au 30.06'!U30</f>
        <v>0</v>
      </c>
      <c r="H22" s="162">
        <v>7.8338000000000001</v>
      </c>
      <c r="I22" s="162">
        <f>'Consommation du 01.06 au 30.06'!Y30*1000</f>
        <v>0</v>
      </c>
      <c r="J22" s="162">
        <v>0.53</v>
      </c>
      <c r="K22" s="162">
        <f>'Consommation du 01.06 au 30.06'!D30</f>
        <v>50</v>
      </c>
      <c r="L22" s="162">
        <v>12.67</v>
      </c>
      <c r="M22" s="161">
        <f>'Consommation du 01.06 au 30.06'!AC30</f>
        <v>0</v>
      </c>
      <c r="N22" s="161"/>
      <c r="O22" s="162">
        <f t="shared" si="0"/>
        <v>3515.39</v>
      </c>
    </row>
    <row r="23" spans="1:15" x14ac:dyDescent="0.2">
      <c r="A23" s="159" t="s">
        <v>85</v>
      </c>
      <c r="B23" s="160">
        <f t="shared" si="1"/>
        <v>22</v>
      </c>
      <c r="C23" s="160">
        <v>6</v>
      </c>
      <c r="D23" s="161">
        <v>2020</v>
      </c>
      <c r="E23" s="162">
        <f>'Consommation du 01.06 au 30.06'!M31</f>
        <v>0</v>
      </c>
      <c r="F23" s="162">
        <v>0.99</v>
      </c>
      <c r="G23" s="162">
        <f>'Consommation du 01.06 au 30.06'!U31</f>
        <v>0</v>
      </c>
      <c r="H23" s="162">
        <v>7.8338000000000001</v>
      </c>
      <c r="I23" s="162">
        <f>'Consommation du 01.06 au 30.06'!Y31*1000</f>
        <v>0</v>
      </c>
      <c r="J23" s="162">
        <v>0.53</v>
      </c>
      <c r="K23" s="162">
        <f>'Consommation du 01.06 au 30.06'!D31</f>
        <v>0</v>
      </c>
      <c r="L23" s="162">
        <v>12.67</v>
      </c>
      <c r="M23" s="161">
        <f>'Consommation du 01.06 au 30.06'!AC31</f>
        <v>0</v>
      </c>
      <c r="N23" s="161"/>
      <c r="O23" s="162">
        <f t="shared" si="0"/>
        <v>0</v>
      </c>
    </row>
    <row r="24" spans="1:15" x14ac:dyDescent="0.2">
      <c r="A24" s="159" t="s">
        <v>85</v>
      </c>
      <c r="B24" s="160">
        <f t="shared" si="1"/>
        <v>23</v>
      </c>
      <c r="C24" s="160">
        <v>6</v>
      </c>
      <c r="D24" s="161">
        <v>2020</v>
      </c>
      <c r="E24" s="162">
        <f>'Consommation du 01.06 au 30.06'!M32</f>
        <v>0</v>
      </c>
      <c r="F24" s="162">
        <v>0.99</v>
      </c>
      <c r="G24" s="162">
        <f>'Consommation du 01.06 au 30.06'!U32</f>
        <v>0</v>
      </c>
      <c r="H24" s="162">
        <v>7.8338000000000001</v>
      </c>
      <c r="I24" s="162">
        <f>'Consommation du 01.06 au 30.06'!Y32*1000</f>
        <v>0</v>
      </c>
      <c r="J24" s="162">
        <v>0.53</v>
      </c>
      <c r="K24" s="162">
        <f>'Consommation du 01.06 au 30.06'!D32</f>
        <v>0</v>
      </c>
      <c r="L24" s="162">
        <v>12.67</v>
      </c>
      <c r="M24" s="161">
        <f>'Consommation du 01.06 au 30.06'!AC32</f>
        <v>0</v>
      </c>
      <c r="N24" s="161"/>
      <c r="O24" s="162">
        <f t="shared" si="0"/>
        <v>0</v>
      </c>
    </row>
    <row r="25" spans="1:15" x14ac:dyDescent="0.2">
      <c r="A25" s="159" t="s">
        <v>85</v>
      </c>
      <c r="B25" s="160">
        <f t="shared" si="1"/>
        <v>24</v>
      </c>
      <c r="C25" s="160">
        <v>6</v>
      </c>
      <c r="D25" s="161">
        <v>2020</v>
      </c>
      <c r="E25" s="162">
        <f>'Consommation du 01.06 au 30.06'!M33</f>
        <v>0</v>
      </c>
      <c r="F25" s="162">
        <v>0.99</v>
      </c>
      <c r="G25" s="162">
        <f>'Consommation du 01.06 au 30.06'!U33</f>
        <v>0</v>
      </c>
      <c r="H25" s="162">
        <v>7.8338000000000001</v>
      </c>
      <c r="I25" s="162">
        <f>'Consommation du 01.06 au 30.06'!Y33*1000</f>
        <v>0</v>
      </c>
      <c r="J25" s="162">
        <v>0.53</v>
      </c>
      <c r="K25" s="162">
        <f>'Consommation du 01.06 au 30.06'!D33</f>
        <v>0</v>
      </c>
      <c r="L25" s="162">
        <v>12.67</v>
      </c>
      <c r="M25" s="161">
        <f>'Consommation du 01.06 au 30.06'!AC33</f>
        <v>0</v>
      </c>
      <c r="N25" s="161"/>
      <c r="O25" s="162">
        <f t="shared" si="0"/>
        <v>0</v>
      </c>
    </row>
    <row r="26" spans="1:15" x14ac:dyDescent="0.2">
      <c r="A26" s="159" t="s">
        <v>85</v>
      </c>
      <c r="B26" s="160">
        <f>B25+1</f>
        <v>25</v>
      </c>
      <c r="C26" s="160">
        <v>6</v>
      </c>
      <c r="D26" s="161">
        <v>2020</v>
      </c>
      <c r="E26" s="162">
        <f>'Consommation du 01.06 au 30.06'!M34</f>
        <v>0</v>
      </c>
      <c r="F26" s="162">
        <v>0.99</v>
      </c>
      <c r="G26" s="162">
        <f>'Consommation du 01.06 au 30.06'!U34</f>
        <v>0</v>
      </c>
      <c r="H26" s="162">
        <v>7.8338000000000001</v>
      </c>
      <c r="I26" s="162">
        <f>'Consommation du 01.06 au 30.06'!Y34*1000</f>
        <v>0</v>
      </c>
      <c r="J26" s="162">
        <v>0.53</v>
      </c>
      <c r="K26" s="162">
        <f>'Consommation du 01.06 au 30.06'!D34</f>
        <v>0</v>
      </c>
      <c r="L26" s="162">
        <v>12.67</v>
      </c>
      <c r="M26" s="161">
        <f>'Consommation du 01.06 au 30.06'!AC34</f>
        <v>0</v>
      </c>
      <c r="N26" s="161"/>
      <c r="O26" s="162">
        <f t="shared" si="0"/>
        <v>0</v>
      </c>
    </row>
    <row r="27" spans="1:15" x14ac:dyDescent="0.2">
      <c r="A27" s="159" t="s">
        <v>85</v>
      </c>
      <c r="B27" s="160">
        <f t="shared" si="1"/>
        <v>26</v>
      </c>
      <c r="C27" s="160">
        <v>6</v>
      </c>
      <c r="D27" s="161">
        <v>2020</v>
      </c>
      <c r="E27" s="162">
        <f>'Consommation du 01.06 au 30.06'!M35</f>
        <v>0</v>
      </c>
      <c r="F27" s="162">
        <v>0.99</v>
      </c>
      <c r="G27" s="162">
        <f>'Consommation du 01.06 au 30.06'!U35</f>
        <v>0</v>
      </c>
      <c r="H27" s="162">
        <v>7.8338000000000001</v>
      </c>
      <c r="I27" s="162">
        <f>'Consommation du 01.06 au 30.06'!Y35*1000</f>
        <v>0</v>
      </c>
      <c r="J27" s="162">
        <v>0.53</v>
      </c>
      <c r="K27" s="162">
        <f>'Consommation du 01.06 au 30.06'!D35</f>
        <v>0</v>
      </c>
      <c r="L27" s="162">
        <v>12.67</v>
      </c>
      <c r="M27" s="161">
        <f>'Consommation du 01.06 au 30.06'!AC35</f>
        <v>0</v>
      </c>
      <c r="N27" s="161"/>
      <c r="O27" s="162">
        <f t="shared" si="0"/>
        <v>0</v>
      </c>
    </row>
    <row r="28" spans="1:15" x14ac:dyDescent="0.2">
      <c r="A28" s="159" t="s">
        <v>85</v>
      </c>
      <c r="B28" s="160">
        <f t="shared" si="1"/>
        <v>27</v>
      </c>
      <c r="C28" s="160">
        <v>6</v>
      </c>
      <c r="D28" s="161">
        <v>2020</v>
      </c>
      <c r="E28" s="162">
        <f>'Consommation du 01.06 au 30.06'!M36</f>
        <v>0</v>
      </c>
      <c r="F28" s="162">
        <v>0.99</v>
      </c>
      <c r="G28" s="162">
        <f>'Consommation du 01.06 au 30.06'!U36</f>
        <v>0</v>
      </c>
      <c r="H28" s="162">
        <v>7.8338000000000001</v>
      </c>
      <c r="I28" s="162">
        <f>'Consommation du 01.06 au 30.06'!Y36*1000</f>
        <v>0</v>
      </c>
      <c r="J28" s="162">
        <v>0.53</v>
      </c>
      <c r="K28" s="162">
        <f>'Consommation du 01.06 au 30.06'!D36</f>
        <v>0</v>
      </c>
      <c r="L28" s="162">
        <v>12.67</v>
      </c>
      <c r="M28" s="161">
        <f>'Consommation du 01.06 au 30.06'!AC36</f>
        <v>0</v>
      </c>
      <c r="N28" s="161"/>
      <c r="O28" s="162">
        <f t="shared" si="0"/>
        <v>0</v>
      </c>
    </row>
    <row r="29" spans="1:15" x14ac:dyDescent="0.2">
      <c r="A29" s="159" t="s">
        <v>85</v>
      </c>
      <c r="B29" s="160">
        <f t="shared" si="1"/>
        <v>28</v>
      </c>
      <c r="C29" s="160">
        <v>6</v>
      </c>
      <c r="D29" s="161">
        <v>2020</v>
      </c>
      <c r="E29" s="162">
        <f>'Consommation du 01.06 au 30.06'!M37</f>
        <v>0</v>
      </c>
      <c r="F29" s="162">
        <v>0.99</v>
      </c>
      <c r="G29" s="162">
        <f>'Consommation du 01.06 au 30.06'!U37</f>
        <v>0</v>
      </c>
      <c r="H29" s="162">
        <v>7.8338000000000001</v>
      </c>
      <c r="I29" s="162">
        <f>'Consommation du 01.06 au 30.06'!Y37*1000</f>
        <v>0</v>
      </c>
      <c r="J29" s="162">
        <v>0.53</v>
      </c>
      <c r="K29" s="162">
        <f>'Consommation du 01.06 au 30.06'!D37</f>
        <v>0</v>
      </c>
      <c r="L29" s="162">
        <v>12.67</v>
      </c>
      <c r="M29" s="161">
        <f>'Consommation du 01.06 au 30.06'!AC37</f>
        <v>0</v>
      </c>
      <c r="N29" s="161"/>
      <c r="O29" s="162">
        <f t="shared" si="0"/>
        <v>0</v>
      </c>
    </row>
    <row r="30" spans="1:15" x14ac:dyDescent="0.2">
      <c r="A30" s="159" t="s">
        <v>85</v>
      </c>
      <c r="B30" s="160">
        <f t="shared" si="1"/>
        <v>29</v>
      </c>
      <c r="C30" s="160">
        <v>6</v>
      </c>
      <c r="D30" s="161">
        <v>2020</v>
      </c>
      <c r="E30" s="162">
        <f>'Consommation du 01.06 au 30.06'!M38</f>
        <v>0</v>
      </c>
      <c r="F30" s="162">
        <v>0.99</v>
      </c>
      <c r="G30" s="162">
        <f>'Consommation du 01.06 au 30.06'!U38</f>
        <v>0</v>
      </c>
      <c r="H30" s="162">
        <v>7.8338000000000001</v>
      </c>
      <c r="I30" s="162">
        <f>'Consommation du 01.06 au 30.06'!Y38*1000</f>
        <v>0</v>
      </c>
      <c r="J30" s="162">
        <v>0.53</v>
      </c>
      <c r="K30" s="162">
        <f>'Consommation du 01.06 au 30.06'!D38</f>
        <v>0</v>
      </c>
      <c r="L30" s="162">
        <v>12.67</v>
      </c>
      <c r="M30" s="161">
        <f>'Consommation du 01.06 au 30.06'!AC38</f>
        <v>0</v>
      </c>
      <c r="N30" s="161"/>
      <c r="O30" s="162">
        <f t="shared" si="0"/>
        <v>0</v>
      </c>
    </row>
    <row r="31" spans="1:15" x14ac:dyDescent="0.2">
      <c r="A31" s="159" t="s">
        <v>85</v>
      </c>
      <c r="B31" s="160">
        <f t="shared" si="1"/>
        <v>30</v>
      </c>
      <c r="C31" s="160">
        <v>6</v>
      </c>
      <c r="D31" s="161">
        <v>2020</v>
      </c>
      <c r="E31" s="162">
        <f>'Consommation du 01.06 au 30.06'!M39</f>
        <v>0</v>
      </c>
      <c r="F31" s="162">
        <v>0.99</v>
      </c>
      <c r="G31" s="162">
        <f>'Consommation du 01.06 au 30.06'!U39</f>
        <v>0</v>
      </c>
      <c r="H31" s="162">
        <v>7.8338000000000001</v>
      </c>
      <c r="I31" s="162">
        <f>'Consommation du 01.06 au 30.06'!Y39*1000</f>
        <v>0</v>
      </c>
      <c r="J31" s="162">
        <v>0.53</v>
      </c>
      <c r="K31" s="162">
        <f>'Consommation du 01.06 au 30.06'!D39</f>
        <v>0</v>
      </c>
      <c r="L31" s="162">
        <v>12.67</v>
      </c>
      <c r="M31" s="161">
        <f>'Consommation du 01.06 au 30.06'!AC39</f>
        <v>0</v>
      </c>
      <c r="N31" s="161"/>
      <c r="O31" s="162">
        <f t="shared" si="0"/>
        <v>0</v>
      </c>
    </row>
    <row r="32" spans="1:15" x14ac:dyDescent="0.2"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>
        <f>SUM(O2:O31)</f>
        <v>79277.163979999983</v>
      </c>
    </row>
    <row r="33" spans="4:14" x14ac:dyDescent="0.2"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</row>
    <row r="34" spans="4:14" x14ac:dyDescent="0.2"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</row>
    <row r="35" spans="4:14" x14ac:dyDescent="0.2"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</row>
    <row r="36" spans="4:14" x14ac:dyDescent="0.2"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</row>
    <row r="37" spans="4:14" x14ac:dyDescent="0.2"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</row>
    <row r="38" spans="4:14" x14ac:dyDescent="0.2"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</row>
    <row r="39" spans="4:14" x14ac:dyDescent="0.2"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tabSelected="1" view="pageBreakPreview" topLeftCell="A6" zoomScale="60" zoomScaleNormal="60" workbookViewId="0">
      <selection activeCell="A30" sqref="A30:XFD3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4"/>
      <c r="B2" s="255"/>
      <c r="C2" s="255"/>
      <c r="D2" s="255"/>
      <c r="E2" s="255"/>
      <c r="F2" s="256"/>
      <c r="G2" s="257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4"/>
      <c r="AE2" s="256"/>
      <c r="AF2" s="71"/>
      <c r="AH2" s="62"/>
      <c r="AJ2" s="70"/>
    </row>
    <row r="3" spans="1:40" ht="1.5" customHeight="1" x14ac:dyDescent="0.2"/>
    <row r="4" spans="1:40" ht="39" hidden="1" customHeight="1" x14ac:dyDescent="0.2">
      <c r="A4" s="259"/>
      <c r="B4" s="259"/>
      <c r="C4" s="259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9"/>
      <c r="B5" s="259"/>
      <c r="C5" s="259"/>
      <c r="D5" s="3"/>
      <c r="E5" s="3"/>
      <c r="F5" s="3"/>
      <c r="G5" s="3"/>
      <c r="H5" s="3"/>
      <c r="I5" s="3"/>
      <c r="J5" s="3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1"/>
      <c r="E7" s="261"/>
      <c r="F7" s="261"/>
      <c r="G7" s="261"/>
      <c r="H7" s="261"/>
      <c r="I7" s="261"/>
      <c r="J7" s="261"/>
      <c r="K7" s="261"/>
      <c r="L7" s="261"/>
      <c r="M7" s="262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3"/>
      <c r="B8" s="244" t="s">
        <v>1</v>
      </c>
      <c r="C8" s="77"/>
      <c r="D8" s="245" t="s">
        <v>3</v>
      </c>
      <c r="E8" s="73"/>
      <c r="F8" s="247" t="s">
        <v>11</v>
      </c>
      <c r="G8" s="248"/>
      <c r="H8" s="249"/>
      <c r="I8" s="73"/>
      <c r="J8" s="89"/>
      <c r="K8" s="89"/>
      <c r="L8" s="89"/>
      <c r="M8" s="253" t="s">
        <v>2</v>
      </c>
      <c r="N8" s="73"/>
      <c r="O8" s="228" t="s">
        <v>11</v>
      </c>
      <c r="P8" s="73"/>
      <c r="Q8" s="228" t="s">
        <v>4</v>
      </c>
      <c r="R8" s="73"/>
      <c r="S8" s="228" t="s">
        <v>5</v>
      </c>
      <c r="T8" s="73"/>
      <c r="U8" s="237" t="s">
        <v>38</v>
      </c>
      <c r="V8" s="73"/>
      <c r="W8" s="228" t="s">
        <v>11</v>
      </c>
      <c r="X8" s="239" t="s">
        <v>67</v>
      </c>
      <c r="Y8" s="241" t="s">
        <v>66</v>
      </c>
      <c r="Z8" s="223" t="s">
        <v>65</v>
      </c>
      <c r="AA8" s="225"/>
      <c r="AB8" s="226" t="s">
        <v>68</v>
      </c>
      <c r="AC8" s="228" t="s">
        <v>64</v>
      </c>
      <c r="AD8" s="235" t="s">
        <v>63</v>
      </c>
      <c r="AE8" s="230" t="s">
        <v>53</v>
      </c>
      <c r="AF8" s="230" t="s">
        <v>56</v>
      </c>
      <c r="AG8" s="232" t="s">
        <v>54</v>
      </c>
      <c r="AH8" s="232" t="s">
        <v>55</v>
      </c>
      <c r="AI8" s="62"/>
      <c r="AJ8" s="126"/>
      <c r="AK8" s="126"/>
      <c r="AL8" s="74"/>
    </row>
    <row r="9" spans="1:40" ht="77.25" customHeight="1" thickBot="1" x14ac:dyDescent="0.25">
      <c r="A9" s="243"/>
      <c r="B9" s="244"/>
      <c r="C9" s="77"/>
      <c r="D9" s="246"/>
      <c r="E9" s="73"/>
      <c r="F9" s="250"/>
      <c r="G9" s="251"/>
      <c r="H9" s="252"/>
      <c r="I9" s="154"/>
      <c r="J9" s="91" t="s">
        <v>6</v>
      </c>
      <c r="K9" s="91" t="s">
        <v>7</v>
      </c>
      <c r="L9" s="91" t="s">
        <v>8</v>
      </c>
      <c r="M9" s="253"/>
      <c r="N9" s="73"/>
      <c r="O9" s="234"/>
      <c r="P9" s="73"/>
      <c r="Q9" s="234"/>
      <c r="R9" s="73"/>
      <c r="S9" s="234"/>
      <c r="T9" s="73"/>
      <c r="U9" s="238"/>
      <c r="V9" s="73"/>
      <c r="W9" s="234"/>
      <c r="X9" s="240"/>
      <c r="Y9" s="242"/>
      <c r="Z9" s="224"/>
      <c r="AA9" s="225"/>
      <c r="AB9" s="227"/>
      <c r="AC9" s="229"/>
      <c r="AD9" s="236"/>
      <c r="AE9" s="231"/>
      <c r="AF9" s="231"/>
      <c r="AG9" s="233"/>
      <c r="AH9" s="233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43983</v>
      </c>
      <c r="C10" s="93"/>
      <c r="D10" s="149">
        <f>'Suivi EAU-ELEC'!C16</f>
        <v>60</v>
      </c>
      <c r="E10" s="153"/>
      <c r="F10" s="207">
        <f t="shared" ref="F10:F40" si="0">D10*12.67</f>
        <v>760.2</v>
      </c>
      <c r="G10" s="208"/>
      <c r="H10" s="209"/>
      <c r="I10" s="144"/>
      <c r="J10" s="94">
        <f>'Suivi EAU-ELEC'!E16</f>
        <v>896</v>
      </c>
      <c r="K10" s="95">
        <f>'Suivi EAU-ELEC'!G16</f>
        <v>1319</v>
      </c>
      <c r="L10" s="95">
        <f>'Suivi EAU-ELEC'!I16</f>
        <v>568</v>
      </c>
      <c r="M10" s="82">
        <f>L10+K10+J10</f>
        <v>2783</v>
      </c>
      <c r="N10" s="58"/>
      <c r="O10" s="59">
        <f>J10*0.99+K10*0.99+L10*0.99</f>
        <v>2755.17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17028.32</v>
      </c>
      <c r="Y10" s="155">
        <f t="shared" ref="Y10:Y40" si="1">IF(X11&lt;X10,0,X11-X10)</f>
        <v>0</v>
      </c>
      <c r="Z10" s="64">
        <f>Y10*0.53*1000</f>
        <v>0</v>
      </c>
      <c r="AA10" s="58"/>
      <c r="AB10" s="84">
        <v>28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7"/>
      <c r="AJ10" s="128">
        <f t="shared" ref="AJ10:AJ40" si="2">(F10+O10+W10+Z10)</f>
        <v>3515.37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43984</v>
      </c>
      <c r="C11" s="93"/>
      <c r="D11" s="149">
        <f>'Suivi EAU-ELEC'!C17</f>
        <v>60</v>
      </c>
      <c r="E11" s="96"/>
      <c r="F11" s="207">
        <f t="shared" si="0"/>
        <v>760.2</v>
      </c>
      <c r="G11" s="208"/>
      <c r="H11" s="209"/>
      <c r="I11" s="144"/>
      <c r="J11" s="94">
        <f>'Suivi EAU-ELEC'!E17</f>
        <v>980</v>
      </c>
      <c r="K11" s="95">
        <f>'Suivi EAU-ELEC'!G17</f>
        <v>1309</v>
      </c>
      <c r="L11" s="95">
        <f>'Suivi EAU-ELEC'!I17</f>
        <v>510</v>
      </c>
      <c r="M11" s="82">
        <f t="shared" ref="M11:M40" si="4">L11+K11+J11</f>
        <v>2799</v>
      </c>
      <c r="N11" s="58"/>
      <c r="O11" s="59">
        <f t="shared" ref="O11:O40" si="5">J11*0.99+K11*0.99+L11*0.99</f>
        <v>2771.01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17028.32</v>
      </c>
      <c r="Y11" s="150">
        <f t="shared" si="1"/>
        <v>0</v>
      </c>
      <c r="Z11" s="64">
        <f t="shared" ref="Z11:Z40" si="7">Y11*0.53*1000</f>
        <v>0</v>
      </c>
      <c r="AA11" s="58"/>
      <c r="AB11" s="84">
        <v>31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7"/>
      <c r="AJ11" s="130">
        <f t="shared" si="2"/>
        <v>3531.21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43985</v>
      </c>
      <c r="C12" s="93"/>
      <c r="D12" s="149">
        <f>'Suivi EAU-ELEC'!C18</f>
        <v>70</v>
      </c>
      <c r="E12" s="96"/>
      <c r="F12" s="207">
        <f t="shared" si="0"/>
        <v>886.9</v>
      </c>
      <c r="G12" s="208"/>
      <c r="H12" s="209"/>
      <c r="I12" s="144"/>
      <c r="J12" s="94">
        <f>'Suivi EAU-ELEC'!E18</f>
        <v>681</v>
      </c>
      <c r="K12" s="95">
        <f>'Suivi EAU-ELEC'!G18</f>
        <v>1363</v>
      </c>
      <c r="L12" s="95">
        <f>'Suivi EAU-ELEC'!I18</f>
        <v>558</v>
      </c>
      <c r="M12" s="82">
        <f t="shared" si="4"/>
        <v>2602</v>
      </c>
      <c r="N12" s="58"/>
      <c r="O12" s="59">
        <f t="shared" si="5"/>
        <v>2575.98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17028.32</v>
      </c>
      <c r="Y12" s="150">
        <f t="shared" si="1"/>
        <v>0</v>
      </c>
      <c r="Z12" s="64">
        <f t="shared" si="7"/>
        <v>0</v>
      </c>
      <c r="AA12" s="58"/>
      <c r="AB12" s="84">
        <v>30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3462.88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43986</v>
      </c>
      <c r="C13" s="93"/>
      <c r="D13" s="149">
        <f>'Suivi EAU-ELEC'!C19</f>
        <v>60</v>
      </c>
      <c r="E13" s="96"/>
      <c r="F13" s="204">
        <f t="shared" si="0"/>
        <v>760.2</v>
      </c>
      <c r="G13" s="205"/>
      <c r="H13" s="206"/>
      <c r="I13" s="144"/>
      <c r="J13" s="94">
        <f>'Suivi EAU-ELEC'!E19</f>
        <v>989</v>
      </c>
      <c r="K13" s="95">
        <f>'Suivi EAU-ELEC'!G19</f>
        <v>1316</v>
      </c>
      <c r="L13" s="95">
        <f>'Suivi EAU-ELEC'!I19</f>
        <v>565</v>
      </c>
      <c r="M13" s="82">
        <f t="shared" si="4"/>
        <v>2870</v>
      </c>
      <c r="N13" s="58"/>
      <c r="O13" s="59">
        <f t="shared" si="5"/>
        <v>2841.2999999999997</v>
      </c>
      <c r="P13" s="57"/>
      <c r="Q13" s="55"/>
      <c r="R13" s="56"/>
      <c r="S13" s="55"/>
      <c r="T13" s="96"/>
      <c r="U13" s="60">
        <f>'Suivi Gaz'!O14</f>
        <v>37.1</v>
      </c>
      <c r="V13" s="58"/>
      <c r="W13" s="59">
        <f t="shared" si="6"/>
        <v>290.63398000000001</v>
      </c>
      <c r="X13" s="65">
        <v>17028.32</v>
      </c>
      <c r="Y13" s="150">
        <f t="shared" si="1"/>
        <v>0</v>
      </c>
      <c r="Z13" s="64">
        <f t="shared" si="7"/>
        <v>0</v>
      </c>
      <c r="AA13" s="58"/>
      <c r="AB13" s="61">
        <v>28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3892.1339800000001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43987</v>
      </c>
      <c r="C14" s="93"/>
      <c r="D14" s="149">
        <f>'Suivi EAU-ELEC'!C20</f>
        <v>60</v>
      </c>
      <c r="E14" s="96"/>
      <c r="F14" s="207">
        <f t="shared" si="0"/>
        <v>760.2</v>
      </c>
      <c r="G14" s="208"/>
      <c r="H14" s="209"/>
      <c r="I14" s="144"/>
      <c r="J14" s="94">
        <f>'Suivi EAU-ELEC'!E20</f>
        <v>973</v>
      </c>
      <c r="K14" s="95">
        <f>'Suivi EAU-ELEC'!G20</f>
        <v>1369</v>
      </c>
      <c r="L14" s="95">
        <f>'Suivi EAU-ELEC'!I20</f>
        <v>564</v>
      </c>
      <c r="M14" s="82">
        <f t="shared" si="4"/>
        <v>2906</v>
      </c>
      <c r="N14" s="58"/>
      <c r="O14" s="59">
        <f t="shared" si="5"/>
        <v>2876.94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17028.32</v>
      </c>
      <c r="Y14" s="150">
        <f t="shared" si="1"/>
        <v>0</v>
      </c>
      <c r="Z14" s="64">
        <f t="shared" si="7"/>
        <v>0</v>
      </c>
      <c r="AA14" s="58"/>
      <c r="AB14" s="61">
        <v>32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3637.1400000000003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43988</v>
      </c>
      <c r="C15" s="93"/>
      <c r="D15" s="149">
        <f>'Suivi EAU-ELEC'!C21</f>
        <v>60</v>
      </c>
      <c r="E15" s="96"/>
      <c r="F15" s="210">
        <f t="shared" si="0"/>
        <v>760.2</v>
      </c>
      <c r="G15" s="211"/>
      <c r="H15" s="212"/>
      <c r="I15" s="146"/>
      <c r="J15" s="94">
        <f>'Suivi EAU-ELEC'!E21</f>
        <v>936</v>
      </c>
      <c r="K15" s="95">
        <f>'Suivi EAU-ELEC'!G21</f>
        <v>1331</v>
      </c>
      <c r="L15" s="95">
        <f>'Suivi EAU-ELEC'!I21</f>
        <v>599</v>
      </c>
      <c r="M15" s="82">
        <f t="shared" si="4"/>
        <v>2866</v>
      </c>
      <c r="N15" s="58"/>
      <c r="O15" s="59">
        <f t="shared" si="5"/>
        <v>2837.34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17028.32</v>
      </c>
      <c r="Y15" s="150">
        <f t="shared" si="1"/>
        <v>0</v>
      </c>
      <c r="Z15" s="64">
        <f t="shared" si="7"/>
        <v>0</v>
      </c>
      <c r="AA15" s="58"/>
      <c r="AB15" s="61">
        <v>28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3597.54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43989</v>
      </c>
      <c r="C16" s="93"/>
      <c r="D16" s="149">
        <f>'Suivi EAU-ELEC'!C22</f>
        <v>50</v>
      </c>
      <c r="E16" s="96"/>
      <c r="F16" s="204">
        <f t="shared" si="0"/>
        <v>633.5</v>
      </c>
      <c r="G16" s="205"/>
      <c r="H16" s="206"/>
      <c r="I16" s="143"/>
      <c r="J16" s="94">
        <f>'Suivi EAU-ELEC'!E22</f>
        <v>907</v>
      </c>
      <c r="K16" s="95">
        <f>'Suivi EAU-ELEC'!G22</f>
        <v>1336</v>
      </c>
      <c r="L16" s="95">
        <f>'Suivi EAU-ELEC'!I22</f>
        <v>577</v>
      </c>
      <c r="M16" s="82">
        <f t="shared" si="4"/>
        <v>2820</v>
      </c>
      <c r="N16" s="58"/>
      <c r="O16" s="59">
        <f t="shared" si="5"/>
        <v>2791.8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17028.32</v>
      </c>
      <c r="Y16" s="150">
        <f t="shared" si="1"/>
        <v>0</v>
      </c>
      <c r="Z16" s="64">
        <f t="shared" si="7"/>
        <v>0</v>
      </c>
      <c r="AA16" s="58"/>
      <c r="AB16" s="61">
        <v>27</v>
      </c>
      <c r="AC16" s="78">
        <v>0</v>
      </c>
      <c r="AD16" s="79">
        <v>0</v>
      </c>
      <c r="AE16" s="83" t="s">
        <v>69</v>
      </c>
      <c r="AF16" s="83" t="s">
        <v>69</v>
      </c>
      <c r="AG16" s="80" t="s">
        <v>69</v>
      </c>
      <c r="AH16" s="81" t="s">
        <v>69</v>
      </c>
      <c r="AI16" s="44"/>
      <c r="AJ16" s="130">
        <f t="shared" si="2"/>
        <v>3425.3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43990</v>
      </c>
      <c r="C17" s="93"/>
      <c r="D17" s="149">
        <f>'Suivi EAU-ELEC'!C23</f>
        <v>90</v>
      </c>
      <c r="E17" s="96"/>
      <c r="F17" s="207">
        <f t="shared" si="0"/>
        <v>1140.3</v>
      </c>
      <c r="G17" s="208"/>
      <c r="H17" s="209"/>
      <c r="I17" s="144"/>
      <c r="J17" s="94">
        <f>'Suivi EAU-ELEC'!E23</f>
        <v>1856</v>
      </c>
      <c r="K17" s="95">
        <f>'Suivi EAU-ELEC'!G23</f>
        <v>2802</v>
      </c>
      <c r="L17" s="95">
        <f>'Suivi EAU-ELEC'!I23</f>
        <v>1266</v>
      </c>
      <c r="M17" s="82">
        <f t="shared" si="4"/>
        <v>5924</v>
      </c>
      <c r="N17" s="58"/>
      <c r="O17" s="59">
        <f t="shared" si="5"/>
        <v>5864.76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17028.32</v>
      </c>
      <c r="Y17" s="150">
        <f t="shared" si="1"/>
        <v>0</v>
      </c>
      <c r="Z17" s="64">
        <f t="shared" si="7"/>
        <v>0</v>
      </c>
      <c r="AA17" s="67"/>
      <c r="AB17" s="61">
        <v>26</v>
      </c>
      <c r="AC17" s="78">
        <v>0</v>
      </c>
      <c r="AD17" s="79">
        <v>0</v>
      </c>
      <c r="AE17" s="83" t="s">
        <v>69</v>
      </c>
      <c r="AF17" s="83" t="s">
        <v>69</v>
      </c>
      <c r="AG17" s="80" t="s">
        <v>69</v>
      </c>
      <c r="AH17" s="81" t="s">
        <v>69</v>
      </c>
      <c r="AI17" s="44"/>
      <c r="AJ17" s="130">
        <f t="shared" si="2"/>
        <v>7005.06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43991</v>
      </c>
      <c r="C18" s="93"/>
      <c r="D18" s="149">
        <f>'Suivi EAU-ELEC'!C24</f>
        <v>60</v>
      </c>
      <c r="E18" s="96"/>
      <c r="F18" s="210">
        <f t="shared" si="0"/>
        <v>760.2</v>
      </c>
      <c r="G18" s="211"/>
      <c r="H18" s="212"/>
      <c r="I18" s="144"/>
      <c r="J18" s="94">
        <f>'Suivi EAU-ELEC'!E24</f>
        <v>843</v>
      </c>
      <c r="K18" s="95">
        <f>'Suivi EAU-ELEC'!G24</f>
        <v>1511</v>
      </c>
      <c r="L18" s="95">
        <f>'Suivi EAU-ELEC'!I24</f>
        <v>588</v>
      </c>
      <c r="M18" s="82">
        <f t="shared" si="4"/>
        <v>2942</v>
      </c>
      <c r="N18" s="58"/>
      <c r="O18" s="59">
        <f t="shared" si="5"/>
        <v>2912.58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17028.32</v>
      </c>
      <c r="Y18" s="150">
        <f t="shared" si="1"/>
        <v>0</v>
      </c>
      <c r="Z18" s="64">
        <f t="shared" si="7"/>
        <v>0</v>
      </c>
      <c r="AA18" s="67"/>
      <c r="AB18" s="61">
        <v>26</v>
      </c>
      <c r="AC18" s="78">
        <v>0</v>
      </c>
      <c r="AD18" s="79">
        <v>0</v>
      </c>
      <c r="AE18" s="83" t="s">
        <v>69</v>
      </c>
      <c r="AF18" s="83" t="s">
        <v>69</v>
      </c>
      <c r="AG18" s="80" t="s">
        <v>69</v>
      </c>
      <c r="AH18" s="81" t="s">
        <v>69</v>
      </c>
      <c r="AI18" s="44"/>
      <c r="AJ18" s="130">
        <f t="shared" si="2"/>
        <v>3672.7799999999997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43992</v>
      </c>
      <c r="C19" s="93"/>
      <c r="D19" s="149">
        <f>'Suivi EAU-ELEC'!C25</f>
        <v>60</v>
      </c>
      <c r="E19" s="96"/>
      <c r="F19" s="207">
        <f t="shared" si="0"/>
        <v>760.2</v>
      </c>
      <c r="G19" s="208"/>
      <c r="H19" s="209"/>
      <c r="I19" s="144"/>
      <c r="J19" s="94">
        <f>'Suivi EAU-ELEC'!E25</f>
        <v>880</v>
      </c>
      <c r="K19" s="95">
        <f>'Suivi EAU-ELEC'!G25</f>
        <v>1347</v>
      </c>
      <c r="L19" s="95">
        <f>'Suivi EAU-ELEC'!I25</f>
        <v>555</v>
      </c>
      <c r="M19" s="82">
        <f t="shared" si="4"/>
        <v>2782</v>
      </c>
      <c r="N19" s="58"/>
      <c r="O19" s="59">
        <f t="shared" si="5"/>
        <v>2754.1800000000003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17028.32</v>
      </c>
      <c r="Y19" s="150">
        <f t="shared" si="1"/>
        <v>0</v>
      </c>
      <c r="Z19" s="64">
        <f t="shared" si="7"/>
        <v>0</v>
      </c>
      <c r="AA19" s="67"/>
      <c r="AB19" s="61">
        <v>26</v>
      </c>
      <c r="AC19" s="78">
        <v>0</v>
      </c>
      <c r="AD19" s="79">
        <v>0</v>
      </c>
      <c r="AE19" s="83" t="s">
        <v>69</v>
      </c>
      <c r="AF19" s="83" t="s">
        <v>69</v>
      </c>
      <c r="AG19" s="80" t="s">
        <v>69</v>
      </c>
      <c r="AH19" s="81" t="s">
        <v>69</v>
      </c>
      <c r="AI19" s="44"/>
      <c r="AJ19" s="130">
        <f t="shared" si="2"/>
        <v>3514.38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43993</v>
      </c>
      <c r="C20" s="93"/>
      <c r="D20" s="149">
        <f>'Suivi EAU-ELEC'!C26</f>
        <v>60</v>
      </c>
      <c r="E20" s="96"/>
      <c r="F20" s="204">
        <f t="shared" si="0"/>
        <v>760.2</v>
      </c>
      <c r="G20" s="205"/>
      <c r="H20" s="206"/>
      <c r="I20" s="144"/>
      <c r="J20" s="94">
        <f>'Suivi EAU-ELEC'!E26</f>
        <v>935</v>
      </c>
      <c r="K20" s="95">
        <f>'Suivi EAU-ELEC'!G26</f>
        <v>1390</v>
      </c>
      <c r="L20" s="95">
        <f>'Suivi EAU-ELEC'!I26</f>
        <v>586</v>
      </c>
      <c r="M20" s="82">
        <f t="shared" si="4"/>
        <v>2911</v>
      </c>
      <c r="N20" s="58"/>
      <c r="O20" s="59">
        <f t="shared" si="5"/>
        <v>2881.89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17028.32</v>
      </c>
      <c r="Y20" s="150">
        <f t="shared" si="1"/>
        <v>0</v>
      </c>
      <c r="Z20" s="64">
        <f t="shared" si="7"/>
        <v>0</v>
      </c>
      <c r="AA20" s="67">
        <v>14</v>
      </c>
      <c r="AB20" s="61">
        <v>25</v>
      </c>
      <c r="AC20" s="78">
        <v>0</v>
      </c>
      <c r="AD20" s="79">
        <v>0</v>
      </c>
      <c r="AE20" s="83" t="s">
        <v>69</v>
      </c>
      <c r="AF20" s="83" t="s">
        <v>69</v>
      </c>
      <c r="AG20" s="80" t="s">
        <v>69</v>
      </c>
      <c r="AH20" s="81" t="s">
        <v>69</v>
      </c>
      <c r="AI20" s="44"/>
      <c r="AJ20" s="130">
        <f t="shared" si="2"/>
        <v>3642.09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43994</v>
      </c>
      <c r="C21" s="93"/>
      <c r="D21" s="149">
        <f>'Suivi EAU-ELEC'!C27</f>
        <v>60</v>
      </c>
      <c r="E21" s="96"/>
      <c r="F21" s="207">
        <f t="shared" si="0"/>
        <v>760.2</v>
      </c>
      <c r="G21" s="208"/>
      <c r="H21" s="209"/>
      <c r="I21" s="144"/>
      <c r="J21" s="94">
        <f>'Suivi EAU-ELEC'!E27</f>
        <v>852</v>
      </c>
      <c r="K21" s="95">
        <f>'Suivi EAU-ELEC'!G27</f>
        <v>1411</v>
      </c>
      <c r="L21" s="95">
        <f>'Suivi EAU-ELEC'!I27</f>
        <v>561</v>
      </c>
      <c r="M21" s="82">
        <f t="shared" si="4"/>
        <v>2824</v>
      </c>
      <c r="N21" s="58"/>
      <c r="O21" s="59">
        <f t="shared" si="5"/>
        <v>2795.7599999999998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17028.32</v>
      </c>
      <c r="Y21" s="150">
        <f t="shared" si="1"/>
        <v>0</v>
      </c>
      <c r="Z21" s="64">
        <f t="shared" si="7"/>
        <v>0</v>
      </c>
      <c r="AA21" s="67">
        <v>14</v>
      </c>
      <c r="AB21" s="61">
        <v>25</v>
      </c>
      <c r="AC21" s="78">
        <v>0</v>
      </c>
      <c r="AD21" s="79">
        <v>0</v>
      </c>
      <c r="AE21" s="83" t="s">
        <v>69</v>
      </c>
      <c r="AF21" s="83" t="s">
        <v>69</v>
      </c>
      <c r="AG21" s="80" t="s">
        <v>69</v>
      </c>
      <c r="AH21" s="81" t="s">
        <v>69</v>
      </c>
      <c r="AI21" s="44"/>
      <c r="AJ21" s="130">
        <f t="shared" si="2"/>
        <v>3555.96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43995</v>
      </c>
      <c r="C22" s="93"/>
      <c r="D22" s="149">
        <f>'Suivi EAU-ELEC'!C28</f>
        <v>60</v>
      </c>
      <c r="E22" s="96"/>
      <c r="F22" s="210">
        <f t="shared" si="0"/>
        <v>760.2</v>
      </c>
      <c r="G22" s="211"/>
      <c r="H22" s="212"/>
      <c r="I22" s="144"/>
      <c r="J22" s="94">
        <f>'Suivi EAU-ELEC'!E28</f>
        <v>886</v>
      </c>
      <c r="K22" s="95">
        <f>'Suivi EAU-ELEC'!G28</f>
        <v>1356</v>
      </c>
      <c r="L22" s="95">
        <f>'Suivi EAU-ELEC'!I28</f>
        <v>576</v>
      </c>
      <c r="M22" s="82">
        <f t="shared" si="4"/>
        <v>2818</v>
      </c>
      <c r="N22" s="58"/>
      <c r="O22" s="59">
        <f t="shared" si="5"/>
        <v>2789.8199999999997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17028.32</v>
      </c>
      <c r="Y22" s="150">
        <f t="shared" si="1"/>
        <v>0</v>
      </c>
      <c r="Z22" s="64">
        <f t="shared" si="7"/>
        <v>0</v>
      </c>
      <c r="AA22" s="58"/>
      <c r="AB22" s="61">
        <v>26</v>
      </c>
      <c r="AC22" s="78">
        <v>0</v>
      </c>
      <c r="AD22" s="79">
        <v>0</v>
      </c>
      <c r="AE22" s="83" t="s">
        <v>69</v>
      </c>
      <c r="AF22" s="83" t="s">
        <v>69</v>
      </c>
      <c r="AG22" s="80" t="s">
        <v>69</v>
      </c>
      <c r="AH22" s="81" t="s">
        <v>69</v>
      </c>
      <c r="AI22" s="44"/>
      <c r="AJ22" s="130">
        <f t="shared" si="2"/>
        <v>3550.0199999999995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43996</v>
      </c>
      <c r="C23" s="93"/>
      <c r="D23" s="149">
        <f>'Suivi EAU-ELEC'!C29</f>
        <v>60</v>
      </c>
      <c r="E23" s="96"/>
      <c r="F23" s="207">
        <f t="shared" si="0"/>
        <v>760.2</v>
      </c>
      <c r="G23" s="208"/>
      <c r="H23" s="209"/>
      <c r="I23" s="144"/>
      <c r="J23" s="94">
        <f>'Suivi EAU-ELEC'!E29</f>
        <v>934</v>
      </c>
      <c r="K23" s="95">
        <f>'Suivi EAU-ELEC'!G29</f>
        <v>1302</v>
      </c>
      <c r="L23" s="95">
        <f>'Suivi EAU-ELEC'!I29</f>
        <v>575</v>
      </c>
      <c r="M23" s="82">
        <f t="shared" si="4"/>
        <v>2811</v>
      </c>
      <c r="N23" s="58"/>
      <c r="O23" s="59">
        <f t="shared" si="5"/>
        <v>2782.89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>
        <v>17028.32</v>
      </c>
      <c r="Y23" s="150">
        <f t="shared" si="1"/>
        <v>0</v>
      </c>
      <c r="Z23" s="64">
        <f t="shared" si="7"/>
        <v>0</v>
      </c>
      <c r="AA23" s="58"/>
      <c r="AB23" s="61">
        <v>27</v>
      </c>
      <c r="AC23" s="78">
        <v>0</v>
      </c>
      <c r="AD23" s="79">
        <v>0</v>
      </c>
      <c r="AE23" s="83" t="s">
        <v>69</v>
      </c>
      <c r="AF23" s="83" t="s">
        <v>69</v>
      </c>
      <c r="AG23" s="80" t="s">
        <v>69</v>
      </c>
      <c r="AH23" s="81" t="s">
        <v>69</v>
      </c>
      <c r="AI23" s="44"/>
      <c r="AJ23" s="130">
        <f t="shared" si="2"/>
        <v>3543.09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43997</v>
      </c>
      <c r="C24" s="93"/>
      <c r="D24" s="149">
        <f>'Suivi EAU-ELEC'!C30</f>
        <v>60</v>
      </c>
      <c r="E24" s="96"/>
      <c r="F24" s="207">
        <f t="shared" si="0"/>
        <v>760.2</v>
      </c>
      <c r="G24" s="208"/>
      <c r="H24" s="209"/>
      <c r="I24" s="144"/>
      <c r="J24" s="94">
        <f>'Suivi EAU-ELEC'!E30</f>
        <v>926</v>
      </c>
      <c r="K24" s="95">
        <f>'Suivi EAU-ELEC'!G30</f>
        <v>1354</v>
      </c>
      <c r="L24" s="95">
        <f>'Suivi EAU-ELEC'!I30</f>
        <v>601</v>
      </c>
      <c r="M24" s="82">
        <f t="shared" si="4"/>
        <v>2881</v>
      </c>
      <c r="N24" s="58"/>
      <c r="O24" s="59">
        <f t="shared" si="5"/>
        <v>2852.1899999999996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17028.32</v>
      </c>
      <c r="Y24" s="150">
        <f t="shared" si="1"/>
        <v>0</v>
      </c>
      <c r="Z24" s="64">
        <f t="shared" si="7"/>
        <v>0</v>
      </c>
      <c r="AA24" s="58"/>
      <c r="AB24" s="61">
        <v>32</v>
      </c>
      <c r="AC24" s="78">
        <v>0</v>
      </c>
      <c r="AD24" s="79">
        <v>0</v>
      </c>
      <c r="AE24" s="83" t="s">
        <v>69</v>
      </c>
      <c r="AF24" s="83" t="s">
        <v>69</v>
      </c>
      <c r="AG24" s="80" t="s">
        <v>69</v>
      </c>
      <c r="AH24" s="81" t="s">
        <v>69</v>
      </c>
      <c r="AJ24" s="130">
        <f>(F24+O24+W24+Z24)</f>
        <v>3612.3899999999994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43998</v>
      </c>
      <c r="C25" s="93"/>
      <c r="D25" s="149">
        <f>'Suivi EAU-ELEC'!C31</f>
        <v>70</v>
      </c>
      <c r="E25" s="96"/>
      <c r="F25" s="207">
        <f t="shared" si="0"/>
        <v>886.9</v>
      </c>
      <c r="G25" s="208"/>
      <c r="H25" s="209"/>
      <c r="I25" s="144"/>
      <c r="J25" s="94">
        <f>'Suivi EAU-ELEC'!E31</f>
        <v>936</v>
      </c>
      <c r="K25" s="95">
        <f>'Suivi EAU-ELEC'!G31</f>
        <v>1409</v>
      </c>
      <c r="L25" s="95">
        <f>'Suivi EAU-ELEC'!I31</f>
        <v>584</v>
      </c>
      <c r="M25" s="82">
        <f t="shared" si="4"/>
        <v>2929</v>
      </c>
      <c r="N25" s="58"/>
      <c r="O25" s="59">
        <f t="shared" si="5"/>
        <v>2899.71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17028.32</v>
      </c>
      <c r="Y25" s="150">
        <f t="shared" si="1"/>
        <v>0</v>
      </c>
      <c r="Z25" s="64">
        <f t="shared" si="7"/>
        <v>0</v>
      </c>
      <c r="AA25" s="58"/>
      <c r="AB25" s="61">
        <v>31</v>
      </c>
      <c r="AC25" s="78">
        <v>0</v>
      </c>
      <c r="AD25" s="79">
        <v>0</v>
      </c>
      <c r="AE25" s="83" t="s">
        <v>69</v>
      </c>
      <c r="AF25" s="83" t="s">
        <v>69</v>
      </c>
      <c r="AG25" s="80" t="s">
        <v>69</v>
      </c>
      <c r="AH25" s="81" t="s">
        <v>69</v>
      </c>
      <c r="AI25" s="44"/>
      <c r="AJ25" s="130">
        <f>(F25+O25+W25+Z25)</f>
        <v>3786.61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43999</v>
      </c>
      <c r="C26" s="93"/>
      <c r="D26" s="149">
        <f>'Suivi EAU-ELEC'!C32</f>
        <v>60</v>
      </c>
      <c r="E26" s="152"/>
      <c r="F26" s="207">
        <f t="shared" si="0"/>
        <v>760.2</v>
      </c>
      <c r="G26" s="208"/>
      <c r="H26" s="209"/>
      <c r="I26" s="144"/>
      <c r="J26" s="94">
        <f>'Suivi EAU-ELEC'!E32</f>
        <v>919</v>
      </c>
      <c r="K26" s="95">
        <f>'Suivi EAU-ELEC'!G32</f>
        <v>1367</v>
      </c>
      <c r="L26" s="95">
        <f>'Suivi EAU-ELEC'!I32</f>
        <v>599</v>
      </c>
      <c r="M26" s="82">
        <f t="shared" si="4"/>
        <v>2885</v>
      </c>
      <c r="N26" s="58"/>
      <c r="O26" s="59">
        <f t="shared" si="5"/>
        <v>2856.1499999999996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>
        <v>17028.32</v>
      </c>
      <c r="Y26" s="150">
        <f t="shared" si="1"/>
        <v>0</v>
      </c>
      <c r="Z26" s="64">
        <f t="shared" si="7"/>
        <v>0</v>
      </c>
      <c r="AA26" s="85"/>
      <c r="AB26" s="61">
        <v>30</v>
      </c>
      <c r="AC26" s="78">
        <v>0</v>
      </c>
      <c r="AD26" s="79">
        <v>0</v>
      </c>
      <c r="AE26" s="83" t="s">
        <v>69</v>
      </c>
      <c r="AF26" s="83" t="s">
        <v>69</v>
      </c>
      <c r="AG26" s="80" t="s">
        <v>69</v>
      </c>
      <c r="AH26" s="81" t="s">
        <v>69</v>
      </c>
      <c r="AI26" s="44"/>
      <c r="AJ26" s="130">
        <f>(F26+O26+W26+Z26)</f>
        <v>3616.3499999999995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44000</v>
      </c>
      <c r="C27" s="93"/>
      <c r="D27" s="149">
        <f>'Suivi EAU-ELEC'!C33</f>
        <v>60</v>
      </c>
      <c r="E27" s="152"/>
      <c r="F27" s="207">
        <f t="shared" si="0"/>
        <v>760.2</v>
      </c>
      <c r="G27" s="208"/>
      <c r="H27" s="209"/>
      <c r="I27" s="144"/>
      <c r="J27" s="94">
        <f>'Suivi EAU-ELEC'!E33</f>
        <v>1065</v>
      </c>
      <c r="K27" s="95">
        <f>'Suivi EAU-ELEC'!G33</f>
        <v>1301</v>
      </c>
      <c r="L27" s="95">
        <f>'Suivi EAU-ELEC'!I33</f>
        <v>599</v>
      </c>
      <c r="M27" s="82">
        <f t="shared" si="4"/>
        <v>2965</v>
      </c>
      <c r="N27" s="58"/>
      <c r="O27" s="59">
        <f t="shared" si="5"/>
        <v>2935.3500000000004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17028.32</v>
      </c>
      <c r="Y27" s="150">
        <f t="shared" si="1"/>
        <v>0</v>
      </c>
      <c r="Z27" s="64">
        <f t="shared" si="7"/>
        <v>0</v>
      </c>
      <c r="AA27" s="85"/>
      <c r="AB27" s="61">
        <v>27</v>
      </c>
      <c r="AC27" s="78">
        <v>0</v>
      </c>
      <c r="AD27" s="79">
        <v>0</v>
      </c>
      <c r="AE27" s="83" t="s">
        <v>69</v>
      </c>
      <c r="AF27" s="83" t="s">
        <v>69</v>
      </c>
      <c r="AG27" s="80" t="s">
        <v>69</v>
      </c>
      <c r="AH27" s="81" t="s">
        <v>69</v>
      </c>
      <c r="AI27" s="44"/>
      <c r="AJ27" s="130">
        <f t="shared" si="2"/>
        <v>3695.55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44001</v>
      </c>
      <c r="C28" s="93"/>
      <c r="D28" s="149">
        <f>'Suivi EAU-ELEC'!C34</f>
        <v>60</v>
      </c>
      <c r="E28" s="152"/>
      <c r="F28" s="204">
        <f t="shared" si="0"/>
        <v>760.2</v>
      </c>
      <c r="G28" s="205"/>
      <c r="H28" s="206"/>
      <c r="I28" s="145"/>
      <c r="J28" s="94">
        <f>'Suivi EAU-ELEC'!E34</f>
        <v>982</v>
      </c>
      <c r="K28" s="95">
        <f>'Suivi EAU-ELEC'!G34</f>
        <v>1433</v>
      </c>
      <c r="L28" s="95">
        <f>'Suivi EAU-ELEC'!I34</f>
        <v>608</v>
      </c>
      <c r="M28" s="82">
        <f t="shared" si="4"/>
        <v>3023</v>
      </c>
      <c r="N28" s="58"/>
      <c r="O28" s="59">
        <f t="shared" si="5"/>
        <v>2992.77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>
        <v>17028.32</v>
      </c>
      <c r="Y28" s="150">
        <f t="shared" si="1"/>
        <v>0</v>
      </c>
      <c r="Z28" s="64">
        <f t="shared" si="7"/>
        <v>0</v>
      </c>
      <c r="AA28" s="85"/>
      <c r="AB28" s="61">
        <v>28</v>
      </c>
      <c r="AC28" s="78">
        <v>0</v>
      </c>
      <c r="AD28" s="79">
        <v>0</v>
      </c>
      <c r="AE28" s="83" t="s">
        <v>69</v>
      </c>
      <c r="AF28" s="83" t="s">
        <v>69</v>
      </c>
      <c r="AG28" s="80" t="s">
        <v>69</v>
      </c>
      <c r="AH28" s="81" t="s">
        <v>69</v>
      </c>
      <c r="AI28" s="44"/>
      <c r="AJ28" s="130">
        <f>(F28+O28+W28+Z28)</f>
        <v>3752.9700000000003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44002</v>
      </c>
      <c r="C29" s="93"/>
      <c r="D29" s="149">
        <f>'Suivi EAU-ELEC'!C35</f>
        <v>70</v>
      </c>
      <c r="E29" s="152"/>
      <c r="F29" s="207">
        <f t="shared" si="0"/>
        <v>886.9</v>
      </c>
      <c r="G29" s="208"/>
      <c r="H29" s="209"/>
      <c r="I29" s="145"/>
      <c r="J29" s="94">
        <f>'Suivi EAU-ELEC'!E35</f>
        <v>917</v>
      </c>
      <c r="K29" s="95">
        <f>'Suivi EAU-ELEC'!G35</f>
        <v>1402</v>
      </c>
      <c r="L29" s="95">
        <f>'Suivi EAU-ELEC'!I35</f>
        <v>576</v>
      </c>
      <c r="M29" s="82">
        <f t="shared" si="4"/>
        <v>2895</v>
      </c>
      <c r="N29" s="58"/>
      <c r="O29" s="59">
        <f t="shared" si="5"/>
        <v>2866.05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>
        <v>17028.32</v>
      </c>
      <c r="Y29" s="150">
        <f t="shared" si="1"/>
        <v>0</v>
      </c>
      <c r="Z29" s="64">
        <f t="shared" si="7"/>
        <v>0</v>
      </c>
      <c r="AA29" s="85"/>
      <c r="AB29" s="61">
        <v>31</v>
      </c>
      <c r="AC29" s="78">
        <v>0</v>
      </c>
      <c r="AD29" s="79">
        <v>0</v>
      </c>
      <c r="AE29" s="83" t="s">
        <v>69</v>
      </c>
      <c r="AF29" s="83" t="s">
        <v>69</v>
      </c>
      <c r="AG29" s="80" t="s">
        <v>69</v>
      </c>
      <c r="AH29" s="81" t="s">
        <v>69</v>
      </c>
      <c r="AI29" s="44"/>
      <c r="AJ29" s="130">
        <f t="shared" si="2"/>
        <v>3752.9500000000003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44003</v>
      </c>
      <c r="C30" s="98"/>
      <c r="D30" s="149">
        <f>'Suivi EAU-ELEC'!C36</f>
        <v>50</v>
      </c>
      <c r="E30" s="152"/>
      <c r="F30" s="204">
        <f t="shared" si="0"/>
        <v>633.5</v>
      </c>
      <c r="G30" s="205"/>
      <c r="H30" s="206"/>
      <c r="I30" s="145"/>
      <c r="J30" s="94">
        <f>'Suivi EAU-ELEC'!E36</f>
        <v>919</v>
      </c>
      <c r="K30" s="95">
        <f>'Suivi EAU-ELEC'!G36</f>
        <v>1394</v>
      </c>
      <c r="L30" s="95">
        <f>'Suivi EAU-ELEC'!I36</f>
        <v>598</v>
      </c>
      <c r="M30" s="82">
        <f t="shared" si="4"/>
        <v>2911</v>
      </c>
      <c r="N30" s="58"/>
      <c r="O30" s="59">
        <f t="shared" si="5"/>
        <v>2881.89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>
        <v>17028.32</v>
      </c>
      <c r="Y30" s="150">
        <f t="shared" si="1"/>
        <v>0</v>
      </c>
      <c r="Z30" s="64">
        <f t="shared" si="7"/>
        <v>0</v>
      </c>
      <c r="AA30" s="85"/>
      <c r="AB30" s="61">
        <v>32</v>
      </c>
      <c r="AC30" s="78">
        <v>0</v>
      </c>
      <c r="AD30" s="79">
        <v>0</v>
      </c>
      <c r="AE30" s="83" t="s">
        <v>69</v>
      </c>
      <c r="AF30" s="83" t="s">
        <v>69</v>
      </c>
      <c r="AG30" s="80" t="s">
        <v>69</v>
      </c>
      <c r="AH30" s="81" t="s">
        <v>69</v>
      </c>
      <c r="AI30" s="44"/>
      <c r="AJ30" s="130">
        <f t="shared" si="2"/>
        <v>3515.39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44004</v>
      </c>
      <c r="C31" s="93"/>
      <c r="D31" s="149">
        <f>'Suivi EAU-ELEC'!C37</f>
        <v>0</v>
      </c>
      <c r="E31" s="96"/>
      <c r="F31" s="207">
        <f t="shared" si="0"/>
        <v>0</v>
      </c>
      <c r="G31" s="208"/>
      <c r="H31" s="209"/>
      <c r="I31" s="146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>
        <v>17028.32</v>
      </c>
      <c r="Y31" s="150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44005</v>
      </c>
      <c r="C32" s="93"/>
      <c r="D32" s="149">
        <f>'Suivi EAU-ELEC'!C38</f>
        <v>0</v>
      </c>
      <c r="E32" s="96"/>
      <c r="F32" s="207">
        <f t="shared" si="0"/>
        <v>0</v>
      </c>
      <c r="G32" s="208"/>
      <c r="H32" s="209"/>
      <c r="I32" s="143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50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44006</v>
      </c>
      <c r="C33" s="93"/>
      <c r="D33" s="149">
        <f>'Suivi EAU-ELEC'!C39</f>
        <v>0</v>
      </c>
      <c r="E33" s="96"/>
      <c r="F33" s="207">
        <f t="shared" si="0"/>
        <v>0</v>
      </c>
      <c r="G33" s="208"/>
      <c r="H33" s="209"/>
      <c r="I33" s="144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50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44007</v>
      </c>
      <c r="C34" s="93"/>
      <c r="D34" s="149">
        <f>'Suivi EAU-ELEC'!C40</f>
        <v>0</v>
      </c>
      <c r="E34" s="96"/>
      <c r="F34" s="207">
        <f t="shared" si="0"/>
        <v>0</v>
      </c>
      <c r="G34" s="208"/>
      <c r="H34" s="209"/>
      <c r="I34" s="144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50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44008</v>
      </c>
      <c r="C35" s="93"/>
      <c r="D35" s="149">
        <f>'Suivi EAU-ELEC'!C41</f>
        <v>0</v>
      </c>
      <c r="E35" s="96"/>
      <c r="F35" s="210">
        <f t="shared" si="0"/>
        <v>0</v>
      </c>
      <c r="G35" s="211"/>
      <c r="H35" s="212"/>
      <c r="I35" s="144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50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44009</v>
      </c>
      <c r="C36" s="93"/>
      <c r="D36" s="149">
        <f>'Suivi EAU-ELEC'!C42</f>
        <v>0</v>
      </c>
      <c r="E36" s="96"/>
      <c r="F36" s="217">
        <f t="shared" si="0"/>
        <v>0</v>
      </c>
      <c r="G36" s="218"/>
      <c r="H36" s="219"/>
      <c r="I36" s="144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50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44010</v>
      </c>
      <c r="C37" s="93"/>
      <c r="D37" s="149">
        <f>'Suivi EAU-ELEC'!C43</f>
        <v>0</v>
      </c>
      <c r="E37" s="96"/>
      <c r="F37" s="220">
        <f t="shared" si="0"/>
        <v>0</v>
      </c>
      <c r="G37" s="221"/>
      <c r="H37" s="222"/>
      <c r="I37" s="144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50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44011</v>
      </c>
      <c r="C38" s="93"/>
      <c r="D38" s="149">
        <f>'Suivi EAU-ELEC'!C44</f>
        <v>0</v>
      </c>
      <c r="E38" s="96"/>
      <c r="F38" s="204">
        <f t="shared" si="0"/>
        <v>0</v>
      </c>
      <c r="G38" s="205"/>
      <c r="H38" s="206"/>
      <c r="I38" s="144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50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44012</v>
      </c>
      <c r="C39" s="93"/>
      <c r="D39" s="149">
        <f>'Suivi EAU-ELEC'!C45</f>
        <v>0</v>
      </c>
      <c r="E39" s="96"/>
      <c r="F39" s="207">
        <f t="shared" si="0"/>
        <v>0</v>
      </c>
      <c r="G39" s="208"/>
      <c r="H39" s="209"/>
      <c r="I39" s="144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50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44013</v>
      </c>
      <c r="C40" s="93"/>
      <c r="D40" s="149">
        <f>'Suivi EAU-ELEC'!C46</f>
        <v>0</v>
      </c>
      <c r="E40" s="151"/>
      <c r="F40" s="210">
        <f t="shared" si="0"/>
        <v>0</v>
      </c>
      <c r="G40" s="211"/>
      <c r="H40" s="212"/>
      <c r="I40" s="144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50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9">
        <f>'Suivi EAU-ELEC'!C46</f>
        <v>0</v>
      </c>
      <c r="E41" s="102"/>
      <c r="F41" s="213">
        <f>SUM(F10:H39)</f>
        <v>16471.000000000004</v>
      </c>
      <c r="G41" s="214"/>
      <c r="H41" s="215"/>
      <c r="I41" s="102"/>
      <c r="J41" s="104">
        <f>SUM(J10:J39)</f>
        <v>20212</v>
      </c>
      <c r="K41" s="104">
        <f>SUM(K10:K39)</f>
        <v>30122</v>
      </c>
      <c r="L41" s="104">
        <f>SUM(L10:L39)</f>
        <v>12813</v>
      </c>
      <c r="M41" s="104">
        <f>SUM(M10:M39)</f>
        <v>63147</v>
      </c>
      <c r="N41" s="103"/>
      <c r="O41" s="104">
        <f>SUM(O10:O39)</f>
        <v>62515.53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SUM(U10:U39)</f>
        <v>37.1</v>
      </c>
      <c r="V41" s="58"/>
      <c r="W41" s="104">
        <f>SUM(W10:W39)</f>
        <v>290.63398000000001</v>
      </c>
      <c r="X41" s="140"/>
      <c r="Y41" s="104">
        <f>SUM(Y10:Y39)</f>
        <v>0</v>
      </c>
      <c r="Z41" s="141">
        <f>SUM(Z10:Z39)</f>
        <v>0</v>
      </c>
      <c r="AA41" s="102"/>
      <c r="AB41" s="106"/>
      <c r="AC41" s="134"/>
      <c r="AD41" s="133"/>
      <c r="AE41" s="135"/>
      <c r="AF41" s="132"/>
      <c r="AG41" s="142"/>
      <c r="AH41" s="107"/>
      <c r="AI41" s="63"/>
      <c r="AJ41" s="125">
        <f>SUM(AJ10:AJ38)</f>
        <v>79277.163979999983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6"/>
      <c r="G42" s="216"/>
      <c r="H42" s="216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8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1" t="s">
        <v>9</v>
      </c>
      <c r="B43" s="182"/>
      <c r="C43" s="183"/>
      <c r="D43" s="110" t="s">
        <v>6</v>
      </c>
      <c r="E43" s="111"/>
      <c r="F43" s="112">
        <v>0.64895000000000003</v>
      </c>
      <c r="G43" s="187">
        <f>J41</f>
        <v>20212</v>
      </c>
      <c r="H43" s="188"/>
      <c r="I43" s="189"/>
      <c r="J43" s="190">
        <f>G43*F43</f>
        <v>13116.5774</v>
      </c>
      <c r="K43" s="191"/>
      <c r="L43" s="192">
        <f>J43+J44+J45</f>
        <v>55717.871419999996</v>
      </c>
      <c r="M43" s="193"/>
      <c r="N43" s="193"/>
      <c r="O43" s="193"/>
      <c r="P43" s="193"/>
      <c r="Q43" s="193"/>
      <c r="R43" s="193"/>
      <c r="S43" s="193"/>
      <c r="T43" s="193"/>
      <c r="U43" s="19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4"/>
      <c r="B44" s="185"/>
      <c r="C44" s="186"/>
      <c r="D44" s="113" t="s">
        <v>7</v>
      </c>
      <c r="E44" s="111"/>
      <c r="F44" s="117">
        <v>0.88605</v>
      </c>
      <c r="G44" s="187">
        <f>K41</f>
        <v>30122</v>
      </c>
      <c r="H44" s="188"/>
      <c r="I44" s="189"/>
      <c r="J44" s="190">
        <f>G44*F44</f>
        <v>26689.598099999999</v>
      </c>
      <c r="K44" s="191"/>
      <c r="L44" s="195"/>
      <c r="M44" s="196"/>
      <c r="N44" s="196"/>
      <c r="O44" s="196"/>
      <c r="P44" s="196"/>
      <c r="Q44" s="196"/>
      <c r="R44" s="196"/>
      <c r="S44" s="196"/>
      <c r="T44" s="196"/>
      <c r="U44" s="19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4"/>
      <c r="B45" s="185"/>
      <c r="C45" s="186"/>
      <c r="D45" s="118" t="s">
        <v>8</v>
      </c>
      <c r="E45" s="119"/>
      <c r="F45" s="120">
        <v>1.2418400000000001</v>
      </c>
      <c r="G45" s="201">
        <f>L41</f>
        <v>12813</v>
      </c>
      <c r="H45" s="202"/>
      <c r="I45" s="203"/>
      <c r="J45" s="190">
        <f>G45*F45</f>
        <v>15911.69592</v>
      </c>
      <c r="K45" s="191"/>
      <c r="L45" s="198"/>
      <c r="M45" s="199"/>
      <c r="N45" s="199"/>
      <c r="O45" s="199"/>
      <c r="P45" s="199"/>
      <c r="Q45" s="199"/>
      <c r="R45" s="199"/>
      <c r="S45" s="199"/>
      <c r="T45" s="199"/>
      <c r="U45" s="20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4" t="s">
        <v>10</v>
      </c>
      <c r="B46" s="165"/>
      <c r="C46" s="165"/>
      <c r="D46" s="166"/>
      <c r="E46" s="111"/>
      <c r="F46" s="121">
        <v>12.67</v>
      </c>
      <c r="G46" s="164">
        <f>D41</f>
        <v>0</v>
      </c>
      <c r="H46" s="165"/>
      <c r="I46" s="166"/>
      <c r="J46" s="167">
        <f>G46*F46</f>
        <v>0</v>
      </c>
      <c r="K46" s="168"/>
      <c r="L46" s="169">
        <f>J46</f>
        <v>0</v>
      </c>
      <c r="M46" s="170"/>
      <c r="N46" s="170"/>
      <c r="O46" s="170"/>
      <c r="P46" s="170"/>
      <c r="Q46" s="170"/>
      <c r="R46" s="170"/>
      <c r="S46" s="170"/>
      <c r="T46" s="170"/>
      <c r="U46" s="171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2" t="s">
        <v>12</v>
      </c>
      <c r="B47" s="173"/>
      <c r="C47" s="173"/>
      <c r="D47" s="174"/>
      <c r="E47" s="111"/>
      <c r="F47" s="122">
        <v>7.8338000000000001</v>
      </c>
      <c r="G47" s="175">
        <f>U41</f>
        <v>37.1</v>
      </c>
      <c r="H47" s="176"/>
      <c r="I47" s="177"/>
      <c r="J47" s="175">
        <f>G47*F47</f>
        <v>290.63398000000001</v>
      </c>
      <c r="K47" s="177"/>
      <c r="L47" s="178">
        <f>J47</f>
        <v>290.63398000000001</v>
      </c>
      <c r="M47" s="179"/>
      <c r="N47" s="179"/>
      <c r="O47" s="179"/>
      <c r="P47" s="179"/>
      <c r="Q47" s="179"/>
      <c r="R47" s="179"/>
      <c r="S47" s="179"/>
      <c r="T47" s="179"/>
      <c r="U47" s="180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B33" sqref="B33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8"/>
      <c r="B1" s="278"/>
      <c r="C1" s="279"/>
      <c r="D1" s="280" t="s">
        <v>57</v>
      </c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2"/>
      <c r="AA1" s="283"/>
      <c r="AB1" s="284"/>
      <c r="AC1" s="284"/>
    </row>
    <row r="2" spans="1:31" ht="41.25" customHeight="1" thickBot="1" x14ac:dyDescent="0.4">
      <c r="A2" s="48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8"/>
      <c r="Q2" s="285">
        <v>803</v>
      </c>
      <c r="R2" s="286"/>
      <c r="S2" s="286"/>
      <c r="T2" s="286">
        <v>519</v>
      </c>
      <c r="U2" s="286"/>
      <c r="V2" s="286"/>
      <c r="W2" s="286">
        <v>800</v>
      </c>
      <c r="X2" s="286"/>
      <c r="Y2" s="286"/>
      <c r="Z2" s="286">
        <v>802</v>
      </c>
      <c r="AA2" s="286"/>
      <c r="AB2" s="289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43976</v>
      </c>
      <c r="B4" s="20">
        <v>76</v>
      </c>
      <c r="C4" s="18">
        <f t="shared" ref="C4:C11" si="0">IF(AC4&gt;0,((B4-R4)+(S4-B5)),IF(B5=0, ,(B4-B5)))</f>
        <v>0</v>
      </c>
      <c r="D4" s="20">
        <v>77</v>
      </c>
      <c r="E4" s="18">
        <f t="shared" ref="E4:E11" si="1">IF(AC4&gt;0,((D4-U4)+(V4-D5)),IF(D5=0, ,(D4-D5)))</f>
        <v>0</v>
      </c>
      <c r="F4" s="20">
        <v>73</v>
      </c>
      <c r="G4" s="18">
        <f t="shared" ref="G4:G11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301</v>
      </c>
      <c r="K4" s="18">
        <f t="shared" ref="K4:K11" si="5">J4/4</f>
        <v>75.25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43977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73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301</v>
      </c>
      <c r="K5" s="18">
        <f t="shared" si="5"/>
        <v>75.25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43978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73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301</v>
      </c>
      <c r="K6" s="18">
        <f t="shared" si="5"/>
        <v>75.25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43979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73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301</v>
      </c>
      <c r="K7" s="18">
        <f t="shared" si="5"/>
        <v>75.25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43980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73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301</v>
      </c>
      <c r="K8" s="18">
        <f t="shared" si="5"/>
        <v>75.25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43981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73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301</v>
      </c>
      <c r="K9" s="18">
        <f t="shared" si="5"/>
        <v>75.25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43982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73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301</v>
      </c>
      <c r="K10" s="18">
        <f t="shared" si="5"/>
        <v>75.25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43983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73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301</v>
      </c>
      <c r="K11" s="18">
        <f t="shared" si="5"/>
        <v>75.25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43984</v>
      </c>
      <c r="B12" s="20">
        <v>76</v>
      </c>
      <c r="C12" s="18">
        <f t="shared" ref="C12" si="16">IF(AC12&gt;0,((B12-R12)+(S12-B13)),IF(B13=0, ,(B12-B13)))</f>
        <v>0</v>
      </c>
      <c r="D12" s="20">
        <v>77</v>
      </c>
      <c r="E12" s="18">
        <f t="shared" ref="E12" si="17">IF(AC12&gt;0,((D12-U12)+(V12-D13)),IF(D13=0, ,(D12-D13)))</f>
        <v>0</v>
      </c>
      <c r="F12" s="20">
        <v>73</v>
      </c>
      <c r="G12" s="18">
        <f t="shared" ref="G12" si="18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9">B12+D12+F12+H12</f>
        <v>301</v>
      </c>
      <c r="K12" s="18">
        <f t="shared" ref="K12:K42" si="20">J12/4</f>
        <v>75.25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1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43985</v>
      </c>
      <c r="B13" s="20">
        <v>76</v>
      </c>
      <c r="C13" s="18">
        <f t="shared" ref="C13" si="22">IF(AC13&gt;0,((B13-R13)+(S13-B14)),IF(B14=0, ,(B13-B14)))</f>
        <v>0</v>
      </c>
      <c r="D13" s="20">
        <v>77</v>
      </c>
      <c r="E13" s="18">
        <f t="shared" ref="E13" si="23">IF(AC13&gt;0,((D13-U13)+(V13-D14)),IF(D14=0, ,(D13-D14)))</f>
        <v>0</v>
      </c>
      <c r="F13" s="20">
        <v>73</v>
      </c>
      <c r="G13" s="18">
        <f t="shared" ref="G13" si="24">IF(AC13&gt;0,((F13-X13)+(Y13-F14)),IF(F14=0, ,(F13-F14)))</f>
        <v>0</v>
      </c>
      <c r="H13" s="20">
        <v>75</v>
      </c>
      <c r="I13" s="18">
        <f t="shared" si="3"/>
        <v>0</v>
      </c>
      <c r="J13" s="18">
        <f t="shared" si="19"/>
        <v>301</v>
      </c>
      <c r="K13" s="18">
        <f t="shared" si="20"/>
        <v>75.25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1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43986</v>
      </c>
      <c r="B14" s="20">
        <v>76</v>
      </c>
      <c r="C14" s="18">
        <f>IF(AC14&gt;0,((B14-R14)+(S14-B15)),IF(B15=0, ,(B14-B15)))</f>
        <v>0</v>
      </c>
      <c r="D14" s="20">
        <v>77</v>
      </c>
      <c r="E14" s="18">
        <f>IF(AC14&gt;0,((D14-U14)+(V14-D15)),IF(D15=0, ,(D14-D15)))</f>
        <v>0</v>
      </c>
      <c r="F14" s="20">
        <v>73</v>
      </c>
      <c r="G14" s="18">
        <f>IF(AC14&gt;0,((F14-X14)+(Y14-F15)),IF(F15=0, ,(F14-F15)))</f>
        <v>1</v>
      </c>
      <c r="H14" s="20">
        <v>75</v>
      </c>
      <c r="I14" s="18">
        <f t="shared" si="3"/>
        <v>0</v>
      </c>
      <c r="J14" s="18">
        <f t="shared" si="19"/>
        <v>301</v>
      </c>
      <c r="K14" s="18">
        <f t="shared" si="20"/>
        <v>75.25</v>
      </c>
      <c r="L14" s="18">
        <f t="shared" si="6"/>
        <v>0.25</v>
      </c>
      <c r="M14" s="18">
        <f t="shared" si="7"/>
        <v>28000</v>
      </c>
      <c r="N14" s="18">
        <f t="shared" si="8"/>
        <v>70</v>
      </c>
      <c r="O14" s="18">
        <f t="shared" si="9"/>
        <v>37.1</v>
      </c>
      <c r="P14" s="21">
        <f t="shared" si="14"/>
        <v>290.63398000000001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1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3"/>
        <v>43987</v>
      </c>
      <c r="B15" s="20">
        <v>76</v>
      </c>
      <c r="C15" s="18">
        <f t="shared" ref="C15:C17" si="27">IF(AC15&gt;0,((B15-R15)+(S15-B16)),IF(B16=0, ,(B15-B16)))</f>
        <v>0</v>
      </c>
      <c r="D15" s="20">
        <v>77</v>
      </c>
      <c r="E15" s="18">
        <f t="shared" ref="E15:E17" si="28">IF(AC15&gt;0,((D15-U15)+(V15-D16)),IF(D16=0, ,(D15-D16)))</f>
        <v>0</v>
      </c>
      <c r="F15" s="20">
        <v>72</v>
      </c>
      <c r="G15" s="18">
        <f t="shared" ref="G15:G17" si="29">IF(AC15&gt;0,((F15-X15)+(Y15-F16)),IF(F16=0, ,(F15-F16)))</f>
        <v>0</v>
      </c>
      <c r="H15" s="20">
        <v>75</v>
      </c>
      <c r="I15" s="18">
        <f t="shared" si="3"/>
        <v>0</v>
      </c>
      <c r="J15" s="18">
        <f t="shared" si="19"/>
        <v>300</v>
      </c>
      <c r="K15" s="18">
        <f t="shared" si="20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1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3"/>
        <v>43988</v>
      </c>
      <c r="B16" s="20">
        <v>76</v>
      </c>
      <c r="C16" s="18">
        <f t="shared" si="27"/>
        <v>0</v>
      </c>
      <c r="D16" s="20">
        <v>77</v>
      </c>
      <c r="E16" s="18">
        <f t="shared" si="28"/>
        <v>0</v>
      </c>
      <c r="F16" s="20">
        <v>72</v>
      </c>
      <c r="G16" s="18">
        <f t="shared" si="29"/>
        <v>0</v>
      </c>
      <c r="H16" s="20">
        <v>75</v>
      </c>
      <c r="I16" s="18">
        <f t="shared" si="3"/>
        <v>0</v>
      </c>
      <c r="J16" s="18">
        <f t="shared" si="19"/>
        <v>300</v>
      </c>
      <c r="K16" s="18">
        <f t="shared" si="20"/>
        <v>75</v>
      </c>
      <c r="L16" s="18">
        <f t="shared" si="6"/>
        <v>0</v>
      </c>
      <c r="M16" s="18">
        <f t="shared" si="7"/>
        <v>28000</v>
      </c>
      <c r="N16" s="18">
        <f t="shared" ref="N16:N42" si="30">L16*M16/100</f>
        <v>0</v>
      </c>
      <c r="O16" s="18">
        <f t="shared" ref="O16:O42" si="31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1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3"/>
        <v>43989</v>
      </c>
      <c r="B17" s="20">
        <v>76</v>
      </c>
      <c r="C17" s="18">
        <f t="shared" si="27"/>
        <v>0</v>
      </c>
      <c r="D17" s="20">
        <v>77</v>
      </c>
      <c r="E17" s="18">
        <f t="shared" si="28"/>
        <v>0</v>
      </c>
      <c r="F17" s="20">
        <v>72</v>
      </c>
      <c r="G17" s="18">
        <f t="shared" si="29"/>
        <v>0</v>
      </c>
      <c r="H17" s="20">
        <v>75</v>
      </c>
      <c r="I17" s="18">
        <f t="shared" si="3"/>
        <v>0</v>
      </c>
      <c r="J17" s="18">
        <f t="shared" si="19"/>
        <v>300</v>
      </c>
      <c r="K17" s="18">
        <f t="shared" si="20"/>
        <v>75</v>
      </c>
      <c r="L17" s="18">
        <f t="shared" ref="L17:L42" si="32">IF(AC17&gt;0,((K17-AD17)+(AE17-K18)),IF(K18=0, ,(K17-K18)))</f>
        <v>0</v>
      </c>
      <c r="M17" s="18">
        <f t="shared" si="7"/>
        <v>28000</v>
      </c>
      <c r="N17" s="18">
        <f t="shared" si="30"/>
        <v>0</v>
      </c>
      <c r="O17" s="18">
        <f t="shared" si="31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1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3"/>
        <v>43990</v>
      </c>
      <c r="B18" s="20">
        <v>76</v>
      </c>
      <c r="C18" s="18">
        <f t="shared" ref="C18" si="33">IF(AC18&gt;0,((B18-R18)+(S18-B19)),IF(B19=0, ,(B18-B19)))</f>
        <v>0</v>
      </c>
      <c r="D18" s="20">
        <v>77</v>
      </c>
      <c r="E18" s="18">
        <f t="shared" ref="E18" si="34">IF(AC18&gt;0,((D18-U18)+(V18-D19)),IF(D19=0, ,(D18-D19)))</f>
        <v>0</v>
      </c>
      <c r="F18" s="20">
        <v>72</v>
      </c>
      <c r="G18" s="18">
        <f t="shared" ref="G18" si="35">IF(AC18&gt;0,((F18-X18)+(Y18-F19)),IF(F19=0, ,(F18-F19)))</f>
        <v>0</v>
      </c>
      <c r="H18" s="20">
        <v>75</v>
      </c>
      <c r="I18" s="18">
        <f t="shared" ref="I18:I42" si="36">IF(AC18&gt;0,((H18-AA18)+(AB18-H19)),IF(H19=0, ,(H18-H19)))</f>
        <v>0</v>
      </c>
      <c r="J18" s="18">
        <f t="shared" si="19"/>
        <v>300</v>
      </c>
      <c r="K18" s="18">
        <f t="shared" si="20"/>
        <v>75</v>
      </c>
      <c r="L18" s="18">
        <f t="shared" si="32"/>
        <v>0</v>
      </c>
      <c r="M18" s="18">
        <f t="shared" si="7"/>
        <v>28000</v>
      </c>
      <c r="N18" s="18">
        <f t="shared" si="30"/>
        <v>0</v>
      </c>
      <c r="O18" s="18">
        <f t="shared" si="31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1"/>
        <v>0</v>
      </c>
      <c r="AD18" s="49">
        <f t="shared" si="25"/>
        <v>0</v>
      </c>
      <c r="AE18" s="49">
        <f t="shared" si="26"/>
        <v>0</v>
      </c>
    </row>
    <row r="19" spans="1:31" ht="32.25" customHeight="1" x14ac:dyDescent="0.3">
      <c r="A19" s="19">
        <f t="shared" si="13"/>
        <v>43991</v>
      </c>
      <c r="B19" s="20">
        <v>76</v>
      </c>
      <c r="C19" s="18">
        <f t="shared" ref="C19" si="37">IF(AC19&gt;0,((B19-R19)+(S19-B20)),IF(B20=0, ,(B19-B20)))</f>
        <v>0</v>
      </c>
      <c r="D19" s="20">
        <v>77</v>
      </c>
      <c r="E19" s="18">
        <f t="shared" ref="E19" si="38">IF(AC19&gt;0,((D19-U19)+(V19-D20)),IF(D20=0, ,(D19-D20)))</f>
        <v>0</v>
      </c>
      <c r="F19" s="20">
        <v>72</v>
      </c>
      <c r="G19" s="18">
        <f t="shared" ref="G19" si="39">IF(AC19&gt;0,((F19-X19)+(Y19-F20)),IF(F20=0, ,(F19-F20)))</f>
        <v>0</v>
      </c>
      <c r="H19" s="20">
        <v>75</v>
      </c>
      <c r="I19" s="18">
        <f t="shared" si="36"/>
        <v>0</v>
      </c>
      <c r="J19" s="18">
        <f t="shared" si="19"/>
        <v>300</v>
      </c>
      <c r="K19" s="18">
        <f t="shared" si="20"/>
        <v>75</v>
      </c>
      <c r="L19" s="18">
        <f t="shared" si="32"/>
        <v>0</v>
      </c>
      <c r="M19" s="18">
        <f t="shared" si="7"/>
        <v>28000</v>
      </c>
      <c r="N19" s="18">
        <f t="shared" si="30"/>
        <v>0</v>
      </c>
      <c r="O19" s="18">
        <f t="shared" si="31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1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3"/>
        <v>43992</v>
      </c>
      <c r="B20" s="20">
        <v>76</v>
      </c>
      <c r="C20" s="18">
        <f t="shared" ref="C20" si="40">IF(AC20&gt;0,((B20-R20)+(S20-B21)),IF(B21=0, ,(B20-B21)))</f>
        <v>0</v>
      </c>
      <c r="D20" s="20">
        <v>77</v>
      </c>
      <c r="E20" s="18">
        <f t="shared" ref="E20" si="41">IF(AC20&gt;0,((D20-U20)+(V20-D21)),IF(D21=0, ,(D20-D21)))</f>
        <v>0</v>
      </c>
      <c r="F20" s="20">
        <v>72</v>
      </c>
      <c r="G20" s="18">
        <f t="shared" ref="G20" si="42">IF(AC20&gt;0,((F20-X20)+(Y20-F21)),IF(F21=0, ,(F20-F21)))</f>
        <v>0</v>
      </c>
      <c r="H20" s="20">
        <v>75</v>
      </c>
      <c r="I20" s="18">
        <f t="shared" si="36"/>
        <v>0</v>
      </c>
      <c r="J20" s="18">
        <f t="shared" si="19"/>
        <v>300</v>
      </c>
      <c r="K20" s="18">
        <f t="shared" si="20"/>
        <v>75</v>
      </c>
      <c r="L20" s="18">
        <f t="shared" si="32"/>
        <v>0</v>
      </c>
      <c r="M20" s="18">
        <f t="shared" si="7"/>
        <v>28000</v>
      </c>
      <c r="N20" s="18">
        <f t="shared" si="30"/>
        <v>0</v>
      </c>
      <c r="O20" s="18">
        <f t="shared" si="31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1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3"/>
        <v>43993</v>
      </c>
      <c r="B21" s="20">
        <v>76</v>
      </c>
      <c r="C21" s="18">
        <f t="shared" ref="C21" si="43">IF(AC21&gt;0,((B21-R21)+(S21-B22)),IF(B22=0, ,(B21-B22)))</f>
        <v>0</v>
      </c>
      <c r="D21" s="20">
        <v>77</v>
      </c>
      <c r="E21" s="18">
        <f t="shared" ref="E21" si="44">IF(AC21&gt;0,((D21-U21)+(V21-D22)),IF(D22=0, ,(D21-D22)))</f>
        <v>0</v>
      </c>
      <c r="F21" s="20">
        <v>72</v>
      </c>
      <c r="G21" s="18">
        <f t="shared" ref="G21" si="45">IF(AC21&gt;0,((F21-X21)+(Y21-F22)),IF(F22=0, ,(F21-F22)))</f>
        <v>0</v>
      </c>
      <c r="H21" s="20">
        <v>75</v>
      </c>
      <c r="I21" s="18">
        <f t="shared" si="36"/>
        <v>0</v>
      </c>
      <c r="J21" s="18">
        <f t="shared" si="19"/>
        <v>300</v>
      </c>
      <c r="K21" s="18">
        <f t="shared" si="20"/>
        <v>75</v>
      </c>
      <c r="L21" s="18">
        <f t="shared" si="32"/>
        <v>0</v>
      </c>
      <c r="M21" s="18">
        <f t="shared" si="7"/>
        <v>28000</v>
      </c>
      <c r="N21" s="18">
        <f t="shared" si="30"/>
        <v>0</v>
      </c>
      <c r="O21" s="18">
        <f t="shared" si="31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1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3"/>
        <v>43994</v>
      </c>
      <c r="B22" s="20">
        <v>76</v>
      </c>
      <c r="C22" s="18">
        <f t="shared" ref="C22:C23" si="46">IF(AC22&gt;0,((B22-R22)+(S22-B23)),IF(B23=0, ,(B22-B23)))</f>
        <v>0</v>
      </c>
      <c r="D22" s="20">
        <v>77</v>
      </c>
      <c r="E22" s="18">
        <f t="shared" ref="E22:E23" si="47">IF(AC22&gt;0,((D22-U22)+(V22-D23)),IF(D23=0, ,(D22-D23)))</f>
        <v>0</v>
      </c>
      <c r="F22" s="20">
        <v>72</v>
      </c>
      <c r="G22" s="18">
        <f t="shared" ref="G22:G23" si="48">IF(AC22&gt;0,((F22-X22)+(Y22-F23)),IF(F23=0, ,(F22-F23)))</f>
        <v>0</v>
      </c>
      <c r="H22" s="20">
        <v>75</v>
      </c>
      <c r="I22" s="18">
        <f t="shared" si="36"/>
        <v>0</v>
      </c>
      <c r="J22" s="18">
        <f t="shared" si="19"/>
        <v>300</v>
      </c>
      <c r="K22" s="18">
        <f t="shared" si="20"/>
        <v>75</v>
      </c>
      <c r="L22" s="18">
        <f t="shared" si="32"/>
        <v>0</v>
      </c>
      <c r="M22" s="18">
        <f t="shared" si="7"/>
        <v>28000</v>
      </c>
      <c r="N22" s="18">
        <f t="shared" si="30"/>
        <v>0</v>
      </c>
      <c r="O22" s="18">
        <f t="shared" si="31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1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3"/>
        <v>43995</v>
      </c>
      <c r="B23" s="20">
        <v>76</v>
      </c>
      <c r="C23" s="18">
        <f t="shared" si="46"/>
        <v>0</v>
      </c>
      <c r="D23" s="20">
        <v>77</v>
      </c>
      <c r="E23" s="18">
        <f t="shared" si="47"/>
        <v>0</v>
      </c>
      <c r="F23" s="20">
        <v>72</v>
      </c>
      <c r="G23" s="18">
        <f t="shared" si="48"/>
        <v>0</v>
      </c>
      <c r="H23" s="20">
        <v>75</v>
      </c>
      <c r="I23" s="18">
        <f t="shared" si="36"/>
        <v>0</v>
      </c>
      <c r="J23" s="18">
        <f t="shared" si="19"/>
        <v>300</v>
      </c>
      <c r="K23" s="18">
        <f t="shared" si="20"/>
        <v>75</v>
      </c>
      <c r="L23" s="18">
        <f t="shared" si="32"/>
        <v>0</v>
      </c>
      <c r="M23" s="18">
        <f t="shared" si="7"/>
        <v>28000</v>
      </c>
      <c r="N23" s="18">
        <f t="shared" si="30"/>
        <v>0</v>
      </c>
      <c r="O23" s="18">
        <f t="shared" si="31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1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3"/>
        <v>43996</v>
      </c>
      <c r="B24" s="20">
        <v>76</v>
      </c>
      <c r="C24" s="18">
        <f t="shared" ref="C24:C25" si="49">IF(AC24&gt;0,((B24-R24)+(S24-B25)),IF(B25=0, ,(B24-B25)))</f>
        <v>0</v>
      </c>
      <c r="D24" s="20">
        <v>77</v>
      </c>
      <c r="E24" s="18">
        <f t="shared" ref="E24:E25" si="50">IF(AC24&gt;0,((D24-U24)+(V24-D25)),IF(D25=0, ,(D24-D25)))</f>
        <v>0</v>
      </c>
      <c r="F24" s="20">
        <v>72</v>
      </c>
      <c r="G24" s="18">
        <f t="shared" ref="G24:G25" si="51">IF(AC24&gt;0,((F24-X24)+(Y24-F25)),IF(F25=0, ,(F24-F25)))</f>
        <v>0</v>
      </c>
      <c r="H24" s="20">
        <v>75</v>
      </c>
      <c r="I24" s="18">
        <f t="shared" si="36"/>
        <v>0</v>
      </c>
      <c r="J24" s="18">
        <f t="shared" si="19"/>
        <v>300</v>
      </c>
      <c r="K24" s="18">
        <f t="shared" si="20"/>
        <v>75</v>
      </c>
      <c r="L24" s="18">
        <f t="shared" si="32"/>
        <v>0</v>
      </c>
      <c r="M24" s="18">
        <f t="shared" si="7"/>
        <v>28000</v>
      </c>
      <c r="N24" s="18">
        <f t="shared" si="30"/>
        <v>0</v>
      </c>
      <c r="O24" s="18">
        <f t="shared" si="31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1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3"/>
        <v>43997</v>
      </c>
      <c r="B25" s="20">
        <v>76</v>
      </c>
      <c r="C25" s="18">
        <f t="shared" si="49"/>
        <v>0</v>
      </c>
      <c r="D25" s="20">
        <v>77</v>
      </c>
      <c r="E25" s="18">
        <f t="shared" si="50"/>
        <v>0</v>
      </c>
      <c r="F25" s="20">
        <v>72</v>
      </c>
      <c r="G25" s="18">
        <f t="shared" si="51"/>
        <v>0</v>
      </c>
      <c r="H25" s="20">
        <v>75</v>
      </c>
      <c r="I25" s="18">
        <f t="shared" si="36"/>
        <v>0</v>
      </c>
      <c r="J25" s="18">
        <f t="shared" si="19"/>
        <v>300</v>
      </c>
      <c r="K25" s="18">
        <f t="shared" si="20"/>
        <v>75</v>
      </c>
      <c r="L25" s="18">
        <f t="shared" si="32"/>
        <v>0</v>
      </c>
      <c r="M25" s="18">
        <f t="shared" si="7"/>
        <v>28000</v>
      </c>
      <c r="N25" s="18">
        <f t="shared" si="30"/>
        <v>0</v>
      </c>
      <c r="O25" s="18">
        <f t="shared" si="31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1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3"/>
        <v>43998</v>
      </c>
      <c r="B26" s="20">
        <v>76</v>
      </c>
      <c r="C26" s="18">
        <f t="shared" ref="C26" si="52">IF(AC26&gt;0,((B26-R26)+(S26-B27)),IF(B27=0, ,(B26-B27)))</f>
        <v>0</v>
      </c>
      <c r="D26" s="20">
        <v>77</v>
      </c>
      <c r="E26" s="18">
        <f t="shared" ref="E26" si="53">IF(AC26&gt;0,((D26-U26)+(V26-D27)),IF(D27=0, ,(D26-D27)))</f>
        <v>0</v>
      </c>
      <c r="F26" s="20">
        <v>72</v>
      </c>
      <c r="G26" s="18">
        <f t="shared" ref="G26" si="54">IF(AC26&gt;0,((F26-X26)+(Y26-F27)),IF(F27=0, ,(F26-F27)))</f>
        <v>0</v>
      </c>
      <c r="H26" s="20">
        <v>75</v>
      </c>
      <c r="I26" s="18">
        <f t="shared" si="36"/>
        <v>0</v>
      </c>
      <c r="J26" s="18">
        <f t="shared" si="19"/>
        <v>300</v>
      </c>
      <c r="K26" s="18">
        <f t="shared" si="20"/>
        <v>75</v>
      </c>
      <c r="L26" s="18">
        <f t="shared" si="32"/>
        <v>0</v>
      </c>
      <c r="M26" s="18">
        <f t="shared" si="7"/>
        <v>28000</v>
      </c>
      <c r="N26" s="18">
        <f t="shared" si="30"/>
        <v>0</v>
      </c>
      <c r="O26" s="18">
        <f t="shared" si="31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1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3"/>
        <v>43999</v>
      </c>
      <c r="B27" s="20">
        <v>76</v>
      </c>
      <c r="C27" s="18">
        <f t="shared" ref="C27" si="55">IF(AC27&gt;0,((B27-R27)+(S27-B28)),IF(B28=0, ,(B27-B28)))</f>
        <v>0</v>
      </c>
      <c r="D27" s="20">
        <v>77</v>
      </c>
      <c r="E27" s="18">
        <f t="shared" ref="E27" si="56">IF(AC27&gt;0,((D27-U27)+(V27-D28)),IF(D28=0, ,(D27-D28)))</f>
        <v>0</v>
      </c>
      <c r="F27" s="20">
        <v>72</v>
      </c>
      <c r="G27" s="18">
        <f t="shared" ref="G27" si="57">IF(AC27&gt;0,((F27-X27)+(Y27-F28)),IF(F28=0, ,(F27-F28)))</f>
        <v>0</v>
      </c>
      <c r="H27" s="20">
        <v>75</v>
      </c>
      <c r="I27" s="18">
        <f t="shared" si="36"/>
        <v>0</v>
      </c>
      <c r="J27" s="18">
        <f t="shared" si="19"/>
        <v>300</v>
      </c>
      <c r="K27" s="18">
        <f t="shared" si="20"/>
        <v>75</v>
      </c>
      <c r="L27" s="18">
        <f t="shared" si="32"/>
        <v>0</v>
      </c>
      <c r="M27" s="18">
        <f t="shared" si="7"/>
        <v>28000</v>
      </c>
      <c r="N27" s="18">
        <f t="shared" si="30"/>
        <v>0</v>
      </c>
      <c r="O27" s="18">
        <f t="shared" si="31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1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3"/>
        <v>44000</v>
      </c>
      <c r="B28" s="20">
        <v>76</v>
      </c>
      <c r="C28" s="18">
        <f t="shared" ref="C28" si="58">IF(AC28&gt;0,((B28-R28)+(S28-B29)),IF(B29=0, ,(B28-B29)))</f>
        <v>0</v>
      </c>
      <c r="D28" s="20">
        <v>77</v>
      </c>
      <c r="E28" s="18">
        <f t="shared" ref="E28" si="59">IF(AC28&gt;0,((D28-U28)+(V28-D29)),IF(D29=0, ,(D28-D29)))</f>
        <v>0</v>
      </c>
      <c r="F28" s="20">
        <v>72</v>
      </c>
      <c r="G28" s="18">
        <f t="shared" ref="G28" si="60">IF(AC28&gt;0,((F28-X28)+(Y28-F29)),IF(F29=0, ,(F28-F29)))</f>
        <v>0</v>
      </c>
      <c r="H28" s="20">
        <v>75</v>
      </c>
      <c r="I28" s="18">
        <f t="shared" si="36"/>
        <v>0</v>
      </c>
      <c r="J28" s="18">
        <f t="shared" si="19"/>
        <v>300</v>
      </c>
      <c r="K28" s="18">
        <f t="shared" si="20"/>
        <v>75</v>
      </c>
      <c r="L28" s="18">
        <f t="shared" si="32"/>
        <v>0</v>
      </c>
      <c r="M28" s="18">
        <f t="shared" si="7"/>
        <v>28000</v>
      </c>
      <c r="N28" s="18">
        <f t="shared" si="30"/>
        <v>0</v>
      </c>
      <c r="O28" s="18">
        <f t="shared" si="31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1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3"/>
        <v>44001</v>
      </c>
      <c r="B29" s="20">
        <v>76</v>
      </c>
      <c r="C29" s="18">
        <f t="shared" ref="C29:C41" si="61">IF(AC29&gt;0,((B29-R29)+(S29-B30)),IF(B30=0, ,(B29-B30)))</f>
        <v>0</v>
      </c>
      <c r="D29" s="20">
        <v>77</v>
      </c>
      <c r="E29" s="18">
        <f t="shared" ref="E29:E41" si="62">IF(AC29&gt;0,((D29-U29)+(V29-D30)),IF(D30=0, ,(D29-D30)))</f>
        <v>0</v>
      </c>
      <c r="F29" s="20">
        <v>72</v>
      </c>
      <c r="G29" s="18">
        <f t="shared" ref="G29:G41" si="63">IF(AC29&gt;0,((F29-X29)+(Y29-F30)),IF(F30=0, ,(F29-F30)))</f>
        <v>0</v>
      </c>
      <c r="H29" s="20">
        <v>75</v>
      </c>
      <c r="I29" s="18">
        <f t="shared" si="36"/>
        <v>0</v>
      </c>
      <c r="J29" s="18">
        <f t="shared" si="19"/>
        <v>300</v>
      </c>
      <c r="K29" s="18">
        <f t="shared" si="20"/>
        <v>75</v>
      </c>
      <c r="L29" s="18">
        <f t="shared" si="32"/>
        <v>0</v>
      </c>
      <c r="M29" s="18">
        <f t="shared" si="7"/>
        <v>28000</v>
      </c>
      <c r="N29" s="18">
        <f t="shared" si="30"/>
        <v>0</v>
      </c>
      <c r="O29" s="18">
        <f t="shared" si="31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1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3"/>
        <v>44002</v>
      </c>
      <c r="B30" s="20">
        <v>76</v>
      </c>
      <c r="C30" s="18">
        <f t="shared" si="61"/>
        <v>0</v>
      </c>
      <c r="D30" s="20">
        <v>77</v>
      </c>
      <c r="E30" s="18">
        <f t="shared" si="62"/>
        <v>0</v>
      </c>
      <c r="F30" s="20">
        <v>72</v>
      </c>
      <c r="G30" s="18">
        <f t="shared" si="63"/>
        <v>0</v>
      </c>
      <c r="H30" s="20">
        <v>75</v>
      </c>
      <c r="I30" s="18">
        <f t="shared" si="36"/>
        <v>0</v>
      </c>
      <c r="J30" s="18">
        <f t="shared" si="19"/>
        <v>300</v>
      </c>
      <c r="K30" s="18">
        <f t="shared" si="20"/>
        <v>75</v>
      </c>
      <c r="L30" s="18">
        <f t="shared" si="32"/>
        <v>0</v>
      </c>
      <c r="M30" s="18">
        <f t="shared" si="7"/>
        <v>28000</v>
      </c>
      <c r="N30" s="18">
        <f t="shared" si="30"/>
        <v>0</v>
      </c>
      <c r="O30" s="18">
        <f t="shared" si="31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1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3"/>
        <v>44003</v>
      </c>
      <c r="B31" s="20">
        <v>76</v>
      </c>
      <c r="C31" s="18">
        <f t="shared" ref="C31" si="64">IF(AC31&gt;0,((B31-R31)+(S31-B32)),IF(B32=0, ,(B31-B32)))</f>
        <v>0</v>
      </c>
      <c r="D31" s="20">
        <v>77</v>
      </c>
      <c r="E31" s="18">
        <f t="shared" ref="E31" si="65">IF(AC31&gt;0,((D31-U31)+(V31-D32)),IF(D32=0, ,(D31-D32)))</f>
        <v>0</v>
      </c>
      <c r="F31" s="20">
        <v>72</v>
      </c>
      <c r="G31" s="18">
        <f t="shared" ref="G31" si="66">IF(AC31&gt;0,((F31-X31)+(Y31-F32)),IF(F32=0, ,(F31-F32)))</f>
        <v>0</v>
      </c>
      <c r="H31" s="20">
        <v>75</v>
      </c>
      <c r="I31" s="18">
        <f t="shared" si="36"/>
        <v>0</v>
      </c>
      <c r="J31" s="18">
        <f t="shared" si="19"/>
        <v>300</v>
      </c>
      <c r="K31" s="18">
        <f t="shared" si="20"/>
        <v>75</v>
      </c>
      <c r="L31" s="18">
        <f t="shared" si="32"/>
        <v>0</v>
      </c>
      <c r="M31" s="18">
        <f t="shared" si="7"/>
        <v>28000</v>
      </c>
      <c r="N31" s="18">
        <f t="shared" si="30"/>
        <v>0</v>
      </c>
      <c r="O31" s="18">
        <f t="shared" si="31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1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3"/>
        <v>44004</v>
      </c>
      <c r="B32" s="20">
        <v>76</v>
      </c>
      <c r="C32" s="18">
        <f t="shared" ref="C32" si="67">IF(AC32&gt;0,((B32-R32)+(S32-B33)),IF(B33=0, ,(B32-B33)))</f>
        <v>0</v>
      </c>
      <c r="D32" s="20">
        <v>77</v>
      </c>
      <c r="E32" s="18">
        <f t="shared" ref="E32" si="68">IF(AC32&gt;0,((D32-U32)+(V32-D33)),IF(D33=0, ,(D32-D33)))</f>
        <v>0</v>
      </c>
      <c r="F32" s="20">
        <v>72</v>
      </c>
      <c r="G32" s="18">
        <f t="shared" ref="G32" si="69">IF(AC32&gt;0,((F32-X32)+(Y32-F33)),IF(F33=0, ,(F32-F33)))</f>
        <v>0</v>
      </c>
      <c r="H32" s="20">
        <v>75</v>
      </c>
      <c r="I32" s="18">
        <f t="shared" si="36"/>
        <v>0</v>
      </c>
      <c r="J32" s="18">
        <f t="shared" si="19"/>
        <v>300</v>
      </c>
      <c r="K32" s="18">
        <f t="shared" si="20"/>
        <v>75</v>
      </c>
      <c r="L32" s="18">
        <f t="shared" si="32"/>
        <v>0</v>
      </c>
      <c r="M32" s="18">
        <f t="shared" si="7"/>
        <v>28000</v>
      </c>
      <c r="N32" s="18">
        <f t="shared" si="30"/>
        <v>0</v>
      </c>
      <c r="O32" s="18">
        <f t="shared" si="31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1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3"/>
        <v>44005</v>
      </c>
      <c r="B33" s="20"/>
      <c r="C33" s="18">
        <f t="shared" si="61"/>
        <v>0</v>
      </c>
      <c r="D33" s="20"/>
      <c r="E33" s="18">
        <f t="shared" si="62"/>
        <v>0</v>
      </c>
      <c r="F33" s="20"/>
      <c r="G33" s="18">
        <f t="shared" si="63"/>
        <v>0</v>
      </c>
      <c r="H33" s="20"/>
      <c r="I33" s="18">
        <f t="shared" si="36"/>
        <v>0</v>
      </c>
      <c r="J33" s="18">
        <f t="shared" si="19"/>
        <v>0</v>
      </c>
      <c r="K33" s="18">
        <f t="shared" si="20"/>
        <v>0</v>
      </c>
      <c r="L33" s="18">
        <f t="shared" si="32"/>
        <v>0</v>
      </c>
      <c r="M33" s="18">
        <f t="shared" si="7"/>
        <v>28000</v>
      </c>
      <c r="N33" s="18">
        <f t="shared" si="30"/>
        <v>0</v>
      </c>
      <c r="O33" s="18">
        <f t="shared" si="31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1"/>
        <v>0</v>
      </c>
      <c r="AD33" s="49">
        <f t="shared" si="25"/>
        <v>0</v>
      </c>
      <c r="AE33" s="49">
        <f t="shared" si="26"/>
        <v>0</v>
      </c>
    </row>
    <row r="34" spans="1:31" ht="32.25" customHeight="1" x14ac:dyDescent="0.3">
      <c r="A34" s="19">
        <f t="shared" si="13"/>
        <v>44006</v>
      </c>
      <c r="B34" s="20"/>
      <c r="C34" s="18">
        <f t="shared" si="61"/>
        <v>0</v>
      </c>
      <c r="D34" s="20"/>
      <c r="E34" s="18">
        <f t="shared" si="62"/>
        <v>0</v>
      </c>
      <c r="F34" s="20"/>
      <c r="G34" s="18">
        <f t="shared" si="63"/>
        <v>0</v>
      </c>
      <c r="H34" s="20"/>
      <c r="I34" s="18">
        <f t="shared" si="36"/>
        <v>0</v>
      </c>
      <c r="J34" s="18">
        <f t="shared" si="19"/>
        <v>0</v>
      </c>
      <c r="K34" s="18">
        <f t="shared" si="20"/>
        <v>0</v>
      </c>
      <c r="L34" s="18">
        <f t="shared" si="32"/>
        <v>0</v>
      </c>
      <c r="M34" s="18">
        <f t="shared" si="7"/>
        <v>28000</v>
      </c>
      <c r="N34" s="18">
        <f t="shared" si="30"/>
        <v>0</v>
      </c>
      <c r="O34" s="18">
        <f t="shared" si="31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1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3"/>
        <v>44007</v>
      </c>
      <c r="B35" s="20"/>
      <c r="C35" s="18">
        <f t="shared" si="61"/>
        <v>0</v>
      </c>
      <c r="D35" s="20"/>
      <c r="E35" s="18">
        <f t="shared" si="62"/>
        <v>0</v>
      </c>
      <c r="F35" s="20"/>
      <c r="G35" s="18">
        <f t="shared" si="63"/>
        <v>0</v>
      </c>
      <c r="H35" s="20"/>
      <c r="I35" s="18">
        <f t="shared" si="36"/>
        <v>0</v>
      </c>
      <c r="J35" s="18">
        <f t="shared" si="19"/>
        <v>0</v>
      </c>
      <c r="K35" s="18">
        <f t="shared" si="20"/>
        <v>0</v>
      </c>
      <c r="L35" s="18">
        <f t="shared" si="32"/>
        <v>0</v>
      </c>
      <c r="M35" s="18">
        <f t="shared" si="7"/>
        <v>28000</v>
      </c>
      <c r="N35" s="18">
        <f t="shared" si="30"/>
        <v>0</v>
      </c>
      <c r="O35" s="18">
        <f t="shared" si="31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1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3"/>
        <v>44008</v>
      </c>
      <c r="B36" s="20"/>
      <c r="C36" s="18">
        <f t="shared" si="61"/>
        <v>0</v>
      </c>
      <c r="D36" s="20"/>
      <c r="E36" s="18">
        <f t="shared" si="62"/>
        <v>0</v>
      </c>
      <c r="F36" s="20"/>
      <c r="G36" s="18">
        <f t="shared" si="63"/>
        <v>0</v>
      </c>
      <c r="H36" s="20"/>
      <c r="I36" s="18">
        <f t="shared" si="36"/>
        <v>0</v>
      </c>
      <c r="J36" s="18">
        <f t="shared" si="19"/>
        <v>0</v>
      </c>
      <c r="K36" s="18">
        <f t="shared" si="20"/>
        <v>0</v>
      </c>
      <c r="L36" s="18">
        <f t="shared" si="32"/>
        <v>0</v>
      </c>
      <c r="M36" s="18">
        <f t="shared" si="7"/>
        <v>28000</v>
      </c>
      <c r="N36" s="18">
        <f t="shared" si="30"/>
        <v>0</v>
      </c>
      <c r="O36" s="18">
        <f t="shared" si="31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1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3"/>
        <v>44009</v>
      </c>
      <c r="B37" s="20"/>
      <c r="C37" s="18">
        <f t="shared" si="61"/>
        <v>0</v>
      </c>
      <c r="D37" s="20"/>
      <c r="E37" s="18">
        <f t="shared" si="62"/>
        <v>0</v>
      </c>
      <c r="F37" s="20"/>
      <c r="G37" s="18">
        <f t="shared" si="63"/>
        <v>0</v>
      </c>
      <c r="H37" s="20"/>
      <c r="I37" s="18">
        <f t="shared" si="36"/>
        <v>0</v>
      </c>
      <c r="J37" s="18">
        <f t="shared" si="19"/>
        <v>0</v>
      </c>
      <c r="K37" s="18">
        <f t="shared" si="20"/>
        <v>0</v>
      </c>
      <c r="L37" s="18">
        <f t="shared" si="32"/>
        <v>0</v>
      </c>
      <c r="M37" s="18">
        <f t="shared" si="7"/>
        <v>28000</v>
      </c>
      <c r="N37" s="18">
        <f t="shared" si="30"/>
        <v>0</v>
      </c>
      <c r="O37" s="18">
        <f t="shared" si="31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1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3"/>
        <v>44010</v>
      </c>
      <c r="B38" s="20"/>
      <c r="C38" s="18">
        <f t="shared" si="61"/>
        <v>0</v>
      </c>
      <c r="D38" s="20"/>
      <c r="E38" s="18">
        <f t="shared" si="62"/>
        <v>0</v>
      </c>
      <c r="F38" s="20"/>
      <c r="G38" s="18">
        <f t="shared" si="63"/>
        <v>0</v>
      </c>
      <c r="H38" s="20"/>
      <c r="I38" s="18">
        <f t="shared" si="36"/>
        <v>0</v>
      </c>
      <c r="J38" s="18">
        <f t="shared" si="19"/>
        <v>0</v>
      </c>
      <c r="K38" s="18">
        <f t="shared" si="20"/>
        <v>0</v>
      </c>
      <c r="L38" s="18">
        <f t="shared" si="32"/>
        <v>0</v>
      </c>
      <c r="M38" s="18">
        <f t="shared" si="7"/>
        <v>28000</v>
      </c>
      <c r="N38" s="18">
        <f t="shared" si="30"/>
        <v>0</v>
      </c>
      <c r="O38" s="18">
        <f t="shared" si="31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1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3"/>
        <v>44011</v>
      </c>
      <c r="B39" s="20"/>
      <c r="C39" s="18">
        <f t="shared" si="61"/>
        <v>0</v>
      </c>
      <c r="D39" s="20"/>
      <c r="E39" s="18">
        <f t="shared" si="62"/>
        <v>0</v>
      </c>
      <c r="F39" s="20"/>
      <c r="G39" s="18">
        <f t="shared" si="63"/>
        <v>0</v>
      </c>
      <c r="H39" s="20"/>
      <c r="I39" s="18">
        <f t="shared" si="36"/>
        <v>0</v>
      </c>
      <c r="J39" s="18">
        <f t="shared" si="19"/>
        <v>0</v>
      </c>
      <c r="K39" s="18">
        <f t="shared" si="20"/>
        <v>0</v>
      </c>
      <c r="L39" s="18">
        <f t="shared" si="32"/>
        <v>0</v>
      </c>
      <c r="M39" s="18">
        <f t="shared" si="7"/>
        <v>28000</v>
      </c>
      <c r="N39" s="18">
        <f t="shared" si="30"/>
        <v>0</v>
      </c>
      <c r="O39" s="18">
        <f t="shared" si="31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1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3"/>
        <v>44012</v>
      </c>
      <c r="B40" s="20"/>
      <c r="C40" s="18">
        <f t="shared" si="61"/>
        <v>0</v>
      </c>
      <c r="D40" s="20"/>
      <c r="E40" s="18">
        <f t="shared" si="62"/>
        <v>0</v>
      </c>
      <c r="F40" s="20"/>
      <c r="G40" s="18">
        <f t="shared" si="63"/>
        <v>0</v>
      </c>
      <c r="H40" s="20"/>
      <c r="I40" s="18">
        <f t="shared" si="36"/>
        <v>0</v>
      </c>
      <c r="J40" s="18">
        <f t="shared" si="19"/>
        <v>0</v>
      </c>
      <c r="K40" s="18">
        <f t="shared" si="20"/>
        <v>0</v>
      </c>
      <c r="L40" s="18">
        <f t="shared" si="32"/>
        <v>0</v>
      </c>
      <c r="M40" s="18">
        <f t="shared" si="7"/>
        <v>28000</v>
      </c>
      <c r="N40" s="18">
        <f t="shared" si="30"/>
        <v>0</v>
      </c>
      <c r="O40" s="18">
        <f t="shared" si="31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1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3"/>
        <v>44013</v>
      </c>
      <c r="B41" s="20"/>
      <c r="C41" s="18">
        <f t="shared" si="61"/>
        <v>0</v>
      </c>
      <c r="D41" s="20"/>
      <c r="E41" s="18">
        <f t="shared" si="62"/>
        <v>0</v>
      </c>
      <c r="F41" s="20"/>
      <c r="G41" s="18">
        <f t="shared" si="63"/>
        <v>0</v>
      </c>
      <c r="H41" s="20"/>
      <c r="I41" s="18">
        <f t="shared" si="36"/>
        <v>0</v>
      </c>
      <c r="J41" s="18">
        <f t="shared" si="19"/>
        <v>0</v>
      </c>
      <c r="K41" s="18">
        <f t="shared" si="20"/>
        <v>0</v>
      </c>
      <c r="L41" s="18">
        <f t="shared" si="32"/>
        <v>0</v>
      </c>
      <c r="M41" s="18">
        <f t="shared" si="7"/>
        <v>28000</v>
      </c>
      <c r="N41" s="18">
        <f t="shared" si="30"/>
        <v>0</v>
      </c>
      <c r="O41" s="18">
        <f t="shared" si="31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1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3"/>
        <v>44014</v>
      </c>
      <c r="B42" s="20"/>
      <c r="C42" s="18">
        <f t="shared" ref="C42" si="70">IF(AC42&gt;0,((B42-R42)+(S42-B43)),IF(B43=0, ,(B42-B43)))</f>
        <v>0</v>
      </c>
      <c r="D42" s="20"/>
      <c r="E42" s="18">
        <f t="shared" ref="E42" si="71">IF(AC42&gt;0,((D42-U42)+(V42-D43)),IF(D43=0, ,(D42-D43)))</f>
        <v>0</v>
      </c>
      <c r="F42" s="20"/>
      <c r="G42" s="18">
        <f t="shared" ref="G42" si="72">IF(AC42&gt;0,((F42-X42)+(Y42-F43)),IF(F43=0, ,(F42-F43)))</f>
        <v>0</v>
      </c>
      <c r="H42" s="20"/>
      <c r="I42" s="18">
        <f t="shared" si="36"/>
        <v>0</v>
      </c>
      <c r="J42" s="18">
        <f t="shared" si="19"/>
        <v>0</v>
      </c>
      <c r="K42" s="18">
        <f t="shared" si="20"/>
        <v>0</v>
      </c>
      <c r="L42" s="18">
        <f t="shared" si="32"/>
        <v>0</v>
      </c>
      <c r="M42" s="18">
        <f t="shared" si="7"/>
        <v>28000</v>
      </c>
      <c r="N42" s="18">
        <f t="shared" si="30"/>
        <v>0</v>
      </c>
      <c r="O42" s="18">
        <f t="shared" si="31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1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1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70</v>
      </c>
      <c r="O43" s="18">
        <f>N43*0.53</f>
        <v>37.1</v>
      </c>
      <c r="P43" s="21">
        <f>O43*7.8338</f>
        <v>290.63398000000001</v>
      </c>
      <c r="Q43" s="266">
        <f>SUM(Q11:Q40)</f>
        <v>0</v>
      </c>
      <c r="R43" s="267"/>
      <c r="S43" s="268"/>
      <c r="T43" s="266">
        <f>SUM(T11:T40)</f>
        <v>0</v>
      </c>
      <c r="U43" s="267"/>
      <c r="V43" s="268"/>
      <c r="W43" s="266">
        <f>SUM(W11:W40)</f>
        <v>0</v>
      </c>
      <c r="X43" s="267"/>
      <c r="Y43" s="268"/>
      <c r="Z43" s="266">
        <f>SUM(Z11:Z40)</f>
        <v>0</v>
      </c>
      <c r="AA43" s="267"/>
      <c r="AB43" s="268"/>
      <c r="AC43" s="138">
        <f>SUM(AC11:AC40)</f>
        <v>0</v>
      </c>
      <c r="AD43" s="139"/>
      <c r="AE43" s="136"/>
    </row>
    <row r="44" spans="1:31" ht="35.25" customHeight="1" thickBot="1" x14ac:dyDescent="0.35">
      <c r="B44" s="269"/>
      <c r="C44" s="270"/>
      <c r="D44" s="270"/>
      <c r="E44" s="270"/>
      <c r="F44" s="270"/>
      <c r="G44" s="270"/>
      <c r="H44" s="270"/>
      <c r="I44" s="271"/>
      <c r="J44" s="16"/>
      <c r="K44" s="16"/>
      <c r="L44" s="16"/>
      <c r="M44" s="16"/>
      <c r="N44" s="16"/>
      <c r="O44" s="16"/>
      <c r="P44" s="16"/>
      <c r="Q44" s="272">
        <f>Q43+T43+W43+Z43</f>
        <v>0</v>
      </c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4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5" t="s">
        <v>36</v>
      </c>
      <c r="I47" s="276"/>
      <c r="J47" s="277"/>
      <c r="K47" s="28">
        <f>N43</f>
        <v>70</v>
      </c>
      <c r="L47" s="29">
        <f>O43</f>
        <v>37.1</v>
      </c>
      <c r="M47" s="29">
        <f>P43</f>
        <v>290.63398000000001</v>
      </c>
    </row>
    <row r="48" spans="1:31" ht="54.75" customHeight="1" thickBot="1" x14ac:dyDescent="0.35">
      <c r="H48" s="263" t="s">
        <v>37</v>
      </c>
      <c r="I48" s="264"/>
      <c r="J48" s="265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38" sqref="B38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1300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43976</v>
      </c>
      <c r="B9" s="40">
        <v>123246</v>
      </c>
      <c r="C9" s="41">
        <f t="shared" ref="C9:C33" si="0">IF(B10&lt;B9,0,B10-B9)*10</f>
        <v>60</v>
      </c>
      <c r="D9" s="42">
        <v>18448508</v>
      </c>
      <c r="E9" s="41">
        <f t="shared" ref="E9:E33" si="1">IF(D10&lt;D9,0,D10-D9)</f>
        <v>832</v>
      </c>
      <c r="F9" s="42">
        <v>33167404</v>
      </c>
      <c r="G9" s="41">
        <f t="shared" ref="G9:G33" si="2">IF(F10&lt;F9,0,F10-F9)</f>
        <v>1259</v>
      </c>
      <c r="H9" s="42">
        <v>14683090</v>
      </c>
      <c r="I9" s="41">
        <f t="shared" ref="I9:I16" si="3">IF(H10&lt;H9,0,H10-H9)</f>
        <v>557</v>
      </c>
    </row>
    <row r="10" spans="1:20" ht="21" thickTop="1" thickBot="1" x14ac:dyDescent="0.35">
      <c r="A10" s="39">
        <f>(A9+1)</f>
        <v>43977</v>
      </c>
      <c r="B10" s="40">
        <v>123252</v>
      </c>
      <c r="C10" s="41">
        <f t="shared" si="0"/>
        <v>60</v>
      </c>
      <c r="D10" s="42">
        <v>18449340</v>
      </c>
      <c r="E10" s="41">
        <f t="shared" si="1"/>
        <v>886</v>
      </c>
      <c r="F10" s="42">
        <v>33168663</v>
      </c>
      <c r="G10" s="41">
        <f t="shared" si="2"/>
        <v>1335</v>
      </c>
      <c r="H10" s="42">
        <v>14683647</v>
      </c>
      <c r="I10" s="41">
        <f t="shared" si="3"/>
        <v>576</v>
      </c>
    </row>
    <row r="11" spans="1:20" ht="21" thickTop="1" thickBot="1" x14ac:dyDescent="0.35">
      <c r="A11" s="39">
        <f t="shared" ref="A11:A47" si="4">(A10+1)</f>
        <v>43978</v>
      </c>
      <c r="B11" s="40">
        <v>123258</v>
      </c>
      <c r="C11" s="41">
        <f t="shared" si="0"/>
        <v>60</v>
      </c>
      <c r="D11" s="42">
        <v>18450226</v>
      </c>
      <c r="E11" s="41">
        <f t="shared" si="1"/>
        <v>876</v>
      </c>
      <c r="F11" s="42">
        <v>33169998</v>
      </c>
      <c r="G11" s="41">
        <f t="shared" si="2"/>
        <v>1332</v>
      </c>
      <c r="H11" s="42">
        <v>14684223</v>
      </c>
      <c r="I11" s="41">
        <f t="shared" si="3"/>
        <v>547</v>
      </c>
    </row>
    <row r="12" spans="1:20" ht="21" thickTop="1" thickBot="1" x14ac:dyDescent="0.35">
      <c r="A12" s="39">
        <f t="shared" si="4"/>
        <v>43979</v>
      </c>
      <c r="B12" s="40">
        <v>123264</v>
      </c>
      <c r="C12" s="41">
        <f t="shared" si="0"/>
        <v>90</v>
      </c>
      <c r="D12" s="42">
        <v>18451102</v>
      </c>
      <c r="E12" s="41">
        <f t="shared" si="1"/>
        <v>826</v>
      </c>
      <c r="F12" s="42">
        <v>33171330</v>
      </c>
      <c r="G12" s="41">
        <f t="shared" si="2"/>
        <v>1253</v>
      </c>
      <c r="H12" s="42">
        <v>14684770</v>
      </c>
      <c r="I12" s="41">
        <f t="shared" si="3"/>
        <v>521</v>
      </c>
    </row>
    <row r="13" spans="1:20" ht="21" thickTop="1" thickBot="1" x14ac:dyDescent="0.35">
      <c r="A13" s="39">
        <f t="shared" si="4"/>
        <v>43980</v>
      </c>
      <c r="B13" s="40">
        <v>123273</v>
      </c>
      <c r="C13" s="41">
        <f t="shared" si="0"/>
        <v>60</v>
      </c>
      <c r="D13" s="42">
        <v>18451928</v>
      </c>
      <c r="E13" s="41">
        <f t="shared" si="1"/>
        <v>893</v>
      </c>
      <c r="F13" s="42">
        <v>33172583</v>
      </c>
      <c r="G13" s="41">
        <f t="shared" si="2"/>
        <v>1304</v>
      </c>
      <c r="H13" s="42">
        <v>14685291</v>
      </c>
      <c r="I13" s="41">
        <f t="shared" si="3"/>
        <v>566</v>
      </c>
    </row>
    <row r="14" spans="1:20" ht="21" thickTop="1" thickBot="1" x14ac:dyDescent="0.35">
      <c r="A14" s="39">
        <f t="shared" si="4"/>
        <v>43981</v>
      </c>
      <c r="B14" s="40">
        <v>123279</v>
      </c>
      <c r="C14" s="41">
        <f t="shared" si="0"/>
        <v>60</v>
      </c>
      <c r="D14" s="42">
        <v>18452821</v>
      </c>
      <c r="E14" s="41">
        <f t="shared" si="1"/>
        <v>838</v>
      </c>
      <c r="F14" s="42">
        <v>33173887</v>
      </c>
      <c r="G14" s="41">
        <f t="shared" si="2"/>
        <v>1278</v>
      </c>
      <c r="H14" s="42">
        <v>14685857</v>
      </c>
      <c r="I14" s="41">
        <f t="shared" si="3"/>
        <v>570</v>
      </c>
    </row>
    <row r="15" spans="1:20" ht="21" thickTop="1" thickBot="1" x14ac:dyDescent="0.35">
      <c r="A15" s="39">
        <f t="shared" si="4"/>
        <v>43982</v>
      </c>
      <c r="B15" s="40">
        <v>123285</v>
      </c>
      <c r="C15" s="41">
        <f t="shared" si="0"/>
        <v>70</v>
      </c>
      <c r="D15" s="42">
        <v>18453659</v>
      </c>
      <c r="E15" s="41">
        <f t="shared" si="1"/>
        <v>822</v>
      </c>
      <c r="F15" s="42">
        <v>33175165</v>
      </c>
      <c r="G15" s="41">
        <f t="shared" si="2"/>
        <v>1253</v>
      </c>
      <c r="H15" s="42">
        <v>14686427</v>
      </c>
      <c r="I15" s="41">
        <f t="shared" si="3"/>
        <v>568</v>
      </c>
    </row>
    <row r="16" spans="1:20" ht="21" thickTop="1" thickBot="1" x14ac:dyDescent="0.35">
      <c r="A16" s="39">
        <f t="shared" si="4"/>
        <v>43983</v>
      </c>
      <c r="B16" s="40">
        <v>123292</v>
      </c>
      <c r="C16" s="41">
        <f t="shared" si="0"/>
        <v>60</v>
      </c>
      <c r="D16" s="42">
        <v>18454481</v>
      </c>
      <c r="E16" s="41">
        <f t="shared" si="1"/>
        <v>896</v>
      </c>
      <c r="F16" s="42">
        <v>33176418</v>
      </c>
      <c r="G16" s="41">
        <f t="shared" si="2"/>
        <v>1319</v>
      </c>
      <c r="H16" s="42">
        <v>14686995</v>
      </c>
      <c r="I16" s="41">
        <f t="shared" si="3"/>
        <v>568</v>
      </c>
    </row>
    <row r="17" spans="1:9" ht="21" thickTop="1" thickBot="1" x14ac:dyDescent="0.35">
      <c r="A17" s="39">
        <f t="shared" si="4"/>
        <v>43984</v>
      </c>
      <c r="B17" s="40">
        <v>123298</v>
      </c>
      <c r="C17" s="41">
        <f t="shared" si="0"/>
        <v>60</v>
      </c>
      <c r="D17" s="42">
        <v>18455377</v>
      </c>
      <c r="E17" s="41">
        <f t="shared" si="1"/>
        <v>980</v>
      </c>
      <c r="F17" s="42">
        <v>33177737</v>
      </c>
      <c r="G17" s="41">
        <f t="shared" si="2"/>
        <v>1309</v>
      </c>
      <c r="H17" s="42">
        <v>14687563</v>
      </c>
      <c r="I17" s="41">
        <f t="shared" ref="I17:I43" si="5">IF(H18&lt;H17,0,H18-H17)</f>
        <v>510</v>
      </c>
    </row>
    <row r="18" spans="1:9" ht="21" thickTop="1" thickBot="1" x14ac:dyDescent="0.35">
      <c r="A18" s="39">
        <f t="shared" si="4"/>
        <v>43985</v>
      </c>
      <c r="B18" s="40">
        <v>123304</v>
      </c>
      <c r="C18" s="41">
        <f t="shared" si="0"/>
        <v>70</v>
      </c>
      <c r="D18" s="42">
        <v>18456357</v>
      </c>
      <c r="E18" s="41">
        <f t="shared" si="1"/>
        <v>681</v>
      </c>
      <c r="F18" s="42">
        <v>33179046</v>
      </c>
      <c r="G18" s="41">
        <f t="shared" si="2"/>
        <v>1363</v>
      </c>
      <c r="H18" s="42">
        <v>14688073</v>
      </c>
      <c r="I18" s="41">
        <f t="shared" si="5"/>
        <v>558</v>
      </c>
    </row>
    <row r="19" spans="1:9" ht="21" thickTop="1" thickBot="1" x14ac:dyDescent="0.35">
      <c r="A19" s="39">
        <f t="shared" si="4"/>
        <v>43986</v>
      </c>
      <c r="B19" s="40">
        <v>123311</v>
      </c>
      <c r="C19" s="41">
        <f t="shared" si="0"/>
        <v>60</v>
      </c>
      <c r="D19" s="42">
        <v>18457038</v>
      </c>
      <c r="E19" s="41">
        <f t="shared" si="1"/>
        <v>989</v>
      </c>
      <c r="F19" s="42">
        <v>33180409</v>
      </c>
      <c r="G19" s="41">
        <f t="shared" si="2"/>
        <v>1316</v>
      </c>
      <c r="H19" s="42">
        <v>14688631</v>
      </c>
      <c r="I19" s="41">
        <f t="shared" si="5"/>
        <v>565</v>
      </c>
    </row>
    <row r="20" spans="1:9" ht="21" thickTop="1" thickBot="1" x14ac:dyDescent="0.35">
      <c r="A20" s="39">
        <f t="shared" si="4"/>
        <v>43987</v>
      </c>
      <c r="B20" s="40">
        <v>123317</v>
      </c>
      <c r="C20" s="41">
        <f t="shared" si="0"/>
        <v>60</v>
      </c>
      <c r="D20" s="42">
        <v>18458027</v>
      </c>
      <c r="E20" s="41">
        <f t="shared" si="1"/>
        <v>973</v>
      </c>
      <c r="F20" s="42">
        <v>33181725</v>
      </c>
      <c r="G20" s="41">
        <f t="shared" si="2"/>
        <v>1369</v>
      </c>
      <c r="H20" s="42">
        <v>14689196</v>
      </c>
      <c r="I20" s="41">
        <f t="shared" si="5"/>
        <v>564</v>
      </c>
    </row>
    <row r="21" spans="1:9" ht="21" thickTop="1" thickBot="1" x14ac:dyDescent="0.35">
      <c r="A21" s="39">
        <f t="shared" si="4"/>
        <v>43988</v>
      </c>
      <c r="B21" s="40">
        <v>123323</v>
      </c>
      <c r="C21" s="41">
        <f t="shared" si="0"/>
        <v>60</v>
      </c>
      <c r="D21" s="42">
        <v>18459000</v>
      </c>
      <c r="E21" s="41">
        <f t="shared" si="1"/>
        <v>936</v>
      </c>
      <c r="F21" s="42">
        <v>33183094</v>
      </c>
      <c r="G21" s="41">
        <f t="shared" si="2"/>
        <v>1331</v>
      </c>
      <c r="H21" s="42">
        <v>14689760</v>
      </c>
      <c r="I21" s="41">
        <f t="shared" si="5"/>
        <v>599</v>
      </c>
    </row>
    <row r="22" spans="1:9" ht="21" thickTop="1" thickBot="1" x14ac:dyDescent="0.35">
      <c r="A22" s="39">
        <f t="shared" si="4"/>
        <v>43989</v>
      </c>
      <c r="B22" s="40">
        <v>123329</v>
      </c>
      <c r="C22" s="41">
        <f t="shared" si="0"/>
        <v>50</v>
      </c>
      <c r="D22" s="42">
        <v>18459936</v>
      </c>
      <c r="E22" s="41">
        <f t="shared" si="1"/>
        <v>907</v>
      </c>
      <c r="F22" s="42">
        <v>33184425</v>
      </c>
      <c r="G22" s="41">
        <f t="shared" si="2"/>
        <v>1336</v>
      </c>
      <c r="H22" s="42">
        <v>14690359</v>
      </c>
      <c r="I22" s="41">
        <f t="shared" si="5"/>
        <v>577</v>
      </c>
    </row>
    <row r="23" spans="1:9" ht="21" thickTop="1" thickBot="1" x14ac:dyDescent="0.35">
      <c r="A23" s="39">
        <f t="shared" si="4"/>
        <v>43990</v>
      </c>
      <c r="B23" s="40">
        <v>123334</v>
      </c>
      <c r="C23" s="41">
        <f t="shared" si="0"/>
        <v>90</v>
      </c>
      <c r="D23" s="42">
        <v>18460843</v>
      </c>
      <c r="E23" s="41">
        <f t="shared" si="1"/>
        <v>1856</v>
      </c>
      <c r="F23" s="42">
        <v>33185761</v>
      </c>
      <c r="G23" s="41">
        <f t="shared" si="2"/>
        <v>2802</v>
      </c>
      <c r="H23" s="42">
        <v>14690936</v>
      </c>
      <c r="I23" s="41">
        <f t="shared" si="5"/>
        <v>1266</v>
      </c>
    </row>
    <row r="24" spans="1:9" ht="21" thickTop="1" thickBot="1" x14ac:dyDescent="0.35">
      <c r="A24" s="39">
        <f t="shared" si="4"/>
        <v>43991</v>
      </c>
      <c r="B24" s="40">
        <v>123343</v>
      </c>
      <c r="C24" s="41">
        <f t="shared" si="0"/>
        <v>60</v>
      </c>
      <c r="D24" s="42">
        <v>18462699</v>
      </c>
      <c r="E24" s="41">
        <f t="shared" si="1"/>
        <v>843</v>
      </c>
      <c r="F24" s="42">
        <v>33188563</v>
      </c>
      <c r="G24" s="41">
        <f t="shared" si="2"/>
        <v>1511</v>
      </c>
      <c r="H24" s="42">
        <v>14692202</v>
      </c>
      <c r="I24" s="41">
        <f t="shared" si="5"/>
        <v>588</v>
      </c>
    </row>
    <row r="25" spans="1:9" ht="21" thickTop="1" thickBot="1" x14ac:dyDescent="0.35">
      <c r="A25" s="39">
        <f t="shared" si="4"/>
        <v>43992</v>
      </c>
      <c r="B25" s="40">
        <v>123349</v>
      </c>
      <c r="C25" s="41">
        <f t="shared" si="0"/>
        <v>60</v>
      </c>
      <c r="D25" s="42">
        <v>18463542</v>
      </c>
      <c r="E25" s="41">
        <f t="shared" si="1"/>
        <v>880</v>
      </c>
      <c r="F25" s="42">
        <v>33190074</v>
      </c>
      <c r="G25" s="41">
        <f t="shared" si="2"/>
        <v>1347</v>
      </c>
      <c r="H25" s="42">
        <v>14692790</v>
      </c>
      <c r="I25" s="41">
        <f t="shared" si="5"/>
        <v>555</v>
      </c>
    </row>
    <row r="26" spans="1:9" ht="21" thickTop="1" thickBot="1" x14ac:dyDescent="0.35">
      <c r="A26" s="39">
        <f t="shared" si="4"/>
        <v>43993</v>
      </c>
      <c r="B26" s="40">
        <v>123355</v>
      </c>
      <c r="C26" s="41">
        <f t="shared" si="0"/>
        <v>60</v>
      </c>
      <c r="D26" s="42">
        <v>18464422</v>
      </c>
      <c r="E26" s="41">
        <f t="shared" si="1"/>
        <v>935</v>
      </c>
      <c r="F26" s="42">
        <v>33191421</v>
      </c>
      <c r="G26" s="41">
        <f t="shared" si="2"/>
        <v>1390</v>
      </c>
      <c r="H26" s="42">
        <v>14693345</v>
      </c>
      <c r="I26" s="41">
        <f t="shared" si="5"/>
        <v>586</v>
      </c>
    </row>
    <row r="27" spans="1:9" ht="21" thickTop="1" thickBot="1" x14ac:dyDescent="0.35">
      <c r="A27" s="39">
        <f t="shared" si="4"/>
        <v>43994</v>
      </c>
      <c r="B27" s="40">
        <v>123361</v>
      </c>
      <c r="C27" s="41">
        <f t="shared" si="0"/>
        <v>60</v>
      </c>
      <c r="D27" s="42">
        <v>18465357</v>
      </c>
      <c r="E27" s="41">
        <f t="shared" si="1"/>
        <v>852</v>
      </c>
      <c r="F27" s="42">
        <v>33192811</v>
      </c>
      <c r="G27" s="41">
        <f t="shared" si="2"/>
        <v>1411</v>
      </c>
      <c r="H27" s="42">
        <v>14693931</v>
      </c>
      <c r="I27" s="41">
        <f t="shared" si="5"/>
        <v>561</v>
      </c>
    </row>
    <row r="28" spans="1:9" ht="21" thickTop="1" thickBot="1" x14ac:dyDescent="0.35">
      <c r="A28" s="39">
        <f t="shared" si="4"/>
        <v>43995</v>
      </c>
      <c r="B28" s="40">
        <v>123367</v>
      </c>
      <c r="C28" s="41">
        <f t="shared" si="0"/>
        <v>60</v>
      </c>
      <c r="D28" s="42">
        <v>18466209</v>
      </c>
      <c r="E28" s="41">
        <f t="shared" si="1"/>
        <v>886</v>
      </c>
      <c r="F28" s="42">
        <v>33194222</v>
      </c>
      <c r="G28" s="41">
        <f t="shared" si="2"/>
        <v>1356</v>
      </c>
      <c r="H28" s="42">
        <v>14694492</v>
      </c>
      <c r="I28" s="41">
        <f t="shared" si="5"/>
        <v>576</v>
      </c>
    </row>
    <row r="29" spans="1:9" ht="21" thickTop="1" thickBot="1" x14ac:dyDescent="0.35">
      <c r="A29" s="39">
        <f t="shared" si="4"/>
        <v>43996</v>
      </c>
      <c r="B29" s="40">
        <v>123373</v>
      </c>
      <c r="C29" s="41">
        <f t="shared" si="0"/>
        <v>60</v>
      </c>
      <c r="D29" s="42">
        <v>18467095</v>
      </c>
      <c r="E29" s="41">
        <f t="shared" si="1"/>
        <v>934</v>
      </c>
      <c r="F29" s="42">
        <v>33195578</v>
      </c>
      <c r="G29" s="41">
        <f t="shared" si="2"/>
        <v>1302</v>
      </c>
      <c r="H29" s="42">
        <v>14695068</v>
      </c>
      <c r="I29" s="41">
        <f t="shared" si="5"/>
        <v>575</v>
      </c>
    </row>
    <row r="30" spans="1:9" ht="21" thickTop="1" thickBot="1" x14ac:dyDescent="0.35">
      <c r="A30" s="39">
        <f t="shared" si="4"/>
        <v>43997</v>
      </c>
      <c r="B30" s="40">
        <v>123379</v>
      </c>
      <c r="C30" s="41">
        <f t="shared" si="0"/>
        <v>60</v>
      </c>
      <c r="D30" s="42">
        <v>18468029</v>
      </c>
      <c r="E30" s="41">
        <f t="shared" si="1"/>
        <v>926</v>
      </c>
      <c r="F30" s="42">
        <v>33196880</v>
      </c>
      <c r="G30" s="41">
        <f t="shared" si="2"/>
        <v>1354</v>
      </c>
      <c r="H30" s="42">
        <v>14695643</v>
      </c>
      <c r="I30" s="41">
        <f t="shared" si="5"/>
        <v>601</v>
      </c>
    </row>
    <row r="31" spans="1:9" ht="21" thickTop="1" thickBot="1" x14ac:dyDescent="0.35">
      <c r="A31" s="39">
        <f t="shared" si="4"/>
        <v>43998</v>
      </c>
      <c r="B31" s="40">
        <v>123385</v>
      </c>
      <c r="C31" s="41">
        <f t="shared" si="0"/>
        <v>70</v>
      </c>
      <c r="D31" s="42">
        <v>18468955</v>
      </c>
      <c r="E31" s="41">
        <f t="shared" si="1"/>
        <v>936</v>
      </c>
      <c r="F31" s="42">
        <v>33198234</v>
      </c>
      <c r="G31" s="41">
        <f t="shared" si="2"/>
        <v>1409</v>
      </c>
      <c r="H31" s="42">
        <v>14696244</v>
      </c>
      <c r="I31" s="41">
        <f t="shared" si="5"/>
        <v>584</v>
      </c>
    </row>
    <row r="32" spans="1:9" ht="21" thickTop="1" thickBot="1" x14ac:dyDescent="0.35">
      <c r="A32" s="39">
        <f t="shared" si="4"/>
        <v>43999</v>
      </c>
      <c r="B32" s="40">
        <v>123392</v>
      </c>
      <c r="C32" s="41">
        <f t="shared" si="0"/>
        <v>60</v>
      </c>
      <c r="D32" s="42">
        <v>18469891</v>
      </c>
      <c r="E32" s="41">
        <f t="shared" si="1"/>
        <v>919</v>
      </c>
      <c r="F32" s="42">
        <v>33199643</v>
      </c>
      <c r="G32" s="41">
        <f t="shared" si="2"/>
        <v>1367</v>
      </c>
      <c r="H32" s="42">
        <v>14696828</v>
      </c>
      <c r="I32" s="41">
        <f t="shared" si="5"/>
        <v>599</v>
      </c>
    </row>
    <row r="33" spans="1:9" ht="21" thickTop="1" thickBot="1" x14ac:dyDescent="0.35">
      <c r="A33" s="39">
        <f t="shared" si="4"/>
        <v>44000</v>
      </c>
      <c r="B33" s="40">
        <v>123398</v>
      </c>
      <c r="C33" s="41">
        <f t="shared" si="0"/>
        <v>60</v>
      </c>
      <c r="D33" s="42">
        <v>18470810</v>
      </c>
      <c r="E33" s="41">
        <f t="shared" si="1"/>
        <v>1065</v>
      </c>
      <c r="F33" s="42">
        <v>33201010</v>
      </c>
      <c r="G33" s="41">
        <f t="shared" si="2"/>
        <v>1301</v>
      </c>
      <c r="H33" s="42">
        <v>14697427</v>
      </c>
      <c r="I33" s="41">
        <f t="shared" si="5"/>
        <v>599</v>
      </c>
    </row>
    <row r="34" spans="1:9" ht="21" thickTop="1" thickBot="1" x14ac:dyDescent="0.35">
      <c r="A34" s="39">
        <f t="shared" si="4"/>
        <v>44001</v>
      </c>
      <c r="B34" s="40">
        <v>123404</v>
      </c>
      <c r="C34" s="41">
        <f t="shared" ref="C34:C47" si="6">IF(B35&lt;B34,0,B35-B34)*10</f>
        <v>60</v>
      </c>
      <c r="D34" s="42">
        <v>18471875</v>
      </c>
      <c r="E34" s="41">
        <f t="shared" ref="E34:E47" si="7">IF(D35&lt;D34,0,D35-D34)</f>
        <v>982</v>
      </c>
      <c r="F34" s="42">
        <v>33202311</v>
      </c>
      <c r="G34" s="41">
        <f t="shared" ref="G34:G47" si="8">IF(F35&lt;F34,0,F35-F34)</f>
        <v>1433</v>
      </c>
      <c r="H34" s="42">
        <v>14698026</v>
      </c>
      <c r="I34" s="41">
        <f t="shared" si="5"/>
        <v>608</v>
      </c>
    </row>
    <row r="35" spans="1:9" ht="21" thickTop="1" thickBot="1" x14ac:dyDescent="0.35">
      <c r="A35" s="39">
        <f t="shared" si="4"/>
        <v>44002</v>
      </c>
      <c r="B35" s="40">
        <v>123410</v>
      </c>
      <c r="C35" s="41">
        <f t="shared" si="6"/>
        <v>70</v>
      </c>
      <c r="D35" s="42">
        <v>18472857</v>
      </c>
      <c r="E35" s="41">
        <f t="shared" si="7"/>
        <v>917</v>
      </c>
      <c r="F35" s="42">
        <v>33203744</v>
      </c>
      <c r="G35" s="41">
        <f t="shared" si="8"/>
        <v>1402</v>
      </c>
      <c r="H35" s="42">
        <v>14698634</v>
      </c>
      <c r="I35" s="41">
        <f t="shared" si="5"/>
        <v>576</v>
      </c>
    </row>
    <row r="36" spans="1:9" ht="21" thickTop="1" thickBot="1" x14ac:dyDescent="0.35">
      <c r="A36" s="39">
        <f t="shared" si="4"/>
        <v>44003</v>
      </c>
      <c r="B36" s="40">
        <v>123417</v>
      </c>
      <c r="C36" s="41">
        <f t="shared" si="6"/>
        <v>50</v>
      </c>
      <c r="D36" s="42">
        <v>18473774</v>
      </c>
      <c r="E36" s="41">
        <f t="shared" si="7"/>
        <v>919</v>
      </c>
      <c r="F36" s="42">
        <v>33205146</v>
      </c>
      <c r="G36" s="41">
        <f t="shared" si="8"/>
        <v>1394</v>
      </c>
      <c r="H36" s="42">
        <v>14699210</v>
      </c>
      <c r="I36" s="41">
        <f t="shared" si="5"/>
        <v>598</v>
      </c>
    </row>
    <row r="37" spans="1:9" ht="21" thickTop="1" thickBot="1" x14ac:dyDescent="0.35">
      <c r="A37" s="39">
        <f t="shared" si="4"/>
        <v>44004</v>
      </c>
      <c r="B37" s="40">
        <v>123422</v>
      </c>
      <c r="C37" s="41">
        <f t="shared" si="6"/>
        <v>0</v>
      </c>
      <c r="D37" s="42">
        <v>18474693</v>
      </c>
      <c r="E37" s="41">
        <f t="shared" si="7"/>
        <v>0</v>
      </c>
      <c r="F37" s="42">
        <v>33206540</v>
      </c>
      <c r="G37" s="41">
        <f t="shared" si="8"/>
        <v>0</v>
      </c>
      <c r="H37" s="42">
        <v>14699808</v>
      </c>
      <c r="I37" s="41">
        <f t="shared" si="5"/>
        <v>0</v>
      </c>
    </row>
    <row r="38" spans="1:9" ht="21" thickTop="1" thickBot="1" x14ac:dyDescent="0.35">
      <c r="A38" s="39">
        <f t="shared" si="4"/>
        <v>44005</v>
      </c>
      <c r="B38" s="40"/>
      <c r="C38" s="41">
        <f t="shared" si="6"/>
        <v>0</v>
      </c>
      <c r="D38" s="42"/>
      <c r="E38" s="41">
        <f t="shared" si="7"/>
        <v>0</v>
      </c>
      <c r="F38" s="42"/>
      <c r="G38" s="41">
        <f t="shared" si="8"/>
        <v>0</v>
      </c>
      <c r="H38" s="42"/>
      <c r="I38" s="41">
        <f t="shared" si="5"/>
        <v>0</v>
      </c>
    </row>
    <row r="39" spans="1:9" ht="21" thickTop="1" thickBot="1" x14ac:dyDescent="0.35">
      <c r="A39" s="39">
        <f t="shared" si="4"/>
        <v>44006</v>
      </c>
      <c r="B39" s="40"/>
      <c r="C39" s="41">
        <f t="shared" si="6"/>
        <v>0</v>
      </c>
      <c r="D39" s="42"/>
      <c r="E39" s="41">
        <f t="shared" si="7"/>
        <v>0</v>
      </c>
      <c r="F39" s="42"/>
      <c r="G39" s="41">
        <f t="shared" si="8"/>
        <v>0</v>
      </c>
      <c r="H39" s="42"/>
      <c r="I39" s="41">
        <f t="shared" si="5"/>
        <v>0</v>
      </c>
    </row>
    <row r="40" spans="1:9" ht="21" thickTop="1" thickBot="1" x14ac:dyDescent="0.35">
      <c r="A40" s="39">
        <f t="shared" si="4"/>
        <v>44007</v>
      </c>
      <c r="B40" s="40"/>
      <c r="C40" s="41">
        <f t="shared" si="6"/>
        <v>0</v>
      </c>
      <c r="D40" s="42"/>
      <c r="E40" s="41">
        <f t="shared" si="7"/>
        <v>0</v>
      </c>
      <c r="F40" s="42"/>
      <c r="G40" s="41">
        <f t="shared" si="8"/>
        <v>0</v>
      </c>
      <c r="H40" s="42"/>
      <c r="I40" s="41">
        <f t="shared" si="5"/>
        <v>0</v>
      </c>
    </row>
    <row r="41" spans="1:9" ht="21" thickTop="1" thickBot="1" x14ac:dyDescent="0.35">
      <c r="A41" s="39">
        <f t="shared" si="4"/>
        <v>44008</v>
      </c>
      <c r="B41" s="40"/>
      <c r="C41" s="41">
        <f t="shared" si="6"/>
        <v>0</v>
      </c>
      <c r="D41" s="42"/>
      <c r="E41" s="41">
        <f t="shared" si="7"/>
        <v>0</v>
      </c>
      <c r="F41" s="42"/>
      <c r="G41" s="41">
        <f t="shared" si="8"/>
        <v>0</v>
      </c>
      <c r="H41" s="42"/>
      <c r="I41" s="41">
        <f t="shared" si="5"/>
        <v>0</v>
      </c>
    </row>
    <row r="42" spans="1:9" ht="21" thickTop="1" thickBot="1" x14ac:dyDescent="0.35">
      <c r="A42" s="39">
        <f t="shared" si="4"/>
        <v>44009</v>
      </c>
      <c r="B42" s="40"/>
      <c r="C42" s="41">
        <f t="shared" si="6"/>
        <v>0</v>
      </c>
      <c r="D42" s="42"/>
      <c r="E42" s="41">
        <f t="shared" si="7"/>
        <v>0</v>
      </c>
      <c r="F42" s="42"/>
      <c r="G42" s="41">
        <f t="shared" si="8"/>
        <v>0</v>
      </c>
      <c r="H42" s="42"/>
      <c r="I42" s="41">
        <f t="shared" si="5"/>
        <v>0</v>
      </c>
    </row>
    <row r="43" spans="1:9" ht="21" thickTop="1" thickBot="1" x14ac:dyDescent="0.35">
      <c r="A43" s="39">
        <f t="shared" si="4"/>
        <v>44010</v>
      </c>
      <c r="B43" s="40"/>
      <c r="C43" s="41">
        <f t="shared" si="6"/>
        <v>0</v>
      </c>
      <c r="D43" s="42"/>
      <c r="E43" s="41">
        <f t="shared" si="7"/>
        <v>0</v>
      </c>
      <c r="F43" s="42"/>
      <c r="G43" s="41">
        <f t="shared" si="8"/>
        <v>0</v>
      </c>
      <c r="H43" s="42"/>
      <c r="I43" s="41">
        <f t="shared" si="5"/>
        <v>0</v>
      </c>
    </row>
    <row r="44" spans="1:9" ht="21" thickTop="1" thickBot="1" x14ac:dyDescent="0.35">
      <c r="A44" s="39">
        <f t="shared" si="4"/>
        <v>44011</v>
      </c>
      <c r="B44" s="40"/>
      <c r="C44" s="41">
        <f t="shared" si="6"/>
        <v>0</v>
      </c>
      <c r="D44" s="42"/>
      <c r="E44" s="41">
        <f t="shared" si="7"/>
        <v>0</v>
      </c>
      <c r="F44" s="42"/>
      <c r="G44" s="41">
        <f t="shared" si="8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44012</v>
      </c>
      <c r="B45" s="40"/>
      <c r="C45" s="41">
        <f t="shared" si="6"/>
        <v>0</v>
      </c>
      <c r="D45" s="42"/>
      <c r="E45" s="41">
        <f t="shared" si="7"/>
        <v>0</v>
      </c>
      <c r="F45" s="42"/>
      <c r="G45" s="41">
        <f t="shared" si="8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44013</v>
      </c>
      <c r="B46" s="40"/>
      <c r="C46" s="41">
        <f t="shared" si="6"/>
        <v>0</v>
      </c>
      <c r="D46" s="42"/>
      <c r="E46" s="41">
        <f t="shared" si="7"/>
        <v>0</v>
      </c>
      <c r="F46" s="42"/>
      <c r="G46" s="41">
        <f t="shared" si="8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44014</v>
      </c>
      <c r="B47" s="40"/>
      <c r="C47" s="41">
        <f t="shared" si="6"/>
        <v>0</v>
      </c>
      <c r="D47" s="42"/>
      <c r="E47" s="41">
        <f t="shared" si="7"/>
        <v>0</v>
      </c>
      <c r="F47" s="42"/>
      <c r="G47" s="41">
        <f t="shared" si="8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1300</v>
      </c>
      <c r="E48" s="41">
        <f>SUM(E16:E45)</f>
        <v>20212</v>
      </c>
      <c r="F48" s="53"/>
      <c r="G48" s="41">
        <f>SUM(G16:G45)</f>
        <v>30122</v>
      </c>
      <c r="H48" s="53"/>
      <c r="I48" s="41">
        <f>SUM(I16:I45)</f>
        <v>12813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96" priority="518" stopIfTrue="1" operator="lessThanOrEqual">
      <formula>0</formula>
    </cfRule>
  </conditionalFormatting>
  <conditionalFormatting sqref="C48">
    <cfRule type="cellIs" dxfId="95" priority="180" stopIfTrue="1" operator="lessThanOrEqual">
      <formula>0</formula>
    </cfRule>
  </conditionalFormatting>
  <conditionalFormatting sqref="C48">
    <cfRule type="cellIs" dxfId="94" priority="179" stopIfTrue="1" operator="lessThanOrEqual">
      <formula>0</formula>
    </cfRule>
  </conditionalFormatting>
  <conditionalFormatting sqref="C48">
    <cfRule type="cellIs" dxfId="93" priority="178" stopIfTrue="1" operator="lessThanOrEqual">
      <formula>0</formula>
    </cfRule>
  </conditionalFormatting>
  <conditionalFormatting sqref="C48">
    <cfRule type="cellIs" dxfId="92" priority="177" stopIfTrue="1" operator="lessThanOrEqual">
      <formula>0</formula>
    </cfRule>
  </conditionalFormatting>
  <conditionalFormatting sqref="E48">
    <cfRule type="cellIs" dxfId="91" priority="120" stopIfTrue="1" operator="lessThanOrEqual">
      <formula>0</formula>
    </cfRule>
  </conditionalFormatting>
  <conditionalFormatting sqref="E48">
    <cfRule type="cellIs" dxfId="90" priority="119" stopIfTrue="1" operator="lessThanOrEqual">
      <formula>0</formula>
    </cfRule>
  </conditionalFormatting>
  <conditionalFormatting sqref="E48">
    <cfRule type="cellIs" dxfId="89" priority="118" stopIfTrue="1" operator="lessThanOrEqual">
      <formula>0</formula>
    </cfRule>
  </conditionalFormatting>
  <conditionalFormatting sqref="E48">
    <cfRule type="cellIs" dxfId="88" priority="117" stopIfTrue="1" operator="lessThanOrEqual">
      <formula>0</formula>
    </cfRule>
  </conditionalFormatting>
  <conditionalFormatting sqref="G48">
    <cfRule type="cellIs" dxfId="87" priority="116" stopIfTrue="1" operator="lessThanOrEqual">
      <formula>0</formula>
    </cfRule>
  </conditionalFormatting>
  <conditionalFormatting sqref="G48">
    <cfRule type="cellIs" dxfId="86" priority="115" stopIfTrue="1" operator="lessThanOrEqual">
      <formula>0</formula>
    </cfRule>
  </conditionalFormatting>
  <conditionalFormatting sqref="G48">
    <cfRule type="cellIs" dxfId="85" priority="114" stopIfTrue="1" operator="lessThanOrEqual">
      <formula>0</formula>
    </cfRule>
  </conditionalFormatting>
  <conditionalFormatting sqref="G48">
    <cfRule type="cellIs" dxfId="84" priority="113" stopIfTrue="1" operator="lessThanOrEqual">
      <formula>0</formula>
    </cfRule>
  </conditionalFormatting>
  <conditionalFormatting sqref="I48">
    <cfRule type="cellIs" dxfId="83" priority="112" stopIfTrue="1" operator="lessThanOrEqual">
      <formula>0</formula>
    </cfRule>
  </conditionalFormatting>
  <conditionalFormatting sqref="I48">
    <cfRule type="cellIs" dxfId="82" priority="111" stopIfTrue="1" operator="lessThanOrEqual">
      <formula>0</formula>
    </cfRule>
  </conditionalFormatting>
  <conditionalFormatting sqref="I48">
    <cfRule type="cellIs" dxfId="81" priority="110" stopIfTrue="1" operator="lessThanOrEqual">
      <formula>0</formula>
    </cfRule>
  </conditionalFormatting>
  <conditionalFormatting sqref="I48">
    <cfRule type="cellIs" dxfId="80" priority="109" stopIfTrue="1" operator="lessThanOrEqual">
      <formula>0</formula>
    </cfRule>
  </conditionalFormatting>
  <conditionalFormatting sqref="C34:C35 C38:C47">
    <cfRule type="cellIs" dxfId="79" priority="76" stopIfTrue="1" operator="lessThanOrEqual">
      <formula>0</formula>
    </cfRule>
  </conditionalFormatting>
  <conditionalFormatting sqref="C34:C35 C38:C47">
    <cfRule type="cellIs" dxfId="78" priority="75" stopIfTrue="1" operator="lessThanOrEqual">
      <formula>0</formula>
    </cfRule>
  </conditionalFormatting>
  <conditionalFormatting sqref="C34:C35 C38:C47">
    <cfRule type="cellIs" dxfId="77" priority="74" stopIfTrue="1" operator="lessThanOrEqual">
      <formula>0</formula>
    </cfRule>
  </conditionalFormatting>
  <conditionalFormatting sqref="C34:C35 C38:C47">
    <cfRule type="cellIs" dxfId="76" priority="73" stopIfTrue="1" operator="lessThanOrEqual">
      <formula>0</formula>
    </cfRule>
  </conditionalFormatting>
  <conditionalFormatting sqref="C9:C14">
    <cfRule type="cellIs" dxfId="75" priority="72" stopIfTrue="1" operator="lessThanOrEqual">
      <formula>0</formula>
    </cfRule>
  </conditionalFormatting>
  <conditionalFormatting sqref="C9:C14">
    <cfRule type="cellIs" dxfId="74" priority="71" stopIfTrue="1" operator="lessThanOrEqual">
      <formula>0</formula>
    </cfRule>
  </conditionalFormatting>
  <conditionalFormatting sqref="C9:C14">
    <cfRule type="cellIs" dxfId="73" priority="70" stopIfTrue="1" operator="lessThanOrEqual">
      <formula>0</formula>
    </cfRule>
  </conditionalFormatting>
  <conditionalFormatting sqref="C9:C14">
    <cfRule type="cellIs" dxfId="72" priority="69" stopIfTrue="1" operator="lessThanOrEqual">
      <formula>0</formula>
    </cfRule>
  </conditionalFormatting>
  <conditionalFormatting sqref="C16">
    <cfRule type="cellIs" dxfId="71" priority="68" stopIfTrue="1" operator="lessThanOrEqual">
      <formula>0</formula>
    </cfRule>
  </conditionalFormatting>
  <conditionalFormatting sqref="C16">
    <cfRule type="cellIs" dxfId="70" priority="67" stopIfTrue="1" operator="lessThanOrEqual">
      <formula>0</formula>
    </cfRule>
  </conditionalFormatting>
  <conditionalFormatting sqref="C16">
    <cfRule type="cellIs" dxfId="69" priority="66" stopIfTrue="1" operator="lessThanOrEqual">
      <formula>0</formula>
    </cfRule>
  </conditionalFormatting>
  <conditionalFormatting sqref="C16">
    <cfRule type="cellIs" dxfId="68" priority="65" stopIfTrue="1" operator="lessThanOrEqual">
      <formula>0</formula>
    </cfRule>
  </conditionalFormatting>
  <conditionalFormatting sqref="C15">
    <cfRule type="cellIs" dxfId="67" priority="64" stopIfTrue="1" operator="lessThanOrEqual">
      <formula>0</formula>
    </cfRule>
  </conditionalFormatting>
  <conditionalFormatting sqref="C15">
    <cfRule type="cellIs" dxfId="66" priority="63" stopIfTrue="1" operator="lessThanOrEqual">
      <formula>0</formula>
    </cfRule>
  </conditionalFormatting>
  <conditionalFormatting sqref="C15">
    <cfRule type="cellIs" dxfId="65" priority="62" stopIfTrue="1" operator="lessThanOrEqual">
      <formula>0</formula>
    </cfRule>
  </conditionalFormatting>
  <conditionalFormatting sqref="C15">
    <cfRule type="cellIs" dxfId="64" priority="61" stopIfTrue="1" operator="lessThanOrEqual">
      <formula>0</formula>
    </cfRule>
  </conditionalFormatting>
  <conditionalFormatting sqref="C17">
    <cfRule type="cellIs" dxfId="63" priority="60" stopIfTrue="1" operator="lessThanOrEqual">
      <formula>0</formula>
    </cfRule>
  </conditionalFormatting>
  <conditionalFormatting sqref="C17">
    <cfRule type="cellIs" dxfId="62" priority="59" stopIfTrue="1" operator="lessThanOrEqual">
      <formula>0</formula>
    </cfRule>
  </conditionalFormatting>
  <conditionalFormatting sqref="C17">
    <cfRule type="cellIs" dxfId="61" priority="58" stopIfTrue="1" operator="lessThanOrEqual">
      <formula>0</formula>
    </cfRule>
  </conditionalFormatting>
  <conditionalFormatting sqref="C17">
    <cfRule type="cellIs" dxfId="60" priority="57" stopIfTrue="1" operator="lessThanOrEqual">
      <formula>0</formula>
    </cfRule>
  </conditionalFormatting>
  <conditionalFormatting sqref="C18">
    <cfRule type="cellIs" dxfId="59" priority="56" stopIfTrue="1" operator="lessThanOrEqual">
      <formula>0</formula>
    </cfRule>
  </conditionalFormatting>
  <conditionalFormatting sqref="C18">
    <cfRule type="cellIs" dxfId="58" priority="55" stopIfTrue="1" operator="lessThanOrEqual">
      <formula>0</formula>
    </cfRule>
  </conditionalFormatting>
  <conditionalFormatting sqref="C18">
    <cfRule type="cellIs" dxfId="57" priority="54" stopIfTrue="1" operator="lessThanOrEqual">
      <formula>0</formula>
    </cfRule>
  </conditionalFormatting>
  <conditionalFormatting sqref="C18">
    <cfRule type="cellIs" dxfId="56" priority="53" stopIfTrue="1" operator="lessThanOrEqual">
      <formula>0</formula>
    </cfRule>
  </conditionalFormatting>
  <conditionalFormatting sqref="C19">
    <cfRule type="cellIs" dxfId="55" priority="52" stopIfTrue="1" operator="lessThanOrEqual">
      <formula>0</formula>
    </cfRule>
  </conditionalFormatting>
  <conditionalFormatting sqref="C19">
    <cfRule type="cellIs" dxfId="54" priority="51" stopIfTrue="1" operator="lessThanOrEqual">
      <formula>0</formula>
    </cfRule>
  </conditionalFormatting>
  <conditionalFormatting sqref="C19">
    <cfRule type="cellIs" dxfId="53" priority="50" stopIfTrue="1" operator="lessThanOrEqual">
      <formula>0</formula>
    </cfRule>
  </conditionalFormatting>
  <conditionalFormatting sqref="C19">
    <cfRule type="cellIs" dxfId="52" priority="49" stopIfTrue="1" operator="lessThanOrEqual">
      <formula>0</formula>
    </cfRule>
  </conditionalFormatting>
  <conditionalFormatting sqref="C20:C22">
    <cfRule type="cellIs" dxfId="51" priority="48" stopIfTrue="1" operator="lessThanOrEqual">
      <formula>0</formula>
    </cfRule>
  </conditionalFormatting>
  <conditionalFormatting sqref="C20:C22">
    <cfRule type="cellIs" dxfId="50" priority="47" stopIfTrue="1" operator="lessThanOrEqual">
      <formula>0</formula>
    </cfRule>
  </conditionalFormatting>
  <conditionalFormatting sqref="C20:C22">
    <cfRule type="cellIs" dxfId="49" priority="46" stopIfTrue="1" operator="lessThanOrEqual">
      <formula>0</formula>
    </cfRule>
  </conditionalFormatting>
  <conditionalFormatting sqref="C20:C22">
    <cfRule type="cellIs" dxfId="48" priority="45" stopIfTrue="1" operator="lessThanOrEqual">
      <formula>0</formula>
    </cfRule>
  </conditionalFormatting>
  <conditionalFormatting sqref="C23">
    <cfRule type="cellIs" dxfId="47" priority="44" stopIfTrue="1" operator="lessThanOrEqual">
      <formula>0</formula>
    </cfRule>
  </conditionalFormatting>
  <conditionalFormatting sqref="C23">
    <cfRule type="cellIs" dxfId="46" priority="43" stopIfTrue="1" operator="lessThanOrEqual">
      <formula>0</formula>
    </cfRule>
  </conditionalFormatting>
  <conditionalFormatting sqref="C23">
    <cfRule type="cellIs" dxfId="45" priority="42" stopIfTrue="1" operator="lessThanOrEqual">
      <formula>0</formula>
    </cfRule>
  </conditionalFormatting>
  <conditionalFormatting sqref="C23">
    <cfRule type="cellIs" dxfId="44" priority="41" stopIfTrue="1" operator="lessThanOrEqual">
      <formula>0</formula>
    </cfRule>
  </conditionalFormatting>
  <conditionalFormatting sqref="C24">
    <cfRule type="cellIs" dxfId="43" priority="40" stopIfTrue="1" operator="lessThanOrEqual">
      <formula>0</formula>
    </cfRule>
  </conditionalFormatting>
  <conditionalFormatting sqref="C24">
    <cfRule type="cellIs" dxfId="42" priority="39" stopIfTrue="1" operator="lessThanOrEqual">
      <formula>0</formula>
    </cfRule>
  </conditionalFormatting>
  <conditionalFormatting sqref="C24">
    <cfRule type="cellIs" dxfId="41" priority="38" stopIfTrue="1" operator="lessThanOrEqual">
      <formula>0</formula>
    </cfRule>
  </conditionalFormatting>
  <conditionalFormatting sqref="C24">
    <cfRule type="cellIs" dxfId="40" priority="37" stopIfTrue="1" operator="lessThanOrEqual">
      <formula>0</formula>
    </cfRule>
  </conditionalFormatting>
  <conditionalFormatting sqref="C25">
    <cfRule type="cellIs" dxfId="39" priority="36" stopIfTrue="1" operator="lessThanOrEqual">
      <formula>0</formula>
    </cfRule>
  </conditionalFormatting>
  <conditionalFormatting sqref="C25">
    <cfRule type="cellIs" dxfId="38" priority="35" stopIfTrue="1" operator="lessThanOrEqual">
      <formula>0</formula>
    </cfRule>
  </conditionalFormatting>
  <conditionalFormatting sqref="C25">
    <cfRule type="cellIs" dxfId="37" priority="34" stopIfTrue="1" operator="lessThanOrEqual">
      <formula>0</formula>
    </cfRule>
  </conditionalFormatting>
  <conditionalFormatting sqref="C25">
    <cfRule type="cellIs" dxfId="36" priority="33" stopIfTrue="1" operator="lessThanOrEqual">
      <formula>0</formula>
    </cfRule>
  </conditionalFormatting>
  <conditionalFormatting sqref="C26">
    <cfRule type="cellIs" dxfId="35" priority="32" stopIfTrue="1" operator="lessThanOrEqual">
      <formula>0</formula>
    </cfRule>
  </conditionalFormatting>
  <conditionalFormatting sqref="C26">
    <cfRule type="cellIs" dxfId="34" priority="31" stopIfTrue="1" operator="lessThanOrEqual">
      <formula>0</formula>
    </cfRule>
  </conditionalFormatting>
  <conditionalFormatting sqref="C26">
    <cfRule type="cellIs" dxfId="33" priority="30" stopIfTrue="1" operator="lessThanOrEqual">
      <formula>0</formula>
    </cfRule>
  </conditionalFormatting>
  <conditionalFormatting sqref="C26">
    <cfRule type="cellIs" dxfId="32" priority="29" stopIfTrue="1" operator="lessThanOrEqual">
      <formula>0</formula>
    </cfRule>
  </conditionalFormatting>
  <conditionalFormatting sqref="C27:C28">
    <cfRule type="cellIs" dxfId="31" priority="28" stopIfTrue="1" operator="lessThanOrEqual">
      <formula>0</formula>
    </cfRule>
  </conditionalFormatting>
  <conditionalFormatting sqref="C27:C28">
    <cfRule type="cellIs" dxfId="30" priority="27" stopIfTrue="1" operator="lessThanOrEqual">
      <formula>0</formula>
    </cfRule>
  </conditionalFormatting>
  <conditionalFormatting sqref="C27:C28">
    <cfRule type="cellIs" dxfId="29" priority="26" stopIfTrue="1" operator="lessThanOrEqual">
      <formula>0</formula>
    </cfRule>
  </conditionalFormatting>
  <conditionalFormatting sqref="C27:C28">
    <cfRule type="cellIs" dxfId="28" priority="25" stopIfTrue="1" operator="lessThanOrEqual">
      <formula>0</formula>
    </cfRule>
  </conditionalFormatting>
  <conditionalFormatting sqref="C29:C30">
    <cfRule type="cellIs" dxfId="27" priority="24" stopIfTrue="1" operator="lessThanOrEqual">
      <formula>0</formula>
    </cfRule>
  </conditionalFormatting>
  <conditionalFormatting sqref="C29:C30">
    <cfRule type="cellIs" dxfId="26" priority="23" stopIfTrue="1" operator="lessThanOrEqual">
      <formula>0</formula>
    </cfRule>
  </conditionalFormatting>
  <conditionalFormatting sqref="C29:C30">
    <cfRule type="cellIs" dxfId="25" priority="22" stopIfTrue="1" operator="lessThanOrEqual">
      <formula>0</formula>
    </cfRule>
  </conditionalFormatting>
  <conditionalFormatting sqref="C29:C30">
    <cfRule type="cellIs" dxfId="24" priority="21" stopIfTrue="1" operator="lessThanOrEqual">
      <formula>0</formula>
    </cfRule>
  </conditionalFormatting>
  <conditionalFormatting sqref="C31">
    <cfRule type="cellIs" dxfId="23" priority="20" stopIfTrue="1" operator="lessThanOrEqual">
      <formula>0</formula>
    </cfRule>
  </conditionalFormatting>
  <conditionalFormatting sqref="C31">
    <cfRule type="cellIs" dxfId="22" priority="19" stopIfTrue="1" operator="lessThanOrEqual">
      <formula>0</formula>
    </cfRule>
  </conditionalFormatting>
  <conditionalFormatting sqref="C31">
    <cfRule type="cellIs" dxfId="21" priority="18" stopIfTrue="1" operator="lessThanOrEqual">
      <formula>0</formula>
    </cfRule>
  </conditionalFormatting>
  <conditionalFormatting sqref="C31">
    <cfRule type="cellIs" dxfId="20" priority="17" stopIfTrue="1" operator="lessThanOrEqual">
      <formula>0</formula>
    </cfRule>
  </conditionalFormatting>
  <conditionalFormatting sqref="C32">
    <cfRule type="cellIs" dxfId="19" priority="16" stopIfTrue="1" operator="lessThanOrEqual">
      <formula>0</formula>
    </cfRule>
  </conditionalFormatting>
  <conditionalFormatting sqref="C32">
    <cfRule type="cellIs" dxfId="18" priority="15" stopIfTrue="1" operator="lessThanOrEqual">
      <formula>0</formula>
    </cfRule>
  </conditionalFormatting>
  <conditionalFormatting sqref="C32">
    <cfRule type="cellIs" dxfId="17" priority="14" stopIfTrue="1" operator="lessThanOrEqual">
      <formula>0</formula>
    </cfRule>
  </conditionalFormatting>
  <conditionalFormatting sqref="C32">
    <cfRule type="cellIs" dxfId="16" priority="13" stopIfTrue="1" operator="lessThanOrEqual">
      <formula>0</formula>
    </cfRule>
  </conditionalFormatting>
  <conditionalFormatting sqref="C33">
    <cfRule type="cellIs" dxfId="15" priority="12" stopIfTrue="1" operator="lessThanOrEqual">
      <formula>0</formula>
    </cfRule>
  </conditionalFormatting>
  <conditionalFormatting sqref="C33">
    <cfRule type="cellIs" dxfId="14" priority="11" stopIfTrue="1" operator="lessThanOrEqual">
      <formula>0</formula>
    </cfRule>
  </conditionalFormatting>
  <conditionalFormatting sqref="C33">
    <cfRule type="cellIs" dxfId="13" priority="10" stopIfTrue="1" operator="lessThanOrEqual">
      <formula>0</formula>
    </cfRule>
  </conditionalFormatting>
  <conditionalFormatting sqref="C33">
    <cfRule type="cellIs" dxfId="12" priority="9" stopIfTrue="1" operator="lessThanOrEqual">
      <formula>0</formula>
    </cfRule>
  </conditionalFormatting>
  <conditionalFormatting sqref="C36">
    <cfRule type="cellIs" dxfId="11" priority="8" stopIfTrue="1" operator="lessThanOrEqual">
      <formula>0</formula>
    </cfRule>
  </conditionalFormatting>
  <conditionalFormatting sqref="C36">
    <cfRule type="cellIs" dxfId="10" priority="7" stopIfTrue="1" operator="lessThanOrEqual">
      <formula>0</formula>
    </cfRule>
  </conditionalFormatting>
  <conditionalFormatting sqref="C36">
    <cfRule type="cellIs" dxfId="9" priority="6" stopIfTrue="1" operator="lessThanOrEqual">
      <formula>0</formula>
    </cfRule>
  </conditionalFormatting>
  <conditionalFormatting sqref="C36">
    <cfRule type="cellIs" dxfId="8" priority="5" stopIfTrue="1" operator="lessThanOrEqual">
      <formula>0</formula>
    </cfRule>
  </conditionalFormatting>
  <conditionalFormatting sqref="C37">
    <cfRule type="cellIs" dxfId="7" priority="4" stopIfTrue="1" operator="lessThanOrEqual">
      <formula>0</formula>
    </cfRule>
  </conditionalFormatting>
  <conditionalFormatting sqref="C37">
    <cfRule type="cellIs" dxfId="5" priority="3" stopIfTrue="1" operator="lessThanOrEqual">
      <formula>0</formula>
    </cfRule>
  </conditionalFormatting>
  <conditionalFormatting sqref="C37">
    <cfRule type="cellIs" dxfId="3" priority="2" stopIfTrue="1" operator="lessThanOrEqual">
      <formula>0</formula>
    </cfRule>
  </conditionalFormatting>
  <conditionalFormatting sqref="C3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01.06 au 30.06</vt:lpstr>
      <vt:lpstr>Suivi Gaz</vt:lpstr>
      <vt:lpstr>Suivi EAU-ELEC</vt:lpstr>
      <vt:lpstr>Feuil1</vt:lpstr>
      <vt:lpstr>'Consommation du 01.06 au 30.06'!Print_Area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2020-06-22T07:55:43Z</dcterms:modified>
</cp:coreProperties>
</file>