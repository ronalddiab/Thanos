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2" i="9"/>
  <c r="C33" i="1" l="1"/>
  <c r="D33" i="1"/>
  <c r="F33" i="1"/>
  <c r="G33" i="1"/>
  <c r="I33" i="1"/>
  <c r="J33" i="1" s="1"/>
  <c r="L33" i="1"/>
  <c r="M33" i="1" s="1"/>
  <c r="O33" i="1"/>
  <c r="P33" i="1" s="1"/>
  <c r="R33" i="1"/>
  <c r="S33" i="1" s="1"/>
  <c r="T33" i="1" l="1"/>
  <c r="U33" i="1" s="1"/>
  <c r="G60" i="10" l="1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s="1"/>
  <c r="B25" i="5" l="1"/>
  <c r="U8" i="2" l="1"/>
  <c r="Q8" i="2"/>
  <c r="O8" i="2"/>
  <c r="M8" i="2"/>
  <c r="I8" i="2"/>
  <c r="G8" i="2"/>
  <c r="E8" i="2"/>
  <c r="C8" i="2"/>
  <c r="I8" i="3"/>
  <c r="G8" i="3"/>
  <c r="E8" i="3"/>
  <c r="C8" i="3"/>
  <c r="J8" i="3" s="1"/>
  <c r="K8" i="3" s="1"/>
  <c r="W8" i="4"/>
  <c r="S8" i="4"/>
  <c r="Q8" i="4"/>
  <c r="O8" i="4"/>
  <c r="M8" i="4"/>
  <c r="K8" i="4"/>
  <c r="X8" i="4" s="1"/>
  <c r="H8" i="4"/>
  <c r="F8" i="4"/>
  <c r="I8" i="4" s="1"/>
  <c r="D8" i="4"/>
  <c r="R8" i="1"/>
  <c r="S8" i="1" s="1"/>
  <c r="O8" i="1"/>
  <c r="P8" i="1" s="1"/>
  <c r="L8" i="1"/>
  <c r="M8" i="1" s="1"/>
  <c r="K8" i="1"/>
  <c r="J8" i="1"/>
  <c r="I8" i="1"/>
  <c r="G8" i="1"/>
  <c r="F8" i="1"/>
  <c r="D8" i="1"/>
  <c r="C8" i="1"/>
  <c r="Z8" i="4" l="1"/>
  <c r="T8" i="1"/>
  <c r="U8" i="1" s="1"/>
  <c r="Y8" i="4"/>
  <c r="C4" i="5" l="1"/>
  <c r="U34" i="4" l="1"/>
  <c r="B34" i="4"/>
  <c r="N28" i="1" l="1"/>
  <c r="N29" i="1" s="1"/>
  <c r="K28" i="1"/>
  <c r="K29" i="1" s="1"/>
  <c r="I4" i="1"/>
  <c r="E28" i="1"/>
  <c r="E29" i="1" s="1"/>
  <c r="J4" i="2"/>
  <c r="J5" i="2" s="1"/>
  <c r="J6" i="2" s="1"/>
  <c r="J7" i="2" s="1"/>
  <c r="P16" i="2"/>
  <c r="P17" i="2" s="1"/>
  <c r="T31" i="2"/>
  <c r="J10" i="2" l="1"/>
  <c r="J11" i="2" s="1"/>
  <c r="J12" i="2" s="1"/>
  <c r="J17" i="2" s="1"/>
  <c r="J18" i="2" s="1"/>
  <c r="J19" i="2" s="1"/>
  <c r="J20" i="2" s="1"/>
  <c r="J21" i="2" s="1"/>
  <c r="J22" i="2" s="1"/>
  <c r="J30" i="2" s="1"/>
  <c r="J31" i="2" s="1"/>
  <c r="J32" i="2" s="1"/>
  <c r="J33" i="2" s="1"/>
  <c r="K8" i="2"/>
  <c r="C4" i="1"/>
  <c r="N94" i="10"/>
  <c r="I5" i="1" l="1"/>
  <c r="C5" i="1"/>
  <c r="C6" i="1" l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G33" i="3"/>
  <c r="T34" i="4"/>
  <c r="Z2" i="4"/>
  <c r="I2" i="4"/>
  <c r="D2" i="1"/>
  <c r="S2" i="1"/>
  <c r="P2" i="1"/>
  <c r="M2" i="1"/>
  <c r="J2" i="1"/>
  <c r="G2" i="1"/>
  <c r="R8" i="2" l="1"/>
  <c r="S8" i="2" s="1"/>
  <c r="I10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U30" i="2"/>
  <c r="C32" i="2"/>
  <c r="M32" i="4"/>
  <c r="H31" i="4"/>
  <c r="J30" i="8" s="1"/>
  <c r="O31" i="1"/>
  <c r="U30" i="8" s="1"/>
  <c r="L31" i="1"/>
  <c r="V30" i="8" s="1"/>
  <c r="R32" i="1"/>
  <c r="R31" i="1"/>
  <c r="O32" i="1"/>
  <c r="L32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Y2" i="4"/>
  <c r="U2" i="1"/>
  <c r="R9" i="2" l="1"/>
  <c r="R10" i="2" s="1"/>
  <c r="R11" i="2" s="1"/>
  <c r="R12" i="2" s="1"/>
  <c r="R16" i="2" s="1"/>
  <c r="R17" i="2" s="1"/>
  <c r="R19" i="2" s="1"/>
  <c r="R20" i="2" s="1"/>
  <c r="R21" i="2" s="1"/>
  <c r="R22" i="2" s="1"/>
  <c r="R25" i="2" s="1"/>
  <c r="R31" i="2" s="1"/>
  <c r="B28" i="1"/>
  <c r="B29" i="1" s="1"/>
  <c r="C11" i="1"/>
  <c r="H28" i="1"/>
  <c r="H29" i="1" s="1"/>
  <c r="I11" i="1"/>
  <c r="I33" i="4"/>
  <c r="AA30" i="8"/>
  <c r="J33" i="3"/>
  <c r="K33" i="3" s="1"/>
  <c r="K5" i="11"/>
  <c r="AA31" i="8"/>
  <c r="I32" i="4"/>
  <c r="P31" i="1"/>
  <c r="M31" i="1"/>
  <c r="G31" i="9"/>
  <c r="C33" i="5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S32" i="2" l="1"/>
  <c r="AC31" i="8" s="1"/>
  <c r="S31" i="2"/>
  <c r="AC30" i="8" s="1"/>
  <c r="I31" i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W32" i="4"/>
  <c r="W25" i="4"/>
  <c r="F25" i="4"/>
  <c r="T30" i="8" l="1"/>
  <c r="J31" i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I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K29" i="11"/>
  <c r="C14" i="11" s="1"/>
  <c r="O4" i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S4" i="1" l="1"/>
  <c r="V3" i="8"/>
  <c r="U3" i="8"/>
  <c r="M3" i="8"/>
  <c r="L3" i="8"/>
  <c r="K3" i="8"/>
  <c r="N3" i="8"/>
  <c r="J3" i="8"/>
  <c r="P3" i="8"/>
  <c r="Q3" i="8"/>
  <c r="O3" i="8"/>
  <c r="H3" i="8"/>
  <c r="I34" i="3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U5" i="1" s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J4" i="3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R34" i="1" s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A8" i="4" l="1"/>
  <c r="W34" i="4"/>
  <c r="I34" i="1"/>
  <c r="Y7" i="4"/>
  <c r="F34" i="1"/>
  <c r="G34" i="3"/>
  <c r="O34" i="1"/>
  <c r="M34" i="4"/>
  <c r="Y3" i="8"/>
  <c r="E3" i="9" s="1"/>
  <c r="Q34" i="4"/>
  <c r="E34" i="3"/>
  <c r="K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6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I34" i="2" l="1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J34" i="3" s="1"/>
  <c r="K19" i="2"/>
  <c r="AA18" i="8" s="1"/>
  <c r="AD18" i="8"/>
  <c r="AE18" i="8" s="1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M34" i="1" l="1"/>
  <c r="G34" i="2"/>
  <c r="Z34" i="4"/>
  <c r="C30" i="1"/>
  <c r="R29" i="8" s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K34" i="3" s="1"/>
  <c r="AA20" i="4"/>
  <c r="K21" i="2"/>
  <c r="AA20" i="8" s="1"/>
  <c r="AA10" i="8"/>
  <c r="X34" i="4"/>
  <c r="AA34" i="4" l="1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2" i="1"/>
  <c r="J19" i="8"/>
  <c r="Y19" i="8" s="1"/>
  <c r="I20" i="4"/>
  <c r="Y20" i="4" s="1"/>
  <c r="H21" i="4"/>
  <c r="AA12" i="8"/>
  <c r="D32" i="1" l="1"/>
  <c r="R31" i="8"/>
  <c r="T32" i="1"/>
  <c r="U32" i="1" s="1"/>
  <c r="U34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</calcChain>
</file>

<file path=xl/sharedStrings.xml><?xml version="1.0" encoding="utf-8"?>
<sst xmlns="http://schemas.openxmlformats.org/spreadsheetml/2006/main" count="447" uniqueCount="144">
  <si>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</si>
  <si>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</si>
  <si>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</si>
  <si>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</si>
  <si>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</si>
  <si>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</si>
  <si>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</si>
  <si>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</si>
  <si>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</si>
  <si>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</si>
  <si>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</si>
  <si>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</si>
  <si>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</si>
  <si>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</si>
  <si>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</si>
  <si>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</si>
  <si>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</si>
  <si>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</si>
  <si>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</si>
  <si>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</si>
  <si>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</si>
  <si>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</si>
  <si>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</si>
  <si>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</si>
  <si>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</si>
  <si>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</si>
  <si>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</si>
  <si>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</si>
  <si>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</si>
  <si>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</si>
  <si>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</si>
  <si>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</si>
  <si>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</si>
  <si>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</si>
  <si>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</si>
  <si>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</si>
  <si>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</si>
  <si>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</si>
  <si>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</si>
  <si>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</si>
  <si>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</si>
  <si>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</si>
  <si>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</si>
  <si>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</si>
  <si>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</si>
  <si>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</si>
  <si>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</si>
  <si>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</si>
  <si>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</si>
  <si>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</si>
  <si>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</si>
  <si>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</si>
  <si>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</si>
  <si>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</si>
  <si>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</si>
  <si>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</si>
  <si>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</si>
  <si>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</si>
  <si>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</si>
  <si>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</si>
  <si>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</si>
  <si>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</si>
  <si>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</si>
  <si>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</si>
  <si>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</si>
  <si>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</si>
  <si>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</si>
  <si>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</si>
  <si>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</si>
  <si>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</si>
  <si>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</si>
  <si>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</si>
  <si>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</si>
  <si>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</si>
  <si>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</si>
  <si>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</si>
  <si>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</si>
  <si>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</si>
  <si>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</si>
  <si>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</si>
  <si>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</si>
  <si>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</si>
  <si>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</si>
  <si>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</si>
  <si>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</si>
  <si>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</si>
  <si>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</si>
  <si>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</si>
  <si>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</si>
  <si>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</si>
  <si>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</si>
  <si>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</si>
  <si>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</si>
  <si>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</si>
  <si>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</si>
  <si>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</si>
  <si>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</si>
  <si>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</si>
  <si>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</si>
  <si>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</si>
  <si>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</si>
  <si>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</si>
  <si>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</si>
  <si>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</si>
  <si>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</si>
  <si>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</si>
  <si>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</si>
  <si>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</si>
  <si>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</si>
  <si>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</si>
  <si>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</si>
  <si>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</si>
  <si>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</si>
  <si>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</si>
  <si>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</si>
  <si>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</si>
  <si>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</si>
  <si>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</si>
  <si>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</si>
  <si>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</si>
  <si>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</si>
  <si>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</si>
  <si>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</si>
  <si>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</si>
  <si>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</si>
  <si>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</si>
  <si>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</si>
  <si>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</si>
  <si>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</si>
  <si>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</si>
  <si>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</si>
  <si>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</si>
  <si>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</si>
  <si>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</si>
  <si>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</si>
  <si>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</si>
  <si>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</si>
  <si>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</si>
  <si>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</si>
  <si>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</si>
  <si>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Energy Monthly Statement April 2021</t>
  </si>
  <si>
    <t>Acutal till April  2021</t>
  </si>
  <si>
    <t>Acutal till Februry   2021</t>
  </si>
  <si>
    <t>Acutal till March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</si>
</sst>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3" fontId="23" fillId="0" borderId="4" xfId="8" applyNumberFormat="1" applyFont="1" applyBorder="1" applyAlignment="1">
      <alignment horizontal="left" vertical="center" wrapText="1"/>
    </xf>
    <xf numFmtId="0" fontId="26" fillId="0" borderId="4" xfId="8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selection activeCell="I14" sqref="I14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4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51030.146099999998</v>
      </c>
      <c r="F2" s="167">
        <v>1.27</v>
      </c>
      <c r="G2" s="47">
        <f>Gas!C3*0.9147</f>
        <v>1723.2947999999999</v>
      </c>
      <c r="H2" s="168">
        <v>3.65</v>
      </c>
      <c r="I2" s="170">
        <f>Submetering!H2+Submetering!AD2+Submetering!AE2</f>
        <v>546</v>
      </c>
      <c r="J2" s="169">
        <v>10.029999999999999</v>
      </c>
      <c r="K2" s="47">
        <f>ELECT.!B3</f>
        <v>160</v>
      </c>
    </row>
    <row r="3" spans="1:14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33778.836572</v>
      </c>
      <c r="F3" s="167">
        <v>1.27</v>
      </c>
      <c r="G3" s="47">
        <f>Gas!C4*0.9147</f>
        <v>2328.8262</v>
      </c>
      <c r="H3" s="168">
        <v>3.65</v>
      </c>
      <c r="I3" s="170">
        <f>Submetering!H3+Submetering!AD3+Submetering!AE3</f>
        <v>46</v>
      </c>
      <c r="J3" s="169">
        <v>10.029999999999999</v>
      </c>
      <c r="K3" s="47">
        <f>ELECT.!B4</f>
        <v>182</v>
      </c>
    </row>
    <row r="4" spans="1:14" x14ac:dyDescent="0.2">
      <c r="A4" s="58" t="s">
        <v>54</v>
      </c>
      <c r="B4" s="63">
        <f t="shared" ref="B4:B31" si="0">B3+1</f>
        <v>3</v>
      </c>
      <c r="C4" s="63">
        <v>4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54012.191967999992</v>
      </c>
      <c r="F4" s="167">
        <v>1.27</v>
      </c>
      <c r="G4" s="47">
        <f>Gas!C5*0.9147</f>
        <v>2069.0513999999998</v>
      </c>
      <c r="H4" s="168">
        <v>3.65</v>
      </c>
      <c r="I4" s="170">
        <f>Submetering!H4+Submetering!AD4+Submetering!AE4</f>
        <v>1046</v>
      </c>
      <c r="J4" s="169">
        <v>10.029999999999999</v>
      </c>
      <c r="K4" s="47">
        <f>ELECT.!B5</f>
        <v>183</v>
      </c>
    </row>
    <row r="5" spans="1:14" x14ac:dyDescent="0.2">
      <c r="A5" s="58" t="s">
        <v>54</v>
      </c>
      <c r="B5" s="63">
        <f t="shared" si="0"/>
        <v>4</v>
      </c>
      <c r="C5" s="63">
        <v>4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43419.317328000005</v>
      </c>
      <c r="F5" s="167">
        <v>1.27</v>
      </c>
      <c r="G5" s="47">
        <f>Gas!C6*0.9147</f>
        <v>2009.5958999999998</v>
      </c>
      <c r="H5" s="168">
        <v>3.65</v>
      </c>
      <c r="I5" s="170">
        <f>Submetering!H5+Submetering!AD5+Submetering!AE5</f>
        <v>626</v>
      </c>
      <c r="J5" s="169">
        <v>10.029999999999999</v>
      </c>
      <c r="K5" s="47">
        <f>ELECT.!B6</f>
        <v>168</v>
      </c>
    </row>
    <row r="6" spans="1:14" x14ac:dyDescent="0.2">
      <c r="A6" s="58" t="s">
        <v>54</v>
      </c>
      <c r="B6" s="63">
        <f t="shared" si="0"/>
        <v>5</v>
      </c>
      <c r="C6" s="63">
        <v>4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57575.566788000004</v>
      </c>
      <c r="F6" s="167">
        <v>1.27</v>
      </c>
      <c r="G6" s="47">
        <f>Gas!C7*0.9147</f>
        <v>2364.4994999999999</v>
      </c>
      <c r="H6" s="168">
        <v>3.65</v>
      </c>
      <c r="I6" s="170">
        <f>Submetering!H6+Submetering!AD6+Submetering!AE6</f>
        <v>556</v>
      </c>
      <c r="J6" s="169">
        <v>10.029999999999999</v>
      </c>
      <c r="K6" s="47">
        <f>ELECT.!B7</f>
        <v>138</v>
      </c>
    </row>
    <row r="7" spans="1:14" x14ac:dyDescent="0.2">
      <c r="A7" s="58" t="s">
        <v>54</v>
      </c>
      <c r="B7" s="63">
        <f t="shared" si="0"/>
        <v>6</v>
      </c>
      <c r="C7" s="63">
        <v>4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39153.974479999997</v>
      </c>
      <c r="F7" s="167">
        <v>1.27</v>
      </c>
      <c r="G7" s="47">
        <f>Gas!C8*0.9147</f>
        <v>2071.7954999999997</v>
      </c>
      <c r="H7" s="168">
        <v>3.65</v>
      </c>
      <c r="I7" s="170">
        <f>Submetering!H7+Submetering!AD7+Submetering!AE7</f>
        <v>976</v>
      </c>
      <c r="J7" s="169">
        <v>10.029999999999999</v>
      </c>
      <c r="K7" s="47">
        <f>ELECT.!B8</f>
        <v>146</v>
      </c>
    </row>
    <row r="8" spans="1:14" x14ac:dyDescent="0.2">
      <c r="A8" s="58" t="s">
        <v>54</v>
      </c>
      <c r="B8" s="63">
        <f t="shared" si="0"/>
        <v>7</v>
      </c>
      <c r="C8" s="63">
        <v>4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57611.489032000005</v>
      </c>
      <c r="F8" s="167">
        <v>1.27</v>
      </c>
      <c r="G8" s="47">
        <f>Gas!C9*0.9147</f>
        <v>1940.9933999999998</v>
      </c>
      <c r="H8" s="168">
        <v>3.65</v>
      </c>
      <c r="I8" s="170">
        <f>Submetering!H8+Submetering!AD8+Submetering!AE8</f>
        <v>366</v>
      </c>
      <c r="J8" s="169">
        <v>10.029999999999999</v>
      </c>
      <c r="K8" s="47">
        <f>ELECT.!B9</f>
        <v>154</v>
      </c>
    </row>
    <row r="9" spans="1:14" x14ac:dyDescent="0.2">
      <c r="A9" s="58" t="s">
        <v>54</v>
      </c>
      <c r="B9" s="63">
        <f t="shared" si="0"/>
        <v>8</v>
      </c>
      <c r="C9" s="63">
        <v>4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52074.496287999995</v>
      </c>
      <c r="F9" s="167">
        <v>1.27</v>
      </c>
      <c r="G9" s="47">
        <f>Gas!C10*0.9147</f>
        <v>1865.9879999999998</v>
      </c>
      <c r="H9" s="168">
        <v>3.65</v>
      </c>
      <c r="I9" s="170">
        <f>Submetering!H9+Submetering!AD9+Submetering!AE9</f>
        <v>306</v>
      </c>
      <c r="J9" s="169">
        <v>10.029999999999999</v>
      </c>
      <c r="K9" s="47">
        <f>ELECT.!B10</f>
        <v>148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4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48628.162691999998</v>
      </c>
      <c r="F10" s="167">
        <v>1.27</v>
      </c>
      <c r="G10" s="47">
        <f>Gas!C11*0.9147</f>
        <v>1976.6667</v>
      </c>
      <c r="H10" s="168">
        <v>3.65</v>
      </c>
      <c r="I10" s="170">
        <f>Submetering!H10+Submetering!AD10+Submetering!AE10</f>
        <v>356</v>
      </c>
      <c r="J10" s="169">
        <v>10.029999999999999</v>
      </c>
      <c r="K10" s="47">
        <f>ELECT.!B11</f>
        <v>144</v>
      </c>
    </row>
    <row r="11" spans="1:14" x14ac:dyDescent="0.2">
      <c r="A11" s="58" t="s">
        <v>54</v>
      </c>
      <c r="B11" s="63">
        <f t="shared" si="0"/>
        <v>10</v>
      </c>
      <c r="C11" s="63">
        <v>4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67860.505827999994</v>
      </c>
      <c r="F11" s="167">
        <v>1.27</v>
      </c>
      <c r="G11" s="47">
        <f>Gas!C12*0.9147</f>
        <v>1992.2166</v>
      </c>
      <c r="H11" s="168">
        <v>3.65</v>
      </c>
      <c r="I11" s="170">
        <f>Submetering!H11+Submetering!AD11+Submetering!AE11</f>
        <v>1466</v>
      </c>
      <c r="J11" s="169">
        <v>10.029999999999999</v>
      </c>
      <c r="K11" s="47">
        <f>ELECT.!B12</f>
        <v>141</v>
      </c>
    </row>
    <row r="12" spans="1:14" x14ac:dyDescent="0.2">
      <c r="A12" s="58" t="s">
        <v>54</v>
      </c>
      <c r="B12" s="63">
        <f t="shared" si="0"/>
        <v>11</v>
      </c>
      <c r="C12" s="63">
        <v>4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83131.751216000004</v>
      </c>
      <c r="F12" s="167">
        <v>1.27</v>
      </c>
      <c r="G12" s="47">
        <f>Gas!C13*0.9147</f>
        <v>2600.4920999999999</v>
      </c>
      <c r="H12" s="168">
        <v>3.65</v>
      </c>
      <c r="I12" s="170">
        <f>Submetering!H12+Submetering!AD12+Submetering!AE12</f>
        <v>1466</v>
      </c>
      <c r="J12" s="169">
        <v>10.029999999999999</v>
      </c>
      <c r="K12" s="47">
        <f>ELECT.!B13</f>
        <v>138</v>
      </c>
    </row>
    <row r="13" spans="1:14" x14ac:dyDescent="0.2">
      <c r="A13" s="58" t="s">
        <v>54</v>
      </c>
      <c r="B13" s="63">
        <f t="shared" si="0"/>
        <v>12</v>
      </c>
      <c r="C13" s="63">
        <v>4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11254.241144000003</v>
      </c>
      <c r="F13" s="167">
        <v>1.27</v>
      </c>
      <c r="G13" s="47">
        <f>Gas!C14*0.9147</f>
        <v>2040.6957</v>
      </c>
      <c r="H13" s="168">
        <v>3.65</v>
      </c>
      <c r="I13" s="170">
        <f>Submetering!H13+Submetering!AD13+Submetering!AE13</f>
        <v>286</v>
      </c>
      <c r="J13" s="169">
        <v>10.029999999999999</v>
      </c>
      <c r="K13" s="47">
        <f>ELECT.!B14</f>
        <v>123</v>
      </c>
    </row>
    <row r="14" spans="1:14" x14ac:dyDescent="0.2">
      <c r="A14" s="58" t="s">
        <v>54</v>
      </c>
      <c r="B14" s="63">
        <f t="shared" si="0"/>
        <v>13</v>
      </c>
      <c r="C14" s="63">
        <v>4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47979.679640000002</v>
      </c>
      <c r="F14" s="167">
        <v>1.27</v>
      </c>
      <c r="G14" s="47">
        <f>Gas!C15*0.9147</f>
        <v>1922.6994</v>
      </c>
      <c r="H14" s="168">
        <v>3.65</v>
      </c>
      <c r="I14" s="170">
        <f>Submetering!H14+Submetering!AD14+Submetering!AE14</f>
        <v>-53.999999999999993</v>
      </c>
      <c r="J14" s="169">
        <v>10.029999999999999</v>
      </c>
      <c r="K14" s="47">
        <f>ELECT.!B15</f>
        <v>0</v>
      </c>
    </row>
    <row r="15" spans="1:14" x14ac:dyDescent="0.2">
      <c r="A15" s="58" t="s">
        <v>54</v>
      </c>
      <c r="B15" s="63">
        <f t="shared" si="0"/>
        <v>14</v>
      </c>
      <c r="C15" s="63">
        <v>4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35168.672008000001</v>
      </c>
      <c r="F15" s="167">
        <v>1.27</v>
      </c>
      <c r="G15" s="47">
        <f>Gas!C16*0.9147</f>
        <v>2216.3181</v>
      </c>
      <c r="H15" s="168">
        <v>3.65</v>
      </c>
      <c r="I15" s="170">
        <f>Submetering!H15+Submetering!AD15+Submetering!AE15</f>
        <v>-34.000000000000007</v>
      </c>
      <c r="J15" s="169">
        <v>10.029999999999999</v>
      </c>
      <c r="K15" s="47">
        <f>ELECT.!B16</f>
        <v>0</v>
      </c>
    </row>
    <row r="16" spans="1:14" x14ac:dyDescent="0.2">
      <c r="A16" s="58" t="s">
        <v>54</v>
      </c>
      <c r="B16" s="63">
        <f t="shared" si="0"/>
        <v>15</v>
      </c>
      <c r="C16" s="63">
        <v>4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50385.902364000001</v>
      </c>
      <c r="F16" s="167">
        <v>1.27</v>
      </c>
      <c r="G16" s="47">
        <f>Gas!C17*0.9147</f>
        <v>2229.1239</v>
      </c>
      <c r="H16" s="168">
        <v>3.65</v>
      </c>
      <c r="I16" s="170">
        <f>Submetering!H16+Submetering!AD16+Submetering!AE16</f>
        <v>506</v>
      </c>
      <c r="J16" s="169">
        <v>10.029999999999999</v>
      </c>
      <c r="K16" s="47">
        <f>ELECT.!B17</f>
        <v>122</v>
      </c>
    </row>
    <row r="17" spans="1:13" x14ac:dyDescent="0.2">
      <c r="A17" s="58" t="s">
        <v>54</v>
      </c>
      <c r="B17" s="63">
        <f t="shared" si="0"/>
        <v>16</v>
      </c>
      <c r="C17" s="63">
        <v>4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48474.947163999997</v>
      </c>
      <c r="F17" s="167">
        <v>1.27</v>
      </c>
      <c r="G17" s="47">
        <f>Gas!C18*0.9147</f>
        <v>2070.8807999999999</v>
      </c>
      <c r="H17" s="168">
        <v>3.65</v>
      </c>
      <c r="I17" s="170">
        <f>Submetering!H17+Submetering!AD17+Submetering!AE17</f>
        <v>556</v>
      </c>
      <c r="J17" s="169">
        <v>10.029999999999999</v>
      </c>
      <c r="K17" s="47">
        <f>ELECT.!B18</f>
        <v>120</v>
      </c>
    </row>
    <row r="18" spans="1:13" x14ac:dyDescent="0.2">
      <c r="A18" s="58" t="s">
        <v>54</v>
      </c>
      <c r="B18" s="63">
        <f t="shared" si="0"/>
        <v>17</v>
      </c>
      <c r="C18" s="63">
        <v>4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49560.202912000001</v>
      </c>
      <c r="F18" s="167">
        <v>1.27</v>
      </c>
      <c r="G18" s="47">
        <f>Gas!C19*0.9147</f>
        <v>1919.9552999999999</v>
      </c>
      <c r="H18" s="168">
        <v>3.65</v>
      </c>
      <c r="I18" s="170">
        <f>Submetering!H18+Submetering!AD18+Submetering!AE18</f>
        <v>496.00000000000006</v>
      </c>
      <c r="J18" s="169">
        <v>10.029999999999999</v>
      </c>
      <c r="K18" s="47">
        <f>ELECT.!B19</f>
        <v>119</v>
      </c>
    </row>
    <row r="19" spans="1:13" x14ac:dyDescent="0.2">
      <c r="A19" s="58" t="s">
        <v>54</v>
      </c>
      <c r="B19" s="63">
        <f t="shared" si="0"/>
        <v>18</v>
      </c>
      <c r="C19" s="63">
        <v>4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41785.367852000003</v>
      </c>
      <c r="F19" s="167">
        <v>1.27</v>
      </c>
      <c r="G19" s="47">
        <f>Gas!C20*0.9147</f>
        <v>1325.4003</v>
      </c>
      <c r="H19" s="168">
        <v>3.65</v>
      </c>
      <c r="I19" s="170">
        <f>Submetering!H19+Submetering!AD19+Submetering!AE19</f>
        <v>456</v>
      </c>
      <c r="J19" s="169">
        <v>10.029999999999999</v>
      </c>
      <c r="K19" s="47">
        <f>ELECT.!B20</f>
        <v>118</v>
      </c>
    </row>
    <row r="20" spans="1:13" x14ac:dyDescent="0.2">
      <c r="A20" s="58" t="s">
        <v>54</v>
      </c>
      <c r="B20" s="63">
        <f t="shared" si="0"/>
        <v>19</v>
      </c>
      <c r="C20" s="63">
        <v>4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63684.196924000003</v>
      </c>
      <c r="F20" s="167">
        <v>1.27</v>
      </c>
      <c r="G20" s="47">
        <f>Gas!C21*0.9147</f>
        <v>1834.8881999999999</v>
      </c>
      <c r="H20" s="168">
        <v>3.65</v>
      </c>
      <c r="I20" s="170">
        <f>Submetering!H20+Submetering!AD20+Submetering!AE20</f>
        <v>436.00000000000006</v>
      </c>
      <c r="J20" s="169">
        <v>10.029999999999999</v>
      </c>
      <c r="K20" s="47">
        <f>ELECT.!B21</f>
        <v>0</v>
      </c>
    </row>
    <row r="21" spans="1:13" x14ac:dyDescent="0.2">
      <c r="A21" s="58" t="s">
        <v>54</v>
      </c>
      <c r="B21" s="63">
        <f t="shared" si="0"/>
        <v>20</v>
      </c>
      <c r="C21" s="63">
        <v>4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59970.325100000002</v>
      </c>
      <c r="F21" s="167">
        <v>1.27</v>
      </c>
      <c r="G21" s="47">
        <f>Gas!C22*0.9147</f>
        <v>1489.1315999999999</v>
      </c>
      <c r="H21" s="168">
        <v>3.65</v>
      </c>
      <c r="I21" s="170">
        <f>Submetering!H21+Submetering!AD21+Submetering!AE21</f>
        <v>916.00000000000011</v>
      </c>
      <c r="J21" s="169">
        <v>10.029999999999999</v>
      </c>
      <c r="K21" s="47">
        <f>ELECT.!B22</f>
        <v>0</v>
      </c>
    </row>
    <row r="22" spans="1:13" x14ac:dyDescent="0.2">
      <c r="A22" s="58" t="s">
        <v>54</v>
      </c>
      <c r="B22" s="63">
        <f t="shared" si="0"/>
        <v>21</v>
      </c>
      <c r="C22" s="63">
        <v>4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64156.108544000002</v>
      </c>
      <c r="F22" s="167">
        <v>1.27</v>
      </c>
      <c r="G22" s="47">
        <f>Gas!C23*0.9147</f>
        <v>1829.3999999999999</v>
      </c>
      <c r="H22" s="168">
        <v>3.65</v>
      </c>
      <c r="I22" s="170">
        <f>Submetering!H22+Submetering!AD22+Submetering!AE22</f>
        <v>636</v>
      </c>
      <c r="J22" s="169">
        <v>10.029999999999999</v>
      </c>
      <c r="K22" s="47">
        <f>ELECT.!B23</f>
        <v>100</v>
      </c>
    </row>
    <row r="23" spans="1:13" x14ac:dyDescent="0.2">
      <c r="A23" s="58" t="s">
        <v>54</v>
      </c>
      <c r="B23" s="63">
        <f t="shared" si="0"/>
        <v>22</v>
      </c>
      <c r="C23" s="63">
        <v>4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48297.70364</v>
      </c>
      <c r="F23" s="167">
        <v>1.27</v>
      </c>
      <c r="G23" s="47">
        <f>Gas!C24*0.9147</f>
        <v>1663.8392999999999</v>
      </c>
      <c r="H23" s="168">
        <v>3.65</v>
      </c>
      <c r="I23" s="170">
        <f>Submetering!H23+Submetering!AD23+Submetering!AE23</f>
        <v>306</v>
      </c>
      <c r="J23" s="169">
        <v>10.029999999999999</v>
      </c>
      <c r="K23" s="47">
        <f>ELECT.!B24</f>
        <v>90</v>
      </c>
    </row>
    <row r="24" spans="1:13" x14ac:dyDescent="0.2">
      <c r="A24" s="58" t="s">
        <v>54</v>
      </c>
      <c r="B24" s="63">
        <f t="shared" si="0"/>
        <v>23</v>
      </c>
      <c r="C24" s="63">
        <v>4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71888.250375999996</v>
      </c>
      <c r="F24" s="167">
        <v>1.27</v>
      </c>
      <c r="G24" s="47">
        <f>Gas!C25*0.9147</f>
        <v>1931.8463999999999</v>
      </c>
      <c r="H24" s="168">
        <v>3.65</v>
      </c>
      <c r="I24" s="170">
        <f>Submetering!H24+Submetering!AD24+Submetering!AE24</f>
        <v>726</v>
      </c>
      <c r="J24" s="169">
        <v>10.029999999999999</v>
      </c>
      <c r="K24" s="47">
        <f>ELECT.!B25</f>
        <v>0</v>
      </c>
    </row>
    <row r="25" spans="1:13" x14ac:dyDescent="0.2">
      <c r="A25" s="58" t="s">
        <v>54</v>
      </c>
      <c r="B25" s="63">
        <f t="shared" si="0"/>
        <v>24</v>
      </c>
      <c r="C25" s="63">
        <v>4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59817.774164000009</v>
      </c>
      <c r="F25" s="167">
        <v>1.27</v>
      </c>
      <c r="G25" s="47">
        <f>Gas!C26*0.9147</f>
        <v>1918.1259</v>
      </c>
      <c r="H25" s="168">
        <v>3.65</v>
      </c>
      <c r="I25" s="170">
        <f>Submetering!H25+Submetering!AD25+Submetering!AE25</f>
        <v>496</v>
      </c>
      <c r="J25" s="169">
        <v>10.029999999999999</v>
      </c>
      <c r="K25" s="47">
        <f>ELECT.!B26</f>
        <v>65</v>
      </c>
    </row>
    <row r="26" spans="1:13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44992.235251999999</v>
      </c>
      <c r="F26" s="167">
        <v>1.27</v>
      </c>
      <c r="G26" s="47">
        <f>Gas!C27*0.9147</f>
        <v>1688.5362</v>
      </c>
      <c r="H26" s="168">
        <v>3.65</v>
      </c>
      <c r="I26" s="170">
        <f>Submetering!H26+Submetering!AD26+Submetering!AE26</f>
        <v>656</v>
      </c>
      <c r="J26" s="169">
        <v>10.029999999999999</v>
      </c>
      <c r="K26" s="47">
        <f>ELECT.!B27</f>
        <v>18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4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60295.391652000006</v>
      </c>
      <c r="F27" s="167">
        <v>1.27</v>
      </c>
      <c r="G27" s="47">
        <f>Gas!C28*0.9147</f>
        <v>1957.4579999999999</v>
      </c>
      <c r="H27" s="168">
        <v>3.65</v>
      </c>
      <c r="I27" s="170">
        <f>Submetering!H27+Submetering!AD27+Submetering!AE27</f>
        <v>316</v>
      </c>
      <c r="J27" s="169">
        <v>10.029999999999999</v>
      </c>
      <c r="K27" s="47">
        <f>ELECT.!B28</f>
        <v>25</v>
      </c>
    </row>
    <row r="28" spans="1:13" x14ac:dyDescent="0.2">
      <c r="A28" s="58" t="s">
        <v>54</v>
      </c>
      <c r="B28" s="63">
        <f t="shared" si="0"/>
        <v>27</v>
      </c>
      <c r="C28" s="63">
        <v>4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52641.563220000004</v>
      </c>
      <c r="F28" s="167">
        <v>1.27</v>
      </c>
      <c r="G28" s="47">
        <f>Gas!C29*0.9147</f>
        <v>1691.2802999999999</v>
      </c>
      <c r="H28" s="168">
        <v>3.65</v>
      </c>
      <c r="I28" s="170">
        <f>Submetering!H28+Submetering!AD28+Submetering!AE28</f>
        <v>1316</v>
      </c>
      <c r="J28" s="169">
        <v>10.029999999999999</v>
      </c>
      <c r="K28" s="47">
        <f>ELECT.!B29</f>
        <v>20</v>
      </c>
    </row>
    <row r="29" spans="1:13" x14ac:dyDescent="0.2">
      <c r="A29" s="58" t="s">
        <v>54</v>
      </c>
      <c r="B29" s="63">
        <f t="shared" si="0"/>
        <v>28</v>
      </c>
      <c r="C29" s="63">
        <v>4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50812.59634399999</v>
      </c>
      <c r="F29" s="167">
        <v>1.27</v>
      </c>
      <c r="G29" s="47">
        <f>Gas!C30*0.9147</f>
        <v>1787.3237999999999</v>
      </c>
      <c r="H29" s="168">
        <v>3.65</v>
      </c>
      <c r="I29" s="170">
        <f>Submetering!H29+Submetering!AD29+Submetering!AE29</f>
        <v>346</v>
      </c>
      <c r="J29" s="169">
        <v>10.029999999999999</v>
      </c>
      <c r="K29" s="47">
        <f>ELECT.!B30</f>
        <v>20</v>
      </c>
    </row>
    <row r="30" spans="1:13" x14ac:dyDescent="0.2">
      <c r="A30" s="58" t="s">
        <v>54</v>
      </c>
      <c r="B30" s="63">
        <f t="shared" si="0"/>
        <v>29</v>
      </c>
      <c r="C30" s="63">
        <v>4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35717.991374399993</v>
      </c>
      <c r="F30" s="167">
        <v>1.27</v>
      </c>
      <c r="G30" s="47">
        <f>Gas!C31*0.9147</f>
        <v>1704.0861</v>
      </c>
      <c r="H30" s="168">
        <v>3.65</v>
      </c>
      <c r="I30" s="170">
        <f>Submetering!H30+Submetering!AD30+Submetering!AE30</f>
        <v>276.00000000000006</v>
      </c>
      <c r="J30" s="169">
        <v>10.029999999999999</v>
      </c>
      <c r="K30" s="47">
        <f>ELECT.!B31</f>
        <v>68</v>
      </c>
    </row>
    <row r="31" spans="1:13" x14ac:dyDescent="0.2">
      <c r="A31" s="58" t="s">
        <v>54</v>
      </c>
      <c r="B31" s="63">
        <f t="shared" si="0"/>
        <v>30</v>
      </c>
      <c r="C31" s="63">
        <v>4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51611.577257599994</v>
      </c>
      <c r="F31" s="167">
        <v>1.27</v>
      </c>
      <c r="G31" s="47">
        <f>Gas!C32*0.9147</f>
        <v>1771.7738999999999</v>
      </c>
      <c r="H31" s="168">
        <v>3.65</v>
      </c>
      <c r="I31" s="170">
        <f>Submetering!H31+Submetering!AD31+Submetering!AE31</f>
        <v>346.00000000000011</v>
      </c>
      <c r="J31" s="169">
        <v>10.029999999999999</v>
      </c>
      <c r="K31" s="47">
        <f>ELECT.!B32</f>
        <v>62</v>
      </c>
    </row>
    <row r="32" spans="1:13" x14ac:dyDescent="0.2">
      <c r="H32" s="168"/>
      <c r="J32" s="16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G1" zoomScale="85" zoomScaleNormal="85" workbookViewId="0">
      <selection activeCell="U46" sqref="U46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4</v>
      </c>
      <c r="D2" s="63">
        <v>2021</v>
      </c>
      <c r="E2" s="47">
        <f>Water!C3</f>
        <v>740</v>
      </c>
      <c r="F2" s="47">
        <f>Water!E3</f>
        <v>359.1</v>
      </c>
      <c r="G2" s="47">
        <f>Water!G3</f>
        <v>191.7</v>
      </c>
      <c r="H2" s="47">
        <f>Water!I3</f>
        <v>3.3479999999999999</v>
      </c>
      <c r="I2" s="47">
        <f>ELECT.!F3</f>
        <v>8893</v>
      </c>
      <c r="J2" s="47">
        <f>ELECT.!H3</f>
        <v>45508</v>
      </c>
      <c r="K2" s="47">
        <f>ELECT.!K3</f>
        <v>4854</v>
      </c>
      <c r="L2" s="47">
        <f>ELECT.!M3</f>
        <v>6261</v>
      </c>
      <c r="M2" s="47">
        <f>ELECT.!O3</f>
        <v>2466</v>
      </c>
      <c r="N2" s="47">
        <f>ELECT.!Q3</f>
        <v>8474</v>
      </c>
      <c r="O2" s="47">
        <f>ELECT.!S3</f>
        <v>9775</v>
      </c>
      <c r="P2" s="47">
        <f>ELECT.!W3*2</f>
        <v>21300</v>
      </c>
      <c r="Q2" s="47">
        <f>ELECT.!D3</f>
        <v>320</v>
      </c>
      <c r="R2" s="48">
        <f>BTU!C3</f>
        <v>4.125</v>
      </c>
      <c r="S2" s="48">
        <f>BTU!F3</f>
        <v>1.2909999999997126</v>
      </c>
      <c r="T2" s="48">
        <f>BTU!I3</f>
        <v>5</v>
      </c>
      <c r="U2" s="48">
        <f>BTU!O3</f>
        <v>1.1720000000000255</v>
      </c>
      <c r="V2" s="48">
        <f>BTU!L3</f>
        <v>0.80999999999949068</v>
      </c>
      <c r="W2" s="48">
        <f>BTU!R3</f>
        <v>0.11499999999978172</v>
      </c>
      <c r="X2" s="45">
        <f>ELECT.!B3</f>
        <v>160</v>
      </c>
      <c r="Y2" s="45">
        <f>I2+J2-(K2+L2+M2+N2+O2+P2)</f>
        <v>1271</v>
      </c>
      <c r="Z2">
        <f>'Mall, Citadel, Rotana'!C3+'Mall, Citadel, Rotana'!E3+'Mall, Citadel, Rotana'!G3+'Mall, Citadel, Rotana'!I3</f>
        <v>1712</v>
      </c>
      <c r="AA2">
        <f>'Mall, Citadel, Rotana'!K3+'Mall, Citadel, Rotana'!M3</f>
        <v>800</v>
      </c>
      <c r="AB2">
        <f>'Mall, Citadel, Rotana'!O3</f>
        <v>163</v>
      </c>
      <c r="AC2">
        <f>'Mall, Citadel, Rotana'!Q3+'Mall, Citadel, Rotana'!S3</f>
        <v>61</v>
      </c>
      <c r="AD2" s="45">
        <f>(E2-H2-194)*0.1318</f>
        <v>71.521533600000012</v>
      </c>
      <c r="AE2" s="45">
        <f>E2-H2-AD2-194</f>
        <v>471.13046640000005</v>
      </c>
    </row>
    <row r="3" spans="1:31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Water!C4</f>
        <v>240</v>
      </c>
      <c r="F3" s="47">
        <f>Water!E4</f>
        <v>332.1</v>
      </c>
      <c r="G3" s="47">
        <f>Water!G4</f>
        <v>353.7</v>
      </c>
      <c r="H3" s="47">
        <f>Water!I4</f>
        <v>3.726</v>
      </c>
      <c r="I3" s="47">
        <f>ELECT.!F4</f>
        <v>5807</v>
      </c>
      <c r="J3" s="47">
        <f>ELECT.!H4</f>
        <v>30588</v>
      </c>
      <c r="K3" s="47">
        <f>ELECT.!K4</f>
        <v>3392</v>
      </c>
      <c r="L3" s="47">
        <f>ELECT.!M4</f>
        <v>3820</v>
      </c>
      <c r="M3" s="47">
        <f>ELECT.!O4</f>
        <v>1866</v>
      </c>
      <c r="N3" s="47">
        <f>ELECT.!Q4</f>
        <v>5778</v>
      </c>
      <c r="O3" s="47">
        <f>ELECT.!S4</f>
        <v>6487</v>
      </c>
      <c r="P3" s="47">
        <f>ELECT.!W4*2</f>
        <v>14246</v>
      </c>
      <c r="Q3" s="47">
        <f>ELECT.!D4</f>
        <v>640</v>
      </c>
      <c r="R3" s="48">
        <f>BTU!C4</f>
        <v>4.2249999999985448</v>
      </c>
      <c r="S3" s="48">
        <f>BTU!F4</f>
        <v>1.0289999999999964</v>
      </c>
      <c r="T3" s="48">
        <f>BTU!I4</f>
        <v>5</v>
      </c>
      <c r="U3" s="48">
        <f>BTU!O4</f>
        <v>1.3690000000001419</v>
      </c>
      <c r="V3" s="48">
        <f>BTU!L4</f>
        <v>0.63000000000101863</v>
      </c>
      <c r="W3" s="48">
        <f>BTU!R4</f>
        <v>0.61999999999989086</v>
      </c>
      <c r="X3" s="45">
        <f>ELECT.!B4</f>
        <v>182</v>
      </c>
      <c r="Y3" s="45">
        <f t="shared" ref="Y3:Y31" si="0">I3+J3-(K3+L3+M3+N3+O3+P3)</f>
        <v>806</v>
      </c>
      <c r="Z3">
        <f>'Mall, Citadel, Rotana'!C4+'Mall, Citadel, Rotana'!E4+'Mall, Citadel, Rotana'!G4+'Mall, Citadel, Rotana'!I4</f>
        <v>1539</v>
      </c>
      <c r="AA3">
        <f>'Mall, Citadel, Rotana'!K4+'Mall, Citadel, Rotana'!M4</f>
        <v>480</v>
      </c>
      <c r="AB3">
        <f>'Mall, Citadel, Rotana'!O4</f>
        <v>207</v>
      </c>
      <c r="AC3">
        <f>'Mall, Citadel, Rotana'!Q4+'Mall, Citadel, Rotana'!S4</f>
        <v>20</v>
      </c>
      <c r="AD3" s="45">
        <f t="shared" ref="AD3:AD31" si="1">(E3-H3-194)*0.1318</f>
        <v>5.5717132000000005</v>
      </c>
      <c r="AE3" s="45">
        <f t="shared" ref="AE3:AE31" si="2">E3-H3-AD3-194</f>
        <v>36.702286799999996</v>
      </c>
    </row>
    <row r="4" spans="1:31" x14ac:dyDescent="0.2">
      <c r="A4" s="58" t="s">
        <v>54</v>
      </c>
      <c r="B4" s="63">
        <f t="shared" ref="B4:B31" si="3">B3+1</f>
        <v>3</v>
      </c>
      <c r="C4" s="63">
        <v>4</v>
      </c>
      <c r="D4" s="63">
        <v>2021</v>
      </c>
      <c r="E4" s="47">
        <f>Water!C5</f>
        <v>1240</v>
      </c>
      <c r="F4" s="47">
        <f>Water!E5</f>
        <v>329.4</v>
      </c>
      <c r="G4" s="47">
        <f>Water!G5</f>
        <v>229.5</v>
      </c>
      <c r="H4" s="47">
        <f>Water!I5</f>
        <v>5.0490000000000004</v>
      </c>
      <c r="I4" s="47">
        <f>ELECT.!F5</f>
        <v>8458</v>
      </c>
      <c r="J4" s="47">
        <f>ELECT.!H5</f>
        <v>47825</v>
      </c>
      <c r="K4" s="47">
        <f>ELECT.!K5</f>
        <v>4721</v>
      </c>
      <c r="L4" s="47">
        <f>ELECT.!M5</f>
        <v>5582</v>
      </c>
      <c r="M4" s="47">
        <f>ELECT.!O5</f>
        <v>2690</v>
      </c>
      <c r="N4" s="47">
        <f>ELECT.!Q5</f>
        <v>8747</v>
      </c>
      <c r="O4" s="47">
        <f>ELECT.!S5</f>
        <v>10416</v>
      </c>
      <c r="P4" s="47">
        <f>ELECT.!W5*2</f>
        <v>22936</v>
      </c>
      <c r="Q4" s="47">
        <f>ELECT.!D5</f>
        <v>160</v>
      </c>
      <c r="R4" s="48">
        <f>BTU!C5</f>
        <v>4.8300000000017462</v>
      </c>
      <c r="S4" s="48">
        <f>BTU!F5</f>
        <v>0.55700000000024374</v>
      </c>
      <c r="T4" s="48">
        <f>BTU!I5</f>
        <v>5</v>
      </c>
      <c r="U4" s="48">
        <f>BTU!O5</f>
        <v>1.25</v>
      </c>
      <c r="V4" s="48">
        <f>BTU!L5</f>
        <v>0.21999999999934516</v>
      </c>
      <c r="W4" s="48">
        <f>BTU!R5</f>
        <v>0.98999999999978172</v>
      </c>
      <c r="X4" s="45">
        <f>ELECT.!B5</f>
        <v>183</v>
      </c>
      <c r="Y4" s="45">
        <f t="shared" si="0"/>
        <v>1191</v>
      </c>
      <c r="Z4">
        <f>'Mall, Citadel, Rotana'!C5+'Mall, Citadel, Rotana'!E5+'Mall, Citadel, Rotana'!G5+'Mall, Citadel, Rotana'!I5</f>
        <v>1201</v>
      </c>
      <c r="AA4">
        <f>'Mall, Citadel, Rotana'!K5+'Mall, Citadel, Rotana'!M5</f>
        <v>320</v>
      </c>
      <c r="AB4">
        <f>'Mall, Citadel, Rotana'!O5</f>
        <v>8</v>
      </c>
      <c r="AC4">
        <f>'Mall, Citadel, Rotana'!Q5+'Mall, Citadel, Rotana'!S5</f>
        <v>49</v>
      </c>
      <c r="AD4" s="45">
        <f t="shared" si="1"/>
        <v>137.1973418</v>
      </c>
      <c r="AE4" s="45">
        <f t="shared" si="2"/>
        <v>903.75365820000002</v>
      </c>
    </row>
    <row r="5" spans="1:31" x14ac:dyDescent="0.2">
      <c r="A5" s="58" t="s">
        <v>54</v>
      </c>
      <c r="B5" s="63">
        <f t="shared" si="3"/>
        <v>4</v>
      </c>
      <c r="C5" s="63">
        <v>4</v>
      </c>
      <c r="D5" s="63">
        <v>2021</v>
      </c>
      <c r="E5" s="47">
        <f>Water!C6</f>
        <v>820</v>
      </c>
      <c r="F5" s="47">
        <f>Water!E6</f>
        <v>345.6</v>
      </c>
      <c r="G5" s="47">
        <f>Water!G6</f>
        <v>256.5</v>
      </c>
      <c r="H5" s="47">
        <f>Water!I6</f>
        <v>5.0490000000000004</v>
      </c>
      <c r="I5" s="47">
        <f>ELECT.!F6</f>
        <v>6940</v>
      </c>
      <c r="J5" s="47">
        <f>ELECT.!H6</f>
        <v>38969</v>
      </c>
      <c r="K5" s="47">
        <f>ELECT.!K6</f>
        <v>4001</v>
      </c>
      <c r="L5" s="47">
        <f>ELECT.!M6</f>
        <v>4511</v>
      </c>
      <c r="M5" s="47">
        <f>ELECT.!O6</f>
        <v>2296</v>
      </c>
      <c r="N5" s="47">
        <f>ELECT.!Q6</f>
        <v>7259</v>
      </c>
      <c r="O5" s="47">
        <f>ELECT.!S6</f>
        <v>8558</v>
      </c>
      <c r="P5" s="47">
        <f>ELECT.!W6*2</f>
        <v>18434</v>
      </c>
      <c r="Q5" s="47">
        <f>ELECT.!D6</f>
        <v>480</v>
      </c>
      <c r="R5" s="48">
        <f>BTU!C6</f>
        <v>3.2999999999992724</v>
      </c>
      <c r="S5" s="48">
        <f>BTU!F6</f>
        <v>0.44900000000006912</v>
      </c>
      <c r="T5" s="48">
        <f>BTU!I6</f>
        <v>4</v>
      </c>
      <c r="U5" s="48">
        <f>BTU!O6</f>
        <v>0.86599999999998545</v>
      </c>
      <c r="V5" s="48">
        <f>BTU!L6</f>
        <v>0</v>
      </c>
      <c r="W5" s="48">
        <f>BTU!R6</f>
        <v>0.86000000000058208</v>
      </c>
      <c r="X5" s="45">
        <f>ELECT.!B6</f>
        <v>168</v>
      </c>
      <c r="Y5" s="45">
        <f t="shared" si="0"/>
        <v>850</v>
      </c>
      <c r="Z5">
        <f>'Mall, Citadel, Rotana'!C6+'Mall, Citadel, Rotana'!E6+'Mall, Citadel, Rotana'!G6+'Mall, Citadel, Rotana'!I6</f>
        <v>1359</v>
      </c>
      <c r="AA5">
        <f>'Mall, Citadel, Rotana'!K6+'Mall, Citadel, Rotana'!M6</f>
        <v>480</v>
      </c>
      <c r="AB5">
        <f>'Mall, Citadel, Rotana'!O6</f>
        <v>56</v>
      </c>
      <c r="AC5">
        <f>'Mall, Citadel, Rotana'!Q6+'Mall, Citadel, Rotana'!S6</f>
        <v>80</v>
      </c>
      <c r="AD5" s="45">
        <f t="shared" si="1"/>
        <v>81.841341800000009</v>
      </c>
      <c r="AE5" s="45">
        <f t="shared" si="2"/>
        <v>539.10965820000001</v>
      </c>
    </row>
    <row r="6" spans="1:31" x14ac:dyDescent="0.2">
      <c r="A6" s="58" t="s">
        <v>54</v>
      </c>
      <c r="B6" s="63">
        <f t="shared" si="3"/>
        <v>5</v>
      </c>
      <c r="C6" s="63">
        <v>4</v>
      </c>
      <c r="D6" s="63">
        <v>2021</v>
      </c>
      <c r="E6" s="47">
        <f>Water!C7</f>
        <v>750</v>
      </c>
      <c r="F6" s="47">
        <f>Water!E7</f>
        <v>324</v>
      </c>
      <c r="G6" s="47">
        <f>Water!G7</f>
        <v>259.2</v>
      </c>
      <c r="H6" s="47">
        <f>Water!I7</f>
        <v>4.4279999999999999</v>
      </c>
      <c r="I6" s="47">
        <f>ELECT.!F7</f>
        <v>8713</v>
      </c>
      <c r="J6" s="47">
        <f>ELECT.!H7</f>
        <v>51895</v>
      </c>
      <c r="K6" s="47">
        <f>ELECT.!K7</f>
        <v>5767</v>
      </c>
      <c r="L6" s="47">
        <f>ELECT.!M7</f>
        <v>5757</v>
      </c>
      <c r="M6" s="47">
        <f>ELECT.!O7</f>
        <v>2766</v>
      </c>
      <c r="N6" s="47">
        <f>ELECT.!Q7</f>
        <v>10485</v>
      </c>
      <c r="O6" s="47">
        <f>ELECT.!S7</f>
        <v>10869</v>
      </c>
      <c r="P6" s="47">
        <f>ELECT.!W7*2</f>
        <v>23538</v>
      </c>
      <c r="Q6" s="47">
        <f>ELECT.!D7</f>
        <v>320</v>
      </c>
      <c r="R6" s="48">
        <f>BTU!C7</f>
        <v>4.7180000000007567</v>
      </c>
      <c r="S6" s="48">
        <f>BTU!F7</f>
        <v>1.000999999999749</v>
      </c>
      <c r="T6" s="48">
        <f>BTU!I7</f>
        <v>6</v>
      </c>
      <c r="U6" s="48">
        <f>BTU!O7</f>
        <v>1.2680000000000291</v>
      </c>
      <c r="V6" s="48">
        <f>BTU!L7</f>
        <v>0</v>
      </c>
      <c r="W6" s="48">
        <f>BTU!R7</f>
        <v>0.2999999999992724</v>
      </c>
      <c r="X6" s="45">
        <f>ELECT.!B7</f>
        <v>138</v>
      </c>
      <c r="Y6" s="45">
        <f t="shared" si="0"/>
        <v>1426</v>
      </c>
      <c r="Z6">
        <f>'Mall, Citadel, Rotana'!C7+'Mall, Citadel, Rotana'!E7+'Mall, Citadel, Rotana'!G7+'Mall, Citadel, Rotana'!I7</f>
        <v>1369</v>
      </c>
      <c r="AA6">
        <f>'Mall, Citadel, Rotana'!K7+'Mall, Citadel, Rotana'!M7</f>
        <v>640</v>
      </c>
      <c r="AB6">
        <f>'Mall, Citadel, Rotana'!O7</f>
        <v>114</v>
      </c>
      <c r="AC6">
        <f>'Mall, Citadel, Rotana'!Q7+'Mall, Citadel, Rotana'!S7</f>
        <v>163</v>
      </c>
      <c r="AD6" s="45">
        <f t="shared" si="1"/>
        <v>72.697189600000002</v>
      </c>
      <c r="AE6" s="45">
        <f t="shared" si="2"/>
        <v>478.8748104</v>
      </c>
    </row>
    <row r="7" spans="1:31" x14ac:dyDescent="0.2">
      <c r="A7" s="58" t="s">
        <v>54</v>
      </c>
      <c r="B7" s="63">
        <f t="shared" si="3"/>
        <v>6</v>
      </c>
      <c r="C7" s="63">
        <v>4</v>
      </c>
      <c r="D7" s="63">
        <v>2021</v>
      </c>
      <c r="E7" s="47">
        <f>Water!C8</f>
        <v>1170</v>
      </c>
      <c r="F7" s="47">
        <f>Water!E8</f>
        <v>340.2</v>
      </c>
      <c r="G7" s="47">
        <f>Water!G8</f>
        <v>318.60000000000002</v>
      </c>
      <c r="H7" s="47">
        <f>Water!I8</f>
        <v>3.78</v>
      </c>
      <c r="I7" s="47">
        <f>ELECT.!F8</f>
        <v>6869</v>
      </c>
      <c r="J7" s="47">
        <f>ELECT.!H8</f>
        <v>35406</v>
      </c>
      <c r="K7" s="47">
        <f>ELECT.!K8</f>
        <v>4378</v>
      </c>
      <c r="L7" s="47">
        <f>ELECT.!M8</f>
        <v>4452</v>
      </c>
      <c r="M7" s="47">
        <f>ELECT.!O8</f>
        <v>2302</v>
      </c>
      <c r="N7" s="47">
        <f>ELECT.!Q8</f>
        <v>7666</v>
      </c>
      <c r="O7" s="47">
        <f>ELECT.!S8</f>
        <v>6792</v>
      </c>
      <c r="P7" s="47">
        <f>ELECT.!W8*2</f>
        <v>15928</v>
      </c>
      <c r="Q7" s="47">
        <f>ELECT.!D8</f>
        <v>320</v>
      </c>
      <c r="R7" s="48">
        <f>BTU!C8</f>
        <v>4.4330000000009022</v>
      </c>
      <c r="S7" s="48">
        <f>BTU!F8</f>
        <v>1.4059999999999491</v>
      </c>
      <c r="T7" s="48">
        <f>BTU!I8</f>
        <v>5</v>
      </c>
      <c r="U7" s="48">
        <f>BTU!O8</f>
        <v>1.387000000000171</v>
      </c>
      <c r="V7" s="48">
        <f>BTU!L8</f>
        <v>0</v>
      </c>
      <c r="W7" s="48">
        <f>BTU!R8</f>
        <v>0.4000000000005457</v>
      </c>
      <c r="X7" s="45">
        <f>ELECT.!B8</f>
        <v>146</v>
      </c>
      <c r="Y7" s="45">
        <f t="shared" si="0"/>
        <v>757</v>
      </c>
      <c r="Z7">
        <f>'Mall, Citadel, Rotana'!C8+'Mall, Citadel, Rotana'!E8+'Mall, Citadel, Rotana'!G8+'Mall, Citadel, Rotana'!I8</f>
        <v>1542</v>
      </c>
      <c r="AA7">
        <f>'Mall, Citadel, Rotana'!K8+'Mall, Citadel, Rotana'!M8</f>
        <v>800</v>
      </c>
      <c r="AB7">
        <f>'Mall, Citadel, Rotana'!O8</f>
        <v>140</v>
      </c>
      <c r="AC7">
        <f>'Mall, Citadel, Rotana'!Q8+'Mall, Citadel, Rotana'!S8</f>
        <v>128</v>
      </c>
      <c r="AD7" s="45">
        <f t="shared" si="1"/>
        <v>128.13859600000001</v>
      </c>
      <c r="AE7" s="45">
        <f t="shared" si="2"/>
        <v>844.08140400000002</v>
      </c>
    </row>
    <row r="8" spans="1:31" x14ac:dyDescent="0.2">
      <c r="A8" s="58" t="s">
        <v>54</v>
      </c>
      <c r="B8" s="63">
        <f t="shared" si="3"/>
        <v>7</v>
      </c>
      <c r="C8" s="63">
        <v>4</v>
      </c>
      <c r="D8" s="63">
        <v>2021</v>
      </c>
      <c r="E8" s="47">
        <f>Water!C9</f>
        <v>560</v>
      </c>
      <c r="F8" s="47">
        <f>Water!E9</f>
        <v>337.5</v>
      </c>
      <c r="G8" s="47">
        <f>Water!G9</f>
        <v>297</v>
      </c>
      <c r="H8" s="47">
        <f>Water!I9</f>
        <v>3.4020000000000001</v>
      </c>
      <c r="I8" s="47">
        <f>ELECT.!F9</f>
        <v>9751</v>
      </c>
      <c r="J8" s="47">
        <f>ELECT.!H9</f>
        <v>50539</v>
      </c>
      <c r="K8" s="47">
        <f>ELECT.!K9</f>
        <v>6262</v>
      </c>
      <c r="L8" s="47">
        <f>ELECT.!M9</f>
        <v>6262</v>
      </c>
      <c r="M8" s="47">
        <f>ELECT.!O9</f>
        <v>4070</v>
      </c>
      <c r="N8" s="47">
        <f>ELECT.!Q9</f>
        <v>11031</v>
      </c>
      <c r="O8" s="47">
        <f>ELECT.!S9</f>
        <v>9398</v>
      </c>
      <c r="P8" s="47">
        <f>ELECT.!W9*2</f>
        <v>22800</v>
      </c>
      <c r="Q8" s="47">
        <f>ELECT.!D9</f>
        <v>480</v>
      </c>
      <c r="R8" s="48">
        <f>BTU!C9</f>
        <v>5.3629999999975553</v>
      </c>
      <c r="S8" s="48">
        <f>BTU!F9</f>
        <v>1.5480000000002292</v>
      </c>
      <c r="T8" s="48">
        <f>BTU!I9</f>
        <v>5</v>
      </c>
      <c r="U8" s="48">
        <f>BTU!O9</f>
        <v>1.418999999999869</v>
      </c>
      <c r="V8" s="48">
        <f>BTU!L9</f>
        <v>0.81999999999970896</v>
      </c>
      <c r="W8" s="48">
        <f>BTU!R9</f>
        <v>0.3499999999994543</v>
      </c>
      <c r="X8" s="45">
        <f>ELECT.!B9</f>
        <v>154</v>
      </c>
      <c r="Y8" s="45">
        <f t="shared" si="0"/>
        <v>467</v>
      </c>
      <c r="Z8">
        <f>'Mall, Citadel, Rotana'!C9+'Mall, Citadel, Rotana'!E9+'Mall, Citadel, Rotana'!G9+'Mall, Citadel, Rotana'!I9</f>
        <v>1221</v>
      </c>
      <c r="AA8">
        <f>'Mall, Citadel, Rotana'!K9+'Mall, Citadel, Rotana'!M9</f>
        <v>480</v>
      </c>
      <c r="AB8">
        <f>'Mall, Citadel, Rotana'!O9</f>
        <v>115</v>
      </c>
      <c r="AC8">
        <f>'Mall, Citadel, Rotana'!Q9+'Mall, Citadel, Rotana'!S9</f>
        <v>130</v>
      </c>
      <c r="AD8" s="45">
        <f t="shared" si="1"/>
        <v>47.790416399999991</v>
      </c>
      <c r="AE8" s="45">
        <f t="shared" si="2"/>
        <v>314.80758359999999</v>
      </c>
    </row>
    <row r="9" spans="1:31" x14ac:dyDescent="0.2">
      <c r="A9" s="58" t="s">
        <v>54</v>
      </c>
      <c r="B9" s="63">
        <f t="shared" si="3"/>
        <v>8</v>
      </c>
      <c r="C9" s="63">
        <v>4</v>
      </c>
      <c r="D9" s="63">
        <v>2021</v>
      </c>
      <c r="E9" s="47">
        <f>Water!C10</f>
        <v>500</v>
      </c>
      <c r="F9" s="47">
        <f>Water!E10</f>
        <v>375.3</v>
      </c>
      <c r="G9" s="47">
        <f>Water!G10</f>
        <v>375.3</v>
      </c>
      <c r="H9" s="47">
        <f>Water!I10</f>
        <v>4.05</v>
      </c>
      <c r="I9" s="47">
        <f>ELECT.!F10</f>
        <v>8764</v>
      </c>
      <c r="J9" s="47">
        <f>ELECT.!H10</f>
        <v>46300</v>
      </c>
      <c r="K9" s="47">
        <f>ELECT.!K10</f>
        <v>6002</v>
      </c>
      <c r="L9" s="47">
        <f>ELECT.!M10</f>
        <v>4933</v>
      </c>
      <c r="M9" s="47">
        <f>ELECT.!O10</f>
        <v>2946</v>
      </c>
      <c r="N9" s="47">
        <f>ELECT.!Q10</f>
        <v>9787</v>
      </c>
      <c r="O9" s="47">
        <f>ELECT.!S10</f>
        <v>9006</v>
      </c>
      <c r="P9" s="47">
        <f>ELECT.!W10*2</f>
        <v>20526</v>
      </c>
      <c r="Q9" s="47">
        <f>ELECT.!D10</f>
        <v>480</v>
      </c>
      <c r="R9" s="48">
        <f>BTU!C10</f>
        <v>6.3559999999997672</v>
      </c>
      <c r="S9" s="48">
        <f>BTU!F10</f>
        <v>1.7309999999997672</v>
      </c>
      <c r="T9" s="48">
        <f>BTU!I10</f>
        <v>6</v>
      </c>
      <c r="U9" s="48">
        <f>BTU!O10</f>
        <v>1.5409999999997126</v>
      </c>
      <c r="V9" s="48">
        <f>BTU!L10</f>
        <v>1.6300000000010186</v>
      </c>
      <c r="W9" s="48">
        <f>BTU!R10</f>
        <v>1.5300000000006548</v>
      </c>
      <c r="X9" s="45">
        <f>ELECT.!B10</f>
        <v>148</v>
      </c>
      <c r="Y9" s="45">
        <f t="shared" si="0"/>
        <v>1864</v>
      </c>
      <c r="Z9">
        <f>'Mall, Citadel, Rotana'!C10+'Mall, Citadel, Rotana'!E10+'Mall, Citadel, Rotana'!G10+'Mall, Citadel, Rotana'!I10</f>
        <v>1408</v>
      </c>
      <c r="AA9">
        <f>'Mall, Citadel, Rotana'!K10+'Mall, Citadel, Rotana'!M10</f>
        <v>640</v>
      </c>
      <c r="AB9">
        <f>'Mall, Citadel, Rotana'!O10</f>
        <v>115</v>
      </c>
      <c r="AC9">
        <f>'Mall, Citadel, Rotana'!Q10+'Mall, Citadel, Rotana'!S10</f>
        <v>150</v>
      </c>
      <c r="AD9" s="45">
        <f t="shared" si="1"/>
        <v>39.79701</v>
      </c>
      <c r="AE9" s="45">
        <f t="shared" si="2"/>
        <v>262.15298999999999</v>
      </c>
    </row>
    <row r="10" spans="1:31" x14ac:dyDescent="0.2">
      <c r="A10" s="58" t="s">
        <v>54</v>
      </c>
      <c r="B10" s="63">
        <f t="shared" si="3"/>
        <v>9</v>
      </c>
      <c r="C10" s="63">
        <v>4</v>
      </c>
      <c r="D10" s="63">
        <v>2021</v>
      </c>
      <c r="E10" s="47">
        <f>Water!C11</f>
        <v>550</v>
      </c>
      <c r="F10" s="47">
        <f>Water!E11</f>
        <v>321.3</v>
      </c>
      <c r="G10" s="47">
        <f>Water!G11</f>
        <v>356.4</v>
      </c>
      <c r="H10" s="47">
        <f>Water!I11</f>
        <v>4.59</v>
      </c>
      <c r="I10" s="47">
        <f>ELECT.!F11</f>
        <v>7221</v>
      </c>
      <c r="J10" s="47">
        <f>ELECT.!H11</f>
        <v>44359</v>
      </c>
      <c r="K10" s="47">
        <f>ELECT.!K11</f>
        <v>5428</v>
      </c>
      <c r="L10" s="47">
        <f>ELECT.!M11</f>
        <v>4453</v>
      </c>
      <c r="M10" s="47">
        <f>ELECT.!O11</f>
        <v>2628</v>
      </c>
      <c r="N10" s="47">
        <f>ELECT.!Q11</f>
        <v>9136</v>
      </c>
      <c r="O10" s="47">
        <f>ELECT.!S11</f>
        <v>8657</v>
      </c>
      <c r="P10" s="47">
        <f>ELECT.!W11*2</f>
        <v>20306</v>
      </c>
      <c r="Q10" s="47">
        <f>ELECT.!D11</f>
        <v>640</v>
      </c>
      <c r="R10" s="48">
        <f>BTU!C11</f>
        <v>6.5750000000007276</v>
      </c>
      <c r="S10" s="48">
        <f>BTU!F11</f>
        <v>1.8120000000003529</v>
      </c>
      <c r="T10" s="48">
        <f>BTU!I11</f>
        <v>7</v>
      </c>
      <c r="U10" s="48">
        <f>BTU!O11</f>
        <v>1.9600000000000364</v>
      </c>
      <c r="V10" s="48">
        <f>BTU!L11</f>
        <v>1.680000000000291</v>
      </c>
      <c r="W10" s="48">
        <f>BTU!R11</f>
        <v>1.0670000000000073</v>
      </c>
      <c r="X10" s="45">
        <f>ELECT.!B11</f>
        <v>144</v>
      </c>
      <c r="Y10" s="45">
        <f t="shared" si="0"/>
        <v>972</v>
      </c>
      <c r="Z10">
        <f>'Mall, Citadel, Rotana'!C11+'Mall, Citadel, Rotana'!E11+'Mall, Citadel, Rotana'!G11+'Mall, Citadel, Rotana'!I11</f>
        <v>1419</v>
      </c>
      <c r="AA10">
        <f>'Mall, Citadel, Rotana'!K11+'Mall, Citadel, Rotana'!M11</f>
        <v>640</v>
      </c>
      <c r="AB10">
        <f>'Mall, Citadel, Rotana'!O11</f>
        <v>127</v>
      </c>
      <c r="AC10">
        <f>'Mall, Citadel, Rotana'!Q11+'Mall, Citadel, Rotana'!S11</f>
        <v>180</v>
      </c>
      <c r="AD10" s="45">
        <f t="shared" si="1"/>
        <v>46.315837999999999</v>
      </c>
      <c r="AE10" s="45">
        <f t="shared" si="2"/>
        <v>305.09416199999998</v>
      </c>
    </row>
    <row r="11" spans="1:31" x14ac:dyDescent="0.2">
      <c r="A11" s="58" t="s">
        <v>54</v>
      </c>
      <c r="B11" s="63">
        <f t="shared" si="3"/>
        <v>10</v>
      </c>
      <c r="C11" s="63">
        <v>4</v>
      </c>
      <c r="D11" s="63">
        <v>2021</v>
      </c>
      <c r="E11" s="47">
        <f>Water!C12</f>
        <v>1660</v>
      </c>
      <c r="F11" s="47">
        <f>Water!E12</f>
        <v>369.9</v>
      </c>
      <c r="G11" s="47">
        <f>Water!G12</f>
        <v>194.4</v>
      </c>
      <c r="H11" s="47">
        <f>Water!I12</f>
        <v>2.5379999999999998</v>
      </c>
      <c r="I11" s="47">
        <f>ELECT.!F12</f>
        <v>10215</v>
      </c>
      <c r="J11" s="47">
        <f>ELECT.!H12</f>
        <v>60635</v>
      </c>
      <c r="K11" s="47">
        <f>ELECT.!K12</f>
        <v>6841</v>
      </c>
      <c r="L11" s="47">
        <f>ELECT.!M12</f>
        <v>6803</v>
      </c>
      <c r="M11" s="47">
        <f>ELECT.!O12</f>
        <v>3216</v>
      </c>
      <c r="N11" s="47">
        <f>ELECT.!Q12</f>
        <v>11893</v>
      </c>
      <c r="O11" s="47">
        <f>ELECT.!S12</f>
        <v>12357</v>
      </c>
      <c r="P11" s="47">
        <f>ELECT.!W12*2</f>
        <v>28210</v>
      </c>
      <c r="Q11" s="47">
        <f>ELECT.!D12</f>
        <v>320</v>
      </c>
      <c r="R11" s="48">
        <f>BTU!C12</f>
        <v>5.5180000000000291</v>
      </c>
      <c r="S11" s="48">
        <f>BTU!F12</f>
        <v>0.91399999999975989</v>
      </c>
      <c r="T11" s="48">
        <f>BTU!I12</f>
        <v>5</v>
      </c>
      <c r="U11" s="48">
        <f>BTU!O12</f>
        <v>1.5530000000003383</v>
      </c>
      <c r="V11" s="48">
        <f>BTU!L12</f>
        <v>1.1999999999989086</v>
      </c>
      <c r="W11" s="48">
        <f>BTU!R12</f>
        <v>1.0429999999996653</v>
      </c>
      <c r="X11" s="45">
        <f>ELECT.!B12</f>
        <v>141</v>
      </c>
      <c r="Y11" s="45">
        <f t="shared" si="0"/>
        <v>1530</v>
      </c>
      <c r="Z11">
        <f>'Mall, Citadel, Rotana'!C12+'Mall, Citadel, Rotana'!E12+'Mall, Citadel, Rotana'!G12+'Mall, Citadel, Rotana'!I12</f>
        <v>1392</v>
      </c>
      <c r="AA11">
        <f>'Mall, Citadel, Rotana'!K12+'Mall, Citadel, Rotana'!M12</f>
        <v>480</v>
      </c>
      <c r="AB11">
        <f>'Mall, Citadel, Rotana'!O12</f>
        <v>82</v>
      </c>
      <c r="AC11">
        <f>'Mall, Citadel, Rotana'!Q12+'Mall, Citadel, Rotana'!S12</f>
        <v>169</v>
      </c>
      <c r="AD11" s="45">
        <f t="shared" si="1"/>
        <v>192.88429160000001</v>
      </c>
      <c r="AE11" s="45">
        <f t="shared" si="2"/>
        <v>1270.5777083999999</v>
      </c>
    </row>
    <row r="12" spans="1:31" x14ac:dyDescent="0.2">
      <c r="A12" s="58" t="s">
        <v>54</v>
      </c>
      <c r="B12" s="63">
        <f t="shared" si="3"/>
        <v>11</v>
      </c>
      <c r="C12" s="63">
        <v>4</v>
      </c>
      <c r="D12" s="63">
        <v>2021</v>
      </c>
      <c r="E12" s="47">
        <f>Water!C13</f>
        <v>1660</v>
      </c>
      <c r="F12" s="47">
        <f>Water!E13</f>
        <v>318.60000000000002</v>
      </c>
      <c r="G12" s="47">
        <f>Water!G13</f>
        <v>251.1</v>
      </c>
      <c r="H12" s="47">
        <f>Water!I13</f>
        <v>3.294</v>
      </c>
      <c r="I12" s="47">
        <f>ELECT.!F13</f>
        <v>5041</v>
      </c>
      <c r="J12" s="47">
        <f>ELECT.!H13</f>
        <v>82666</v>
      </c>
      <c r="K12" s="47">
        <f>ELECT.!K13</f>
        <v>4501</v>
      </c>
      <c r="L12" s="47">
        <f>ELECT.!M13</f>
        <v>3452</v>
      </c>
      <c r="M12" s="47">
        <f>ELECT.!O13</f>
        <v>1478</v>
      </c>
      <c r="N12" s="47">
        <f>ELECT.!Q13</f>
        <v>6911</v>
      </c>
      <c r="O12" s="47">
        <f>ELECT.!S13</f>
        <v>7800</v>
      </c>
      <c r="P12" s="47">
        <f>ELECT.!W13*2</f>
        <v>17524</v>
      </c>
      <c r="Q12" s="47">
        <f>ELECT.!D13</f>
        <v>320</v>
      </c>
      <c r="R12" s="48">
        <f>BTU!C13</f>
        <v>5.6970000000001164</v>
      </c>
      <c r="S12" s="48">
        <f>BTU!F13</f>
        <v>1.0149999999998727</v>
      </c>
      <c r="T12" s="48">
        <f>BTU!I13</f>
        <v>7</v>
      </c>
      <c r="U12" s="48">
        <f>BTU!O13</f>
        <v>1.612999999999829</v>
      </c>
      <c r="V12" s="48">
        <f>BTU!L13</f>
        <v>1.569999999999709</v>
      </c>
      <c r="W12" s="48">
        <f>BTU!R13</f>
        <v>1.319999999999709</v>
      </c>
      <c r="X12" s="45">
        <f>ELECT.!B13</f>
        <v>138</v>
      </c>
      <c r="Y12" s="45">
        <f t="shared" si="0"/>
        <v>46041</v>
      </c>
      <c r="Z12">
        <f>'Mall, Citadel, Rotana'!C13+'Mall, Citadel, Rotana'!E13+'Mall, Citadel, Rotana'!G13+'Mall, Citadel, Rotana'!I13</f>
        <v>1024</v>
      </c>
      <c r="AA12">
        <f>'Mall, Citadel, Rotana'!K13+'Mall, Citadel, Rotana'!M13</f>
        <v>1440</v>
      </c>
      <c r="AB12">
        <f>'Mall, Citadel, Rotana'!O13</f>
        <v>116</v>
      </c>
      <c r="AC12">
        <f>'Mall, Citadel, Rotana'!Q13+'Mall, Citadel, Rotana'!S13</f>
        <v>10</v>
      </c>
      <c r="AD12" s="45">
        <f t="shared" si="1"/>
        <v>192.78465079999998</v>
      </c>
      <c r="AE12" s="45">
        <f t="shared" si="2"/>
        <v>1269.9213491999999</v>
      </c>
    </row>
    <row r="13" spans="1:31" x14ac:dyDescent="0.2">
      <c r="A13" s="58" t="s">
        <v>54</v>
      </c>
      <c r="B13" s="63">
        <f t="shared" si="3"/>
        <v>12</v>
      </c>
      <c r="C13" s="63">
        <v>4</v>
      </c>
      <c r="D13" s="63">
        <v>2021</v>
      </c>
      <c r="E13" s="47">
        <f>Water!C14</f>
        <v>480</v>
      </c>
      <c r="F13" s="47">
        <f>Water!E14</f>
        <v>324</v>
      </c>
      <c r="G13" s="47">
        <f>Water!G14</f>
        <v>213.3</v>
      </c>
      <c r="H13" s="47">
        <f>Water!I14</f>
        <v>3.4020000000000001</v>
      </c>
      <c r="I13" s="47">
        <f>ELECT.!F14</f>
        <v>6965</v>
      </c>
      <c r="J13" s="47">
        <f>ELECT.!H14</f>
        <v>6005</v>
      </c>
      <c r="K13" s="47">
        <f>ELECT.!K14</f>
        <v>6344</v>
      </c>
      <c r="L13" s="47">
        <f>ELECT.!M14</f>
        <v>4827</v>
      </c>
      <c r="M13" s="47">
        <f>ELECT.!O14</f>
        <v>1964</v>
      </c>
      <c r="N13" s="47">
        <f>ELECT.!Q14</f>
        <v>9255</v>
      </c>
      <c r="O13" s="47">
        <f>ELECT.!S14</f>
        <v>10912</v>
      </c>
      <c r="P13" s="47">
        <f>ELECT.!W14*2</f>
        <v>23454</v>
      </c>
      <c r="Q13" s="47">
        <f>ELECT.!D14</f>
        <v>480</v>
      </c>
      <c r="R13" s="48">
        <f>BTU!C14</f>
        <v>3.9200000000018917</v>
      </c>
      <c r="S13" s="48">
        <f>BTU!F14</f>
        <v>0.9070000000001528</v>
      </c>
      <c r="T13" s="48">
        <f>BTU!I14</f>
        <v>4</v>
      </c>
      <c r="U13" s="48">
        <f>BTU!O14</f>
        <v>1.3020000000001346</v>
      </c>
      <c r="V13" s="48">
        <f>BTU!L14</f>
        <v>1.1900000000005093</v>
      </c>
      <c r="W13" s="48">
        <f>BTU!R14</f>
        <v>3.999999999996362E-2</v>
      </c>
      <c r="X13" s="45">
        <f>ELECT.!B14</f>
        <v>123</v>
      </c>
      <c r="Y13" s="45">
        <f t="shared" si="0"/>
        <v>-43786</v>
      </c>
      <c r="Z13">
        <f>'Mall, Citadel, Rotana'!C14+'Mall, Citadel, Rotana'!E14+'Mall, Citadel, Rotana'!G14+'Mall, Citadel, Rotana'!I14</f>
        <v>1527</v>
      </c>
      <c r="AA13">
        <f>'Mall, Citadel, Rotana'!K14+'Mall, Citadel, Rotana'!M14</f>
        <v>800</v>
      </c>
      <c r="AB13">
        <f>'Mall, Citadel, Rotana'!O14</f>
        <v>140</v>
      </c>
      <c r="AC13">
        <f>'Mall, Citadel, Rotana'!Q14+'Mall, Citadel, Rotana'!S14</f>
        <v>95</v>
      </c>
      <c r="AD13" s="45">
        <f t="shared" si="1"/>
        <v>37.246416400000001</v>
      </c>
      <c r="AE13" s="45">
        <f t="shared" si="2"/>
        <v>245.35158360000003</v>
      </c>
    </row>
    <row r="14" spans="1:31" x14ac:dyDescent="0.2">
      <c r="A14" s="58" t="s">
        <v>54</v>
      </c>
      <c r="B14" s="63">
        <f t="shared" si="3"/>
        <v>13</v>
      </c>
      <c r="C14" s="63">
        <v>4</v>
      </c>
      <c r="D14" s="63">
        <v>2021</v>
      </c>
      <c r="E14" s="47">
        <f>Water!C15</f>
        <v>140</v>
      </c>
      <c r="F14" s="47">
        <f>Water!E15</f>
        <v>359.1</v>
      </c>
      <c r="G14" s="47">
        <f>Water!G15</f>
        <v>256.5</v>
      </c>
      <c r="H14" s="47">
        <f>Water!I15</f>
        <v>4.6710000000000003</v>
      </c>
      <c r="I14" s="47">
        <f>ELECT.!F15</f>
        <v>5806</v>
      </c>
      <c r="J14" s="47">
        <f>ELECT.!H15</f>
        <v>43536</v>
      </c>
      <c r="K14" s="47">
        <f>ELECT.!K15</f>
        <v>5340</v>
      </c>
      <c r="L14" s="47">
        <f>ELECT.!M15</f>
        <v>4176</v>
      </c>
      <c r="M14" s="47">
        <f>ELECT.!O15</f>
        <v>1508</v>
      </c>
      <c r="N14" s="47">
        <f>ELECT.!Q15</f>
        <v>8171</v>
      </c>
      <c r="O14" s="47">
        <f>ELECT.!S15</f>
        <v>8628</v>
      </c>
      <c r="P14" s="47">
        <f>ELECT.!W15*2</f>
        <v>20382</v>
      </c>
      <c r="Q14" s="47">
        <f>ELECT.!D15</f>
        <v>480</v>
      </c>
      <c r="R14" s="48">
        <f>BTU!C15</f>
        <v>5.3179999999993015</v>
      </c>
      <c r="S14" s="48">
        <f>BTU!F15</f>
        <v>1.7069999999998799</v>
      </c>
      <c r="T14" s="48">
        <f>BTU!I15</f>
        <v>6</v>
      </c>
      <c r="U14" s="48">
        <f>BTU!O15</f>
        <v>1.6279999999997017</v>
      </c>
      <c r="V14" s="48">
        <f>BTU!L15</f>
        <v>1.430000000000291</v>
      </c>
      <c r="W14" s="48">
        <f>BTU!R15</f>
        <v>0</v>
      </c>
      <c r="X14" s="45">
        <f>ELECT.!B15</f>
        <v>0</v>
      </c>
      <c r="Y14" s="45">
        <f t="shared" si="0"/>
        <v>1137</v>
      </c>
      <c r="Z14">
        <f>'Mall, Citadel, Rotana'!C15+'Mall, Citadel, Rotana'!E15+'Mall, Citadel, Rotana'!G15+'Mall, Citadel, Rotana'!I15</f>
        <v>1232</v>
      </c>
      <c r="AA14">
        <f>'Mall, Citadel, Rotana'!K15+'Mall, Citadel, Rotana'!M15</f>
        <v>-640</v>
      </c>
      <c r="AB14">
        <f>'Mall, Citadel, Rotana'!O15</f>
        <v>135</v>
      </c>
      <c r="AC14">
        <f>'Mall, Citadel, Rotana'!Q15+'Mall, Citadel, Rotana'!S15</f>
        <v>89</v>
      </c>
      <c r="AD14" s="45">
        <f t="shared" si="1"/>
        <v>-7.7328377999999987</v>
      </c>
      <c r="AE14" s="45">
        <f t="shared" si="2"/>
        <v>-50.938162199999994</v>
      </c>
    </row>
    <row r="15" spans="1:31" x14ac:dyDescent="0.2">
      <c r="A15" s="58" t="s">
        <v>54</v>
      </c>
      <c r="B15" s="63">
        <f t="shared" si="3"/>
        <v>14</v>
      </c>
      <c r="C15" s="63">
        <v>4</v>
      </c>
      <c r="D15" s="63">
        <v>2021</v>
      </c>
      <c r="E15" s="47">
        <f>Water!C16</f>
        <v>160</v>
      </c>
      <c r="F15" s="47">
        <f>Water!E16</f>
        <v>299.7</v>
      </c>
      <c r="G15" s="47">
        <f>Water!G16</f>
        <v>194.4</v>
      </c>
      <c r="H15" s="47">
        <f>Water!I16</f>
        <v>3.294</v>
      </c>
      <c r="I15" s="47">
        <f>ELECT.!F16</f>
        <v>4477</v>
      </c>
      <c r="J15" s="47">
        <f>ELECT.!H16</f>
        <v>32920</v>
      </c>
      <c r="K15" s="47">
        <f>ELECT.!K16</f>
        <v>3761</v>
      </c>
      <c r="L15" s="47">
        <f>ELECT.!M16</f>
        <v>2905</v>
      </c>
      <c r="M15" s="47">
        <f>ELECT.!O16</f>
        <v>1452</v>
      </c>
      <c r="N15" s="47">
        <f>ELECT.!Q16</f>
        <v>6407</v>
      </c>
      <c r="O15" s="47">
        <f>ELECT.!S16</f>
        <v>6894</v>
      </c>
      <c r="P15" s="47">
        <f>ELECT.!W16*2</f>
        <v>15068</v>
      </c>
      <c r="Q15" s="47">
        <f>ELECT.!D16</f>
        <v>320</v>
      </c>
      <c r="R15" s="48">
        <f>BTU!C16</f>
        <v>3.6610000000000582</v>
      </c>
      <c r="S15" s="48">
        <f>BTU!F16</f>
        <v>0.91000000000030923</v>
      </c>
      <c r="T15" s="48">
        <f>BTU!I16</f>
        <v>5</v>
      </c>
      <c r="U15" s="48">
        <f>BTU!O16</f>
        <v>1.0590000000001965</v>
      </c>
      <c r="V15" s="48">
        <f>BTU!L16</f>
        <v>1.2600000000002183</v>
      </c>
      <c r="W15" s="48">
        <f>BTU!R16</f>
        <v>0</v>
      </c>
      <c r="X15" s="45">
        <f>ELECT.!B16</f>
        <v>0</v>
      </c>
      <c r="Y15" s="45">
        <f t="shared" si="0"/>
        <v>910</v>
      </c>
      <c r="Z15">
        <f>'Mall, Citadel, Rotana'!C16+'Mall, Citadel, Rotana'!E16+'Mall, Citadel, Rotana'!G16+'Mall, Citadel, Rotana'!I16</f>
        <v>1194</v>
      </c>
      <c r="AA15">
        <f>'Mall, Citadel, Rotana'!K16+'Mall, Citadel, Rotana'!M16</f>
        <v>480</v>
      </c>
      <c r="AB15">
        <f>'Mall, Citadel, Rotana'!O16</f>
        <v>115</v>
      </c>
      <c r="AC15">
        <f>'Mall, Citadel, Rotana'!Q16+'Mall, Citadel, Rotana'!S16</f>
        <v>0</v>
      </c>
      <c r="AD15" s="45">
        <f t="shared" si="1"/>
        <v>-4.9153492000000014</v>
      </c>
      <c r="AE15" s="45">
        <f t="shared" si="2"/>
        <v>-32.378650800000003</v>
      </c>
    </row>
    <row r="16" spans="1:31" x14ac:dyDescent="0.2">
      <c r="A16" s="58" t="s">
        <v>54</v>
      </c>
      <c r="B16" s="63">
        <f t="shared" si="3"/>
        <v>15</v>
      </c>
      <c r="C16" s="63">
        <v>4</v>
      </c>
      <c r="D16" s="63">
        <v>2021</v>
      </c>
      <c r="E16" s="47">
        <f>Water!C17</f>
        <v>700</v>
      </c>
      <c r="F16" s="47">
        <f>Water!E17</f>
        <v>383.4</v>
      </c>
      <c r="G16" s="47">
        <f>Water!G17</f>
        <v>218.7</v>
      </c>
      <c r="H16" s="47">
        <f>Water!I17</f>
        <v>4.077</v>
      </c>
      <c r="I16" s="47">
        <f>ELECT.!F17</f>
        <v>7560</v>
      </c>
      <c r="J16" s="47">
        <f>ELECT.!H17</f>
        <v>45419</v>
      </c>
      <c r="K16" s="47">
        <f>ELECT.!K17</f>
        <v>4915</v>
      </c>
      <c r="L16" s="47">
        <f>ELECT.!M17</f>
        <v>5206</v>
      </c>
      <c r="M16" s="47">
        <f>ELECT.!O17</f>
        <v>2194</v>
      </c>
      <c r="N16" s="47">
        <f>ELECT.!Q17</f>
        <v>8834</v>
      </c>
      <c r="O16" s="47">
        <f>ELECT.!S17</f>
        <v>9291</v>
      </c>
      <c r="P16" s="47">
        <f>ELECT.!W17*2</f>
        <v>21230</v>
      </c>
      <c r="Q16" s="47">
        <f>ELECT.!D17</f>
        <v>320</v>
      </c>
      <c r="R16" s="48">
        <f>BTU!C17</f>
        <v>4.2740000000012515</v>
      </c>
      <c r="S16" s="48">
        <f>BTU!F17</f>
        <v>0.97399999999970532</v>
      </c>
      <c r="T16" s="48">
        <f>BTU!I17</f>
        <v>5</v>
      </c>
      <c r="U16" s="48">
        <f>BTU!O17</f>
        <v>1.1280000000001564</v>
      </c>
      <c r="V16" s="48">
        <f>BTU!L17</f>
        <v>1.4899999999997817</v>
      </c>
      <c r="W16" s="48">
        <f>BTU!R17</f>
        <v>0.28999999999996362</v>
      </c>
      <c r="X16" s="45">
        <f>ELECT.!B17</f>
        <v>122</v>
      </c>
      <c r="Y16" s="45">
        <f t="shared" si="0"/>
        <v>1309</v>
      </c>
      <c r="Z16">
        <f>'Mall, Citadel, Rotana'!C17+'Mall, Citadel, Rotana'!E17+'Mall, Citadel, Rotana'!G17+'Mall, Citadel, Rotana'!I17</f>
        <v>1200</v>
      </c>
      <c r="AA16">
        <f>'Mall, Citadel, Rotana'!K17+'Mall, Citadel, Rotana'!M17</f>
        <v>640</v>
      </c>
      <c r="AB16">
        <f>'Mall, Citadel, Rotana'!O17</f>
        <v>119</v>
      </c>
      <c r="AC16">
        <f>'Mall, Citadel, Rotana'!Q17+'Mall, Citadel, Rotana'!S17</f>
        <v>0</v>
      </c>
      <c r="AD16" s="45">
        <f t="shared" si="1"/>
        <v>66.153451399999994</v>
      </c>
      <c r="AE16" s="45">
        <f t="shared" si="2"/>
        <v>435.76954860000001</v>
      </c>
    </row>
    <row r="17" spans="1:31" x14ac:dyDescent="0.2">
      <c r="A17" s="58" t="s">
        <v>54</v>
      </c>
      <c r="B17" s="63">
        <f t="shared" si="3"/>
        <v>16</v>
      </c>
      <c r="C17" s="63">
        <v>4</v>
      </c>
      <c r="D17" s="63">
        <v>2021</v>
      </c>
      <c r="E17" s="47">
        <f>Water!C18</f>
        <v>750</v>
      </c>
      <c r="F17" s="47">
        <f>Water!E18</f>
        <v>399.6</v>
      </c>
      <c r="G17" s="47">
        <f>Water!G18</f>
        <v>261.89999999999998</v>
      </c>
      <c r="H17" s="47">
        <f>Water!I18</f>
        <v>4.05</v>
      </c>
      <c r="I17" s="47">
        <f>ELECT.!F18</f>
        <v>6838</v>
      </c>
      <c r="J17" s="47">
        <f>ELECT.!H18</f>
        <v>44230</v>
      </c>
      <c r="K17" s="47">
        <f>ELECT.!K18</f>
        <v>4648</v>
      </c>
      <c r="L17" s="47">
        <f>ELECT.!M18</f>
        <v>4193</v>
      </c>
      <c r="M17" s="47">
        <f>ELECT.!O18</f>
        <v>2496</v>
      </c>
      <c r="N17" s="47">
        <f>ELECT.!Q18</f>
        <v>9095</v>
      </c>
      <c r="O17" s="47">
        <f>ELECT.!S18</f>
        <v>8929</v>
      </c>
      <c r="P17" s="47">
        <f>ELECT.!W18*2</f>
        <v>20492</v>
      </c>
      <c r="Q17" s="47">
        <f>ELECT.!D18</f>
        <v>480</v>
      </c>
      <c r="R17" s="48">
        <f>BTU!C18</f>
        <v>4.5209999999970023</v>
      </c>
      <c r="S17" s="48">
        <f>BTU!F18</f>
        <v>1.0970000000002074</v>
      </c>
      <c r="T17" s="48">
        <f>BTU!I18</f>
        <v>6</v>
      </c>
      <c r="U17" s="48">
        <f>BTU!O18</f>
        <v>1.1759999999999309</v>
      </c>
      <c r="V17" s="48">
        <f>BTU!L18</f>
        <v>0.78999999999905413</v>
      </c>
      <c r="W17" s="48">
        <f>BTU!R18</f>
        <v>0</v>
      </c>
      <c r="X17" s="45">
        <f>ELECT.!B18</f>
        <v>120</v>
      </c>
      <c r="Y17" s="45">
        <f t="shared" si="0"/>
        <v>1215</v>
      </c>
      <c r="Z17">
        <f>'Mall, Citadel, Rotana'!C18+'Mall, Citadel, Rotana'!E18+'Mall, Citadel, Rotana'!G18+'Mall, Citadel, Rotana'!I18</f>
        <v>1032</v>
      </c>
      <c r="AA17">
        <f>'Mall, Citadel, Rotana'!K18+'Mall, Citadel, Rotana'!M18</f>
        <v>480</v>
      </c>
      <c r="AB17">
        <f>'Mall, Citadel, Rotana'!O18</f>
        <v>96</v>
      </c>
      <c r="AC17">
        <f>'Mall, Citadel, Rotana'!Q18+'Mall, Citadel, Rotana'!S18</f>
        <v>369</v>
      </c>
      <c r="AD17" s="45">
        <f t="shared" si="1"/>
        <v>72.747010000000003</v>
      </c>
      <c r="AE17" s="45">
        <f t="shared" si="2"/>
        <v>479.20299</v>
      </c>
    </row>
    <row r="18" spans="1:31" x14ac:dyDescent="0.2">
      <c r="A18" s="58" t="s">
        <v>54</v>
      </c>
      <c r="B18" s="63">
        <f t="shared" si="3"/>
        <v>17</v>
      </c>
      <c r="C18" s="63">
        <v>4</v>
      </c>
      <c r="D18" s="63">
        <v>2021</v>
      </c>
      <c r="E18" s="47">
        <f>Water!C19</f>
        <v>690</v>
      </c>
      <c r="F18" s="47">
        <f>Water!E19</f>
        <v>351</v>
      </c>
      <c r="G18" s="47">
        <f>Water!G19</f>
        <v>243</v>
      </c>
      <c r="H18" s="47">
        <f>Water!I19</f>
        <v>3.1320000000000001</v>
      </c>
      <c r="I18" s="47">
        <f>ELECT.!F19</f>
        <v>7749</v>
      </c>
      <c r="J18" s="47">
        <f>ELECT.!H19</f>
        <v>44136</v>
      </c>
      <c r="K18" s="47">
        <f>ELECT.!K19</f>
        <v>4198</v>
      </c>
      <c r="L18" s="47">
        <f>ELECT.!M19</f>
        <v>5287</v>
      </c>
      <c r="M18" s="47">
        <f>ELECT.!O19</f>
        <v>2282</v>
      </c>
      <c r="N18" s="47">
        <f>ELECT.!Q19</f>
        <v>9817</v>
      </c>
      <c r="O18" s="47">
        <f>ELECT.!S19</f>
        <v>8746</v>
      </c>
      <c r="P18" s="47">
        <f>ELECT.!W19*2</f>
        <v>20222</v>
      </c>
      <c r="Q18" s="47">
        <f>ELECT.!D19</f>
        <v>480</v>
      </c>
      <c r="R18" s="48">
        <f>BTU!C19</f>
        <v>5.5860000000029686</v>
      </c>
      <c r="S18" s="48">
        <f>BTU!F19</f>
        <v>0.78600000000005821</v>
      </c>
      <c r="T18" s="48">
        <f>BTU!I19</f>
        <v>6</v>
      </c>
      <c r="U18" s="48">
        <f>BTU!O19</f>
        <v>1.3359999999997854</v>
      </c>
      <c r="V18" s="48">
        <f>BTU!L19</f>
        <v>1.1900000000005093</v>
      </c>
      <c r="W18" s="48">
        <f>BTU!R19</f>
        <v>0</v>
      </c>
      <c r="X18" s="45">
        <f>ELECT.!B19</f>
        <v>119</v>
      </c>
      <c r="Y18" s="45">
        <f t="shared" si="0"/>
        <v>1333</v>
      </c>
      <c r="Z18">
        <f>'Mall, Citadel, Rotana'!C19+'Mall, Citadel, Rotana'!E19+'Mall, Citadel, Rotana'!G19+'Mall, Citadel, Rotana'!I19</f>
        <v>1032</v>
      </c>
      <c r="AA18">
        <f>'Mall, Citadel, Rotana'!K19+'Mall, Citadel, Rotana'!M19</f>
        <v>480</v>
      </c>
      <c r="AB18">
        <f>'Mall, Citadel, Rotana'!O19</f>
        <v>79</v>
      </c>
      <c r="AC18">
        <f>'Mall, Citadel, Rotana'!Q19+'Mall, Citadel, Rotana'!S19</f>
        <v>101</v>
      </c>
      <c r="AD18" s="45">
        <f t="shared" si="1"/>
        <v>64.960002400000008</v>
      </c>
      <c r="AE18" s="45">
        <f t="shared" si="2"/>
        <v>427.90799760000004</v>
      </c>
    </row>
    <row r="19" spans="1:31" x14ac:dyDescent="0.2">
      <c r="A19" s="58" t="s">
        <v>54</v>
      </c>
      <c r="B19" s="63">
        <f t="shared" si="3"/>
        <v>18</v>
      </c>
      <c r="C19" s="63">
        <v>4</v>
      </c>
      <c r="D19" s="63">
        <v>2021</v>
      </c>
      <c r="E19" s="47">
        <f>Water!C20</f>
        <v>650</v>
      </c>
      <c r="F19" s="47">
        <f>Water!E20</f>
        <v>318.60000000000002</v>
      </c>
      <c r="G19" s="47">
        <f>Water!G20</f>
        <v>245.7</v>
      </c>
      <c r="H19" s="47">
        <f>Water!I20</f>
        <v>3.4830000000000001</v>
      </c>
      <c r="I19" s="47">
        <f>ELECT.!F20</f>
        <v>7057</v>
      </c>
      <c r="J19" s="47">
        <f>ELECT.!H20</f>
        <v>37145</v>
      </c>
      <c r="K19" s="47">
        <f>ELECT.!K20</f>
        <v>4401</v>
      </c>
      <c r="L19" s="47">
        <f>ELECT.!M20</f>
        <v>4865</v>
      </c>
      <c r="M19" s="47">
        <f>ELECT.!O20</f>
        <v>2070</v>
      </c>
      <c r="N19" s="47">
        <f>ELECT.!Q20</f>
        <v>8911</v>
      </c>
      <c r="O19" s="47">
        <f>ELECT.!S20</f>
        <v>6717</v>
      </c>
      <c r="P19" s="47">
        <f>ELECT.!W20*2</f>
        <v>16336</v>
      </c>
      <c r="Q19" s="47">
        <f>ELECT.!D20</f>
        <v>480</v>
      </c>
      <c r="R19" s="48">
        <f>BTU!C20</f>
        <v>6.6790000000000873</v>
      </c>
      <c r="S19" s="48">
        <f>BTU!F20</f>
        <v>1.4859999999998763</v>
      </c>
      <c r="T19" s="48">
        <f>BTU!I20</f>
        <v>8</v>
      </c>
      <c r="U19" s="48">
        <f>BTU!O20</f>
        <v>1.61200000000008</v>
      </c>
      <c r="V19" s="48">
        <f>BTU!L20</f>
        <v>1.8700000000008004</v>
      </c>
      <c r="W19" s="48">
        <f>BTU!R20</f>
        <v>0</v>
      </c>
      <c r="X19" s="45">
        <f>ELECT.!B20</f>
        <v>118</v>
      </c>
      <c r="Y19" s="45">
        <f t="shared" si="0"/>
        <v>902</v>
      </c>
      <c r="Z19">
        <f>'Mall, Citadel, Rotana'!C20+'Mall, Citadel, Rotana'!E20+'Mall, Citadel, Rotana'!G20+'Mall, Citadel, Rotana'!I20</f>
        <v>1207</v>
      </c>
      <c r="AA19">
        <f>'Mall, Citadel, Rotana'!K20+'Mall, Citadel, Rotana'!M20</f>
        <v>480</v>
      </c>
      <c r="AB19">
        <f>'Mall, Citadel, Rotana'!O20</f>
        <v>105</v>
      </c>
      <c r="AC19">
        <f>'Mall, Citadel, Rotana'!Q20+'Mall, Citadel, Rotana'!S20</f>
        <v>96</v>
      </c>
      <c r="AD19" s="45">
        <f t="shared" si="1"/>
        <v>59.641740600000006</v>
      </c>
      <c r="AE19" s="45">
        <f t="shared" si="2"/>
        <v>392.8752594</v>
      </c>
    </row>
    <row r="20" spans="1:31" x14ac:dyDescent="0.2">
      <c r="A20" s="58" t="s">
        <v>54</v>
      </c>
      <c r="B20" s="63">
        <f t="shared" si="3"/>
        <v>19</v>
      </c>
      <c r="C20" s="63">
        <v>4</v>
      </c>
      <c r="D20" s="63">
        <v>2021</v>
      </c>
      <c r="E20" s="47">
        <f>Water!C21</f>
        <v>630</v>
      </c>
      <c r="F20" s="47">
        <f>Water!E21</f>
        <v>364.5</v>
      </c>
      <c r="G20" s="47">
        <f>Water!G21</f>
        <v>297</v>
      </c>
      <c r="H20" s="47">
        <f>Water!I21</f>
        <v>4.266</v>
      </c>
      <c r="I20" s="47">
        <f>ELECT.!F21</f>
        <v>11227</v>
      </c>
      <c r="J20" s="47">
        <f>ELECT.!H21</f>
        <v>55283</v>
      </c>
      <c r="K20" s="47">
        <f>ELECT.!K21</f>
        <v>6891</v>
      </c>
      <c r="L20" s="47">
        <f>ELECT.!M21</f>
        <v>7250</v>
      </c>
      <c r="M20" s="47">
        <f>ELECT.!O21</f>
        <v>3804</v>
      </c>
      <c r="N20" s="47">
        <f>ELECT.!Q21</f>
        <v>13443</v>
      </c>
      <c r="O20" s="47">
        <f>ELECT.!S21</f>
        <v>9627</v>
      </c>
      <c r="P20" s="47">
        <f>ELECT.!W21*2</f>
        <v>24034</v>
      </c>
      <c r="Q20" s="47">
        <f>ELECT.!D21</f>
        <v>480</v>
      </c>
      <c r="R20" s="48">
        <f>BTU!C21</f>
        <v>6.5729999999966822</v>
      </c>
      <c r="S20" s="48">
        <f>BTU!F21</f>
        <v>2.0059999999998581</v>
      </c>
      <c r="T20" s="48">
        <f>BTU!I21</f>
        <v>7</v>
      </c>
      <c r="U20" s="48">
        <f>BTU!O21</f>
        <v>1.4679999999998472</v>
      </c>
      <c r="V20" s="48">
        <f>BTU!L21</f>
        <v>1.2199999999993452</v>
      </c>
      <c r="W20" s="48">
        <f>BTU!R21</f>
        <v>1.8500000000003638</v>
      </c>
      <c r="X20" s="45">
        <f>ELECT.!B21</f>
        <v>0</v>
      </c>
      <c r="Y20" s="45">
        <f t="shared" si="0"/>
        <v>1461</v>
      </c>
      <c r="Z20">
        <f>'Mall, Citadel, Rotana'!C21+'Mall, Citadel, Rotana'!E21+'Mall, Citadel, Rotana'!G21+'Mall, Citadel, Rotana'!I21</f>
        <v>1206</v>
      </c>
      <c r="AA20">
        <f>'Mall, Citadel, Rotana'!K21+'Mall, Citadel, Rotana'!M21</f>
        <v>480</v>
      </c>
      <c r="AB20">
        <f>'Mall, Citadel, Rotana'!O21</f>
        <v>132</v>
      </c>
      <c r="AC20">
        <f>'Mall, Citadel, Rotana'!Q21+'Mall, Citadel, Rotana'!S21</f>
        <v>158</v>
      </c>
      <c r="AD20" s="45">
        <f t="shared" si="1"/>
        <v>56.902541200000002</v>
      </c>
      <c r="AE20" s="45">
        <f t="shared" si="2"/>
        <v>374.83145880000006</v>
      </c>
    </row>
    <row r="21" spans="1:31" x14ac:dyDescent="0.2">
      <c r="A21" s="58" t="s">
        <v>54</v>
      </c>
      <c r="B21" s="63">
        <f t="shared" si="3"/>
        <v>20</v>
      </c>
      <c r="C21" s="63">
        <v>4</v>
      </c>
      <c r="D21" s="63">
        <v>2021</v>
      </c>
      <c r="E21" s="47">
        <f>Water!C22</f>
        <v>1110</v>
      </c>
      <c r="F21" s="47">
        <f>Water!E22</f>
        <v>396.9</v>
      </c>
      <c r="G21" s="47">
        <f>Water!G22</f>
        <v>324</v>
      </c>
      <c r="H21" s="47">
        <f>Water!I22</f>
        <v>3.4830000000000001</v>
      </c>
      <c r="I21" s="47">
        <f>ELECT.!F22</f>
        <v>12078</v>
      </c>
      <c r="J21" s="47">
        <f>ELECT.!H22</f>
        <v>51003</v>
      </c>
      <c r="K21" s="47">
        <f>ELECT.!K22</f>
        <v>6036</v>
      </c>
      <c r="L21" s="47">
        <f>ELECT.!M22</f>
        <v>6717</v>
      </c>
      <c r="M21" s="47">
        <f>ELECT.!O22</f>
        <v>5180</v>
      </c>
      <c r="N21" s="47">
        <f>ELECT.!Q22</f>
        <v>12866</v>
      </c>
      <c r="O21" s="47">
        <f>ELECT.!S22</f>
        <v>9153</v>
      </c>
      <c r="P21" s="47">
        <f>ELECT.!W22*2</f>
        <v>21772</v>
      </c>
      <c r="Q21" s="47">
        <f>ELECT.!D22</f>
        <v>640</v>
      </c>
      <c r="R21" s="48">
        <f>BTU!C22</f>
        <v>10.416000000001077</v>
      </c>
      <c r="S21" s="48">
        <f>BTU!F22</f>
        <v>2.0340000000001055</v>
      </c>
      <c r="T21" s="48">
        <f>BTU!I22</f>
        <v>9</v>
      </c>
      <c r="U21" s="48">
        <f>BTU!O22</f>
        <v>1.8900000000003274</v>
      </c>
      <c r="V21" s="48">
        <f>BTU!L22</f>
        <v>1.6900000000005093</v>
      </c>
      <c r="W21" s="48">
        <f>BTU!R22</f>
        <v>3.8900000000003274</v>
      </c>
      <c r="X21" s="45">
        <f>ELECT.!B22</f>
        <v>0</v>
      </c>
      <c r="Y21" s="45">
        <f t="shared" si="0"/>
        <v>1357</v>
      </c>
      <c r="Z21">
        <f>'Mall, Citadel, Rotana'!C22+'Mall, Citadel, Rotana'!E22+'Mall, Citadel, Rotana'!G22+'Mall, Citadel, Rotana'!I22</f>
        <v>1382</v>
      </c>
      <c r="AA21">
        <f>'Mall, Citadel, Rotana'!K22+'Mall, Citadel, Rotana'!M22</f>
        <v>640</v>
      </c>
      <c r="AB21">
        <f>'Mall, Citadel, Rotana'!O22</f>
        <v>117</v>
      </c>
      <c r="AC21">
        <f>'Mall, Citadel, Rotana'!Q22+'Mall, Citadel, Rotana'!S22</f>
        <v>147</v>
      </c>
      <c r="AD21" s="45">
        <f t="shared" si="1"/>
        <v>120.26974060000001</v>
      </c>
      <c r="AE21" s="45">
        <f t="shared" si="2"/>
        <v>792.24725940000008</v>
      </c>
    </row>
    <row r="22" spans="1:31" x14ac:dyDescent="0.2">
      <c r="A22" s="58" t="s">
        <v>54</v>
      </c>
      <c r="B22" s="63">
        <f t="shared" si="3"/>
        <v>21</v>
      </c>
      <c r="C22" s="63">
        <v>4</v>
      </c>
      <c r="D22" s="63">
        <v>2021</v>
      </c>
      <c r="E22" s="47">
        <f>Water!C23</f>
        <v>830</v>
      </c>
      <c r="F22" s="47">
        <f>Water!E23</f>
        <v>340.2</v>
      </c>
      <c r="G22" s="47">
        <f>Water!G23</f>
        <v>286.2</v>
      </c>
      <c r="H22" s="47">
        <f>Water!I23</f>
        <v>3.645</v>
      </c>
      <c r="I22" s="47">
        <f>ELECT.!F23</f>
        <v>17900</v>
      </c>
      <c r="J22" s="47">
        <f>ELECT.!H23</f>
        <v>49516</v>
      </c>
      <c r="K22" s="47">
        <f>ELECT.!K23</f>
        <v>5840</v>
      </c>
      <c r="L22" s="47">
        <f>ELECT.!M23</f>
        <v>6261</v>
      </c>
      <c r="M22" s="47">
        <f>ELECT.!O23</f>
        <v>11460</v>
      </c>
      <c r="N22" s="47">
        <f>ELECT.!Q23</f>
        <v>11012</v>
      </c>
      <c r="O22" s="47">
        <f>ELECT.!S23</f>
        <v>9190</v>
      </c>
      <c r="P22" s="47">
        <f>ELECT.!W23*2</f>
        <v>22326</v>
      </c>
      <c r="Q22" s="47">
        <f>ELECT.!D23</f>
        <v>640</v>
      </c>
      <c r="R22" s="48">
        <f>BTU!C23</f>
        <v>7.7970000000022992</v>
      </c>
      <c r="S22" s="48">
        <f>BTU!F23</f>
        <v>2.1390000000001237</v>
      </c>
      <c r="T22" s="48">
        <f>BTU!I23</f>
        <v>9</v>
      </c>
      <c r="U22" s="48">
        <f>BTU!O23</f>
        <v>1.2409999999999854</v>
      </c>
      <c r="V22" s="48">
        <f>BTU!L23</f>
        <v>1.3799999999991996</v>
      </c>
      <c r="W22" s="48">
        <f>BTU!R23</f>
        <v>1.8999999999996362</v>
      </c>
      <c r="X22" s="45">
        <f>ELECT.!B23</f>
        <v>100</v>
      </c>
      <c r="Y22" s="45">
        <f t="shared" si="0"/>
        <v>1327</v>
      </c>
      <c r="Z22">
        <f>'Mall, Citadel, Rotana'!C23+'Mall, Citadel, Rotana'!E23+'Mall, Citadel, Rotana'!G23+'Mall, Citadel, Rotana'!I23</f>
        <v>1220</v>
      </c>
      <c r="AA22">
        <f>'Mall, Citadel, Rotana'!K23+'Mall, Citadel, Rotana'!M23</f>
        <v>800</v>
      </c>
      <c r="AB22">
        <f>'Mall, Citadel, Rotana'!O23</f>
        <v>117</v>
      </c>
      <c r="AC22">
        <f>'Mall, Citadel, Rotana'!Q23+'Mall, Citadel, Rotana'!S23</f>
        <v>147</v>
      </c>
      <c r="AD22" s="45">
        <f t="shared" si="1"/>
        <v>83.344389000000007</v>
      </c>
      <c r="AE22" s="45">
        <f t="shared" si="2"/>
        <v>549.01061100000004</v>
      </c>
    </row>
    <row r="23" spans="1:31" x14ac:dyDescent="0.2">
      <c r="A23" s="58" t="s">
        <v>54</v>
      </c>
      <c r="B23" s="63">
        <f t="shared" si="3"/>
        <v>22</v>
      </c>
      <c r="C23" s="63">
        <v>4</v>
      </c>
      <c r="D23" s="63">
        <v>2021</v>
      </c>
      <c r="E23" s="47">
        <f>Water!C24</f>
        <v>500</v>
      </c>
      <c r="F23" s="47">
        <f>Water!E24</f>
        <v>383.4</v>
      </c>
      <c r="G23" s="47">
        <f>Water!G24</f>
        <v>310.5</v>
      </c>
      <c r="H23" s="47">
        <f>Water!I24</f>
        <v>3.7530000000000001</v>
      </c>
      <c r="I23" s="47">
        <f>ELECT.!F24</f>
        <v>13497</v>
      </c>
      <c r="J23" s="47">
        <f>ELECT.!H24</f>
        <v>37263</v>
      </c>
      <c r="K23" s="47">
        <f>ELECT.!K24</f>
        <v>4832</v>
      </c>
      <c r="L23" s="47">
        <f>ELECT.!M24</f>
        <v>4846</v>
      </c>
      <c r="M23" s="47">
        <f>ELECT.!O24</f>
        <v>8498</v>
      </c>
      <c r="N23" s="47">
        <f>ELECT.!Q24</f>
        <v>7787</v>
      </c>
      <c r="O23" s="47">
        <f>ELECT.!S24</f>
        <v>6934</v>
      </c>
      <c r="P23" s="47">
        <f>ELECT.!W24*2</f>
        <v>16876</v>
      </c>
      <c r="Q23" s="47">
        <f>ELECT.!D24</f>
        <v>480</v>
      </c>
      <c r="R23" s="48">
        <f>BTU!C24</f>
        <v>3.771999999997206</v>
      </c>
      <c r="S23" s="48">
        <f>BTU!F24</f>
        <v>1.1149999999997817</v>
      </c>
      <c r="T23" s="48">
        <f>BTU!I24</f>
        <v>5</v>
      </c>
      <c r="U23" s="48">
        <f>BTU!O24</f>
        <v>0.67799999999988358</v>
      </c>
      <c r="V23" s="48">
        <f>BTU!L24</f>
        <v>0.62000000000080036</v>
      </c>
      <c r="W23" s="48">
        <f>BTU!R24</f>
        <v>0.57999999999992724</v>
      </c>
      <c r="X23" s="45">
        <f>ELECT.!B24</f>
        <v>90</v>
      </c>
      <c r="Y23" s="45">
        <f t="shared" si="0"/>
        <v>987</v>
      </c>
      <c r="Z23">
        <f>'Mall, Citadel, Rotana'!C24+'Mall, Citadel, Rotana'!E24+'Mall, Citadel, Rotana'!G24+'Mall, Citadel, Rotana'!I24</f>
        <v>1170</v>
      </c>
      <c r="AA23">
        <f>'Mall, Citadel, Rotana'!K24+'Mall, Citadel, Rotana'!M24</f>
        <v>320</v>
      </c>
      <c r="AB23">
        <f>'Mall, Citadel, Rotana'!O24</f>
        <v>109</v>
      </c>
      <c r="AC23">
        <f>'Mall, Citadel, Rotana'!Q24+'Mall, Citadel, Rotana'!S24</f>
        <v>149</v>
      </c>
      <c r="AD23" s="45">
        <f t="shared" si="1"/>
        <v>39.8361546</v>
      </c>
      <c r="AE23" s="45">
        <f t="shared" si="2"/>
        <v>262.41084540000003</v>
      </c>
    </row>
    <row r="24" spans="1:31" x14ac:dyDescent="0.2">
      <c r="A24" s="58" t="s">
        <v>54</v>
      </c>
      <c r="B24" s="63">
        <f t="shared" si="3"/>
        <v>23</v>
      </c>
      <c r="C24" s="63">
        <v>4</v>
      </c>
      <c r="D24" s="63">
        <v>2021</v>
      </c>
      <c r="E24" s="47">
        <f>Water!C25</f>
        <v>920</v>
      </c>
      <c r="F24" s="47">
        <f>Water!E25</f>
        <v>375.3</v>
      </c>
      <c r="G24" s="47">
        <f>Water!G25</f>
        <v>10100</v>
      </c>
      <c r="H24" s="47">
        <f>Water!I25</f>
        <v>3.726</v>
      </c>
      <c r="I24" s="47">
        <f>ELECT.!F25</f>
        <v>19312</v>
      </c>
      <c r="J24" s="47">
        <f>ELECT.!H25</f>
        <v>55301</v>
      </c>
      <c r="K24" s="47">
        <f>ELECT.!K25</f>
        <v>7164</v>
      </c>
      <c r="L24" s="47">
        <f>ELECT.!M25</f>
        <v>6995</v>
      </c>
      <c r="M24" s="47">
        <f>ELECT.!O25</f>
        <v>12112</v>
      </c>
      <c r="N24" s="47">
        <f>ELECT.!Q25</f>
        <v>10990</v>
      </c>
      <c r="O24" s="47">
        <f>ELECT.!S25</f>
        <v>10508</v>
      </c>
      <c r="P24" s="47">
        <f>ELECT.!W25*2</f>
        <v>25306</v>
      </c>
      <c r="Q24" s="47">
        <f>ELECT.!D25</f>
        <v>320</v>
      </c>
      <c r="R24" s="48">
        <f>BTU!C25</f>
        <v>5.9089999999996508</v>
      </c>
      <c r="S24" s="48">
        <f>BTU!F25</f>
        <v>2.0599999999999454</v>
      </c>
      <c r="T24" s="48">
        <f>BTU!I25</f>
        <v>8</v>
      </c>
      <c r="U24" s="48">
        <f>BTU!O25</f>
        <v>1.2319999999999709</v>
      </c>
      <c r="V24" s="48">
        <f>BTU!L25</f>
        <v>1.0900000000001455</v>
      </c>
      <c r="W24" s="48">
        <f>BTU!R25</f>
        <v>1.1400000000003274</v>
      </c>
      <c r="X24" s="45">
        <f>ELECT.!B25</f>
        <v>0</v>
      </c>
      <c r="Y24" s="45">
        <f t="shared" si="0"/>
        <v>1538</v>
      </c>
      <c r="Z24">
        <f>'Mall, Citadel, Rotana'!C25+'Mall, Citadel, Rotana'!E25+'Mall, Citadel, Rotana'!G25+'Mall, Citadel, Rotana'!I25</f>
        <v>1057</v>
      </c>
      <c r="AA24">
        <f>'Mall, Citadel, Rotana'!K25+'Mall, Citadel, Rotana'!M25</f>
        <v>480</v>
      </c>
      <c r="AB24">
        <f>'Mall, Citadel, Rotana'!O25</f>
        <v>11</v>
      </c>
      <c r="AC24">
        <f>'Mall, Citadel, Rotana'!Q25+'Mall, Citadel, Rotana'!S25</f>
        <v>87</v>
      </c>
      <c r="AD24" s="45">
        <f t="shared" si="1"/>
        <v>95.1957132</v>
      </c>
      <c r="AE24" s="45">
        <f t="shared" si="2"/>
        <v>627.0782868</v>
      </c>
    </row>
    <row r="25" spans="1:31" x14ac:dyDescent="0.2">
      <c r="A25" s="58" t="s">
        <v>54</v>
      </c>
      <c r="B25" s="63">
        <f t="shared" si="3"/>
        <v>24</v>
      </c>
      <c r="C25" s="63">
        <v>4</v>
      </c>
      <c r="D25" s="63">
        <v>2021</v>
      </c>
      <c r="E25" s="47">
        <f>Water!C26</f>
        <v>690</v>
      </c>
      <c r="F25" s="47">
        <f>Water!E26</f>
        <v>383.4</v>
      </c>
      <c r="G25" s="47">
        <f>Water!G26</f>
        <v>243</v>
      </c>
      <c r="H25" s="47">
        <f>Water!I26</f>
        <v>3.4289999999999998</v>
      </c>
      <c r="I25" s="47">
        <f>ELECT.!F26</f>
        <v>16000</v>
      </c>
      <c r="J25" s="47">
        <f>ELECT.!H26</f>
        <v>46319</v>
      </c>
      <c r="K25" s="47">
        <f>ELECT.!K26</f>
        <v>5496</v>
      </c>
      <c r="L25" s="47">
        <f>ELECT.!M26</f>
        <v>5630</v>
      </c>
      <c r="M25" s="47">
        <f>ELECT.!O26</f>
        <v>10134</v>
      </c>
      <c r="N25" s="47">
        <f>ELECT.!Q26</f>
        <v>9163</v>
      </c>
      <c r="O25" s="47">
        <f>ELECT.!S26</f>
        <v>8581</v>
      </c>
      <c r="P25" s="47">
        <f>ELECT.!W26*2</f>
        <v>21890</v>
      </c>
      <c r="Q25" s="47">
        <f>ELECT.!D26</f>
        <v>480</v>
      </c>
      <c r="R25" s="48">
        <f>BTU!C26</f>
        <v>5.2410000000018044</v>
      </c>
      <c r="S25" s="48">
        <f>BTU!F26</f>
        <v>1.3880000000003747</v>
      </c>
      <c r="T25" s="48">
        <f>BTU!I26</f>
        <v>7</v>
      </c>
      <c r="U25" s="48">
        <f>BTU!O26</f>
        <v>0.98599999999987631</v>
      </c>
      <c r="V25" s="48">
        <f>BTU!L26</f>
        <v>0</v>
      </c>
      <c r="W25" s="48">
        <f>BTU!R26</f>
        <v>0.9499999999998181</v>
      </c>
      <c r="X25" s="45">
        <f>ELECT.!B26</f>
        <v>65</v>
      </c>
      <c r="Y25" s="45">
        <f t="shared" si="0"/>
        <v>1425</v>
      </c>
      <c r="Z25">
        <f>'Mall, Citadel, Rotana'!C26+'Mall, Citadel, Rotana'!E26+'Mall, Citadel, Rotana'!G26+'Mall, Citadel, Rotana'!I26</f>
        <v>1046</v>
      </c>
      <c r="AA25">
        <f>'Mall, Citadel, Rotana'!K26+'Mall, Citadel, Rotana'!M26</f>
        <v>480</v>
      </c>
      <c r="AB25">
        <f>'Mall, Citadel, Rotana'!O26</f>
        <v>3</v>
      </c>
      <c r="AC25">
        <f>'Mall, Citadel, Rotana'!Q26+'Mall, Citadel, Rotana'!S26</f>
        <v>84</v>
      </c>
      <c r="AD25" s="45">
        <f t="shared" si="1"/>
        <v>64.920857800000007</v>
      </c>
      <c r="AE25" s="45">
        <f t="shared" si="2"/>
        <v>427.6501422</v>
      </c>
    </row>
    <row r="26" spans="1:31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Water!C27</f>
        <v>850</v>
      </c>
      <c r="F26" s="47">
        <f>Water!E27</f>
        <v>378</v>
      </c>
      <c r="G26" s="47">
        <f>Water!G27</f>
        <v>218.7</v>
      </c>
      <c r="H26" s="47">
        <f>Water!I27</f>
        <v>3.2669999999999999</v>
      </c>
      <c r="I26" s="47">
        <f>ELECT.!F27</f>
        <v>11698</v>
      </c>
      <c r="J26" s="47">
        <f>ELECT.!H27</f>
        <v>35511</v>
      </c>
      <c r="K26" s="47">
        <f>ELECT.!K27</f>
        <v>4342</v>
      </c>
      <c r="L26" s="47">
        <f>ELECT.!M27</f>
        <v>4005</v>
      </c>
      <c r="M26" s="47">
        <f>ELECT.!O27</f>
        <v>7578</v>
      </c>
      <c r="N26" s="47">
        <f>ELECT.!Q27</f>
        <v>7276</v>
      </c>
      <c r="O26" s="47">
        <f>ELECT.!S27</f>
        <v>6789</v>
      </c>
      <c r="P26" s="47">
        <f>ELECT.!W27*2</f>
        <v>18414</v>
      </c>
      <c r="Q26" s="47">
        <f>ELECT.!D27</f>
        <v>480</v>
      </c>
      <c r="R26" s="48">
        <f>BTU!C27</f>
        <v>7.6159999999981665</v>
      </c>
      <c r="S26" s="48">
        <f>BTU!F27</f>
        <v>1.3969999999999345</v>
      </c>
      <c r="T26" s="48">
        <f>BTU!I27</f>
        <v>10</v>
      </c>
      <c r="U26" s="48">
        <f>BTU!O27</f>
        <v>1.7319999999999709</v>
      </c>
      <c r="V26" s="48" t="str">
        <f>BTU!L27</f>
        <v>0</v>
      </c>
      <c r="W26" s="48">
        <f>BTU!R27</f>
        <v>0.27999999999974534</v>
      </c>
      <c r="X26" s="45">
        <f>ELECT.!B27</f>
        <v>18</v>
      </c>
      <c r="Y26" s="45">
        <f t="shared" si="0"/>
        <v>-1195</v>
      </c>
      <c r="Z26">
        <f>'Mall, Citadel, Rotana'!C27+'Mall, Citadel, Rotana'!E27+'Mall, Citadel, Rotana'!G27+'Mall, Citadel, Rotana'!I27</f>
        <v>1044</v>
      </c>
      <c r="AA26">
        <f>'Mall, Citadel, Rotana'!K27+'Mall, Citadel, Rotana'!M27</f>
        <v>480</v>
      </c>
      <c r="AB26">
        <f>'Mall, Citadel, Rotana'!O27</f>
        <v>9</v>
      </c>
      <c r="AC26">
        <f>'Mall, Citadel, Rotana'!Q27+'Mall, Citadel, Rotana'!S27</f>
        <v>77</v>
      </c>
      <c r="AD26" s="45">
        <f t="shared" si="1"/>
        <v>86.03020939999999</v>
      </c>
      <c r="AE26" s="45">
        <f t="shared" si="2"/>
        <v>566.70279059999996</v>
      </c>
    </row>
    <row r="27" spans="1:31" x14ac:dyDescent="0.2">
      <c r="A27" s="58" t="s">
        <v>54</v>
      </c>
      <c r="B27" s="63">
        <f t="shared" si="3"/>
        <v>26</v>
      </c>
      <c r="C27" s="63">
        <v>4</v>
      </c>
      <c r="D27" s="63">
        <v>2021</v>
      </c>
      <c r="E27" s="47">
        <f>Water!C28</f>
        <v>510</v>
      </c>
      <c r="F27" s="47">
        <f>Water!E28</f>
        <v>326.7</v>
      </c>
      <c r="G27" s="47">
        <f>Water!G28</f>
        <v>253.79999999999998</v>
      </c>
      <c r="H27" s="47">
        <f>Water!I28</f>
        <v>4.2119999999999997</v>
      </c>
      <c r="I27" s="47">
        <f>ELECT.!F28</f>
        <v>11977</v>
      </c>
      <c r="J27" s="47">
        <f>ELECT.!H28</f>
        <v>51475</v>
      </c>
      <c r="K27" s="47">
        <f>ELECT.!K28</f>
        <v>6385</v>
      </c>
      <c r="L27" s="47">
        <f>ELECT.!M28</f>
        <v>6298</v>
      </c>
      <c r="M27" s="47">
        <f>ELECT.!O28</f>
        <v>5476</v>
      </c>
      <c r="N27" s="47">
        <f>ELECT.!Q28</f>
        <v>11379</v>
      </c>
      <c r="O27" s="47">
        <f>ELECT.!S28</f>
        <v>9471</v>
      </c>
      <c r="P27" s="47">
        <f>ELECT.!W28*2</f>
        <v>20932</v>
      </c>
      <c r="Q27" s="47">
        <f>ELECT.!D28</f>
        <v>320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 t="str">
        <f>BTU!R28</f>
        <v>0</v>
      </c>
      <c r="X27" s="45">
        <f>ELECT.!B28</f>
        <v>25</v>
      </c>
      <c r="Y27" s="45">
        <f t="shared" si="0"/>
        <v>3511</v>
      </c>
      <c r="Z27">
        <f>'Mall, Citadel, Rotana'!C28+'Mall, Citadel, Rotana'!E28+'Mall, Citadel, Rotana'!G28+'Mall, Citadel, Rotana'!I28</f>
        <v>1537</v>
      </c>
      <c r="AA27">
        <f>'Mall, Citadel, Rotana'!K28+'Mall, Citadel, Rotana'!M28</f>
        <v>640</v>
      </c>
      <c r="AB27">
        <f>'Mall, Citadel, Rotana'!O28</f>
        <v>0</v>
      </c>
      <c r="AC27">
        <f>'Mall, Citadel, Rotana'!Q28+'Mall, Citadel, Rotana'!S28</f>
        <v>80</v>
      </c>
      <c r="AD27" s="45">
        <f t="shared" si="1"/>
        <v>41.093658400000002</v>
      </c>
      <c r="AE27" s="45">
        <f t="shared" si="2"/>
        <v>270.69434160000003</v>
      </c>
    </row>
    <row r="28" spans="1:31" x14ac:dyDescent="0.2">
      <c r="A28" s="58" t="s">
        <v>54</v>
      </c>
      <c r="B28" s="63">
        <f t="shared" si="3"/>
        <v>27</v>
      </c>
      <c r="C28" s="63">
        <v>4</v>
      </c>
      <c r="D28" s="63">
        <v>2021</v>
      </c>
      <c r="E28" s="47">
        <f>Water!C29</f>
        <v>1510</v>
      </c>
      <c r="F28" s="47">
        <f>Water!E29</f>
        <v>348.3</v>
      </c>
      <c r="G28" s="47">
        <f>Water!G29</f>
        <v>224.1</v>
      </c>
      <c r="H28" s="47">
        <f>Water!I29</f>
        <v>8.7479999999999993</v>
      </c>
      <c r="I28" s="47">
        <f>ELECT.!F29</f>
        <v>6626</v>
      </c>
      <c r="J28" s="47">
        <f>ELECT.!H29</f>
        <v>48447</v>
      </c>
      <c r="K28" s="47">
        <f>ELECT.!K29</f>
        <v>5952</v>
      </c>
      <c r="L28" s="47">
        <f>ELECT.!M29</f>
        <v>4022</v>
      </c>
      <c r="M28" s="47">
        <f>ELECT.!O29</f>
        <v>2478</v>
      </c>
      <c r="N28" s="47">
        <f>ELECT.!Q29</f>
        <v>10737</v>
      </c>
      <c r="O28" s="47">
        <f>ELECT.!S29</f>
        <v>9063</v>
      </c>
      <c r="P28" s="47">
        <f>ELECT.!W29*2</f>
        <v>21592</v>
      </c>
      <c r="Q28" s="47">
        <f>ELECT.!D29</f>
        <v>480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20</v>
      </c>
      <c r="Y28" s="45">
        <f t="shared" si="0"/>
        <v>1229</v>
      </c>
      <c r="Z28">
        <f>'Mall, Citadel, Rotana'!C29+'Mall, Citadel, Rotana'!E29+'Mall, Citadel, Rotana'!G29+'Mall, Citadel, Rotana'!I29</f>
        <v>1186</v>
      </c>
      <c r="AA28">
        <f>'Mall, Citadel, Rotana'!K29+'Mall, Citadel, Rotana'!M29</f>
        <v>480</v>
      </c>
      <c r="AB28">
        <f>'Mall, Citadel, Rotana'!O29</f>
        <v>0</v>
      </c>
      <c r="AC28">
        <f>'Mall, Citadel, Rotana'!Q29+'Mall, Citadel, Rotana'!S29</f>
        <v>84</v>
      </c>
      <c r="AD28" s="45">
        <f t="shared" si="1"/>
        <v>172.2958136</v>
      </c>
      <c r="AE28" s="45">
        <f t="shared" si="2"/>
        <v>1134.9561864</v>
      </c>
    </row>
    <row r="29" spans="1:31" x14ac:dyDescent="0.2">
      <c r="A29" s="58" t="s">
        <v>54</v>
      </c>
      <c r="B29" s="63">
        <f t="shared" si="3"/>
        <v>28</v>
      </c>
      <c r="C29" s="63">
        <v>4</v>
      </c>
      <c r="D29" s="63">
        <v>2021</v>
      </c>
      <c r="E29" s="47">
        <f>Water!C30</f>
        <v>540</v>
      </c>
      <c r="F29" s="47">
        <f>Water!E30</f>
        <v>348.3</v>
      </c>
      <c r="G29" s="47">
        <f>Water!G30</f>
        <v>221.4</v>
      </c>
      <c r="H29" s="47">
        <f>Water!I30</f>
        <v>3.915</v>
      </c>
      <c r="I29" s="47">
        <f>ELECT.!F30</f>
        <v>7719</v>
      </c>
      <c r="J29" s="47">
        <f>ELECT.!H30</f>
        <v>45763</v>
      </c>
      <c r="K29" s="47">
        <f>ELECT.!K30</f>
        <v>5564</v>
      </c>
      <c r="L29" s="47">
        <f>ELECT.!M30</f>
        <v>4893</v>
      </c>
      <c r="M29" s="47">
        <f>ELECT.!O30</f>
        <v>2684</v>
      </c>
      <c r="N29" s="47">
        <f>ELECT.!Q30</f>
        <v>10144</v>
      </c>
      <c r="O29" s="47">
        <f>ELECT.!S30</f>
        <v>8316</v>
      </c>
      <c r="P29" s="47">
        <f>ELECT.!W30*2</f>
        <v>20650</v>
      </c>
      <c r="Q29" s="47">
        <f>ELECT.!D30</f>
        <v>320</v>
      </c>
      <c r="R29" s="48">
        <f>BTU!C30</f>
        <v>13.354000000002998</v>
      </c>
      <c r="S29" s="48">
        <f>BTU!F30</f>
        <v>4.1679999999996653</v>
      </c>
      <c r="T29" s="48">
        <f>BTU!I30</f>
        <v>17</v>
      </c>
      <c r="U29" s="48">
        <f>BTU!O30</f>
        <v>3.4529999999999745</v>
      </c>
      <c r="V29" s="48">
        <f>BTU!L30</f>
        <v>4.2299999999995634</v>
      </c>
      <c r="W29" s="48">
        <f>BTU!R30</f>
        <v>18.532999999999447</v>
      </c>
      <c r="X29" s="45">
        <f>ELECT.!B30</f>
        <v>20</v>
      </c>
      <c r="Y29" s="45">
        <f t="shared" si="0"/>
        <v>1231</v>
      </c>
      <c r="Z29">
        <f>'Mall, Citadel, Rotana'!C30+'Mall, Citadel, Rotana'!E30+'Mall, Citadel, Rotana'!G30+'Mall, Citadel, Rotana'!I30</f>
        <v>1242</v>
      </c>
      <c r="AA29">
        <f>'Mall, Citadel, Rotana'!K30+'Mall, Citadel, Rotana'!M30</f>
        <v>640</v>
      </c>
      <c r="AB29">
        <f>'Mall, Citadel, Rotana'!O30</f>
        <v>4</v>
      </c>
      <c r="AC29">
        <f>'Mall, Citadel, Rotana'!Q30+'Mall, Citadel, Rotana'!S30</f>
        <v>106</v>
      </c>
      <c r="AD29" s="45">
        <f t="shared" si="1"/>
        <v>45.086803000000003</v>
      </c>
      <c r="AE29" s="45">
        <f t="shared" si="2"/>
        <v>296.998197</v>
      </c>
    </row>
    <row r="30" spans="1:31" x14ac:dyDescent="0.2">
      <c r="A30" s="58" t="s">
        <v>54</v>
      </c>
      <c r="B30" s="63">
        <f t="shared" si="3"/>
        <v>29</v>
      </c>
      <c r="C30" s="63">
        <v>4</v>
      </c>
      <c r="D30" s="63">
        <v>2021</v>
      </c>
      <c r="E30" s="47">
        <f>Water!C31</f>
        <v>470</v>
      </c>
      <c r="F30" s="47">
        <f>Water!E31</f>
        <v>299.7</v>
      </c>
      <c r="G30" s="47">
        <f>Water!E31</f>
        <v>299.7</v>
      </c>
      <c r="H30" s="47">
        <f>Water!I31</f>
        <v>3.996</v>
      </c>
      <c r="I30" s="47">
        <f>Water!G31</f>
        <v>218.7</v>
      </c>
      <c r="J30" s="47">
        <f>ELECT.!H31</f>
        <v>38540</v>
      </c>
      <c r="K30" s="47">
        <f>Water!I31</f>
        <v>3.996</v>
      </c>
      <c r="L30" s="47">
        <f>Water!J31</f>
        <v>992.39600000000007</v>
      </c>
      <c r="M30" s="47">
        <f>Water!K31</f>
        <v>5815.4405600000009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5.5409999999974389</v>
      </c>
      <c r="S30" s="48">
        <f>BTU!F31</f>
        <v>1.6510000000002947</v>
      </c>
      <c r="T30" s="48">
        <f>BTU!I31</f>
        <v>8</v>
      </c>
      <c r="U30" s="48">
        <f>BTU!O31</f>
        <v>1.4120000000002619</v>
      </c>
      <c r="V30" s="48">
        <f>BTU!L31</f>
        <v>1.6200000000008004</v>
      </c>
      <c r="W30" s="48">
        <f>BTU!R31</f>
        <v>1.6000000000003638</v>
      </c>
      <c r="X30" s="45">
        <f>ELECT.!B31</f>
        <v>68</v>
      </c>
      <c r="Y30" s="45">
        <f t="shared" si="0"/>
        <v>31946.867439999995</v>
      </c>
      <c r="Z30">
        <f>'Mall, Citadel, Rotana'!C31+'Mall, Citadel, Rotana'!E31+'Mall, Citadel, Rotana'!G31+'Mall, Citadel, Rotana'!I31</f>
        <v>1046</v>
      </c>
      <c r="AA30">
        <f>'Mall, Citadel, Rotana'!K31+'Mall, Citadel, Rotana'!M31</f>
        <v>480</v>
      </c>
      <c r="AB30">
        <f>'Mall, Citadel, Rotana'!O31</f>
        <v>2</v>
      </c>
      <c r="AC30">
        <f>'Mall, Citadel, Rotana'!Q31+'Mall, Citadel, Rotana'!S31</f>
        <v>259</v>
      </c>
      <c r="AD30" s="45">
        <f t="shared" si="1"/>
        <v>35.850127200000003</v>
      </c>
      <c r="AE30" s="45">
        <f t="shared" si="2"/>
        <v>236.15387280000004</v>
      </c>
    </row>
    <row r="31" spans="1:31" x14ac:dyDescent="0.2">
      <c r="A31" s="58" t="s">
        <v>54</v>
      </c>
      <c r="B31" s="63">
        <f t="shared" si="3"/>
        <v>30</v>
      </c>
      <c r="C31" s="63">
        <v>4</v>
      </c>
      <c r="D31" s="63">
        <v>2021</v>
      </c>
      <c r="E31" s="47">
        <f>Water!C32</f>
        <v>540</v>
      </c>
      <c r="F31" s="47">
        <f>Water!E32</f>
        <v>342.9</v>
      </c>
      <c r="G31" s="47">
        <f>Water!E32</f>
        <v>342.9</v>
      </c>
      <c r="H31" s="47">
        <f>Water!I32</f>
        <v>3.8340000000000001</v>
      </c>
      <c r="I31" s="47">
        <f>Water!G32</f>
        <v>270</v>
      </c>
      <c r="J31" s="47">
        <f>ELECT.!H32</f>
        <v>54578</v>
      </c>
      <c r="K31" s="47">
        <f>Water!I32</f>
        <v>3.8340000000000001</v>
      </c>
      <c r="L31" s="47">
        <f>Water!J32</f>
        <v>1156.7340000000002</v>
      </c>
      <c r="M31" s="47">
        <f>Water!K32</f>
        <v>6778.4612400000015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13.292000000001281</v>
      </c>
      <c r="S31" s="48">
        <f>BTU!F32</f>
        <v>2.0819999999998799</v>
      </c>
      <c r="T31" s="48">
        <f>BTU!I32</f>
        <v>15</v>
      </c>
      <c r="U31" s="48">
        <f>BTU!O32</f>
        <v>2.6149999999997817</v>
      </c>
      <c r="V31" s="48">
        <f>BTU!L32</f>
        <v>2.6599999999998545</v>
      </c>
      <c r="W31" s="48">
        <f>BTU!R32</f>
        <v>1.3800000000001091</v>
      </c>
      <c r="X31" s="45">
        <f>ELECT.!B32</f>
        <v>62</v>
      </c>
      <c r="Y31" s="45">
        <f t="shared" si="0"/>
        <v>46908.970759999997</v>
      </c>
      <c r="Z31">
        <f>'Mall, Citadel, Rotana'!C32+'Mall, Citadel, Rotana'!E32+'Mall, Citadel, Rotana'!G32+'Mall, Citadel, Rotana'!I32</f>
        <v>1038</v>
      </c>
      <c r="AA31">
        <f>'Mall, Citadel, Rotana'!K32+'Mall, Citadel, Rotana'!M32</f>
        <v>320</v>
      </c>
      <c r="AB31">
        <f>'Mall, Citadel, Rotana'!O32</f>
        <v>3</v>
      </c>
      <c r="AC31">
        <f>'Mall, Citadel, Rotana'!Q32+'Mall, Citadel, Rotana'!S32</f>
        <v>93</v>
      </c>
      <c r="AD31" s="45">
        <f t="shared" si="1"/>
        <v>45.097478800000005</v>
      </c>
      <c r="AE31" s="45">
        <f t="shared" si="2"/>
        <v>297.06852120000008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1" workbookViewId="0">
      <selection activeCell="R33" sqref="R3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45039</v>
      </c>
      <c r="C2" s="16">
        <v>0</v>
      </c>
      <c r="D2" s="1">
        <v>39393</v>
      </c>
      <c r="E2" s="16">
        <v>0</v>
      </c>
      <c r="F2" s="1">
        <v>20221</v>
      </c>
      <c r="G2" s="16">
        <v>0</v>
      </c>
      <c r="H2" s="1">
        <v>239849</v>
      </c>
      <c r="I2" s="16">
        <v>0</v>
      </c>
      <c r="J2" s="1">
        <v>303517</v>
      </c>
      <c r="K2" s="16">
        <v>0</v>
      </c>
      <c r="L2" s="1">
        <v>24778</v>
      </c>
      <c r="M2" s="16">
        <v>0</v>
      </c>
      <c r="N2" s="42">
        <v>212904</v>
      </c>
      <c r="O2" s="16">
        <v>0</v>
      </c>
      <c r="P2" s="1">
        <v>98110</v>
      </c>
      <c r="Q2" s="16">
        <v>0</v>
      </c>
      <c r="R2" s="1">
        <v>55047</v>
      </c>
      <c r="S2" s="16">
        <v>0</v>
      </c>
      <c r="T2" s="1">
        <v>3580</v>
      </c>
      <c r="U2" s="16">
        <v>0</v>
      </c>
    </row>
    <row r="3" spans="1:24" ht="13.5" thickBot="1" x14ac:dyDescent="0.25">
      <c r="A3" s="10">
        <v>44286</v>
      </c>
      <c r="B3" s="42">
        <v>45047</v>
      </c>
      <c r="C3" s="16">
        <v>1280</v>
      </c>
      <c r="D3" s="42">
        <v>39395</v>
      </c>
      <c r="E3" s="16">
        <v>320</v>
      </c>
      <c r="F3" s="42">
        <v>20224</v>
      </c>
      <c r="G3" s="16">
        <v>60</v>
      </c>
      <c r="H3" s="42">
        <v>239901</v>
      </c>
      <c r="I3" s="16">
        <v>52</v>
      </c>
      <c r="J3" s="42">
        <v>303517</v>
      </c>
      <c r="K3" s="16">
        <v>0</v>
      </c>
      <c r="L3" s="42">
        <v>24783</v>
      </c>
      <c r="M3" s="16">
        <v>800</v>
      </c>
      <c r="N3" s="42">
        <v>213067</v>
      </c>
      <c r="O3" s="16">
        <v>163</v>
      </c>
      <c r="P3" s="42">
        <v>98351</v>
      </c>
      <c r="Q3" s="16">
        <v>61</v>
      </c>
      <c r="R3" s="42">
        <v>55047</v>
      </c>
      <c r="S3" s="16">
        <v>0</v>
      </c>
      <c r="T3" s="42">
        <v>3583</v>
      </c>
      <c r="U3" s="16">
        <v>160</v>
      </c>
    </row>
    <row r="4" spans="1:24" ht="13.5" thickBot="1" x14ac:dyDescent="0.25">
      <c r="A4" s="10">
        <v>44287</v>
      </c>
      <c r="B4" s="42">
        <v>45053</v>
      </c>
      <c r="C4" s="16">
        <f t="shared" ref="C4:C33" si="0">(B4-B3)*800/5</f>
        <v>960</v>
      </c>
      <c r="D4" s="42">
        <v>39398</v>
      </c>
      <c r="E4" s="16">
        <f t="shared" ref="E4:E33" si="1">(D4-D3)*800/5</f>
        <v>480</v>
      </c>
      <c r="F4" s="42">
        <v>20228</v>
      </c>
      <c r="G4" s="16">
        <f t="shared" ref="G4:G33" si="2">(F4-F3)*100/5</f>
        <v>80</v>
      </c>
      <c r="H4" s="42">
        <v>239920</v>
      </c>
      <c r="I4" s="16">
        <f t="shared" ref="I4:I33" si="3">(H4-H3)</f>
        <v>19</v>
      </c>
      <c r="J4" s="42">
        <f t="shared" ref="J4:T32" si="4">J3</f>
        <v>303517</v>
      </c>
      <c r="K4" s="16">
        <f t="shared" ref="K4:K33" si="5">(J4-J3)*800/5</f>
        <v>0</v>
      </c>
      <c r="L4" s="42">
        <v>24786</v>
      </c>
      <c r="M4" s="16">
        <f t="shared" ref="M4:M33" si="6">(L4-L3)*800/5</f>
        <v>480</v>
      </c>
      <c r="N4" s="42">
        <v>213274</v>
      </c>
      <c r="O4" s="16">
        <f t="shared" ref="O4:O33" si="7">N4-N3</f>
        <v>207</v>
      </c>
      <c r="P4" s="42">
        <v>98371</v>
      </c>
      <c r="Q4" s="16">
        <f t="shared" ref="Q4:Q33" si="8">P4-P3</f>
        <v>20</v>
      </c>
      <c r="R4" s="1">
        <f t="shared" ref="R4:R31" si="9">R3</f>
        <v>55047</v>
      </c>
      <c r="S4" s="16">
        <f t="shared" ref="S4:S33" si="10">R4-R3</f>
        <v>0</v>
      </c>
      <c r="T4" s="42">
        <v>3585</v>
      </c>
      <c r="U4" s="16">
        <f t="shared" ref="U4:U33" si="11">(T4-T3)*800/5</f>
        <v>320</v>
      </c>
    </row>
    <row r="5" spans="1:24" ht="13.5" thickBot="1" x14ac:dyDescent="0.25">
      <c r="A5" s="10">
        <v>44288</v>
      </c>
      <c r="B5" s="42">
        <v>45057</v>
      </c>
      <c r="C5" s="16">
        <f t="shared" si="0"/>
        <v>640</v>
      </c>
      <c r="D5" s="42">
        <v>39401</v>
      </c>
      <c r="E5" s="16">
        <f t="shared" si="1"/>
        <v>480</v>
      </c>
      <c r="F5" s="42">
        <v>20231</v>
      </c>
      <c r="G5" s="16">
        <f t="shared" si="2"/>
        <v>60</v>
      </c>
      <c r="H5" s="42">
        <v>239941</v>
      </c>
      <c r="I5" s="16">
        <f t="shared" si="3"/>
        <v>21</v>
      </c>
      <c r="J5" s="42">
        <f t="shared" si="4"/>
        <v>303517</v>
      </c>
      <c r="K5" s="16">
        <f t="shared" si="5"/>
        <v>0</v>
      </c>
      <c r="L5" s="42">
        <v>24788</v>
      </c>
      <c r="M5" s="16">
        <f t="shared" si="6"/>
        <v>320</v>
      </c>
      <c r="N5" s="42">
        <v>213282</v>
      </c>
      <c r="O5" s="16">
        <f t="shared" si="7"/>
        <v>8</v>
      </c>
      <c r="P5" s="42">
        <v>98420</v>
      </c>
      <c r="Q5" s="16">
        <f t="shared" si="8"/>
        <v>49</v>
      </c>
      <c r="R5" s="1">
        <f t="shared" si="9"/>
        <v>55047</v>
      </c>
      <c r="S5" s="16">
        <f t="shared" si="10"/>
        <v>0</v>
      </c>
      <c r="T5" s="42">
        <v>3586</v>
      </c>
      <c r="U5" s="16">
        <f t="shared" si="11"/>
        <v>160</v>
      </c>
    </row>
    <row r="6" spans="1:24" ht="13.5" thickBot="1" x14ac:dyDescent="0.25">
      <c r="A6" s="10">
        <v>44289</v>
      </c>
      <c r="B6" s="42">
        <v>45062</v>
      </c>
      <c r="C6" s="16">
        <f t="shared" si="0"/>
        <v>800</v>
      </c>
      <c r="D6" s="42">
        <v>39404</v>
      </c>
      <c r="E6" s="16">
        <f t="shared" si="1"/>
        <v>480</v>
      </c>
      <c r="F6" s="42">
        <v>20234</v>
      </c>
      <c r="G6" s="16">
        <f t="shared" si="2"/>
        <v>60</v>
      </c>
      <c r="H6" s="42">
        <v>239960</v>
      </c>
      <c r="I6" s="16">
        <f t="shared" si="3"/>
        <v>19</v>
      </c>
      <c r="J6" s="42">
        <f t="shared" si="4"/>
        <v>303517</v>
      </c>
      <c r="K6" s="16">
        <f t="shared" si="5"/>
        <v>0</v>
      </c>
      <c r="L6" s="42">
        <v>24791</v>
      </c>
      <c r="M6" s="16">
        <f t="shared" si="6"/>
        <v>480</v>
      </c>
      <c r="N6" s="42">
        <v>213338</v>
      </c>
      <c r="O6" s="16">
        <f t="shared" si="7"/>
        <v>56</v>
      </c>
      <c r="P6" s="42">
        <v>98500</v>
      </c>
      <c r="Q6" s="16">
        <f t="shared" si="8"/>
        <v>80</v>
      </c>
      <c r="R6" s="1">
        <f t="shared" si="9"/>
        <v>55047</v>
      </c>
      <c r="S6" s="16">
        <f>R30-R5</f>
        <v>0</v>
      </c>
      <c r="T6" s="42">
        <v>3587</v>
      </c>
      <c r="U6" s="16">
        <f t="shared" si="11"/>
        <v>160</v>
      </c>
    </row>
    <row r="7" spans="1:24" ht="13.5" thickBot="1" x14ac:dyDescent="0.25">
      <c r="A7" s="10">
        <v>44290</v>
      </c>
      <c r="B7" s="42">
        <v>45067</v>
      </c>
      <c r="C7" s="16">
        <f t="shared" si="0"/>
        <v>800</v>
      </c>
      <c r="D7" s="42">
        <v>39407</v>
      </c>
      <c r="E7" s="16">
        <f t="shared" si="1"/>
        <v>480</v>
      </c>
      <c r="F7" s="42">
        <v>20237</v>
      </c>
      <c r="G7" s="16">
        <f t="shared" si="2"/>
        <v>60</v>
      </c>
      <c r="H7" s="42">
        <v>239989</v>
      </c>
      <c r="I7" s="16">
        <f t="shared" si="3"/>
        <v>29</v>
      </c>
      <c r="J7" s="42">
        <f t="shared" si="4"/>
        <v>303517</v>
      </c>
      <c r="K7" s="16">
        <f t="shared" si="5"/>
        <v>0</v>
      </c>
      <c r="L7" s="42">
        <v>24795</v>
      </c>
      <c r="M7" s="16">
        <f t="shared" si="6"/>
        <v>640</v>
      </c>
      <c r="N7" s="42">
        <v>213452</v>
      </c>
      <c r="O7" s="16">
        <f t="shared" si="7"/>
        <v>114</v>
      </c>
      <c r="P7" s="42">
        <v>98663</v>
      </c>
      <c r="Q7" s="16">
        <f t="shared" si="8"/>
        <v>163</v>
      </c>
      <c r="R7" s="1">
        <f t="shared" si="9"/>
        <v>55047</v>
      </c>
      <c r="S7" s="16">
        <f>R7-R30</f>
        <v>0</v>
      </c>
      <c r="T7" s="42">
        <v>3588</v>
      </c>
      <c r="U7" s="16">
        <f t="shared" si="11"/>
        <v>160</v>
      </c>
    </row>
    <row r="8" spans="1:24" ht="13.5" thickBot="1" x14ac:dyDescent="0.25">
      <c r="A8" s="10">
        <v>44291</v>
      </c>
      <c r="B8" s="42">
        <v>45073</v>
      </c>
      <c r="C8" s="16">
        <f t="shared" si="0"/>
        <v>960</v>
      </c>
      <c r="D8" s="42">
        <v>39410</v>
      </c>
      <c r="E8" s="16">
        <f t="shared" si="1"/>
        <v>480</v>
      </c>
      <c r="F8" s="42">
        <v>20241</v>
      </c>
      <c r="G8" s="16">
        <f t="shared" si="2"/>
        <v>80</v>
      </c>
      <c r="H8" s="42">
        <v>240011</v>
      </c>
      <c r="I8" s="16">
        <f t="shared" si="3"/>
        <v>22</v>
      </c>
      <c r="J8" s="42">
        <v>303517</v>
      </c>
      <c r="K8" s="16">
        <f t="shared" si="5"/>
        <v>0</v>
      </c>
      <c r="L8" s="42">
        <v>24800</v>
      </c>
      <c r="M8" s="16">
        <f t="shared" si="6"/>
        <v>800</v>
      </c>
      <c r="N8" s="42">
        <v>213592</v>
      </c>
      <c r="O8" s="16">
        <f t="shared" si="7"/>
        <v>140</v>
      </c>
      <c r="P8" s="42">
        <v>98791</v>
      </c>
      <c r="Q8" s="16">
        <f t="shared" si="8"/>
        <v>128</v>
      </c>
      <c r="R8" s="1">
        <f t="shared" si="9"/>
        <v>55047</v>
      </c>
      <c r="S8" s="16">
        <f t="shared" ref="S8" si="12">R8-R7</f>
        <v>0</v>
      </c>
      <c r="T8" s="42">
        <v>3590</v>
      </c>
      <c r="U8" s="16">
        <f t="shared" si="11"/>
        <v>320</v>
      </c>
    </row>
    <row r="9" spans="1:24" ht="13.5" thickBot="1" x14ac:dyDescent="0.25">
      <c r="A9" s="10">
        <v>44292</v>
      </c>
      <c r="B9" s="42">
        <v>45078</v>
      </c>
      <c r="C9" s="16">
        <f t="shared" si="0"/>
        <v>800</v>
      </c>
      <c r="D9" s="42">
        <v>39412</v>
      </c>
      <c r="E9" s="16">
        <f t="shared" si="1"/>
        <v>320</v>
      </c>
      <c r="F9" s="42">
        <v>20244</v>
      </c>
      <c r="G9" s="16">
        <f t="shared" si="2"/>
        <v>60</v>
      </c>
      <c r="H9" s="42">
        <v>240052</v>
      </c>
      <c r="I9" s="16">
        <f t="shared" si="3"/>
        <v>41</v>
      </c>
      <c r="J9" s="42">
        <v>303517</v>
      </c>
      <c r="K9" s="16">
        <f t="shared" si="5"/>
        <v>0</v>
      </c>
      <c r="L9" s="42">
        <v>24803</v>
      </c>
      <c r="M9" s="16">
        <f t="shared" si="6"/>
        <v>480</v>
      </c>
      <c r="N9" s="42">
        <v>213707</v>
      </c>
      <c r="O9" s="16">
        <f t="shared" si="7"/>
        <v>115</v>
      </c>
      <c r="P9" s="42">
        <v>98921</v>
      </c>
      <c r="Q9" s="16">
        <f>P9-P8</f>
        <v>130</v>
      </c>
      <c r="R9" s="1">
        <f t="shared" si="9"/>
        <v>55047</v>
      </c>
      <c r="S9" s="16">
        <f>R9-R8</f>
        <v>0</v>
      </c>
      <c r="T9" s="42">
        <v>3591</v>
      </c>
      <c r="U9" s="16">
        <f t="shared" si="11"/>
        <v>160</v>
      </c>
    </row>
    <row r="10" spans="1:24" ht="13.5" thickBot="1" x14ac:dyDescent="0.25">
      <c r="A10" s="10">
        <v>44293</v>
      </c>
      <c r="B10" s="42">
        <v>45083</v>
      </c>
      <c r="C10" s="16">
        <f t="shared" si="0"/>
        <v>800</v>
      </c>
      <c r="D10" s="42">
        <v>39415</v>
      </c>
      <c r="E10" s="16">
        <f t="shared" si="1"/>
        <v>480</v>
      </c>
      <c r="F10" s="42">
        <v>20248</v>
      </c>
      <c r="G10" s="16">
        <f t="shared" si="2"/>
        <v>80</v>
      </c>
      <c r="H10" s="42">
        <v>240100</v>
      </c>
      <c r="I10" s="16">
        <f t="shared" si="3"/>
        <v>48</v>
      </c>
      <c r="J10" s="42">
        <f t="shared" si="4"/>
        <v>303517</v>
      </c>
      <c r="K10" s="16">
        <f t="shared" si="5"/>
        <v>0</v>
      </c>
      <c r="L10" s="42">
        <v>24807</v>
      </c>
      <c r="M10" s="16">
        <f t="shared" si="6"/>
        <v>640</v>
      </c>
      <c r="N10" s="42">
        <v>213822</v>
      </c>
      <c r="O10" s="16">
        <f t="shared" si="7"/>
        <v>115</v>
      </c>
      <c r="P10" s="42">
        <v>99071</v>
      </c>
      <c r="Q10" s="16">
        <f>P10-P9</f>
        <v>150</v>
      </c>
      <c r="R10" s="1">
        <f t="shared" si="9"/>
        <v>55047</v>
      </c>
      <c r="S10" s="16">
        <f>R10-R9</f>
        <v>0</v>
      </c>
      <c r="T10" s="42">
        <v>3592</v>
      </c>
      <c r="U10" s="16">
        <f t="shared" si="11"/>
        <v>160</v>
      </c>
    </row>
    <row r="11" spans="1:24" ht="13.5" thickBot="1" x14ac:dyDescent="0.25">
      <c r="A11" s="10">
        <v>44294</v>
      </c>
      <c r="B11" s="42">
        <v>45088</v>
      </c>
      <c r="C11" s="16">
        <f t="shared" si="0"/>
        <v>800</v>
      </c>
      <c r="D11" s="42">
        <v>39418</v>
      </c>
      <c r="E11" s="16">
        <f t="shared" si="1"/>
        <v>480</v>
      </c>
      <c r="F11" s="42">
        <v>20252</v>
      </c>
      <c r="G11" s="16">
        <f t="shared" si="2"/>
        <v>80</v>
      </c>
      <c r="H11" s="42">
        <v>240159</v>
      </c>
      <c r="I11" s="16">
        <f t="shared" si="3"/>
        <v>59</v>
      </c>
      <c r="J11" s="42">
        <f t="shared" si="4"/>
        <v>303517</v>
      </c>
      <c r="K11" s="16">
        <f t="shared" si="5"/>
        <v>0</v>
      </c>
      <c r="L11" s="42">
        <v>24811</v>
      </c>
      <c r="M11" s="16">
        <f t="shared" si="6"/>
        <v>640</v>
      </c>
      <c r="N11" s="42">
        <v>213949</v>
      </c>
      <c r="O11" s="16">
        <f t="shared" si="7"/>
        <v>127</v>
      </c>
      <c r="P11" s="42">
        <v>99251</v>
      </c>
      <c r="Q11" s="16">
        <f t="shared" si="8"/>
        <v>180</v>
      </c>
      <c r="R11" s="1">
        <f t="shared" si="9"/>
        <v>55047</v>
      </c>
      <c r="S11" s="16">
        <f t="shared" si="10"/>
        <v>0</v>
      </c>
      <c r="T11" s="42">
        <v>3594</v>
      </c>
      <c r="U11" s="16">
        <f t="shared" si="11"/>
        <v>320</v>
      </c>
    </row>
    <row r="12" spans="1:24" ht="13.5" thickBot="1" x14ac:dyDescent="0.25">
      <c r="A12" s="10">
        <v>44295</v>
      </c>
      <c r="B12" s="42">
        <v>45093</v>
      </c>
      <c r="C12" s="16">
        <f t="shared" si="0"/>
        <v>800</v>
      </c>
      <c r="D12" s="42">
        <v>39421</v>
      </c>
      <c r="E12" s="16">
        <f t="shared" si="1"/>
        <v>480</v>
      </c>
      <c r="F12" s="42">
        <v>20255</v>
      </c>
      <c r="G12" s="16">
        <f t="shared" si="2"/>
        <v>60</v>
      </c>
      <c r="H12" s="42">
        <v>240211</v>
      </c>
      <c r="I12" s="16">
        <f t="shared" si="3"/>
        <v>52</v>
      </c>
      <c r="J12" s="42">
        <f t="shared" si="4"/>
        <v>303517</v>
      </c>
      <c r="K12" s="16">
        <f t="shared" si="5"/>
        <v>0</v>
      </c>
      <c r="L12" s="42">
        <v>24814</v>
      </c>
      <c r="M12" s="16">
        <f t="shared" si="6"/>
        <v>480</v>
      </c>
      <c r="N12" s="42">
        <v>214031</v>
      </c>
      <c r="O12" s="16">
        <f t="shared" si="7"/>
        <v>82</v>
      </c>
      <c r="P12" s="42">
        <v>99420</v>
      </c>
      <c r="Q12" s="16">
        <f t="shared" si="8"/>
        <v>169</v>
      </c>
      <c r="R12" s="1">
        <f t="shared" si="9"/>
        <v>55047</v>
      </c>
      <c r="S12" s="16">
        <f t="shared" si="10"/>
        <v>0</v>
      </c>
      <c r="T12" s="42">
        <v>3595</v>
      </c>
      <c r="U12" s="16">
        <f t="shared" si="11"/>
        <v>160</v>
      </c>
    </row>
    <row r="13" spans="1:24" ht="13.5" thickBot="1" x14ac:dyDescent="0.25">
      <c r="A13" s="10">
        <v>44296</v>
      </c>
      <c r="B13" s="42">
        <v>45097</v>
      </c>
      <c r="C13" s="16">
        <f t="shared" si="0"/>
        <v>640</v>
      </c>
      <c r="D13" s="42">
        <v>39423</v>
      </c>
      <c r="E13" s="16">
        <f t="shared" si="1"/>
        <v>320</v>
      </c>
      <c r="F13" s="42">
        <v>20257</v>
      </c>
      <c r="G13" s="16">
        <f t="shared" si="2"/>
        <v>40</v>
      </c>
      <c r="H13" s="42">
        <v>240235</v>
      </c>
      <c r="I13" s="16">
        <f t="shared" si="3"/>
        <v>24</v>
      </c>
      <c r="J13" s="42">
        <v>303517</v>
      </c>
      <c r="K13" s="16">
        <f t="shared" si="5"/>
        <v>0</v>
      </c>
      <c r="L13" s="42">
        <v>24823</v>
      </c>
      <c r="M13" s="16">
        <f t="shared" si="6"/>
        <v>1440</v>
      </c>
      <c r="N13" s="42">
        <v>214147</v>
      </c>
      <c r="O13" s="16">
        <f t="shared" si="7"/>
        <v>116</v>
      </c>
      <c r="P13" s="42">
        <v>99430</v>
      </c>
      <c r="Q13" s="16">
        <f t="shared" si="8"/>
        <v>10</v>
      </c>
      <c r="R13" s="1">
        <v>55047</v>
      </c>
      <c r="S13" s="16">
        <f t="shared" si="10"/>
        <v>0</v>
      </c>
      <c r="T13" s="42">
        <v>3596</v>
      </c>
      <c r="U13" s="16">
        <f t="shared" si="11"/>
        <v>160</v>
      </c>
    </row>
    <row r="14" spans="1:24" ht="13.5" thickBot="1" x14ac:dyDescent="0.25">
      <c r="A14" s="10">
        <v>44297</v>
      </c>
      <c r="B14" s="42">
        <v>45102</v>
      </c>
      <c r="C14" s="16">
        <f t="shared" si="0"/>
        <v>800</v>
      </c>
      <c r="D14" s="42">
        <v>39426</v>
      </c>
      <c r="E14" s="16">
        <f t="shared" si="1"/>
        <v>480</v>
      </c>
      <c r="F14" s="42">
        <v>20268</v>
      </c>
      <c r="G14" s="16">
        <f t="shared" si="2"/>
        <v>220</v>
      </c>
      <c r="H14" s="42">
        <v>240262</v>
      </c>
      <c r="I14" s="16">
        <f t="shared" si="3"/>
        <v>27</v>
      </c>
      <c r="J14" s="42">
        <v>303517</v>
      </c>
      <c r="K14" s="16">
        <f t="shared" si="5"/>
        <v>0</v>
      </c>
      <c r="L14" s="42">
        <v>24828</v>
      </c>
      <c r="M14" s="16">
        <f t="shared" si="6"/>
        <v>800</v>
      </c>
      <c r="N14" s="42">
        <v>214287</v>
      </c>
      <c r="O14" s="16">
        <f t="shared" si="7"/>
        <v>140</v>
      </c>
      <c r="P14" s="42">
        <v>99525</v>
      </c>
      <c r="Q14" s="16">
        <f t="shared" si="8"/>
        <v>95</v>
      </c>
      <c r="R14" s="1">
        <v>55047</v>
      </c>
      <c r="S14" s="16">
        <f t="shared" si="10"/>
        <v>0</v>
      </c>
      <c r="T14" s="42">
        <v>3598</v>
      </c>
      <c r="U14" s="16">
        <f>(T14-T13)*800/5</f>
        <v>320</v>
      </c>
    </row>
    <row r="15" spans="1:24" ht="13.5" thickBot="1" x14ac:dyDescent="0.25">
      <c r="A15" s="10">
        <v>44298</v>
      </c>
      <c r="B15" s="42">
        <v>45107</v>
      </c>
      <c r="C15" s="16">
        <f t="shared" si="0"/>
        <v>800</v>
      </c>
      <c r="D15" s="42">
        <v>39429</v>
      </c>
      <c r="E15" s="16">
        <f t="shared" si="1"/>
        <v>480</v>
      </c>
      <c r="F15" s="42">
        <v>20264</v>
      </c>
      <c r="G15" s="16">
        <f t="shared" si="2"/>
        <v>-80</v>
      </c>
      <c r="H15" s="42">
        <v>240294</v>
      </c>
      <c r="I15" s="16">
        <f t="shared" si="3"/>
        <v>32</v>
      </c>
      <c r="J15" s="42">
        <v>303517</v>
      </c>
      <c r="K15" s="16">
        <f t="shared" si="5"/>
        <v>0</v>
      </c>
      <c r="L15" s="42">
        <v>24824</v>
      </c>
      <c r="M15" s="16">
        <f t="shared" si="6"/>
        <v>-640</v>
      </c>
      <c r="N15" s="42">
        <v>214422</v>
      </c>
      <c r="O15" s="16">
        <f t="shared" si="7"/>
        <v>135</v>
      </c>
      <c r="P15" s="42">
        <v>99614</v>
      </c>
      <c r="Q15" s="16">
        <f t="shared" si="8"/>
        <v>89</v>
      </c>
      <c r="R15" s="1">
        <v>55047</v>
      </c>
      <c r="S15" s="16">
        <f t="shared" si="10"/>
        <v>0</v>
      </c>
      <c r="T15" s="42">
        <v>3599</v>
      </c>
      <c r="U15" s="16">
        <f t="shared" ref="U15" si="13">(T15-T14)*800/5</f>
        <v>160</v>
      </c>
      <c r="X15" t="s">
        <v>13</v>
      </c>
    </row>
    <row r="16" spans="1:24" ht="13.5" thickBot="1" x14ac:dyDescent="0.25">
      <c r="A16" s="10">
        <v>44299</v>
      </c>
      <c r="B16" s="42">
        <v>45112</v>
      </c>
      <c r="C16" s="16">
        <f t="shared" si="0"/>
        <v>800</v>
      </c>
      <c r="D16" s="42">
        <v>39431</v>
      </c>
      <c r="E16" s="16">
        <f t="shared" si="1"/>
        <v>320</v>
      </c>
      <c r="F16" s="42">
        <v>20267</v>
      </c>
      <c r="G16" s="16">
        <f t="shared" si="2"/>
        <v>60</v>
      </c>
      <c r="H16" s="42">
        <v>240308</v>
      </c>
      <c r="I16" s="16">
        <f t="shared" si="3"/>
        <v>14</v>
      </c>
      <c r="J16" s="42">
        <v>303517</v>
      </c>
      <c r="K16" s="16">
        <f t="shared" si="5"/>
        <v>0</v>
      </c>
      <c r="L16" s="42">
        <v>24827</v>
      </c>
      <c r="M16" s="16">
        <f t="shared" si="6"/>
        <v>480</v>
      </c>
      <c r="N16" s="42">
        <v>214537</v>
      </c>
      <c r="O16" s="16">
        <f t="shared" si="7"/>
        <v>115</v>
      </c>
      <c r="P16" s="42">
        <f t="shared" si="4"/>
        <v>99614</v>
      </c>
      <c r="Q16" s="16">
        <f t="shared" si="8"/>
        <v>0</v>
      </c>
      <c r="R16" s="1">
        <f t="shared" si="9"/>
        <v>55047</v>
      </c>
      <c r="S16" s="16">
        <f t="shared" si="10"/>
        <v>0</v>
      </c>
      <c r="T16" s="42">
        <v>3601</v>
      </c>
      <c r="U16" s="16">
        <f t="shared" si="11"/>
        <v>320</v>
      </c>
      <c r="W16" t="s">
        <v>13</v>
      </c>
    </row>
    <row r="17" spans="1:23" ht="13.5" thickBot="1" x14ac:dyDescent="0.25">
      <c r="A17" s="10">
        <v>44300</v>
      </c>
      <c r="B17" s="42">
        <v>45116</v>
      </c>
      <c r="C17" s="16">
        <f t="shared" si="0"/>
        <v>640</v>
      </c>
      <c r="D17" s="42">
        <v>39434</v>
      </c>
      <c r="E17" s="16">
        <f t="shared" si="1"/>
        <v>480</v>
      </c>
      <c r="F17" s="42">
        <v>20270</v>
      </c>
      <c r="G17" s="16">
        <f t="shared" si="2"/>
        <v>60</v>
      </c>
      <c r="H17" s="42">
        <v>240328</v>
      </c>
      <c r="I17" s="16">
        <f t="shared" si="3"/>
        <v>20</v>
      </c>
      <c r="J17" s="42">
        <f t="shared" si="4"/>
        <v>303517</v>
      </c>
      <c r="K17" s="16">
        <f t="shared" si="5"/>
        <v>0</v>
      </c>
      <c r="L17" s="42">
        <v>24831</v>
      </c>
      <c r="M17" s="16">
        <f t="shared" si="6"/>
        <v>640</v>
      </c>
      <c r="N17" s="42">
        <v>214656</v>
      </c>
      <c r="O17" s="16">
        <f t="shared" si="7"/>
        <v>119</v>
      </c>
      <c r="P17" s="42">
        <f t="shared" si="4"/>
        <v>99614</v>
      </c>
      <c r="Q17" s="16">
        <f t="shared" si="8"/>
        <v>0</v>
      </c>
      <c r="R17" s="1">
        <f t="shared" si="9"/>
        <v>55047</v>
      </c>
      <c r="S17" s="16">
        <f>S16</f>
        <v>0</v>
      </c>
      <c r="T17" s="42">
        <v>3602</v>
      </c>
      <c r="U17" s="16">
        <f t="shared" si="11"/>
        <v>160</v>
      </c>
    </row>
    <row r="18" spans="1:23" ht="13.5" thickBot="1" x14ac:dyDescent="0.25">
      <c r="A18" s="10">
        <v>44301</v>
      </c>
      <c r="B18" s="42">
        <v>45120</v>
      </c>
      <c r="C18" s="16">
        <f t="shared" si="0"/>
        <v>640</v>
      </c>
      <c r="D18" s="42">
        <v>39436</v>
      </c>
      <c r="E18" s="16">
        <f t="shared" si="1"/>
        <v>320</v>
      </c>
      <c r="F18" s="42">
        <v>20273</v>
      </c>
      <c r="G18" s="16">
        <f t="shared" si="2"/>
        <v>60</v>
      </c>
      <c r="H18" s="42">
        <v>240340</v>
      </c>
      <c r="I18" s="16">
        <f t="shared" si="3"/>
        <v>12</v>
      </c>
      <c r="J18" s="42">
        <f t="shared" si="4"/>
        <v>303517</v>
      </c>
      <c r="K18" s="16">
        <f t="shared" si="5"/>
        <v>0</v>
      </c>
      <c r="L18" s="42">
        <v>24834</v>
      </c>
      <c r="M18" s="16">
        <f t="shared" si="6"/>
        <v>480</v>
      </c>
      <c r="N18" s="42">
        <v>214752</v>
      </c>
      <c r="O18" s="16">
        <f t="shared" si="7"/>
        <v>96</v>
      </c>
      <c r="P18" s="42">
        <v>99983</v>
      </c>
      <c r="Q18" s="16">
        <f t="shared" si="8"/>
        <v>369</v>
      </c>
      <c r="R18" s="1">
        <v>55047</v>
      </c>
      <c r="S18" s="16">
        <f t="shared" si="10"/>
        <v>0</v>
      </c>
      <c r="T18" s="42">
        <v>3603</v>
      </c>
      <c r="U18" s="16">
        <f t="shared" si="11"/>
        <v>160</v>
      </c>
    </row>
    <row r="19" spans="1:23" ht="13.5" thickBot="1" x14ac:dyDescent="0.25">
      <c r="A19" s="10">
        <v>44302</v>
      </c>
      <c r="B19" s="42">
        <v>45124</v>
      </c>
      <c r="C19" s="16">
        <f t="shared" si="0"/>
        <v>640</v>
      </c>
      <c r="D19" s="42">
        <v>39438</v>
      </c>
      <c r="E19" s="16">
        <f t="shared" si="1"/>
        <v>320</v>
      </c>
      <c r="F19" s="42">
        <v>20276</v>
      </c>
      <c r="G19" s="16">
        <f t="shared" si="2"/>
        <v>60</v>
      </c>
      <c r="H19" s="42">
        <v>240352</v>
      </c>
      <c r="I19" s="16">
        <f t="shared" si="3"/>
        <v>12</v>
      </c>
      <c r="J19" s="42">
        <f t="shared" si="4"/>
        <v>303517</v>
      </c>
      <c r="K19" s="16">
        <f t="shared" si="5"/>
        <v>0</v>
      </c>
      <c r="L19" s="42">
        <v>24837</v>
      </c>
      <c r="M19" s="16">
        <f t="shared" si="6"/>
        <v>480</v>
      </c>
      <c r="N19" s="42">
        <v>214831</v>
      </c>
      <c r="O19" s="16">
        <f t="shared" si="7"/>
        <v>79</v>
      </c>
      <c r="P19" s="42">
        <v>100084</v>
      </c>
      <c r="Q19" s="16">
        <f t="shared" si="8"/>
        <v>101</v>
      </c>
      <c r="R19" s="1">
        <f t="shared" si="9"/>
        <v>55047</v>
      </c>
      <c r="S19" s="16">
        <f t="shared" si="10"/>
        <v>0</v>
      </c>
      <c r="T19" s="42">
        <v>3604</v>
      </c>
      <c r="U19" s="16">
        <f t="shared" si="11"/>
        <v>160</v>
      </c>
      <c r="W19" t="s">
        <v>13</v>
      </c>
    </row>
    <row r="20" spans="1:23" ht="13.5" thickBot="1" x14ac:dyDescent="0.25">
      <c r="A20" s="10">
        <v>44303</v>
      </c>
      <c r="B20" s="42">
        <v>45128</v>
      </c>
      <c r="C20" s="16">
        <f t="shared" si="0"/>
        <v>640</v>
      </c>
      <c r="D20" s="42">
        <v>39441</v>
      </c>
      <c r="E20" s="16">
        <f t="shared" si="1"/>
        <v>480</v>
      </c>
      <c r="F20" s="42">
        <v>20279</v>
      </c>
      <c r="G20" s="16">
        <f t="shared" si="2"/>
        <v>60</v>
      </c>
      <c r="H20" s="42">
        <v>240379</v>
      </c>
      <c r="I20" s="16">
        <f t="shared" si="3"/>
        <v>27</v>
      </c>
      <c r="J20" s="42">
        <f t="shared" si="4"/>
        <v>303517</v>
      </c>
      <c r="K20" s="16">
        <v>0</v>
      </c>
      <c r="L20" s="42">
        <v>24840</v>
      </c>
      <c r="M20" s="16">
        <f t="shared" si="6"/>
        <v>480</v>
      </c>
      <c r="N20" s="42">
        <v>214936</v>
      </c>
      <c r="O20" s="16">
        <f t="shared" si="7"/>
        <v>105</v>
      </c>
      <c r="P20" s="42">
        <v>100180</v>
      </c>
      <c r="Q20" s="16">
        <f t="shared" si="8"/>
        <v>96</v>
      </c>
      <c r="R20" s="1">
        <f t="shared" si="9"/>
        <v>55047</v>
      </c>
      <c r="S20" s="16">
        <f t="shared" si="10"/>
        <v>0</v>
      </c>
      <c r="T20" s="42">
        <v>3605</v>
      </c>
      <c r="U20" s="16">
        <f t="shared" si="11"/>
        <v>160</v>
      </c>
    </row>
    <row r="21" spans="1:23" ht="13.5" thickBot="1" x14ac:dyDescent="0.25">
      <c r="A21" s="10">
        <v>44304</v>
      </c>
      <c r="B21" s="42">
        <v>45133</v>
      </c>
      <c r="C21" s="16">
        <f t="shared" si="0"/>
        <v>800</v>
      </c>
      <c r="D21" s="42">
        <v>39443</v>
      </c>
      <c r="E21" s="16">
        <f t="shared" si="1"/>
        <v>320</v>
      </c>
      <c r="F21" s="42">
        <v>20282</v>
      </c>
      <c r="G21" s="16">
        <f t="shared" si="2"/>
        <v>60</v>
      </c>
      <c r="H21" s="42">
        <v>240405</v>
      </c>
      <c r="I21" s="16">
        <f t="shared" si="3"/>
        <v>26</v>
      </c>
      <c r="J21" s="42">
        <f t="shared" si="4"/>
        <v>303517</v>
      </c>
      <c r="K21" s="16">
        <f t="shared" si="5"/>
        <v>0</v>
      </c>
      <c r="L21" s="42">
        <v>24843</v>
      </c>
      <c r="M21" s="16">
        <f t="shared" si="6"/>
        <v>480</v>
      </c>
      <c r="N21" s="42">
        <v>215068</v>
      </c>
      <c r="O21" s="16">
        <f t="shared" si="7"/>
        <v>132</v>
      </c>
      <c r="P21" s="42">
        <v>100338</v>
      </c>
      <c r="Q21" s="16">
        <f t="shared" si="8"/>
        <v>158</v>
      </c>
      <c r="R21" s="1">
        <f t="shared" si="9"/>
        <v>55047</v>
      </c>
      <c r="S21" s="16">
        <f t="shared" si="10"/>
        <v>0</v>
      </c>
      <c r="T21" s="42">
        <v>3606</v>
      </c>
      <c r="U21" s="16">
        <f t="shared" si="11"/>
        <v>160</v>
      </c>
    </row>
    <row r="22" spans="1:23" ht="13.5" thickBot="1" x14ac:dyDescent="0.25">
      <c r="A22" s="10">
        <v>44305</v>
      </c>
      <c r="B22" s="42">
        <v>45138</v>
      </c>
      <c r="C22" s="16">
        <f t="shared" si="0"/>
        <v>800</v>
      </c>
      <c r="D22" s="42">
        <v>39446</v>
      </c>
      <c r="E22" s="16">
        <f t="shared" si="1"/>
        <v>480</v>
      </c>
      <c r="F22" s="42">
        <v>20285</v>
      </c>
      <c r="G22" s="16">
        <f t="shared" si="2"/>
        <v>60</v>
      </c>
      <c r="H22" s="42">
        <v>240447</v>
      </c>
      <c r="I22" s="16">
        <f t="shared" si="3"/>
        <v>42</v>
      </c>
      <c r="J22" s="42">
        <f t="shared" si="4"/>
        <v>303517</v>
      </c>
      <c r="K22" s="16">
        <f t="shared" si="5"/>
        <v>0</v>
      </c>
      <c r="L22" s="42">
        <v>24847</v>
      </c>
      <c r="M22" s="16">
        <f t="shared" si="6"/>
        <v>640</v>
      </c>
      <c r="N22" s="42">
        <v>215185</v>
      </c>
      <c r="O22" s="16">
        <f t="shared" si="7"/>
        <v>117</v>
      </c>
      <c r="P22" s="42">
        <v>100485</v>
      </c>
      <c r="Q22" s="16">
        <f t="shared" si="8"/>
        <v>147</v>
      </c>
      <c r="R22" s="1">
        <f t="shared" si="9"/>
        <v>55047</v>
      </c>
      <c r="S22" s="16">
        <f t="shared" si="10"/>
        <v>0</v>
      </c>
      <c r="T22" s="42">
        <v>3608</v>
      </c>
      <c r="U22" s="16">
        <f t="shared" si="11"/>
        <v>320</v>
      </c>
    </row>
    <row r="23" spans="1:23" ht="13.5" thickBot="1" x14ac:dyDescent="0.25">
      <c r="A23" s="10">
        <v>44306</v>
      </c>
      <c r="B23" s="42">
        <v>45142</v>
      </c>
      <c r="C23" s="16">
        <f t="shared" si="0"/>
        <v>640</v>
      </c>
      <c r="D23" s="42">
        <v>39449</v>
      </c>
      <c r="E23" s="16">
        <f t="shared" si="1"/>
        <v>480</v>
      </c>
      <c r="F23" s="42">
        <v>20288</v>
      </c>
      <c r="G23" s="16">
        <f t="shared" si="2"/>
        <v>60</v>
      </c>
      <c r="H23" s="42">
        <v>240487</v>
      </c>
      <c r="I23" s="16">
        <f t="shared" si="3"/>
        <v>40</v>
      </c>
      <c r="J23" s="42">
        <v>303517</v>
      </c>
      <c r="K23" s="16">
        <f t="shared" si="5"/>
        <v>0</v>
      </c>
      <c r="L23" s="42">
        <v>24852</v>
      </c>
      <c r="M23" s="16">
        <f t="shared" si="6"/>
        <v>800</v>
      </c>
      <c r="N23" s="42">
        <v>215302</v>
      </c>
      <c r="O23" s="16">
        <f t="shared" si="7"/>
        <v>117</v>
      </c>
      <c r="P23" s="42">
        <v>100632</v>
      </c>
      <c r="Q23" s="16">
        <f t="shared" si="8"/>
        <v>147</v>
      </c>
      <c r="R23" s="1">
        <v>55047</v>
      </c>
      <c r="S23" s="16">
        <f t="shared" si="10"/>
        <v>0</v>
      </c>
      <c r="T23" s="42">
        <v>3609</v>
      </c>
      <c r="U23" s="16">
        <f t="shared" si="11"/>
        <v>160</v>
      </c>
    </row>
    <row r="24" spans="1:23" s="156" customFormat="1" ht="13.5" thickBot="1" x14ac:dyDescent="0.25">
      <c r="A24" s="10">
        <v>44307</v>
      </c>
      <c r="B24" s="42">
        <v>45147</v>
      </c>
      <c r="C24" s="16">
        <f t="shared" si="0"/>
        <v>800</v>
      </c>
      <c r="D24" s="42">
        <v>39451</v>
      </c>
      <c r="E24" s="16">
        <f t="shared" si="1"/>
        <v>320</v>
      </c>
      <c r="F24" s="42">
        <v>20290</v>
      </c>
      <c r="G24" s="16">
        <f t="shared" si="2"/>
        <v>40</v>
      </c>
      <c r="H24" s="42">
        <v>240497</v>
      </c>
      <c r="I24" s="16">
        <f t="shared" si="3"/>
        <v>10</v>
      </c>
      <c r="J24" s="42">
        <v>303517</v>
      </c>
      <c r="K24" s="16">
        <f t="shared" si="5"/>
        <v>0</v>
      </c>
      <c r="L24" s="42">
        <v>24854</v>
      </c>
      <c r="M24" s="16">
        <f t="shared" si="6"/>
        <v>320</v>
      </c>
      <c r="N24" s="42">
        <v>215411</v>
      </c>
      <c r="O24" s="16">
        <f t="shared" si="7"/>
        <v>109</v>
      </c>
      <c r="P24" s="42">
        <v>100781</v>
      </c>
      <c r="Q24" s="16">
        <f t="shared" si="8"/>
        <v>149</v>
      </c>
      <c r="R24" s="1">
        <v>55047</v>
      </c>
      <c r="S24" s="16">
        <f t="shared" si="10"/>
        <v>0</v>
      </c>
      <c r="T24" s="42">
        <v>3610</v>
      </c>
      <c r="U24" s="16">
        <f t="shared" si="11"/>
        <v>160</v>
      </c>
    </row>
    <row r="25" spans="1:23" ht="13.5" thickBot="1" x14ac:dyDescent="0.25">
      <c r="A25" s="10">
        <v>44308</v>
      </c>
      <c r="B25" s="42">
        <v>45151</v>
      </c>
      <c r="C25" s="16">
        <f t="shared" si="0"/>
        <v>640</v>
      </c>
      <c r="D25" s="42">
        <v>39453</v>
      </c>
      <c r="E25" s="16">
        <f t="shared" si="1"/>
        <v>320</v>
      </c>
      <c r="F25" s="42">
        <v>20293</v>
      </c>
      <c r="G25" s="16">
        <f t="shared" si="2"/>
        <v>60</v>
      </c>
      <c r="H25" s="42">
        <v>240534</v>
      </c>
      <c r="I25" s="16">
        <f t="shared" si="3"/>
        <v>37</v>
      </c>
      <c r="J25" s="42">
        <v>303517</v>
      </c>
      <c r="K25" s="16">
        <f t="shared" si="5"/>
        <v>0</v>
      </c>
      <c r="L25" s="42">
        <v>24857</v>
      </c>
      <c r="M25" s="16">
        <f t="shared" si="6"/>
        <v>480</v>
      </c>
      <c r="N25" s="42">
        <v>215422</v>
      </c>
      <c r="O25" s="16">
        <f t="shared" si="7"/>
        <v>11</v>
      </c>
      <c r="P25" s="42">
        <v>100868</v>
      </c>
      <c r="Q25" s="16">
        <f t="shared" si="8"/>
        <v>87</v>
      </c>
      <c r="R25" s="1">
        <f t="shared" si="9"/>
        <v>55047</v>
      </c>
      <c r="S25" s="16">
        <f t="shared" si="10"/>
        <v>0</v>
      </c>
      <c r="T25" s="42">
        <v>3611</v>
      </c>
      <c r="U25" s="16">
        <f t="shared" si="11"/>
        <v>160</v>
      </c>
      <c r="V25" t="s">
        <v>13</v>
      </c>
    </row>
    <row r="26" spans="1:23" ht="12.75" customHeight="1" thickBot="1" x14ac:dyDescent="0.25">
      <c r="A26" s="10">
        <v>44309</v>
      </c>
      <c r="B26" s="42">
        <v>45155</v>
      </c>
      <c r="C26" s="16">
        <f t="shared" si="0"/>
        <v>640</v>
      </c>
      <c r="D26" s="42">
        <v>39455</v>
      </c>
      <c r="E26" s="16">
        <f t="shared" si="1"/>
        <v>320</v>
      </c>
      <c r="F26" s="42">
        <v>20296</v>
      </c>
      <c r="G26" s="16">
        <f t="shared" si="2"/>
        <v>60</v>
      </c>
      <c r="H26" s="42">
        <v>240560</v>
      </c>
      <c r="I26" s="16">
        <f t="shared" si="3"/>
        <v>26</v>
      </c>
      <c r="J26" s="42">
        <v>303517</v>
      </c>
      <c r="K26" s="16">
        <f t="shared" si="5"/>
        <v>0</v>
      </c>
      <c r="L26" s="42">
        <v>24860</v>
      </c>
      <c r="M26" s="16">
        <f t="shared" si="6"/>
        <v>480</v>
      </c>
      <c r="N26" s="42">
        <v>215425</v>
      </c>
      <c r="O26" s="16">
        <f t="shared" si="7"/>
        <v>3</v>
      </c>
      <c r="P26" s="42">
        <v>100952</v>
      </c>
      <c r="Q26" s="16">
        <f t="shared" si="8"/>
        <v>84</v>
      </c>
      <c r="R26" s="1">
        <v>55047</v>
      </c>
      <c r="S26" s="16">
        <f t="shared" si="10"/>
        <v>0</v>
      </c>
      <c r="T26" s="42">
        <v>3613</v>
      </c>
      <c r="U26" s="16">
        <f t="shared" si="11"/>
        <v>320</v>
      </c>
      <c r="W26" t="s">
        <v>13</v>
      </c>
    </row>
    <row r="27" spans="1:23" ht="13.5" thickBot="1" x14ac:dyDescent="0.25">
      <c r="A27" s="10">
        <v>44310</v>
      </c>
      <c r="B27" s="42">
        <v>45159</v>
      </c>
      <c r="C27" s="16">
        <f t="shared" si="0"/>
        <v>640</v>
      </c>
      <c r="D27" s="42">
        <v>39457</v>
      </c>
      <c r="E27" s="16">
        <f t="shared" si="1"/>
        <v>320</v>
      </c>
      <c r="F27" s="42">
        <v>20299</v>
      </c>
      <c r="G27" s="16">
        <f t="shared" si="2"/>
        <v>60</v>
      </c>
      <c r="H27" s="42">
        <v>240584</v>
      </c>
      <c r="I27" s="16">
        <f t="shared" si="3"/>
        <v>24</v>
      </c>
      <c r="J27" s="42">
        <v>303517</v>
      </c>
      <c r="K27" s="16">
        <f t="shared" si="5"/>
        <v>0</v>
      </c>
      <c r="L27" s="42">
        <v>24863</v>
      </c>
      <c r="M27" s="16">
        <f t="shared" si="6"/>
        <v>480</v>
      </c>
      <c r="N27" s="42">
        <v>215434</v>
      </c>
      <c r="O27" s="16">
        <f t="shared" si="7"/>
        <v>9</v>
      </c>
      <c r="P27" s="42">
        <v>101029</v>
      </c>
      <c r="Q27" s="16">
        <f t="shared" si="8"/>
        <v>77</v>
      </c>
      <c r="R27" s="1">
        <v>55047</v>
      </c>
      <c r="S27" s="16">
        <f t="shared" si="10"/>
        <v>0</v>
      </c>
      <c r="T27" s="42">
        <v>3615</v>
      </c>
      <c r="U27" s="16">
        <f t="shared" si="11"/>
        <v>320</v>
      </c>
    </row>
    <row r="28" spans="1:23" ht="13.5" thickBot="1" x14ac:dyDescent="0.25">
      <c r="A28" s="10">
        <v>44311</v>
      </c>
      <c r="B28" s="42">
        <v>45164</v>
      </c>
      <c r="C28" s="16">
        <f t="shared" si="0"/>
        <v>800</v>
      </c>
      <c r="D28" s="42">
        <v>39461</v>
      </c>
      <c r="E28" s="16">
        <f t="shared" si="1"/>
        <v>640</v>
      </c>
      <c r="F28" s="42">
        <v>20302</v>
      </c>
      <c r="G28" s="16">
        <f t="shared" si="2"/>
        <v>60</v>
      </c>
      <c r="H28" s="42">
        <v>240621</v>
      </c>
      <c r="I28" s="16">
        <f t="shared" si="3"/>
        <v>37</v>
      </c>
      <c r="J28" s="42">
        <v>303517</v>
      </c>
      <c r="K28" s="16">
        <f t="shared" si="5"/>
        <v>0</v>
      </c>
      <c r="L28" s="42">
        <v>24867</v>
      </c>
      <c r="M28" s="16">
        <f t="shared" si="6"/>
        <v>640</v>
      </c>
      <c r="N28" s="42">
        <v>215434</v>
      </c>
      <c r="O28" s="16">
        <f t="shared" si="7"/>
        <v>0</v>
      </c>
      <c r="P28" s="42">
        <v>101109</v>
      </c>
      <c r="Q28" s="17">
        <f t="shared" si="8"/>
        <v>80</v>
      </c>
      <c r="R28" s="1">
        <v>55047</v>
      </c>
      <c r="S28" s="17">
        <f t="shared" si="10"/>
        <v>0</v>
      </c>
      <c r="T28" s="42">
        <v>3615</v>
      </c>
      <c r="U28" s="16">
        <f t="shared" si="11"/>
        <v>0</v>
      </c>
    </row>
    <row r="29" spans="1:23" ht="13.5" thickBot="1" x14ac:dyDescent="0.25">
      <c r="A29" s="10">
        <v>44312</v>
      </c>
      <c r="B29" s="42">
        <v>45169</v>
      </c>
      <c r="C29" s="16">
        <f t="shared" si="0"/>
        <v>800</v>
      </c>
      <c r="D29" s="42">
        <v>39463</v>
      </c>
      <c r="E29" s="16">
        <f t="shared" si="1"/>
        <v>320</v>
      </c>
      <c r="F29" s="42">
        <v>20304</v>
      </c>
      <c r="G29" s="16">
        <f t="shared" si="2"/>
        <v>40</v>
      </c>
      <c r="H29" s="42">
        <v>240647</v>
      </c>
      <c r="I29" s="16">
        <f t="shared" si="3"/>
        <v>26</v>
      </c>
      <c r="J29" s="42">
        <v>303517</v>
      </c>
      <c r="K29" s="16">
        <f t="shared" si="5"/>
        <v>0</v>
      </c>
      <c r="L29" s="42">
        <v>24870</v>
      </c>
      <c r="M29" s="16">
        <f t="shared" si="6"/>
        <v>480</v>
      </c>
      <c r="N29" s="42">
        <v>215434</v>
      </c>
      <c r="O29" s="16">
        <f t="shared" si="7"/>
        <v>0</v>
      </c>
      <c r="P29" s="42">
        <v>101193</v>
      </c>
      <c r="Q29" s="16">
        <f t="shared" si="8"/>
        <v>84</v>
      </c>
      <c r="R29" s="1">
        <v>55047</v>
      </c>
      <c r="S29" s="16">
        <f t="shared" si="10"/>
        <v>0</v>
      </c>
      <c r="T29" s="42">
        <v>3616</v>
      </c>
      <c r="U29" s="16">
        <f t="shared" si="11"/>
        <v>160</v>
      </c>
    </row>
    <row r="30" spans="1:23" ht="13.5" thickBot="1" x14ac:dyDescent="0.25">
      <c r="A30" s="10">
        <v>44313</v>
      </c>
      <c r="B30" s="42">
        <v>45173</v>
      </c>
      <c r="C30" s="16">
        <f t="shared" si="0"/>
        <v>640</v>
      </c>
      <c r="D30" s="42">
        <v>39466</v>
      </c>
      <c r="E30" s="16">
        <f t="shared" si="1"/>
        <v>480</v>
      </c>
      <c r="F30" s="42">
        <v>20308</v>
      </c>
      <c r="G30" s="16">
        <f t="shared" si="2"/>
        <v>80</v>
      </c>
      <c r="H30" s="42">
        <v>240689</v>
      </c>
      <c r="I30" s="16">
        <f t="shared" si="3"/>
        <v>42</v>
      </c>
      <c r="J30" s="42">
        <f t="shared" si="4"/>
        <v>303517</v>
      </c>
      <c r="K30" s="16">
        <f t="shared" si="5"/>
        <v>0</v>
      </c>
      <c r="L30" s="42">
        <v>24874</v>
      </c>
      <c r="M30" s="16">
        <f t="shared" si="6"/>
        <v>640</v>
      </c>
      <c r="N30" s="42">
        <v>215438</v>
      </c>
      <c r="O30" s="16">
        <f t="shared" si="7"/>
        <v>4</v>
      </c>
      <c r="P30" s="42">
        <v>101299</v>
      </c>
      <c r="Q30" s="16">
        <f t="shared" si="8"/>
        <v>106</v>
      </c>
      <c r="R30" s="1">
        <v>55047</v>
      </c>
      <c r="S30" s="16">
        <f t="shared" si="10"/>
        <v>0</v>
      </c>
      <c r="T30" s="42">
        <v>3618</v>
      </c>
      <c r="U30" s="16">
        <f t="shared" si="11"/>
        <v>320</v>
      </c>
    </row>
    <row r="31" spans="1:23" ht="13.5" thickBot="1" x14ac:dyDescent="0.25">
      <c r="A31" s="10">
        <v>44314</v>
      </c>
      <c r="B31" s="42">
        <v>45177</v>
      </c>
      <c r="C31" s="16">
        <f t="shared" si="0"/>
        <v>640</v>
      </c>
      <c r="D31" s="42">
        <v>39468</v>
      </c>
      <c r="E31" s="16">
        <f t="shared" si="1"/>
        <v>320</v>
      </c>
      <c r="F31" s="42">
        <v>20311</v>
      </c>
      <c r="G31" s="16">
        <f t="shared" si="2"/>
        <v>60</v>
      </c>
      <c r="H31" s="42">
        <v>240715</v>
      </c>
      <c r="I31" s="16">
        <f t="shared" si="3"/>
        <v>26</v>
      </c>
      <c r="J31" s="42">
        <f t="shared" si="4"/>
        <v>303517</v>
      </c>
      <c r="K31" s="16">
        <f t="shared" si="5"/>
        <v>0</v>
      </c>
      <c r="L31" s="42">
        <v>24877</v>
      </c>
      <c r="M31" s="16">
        <f t="shared" si="6"/>
        <v>480</v>
      </c>
      <c r="N31" s="42">
        <v>215440</v>
      </c>
      <c r="O31" s="16">
        <f t="shared" si="7"/>
        <v>2</v>
      </c>
      <c r="P31" s="42">
        <v>101558</v>
      </c>
      <c r="Q31" s="16">
        <f t="shared" si="8"/>
        <v>259</v>
      </c>
      <c r="R31" s="1">
        <f t="shared" si="9"/>
        <v>55047</v>
      </c>
      <c r="S31" s="16">
        <f t="shared" si="10"/>
        <v>0</v>
      </c>
      <c r="T31" s="42">
        <f t="shared" si="4"/>
        <v>3618</v>
      </c>
      <c r="U31" s="16">
        <f t="shared" si="11"/>
        <v>0</v>
      </c>
    </row>
    <row r="32" spans="1:23" ht="15" customHeight="1" thickBot="1" x14ac:dyDescent="0.25">
      <c r="A32" s="10">
        <v>44315</v>
      </c>
      <c r="B32" s="42">
        <v>45181</v>
      </c>
      <c r="C32" s="16">
        <f t="shared" si="0"/>
        <v>640</v>
      </c>
      <c r="D32" s="42">
        <v>39470</v>
      </c>
      <c r="E32" s="16">
        <f t="shared" si="1"/>
        <v>320</v>
      </c>
      <c r="F32" s="42">
        <v>20313</v>
      </c>
      <c r="G32" s="16">
        <f t="shared" si="2"/>
        <v>40</v>
      </c>
      <c r="H32" s="42">
        <v>240753</v>
      </c>
      <c r="I32" s="16">
        <f t="shared" si="3"/>
        <v>38</v>
      </c>
      <c r="J32" s="42">
        <f t="shared" si="4"/>
        <v>303517</v>
      </c>
      <c r="K32" s="16">
        <f t="shared" si="5"/>
        <v>0</v>
      </c>
      <c r="L32" s="42">
        <v>24879</v>
      </c>
      <c r="M32" s="16">
        <f t="shared" si="6"/>
        <v>320</v>
      </c>
      <c r="N32" s="42">
        <v>215443</v>
      </c>
      <c r="O32" s="16">
        <f t="shared" si="7"/>
        <v>3</v>
      </c>
      <c r="P32" s="42">
        <v>101651</v>
      </c>
      <c r="Q32" s="16">
        <f t="shared" si="8"/>
        <v>93</v>
      </c>
      <c r="R32" s="1">
        <v>55047</v>
      </c>
      <c r="S32" s="16">
        <f t="shared" si="10"/>
        <v>0</v>
      </c>
      <c r="T32" s="42">
        <v>3619</v>
      </c>
      <c r="U32" s="16">
        <f t="shared" si="11"/>
        <v>160</v>
      </c>
      <c r="V32" t="s">
        <v>13</v>
      </c>
    </row>
    <row r="33" spans="1:21" ht="13.5" thickBot="1" x14ac:dyDescent="0.25">
      <c r="A33" s="10">
        <v>44316</v>
      </c>
      <c r="B33" s="42">
        <v>45185</v>
      </c>
      <c r="C33" s="16">
        <f t="shared" si="0"/>
        <v>640</v>
      </c>
      <c r="D33" s="42">
        <v>39472</v>
      </c>
      <c r="E33" s="16">
        <f t="shared" si="1"/>
        <v>320</v>
      </c>
      <c r="F33" s="42">
        <v>20316</v>
      </c>
      <c r="G33" s="16">
        <f t="shared" si="2"/>
        <v>60</v>
      </c>
      <c r="H33" s="42">
        <v>240785</v>
      </c>
      <c r="I33" s="16">
        <f t="shared" si="3"/>
        <v>32</v>
      </c>
      <c r="J33" s="42">
        <f t="shared" ref="J33" si="14">J32</f>
        <v>303517</v>
      </c>
      <c r="K33" s="16">
        <f t="shared" si="5"/>
        <v>0</v>
      </c>
      <c r="L33" s="42">
        <v>24882</v>
      </c>
      <c r="M33" s="16">
        <f t="shared" si="6"/>
        <v>480</v>
      </c>
      <c r="N33" s="42">
        <v>215446</v>
      </c>
      <c r="O33" s="16">
        <f t="shared" si="7"/>
        <v>3</v>
      </c>
      <c r="P33" s="42">
        <v>101751</v>
      </c>
      <c r="Q33" s="16">
        <f t="shared" si="8"/>
        <v>100</v>
      </c>
      <c r="R33" s="1">
        <v>55047</v>
      </c>
      <c r="S33" s="16">
        <f t="shared" si="10"/>
        <v>0</v>
      </c>
      <c r="T33" s="42">
        <v>3620</v>
      </c>
      <c r="U33" s="16">
        <f t="shared" si="11"/>
        <v>160</v>
      </c>
    </row>
    <row r="34" spans="1:21" ht="16.5" thickBot="1" x14ac:dyDescent="0.3">
      <c r="A34" s="10" t="s">
        <v>24</v>
      </c>
      <c r="B34" s="1"/>
      <c r="C34" s="11">
        <f>SUM(C3:C33)</f>
        <v>23360</v>
      </c>
      <c r="D34" s="13"/>
      <c r="E34" s="11">
        <f>SUM(E3:E33)</f>
        <v>12640</v>
      </c>
      <c r="F34" s="13"/>
      <c r="G34" s="11">
        <f>SUM(G3:G33)</f>
        <v>1900</v>
      </c>
      <c r="H34" s="13"/>
      <c r="I34" s="11">
        <f>SUM(I3:I33)</f>
        <v>936</v>
      </c>
      <c r="J34" s="13"/>
      <c r="K34" s="11">
        <f>SUM(K3:K33)</f>
        <v>0</v>
      </c>
      <c r="L34" s="13"/>
      <c r="M34" s="11">
        <f>SUM(M3:M33)</f>
        <v>16640</v>
      </c>
      <c r="N34" s="43"/>
      <c r="O34" s="11">
        <f>SUM(O3:O33)</f>
        <v>2542</v>
      </c>
      <c r="P34" s="13"/>
      <c r="Q34" s="11">
        <f>SUM(Q3:Q33)</f>
        <v>3461</v>
      </c>
      <c r="R34" s="1"/>
      <c r="S34" s="11">
        <f>SUM(S3:S33)</f>
        <v>0</v>
      </c>
      <c r="T34" s="1"/>
      <c r="U34" s="11">
        <f>SUM(U3:U33)</f>
        <v>6080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22" zoomScale="110" zoomScaleNormal="110" workbookViewId="0">
      <selection activeCell="I33" sqref="I3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407443</v>
      </c>
      <c r="C2" s="49">
        <v>0</v>
      </c>
      <c r="D2" s="3">
        <v>3767800</v>
      </c>
      <c r="E2" s="49">
        <v>0</v>
      </c>
      <c r="F2" s="3">
        <v>2454800</v>
      </c>
      <c r="G2" s="49">
        <v>0</v>
      </c>
      <c r="H2" s="3">
        <v>726024</v>
      </c>
      <c r="I2" s="54"/>
      <c r="J2" s="23"/>
      <c r="K2" s="24"/>
    </row>
    <row r="3" spans="1:14" ht="16.5" thickBot="1" x14ac:dyDescent="0.3">
      <c r="A3" s="10">
        <v>44286</v>
      </c>
      <c r="B3" s="3">
        <v>407517</v>
      </c>
      <c r="C3" s="49">
        <v>740</v>
      </c>
      <c r="D3" s="3">
        <v>3781100</v>
      </c>
      <c r="E3" s="49">
        <v>359.1</v>
      </c>
      <c r="F3" s="3">
        <v>2534500</v>
      </c>
      <c r="G3" s="49">
        <v>191.7</v>
      </c>
      <c r="H3" s="3">
        <v>726148</v>
      </c>
      <c r="I3" s="54">
        <v>3.3479999999999999</v>
      </c>
      <c r="J3" s="23">
        <v>1294.1479999999999</v>
      </c>
      <c r="K3" s="24">
        <v>7583.7072799999996</v>
      </c>
    </row>
    <row r="4" spans="1:14" ht="16.5" thickBot="1" x14ac:dyDescent="0.3">
      <c r="A4" s="10">
        <v>44287</v>
      </c>
      <c r="B4" s="3">
        <v>407541</v>
      </c>
      <c r="C4" s="49">
        <f t="shared" ref="C4:C8" si="0">(IF((B4-B3)&lt;0,"0",(B4-B3)))*10</f>
        <v>240</v>
      </c>
      <c r="D4" s="3">
        <v>3793400</v>
      </c>
      <c r="E4" s="49">
        <f t="shared" ref="E4:E33" si="1">(IF((D4-D3)&lt;0,"0",(D4-D3)))*0.027</f>
        <v>332.1</v>
      </c>
      <c r="F4" s="3">
        <v>2547600</v>
      </c>
      <c r="G4" s="49">
        <f>(IF((F4-F3)&lt;0,"0",(F4-F3)))*0.027</f>
        <v>353.7</v>
      </c>
      <c r="H4" s="3">
        <v>726286</v>
      </c>
      <c r="I4" s="54">
        <f>(IF((H4-H3)&lt;0,"0",(H4-H3)))*0.027</f>
        <v>3.726</v>
      </c>
      <c r="J4" s="23">
        <f t="shared" ref="J4:J33" si="2">C4+E4+G4+I4</f>
        <v>929.52599999999995</v>
      </c>
      <c r="K4" s="24">
        <f t="shared" ref="K4:K33" si="3">J4*5.86</f>
        <v>5447.0223599999999</v>
      </c>
    </row>
    <row r="5" spans="1:14" ht="16.5" thickBot="1" x14ac:dyDescent="0.3">
      <c r="A5" s="10">
        <v>44288</v>
      </c>
      <c r="B5" s="3">
        <v>407665</v>
      </c>
      <c r="C5" s="49">
        <f t="shared" si="0"/>
        <v>1240</v>
      </c>
      <c r="D5" s="3">
        <v>3805600</v>
      </c>
      <c r="E5" s="49">
        <f t="shared" si="1"/>
        <v>329.4</v>
      </c>
      <c r="F5" s="3">
        <v>2556100</v>
      </c>
      <c r="G5" s="49">
        <f t="shared" ref="G5:G33" si="4">(IF((F5-F4)&lt;0,"0",(F5-F4)))*0.027</f>
        <v>229.5</v>
      </c>
      <c r="H5" s="3">
        <v>726473</v>
      </c>
      <c r="I5" s="54">
        <f t="shared" ref="I5:I33" si="5">(IF((H5-H4)&lt;0,"0",(H5-H4)))*0.027</f>
        <v>5.0490000000000004</v>
      </c>
      <c r="J5" s="23">
        <f t="shared" si="2"/>
        <v>1803.9490000000001</v>
      </c>
      <c r="K5" s="24">
        <f t="shared" si="3"/>
        <v>10571.141140000002</v>
      </c>
    </row>
    <row r="6" spans="1:14" ht="16.5" thickBot="1" x14ac:dyDescent="0.3">
      <c r="A6" s="10">
        <v>44289</v>
      </c>
      <c r="B6" s="3">
        <v>407747</v>
      </c>
      <c r="C6" s="49">
        <f t="shared" si="0"/>
        <v>820</v>
      </c>
      <c r="D6" s="3">
        <v>3818400</v>
      </c>
      <c r="E6" s="49">
        <f t="shared" si="1"/>
        <v>345.6</v>
      </c>
      <c r="F6" s="3">
        <v>2565600</v>
      </c>
      <c r="G6" s="49">
        <f t="shared" si="4"/>
        <v>256.5</v>
      </c>
      <c r="H6" s="3">
        <v>726660</v>
      </c>
      <c r="I6" s="54">
        <f t="shared" si="5"/>
        <v>5.0490000000000004</v>
      </c>
      <c r="J6" s="23">
        <f t="shared" si="2"/>
        <v>1427.1489999999999</v>
      </c>
      <c r="K6" s="24">
        <f t="shared" si="3"/>
        <v>8363.093139999999</v>
      </c>
    </row>
    <row r="7" spans="1:14" ht="16.5" thickBot="1" x14ac:dyDescent="0.3">
      <c r="A7" s="10">
        <v>44290</v>
      </c>
      <c r="B7" s="3">
        <v>407822</v>
      </c>
      <c r="C7" s="49">
        <f t="shared" si="0"/>
        <v>750</v>
      </c>
      <c r="D7" s="3">
        <v>3830400</v>
      </c>
      <c r="E7" s="49">
        <f t="shared" si="1"/>
        <v>324</v>
      </c>
      <c r="F7" s="3">
        <v>2575200</v>
      </c>
      <c r="G7" s="49">
        <f t="shared" si="4"/>
        <v>259.2</v>
      </c>
      <c r="H7" s="3">
        <v>726824</v>
      </c>
      <c r="I7" s="54">
        <f t="shared" si="5"/>
        <v>4.4279999999999999</v>
      </c>
      <c r="J7" s="23">
        <f t="shared" si="2"/>
        <v>1337.6280000000002</v>
      </c>
      <c r="K7" s="24">
        <f t="shared" si="3"/>
        <v>7838.5000800000016</v>
      </c>
      <c r="L7" t="s">
        <v>13</v>
      </c>
      <c r="N7" t="s">
        <v>13</v>
      </c>
    </row>
    <row r="8" spans="1:14" ht="16.5" thickBot="1" x14ac:dyDescent="0.3">
      <c r="A8" s="10">
        <v>44291</v>
      </c>
      <c r="B8" s="3">
        <v>407939</v>
      </c>
      <c r="C8" s="49">
        <f t="shared" si="0"/>
        <v>1170</v>
      </c>
      <c r="D8" s="3">
        <v>3843000</v>
      </c>
      <c r="E8" s="49">
        <f t="shared" si="1"/>
        <v>340.2</v>
      </c>
      <c r="F8" s="3">
        <v>2587000</v>
      </c>
      <c r="G8" s="49">
        <f t="shared" si="4"/>
        <v>318.60000000000002</v>
      </c>
      <c r="H8" s="3">
        <v>726964</v>
      </c>
      <c r="I8" s="54">
        <f t="shared" si="5"/>
        <v>3.78</v>
      </c>
      <c r="J8" s="23">
        <f t="shared" si="2"/>
        <v>1832.5800000000002</v>
      </c>
      <c r="K8" s="24">
        <f t="shared" si="3"/>
        <v>10738.918800000001</v>
      </c>
    </row>
    <row r="9" spans="1:14" ht="16.5" thickBot="1" x14ac:dyDescent="0.3">
      <c r="A9" s="10">
        <v>44292</v>
      </c>
      <c r="B9" s="3">
        <v>407995</v>
      </c>
      <c r="C9" s="49">
        <f t="shared" ref="C9:C33" si="6">(IF((B9-B8)&lt;0,"0",(B9-B8)))*10</f>
        <v>560</v>
      </c>
      <c r="D9" s="3">
        <v>3855500</v>
      </c>
      <c r="E9" s="49">
        <f t="shared" si="1"/>
        <v>337.5</v>
      </c>
      <c r="F9" s="3">
        <v>2598000</v>
      </c>
      <c r="G9" s="49">
        <f t="shared" si="4"/>
        <v>297</v>
      </c>
      <c r="H9" s="3">
        <v>727090</v>
      </c>
      <c r="I9" s="54">
        <f t="shared" si="5"/>
        <v>3.4020000000000001</v>
      </c>
      <c r="J9" s="23">
        <f t="shared" si="2"/>
        <v>1197.902</v>
      </c>
      <c r="K9" s="24">
        <f t="shared" si="3"/>
        <v>7019.7057200000008</v>
      </c>
    </row>
    <row r="10" spans="1:14" ht="16.5" thickBot="1" x14ac:dyDescent="0.3">
      <c r="A10" s="10">
        <v>44293</v>
      </c>
      <c r="B10" s="3">
        <v>408045</v>
      </c>
      <c r="C10" s="49">
        <f>(IF((B10-B9)&lt;0,"0",(B10-B9)))*10</f>
        <v>500</v>
      </c>
      <c r="D10" s="3">
        <v>3869400</v>
      </c>
      <c r="E10" s="49">
        <f t="shared" si="1"/>
        <v>375.3</v>
      </c>
      <c r="F10" s="3">
        <v>2611900</v>
      </c>
      <c r="G10" s="49">
        <f t="shared" si="4"/>
        <v>375.3</v>
      </c>
      <c r="H10" s="3">
        <v>727240</v>
      </c>
      <c r="I10" s="54">
        <f t="shared" si="5"/>
        <v>4.05</v>
      </c>
      <c r="J10" s="23">
        <f t="shared" si="2"/>
        <v>1254.6499999999999</v>
      </c>
      <c r="K10" s="24">
        <f t="shared" si="3"/>
        <v>7352.2489999999998</v>
      </c>
    </row>
    <row r="11" spans="1:14" ht="16.5" thickBot="1" x14ac:dyDescent="0.3">
      <c r="A11" s="10">
        <v>44294</v>
      </c>
      <c r="B11" s="3">
        <v>408100</v>
      </c>
      <c r="C11" s="49">
        <f t="shared" si="6"/>
        <v>550</v>
      </c>
      <c r="D11" s="3">
        <v>3881300</v>
      </c>
      <c r="E11" s="49">
        <f t="shared" si="1"/>
        <v>321.3</v>
      </c>
      <c r="F11" s="3">
        <v>2625100</v>
      </c>
      <c r="G11" s="49">
        <f t="shared" si="4"/>
        <v>356.4</v>
      </c>
      <c r="H11" s="3">
        <v>727410</v>
      </c>
      <c r="I11" s="54">
        <f t="shared" si="5"/>
        <v>4.59</v>
      </c>
      <c r="J11" s="23">
        <f t="shared" si="2"/>
        <v>1232.2899999999997</v>
      </c>
      <c r="K11" s="24">
        <f t="shared" si="3"/>
        <v>7221.219399999999</v>
      </c>
      <c r="N11" t="s">
        <v>13</v>
      </c>
    </row>
    <row r="12" spans="1:14" ht="16.5" thickBot="1" x14ac:dyDescent="0.3">
      <c r="A12" s="10">
        <v>44295</v>
      </c>
      <c r="B12" s="3">
        <v>408266</v>
      </c>
      <c r="C12" s="49">
        <f t="shared" si="6"/>
        <v>1660</v>
      </c>
      <c r="D12" s="3">
        <v>3895000</v>
      </c>
      <c r="E12" s="49">
        <f t="shared" si="1"/>
        <v>369.9</v>
      </c>
      <c r="F12" s="3">
        <v>2632300</v>
      </c>
      <c r="G12" s="49">
        <f t="shared" si="4"/>
        <v>194.4</v>
      </c>
      <c r="H12" s="3">
        <v>727504</v>
      </c>
      <c r="I12" s="54">
        <f t="shared" si="5"/>
        <v>2.5379999999999998</v>
      </c>
      <c r="J12" s="23">
        <f t="shared" si="2"/>
        <v>2226.8380000000002</v>
      </c>
      <c r="K12" s="24">
        <f t="shared" si="3"/>
        <v>13049.270680000001</v>
      </c>
    </row>
    <row r="13" spans="1:14" ht="16.5" thickBot="1" x14ac:dyDescent="0.3">
      <c r="A13" s="10">
        <v>44296</v>
      </c>
      <c r="B13" s="3">
        <v>408432</v>
      </c>
      <c r="C13" s="49">
        <f t="shared" si="6"/>
        <v>1660</v>
      </c>
      <c r="D13" s="3">
        <v>3906800</v>
      </c>
      <c r="E13" s="49">
        <f t="shared" si="1"/>
        <v>318.60000000000002</v>
      </c>
      <c r="F13" s="3">
        <v>2641600</v>
      </c>
      <c r="G13" s="49">
        <f t="shared" si="4"/>
        <v>251.1</v>
      </c>
      <c r="H13" s="3">
        <v>727626</v>
      </c>
      <c r="I13" s="54">
        <f t="shared" si="5"/>
        <v>3.294</v>
      </c>
      <c r="J13" s="23">
        <f t="shared" si="2"/>
        <v>2232.9939999999997</v>
      </c>
      <c r="K13" s="24">
        <f t="shared" si="3"/>
        <v>13085.34484</v>
      </c>
    </row>
    <row r="14" spans="1:14" ht="16.5" thickBot="1" x14ac:dyDescent="0.3">
      <c r="A14" s="10">
        <v>44297</v>
      </c>
      <c r="B14" s="3">
        <v>408480</v>
      </c>
      <c r="C14" s="49">
        <f t="shared" si="6"/>
        <v>480</v>
      </c>
      <c r="D14" s="3">
        <v>3918800</v>
      </c>
      <c r="E14" s="49">
        <f t="shared" si="1"/>
        <v>324</v>
      </c>
      <c r="F14" s="3">
        <v>2649500</v>
      </c>
      <c r="G14" s="49">
        <f t="shared" si="4"/>
        <v>213.3</v>
      </c>
      <c r="H14" s="3">
        <v>727752</v>
      </c>
      <c r="I14" s="54">
        <f t="shared" si="5"/>
        <v>3.4020000000000001</v>
      </c>
      <c r="J14" s="23">
        <f t="shared" si="2"/>
        <v>1020.702</v>
      </c>
      <c r="K14" s="24">
        <f t="shared" si="3"/>
        <v>5981.3137200000001</v>
      </c>
    </row>
    <row r="15" spans="1:14" ht="16.5" thickBot="1" x14ac:dyDescent="0.3">
      <c r="A15" s="10">
        <v>44298</v>
      </c>
      <c r="B15" s="3">
        <v>408494</v>
      </c>
      <c r="C15" s="49">
        <f t="shared" si="6"/>
        <v>140</v>
      </c>
      <c r="D15" s="3">
        <v>3932100</v>
      </c>
      <c r="E15" s="49">
        <f t="shared" si="1"/>
        <v>359.1</v>
      </c>
      <c r="F15" s="3">
        <v>2659000</v>
      </c>
      <c r="G15" s="49">
        <f t="shared" si="4"/>
        <v>256.5</v>
      </c>
      <c r="H15" s="3">
        <v>727925</v>
      </c>
      <c r="I15" s="54">
        <f t="shared" si="5"/>
        <v>4.6710000000000003</v>
      </c>
      <c r="J15" s="23">
        <f t="shared" si="2"/>
        <v>760.27100000000007</v>
      </c>
      <c r="K15" s="24">
        <f t="shared" si="3"/>
        <v>4455.1880600000004</v>
      </c>
    </row>
    <row r="16" spans="1:14" ht="16.5" thickBot="1" x14ac:dyDescent="0.3">
      <c r="A16" s="10">
        <v>44299</v>
      </c>
      <c r="B16" s="3">
        <v>408510</v>
      </c>
      <c r="C16" s="49">
        <f t="shared" si="6"/>
        <v>160</v>
      </c>
      <c r="D16" s="3">
        <v>3943200</v>
      </c>
      <c r="E16" s="49">
        <f t="shared" si="1"/>
        <v>299.7</v>
      </c>
      <c r="F16" s="3">
        <v>2666200</v>
      </c>
      <c r="G16" s="49">
        <f t="shared" si="4"/>
        <v>194.4</v>
      </c>
      <c r="H16" s="3">
        <v>728047</v>
      </c>
      <c r="I16" s="54">
        <f t="shared" si="5"/>
        <v>3.294</v>
      </c>
      <c r="J16" s="23">
        <f t="shared" si="2"/>
        <v>657.39400000000001</v>
      </c>
      <c r="K16" s="24">
        <f t="shared" si="3"/>
        <v>3852.3288400000001</v>
      </c>
    </row>
    <row r="17" spans="1:25" ht="16.5" thickBot="1" x14ac:dyDescent="0.3">
      <c r="A17" s="10">
        <v>44300</v>
      </c>
      <c r="B17" s="3">
        <v>408580</v>
      </c>
      <c r="C17" s="49">
        <f t="shared" si="6"/>
        <v>700</v>
      </c>
      <c r="D17" s="3">
        <v>3957400</v>
      </c>
      <c r="E17" s="49">
        <f t="shared" si="1"/>
        <v>383.4</v>
      </c>
      <c r="F17" s="3">
        <v>2674300</v>
      </c>
      <c r="G17" s="49">
        <f t="shared" si="4"/>
        <v>218.7</v>
      </c>
      <c r="H17" s="3">
        <v>728198</v>
      </c>
      <c r="I17" s="54">
        <f t="shared" si="5"/>
        <v>4.077</v>
      </c>
      <c r="J17" s="23">
        <f t="shared" si="2"/>
        <v>1306.1770000000001</v>
      </c>
      <c r="K17" s="24">
        <f t="shared" si="3"/>
        <v>7654.1972200000009</v>
      </c>
      <c r="P17" t="s">
        <v>13</v>
      </c>
      <c r="R17" t="s">
        <v>13</v>
      </c>
    </row>
    <row r="18" spans="1:25" ht="16.5" thickBot="1" x14ac:dyDescent="0.3">
      <c r="A18" s="10">
        <v>44301</v>
      </c>
      <c r="B18" s="3">
        <v>408655</v>
      </c>
      <c r="C18" s="49">
        <f t="shared" si="6"/>
        <v>750</v>
      </c>
      <c r="D18" s="3">
        <v>3972200</v>
      </c>
      <c r="E18" s="49">
        <f t="shared" si="1"/>
        <v>399.6</v>
      </c>
      <c r="F18" s="3">
        <v>2684000</v>
      </c>
      <c r="G18" s="49">
        <f t="shared" si="4"/>
        <v>261.89999999999998</v>
      </c>
      <c r="H18" s="3">
        <v>728348</v>
      </c>
      <c r="I18" s="54">
        <f t="shared" si="5"/>
        <v>4.05</v>
      </c>
      <c r="J18" s="23">
        <f t="shared" si="2"/>
        <v>1415.55</v>
      </c>
      <c r="K18" s="24">
        <f t="shared" si="3"/>
        <v>8295.1229999999996</v>
      </c>
      <c r="Q18" t="s">
        <v>44</v>
      </c>
    </row>
    <row r="19" spans="1:25" ht="16.5" thickBot="1" x14ac:dyDescent="0.3">
      <c r="A19" s="10">
        <v>44302</v>
      </c>
      <c r="B19" s="3">
        <v>408724</v>
      </c>
      <c r="C19" s="49">
        <f t="shared" si="6"/>
        <v>690</v>
      </c>
      <c r="D19" s="3">
        <v>3985200</v>
      </c>
      <c r="E19" s="49">
        <f t="shared" si="1"/>
        <v>351</v>
      </c>
      <c r="F19" s="3">
        <v>2693000</v>
      </c>
      <c r="G19" s="49">
        <f t="shared" si="4"/>
        <v>243</v>
      </c>
      <c r="H19" s="3">
        <v>728464</v>
      </c>
      <c r="I19" s="54">
        <f t="shared" si="5"/>
        <v>3.1320000000000001</v>
      </c>
      <c r="J19" s="23">
        <f t="shared" si="2"/>
        <v>1287.1320000000001</v>
      </c>
      <c r="K19" s="24">
        <f t="shared" si="3"/>
        <v>7542.5935200000004</v>
      </c>
      <c r="Q19" t="s">
        <v>13</v>
      </c>
    </row>
    <row r="20" spans="1:25" ht="16.5" thickBot="1" x14ac:dyDescent="0.3">
      <c r="A20" s="10">
        <v>44303</v>
      </c>
      <c r="B20" s="3">
        <v>408789</v>
      </c>
      <c r="C20" s="49">
        <f t="shared" si="6"/>
        <v>650</v>
      </c>
      <c r="D20" s="3">
        <v>3997000</v>
      </c>
      <c r="E20" s="49">
        <f t="shared" si="1"/>
        <v>318.60000000000002</v>
      </c>
      <c r="F20" s="3">
        <v>2702100</v>
      </c>
      <c r="G20" s="49">
        <f t="shared" si="4"/>
        <v>245.7</v>
      </c>
      <c r="H20" s="3">
        <v>728593</v>
      </c>
      <c r="I20" s="54">
        <f t="shared" si="5"/>
        <v>3.4830000000000001</v>
      </c>
      <c r="J20" s="23">
        <f t="shared" si="2"/>
        <v>1217.7829999999999</v>
      </c>
      <c r="K20" s="24">
        <f t="shared" si="3"/>
        <v>7136.20838</v>
      </c>
    </row>
    <row r="21" spans="1:25" ht="16.5" thickBot="1" x14ac:dyDescent="0.3">
      <c r="A21" s="10">
        <v>44304</v>
      </c>
      <c r="B21" s="3">
        <v>408852</v>
      </c>
      <c r="C21" s="49">
        <f t="shared" si="6"/>
        <v>630</v>
      </c>
      <c r="D21" s="3">
        <v>4010500</v>
      </c>
      <c r="E21" s="49">
        <f t="shared" si="1"/>
        <v>364.5</v>
      </c>
      <c r="F21" s="3">
        <v>2713100</v>
      </c>
      <c r="G21" s="49">
        <f t="shared" si="4"/>
        <v>297</v>
      </c>
      <c r="H21" s="3">
        <v>728751</v>
      </c>
      <c r="I21" s="54">
        <f t="shared" si="5"/>
        <v>4.266</v>
      </c>
      <c r="J21" s="23">
        <f t="shared" si="2"/>
        <v>1295.7660000000001</v>
      </c>
      <c r="K21" s="24">
        <f t="shared" si="3"/>
        <v>7593.1887600000009</v>
      </c>
    </row>
    <row r="22" spans="1:25" ht="16.5" thickBot="1" x14ac:dyDescent="0.3">
      <c r="A22" s="10">
        <v>44305</v>
      </c>
      <c r="B22" s="3">
        <v>408963</v>
      </c>
      <c r="C22" s="49">
        <f t="shared" si="6"/>
        <v>1110</v>
      </c>
      <c r="D22" s="3">
        <v>4025200</v>
      </c>
      <c r="E22" s="49">
        <f t="shared" si="1"/>
        <v>396.9</v>
      </c>
      <c r="F22" s="3">
        <v>2725100</v>
      </c>
      <c r="G22" s="49">
        <f t="shared" si="4"/>
        <v>324</v>
      </c>
      <c r="H22" s="3">
        <v>728880</v>
      </c>
      <c r="I22" s="54">
        <f t="shared" si="5"/>
        <v>3.4830000000000001</v>
      </c>
      <c r="J22" s="23">
        <f t="shared" si="2"/>
        <v>1834.383</v>
      </c>
      <c r="K22" s="24">
        <f t="shared" si="3"/>
        <v>10749.484380000002</v>
      </c>
      <c r="P22" t="s">
        <v>13</v>
      </c>
      <c r="S22" s="36" t="s">
        <v>13</v>
      </c>
    </row>
    <row r="23" spans="1:25" ht="16.5" thickBot="1" x14ac:dyDescent="0.3">
      <c r="A23" s="10">
        <v>44306</v>
      </c>
      <c r="B23" s="3">
        <v>409046</v>
      </c>
      <c r="C23" s="49">
        <f t="shared" si="6"/>
        <v>830</v>
      </c>
      <c r="D23" s="3">
        <v>4037800</v>
      </c>
      <c r="E23" s="49">
        <f t="shared" si="1"/>
        <v>340.2</v>
      </c>
      <c r="F23" s="3">
        <v>2735700</v>
      </c>
      <c r="G23" s="49">
        <f t="shared" si="4"/>
        <v>286.2</v>
      </c>
      <c r="H23" s="3">
        <v>729015</v>
      </c>
      <c r="I23" s="54">
        <f t="shared" si="5"/>
        <v>3.645</v>
      </c>
      <c r="J23" s="23">
        <f t="shared" si="2"/>
        <v>1460.0450000000001</v>
      </c>
      <c r="K23" s="24">
        <f t="shared" si="3"/>
        <v>8555.8637000000017</v>
      </c>
      <c r="Q23" t="s">
        <v>13</v>
      </c>
    </row>
    <row r="24" spans="1:25" ht="16.5" thickBot="1" x14ac:dyDescent="0.3">
      <c r="A24" s="10">
        <v>44307</v>
      </c>
      <c r="B24" s="3">
        <v>409096</v>
      </c>
      <c r="C24" s="49">
        <f t="shared" si="6"/>
        <v>500</v>
      </c>
      <c r="D24" s="3">
        <v>4052000</v>
      </c>
      <c r="E24" s="49">
        <f t="shared" si="1"/>
        <v>383.4</v>
      </c>
      <c r="F24" s="3">
        <v>2747200</v>
      </c>
      <c r="G24" s="49">
        <f t="shared" si="4"/>
        <v>310.5</v>
      </c>
      <c r="H24" s="3">
        <v>729154</v>
      </c>
      <c r="I24" s="54">
        <f t="shared" si="5"/>
        <v>3.7530000000000001</v>
      </c>
      <c r="J24" s="23">
        <f t="shared" si="2"/>
        <v>1197.653</v>
      </c>
      <c r="K24" s="24">
        <f t="shared" si="3"/>
        <v>7018.2465800000009</v>
      </c>
    </row>
    <row r="25" spans="1:25" ht="17.25" customHeight="1" thickBot="1" x14ac:dyDescent="0.4">
      <c r="A25" s="10">
        <v>44308</v>
      </c>
      <c r="B25" s="3">
        <v>409188</v>
      </c>
      <c r="C25" s="49">
        <f t="shared" si="6"/>
        <v>920</v>
      </c>
      <c r="D25" s="3">
        <v>4065900</v>
      </c>
      <c r="E25" s="49">
        <f t="shared" si="1"/>
        <v>375.3</v>
      </c>
      <c r="F25" s="3">
        <v>2757300</v>
      </c>
      <c r="G25" s="49">
        <f>F25-F24</f>
        <v>10100</v>
      </c>
      <c r="H25" s="3">
        <v>729292</v>
      </c>
      <c r="I25" s="54">
        <f t="shared" si="5"/>
        <v>3.726</v>
      </c>
      <c r="J25" s="23">
        <f t="shared" si="2"/>
        <v>11399.026</v>
      </c>
      <c r="K25" s="24">
        <f t="shared" si="3"/>
        <v>66798.292360000007</v>
      </c>
      <c r="Y25" s="65"/>
    </row>
    <row r="26" spans="1:25" ht="16.5" thickBot="1" x14ac:dyDescent="0.3">
      <c r="A26" s="10">
        <v>44309</v>
      </c>
      <c r="B26" s="3">
        <v>409257</v>
      </c>
      <c r="C26" s="49">
        <f t="shared" si="6"/>
        <v>690</v>
      </c>
      <c r="D26" s="3">
        <v>4080100</v>
      </c>
      <c r="E26" s="49">
        <f t="shared" si="1"/>
        <v>383.4</v>
      </c>
      <c r="F26" s="3">
        <v>2766300</v>
      </c>
      <c r="G26" s="49">
        <f t="shared" si="4"/>
        <v>243</v>
      </c>
      <c r="H26" s="3">
        <v>729419</v>
      </c>
      <c r="I26" s="54">
        <f t="shared" si="5"/>
        <v>3.4289999999999998</v>
      </c>
      <c r="J26" s="23">
        <f t="shared" si="2"/>
        <v>1319.8290000000002</v>
      </c>
      <c r="K26" s="24">
        <f t="shared" si="3"/>
        <v>7734.1979400000018</v>
      </c>
      <c r="L26" t="s">
        <v>13</v>
      </c>
    </row>
    <row r="27" spans="1:25" ht="16.5" thickBot="1" x14ac:dyDescent="0.3">
      <c r="A27" s="10">
        <v>44310</v>
      </c>
      <c r="B27" s="3">
        <v>409342</v>
      </c>
      <c r="C27" s="49">
        <f t="shared" si="6"/>
        <v>850</v>
      </c>
      <c r="D27" s="3">
        <v>4094100</v>
      </c>
      <c r="E27" s="49">
        <f t="shared" si="1"/>
        <v>378</v>
      </c>
      <c r="F27" s="3">
        <v>2774400</v>
      </c>
      <c r="G27" s="49">
        <f t="shared" si="4"/>
        <v>218.7</v>
      </c>
      <c r="H27" s="3">
        <v>729540</v>
      </c>
      <c r="I27" s="54">
        <f t="shared" si="5"/>
        <v>3.2669999999999999</v>
      </c>
      <c r="J27" s="23">
        <f t="shared" si="2"/>
        <v>1449.9670000000001</v>
      </c>
      <c r="K27" s="24">
        <f t="shared" si="3"/>
        <v>8496.8066200000012</v>
      </c>
      <c r="O27" t="s">
        <v>13</v>
      </c>
    </row>
    <row r="28" spans="1:25" ht="16.5" thickBot="1" x14ac:dyDescent="0.3">
      <c r="A28" s="10">
        <v>44311</v>
      </c>
      <c r="B28" s="3">
        <v>409393</v>
      </c>
      <c r="C28" s="49">
        <f t="shared" si="6"/>
        <v>510</v>
      </c>
      <c r="D28" s="3">
        <v>4106200</v>
      </c>
      <c r="E28" s="49">
        <f t="shared" si="1"/>
        <v>326.7</v>
      </c>
      <c r="F28" s="3">
        <v>2783800</v>
      </c>
      <c r="G28" s="49">
        <f t="shared" si="4"/>
        <v>253.79999999999998</v>
      </c>
      <c r="H28" s="3">
        <v>729696</v>
      </c>
      <c r="I28" s="54">
        <f t="shared" si="5"/>
        <v>4.2119999999999997</v>
      </c>
      <c r="J28" s="23">
        <f t="shared" si="2"/>
        <v>1094.712</v>
      </c>
      <c r="K28" s="24">
        <f t="shared" si="3"/>
        <v>6415.0123200000007</v>
      </c>
    </row>
    <row r="29" spans="1:25" ht="16.5" thickBot="1" x14ac:dyDescent="0.3">
      <c r="A29" s="10">
        <v>44312</v>
      </c>
      <c r="B29" s="3">
        <v>409544</v>
      </c>
      <c r="C29" s="49">
        <f t="shared" si="6"/>
        <v>1510</v>
      </c>
      <c r="D29" s="3">
        <v>4119100</v>
      </c>
      <c r="E29" s="49">
        <f t="shared" si="1"/>
        <v>348.3</v>
      </c>
      <c r="F29" s="3">
        <v>2792100</v>
      </c>
      <c r="G29" s="49">
        <f t="shared" si="4"/>
        <v>224.1</v>
      </c>
      <c r="H29" s="3">
        <v>730020</v>
      </c>
      <c r="I29" s="54">
        <f t="shared" si="5"/>
        <v>8.7479999999999993</v>
      </c>
      <c r="J29" s="23">
        <f t="shared" si="2"/>
        <v>2091.1480000000001</v>
      </c>
      <c r="K29" s="24">
        <f t="shared" si="3"/>
        <v>12254.127280000001</v>
      </c>
    </row>
    <row r="30" spans="1:25" ht="16.5" thickBot="1" x14ac:dyDescent="0.3">
      <c r="A30" s="10">
        <v>44313</v>
      </c>
      <c r="B30" s="3">
        <v>409598</v>
      </c>
      <c r="C30" s="49">
        <f t="shared" si="6"/>
        <v>540</v>
      </c>
      <c r="D30" s="3">
        <v>4132000</v>
      </c>
      <c r="E30" s="49">
        <f t="shared" si="1"/>
        <v>348.3</v>
      </c>
      <c r="F30" s="3">
        <v>2800300</v>
      </c>
      <c r="G30" s="49">
        <f t="shared" si="4"/>
        <v>221.4</v>
      </c>
      <c r="H30" s="3">
        <v>730165</v>
      </c>
      <c r="I30" s="54">
        <f t="shared" si="5"/>
        <v>3.915</v>
      </c>
      <c r="J30" s="23">
        <f t="shared" si="2"/>
        <v>1113.615</v>
      </c>
      <c r="K30" s="24">
        <f t="shared" si="3"/>
        <v>6525.7839000000004</v>
      </c>
    </row>
    <row r="31" spans="1:25" ht="16.5" thickBot="1" x14ac:dyDescent="0.3">
      <c r="A31" s="10">
        <v>44314</v>
      </c>
      <c r="B31" s="3">
        <v>409645</v>
      </c>
      <c r="C31" s="49">
        <f t="shared" si="6"/>
        <v>470</v>
      </c>
      <c r="D31" s="3">
        <v>4143100</v>
      </c>
      <c r="E31" s="49">
        <f t="shared" si="1"/>
        <v>299.7</v>
      </c>
      <c r="F31" s="3">
        <v>2808400</v>
      </c>
      <c r="G31" s="49">
        <f t="shared" si="4"/>
        <v>218.7</v>
      </c>
      <c r="H31" s="3">
        <v>730313</v>
      </c>
      <c r="I31" s="54">
        <f t="shared" si="5"/>
        <v>3.996</v>
      </c>
      <c r="J31" s="23">
        <f t="shared" si="2"/>
        <v>992.39600000000007</v>
      </c>
      <c r="K31" s="24">
        <f t="shared" si="3"/>
        <v>5815.4405600000009</v>
      </c>
    </row>
    <row r="32" spans="1:25" ht="16.5" thickBot="1" x14ac:dyDescent="0.3">
      <c r="A32" s="10">
        <v>44315</v>
      </c>
      <c r="B32" s="3">
        <v>409699</v>
      </c>
      <c r="C32" s="49">
        <f t="shared" si="6"/>
        <v>540</v>
      </c>
      <c r="D32" s="3">
        <v>4155800</v>
      </c>
      <c r="E32" s="49">
        <f t="shared" si="1"/>
        <v>342.9</v>
      </c>
      <c r="F32" s="3">
        <v>2818400</v>
      </c>
      <c r="G32" s="49">
        <f t="shared" si="4"/>
        <v>270</v>
      </c>
      <c r="H32" s="3">
        <v>730455</v>
      </c>
      <c r="I32" s="54">
        <f t="shared" si="5"/>
        <v>3.8340000000000001</v>
      </c>
      <c r="J32" s="23">
        <f t="shared" si="2"/>
        <v>1156.7340000000002</v>
      </c>
      <c r="K32" s="24">
        <f t="shared" si="3"/>
        <v>6778.4612400000015</v>
      </c>
    </row>
    <row r="33" spans="1:11" ht="16.5" thickBot="1" x14ac:dyDescent="0.3">
      <c r="A33" s="10">
        <v>44316</v>
      </c>
      <c r="B33" s="3">
        <v>409858</v>
      </c>
      <c r="C33" s="49">
        <f t="shared" si="6"/>
        <v>1590</v>
      </c>
      <c r="D33" s="3">
        <v>4167000</v>
      </c>
      <c r="E33" s="49">
        <f t="shared" si="1"/>
        <v>302.39999999999998</v>
      </c>
      <c r="F33" s="3">
        <v>2826800</v>
      </c>
      <c r="G33" s="49">
        <f t="shared" si="4"/>
        <v>226.8</v>
      </c>
      <c r="H33" s="3">
        <v>730558</v>
      </c>
      <c r="I33" s="54">
        <f t="shared" si="5"/>
        <v>2.7810000000000001</v>
      </c>
      <c r="J33" s="23">
        <f t="shared" si="2"/>
        <v>2121.9810000000002</v>
      </c>
      <c r="K33" s="24">
        <f t="shared" si="3"/>
        <v>12434.808660000002</v>
      </c>
    </row>
    <row r="34" spans="1:11" ht="21" thickBot="1" x14ac:dyDescent="0.3">
      <c r="A34" s="9" t="s">
        <v>24</v>
      </c>
      <c r="B34" s="3"/>
      <c r="C34" s="66">
        <f>SUM(C3:C33)</f>
        <v>24150</v>
      </c>
      <c r="D34" s="3"/>
      <c r="E34" s="66">
        <f>SUM(E3:E33)</f>
        <v>10778.4</v>
      </c>
      <c r="F34" s="3"/>
      <c r="G34" s="66">
        <f>SUM(G3:G33)</f>
        <v>17911.099999999999</v>
      </c>
      <c r="H34" s="3"/>
      <c r="I34" s="66">
        <f>SUM(I3:I33)</f>
        <v>122.41800000000001</v>
      </c>
      <c r="J34" s="66">
        <f>SUM(J3:J33)</f>
        <v>52961.917999999991</v>
      </c>
      <c r="K34" s="66">
        <f>SUM(K3:K33)</f>
        <v>310356.83947999997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H1" zoomScale="120" zoomScaleNormal="120" zoomScaleSheetLayoutView="110" workbookViewId="0">
      <selection activeCell="W33" sqref="W33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164">
        <v>18067</v>
      </c>
      <c r="D2" s="49"/>
      <c r="E2" s="140">
        <v>25433539</v>
      </c>
      <c r="F2" s="49"/>
      <c r="G2" s="144">
        <v>79837635</v>
      </c>
      <c r="H2" s="49"/>
      <c r="I2" s="141">
        <f t="shared" ref="I2" si="0">F2+H2</f>
        <v>0</v>
      </c>
      <c r="J2" s="140">
        <v>7752235</v>
      </c>
      <c r="K2" s="49"/>
      <c r="L2" s="142">
        <v>7774835</v>
      </c>
      <c r="M2" s="49"/>
      <c r="N2" s="140">
        <v>5008835</v>
      </c>
      <c r="O2" s="49"/>
      <c r="P2" s="142">
        <v>2893394</v>
      </c>
      <c r="Q2" s="49"/>
      <c r="R2" s="140">
        <v>16985908</v>
      </c>
      <c r="S2" s="49"/>
      <c r="T2" s="140">
        <v>0</v>
      </c>
      <c r="U2" s="143"/>
      <c r="V2" s="140">
        <v>4578564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44286</v>
      </c>
      <c r="B3" s="49">
        <v>160</v>
      </c>
      <c r="C3" s="164">
        <v>18069</v>
      </c>
      <c r="D3" s="49">
        <v>320</v>
      </c>
      <c r="E3" s="140">
        <v>25442432</v>
      </c>
      <c r="F3" s="49">
        <v>8893</v>
      </c>
      <c r="G3" s="144">
        <v>79883133</v>
      </c>
      <c r="H3" s="49">
        <v>45508</v>
      </c>
      <c r="I3" s="141">
        <v>54401</v>
      </c>
      <c r="J3" s="140">
        <v>7757089</v>
      </c>
      <c r="K3" s="49">
        <v>4854</v>
      </c>
      <c r="L3" s="142">
        <v>7781096</v>
      </c>
      <c r="M3" s="49">
        <v>6261</v>
      </c>
      <c r="N3" s="140">
        <v>5010068</v>
      </c>
      <c r="O3" s="49">
        <v>2466</v>
      </c>
      <c r="P3" s="142">
        <v>2901868</v>
      </c>
      <c r="Q3" s="49">
        <v>8474</v>
      </c>
      <c r="R3" s="140">
        <v>16995683</v>
      </c>
      <c r="S3" s="49">
        <v>9775</v>
      </c>
      <c r="T3" s="140">
        <v>0</v>
      </c>
      <c r="U3" s="143"/>
      <c r="V3" s="140">
        <v>4589219</v>
      </c>
      <c r="W3" s="49">
        <v>10650</v>
      </c>
      <c r="X3" s="28">
        <v>42480</v>
      </c>
      <c r="Y3" s="35">
        <v>11921</v>
      </c>
      <c r="Z3" s="27">
        <v>6541.2198800000006</v>
      </c>
      <c r="AA3" s="27">
        <v>24533.201222400003</v>
      </c>
    </row>
    <row r="4" spans="1:27" ht="16.5" thickBot="1" x14ac:dyDescent="0.25">
      <c r="A4" s="10">
        <v>44287</v>
      </c>
      <c r="B4" s="49">
        <v>182</v>
      </c>
      <c r="C4" s="164">
        <v>18073</v>
      </c>
      <c r="D4" s="49">
        <f t="shared" ref="D4:D33" si="3">IF((C4-C3)&lt;0,"0",(C4-C3))*160</f>
        <v>640</v>
      </c>
      <c r="E4" s="140">
        <v>25448239</v>
      </c>
      <c r="F4" s="49">
        <f t="shared" ref="F4:F33" si="4">IF((E4-E3)&lt;0,"0",(E4-E3))</f>
        <v>5807</v>
      </c>
      <c r="G4" s="144">
        <v>79913721</v>
      </c>
      <c r="H4" s="49">
        <f t="shared" ref="H4:H33" si="5">IF((G4-G3)&lt;0,"0",(G4-G3))</f>
        <v>30588</v>
      </c>
      <c r="I4" s="141">
        <f t="shared" ref="I4:I30" si="6">F4+H4</f>
        <v>36395</v>
      </c>
      <c r="J4" s="140">
        <v>7760481</v>
      </c>
      <c r="K4" s="49">
        <f t="shared" ref="K4:K33" si="7">IF((J4-J3)&lt;0,"0",(J4-J3))</f>
        <v>3392</v>
      </c>
      <c r="L4" s="142">
        <v>7784916</v>
      </c>
      <c r="M4" s="49">
        <f t="shared" ref="M4:M33" si="8">IF((L4-L3)&lt;0,"0",(L4-L3))</f>
        <v>3820</v>
      </c>
      <c r="N4" s="140">
        <v>5011001</v>
      </c>
      <c r="O4" s="49">
        <f>(IF((N4-N3)&lt;P96,"0",(N4-N3)))*2</f>
        <v>1866</v>
      </c>
      <c r="P4" s="142">
        <v>2907646</v>
      </c>
      <c r="Q4" s="49">
        <f t="shared" ref="Q4:Q33" si="9">IF((P4-P3)&lt;0,"0",(P4-P3))</f>
        <v>5778</v>
      </c>
      <c r="R4" s="140">
        <v>17002170</v>
      </c>
      <c r="S4" s="49">
        <f t="shared" ref="S4:S33" si="10">IF((R4-R3)&lt;0,"0",(R4-R3))</f>
        <v>6487</v>
      </c>
      <c r="T4" s="140">
        <v>0</v>
      </c>
      <c r="U4" s="143"/>
      <c r="V4" s="140">
        <v>4596342</v>
      </c>
      <c r="W4" s="49">
        <f t="shared" ref="W4:W33" si="11">IF((V4-V3)&lt;0,"0",(V4-V3))</f>
        <v>7123</v>
      </c>
      <c r="X4" s="28">
        <f t="shared" ref="X4:X33" si="12">K4+M4+O4+Q4+S4+U4+W4</f>
        <v>28466</v>
      </c>
      <c r="Y4" s="35">
        <f t="shared" ref="Y4:Y33" si="13">I4-X4</f>
        <v>7929</v>
      </c>
      <c r="Z4" s="27">
        <f t="shared" ref="Z4:Z33" si="14">(0.93352*(W4+S4)+0.5568*(Q4+O4))*0.26</f>
        <v>4409.9604639999998</v>
      </c>
      <c r="AA4" s="27">
        <f>SUM(Z2:Z4)</f>
        <v>10951.180344</v>
      </c>
    </row>
    <row r="5" spans="1:27" ht="16.5" thickBot="1" x14ac:dyDescent="0.25">
      <c r="A5" s="10">
        <v>44288</v>
      </c>
      <c r="B5" s="49">
        <v>183</v>
      </c>
      <c r="C5" s="164">
        <v>18074</v>
      </c>
      <c r="D5" s="49">
        <f t="shared" si="3"/>
        <v>160</v>
      </c>
      <c r="E5" s="140">
        <v>25456697</v>
      </c>
      <c r="F5" s="49">
        <f t="shared" si="4"/>
        <v>8458</v>
      </c>
      <c r="G5" s="144">
        <v>79961546</v>
      </c>
      <c r="H5" s="49">
        <f t="shared" si="5"/>
        <v>47825</v>
      </c>
      <c r="I5" s="141">
        <f t="shared" si="6"/>
        <v>56283</v>
      </c>
      <c r="J5" s="140">
        <v>7765202</v>
      </c>
      <c r="K5" s="49">
        <f t="shared" si="7"/>
        <v>4721</v>
      </c>
      <c r="L5" s="142">
        <v>7790498</v>
      </c>
      <c r="M5" s="49">
        <f t="shared" si="8"/>
        <v>5582</v>
      </c>
      <c r="N5" s="140">
        <v>5012346</v>
      </c>
      <c r="O5" s="49">
        <f t="shared" ref="O5:O33" si="15">(IF((N5-N4)&lt;0,"0",(N5-N4)))*2</f>
        <v>2690</v>
      </c>
      <c r="P5" s="142">
        <v>2916393</v>
      </c>
      <c r="Q5" s="49">
        <f t="shared" si="9"/>
        <v>8747</v>
      </c>
      <c r="R5" s="140">
        <v>17012586</v>
      </c>
      <c r="S5" s="49">
        <f t="shared" si="10"/>
        <v>10416</v>
      </c>
      <c r="T5" s="140">
        <v>0</v>
      </c>
      <c r="U5" s="143"/>
      <c r="V5" s="140">
        <v>4607810</v>
      </c>
      <c r="W5" s="49">
        <f t="shared" si="11"/>
        <v>11468</v>
      </c>
      <c r="X5" s="28">
        <f t="shared" si="12"/>
        <v>43624</v>
      </c>
      <c r="Y5" s="35">
        <f t="shared" si="13"/>
        <v>12659</v>
      </c>
      <c r="Z5" s="27">
        <f t="shared" si="14"/>
        <v>6967.2910527999993</v>
      </c>
      <c r="AA5" s="27">
        <f>SUM(Z3:Z5)</f>
        <v>17918.4713968</v>
      </c>
    </row>
    <row r="6" spans="1:27" ht="16.5" thickBot="1" x14ac:dyDescent="0.25">
      <c r="A6" s="10">
        <v>44289</v>
      </c>
      <c r="B6" s="49">
        <v>168</v>
      </c>
      <c r="C6" s="164">
        <v>18077</v>
      </c>
      <c r="D6" s="49">
        <f t="shared" si="3"/>
        <v>480</v>
      </c>
      <c r="E6" s="140">
        <v>25463637</v>
      </c>
      <c r="F6" s="49">
        <f t="shared" si="4"/>
        <v>6940</v>
      </c>
      <c r="G6" s="144">
        <v>80000515</v>
      </c>
      <c r="H6" s="49">
        <f t="shared" si="5"/>
        <v>38969</v>
      </c>
      <c r="I6" s="141">
        <v>7769203</v>
      </c>
      <c r="J6" s="140">
        <v>7769203</v>
      </c>
      <c r="K6" s="49">
        <f t="shared" si="7"/>
        <v>4001</v>
      </c>
      <c r="L6" s="142">
        <v>7795009</v>
      </c>
      <c r="M6" s="49">
        <f t="shared" si="8"/>
        <v>4511</v>
      </c>
      <c r="N6" s="140">
        <v>5013494</v>
      </c>
      <c r="O6" s="49">
        <f t="shared" si="15"/>
        <v>2296</v>
      </c>
      <c r="P6" s="142">
        <v>2923652</v>
      </c>
      <c r="Q6" s="49">
        <f t="shared" si="9"/>
        <v>7259</v>
      </c>
      <c r="R6" s="140">
        <v>17021144</v>
      </c>
      <c r="S6" s="49">
        <f t="shared" si="10"/>
        <v>8558</v>
      </c>
      <c r="T6" s="140">
        <v>0</v>
      </c>
      <c r="U6" s="143"/>
      <c r="V6" s="140">
        <v>4617027</v>
      </c>
      <c r="W6" s="49">
        <f t="shared" si="11"/>
        <v>9217</v>
      </c>
      <c r="X6" s="28">
        <f t="shared" si="12"/>
        <v>35842</v>
      </c>
      <c r="Y6" s="35">
        <f t="shared" si="13"/>
        <v>7733361</v>
      </c>
      <c r="Z6" s="27">
        <f t="shared" si="14"/>
        <v>5697.5209199999999</v>
      </c>
      <c r="AA6" s="27">
        <f>SUM(Z4:Z6)</f>
        <v>17074.772436799998</v>
      </c>
    </row>
    <row r="7" spans="1:27" ht="16.5" thickBot="1" x14ac:dyDescent="0.25">
      <c r="A7" s="10">
        <v>44290</v>
      </c>
      <c r="B7" s="49">
        <v>138</v>
      </c>
      <c r="C7" s="164">
        <v>18079</v>
      </c>
      <c r="D7" s="49">
        <f t="shared" si="3"/>
        <v>320</v>
      </c>
      <c r="E7" s="140">
        <v>25472350</v>
      </c>
      <c r="F7" s="49">
        <f t="shared" si="4"/>
        <v>8713</v>
      </c>
      <c r="G7" s="144">
        <v>80052410</v>
      </c>
      <c r="H7" s="49">
        <f t="shared" si="5"/>
        <v>51895</v>
      </c>
      <c r="I7" s="141">
        <f t="shared" si="6"/>
        <v>60608</v>
      </c>
      <c r="J7" s="140">
        <v>7774970</v>
      </c>
      <c r="K7" s="49">
        <f t="shared" si="7"/>
        <v>5767</v>
      </c>
      <c r="L7" s="142">
        <v>7800766</v>
      </c>
      <c r="M7" s="49">
        <f t="shared" si="8"/>
        <v>5757</v>
      </c>
      <c r="N7" s="140">
        <v>5014877</v>
      </c>
      <c r="O7" s="49">
        <f t="shared" si="15"/>
        <v>2766</v>
      </c>
      <c r="P7" s="142">
        <v>2934137</v>
      </c>
      <c r="Q7" s="49">
        <f t="shared" si="9"/>
        <v>10485</v>
      </c>
      <c r="R7" s="140">
        <v>17032013</v>
      </c>
      <c r="S7" s="49">
        <f t="shared" si="10"/>
        <v>10869</v>
      </c>
      <c r="T7" s="140">
        <v>0</v>
      </c>
      <c r="U7" s="143"/>
      <c r="V7" s="140">
        <v>4628796</v>
      </c>
      <c r="W7" s="49">
        <f t="shared" si="11"/>
        <v>11769</v>
      </c>
      <c r="X7" s="28">
        <f t="shared" si="12"/>
        <v>47413</v>
      </c>
      <c r="Y7" s="35">
        <f t="shared" si="13"/>
        <v>13195</v>
      </c>
      <c r="Z7" s="27">
        <f t="shared" si="14"/>
        <v>7412.9074656000003</v>
      </c>
      <c r="AA7" s="27">
        <f t="shared" ref="AA7:AA33" si="16">SUM(Z4:Z7)</f>
        <v>24487.679902399999</v>
      </c>
    </row>
    <row r="8" spans="1:27" ht="16.5" thickBot="1" x14ac:dyDescent="0.25">
      <c r="A8" s="10">
        <v>44291</v>
      </c>
      <c r="B8" s="49">
        <v>146</v>
      </c>
      <c r="C8" s="164">
        <v>18081</v>
      </c>
      <c r="D8" s="49">
        <f t="shared" si="3"/>
        <v>320</v>
      </c>
      <c r="E8" s="140">
        <v>25479219</v>
      </c>
      <c r="F8" s="49">
        <f t="shared" si="4"/>
        <v>6869</v>
      </c>
      <c r="G8" s="144">
        <v>80087816</v>
      </c>
      <c r="H8" s="49">
        <f t="shared" si="5"/>
        <v>35406</v>
      </c>
      <c r="I8" s="141">
        <f t="shared" si="6"/>
        <v>42275</v>
      </c>
      <c r="J8" s="140">
        <v>7779348</v>
      </c>
      <c r="K8" s="49">
        <f t="shared" si="7"/>
        <v>4378</v>
      </c>
      <c r="L8" s="142">
        <v>7805218</v>
      </c>
      <c r="M8" s="49">
        <f t="shared" si="8"/>
        <v>4452</v>
      </c>
      <c r="N8" s="140">
        <v>5016028</v>
      </c>
      <c r="O8" s="49">
        <f t="shared" si="15"/>
        <v>2302</v>
      </c>
      <c r="P8" s="142">
        <v>2941803</v>
      </c>
      <c r="Q8" s="49">
        <f t="shared" si="9"/>
        <v>7666</v>
      </c>
      <c r="R8" s="140">
        <v>17038805</v>
      </c>
      <c r="S8" s="49">
        <f t="shared" si="10"/>
        <v>6792</v>
      </c>
      <c r="T8" s="140">
        <v>0</v>
      </c>
      <c r="U8" s="143"/>
      <c r="V8" s="140">
        <v>4636760</v>
      </c>
      <c r="W8" s="49">
        <f t="shared" si="11"/>
        <v>7964</v>
      </c>
      <c r="X8" s="28">
        <f t="shared" si="12"/>
        <v>33554</v>
      </c>
      <c r="Y8" s="35">
        <f t="shared" si="13"/>
        <v>8721</v>
      </c>
      <c r="Z8" s="27">
        <f t="shared" si="14"/>
        <v>5024.5529151999999</v>
      </c>
      <c r="AA8" s="27">
        <f t="shared" si="16"/>
        <v>25102.272353599998</v>
      </c>
    </row>
    <row r="9" spans="1:27" ht="16.5" thickBot="1" x14ac:dyDescent="0.25">
      <c r="A9" s="10">
        <v>44292</v>
      </c>
      <c r="B9" s="49">
        <v>154</v>
      </c>
      <c r="C9" s="164">
        <v>18084</v>
      </c>
      <c r="D9" s="49">
        <f t="shared" si="3"/>
        <v>480</v>
      </c>
      <c r="E9" s="140">
        <v>25488970</v>
      </c>
      <c r="F9" s="49">
        <f t="shared" si="4"/>
        <v>9751</v>
      </c>
      <c r="G9" s="144">
        <v>80138355</v>
      </c>
      <c r="H9" s="49">
        <f t="shared" si="5"/>
        <v>50539</v>
      </c>
      <c r="I9" s="141">
        <f t="shared" si="6"/>
        <v>60290</v>
      </c>
      <c r="J9" s="140">
        <v>7785610</v>
      </c>
      <c r="K9" s="49">
        <f t="shared" si="7"/>
        <v>6262</v>
      </c>
      <c r="L9" s="142">
        <v>7811480</v>
      </c>
      <c r="M9" s="49">
        <f t="shared" si="8"/>
        <v>6262</v>
      </c>
      <c r="N9" s="140">
        <v>5018063</v>
      </c>
      <c r="O9" s="49">
        <f t="shared" si="15"/>
        <v>4070</v>
      </c>
      <c r="P9" s="142">
        <v>2952834</v>
      </c>
      <c r="Q9" s="49">
        <f t="shared" si="9"/>
        <v>11031</v>
      </c>
      <c r="R9" s="140">
        <v>17048203</v>
      </c>
      <c r="S9" s="49">
        <f t="shared" si="10"/>
        <v>9398</v>
      </c>
      <c r="T9" s="140">
        <v>0</v>
      </c>
      <c r="U9" s="143"/>
      <c r="V9" s="140">
        <v>4648160</v>
      </c>
      <c r="W9" s="49">
        <f t="shared" si="11"/>
        <v>11400</v>
      </c>
      <c r="X9" s="28">
        <f t="shared" si="12"/>
        <v>48423</v>
      </c>
      <c r="Y9" s="35">
        <f t="shared" si="13"/>
        <v>11867</v>
      </c>
      <c r="Z9" s="27">
        <f t="shared" si="14"/>
        <v>7234.1322976000001</v>
      </c>
      <c r="AA9" s="27">
        <f t="shared" si="16"/>
        <v>25369.113598399999</v>
      </c>
    </row>
    <row r="10" spans="1:27" ht="16.5" thickBot="1" x14ac:dyDescent="0.25">
      <c r="A10" s="10">
        <v>44293</v>
      </c>
      <c r="B10" s="49">
        <v>148</v>
      </c>
      <c r="C10" s="164">
        <v>18087</v>
      </c>
      <c r="D10" s="49">
        <f t="shared" si="3"/>
        <v>480</v>
      </c>
      <c r="E10" s="140">
        <v>25497734</v>
      </c>
      <c r="F10" s="49">
        <f t="shared" si="4"/>
        <v>8764</v>
      </c>
      <c r="G10" s="144">
        <v>80184655</v>
      </c>
      <c r="H10" s="49">
        <f t="shared" si="5"/>
        <v>46300</v>
      </c>
      <c r="I10" s="141">
        <f t="shared" si="6"/>
        <v>55064</v>
      </c>
      <c r="J10" s="140">
        <v>7791612</v>
      </c>
      <c r="K10" s="49">
        <f t="shared" si="7"/>
        <v>6002</v>
      </c>
      <c r="L10" s="142">
        <v>7816413</v>
      </c>
      <c r="M10" s="49">
        <f t="shared" si="8"/>
        <v>4933</v>
      </c>
      <c r="N10" s="140">
        <v>5019536</v>
      </c>
      <c r="O10" s="49">
        <f t="shared" si="15"/>
        <v>2946</v>
      </c>
      <c r="P10" s="142">
        <v>2962621</v>
      </c>
      <c r="Q10" s="49">
        <f t="shared" si="9"/>
        <v>9787</v>
      </c>
      <c r="R10" s="140">
        <v>17057209</v>
      </c>
      <c r="S10" s="49">
        <f t="shared" si="10"/>
        <v>9006</v>
      </c>
      <c r="T10" s="140">
        <v>0</v>
      </c>
      <c r="U10" s="143"/>
      <c r="V10" s="140">
        <v>4658423</v>
      </c>
      <c r="W10" s="49">
        <f t="shared" si="11"/>
        <v>10263</v>
      </c>
      <c r="X10" s="28">
        <f t="shared" si="12"/>
        <v>42937</v>
      </c>
      <c r="Y10" s="35">
        <f t="shared" si="13"/>
        <v>12127</v>
      </c>
      <c r="Z10" s="27">
        <f t="shared" si="14"/>
        <v>6520.2101327999999</v>
      </c>
      <c r="AA10" s="27">
        <f t="shared" si="16"/>
        <v>26191.802811199999</v>
      </c>
    </row>
    <row r="11" spans="1:27" ht="16.5" thickBot="1" x14ac:dyDescent="0.25">
      <c r="A11" s="10">
        <v>44294</v>
      </c>
      <c r="B11" s="49">
        <v>144</v>
      </c>
      <c r="C11" s="164">
        <v>18091</v>
      </c>
      <c r="D11" s="49">
        <f t="shared" si="3"/>
        <v>640</v>
      </c>
      <c r="E11" s="140">
        <v>25504955</v>
      </c>
      <c r="F11" s="49">
        <f t="shared" si="4"/>
        <v>7221</v>
      </c>
      <c r="G11" s="144">
        <v>80229014</v>
      </c>
      <c r="H11" s="49">
        <f t="shared" si="5"/>
        <v>44359</v>
      </c>
      <c r="I11" s="141">
        <f t="shared" si="6"/>
        <v>51580</v>
      </c>
      <c r="J11" s="140">
        <v>7797040</v>
      </c>
      <c r="K11" s="49">
        <f t="shared" si="7"/>
        <v>5428</v>
      </c>
      <c r="L11" s="142">
        <v>7820866</v>
      </c>
      <c r="M11" s="49">
        <f t="shared" si="8"/>
        <v>4453</v>
      </c>
      <c r="N11" s="140">
        <v>5020850</v>
      </c>
      <c r="O11" s="49">
        <f t="shared" si="15"/>
        <v>2628</v>
      </c>
      <c r="P11" s="142">
        <v>2971757</v>
      </c>
      <c r="Q11" s="49">
        <f t="shared" si="9"/>
        <v>9136</v>
      </c>
      <c r="R11" s="140">
        <v>17065866</v>
      </c>
      <c r="S11" s="49">
        <f t="shared" si="10"/>
        <v>8657</v>
      </c>
      <c r="T11" s="140">
        <v>0</v>
      </c>
      <c r="U11" s="143"/>
      <c r="V11" s="140">
        <v>4668576</v>
      </c>
      <c r="W11" s="49">
        <f t="shared" si="11"/>
        <v>10153</v>
      </c>
      <c r="X11" s="28">
        <f t="shared" si="12"/>
        <v>40455</v>
      </c>
      <c r="Y11" s="35">
        <f t="shared" si="13"/>
        <v>11125</v>
      </c>
      <c r="Z11" s="27">
        <f t="shared" si="14"/>
        <v>6268.5236640000003</v>
      </c>
      <c r="AA11" s="27">
        <f t="shared" si="16"/>
        <v>25047.419009599998</v>
      </c>
    </row>
    <row r="12" spans="1:27" ht="16.5" thickBot="1" x14ac:dyDescent="0.25">
      <c r="A12" s="10">
        <v>44295</v>
      </c>
      <c r="B12" s="49">
        <v>141</v>
      </c>
      <c r="C12" s="164">
        <v>18093</v>
      </c>
      <c r="D12" s="49">
        <f t="shared" si="3"/>
        <v>320</v>
      </c>
      <c r="E12" s="140">
        <v>25515170</v>
      </c>
      <c r="F12" s="49">
        <f t="shared" si="4"/>
        <v>10215</v>
      </c>
      <c r="G12" s="144">
        <v>80289649</v>
      </c>
      <c r="H12" s="49">
        <f t="shared" si="5"/>
        <v>60635</v>
      </c>
      <c r="I12" s="141">
        <f t="shared" si="6"/>
        <v>70850</v>
      </c>
      <c r="J12" s="140">
        <v>7803881</v>
      </c>
      <c r="K12" s="49">
        <f t="shared" si="7"/>
        <v>6841</v>
      </c>
      <c r="L12" s="142">
        <v>7827669</v>
      </c>
      <c r="M12" s="49">
        <f t="shared" si="8"/>
        <v>6803</v>
      </c>
      <c r="N12" s="140">
        <v>5022458</v>
      </c>
      <c r="O12" s="49">
        <f t="shared" si="15"/>
        <v>3216</v>
      </c>
      <c r="P12" s="142">
        <v>2983650</v>
      </c>
      <c r="Q12" s="49">
        <f t="shared" si="9"/>
        <v>11893</v>
      </c>
      <c r="R12" s="140">
        <v>17078223</v>
      </c>
      <c r="S12" s="49">
        <f t="shared" si="10"/>
        <v>12357</v>
      </c>
      <c r="T12" s="140">
        <v>0</v>
      </c>
      <c r="U12" s="143"/>
      <c r="V12" s="140">
        <v>4682681</v>
      </c>
      <c r="W12" s="49">
        <f t="shared" si="11"/>
        <v>14105</v>
      </c>
      <c r="X12" s="28">
        <f t="shared" si="12"/>
        <v>55215</v>
      </c>
      <c r="Y12" s="35">
        <f t="shared" si="13"/>
        <v>15635</v>
      </c>
      <c r="Z12" s="27">
        <f t="shared" si="14"/>
        <v>8610.0293344000002</v>
      </c>
      <c r="AA12" s="27">
        <f t="shared" si="16"/>
        <v>28632.895428800002</v>
      </c>
    </row>
    <row r="13" spans="1:27" ht="16.5" thickBot="1" x14ac:dyDescent="0.25">
      <c r="A13" s="10">
        <v>44296</v>
      </c>
      <c r="B13" s="49">
        <v>138</v>
      </c>
      <c r="C13" s="164">
        <v>18095</v>
      </c>
      <c r="D13" s="49">
        <f t="shared" si="3"/>
        <v>320</v>
      </c>
      <c r="E13" s="140">
        <v>25520211</v>
      </c>
      <c r="F13" s="49">
        <f t="shared" si="4"/>
        <v>5041</v>
      </c>
      <c r="G13" s="144">
        <v>80372315</v>
      </c>
      <c r="H13" s="49">
        <f t="shared" si="5"/>
        <v>82666</v>
      </c>
      <c r="I13" s="141">
        <f t="shared" si="6"/>
        <v>87707</v>
      </c>
      <c r="J13" s="140">
        <v>7808382</v>
      </c>
      <c r="K13" s="49">
        <f t="shared" si="7"/>
        <v>4501</v>
      </c>
      <c r="L13" s="142">
        <v>7831121</v>
      </c>
      <c r="M13" s="49">
        <f t="shared" si="8"/>
        <v>3452</v>
      </c>
      <c r="N13" s="140">
        <v>5023197</v>
      </c>
      <c r="O13" s="49">
        <f t="shared" si="15"/>
        <v>1478</v>
      </c>
      <c r="P13" s="142">
        <v>2990561</v>
      </c>
      <c r="Q13" s="49">
        <f t="shared" si="9"/>
        <v>6911</v>
      </c>
      <c r="R13" s="140">
        <v>17086023</v>
      </c>
      <c r="S13" s="49">
        <f>IF((R13-R12)&lt;0,"0",(R13-R12))</f>
        <v>7800</v>
      </c>
      <c r="T13" s="140">
        <v>0</v>
      </c>
      <c r="U13" s="143"/>
      <c r="V13" s="140">
        <v>4691443</v>
      </c>
      <c r="W13" s="49">
        <f t="shared" si="11"/>
        <v>8762</v>
      </c>
      <c r="X13" s="28">
        <f t="shared" si="12"/>
        <v>32904</v>
      </c>
      <c r="Y13" s="35">
        <f t="shared" si="13"/>
        <v>54803</v>
      </c>
      <c r="Z13" s="27">
        <f t="shared" si="14"/>
        <v>5234.3078943999999</v>
      </c>
      <c r="AA13" s="27">
        <f t="shared" si="16"/>
        <v>26633.071025600002</v>
      </c>
    </row>
    <row r="14" spans="1:27" ht="16.5" thickBot="1" x14ac:dyDescent="0.25">
      <c r="A14" s="10">
        <v>44297</v>
      </c>
      <c r="B14" s="49">
        <v>123</v>
      </c>
      <c r="C14" s="164">
        <v>18098</v>
      </c>
      <c r="D14" s="49">
        <f t="shared" si="3"/>
        <v>480</v>
      </c>
      <c r="E14" s="140">
        <v>25527176</v>
      </c>
      <c r="F14" s="49">
        <f>IF((E14-E13)&lt;0,"0",(E14-E13))</f>
        <v>6965</v>
      </c>
      <c r="G14" s="144">
        <v>80378320</v>
      </c>
      <c r="H14" s="49">
        <f t="shared" si="5"/>
        <v>6005</v>
      </c>
      <c r="I14" s="141">
        <f t="shared" si="6"/>
        <v>12970</v>
      </c>
      <c r="J14" s="140">
        <v>7814726</v>
      </c>
      <c r="K14" s="49">
        <f t="shared" si="7"/>
        <v>6344</v>
      </c>
      <c r="L14" s="142">
        <v>7835948</v>
      </c>
      <c r="M14" s="49">
        <f t="shared" si="8"/>
        <v>4827</v>
      </c>
      <c r="N14" s="140">
        <v>5024179</v>
      </c>
      <c r="O14" s="49">
        <f t="shared" si="15"/>
        <v>1964</v>
      </c>
      <c r="P14" s="142">
        <v>2999816</v>
      </c>
      <c r="Q14" s="49">
        <f t="shared" si="9"/>
        <v>9255</v>
      </c>
      <c r="R14" s="140">
        <v>17096935</v>
      </c>
      <c r="S14" s="49">
        <f>IF((R14-R13)&lt;0,"0",(R14-R13))</f>
        <v>10912</v>
      </c>
      <c r="T14" s="140">
        <v>0</v>
      </c>
      <c r="U14" s="143"/>
      <c r="V14" s="140">
        <v>4703170</v>
      </c>
      <c r="W14" s="49">
        <f t="shared" si="11"/>
        <v>11727</v>
      </c>
      <c r="X14" s="28">
        <f t="shared" si="12"/>
        <v>45029</v>
      </c>
      <c r="Y14" s="35">
        <f t="shared" si="13"/>
        <v>-32059</v>
      </c>
      <c r="Z14" s="27">
        <f t="shared" si="14"/>
        <v>7118.9816048000002</v>
      </c>
      <c r="AA14" s="27">
        <f t="shared" si="16"/>
        <v>27231.842497599999</v>
      </c>
    </row>
    <row r="15" spans="1:27" ht="16.5" thickBot="1" x14ac:dyDescent="0.25">
      <c r="A15" s="10">
        <v>44298</v>
      </c>
      <c r="B15" s="49"/>
      <c r="C15" s="164">
        <v>18101</v>
      </c>
      <c r="D15" s="49">
        <f t="shared" si="3"/>
        <v>480</v>
      </c>
      <c r="E15" s="140">
        <v>25532982</v>
      </c>
      <c r="F15" s="49">
        <f>IF((E15-E14)&lt;0,"0",(E15-E14))</f>
        <v>5806</v>
      </c>
      <c r="G15" s="144">
        <v>80421856</v>
      </c>
      <c r="H15" s="49">
        <f t="shared" si="5"/>
        <v>43536</v>
      </c>
      <c r="I15" s="141">
        <f t="shared" si="6"/>
        <v>49342</v>
      </c>
      <c r="J15" s="140">
        <v>7820066</v>
      </c>
      <c r="K15" s="49">
        <f t="shared" si="7"/>
        <v>5340</v>
      </c>
      <c r="L15" s="142">
        <v>7840124</v>
      </c>
      <c r="M15" s="49">
        <f t="shared" si="8"/>
        <v>4176</v>
      </c>
      <c r="N15" s="140">
        <v>5024933</v>
      </c>
      <c r="O15" s="49">
        <f t="shared" si="15"/>
        <v>1508</v>
      </c>
      <c r="P15" s="142">
        <v>3007987</v>
      </c>
      <c r="Q15" s="49">
        <f t="shared" si="9"/>
        <v>8171</v>
      </c>
      <c r="R15" s="140">
        <v>17105563</v>
      </c>
      <c r="S15" s="49">
        <f>IF((R15-R14)&lt;0,"0",(R15-R14))</f>
        <v>8628</v>
      </c>
      <c r="T15" s="140">
        <v>0</v>
      </c>
      <c r="U15" s="143"/>
      <c r="V15" s="140">
        <v>4713361</v>
      </c>
      <c r="W15" s="49">
        <f t="shared" si="11"/>
        <v>10191</v>
      </c>
      <c r="X15" s="28">
        <f t="shared" si="12"/>
        <v>38014</v>
      </c>
      <c r="Y15" s="35">
        <f t="shared" si="13"/>
        <v>11328</v>
      </c>
      <c r="Z15" s="27">
        <f t="shared" si="14"/>
        <v>5968.8668207999999</v>
      </c>
      <c r="AA15" s="27">
        <f t="shared" si="16"/>
        <v>26932.185654399997</v>
      </c>
    </row>
    <row r="16" spans="1:27" ht="16.5" thickBot="1" x14ac:dyDescent="0.25">
      <c r="A16" s="10">
        <v>44299</v>
      </c>
      <c r="B16" s="49"/>
      <c r="C16" s="164">
        <v>18103</v>
      </c>
      <c r="D16" s="49">
        <f t="shared" si="3"/>
        <v>320</v>
      </c>
      <c r="E16" s="140">
        <v>25537459</v>
      </c>
      <c r="F16" s="49">
        <f>IF((E16-E15)&lt;0,"0",(E16-E15))</f>
        <v>4477</v>
      </c>
      <c r="G16" s="144">
        <v>80454776</v>
      </c>
      <c r="H16" s="49">
        <f t="shared" si="5"/>
        <v>32920</v>
      </c>
      <c r="I16" s="141">
        <f t="shared" si="6"/>
        <v>37397</v>
      </c>
      <c r="J16" s="140">
        <v>7823827</v>
      </c>
      <c r="K16" s="49">
        <f t="shared" si="7"/>
        <v>3761</v>
      </c>
      <c r="L16" s="142">
        <v>7843029</v>
      </c>
      <c r="M16" s="49">
        <f t="shared" si="8"/>
        <v>2905</v>
      </c>
      <c r="N16" s="140">
        <v>5025659</v>
      </c>
      <c r="O16" s="49">
        <f t="shared" si="15"/>
        <v>1452</v>
      </c>
      <c r="P16" s="142">
        <v>3014394</v>
      </c>
      <c r="Q16" s="49">
        <f t="shared" si="9"/>
        <v>6407</v>
      </c>
      <c r="R16" s="140">
        <v>17112457</v>
      </c>
      <c r="S16" s="49">
        <f t="shared" si="10"/>
        <v>6894</v>
      </c>
      <c r="T16" s="140">
        <v>0</v>
      </c>
      <c r="U16" s="143"/>
      <c r="V16" s="140">
        <v>4720895</v>
      </c>
      <c r="W16" s="49">
        <f t="shared" si="11"/>
        <v>7534</v>
      </c>
      <c r="X16" s="28">
        <f t="shared" si="12"/>
        <v>28953</v>
      </c>
      <c r="Y16" s="35">
        <f t="shared" si="13"/>
        <v>8444</v>
      </c>
      <c r="Z16" s="27">
        <f t="shared" si="14"/>
        <v>4639.6266175999999</v>
      </c>
      <c r="AA16" s="27">
        <f t="shared" si="16"/>
        <v>22961.782937600001</v>
      </c>
    </row>
    <row r="17" spans="1:27" s="154" customFormat="1" ht="16.5" thickBot="1" x14ac:dyDescent="0.25">
      <c r="A17" s="10">
        <v>44300</v>
      </c>
      <c r="B17" s="149">
        <v>122</v>
      </c>
      <c r="C17" s="164">
        <v>18105</v>
      </c>
      <c r="D17" s="49">
        <f t="shared" si="3"/>
        <v>320</v>
      </c>
      <c r="E17" s="140">
        <v>25545019</v>
      </c>
      <c r="F17" s="149">
        <f t="shared" si="4"/>
        <v>7560</v>
      </c>
      <c r="G17" s="144">
        <v>80500195</v>
      </c>
      <c r="H17" s="49">
        <f t="shared" si="5"/>
        <v>45419</v>
      </c>
      <c r="I17" s="151">
        <f t="shared" si="6"/>
        <v>52979</v>
      </c>
      <c r="J17" s="140">
        <v>7828742</v>
      </c>
      <c r="K17" s="149">
        <f t="shared" si="7"/>
        <v>4915</v>
      </c>
      <c r="L17" s="142">
        <v>7848235</v>
      </c>
      <c r="M17" s="149">
        <f t="shared" si="8"/>
        <v>5206</v>
      </c>
      <c r="N17" s="140">
        <v>5026756</v>
      </c>
      <c r="O17" s="149">
        <f t="shared" si="15"/>
        <v>2194</v>
      </c>
      <c r="P17" s="142">
        <v>3023228</v>
      </c>
      <c r="Q17" s="149">
        <f t="shared" si="9"/>
        <v>8834</v>
      </c>
      <c r="R17" s="140">
        <v>17121748</v>
      </c>
      <c r="S17" s="149">
        <f t="shared" si="10"/>
        <v>9291</v>
      </c>
      <c r="T17" s="150">
        <v>0</v>
      </c>
      <c r="U17" s="143"/>
      <c r="V17" s="140">
        <v>4731510</v>
      </c>
      <c r="W17" s="149">
        <f t="shared" si="11"/>
        <v>10615</v>
      </c>
      <c r="X17" s="28">
        <f t="shared" si="12"/>
        <v>41055</v>
      </c>
      <c r="Y17" s="152">
        <f t="shared" si="13"/>
        <v>11924</v>
      </c>
      <c r="Z17" s="153">
        <f t="shared" si="14"/>
        <v>6427.9902752000007</v>
      </c>
      <c r="AA17" s="153">
        <f t="shared" si="16"/>
        <v>24155.465318400002</v>
      </c>
    </row>
    <row r="18" spans="1:27" s="154" customFormat="1" ht="16.5" thickBot="1" x14ac:dyDescent="0.25">
      <c r="A18" s="10">
        <v>44301</v>
      </c>
      <c r="B18" s="149">
        <v>120</v>
      </c>
      <c r="C18" s="164">
        <v>18108</v>
      </c>
      <c r="D18" s="49">
        <f t="shared" si="3"/>
        <v>480</v>
      </c>
      <c r="E18" s="140">
        <v>25551857</v>
      </c>
      <c r="F18" s="149">
        <f t="shared" si="4"/>
        <v>6838</v>
      </c>
      <c r="G18" s="144">
        <v>80544425</v>
      </c>
      <c r="H18" s="49">
        <f t="shared" si="5"/>
        <v>44230</v>
      </c>
      <c r="I18" s="151">
        <f t="shared" si="6"/>
        <v>51068</v>
      </c>
      <c r="J18" s="140">
        <v>7833390</v>
      </c>
      <c r="K18" s="149">
        <f t="shared" si="7"/>
        <v>4648</v>
      </c>
      <c r="L18" s="142">
        <v>7852428</v>
      </c>
      <c r="M18" s="149">
        <f t="shared" si="8"/>
        <v>4193</v>
      </c>
      <c r="N18" s="140">
        <v>5028004</v>
      </c>
      <c r="O18" s="149">
        <f t="shared" si="15"/>
        <v>2496</v>
      </c>
      <c r="P18" s="142">
        <v>3032323</v>
      </c>
      <c r="Q18" s="149">
        <f t="shared" si="9"/>
        <v>9095</v>
      </c>
      <c r="R18" s="140">
        <v>17130677</v>
      </c>
      <c r="S18" s="149">
        <f t="shared" si="10"/>
        <v>8929</v>
      </c>
      <c r="T18" s="150">
        <v>0</v>
      </c>
      <c r="U18" s="143"/>
      <c r="V18" s="140">
        <v>4741756</v>
      </c>
      <c r="W18" s="149">
        <f t="shared" si="11"/>
        <v>10246</v>
      </c>
      <c r="X18" s="28">
        <f t="shared" si="12"/>
        <v>39607</v>
      </c>
      <c r="Y18" s="152">
        <f t="shared" si="13"/>
        <v>11461</v>
      </c>
      <c r="Z18" s="153">
        <f t="shared" si="14"/>
        <v>6332.0698480000001</v>
      </c>
      <c r="AA18" s="153">
        <f t="shared" si="16"/>
        <v>23368.553561600002</v>
      </c>
    </row>
    <row r="19" spans="1:27" s="154" customFormat="1" ht="16.5" thickBot="1" x14ac:dyDescent="0.25">
      <c r="A19" s="10">
        <v>44302</v>
      </c>
      <c r="B19" s="149">
        <v>119</v>
      </c>
      <c r="C19" s="164">
        <v>18111</v>
      </c>
      <c r="D19" s="49">
        <f>IF((C19-C18)&lt;0,"0",(C19-C18))*160</f>
        <v>480</v>
      </c>
      <c r="E19" s="140">
        <v>25559606</v>
      </c>
      <c r="F19" s="149">
        <f t="shared" si="4"/>
        <v>7749</v>
      </c>
      <c r="G19" s="144">
        <v>80588561</v>
      </c>
      <c r="H19" s="49">
        <f t="shared" si="5"/>
        <v>44136</v>
      </c>
      <c r="I19" s="151">
        <f t="shared" si="6"/>
        <v>51885</v>
      </c>
      <c r="J19" s="140">
        <v>7837588</v>
      </c>
      <c r="K19" s="149">
        <f t="shared" si="7"/>
        <v>4198</v>
      </c>
      <c r="L19" s="142">
        <v>7857715</v>
      </c>
      <c r="M19" s="149">
        <f t="shared" si="8"/>
        <v>5287</v>
      </c>
      <c r="N19" s="140">
        <v>5029145</v>
      </c>
      <c r="O19" s="149">
        <f t="shared" si="15"/>
        <v>2282</v>
      </c>
      <c r="P19" s="142">
        <v>3042140</v>
      </c>
      <c r="Q19" s="149">
        <f t="shared" si="9"/>
        <v>9817</v>
      </c>
      <c r="R19" s="140">
        <v>17139423</v>
      </c>
      <c r="S19" s="149">
        <f t="shared" si="10"/>
        <v>8746</v>
      </c>
      <c r="T19" s="150">
        <v>0</v>
      </c>
      <c r="U19" s="143"/>
      <c r="V19" s="140">
        <v>4751867</v>
      </c>
      <c r="W19" s="149">
        <f t="shared" si="11"/>
        <v>10111</v>
      </c>
      <c r="X19" s="28">
        <f t="shared" si="12"/>
        <v>40441</v>
      </c>
      <c r="Y19" s="152">
        <f t="shared" si="13"/>
        <v>11444</v>
      </c>
      <c r="Z19" s="153">
        <f t="shared" si="14"/>
        <v>6328.4285584000008</v>
      </c>
      <c r="AA19" s="153">
        <f t="shared" si="16"/>
        <v>23728.115299199999</v>
      </c>
    </row>
    <row r="20" spans="1:27" s="154" customFormat="1" ht="16.5" thickBot="1" x14ac:dyDescent="0.25">
      <c r="A20" s="10">
        <v>44303</v>
      </c>
      <c r="B20" s="149">
        <v>118</v>
      </c>
      <c r="C20" s="164">
        <v>18114</v>
      </c>
      <c r="D20" s="49">
        <f>IF((C20-C19)&lt;0,"0",(C20-C19))*160</f>
        <v>480</v>
      </c>
      <c r="E20" s="140">
        <v>25566663</v>
      </c>
      <c r="F20" s="149">
        <f t="shared" si="4"/>
        <v>7057</v>
      </c>
      <c r="G20" s="144">
        <v>80625706</v>
      </c>
      <c r="H20" s="49">
        <f t="shared" si="5"/>
        <v>37145</v>
      </c>
      <c r="I20" s="151">
        <f t="shared" si="6"/>
        <v>44202</v>
      </c>
      <c r="J20" s="140">
        <v>7841989</v>
      </c>
      <c r="K20" s="149">
        <f t="shared" si="7"/>
        <v>4401</v>
      </c>
      <c r="L20" s="142">
        <v>7862580</v>
      </c>
      <c r="M20" s="149">
        <f t="shared" si="8"/>
        <v>4865</v>
      </c>
      <c r="N20" s="140">
        <v>5030180</v>
      </c>
      <c r="O20" s="149">
        <f t="shared" si="15"/>
        <v>2070</v>
      </c>
      <c r="P20" s="142">
        <v>3051051</v>
      </c>
      <c r="Q20" s="149">
        <f t="shared" si="9"/>
        <v>8911</v>
      </c>
      <c r="R20" s="140">
        <v>17146140</v>
      </c>
      <c r="S20" s="149">
        <f t="shared" si="10"/>
        <v>6717</v>
      </c>
      <c r="T20" s="150">
        <v>0</v>
      </c>
      <c r="U20" s="143"/>
      <c r="V20" s="140">
        <v>4760035</v>
      </c>
      <c r="W20" s="149">
        <f t="shared" si="11"/>
        <v>8168</v>
      </c>
      <c r="X20" s="28">
        <f t="shared" si="12"/>
        <v>35132</v>
      </c>
      <c r="Y20" s="152">
        <f t="shared" si="13"/>
        <v>9070</v>
      </c>
      <c r="Z20" s="153">
        <f t="shared" si="14"/>
        <v>5202.5131599999995</v>
      </c>
      <c r="AA20" s="153">
        <f t="shared" si="16"/>
        <v>24291.001841599998</v>
      </c>
    </row>
    <row r="21" spans="1:27" s="154" customFormat="1" ht="16.5" thickBot="1" x14ac:dyDescent="0.25">
      <c r="A21" s="10">
        <v>44304</v>
      </c>
      <c r="B21" s="149"/>
      <c r="C21" s="164">
        <v>18117</v>
      </c>
      <c r="D21" s="49">
        <f>IF((C21-C20)&lt;0,"0",(C21-C20))*160</f>
        <v>480</v>
      </c>
      <c r="E21" s="140">
        <v>25577890</v>
      </c>
      <c r="F21" s="149">
        <f t="shared" si="4"/>
        <v>11227</v>
      </c>
      <c r="G21" s="144">
        <v>80680989</v>
      </c>
      <c r="H21" s="49">
        <f t="shared" si="5"/>
        <v>55283</v>
      </c>
      <c r="I21" s="151">
        <f t="shared" si="6"/>
        <v>66510</v>
      </c>
      <c r="J21" s="140">
        <v>7848880</v>
      </c>
      <c r="K21" s="149">
        <f t="shared" si="7"/>
        <v>6891</v>
      </c>
      <c r="L21" s="142">
        <v>7869830</v>
      </c>
      <c r="M21" s="149">
        <f t="shared" si="8"/>
        <v>7250</v>
      </c>
      <c r="N21" s="140">
        <v>5032082</v>
      </c>
      <c r="O21" s="149">
        <f t="shared" si="15"/>
        <v>3804</v>
      </c>
      <c r="P21" s="142">
        <v>3064494</v>
      </c>
      <c r="Q21" s="149">
        <f t="shared" si="9"/>
        <v>13443</v>
      </c>
      <c r="R21" s="140">
        <v>17155767</v>
      </c>
      <c r="S21" s="149">
        <f t="shared" si="10"/>
        <v>9627</v>
      </c>
      <c r="T21" s="150">
        <v>0</v>
      </c>
      <c r="U21" s="143"/>
      <c r="V21" s="140">
        <v>4772052</v>
      </c>
      <c r="W21" s="149">
        <f t="shared" si="11"/>
        <v>12017</v>
      </c>
      <c r="X21" s="28">
        <f t="shared" si="12"/>
        <v>53032</v>
      </c>
      <c r="Y21" s="152">
        <f t="shared" si="13"/>
        <v>13478</v>
      </c>
      <c r="Z21" s="153">
        <f t="shared" si="14"/>
        <v>7750.1414848000004</v>
      </c>
      <c r="AA21" s="153">
        <f t="shared" si="16"/>
        <v>25613.153051200003</v>
      </c>
    </row>
    <row r="22" spans="1:27" ht="16.5" thickBot="1" x14ac:dyDescent="0.25">
      <c r="A22" s="10">
        <v>44305</v>
      </c>
      <c r="B22" s="49"/>
      <c r="C22" s="164">
        <v>18121</v>
      </c>
      <c r="D22" s="49">
        <f t="shared" si="3"/>
        <v>640</v>
      </c>
      <c r="E22" s="140">
        <v>25589968</v>
      </c>
      <c r="F22" s="49">
        <f t="shared" si="4"/>
        <v>12078</v>
      </c>
      <c r="G22" s="144">
        <v>80731992</v>
      </c>
      <c r="H22" s="49">
        <f t="shared" si="5"/>
        <v>51003</v>
      </c>
      <c r="I22" s="141">
        <f t="shared" si="6"/>
        <v>63081</v>
      </c>
      <c r="J22" s="140">
        <v>7854916</v>
      </c>
      <c r="K22" s="49">
        <f t="shared" si="7"/>
        <v>6036</v>
      </c>
      <c r="L22" s="142">
        <v>7876547</v>
      </c>
      <c r="M22" s="49">
        <f t="shared" si="8"/>
        <v>6717</v>
      </c>
      <c r="N22" s="140">
        <v>5034672</v>
      </c>
      <c r="O22" s="49">
        <f t="shared" si="15"/>
        <v>5180</v>
      </c>
      <c r="P22" s="142">
        <v>3077360</v>
      </c>
      <c r="Q22" s="49">
        <f t="shared" si="9"/>
        <v>12866</v>
      </c>
      <c r="R22" s="140">
        <v>17164920</v>
      </c>
      <c r="S22" s="49">
        <f t="shared" si="10"/>
        <v>9153</v>
      </c>
      <c r="T22" s="140">
        <v>0</v>
      </c>
      <c r="U22" s="143"/>
      <c r="V22" s="140">
        <v>4782938</v>
      </c>
      <c r="W22" s="49">
        <f t="shared" si="11"/>
        <v>10886</v>
      </c>
      <c r="X22" s="28">
        <f t="shared" si="12"/>
        <v>50838</v>
      </c>
      <c r="Y22" s="35">
        <f t="shared" si="13"/>
        <v>12243</v>
      </c>
      <c r="Z22" s="27">
        <f t="shared" si="14"/>
        <v>7476.2532207999993</v>
      </c>
      <c r="AA22" s="27">
        <f t="shared" si="16"/>
        <v>26757.336424000001</v>
      </c>
    </row>
    <row r="23" spans="1:27" ht="16.5" thickBot="1" x14ac:dyDescent="0.25">
      <c r="A23" s="10">
        <v>44306</v>
      </c>
      <c r="B23" s="49">
        <v>100</v>
      </c>
      <c r="C23" s="164">
        <v>18125</v>
      </c>
      <c r="D23" s="49">
        <f t="shared" si="3"/>
        <v>640</v>
      </c>
      <c r="E23" s="140">
        <v>25607868</v>
      </c>
      <c r="F23" s="49">
        <f t="shared" si="4"/>
        <v>17900</v>
      </c>
      <c r="G23" s="144">
        <v>80781508</v>
      </c>
      <c r="H23" s="49">
        <f t="shared" si="5"/>
        <v>49516</v>
      </c>
      <c r="I23" s="141">
        <f t="shared" si="6"/>
        <v>67416</v>
      </c>
      <c r="J23" s="140">
        <v>7860756</v>
      </c>
      <c r="K23" s="49">
        <f t="shared" si="7"/>
        <v>5840</v>
      </c>
      <c r="L23" s="142">
        <v>7882808</v>
      </c>
      <c r="M23" s="49">
        <f t="shared" si="8"/>
        <v>6261</v>
      </c>
      <c r="N23" s="140">
        <v>5040402</v>
      </c>
      <c r="O23" s="49">
        <f t="shared" si="15"/>
        <v>11460</v>
      </c>
      <c r="P23" s="142">
        <v>3088372</v>
      </c>
      <c r="Q23" s="49">
        <f t="shared" si="9"/>
        <v>11012</v>
      </c>
      <c r="R23" s="140">
        <v>17174110</v>
      </c>
      <c r="S23" s="49">
        <f t="shared" si="10"/>
        <v>9190</v>
      </c>
      <c r="T23" s="140">
        <v>0</v>
      </c>
      <c r="U23" s="143"/>
      <c r="V23" s="140">
        <v>4794101</v>
      </c>
      <c r="W23" s="49">
        <f t="shared" si="11"/>
        <v>11163</v>
      </c>
      <c r="X23" s="28">
        <f t="shared" si="12"/>
        <v>54926</v>
      </c>
      <c r="Y23" s="35">
        <f t="shared" si="13"/>
        <v>12490</v>
      </c>
      <c r="Z23" s="27">
        <f t="shared" si="14"/>
        <v>8193.2089616000012</v>
      </c>
      <c r="AA23" s="27">
        <f t="shared" si="16"/>
        <v>28622.1168272</v>
      </c>
    </row>
    <row r="24" spans="1:27" ht="16.5" thickBot="1" x14ac:dyDescent="0.25">
      <c r="A24" s="10">
        <v>44307</v>
      </c>
      <c r="B24" s="49">
        <v>90</v>
      </c>
      <c r="C24" s="164">
        <v>18128</v>
      </c>
      <c r="D24" s="49">
        <f t="shared" si="3"/>
        <v>480</v>
      </c>
      <c r="E24" s="140">
        <v>25621365</v>
      </c>
      <c r="F24" s="49">
        <f t="shared" si="4"/>
        <v>13497</v>
      </c>
      <c r="G24" s="144">
        <v>80818771</v>
      </c>
      <c r="H24" s="49">
        <f t="shared" si="5"/>
        <v>37263</v>
      </c>
      <c r="I24" s="141">
        <f t="shared" si="6"/>
        <v>50760</v>
      </c>
      <c r="J24" s="140">
        <v>7865588</v>
      </c>
      <c r="K24" s="49">
        <f t="shared" si="7"/>
        <v>4832</v>
      </c>
      <c r="L24" s="142">
        <v>7887654</v>
      </c>
      <c r="M24" s="49">
        <f t="shared" si="8"/>
        <v>4846</v>
      </c>
      <c r="N24" s="140">
        <v>5044651</v>
      </c>
      <c r="O24" s="49">
        <f t="shared" si="15"/>
        <v>8498</v>
      </c>
      <c r="P24" s="142">
        <v>3096159</v>
      </c>
      <c r="Q24" s="49">
        <f t="shared" si="9"/>
        <v>7787</v>
      </c>
      <c r="R24" s="140">
        <v>17181044</v>
      </c>
      <c r="S24" s="49">
        <f t="shared" si="10"/>
        <v>6934</v>
      </c>
      <c r="T24" s="140">
        <v>0</v>
      </c>
      <c r="U24" s="143"/>
      <c r="V24" s="140">
        <v>4802539</v>
      </c>
      <c r="W24" s="49">
        <f t="shared" si="11"/>
        <v>8438</v>
      </c>
      <c r="X24" s="28">
        <f t="shared" si="12"/>
        <v>41335</v>
      </c>
      <c r="Y24" s="35">
        <f t="shared" si="13"/>
        <v>9425</v>
      </c>
      <c r="Z24" s="27">
        <f t="shared" si="14"/>
        <v>6088.5649344000003</v>
      </c>
      <c r="AA24" s="27">
        <f t="shared" si="16"/>
        <v>29508.168601600002</v>
      </c>
    </row>
    <row r="25" spans="1:27" ht="16.5" thickBot="1" x14ac:dyDescent="0.25">
      <c r="A25" s="10">
        <v>44308</v>
      </c>
      <c r="B25" s="49"/>
      <c r="C25" s="164">
        <v>18130</v>
      </c>
      <c r="D25" s="49">
        <f t="shared" si="3"/>
        <v>320</v>
      </c>
      <c r="E25" s="140">
        <v>25640677</v>
      </c>
      <c r="F25" s="49">
        <f t="shared" si="4"/>
        <v>19312</v>
      </c>
      <c r="G25" s="144">
        <v>80874072</v>
      </c>
      <c r="H25" s="49">
        <f t="shared" si="5"/>
        <v>55301</v>
      </c>
      <c r="I25" s="141">
        <f t="shared" si="6"/>
        <v>74613</v>
      </c>
      <c r="J25" s="140">
        <v>7872752</v>
      </c>
      <c r="K25" s="49">
        <f t="shared" si="7"/>
        <v>7164</v>
      </c>
      <c r="L25" s="142">
        <v>7894649</v>
      </c>
      <c r="M25" s="49">
        <f t="shared" si="8"/>
        <v>6995</v>
      </c>
      <c r="N25" s="140">
        <v>5050707</v>
      </c>
      <c r="O25" s="49">
        <f t="shared" si="15"/>
        <v>12112</v>
      </c>
      <c r="P25" s="142">
        <v>3107149</v>
      </c>
      <c r="Q25" s="49">
        <f t="shared" si="9"/>
        <v>10990</v>
      </c>
      <c r="R25" s="140">
        <v>17191552</v>
      </c>
      <c r="S25" s="49">
        <f t="shared" si="10"/>
        <v>10508</v>
      </c>
      <c r="T25" s="140">
        <v>0</v>
      </c>
      <c r="U25" s="143"/>
      <c r="V25" s="140">
        <v>4815192</v>
      </c>
      <c r="W25" s="49">
        <f t="shared" si="11"/>
        <v>12653</v>
      </c>
      <c r="X25" s="28">
        <f t="shared" si="12"/>
        <v>60422</v>
      </c>
      <c r="Y25" s="35">
        <f t="shared" si="13"/>
        <v>14191</v>
      </c>
      <c r="Z25" s="27">
        <f t="shared" si="14"/>
        <v>8965.9570832000009</v>
      </c>
      <c r="AA25" s="27">
        <f t="shared" si="16"/>
        <v>30723.984199999999</v>
      </c>
    </row>
    <row r="26" spans="1:27" ht="16.5" thickBot="1" x14ac:dyDescent="0.25">
      <c r="A26" s="10">
        <v>44309</v>
      </c>
      <c r="B26" s="49">
        <v>65</v>
      </c>
      <c r="C26" s="164">
        <v>18133</v>
      </c>
      <c r="D26" s="49">
        <f t="shared" si="3"/>
        <v>480</v>
      </c>
      <c r="E26" s="140">
        <v>25656677</v>
      </c>
      <c r="F26" s="49">
        <f t="shared" si="4"/>
        <v>16000</v>
      </c>
      <c r="G26" s="144">
        <v>80920391</v>
      </c>
      <c r="H26" s="49">
        <f t="shared" si="5"/>
        <v>46319</v>
      </c>
      <c r="I26" s="141">
        <f t="shared" si="6"/>
        <v>62319</v>
      </c>
      <c r="J26" s="140">
        <v>7878248</v>
      </c>
      <c r="K26" s="49">
        <f t="shared" si="7"/>
        <v>5496</v>
      </c>
      <c r="L26" s="142">
        <v>7900279</v>
      </c>
      <c r="M26" s="49">
        <f t="shared" si="8"/>
        <v>5630</v>
      </c>
      <c r="N26" s="140">
        <v>5055774</v>
      </c>
      <c r="O26" s="49">
        <f t="shared" si="15"/>
        <v>10134</v>
      </c>
      <c r="P26" s="142">
        <v>3116312</v>
      </c>
      <c r="Q26" s="49">
        <f t="shared" si="9"/>
        <v>9163</v>
      </c>
      <c r="R26" s="140">
        <v>17200133</v>
      </c>
      <c r="S26" s="49">
        <f t="shared" si="10"/>
        <v>8581</v>
      </c>
      <c r="T26" s="140">
        <v>0</v>
      </c>
      <c r="U26" s="143"/>
      <c r="V26" s="140">
        <v>4826137</v>
      </c>
      <c r="W26" s="49">
        <f t="shared" si="11"/>
        <v>10945</v>
      </c>
      <c r="X26" s="28">
        <f t="shared" si="12"/>
        <v>49949</v>
      </c>
      <c r="Y26" s="35">
        <f t="shared" si="13"/>
        <v>12370</v>
      </c>
      <c r="Z26" s="27">
        <f t="shared" si="14"/>
        <v>7532.8450912000008</v>
      </c>
      <c r="AA26" s="27">
        <f t="shared" si="16"/>
        <v>30780.576070400002</v>
      </c>
    </row>
    <row r="27" spans="1:27" ht="16.5" thickBot="1" x14ac:dyDescent="0.25">
      <c r="A27" s="10">
        <v>44310</v>
      </c>
      <c r="B27" s="49">
        <v>18</v>
      </c>
      <c r="C27" s="164">
        <v>18136</v>
      </c>
      <c r="D27" s="49">
        <f t="shared" si="3"/>
        <v>480</v>
      </c>
      <c r="E27" s="140">
        <v>25668375</v>
      </c>
      <c r="F27" s="49">
        <f t="shared" si="4"/>
        <v>11698</v>
      </c>
      <c r="G27" s="144">
        <v>80955902</v>
      </c>
      <c r="H27" s="49">
        <f t="shared" si="5"/>
        <v>35511</v>
      </c>
      <c r="I27" s="141">
        <f t="shared" si="6"/>
        <v>47209</v>
      </c>
      <c r="J27" s="140">
        <v>7882590</v>
      </c>
      <c r="K27" s="49">
        <f t="shared" si="7"/>
        <v>4342</v>
      </c>
      <c r="L27" s="142">
        <v>7904284</v>
      </c>
      <c r="M27" s="49">
        <f t="shared" si="8"/>
        <v>4005</v>
      </c>
      <c r="N27" s="140">
        <v>5059563</v>
      </c>
      <c r="O27" s="49">
        <f t="shared" si="15"/>
        <v>7578</v>
      </c>
      <c r="P27" s="142">
        <v>3123588</v>
      </c>
      <c r="Q27" s="49">
        <f t="shared" si="9"/>
        <v>7276</v>
      </c>
      <c r="R27" s="140">
        <v>17206922</v>
      </c>
      <c r="S27" s="49">
        <f t="shared" si="10"/>
        <v>6789</v>
      </c>
      <c r="T27" s="140">
        <v>0</v>
      </c>
      <c r="U27" s="143"/>
      <c r="V27" s="140">
        <v>4835344</v>
      </c>
      <c r="W27" s="49">
        <f t="shared" si="11"/>
        <v>9207</v>
      </c>
      <c r="X27" s="28">
        <f t="shared" si="12"/>
        <v>39197</v>
      </c>
      <c r="Y27" s="35">
        <f t="shared" si="13"/>
        <v>8012</v>
      </c>
      <c r="Z27" s="27">
        <f t="shared" si="14"/>
        <v>6032.8562112</v>
      </c>
      <c r="AA27" s="27">
        <f t="shared" si="16"/>
        <v>28620.223320000001</v>
      </c>
    </row>
    <row r="28" spans="1:27" ht="16.5" thickBot="1" x14ac:dyDescent="0.25">
      <c r="A28" s="10">
        <v>44311</v>
      </c>
      <c r="B28" s="49">
        <v>25</v>
      </c>
      <c r="C28" s="164">
        <v>18138</v>
      </c>
      <c r="D28" s="49">
        <f t="shared" si="3"/>
        <v>320</v>
      </c>
      <c r="E28" s="140">
        <v>25680352</v>
      </c>
      <c r="F28" s="49">
        <f t="shared" si="4"/>
        <v>11977</v>
      </c>
      <c r="G28" s="144">
        <v>81007377</v>
      </c>
      <c r="H28" s="49">
        <f t="shared" si="5"/>
        <v>51475</v>
      </c>
      <c r="I28" s="141">
        <f t="shared" si="6"/>
        <v>63452</v>
      </c>
      <c r="J28" s="140">
        <v>7888975</v>
      </c>
      <c r="K28" s="49">
        <f t="shared" si="7"/>
        <v>6385</v>
      </c>
      <c r="L28" s="142">
        <v>7910582</v>
      </c>
      <c r="M28" s="49">
        <f t="shared" si="8"/>
        <v>6298</v>
      </c>
      <c r="N28" s="140">
        <v>5062301</v>
      </c>
      <c r="O28" s="49">
        <f t="shared" si="15"/>
        <v>5476</v>
      </c>
      <c r="P28" s="142">
        <v>3134967</v>
      </c>
      <c r="Q28" s="49">
        <f t="shared" si="9"/>
        <v>11379</v>
      </c>
      <c r="R28" s="140">
        <v>17216393</v>
      </c>
      <c r="S28" s="49">
        <f t="shared" si="10"/>
        <v>9471</v>
      </c>
      <c r="T28" s="140">
        <v>0</v>
      </c>
      <c r="U28" s="143"/>
      <c r="V28" s="140">
        <v>4845810</v>
      </c>
      <c r="W28" s="49">
        <f t="shared" si="11"/>
        <v>10466</v>
      </c>
      <c r="X28" s="28">
        <f t="shared" si="12"/>
        <v>49475</v>
      </c>
      <c r="Y28" s="35">
        <f t="shared" si="13"/>
        <v>13977</v>
      </c>
      <c r="Z28" s="27">
        <f t="shared" si="14"/>
        <v>7279.0775824000002</v>
      </c>
      <c r="AA28" s="27">
        <f t="shared" si="16"/>
        <v>29810.735968000001</v>
      </c>
    </row>
    <row r="29" spans="1:27" ht="16.5" thickBot="1" x14ac:dyDescent="0.25">
      <c r="A29" s="10">
        <v>44312</v>
      </c>
      <c r="B29" s="49">
        <v>20</v>
      </c>
      <c r="C29" s="164">
        <v>18141</v>
      </c>
      <c r="D29" s="49">
        <f t="shared" si="3"/>
        <v>480</v>
      </c>
      <c r="E29" s="140">
        <v>25686978</v>
      </c>
      <c r="F29" s="49">
        <f t="shared" si="4"/>
        <v>6626</v>
      </c>
      <c r="G29" s="144">
        <v>81055824</v>
      </c>
      <c r="H29" s="49">
        <f t="shared" si="5"/>
        <v>48447</v>
      </c>
      <c r="I29" s="141">
        <f t="shared" si="6"/>
        <v>55073</v>
      </c>
      <c r="J29" s="140">
        <v>7894927</v>
      </c>
      <c r="K29" s="49">
        <f t="shared" si="7"/>
        <v>5952</v>
      </c>
      <c r="L29" s="142">
        <v>7914604</v>
      </c>
      <c r="M29" s="49">
        <f t="shared" si="8"/>
        <v>4022</v>
      </c>
      <c r="N29" s="140">
        <v>5063540</v>
      </c>
      <c r="O29" s="49">
        <f t="shared" si="15"/>
        <v>2478</v>
      </c>
      <c r="P29" s="142">
        <v>3145704</v>
      </c>
      <c r="Q29" s="49">
        <f t="shared" si="9"/>
        <v>10737</v>
      </c>
      <c r="R29" s="140">
        <v>17225456</v>
      </c>
      <c r="S29" s="49">
        <f t="shared" si="10"/>
        <v>9063</v>
      </c>
      <c r="T29" s="140">
        <v>0</v>
      </c>
      <c r="U29" s="143"/>
      <c r="V29" s="140">
        <v>4856606</v>
      </c>
      <c r="W29" s="49">
        <f t="shared" si="11"/>
        <v>10796</v>
      </c>
      <c r="X29" s="28">
        <f t="shared" si="12"/>
        <v>43048</v>
      </c>
      <c r="Y29" s="35">
        <f t="shared" si="13"/>
        <v>12025</v>
      </c>
      <c r="Z29" s="27">
        <f t="shared" si="14"/>
        <v>6733.1902768</v>
      </c>
      <c r="AA29" s="27">
        <f t="shared" si="16"/>
        <v>27577.969161600002</v>
      </c>
    </row>
    <row r="30" spans="1:27" ht="16.5" thickBot="1" x14ac:dyDescent="0.25">
      <c r="A30" s="10">
        <v>44313</v>
      </c>
      <c r="B30" s="49">
        <v>20</v>
      </c>
      <c r="C30" s="164">
        <v>18143</v>
      </c>
      <c r="D30" s="49">
        <f t="shared" si="3"/>
        <v>320</v>
      </c>
      <c r="E30" s="140">
        <v>25694697</v>
      </c>
      <c r="F30" s="49">
        <f t="shared" si="4"/>
        <v>7719</v>
      </c>
      <c r="G30" s="144">
        <v>81101587</v>
      </c>
      <c r="H30" s="49">
        <f t="shared" si="5"/>
        <v>45763</v>
      </c>
      <c r="I30" s="141">
        <f t="shared" si="6"/>
        <v>53482</v>
      </c>
      <c r="J30" s="140">
        <v>7900491</v>
      </c>
      <c r="K30" s="49">
        <f t="shared" si="7"/>
        <v>5564</v>
      </c>
      <c r="L30" s="142">
        <v>7919497</v>
      </c>
      <c r="M30" s="49">
        <f t="shared" si="8"/>
        <v>4893</v>
      </c>
      <c r="N30" s="140">
        <v>5064882</v>
      </c>
      <c r="O30" s="49">
        <f t="shared" si="15"/>
        <v>2684</v>
      </c>
      <c r="P30" s="142">
        <v>3155848</v>
      </c>
      <c r="Q30" s="49">
        <f t="shared" si="9"/>
        <v>10144</v>
      </c>
      <c r="R30" s="140">
        <v>17233772</v>
      </c>
      <c r="S30" s="49">
        <f t="shared" si="10"/>
        <v>8316</v>
      </c>
      <c r="T30" s="140">
        <v>0</v>
      </c>
      <c r="U30" s="143"/>
      <c r="V30" s="140">
        <v>4866931</v>
      </c>
      <c r="W30" s="49">
        <f t="shared" si="11"/>
        <v>10325</v>
      </c>
      <c r="X30" s="28">
        <f t="shared" si="12"/>
        <v>41926</v>
      </c>
      <c r="Y30" s="35">
        <f t="shared" si="13"/>
        <v>11556</v>
      </c>
      <c r="Z30" s="27">
        <f t="shared" si="14"/>
        <v>6381.5379472000004</v>
      </c>
      <c r="AA30" s="27">
        <f t="shared" si="16"/>
        <v>26426.6620176</v>
      </c>
    </row>
    <row r="31" spans="1:27" ht="16.5" thickBot="1" x14ac:dyDescent="0.25">
      <c r="A31" s="10">
        <v>44314</v>
      </c>
      <c r="B31" s="49">
        <v>68</v>
      </c>
      <c r="C31" s="164">
        <v>18146</v>
      </c>
      <c r="D31" s="49">
        <f t="shared" si="3"/>
        <v>480</v>
      </c>
      <c r="E31" s="140">
        <v>25700089</v>
      </c>
      <c r="F31" s="49">
        <f t="shared" si="4"/>
        <v>5392</v>
      </c>
      <c r="G31" s="144">
        <v>81140127</v>
      </c>
      <c r="H31" s="49">
        <f t="shared" si="5"/>
        <v>38540</v>
      </c>
      <c r="I31" s="28">
        <f>F31+H31</f>
        <v>43932</v>
      </c>
      <c r="J31" s="140">
        <v>7905234</v>
      </c>
      <c r="K31" s="49">
        <f t="shared" si="7"/>
        <v>4743</v>
      </c>
      <c r="L31" s="142">
        <v>7922748</v>
      </c>
      <c r="M31" s="49">
        <f t="shared" si="8"/>
        <v>3251</v>
      </c>
      <c r="N31" s="140">
        <v>5065895</v>
      </c>
      <c r="O31" s="49">
        <f t="shared" si="15"/>
        <v>2026</v>
      </c>
      <c r="P31" s="142">
        <v>3164484</v>
      </c>
      <c r="Q31" s="49">
        <f t="shared" si="9"/>
        <v>8636</v>
      </c>
      <c r="R31" s="140">
        <v>17241017</v>
      </c>
      <c r="S31" s="49">
        <f t="shared" si="10"/>
        <v>7245</v>
      </c>
      <c r="T31" s="140">
        <v>0</v>
      </c>
      <c r="U31" s="29"/>
      <c r="V31" s="140">
        <v>4875427</v>
      </c>
      <c r="W31" s="49">
        <f t="shared" si="11"/>
        <v>8496</v>
      </c>
      <c r="X31" s="28">
        <f t="shared" si="12"/>
        <v>34397</v>
      </c>
      <c r="Y31" s="35">
        <f t="shared" si="13"/>
        <v>9535</v>
      </c>
      <c r="Z31" s="27">
        <f t="shared" si="14"/>
        <v>5364.0963792000002</v>
      </c>
      <c r="AA31" s="27">
        <f t="shared" si="16"/>
        <v>25757.9021856</v>
      </c>
    </row>
    <row r="32" spans="1:27" ht="16.5" thickBot="1" x14ac:dyDescent="0.25">
      <c r="A32" s="10">
        <v>44315</v>
      </c>
      <c r="B32" s="49">
        <v>62</v>
      </c>
      <c r="C32" s="164">
        <v>18148</v>
      </c>
      <c r="D32" s="49">
        <f t="shared" si="3"/>
        <v>320</v>
      </c>
      <c r="E32" s="140">
        <v>25707878</v>
      </c>
      <c r="F32" s="49">
        <f t="shared" si="4"/>
        <v>7789</v>
      </c>
      <c r="G32" s="144">
        <v>81194705</v>
      </c>
      <c r="H32" s="49">
        <f t="shared" si="5"/>
        <v>54578</v>
      </c>
      <c r="I32" s="28">
        <f t="shared" ref="I32:I33" si="17">F32+H32</f>
        <v>62367</v>
      </c>
      <c r="J32" s="140">
        <v>7911652</v>
      </c>
      <c r="K32" s="49">
        <f t="shared" si="7"/>
        <v>6418</v>
      </c>
      <c r="L32" s="142">
        <v>7927296</v>
      </c>
      <c r="M32" s="49">
        <f t="shared" si="8"/>
        <v>4548</v>
      </c>
      <c r="N32" s="140">
        <v>5067436</v>
      </c>
      <c r="O32" s="49">
        <f t="shared" si="15"/>
        <v>3082</v>
      </c>
      <c r="P32" s="142">
        <v>3176780</v>
      </c>
      <c r="Q32" s="49">
        <f t="shared" si="9"/>
        <v>12296</v>
      </c>
      <c r="R32" s="140">
        <v>17251259</v>
      </c>
      <c r="S32" s="49">
        <f t="shared" si="10"/>
        <v>10242</v>
      </c>
      <c r="T32" s="140">
        <v>0</v>
      </c>
      <c r="U32" s="29"/>
      <c r="V32" s="140">
        <v>4887564</v>
      </c>
      <c r="W32" s="49">
        <f t="shared" si="11"/>
        <v>12137</v>
      </c>
      <c r="X32" s="28">
        <f t="shared" si="12"/>
        <v>48723</v>
      </c>
      <c r="Y32" s="35">
        <f t="shared" si="13"/>
        <v>13644</v>
      </c>
      <c r="Z32" s="27">
        <f t="shared" si="14"/>
        <v>7657.9657648000011</v>
      </c>
      <c r="AA32" s="27">
        <f t="shared" si="16"/>
        <v>26136.790368000002</v>
      </c>
    </row>
    <row r="33" spans="1:28" ht="16.5" thickBot="1" x14ac:dyDescent="0.25">
      <c r="A33" s="10">
        <v>44316</v>
      </c>
      <c r="B33" s="49">
        <v>72</v>
      </c>
      <c r="C33" s="164">
        <v>18151</v>
      </c>
      <c r="D33" s="49">
        <f t="shared" si="3"/>
        <v>480</v>
      </c>
      <c r="E33" s="140">
        <v>25714262</v>
      </c>
      <c r="F33" s="49">
        <f t="shared" si="4"/>
        <v>6384</v>
      </c>
      <c r="G33" s="144">
        <v>81240726</v>
      </c>
      <c r="H33" s="49">
        <f t="shared" si="5"/>
        <v>46021</v>
      </c>
      <c r="I33" s="28">
        <f t="shared" si="17"/>
        <v>52405</v>
      </c>
      <c r="J33" s="140">
        <v>7916972</v>
      </c>
      <c r="K33" s="49">
        <f t="shared" si="7"/>
        <v>5320</v>
      </c>
      <c r="L33" s="142">
        <v>7931158</v>
      </c>
      <c r="M33" s="49">
        <f t="shared" si="8"/>
        <v>3862</v>
      </c>
      <c r="N33" s="140">
        <v>5068618</v>
      </c>
      <c r="O33" s="49">
        <f t="shared" si="15"/>
        <v>2364</v>
      </c>
      <c r="P33" s="142">
        <v>3187872</v>
      </c>
      <c r="Q33" s="49">
        <f t="shared" si="9"/>
        <v>11092</v>
      </c>
      <c r="R33" s="140">
        <v>17259708</v>
      </c>
      <c r="S33" s="49">
        <f t="shared" si="10"/>
        <v>8449</v>
      </c>
      <c r="T33" s="140">
        <v>0</v>
      </c>
      <c r="U33" s="29"/>
      <c r="V33" s="140">
        <v>4897522</v>
      </c>
      <c r="W33" s="49">
        <f t="shared" si="11"/>
        <v>9958</v>
      </c>
      <c r="X33" s="28">
        <f t="shared" si="12"/>
        <v>41045</v>
      </c>
      <c r="Y33" s="35">
        <f t="shared" si="13"/>
        <v>11360</v>
      </c>
      <c r="Z33" s="27">
        <f t="shared" si="14"/>
        <v>6415.6568944000001</v>
      </c>
      <c r="AA33" s="27">
        <f t="shared" si="16"/>
        <v>25819.256985600001</v>
      </c>
    </row>
    <row r="34" spans="1:28" ht="16.5" thickBot="1" x14ac:dyDescent="0.25">
      <c r="A34" s="6" t="s">
        <v>24</v>
      </c>
      <c r="B34" s="162">
        <f>SUM(B2:B33)</f>
        <v>2844</v>
      </c>
      <c r="C34" s="162"/>
      <c r="D34" s="162">
        <f>SUM(D2:D33)</f>
        <v>13440</v>
      </c>
      <c r="E34" s="162">
        <v>0</v>
      </c>
      <c r="F34" s="162">
        <f>SUM(F2:F33)</f>
        <v>280723</v>
      </c>
      <c r="G34" s="162">
        <v>0</v>
      </c>
      <c r="H34" s="162">
        <f>SUM(H2:H33)</f>
        <v>1403101</v>
      </c>
      <c r="I34" s="162">
        <f t="shared" ref="I34:X34" si="18">SUM(I5:I33)</f>
        <v>9316322</v>
      </c>
      <c r="J34" s="162">
        <v>0</v>
      </c>
      <c r="K34" s="162">
        <f>SUM(K2:K33)</f>
        <v>164737</v>
      </c>
      <c r="L34" s="162">
        <v>0</v>
      </c>
      <c r="M34" s="162">
        <f>SUM(M2:M33)</f>
        <v>156323</v>
      </c>
      <c r="N34" s="162">
        <v>0</v>
      </c>
      <c r="O34" s="162">
        <f>SUM(O2:O33)</f>
        <v>119566</v>
      </c>
      <c r="P34" s="162">
        <v>0</v>
      </c>
      <c r="Q34" s="162">
        <f>SUM(Q2:Q33)</f>
        <v>294478</v>
      </c>
      <c r="R34" s="162">
        <v>0</v>
      </c>
      <c r="S34" s="162">
        <f>SUM(S2:S33)</f>
        <v>273800</v>
      </c>
      <c r="T34" s="162">
        <f t="shared" si="18"/>
        <v>0</v>
      </c>
      <c r="U34" s="162">
        <f>SUM(U2:U33)</f>
        <v>0</v>
      </c>
      <c r="V34" s="162">
        <v>0</v>
      </c>
      <c r="W34" s="162">
        <f>SUM(W2:W33)</f>
        <v>318953</v>
      </c>
      <c r="X34" s="162">
        <f t="shared" si="18"/>
        <v>1256911</v>
      </c>
      <c r="Y34" s="162">
        <f>SUM(Y2:Y33)</f>
        <v>8079261</v>
      </c>
      <c r="Z34" s="162">
        <f>SUM(Z2:Z33)</f>
        <v>203810.48473760003</v>
      </c>
      <c r="AA34" s="162">
        <f>SUM(AA2:AA33)</f>
        <v>786765.70182079996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22" zoomScale="80" zoomScaleNormal="55" zoomScaleSheetLayoutView="80" workbookViewId="0">
      <selection activeCell="C34" sqref="C3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17250461</v>
      </c>
      <c r="C2" s="55"/>
    </row>
    <row r="3" spans="1:9" ht="24" thickBot="1" x14ac:dyDescent="0.4">
      <c r="A3" s="10">
        <v>44286</v>
      </c>
      <c r="B3" s="157">
        <v>17252345</v>
      </c>
      <c r="C3" s="55">
        <v>1884</v>
      </c>
    </row>
    <row r="4" spans="1:9" ht="24" thickBot="1" x14ac:dyDescent="0.4">
      <c r="A4" s="10">
        <v>44287</v>
      </c>
      <c r="B4" s="157">
        <v>17254891</v>
      </c>
      <c r="C4" s="55">
        <f t="shared" ref="C4:C30" si="0">IF((B4-B3)&lt;0,"0",(B4-B3))</f>
        <v>2546</v>
      </c>
    </row>
    <row r="5" spans="1:9" ht="24" thickBot="1" x14ac:dyDescent="0.4">
      <c r="A5" s="10">
        <v>44288</v>
      </c>
      <c r="B5" s="157">
        <v>17257153</v>
      </c>
      <c r="C5" s="55">
        <f t="shared" si="0"/>
        <v>2262</v>
      </c>
    </row>
    <row r="6" spans="1:9" ht="24" thickBot="1" x14ac:dyDescent="0.4">
      <c r="A6" s="10">
        <v>44289</v>
      </c>
      <c r="B6" s="157">
        <v>17259350</v>
      </c>
      <c r="C6" s="55">
        <f t="shared" si="0"/>
        <v>2197</v>
      </c>
    </row>
    <row r="7" spans="1:9" ht="24" thickBot="1" x14ac:dyDescent="0.4">
      <c r="A7" s="10">
        <v>44290</v>
      </c>
      <c r="B7" s="157">
        <v>17261935</v>
      </c>
      <c r="C7" s="55">
        <f t="shared" si="0"/>
        <v>2585</v>
      </c>
    </row>
    <row r="8" spans="1:9" ht="24" thickBot="1" x14ac:dyDescent="0.4">
      <c r="A8" s="10">
        <v>44291</v>
      </c>
      <c r="B8" s="157">
        <v>17264200</v>
      </c>
      <c r="C8" s="55">
        <f t="shared" si="0"/>
        <v>2265</v>
      </c>
    </row>
    <row r="9" spans="1:9" ht="24" thickBot="1" x14ac:dyDescent="0.4">
      <c r="A9" s="10">
        <v>44292</v>
      </c>
      <c r="B9" s="157">
        <v>17266322</v>
      </c>
      <c r="C9" s="55">
        <f t="shared" si="0"/>
        <v>2122</v>
      </c>
    </row>
    <row r="10" spans="1:9" ht="24" thickBot="1" x14ac:dyDescent="0.4">
      <c r="A10" s="10">
        <v>44293</v>
      </c>
      <c r="B10" s="157">
        <v>17268362</v>
      </c>
      <c r="C10" s="55">
        <f t="shared" si="0"/>
        <v>2040</v>
      </c>
    </row>
    <row r="11" spans="1:9" ht="24" thickBot="1" x14ac:dyDescent="0.4">
      <c r="A11" s="10">
        <v>44294</v>
      </c>
      <c r="B11" s="157">
        <v>17270523</v>
      </c>
      <c r="C11" s="55">
        <f t="shared" si="0"/>
        <v>2161</v>
      </c>
    </row>
    <row r="12" spans="1:9" ht="24" thickBot="1" x14ac:dyDescent="0.4">
      <c r="A12" s="10">
        <v>44295</v>
      </c>
      <c r="B12" s="157">
        <v>17272701</v>
      </c>
      <c r="C12" s="55">
        <f t="shared" si="0"/>
        <v>2178</v>
      </c>
    </row>
    <row r="13" spans="1:9" ht="24" thickBot="1" x14ac:dyDescent="0.4">
      <c r="A13" s="10">
        <v>44296</v>
      </c>
      <c r="B13" s="157">
        <v>17275544</v>
      </c>
      <c r="C13" s="55">
        <f t="shared" si="0"/>
        <v>2843</v>
      </c>
    </row>
    <row r="14" spans="1:9" ht="24" thickBot="1" x14ac:dyDescent="0.4">
      <c r="A14" s="10">
        <v>44297</v>
      </c>
      <c r="B14" s="157">
        <v>17277775</v>
      </c>
      <c r="C14" s="55">
        <f t="shared" si="0"/>
        <v>2231</v>
      </c>
    </row>
    <row r="15" spans="1:9" ht="24" thickBot="1" x14ac:dyDescent="0.4">
      <c r="A15" s="10">
        <v>44298</v>
      </c>
      <c r="B15" s="157">
        <v>17279877</v>
      </c>
      <c r="C15" s="55">
        <f t="shared" si="0"/>
        <v>2102</v>
      </c>
      <c r="I15" t="s">
        <v>13</v>
      </c>
    </row>
    <row r="16" spans="1:9" ht="26.25" customHeight="1" thickBot="1" x14ac:dyDescent="0.4">
      <c r="A16" s="10">
        <v>44299</v>
      </c>
      <c r="B16" s="157">
        <v>17282300</v>
      </c>
      <c r="C16" s="55">
        <f t="shared" si="0"/>
        <v>2423</v>
      </c>
    </row>
    <row r="17" spans="1:9" ht="25.5" customHeight="1" thickBot="1" x14ac:dyDescent="0.4">
      <c r="A17" s="10">
        <v>44300</v>
      </c>
      <c r="B17" s="157">
        <v>17284737</v>
      </c>
      <c r="C17" s="55">
        <f t="shared" si="0"/>
        <v>2437</v>
      </c>
      <c r="F17" s="155"/>
    </row>
    <row r="18" spans="1:9" ht="24" thickBot="1" x14ac:dyDescent="0.4">
      <c r="A18" s="10">
        <v>44301</v>
      </c>
      <c r="B18" s="157">
        <v>17287001</v>
      </c>
      <c r="C18" s="55">
        <f t="shared" si="0"/>
        <v>2264</v>
      </c>
    </row>
    <row r="19" spans="1:9" ht="24" thickBot="1" x14ac:dyDescent="0.4">
      <c r="A19" s="10">
        <v>44302</v>
      </c>
      <c r="B19" s="157">
        <v>17289100</v>
      </c>
      <c r="C19" s="55">
        <f t="shared" si="0"/>
        <v>2099</v>
      </c>
    </row>
    <row r="20" spans="1:9" ht="24" thickBot="1" x14ac:dyDescent="0.4">
      <c r="A20" s="10">
        <v>44303</v>
      </c>
      <c r="B20" s="157">
        <v>17290549</v>
      </c>
      <c r="C20" s="55">
        <f t="shared" si="0"/>
        <v>1449</v>
      </c>
    </row>
    <row r="21" spans="1:9" ht="24" thickBot="1" x14ac:dyDescent="0.4">
      <c r="A21" s="10">
        <v>44304</v>
      </c>
      <c r="B21" s="157">
        <v>17292555</v>
      </c>
      <c r="C21" s="55">
        <f t="shared" si="0"/>
        <v>2006</v>
      </c>
    </row>
    <row r="22" spans="1:9" ht="24" thickBot="1" x14ac:dyDescent="0.4">
      <c r="A22" s="10">
        <v>44305</v>
      </c>
      <c r="B22" s="157">
        <v>17294183</v>
      </c>
      <c r="C22" s="55">
        <f t="shared" si="0"/>
        <v>1628</v>
      </c>
    </row>
    <row r="23" spans="1:9" ht="24" thickBot="1" x14ac:dyDescent="0.4">
      <c r="A23" s="10">
        <v>44306</v>
      </c>
      <c r="B23" s="157">
        <v>17296183</v>
      </c>
      <c r="C23" s="55">
        <f t="shared" si="0"/>
        <v>2000</v>
      </c>
      <c r="F23" t="s">
        <v>13</v>
      </c>
    </row>
    <row r="24" spans="1:9" ht="24" thickBot="1" x14ac:dyDescent="0.4">
      <c r="A24" s="10">
        <v>44307</v>
      </c>
      <c r="B24" s="157">
        <v>17298002</v>
      </c>
      <c r="C24" s="55">
        <f t="shared" si="0"/>
        <v>1819</v>
      </c>
      <c r="E24" t="s">
        <v>13</v>
      </c>
    </row>
    <row r="25" spans="1:9" ht="24" thickBot="1" x14ac:dyDescent="0.4">
      <c r="A25" s="10">
        <v>44308</v>
      </c>
      <c r="B25" s="157">
        <f>17300114</f>
        <v>17300114</v>
      </c>
      <c r="C25" s="55">
        <f t="shared" si="0"/>
        <v>2112</v>
      </c>
    </row>
    <row r="26" spans="1:9" ht="24" thickBot="1" x14ac:dyDescent="0.4">
      <c r="A26" s="10">
        <v>44309</v>
      </c>
      <c r="B26" s="157">
        <v>17302211</v>
      </c>
      <c r="C26" s="55">
        <f t="shared" si="0"/>
        <v>2097</v>
      </c>
    </row>
    <row r="27" spans="1:9" ht="24" thickBot="1" x14ac:dyDescent="0.4">
      <c r="A27" s="10">
        <v>44310</v>
      </c>
      <c r="B27" s="157">
        <v>17304057</v>
      </c>
      <c r="C27" s="55">
        <f t="shared" si="0"/>
        <v>1846</v>
      </c>
    </row>
    <row r="28" spans="1:9" ht="24" thickBot="1" x14ac:dyDescent="0.4">
      <c r="A28" s="10">
        <v>44311</v>
      </c>
      <c r="B28" s="157">
        <v>17306197</v>
      </c>
      <c r="C28" s="55">
        <f t="shared" si="0"/>
        <v>2140</v>
      </c>
      <c r="I28" t="s">
        <v>13</v>
      </c>
    </row>
    <row r="29" spans="1:9" ht="24" thickBot="1" x14ac:dyDescent="0.4">
      <c r="A29" s="10">
        <v>44312</v>
      </c>
      <c r="B29" s="157">
        <v>17308046</v>
      </c>
      <c r="C29" s="55">
        <f t="shared" si="0"/>
        <v>1849</v>
      </c>
    </row>
    <row r="30" spans="1:9" ht="24" thickBot="1" x14ac:dyDescent="0.4">
      <c r="A30" s="10">
        <v>44313</v>
      </c>
      <c r="B30" s="157">
        <v>17310000</v>
      </c>
      <c r="C30" s="55">
        <f t="shared" si="0"/>
        <v>1954</v>
      </c>
    </row>
    <row r="31" spans="1:9" ht="24" thickBot="1" x14ac:dyDescent="0.4">
      <c r="A31" s="10">
        <v>44314</v>
      </c>
      <c r="B31" s="157">
        <v>17311863</v>
      </c>
      <c r="C31" s="55">
        <f>IF((B31-B30)&lt;0,"0",(B31-B30))</f>
        <v>1863</v>
      </c>
    </row>
    <row r="32" spans="1:9" ht="24" thickBot="1" x14ac:dyDescent="0.4">
      <c r="A32" s="10">
        <v>44315</v>
      </c>
      <c r="B32" s="157">
        <v>17313800</v>
      </c>
      <c r="C32" s="55">
        <f t="shared" ref="C32:C33" si="1">IF((B32-B31)&lt;0,"0",(B32-B31))</f>
        <v>1937</v>
      </c>
    </row>
    <row r="33" spans="1:3" ht="24" thickBot="1" x14ac:dyDescent="0.4">
      <c r="A33" s="10">
        <v>44316</v>
      </c>
      <c r="B33" s="157">
        <v>17315561</v>
      </c>
      <c r="C33" s="55">
        <f t="shared" si="1"/>
        <v>1761</v>
      </c>
    </row>
    <row r="34" spans="1:3" ht="24" thickBot="1" x14ac:dyDescent="0.4">
      <c r="A34" s="171" t="s">
        <v>139</v>
      </c>
      <c r="B34" s="172"/>
      <c r="C34" s="160">
        <f>SUM(C3:C33)</f>
        <v>65100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zoomScale="98" zoomScaleNormal="98" workbookViewId="0">
      <pane xSplit="1" topLeftCell="B1" activePane="topRight" state="frozen"/>
      <selection pane="topRight" activeCell="Q32" sqref="Q32:Q33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20276.262999999999</v>
      </c>
      <c r="C2" s="54">
        <v>0</v>
      </c>
      <c r="D2" s="38">
        <f t="shared" ref="D2" si="0">C2*1.9*1000</f>
        <v>0</v>
      </c>
      <c r="E2" s="1">
        <v>3509.5659999999998</v>
      </c>
      <c r="F2" s="54">
        <v>0</v>
      </c>
      <c r="G2" s="38">
        <f t="shared" ref="G2" si="1">F2*1.9*1000</f>
        <v>0</v>
      </c>
      <c r="H2" s="1">
        <v>2721</v>
      </c>
      <c r="I2" s="54">
        <v>0</v>
      </c>
      <c r="J2" s="38">
        <f t="shared" ref="J2" si="2">I2*1.9*1000</f>
        <v>0</v>
      </c>
      <c r="K2" s="7">
        <v>13315.91</v>
      </c>
      <c r="L2" s="54">
        <v>0</v>
      </c>
      <c r="M2" s="38">
        <f t="shared" ref="M2" si="3">L2*1.9*1000</f>
        <v>0</v>
      </c>
      <c r="N2" s="7">
        <v>2970.8620000000001</v>
      </c>
      <c r="O2" s="54">
        <v>0</v>
      </c>
      <c r="P2" s="38">
        <f t="shared" ref="P2" si="4">O2*1.9*1000</f>
        <v>0</v>
      </c>
      <c r="Q2" s="7">
        <v>4723.67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44287</v>
      </c>
      <c r="B3" s="1">
        <v>20280.445</v>
      </c>
      <c r="C3" s="54">
        <v>4.125</v>
      </c>
      <c r="D3" s="38">
        <v>7837.4999999999991</v>
      </c>
      <c r="E3" s="1">
        <v>3510.6309999999999</v>
      </c>
      <c r="F3" s="54">
        <v>1.2909999999997126</v>
      </c>
      <c r="G3" s="38">
        <v>2452.8999999994539</v>
      </c>
      <c r="H3" s="1">
        <v>2727</v>
      </c>
      <c r="I3" s="54">
        <v>5</v>
      </c>
      <c r="J3" s="38">
        <v>9500</v>
      </c>
      <c r="K3" s="7">
        <v>13318.56</v>
      </c>
      <c r="L3" s="54">
        <v>0.80999999999949068</v>
      </c>
      <c r="M3" s="38">
        <v>1538.9999999990323</v>
      </c>
      <c r="N3" s="7">
        <v>2972.1869999999999</v>
      </c>
      <c r="O3" s="54">
        <v>1.1720000000000255</v>
      </c>
      <c r="P3" s="38">
        <v>2226.8000000000484</v>
      </c>
      <c r="Q3" s="7">
        <v>4724.13</v>
      </c>
      <c r="R3" s="54">
        <v>0.11499999999978172</v>
      </c>
      <c r="S3" s="38">
        <v>218.49999999958524</v>
      </c>
      <c r="T3" s="8">
        <v>12.51299999999901</v>
      </c>
      <c r="U3" s="40">
        <v>23774.69999999812</v>
      </c>
    </row>
    <row r="4" spans="1:25" ht="16.5" thickBot="1" x14ac:dyDescent="0.25">
      <c r="A4" s="10">
        <v>44288</v>
      </c>
      <c r="B4" s="1">
        <v>20284.669999999998</v>
      </c>
      <c r="C4" s="54">
        <f t="shared" ref="C4:C33" si="7">IF((B4-B3)&lt;0,"0",(B4-B3))</f>
        <v>4.2249999999985448</v>
      </c>
      <c r="D4" s="38">
        <f t="shared" ref="D4:D33" si="8">C4*1.9*1000</f>
        <v>8027.4999999972342</v>
      </c>
      <c r="E4" s="1">
        <v>3511.66</v>
      </c>
      <c r="F4" s="54">
        <f t="shared" ref="F4:F33" si="9">IF((E4-E3)&lt;0,"0",(E4-E3))</f>
        <v>1.0289999999999964</v>
      </c>
      <c r="G4" s="38">
        <f t="shared" ref="G4:G33" si="10">F4*1.9*1000</f>
        <v>1955.0999999999929</v>
      </c>
      <c r="H4" s="1">
        <v>2732</v>
      </c>
      <c r="I4" s="54">
        <f t="shared" ref="I4:I33" si="11">IF((H4-H3)&lt;0,"0",(H4-H3))</f>
        <v>5</v>
      </c>
      <c r="J4" s="38">
        <f t="shared" ref="J4:J33" si="12">I4*1.9*1000</f>
        <v>9500</v>
      </c>
      <c r="K4" s="7">
        <v>13319.19</v>
      </c>
      <c r="L4" s="54">
        <f t="shared" ref="L4:L33" si="13">IF((K4-K3)&lt;0,"0",(K4-K3))</f>
        <v>0.63000000000101863</v>
      </c>
      <c r="M4" s="38">
        <f t="shared" ref="M4:M33" si="14">L4*1.9*1000</f>
        <v>1197.0000000019354</v>
      </c>
      <c r="N4" s="7">
        <v>2973.556</v>
      </c>
      <c r="O4" s="54">
        <f t="shared" ref="O4:O33" si="15">IF((N4-N3)&lt;0,"0",(N4-N3))</f>
        <v>1.3690000000001419</v>
      </c>
      <c r="P4" s="38">
        <v>2230</v>
      </c>
      <c r="Q4" s="7">
        <v>4724.75</v>
      </c>
      <c r="R4" s="54">
        <f t="shared" ref="R4:R33" si="16">IF((Q4-Q3)&lt;0,"0",(Q4-Q3))</f>
        <v>0.61999999999989086</v>
      </c>
      <c r="S4" s="38">
        <f t="shared" ref="S4:S33" si="17">R4*1.9*1000</f>
        <v>1177.9999999997926</v>
      </c>
      <c r="T4" s="8">
        <v>0</v>
      </c>
      <c r="U4" s="40">
        <f t="shared" ref="U4:U33" si="18">T4*1.9*1000</f>
        <v>0</v>
      </c>
    </row>
    <row r="5" spans="1:25" ht="16.5" thickBot="1" x14ac:dyDescent="0.25">
      <c r="A5" s="10">
        <v>44289</v>
      </c>
      <c r="B5" s="1">
        <v>20289.5</v>
      </c>
      <c r="C5" s="54">
        <f t="shared" si="7"/>
        <v>4.8300000000017462</v>
      </c>
      <c r="D5" s="38">
        <f t="shared" si="8"/>
        <v>9177.0000000033178</v>
      </c>
      <c r="E5" s="1">
        <v>3512.2170000000001</v>
      </c>
      <c r="F5" s="54">
        <f t="shared" si="9"/>
        <v>0.55700000000024374</v>
      </c>
      <c r="G5" s="38">
        <f t="shared" si="10"/>
        <v>1058.3000000004629</v>
      </c>
      <c r="H5" s="1">
        <v>2737</v>
      </c>
      <c r="I5" s="54">
        <f t="shared" si="11"/>
        <v>5</v>
      </c>
      <c r="J5" s="38">
        <f t="shared" si="12"/>
        <v>9500</v>
      </c>
      <c r="K5" s="7">
        <v>13319.41</v>
      </c>
      <c r="L5" s="54">
        <f t="shared" si="13"/>
        <v>0.21999999999934516</v>
      </c>
      <c r="M5" s="38">
        <f t="shared" si="14"/>
        <v>417.99999999875581</v>
      </c>
      <c r="N5" s="7">
        <v>2974.806</v>
      </c>
      <c r="O5" s="54">
        <f t="shared" si="15"/>
        <v>1.25</v>
      </c>
      <c r="P5" s="38">
        <f t="shared" ref="P5:P33" si="19">O5*1.9*1000</f>
        <v>2375</v>
      </c>
      <c r="Q5" s="7">
        <v>4725.74</v>
      </c>
      <c r="R5" s="54">
        <f t="shared" si="16"/>
        <v>0.98999999999978172</v>
      </c>
      <c r="S5" s="38">
        <f t="shared" si="17"/>
        <v>1880.9999999995853</v>
      </c>
      <c r="T5" s="8">
        <f t="shared" ref="T5:T33" si="20">C5+F5+I5+L5+O5+R5</f>
        <v>12.847000000001117</v>
      </c>
      <c r="U5" s="40">
        <f t="shared" si="18"/>
        <v>24409.30000000212</v>
      </c>
    </row>
    <row r="6" spans="1:25" ht="16.5" thickBot="1" x14ac:dyDescent="0.25">
      <c r="A6" s="10">
        <v>44290</v>
      </c>
      <c r="B6" s="1">
        <v>20292.8</v>
      </c>
      <c r="C6" s="54">
        <f t="shared" si="7"/>
        <v>3.2999999999992724</v>
      </c>
      <c r="D6" s="38">
        <f t="shared" si="8"/>
        <v>6269.9999999986176</v>
      </c>
      <c r="E6" s="1">
        <v>3512.6660000000002</v>
      </c>
      <c r="F6" s="54">
        <f t="shared" si="9"/>
        <v>0.44900000000006912</v>
      </c>
      <c r="G6" s="38">
        <f t="shared" si="10"/>
        <v>853.10000000013133</v>
      </c>
      <c r="H6" s="1">
        <v>2741</v>
      </c>
      <c r="I6" s="54">
        <f t="shared" si="11"/>
        <v>4</v>
      </c>
      <c r="J6" s="38">
        <f t="shared" si="12"/>
        <v>7600</v>
      </c>
      <c r="K6" s="7">
        <v>13319.41</v>
      </c>
      <c r="L6" s="54">
        <f t="shared" si="13"/>
        <v>0</v>
      </c>
      <c r="M6" s="38">
        <f t="shared" si="14"/>
        <v>0</v>
      </c>
      <c r="N6" s="7">
        <v>2975.672</v>
      </c>
      <c r="O6" s="54">
        <f t="shared" si="15"/>
        <v>0.86599999999998545</v>
      </c>
      <c r="P6" s="38">
        <f t="shared" si="19"/>
        <v>1645.3999999999721</v>
      </c>
      <c r="Q6" s="7">
        <v>4726.6000000000004</v>
      </c>
      <c r="R6" s="54">
        <f t="shared" si="16"/>
        <v>0.86000000000058208</v>
      </c>
      <c r="S6" s="38">
        <f t="shared" si="17"/>
        <v>1634.0000000011059</v>
      </c>
      <c r="T6" s="8">
        <f t="shared" si="20"/>
        <v>9.4749999999999091</v>
      </c>
      <c r="U6" s="40">
        <f t="shared" si="18"/>
        <v>18002.499999999825</v>
      </c>
    </row>
    <row r="7" spans="1:25" ht="16.5" thickBot="1" x14ac:dyDescent="0.25">
      <c r="A7" s="10">
        <v>44291</v>
      </c>
      <c r="B7" s="1">
        <v>20297.518</v>
      </c>
      <c r="C7" s="54">
        <f t="shared" si="7"/>
        <v>4.7180000000007567</v>
      </c>
      <c r="D7" s="38">
        <f t="shared" si="8"/>
        <v>8964.2000000014377</v>
      </c>
      <c r="E7" s="1">
        <v>3513.6669999999999</v>
      </c>
      <c r="F7" s="54">
        <f t="shared" si="9"/>
        <v>1.000999999999749</v>
      </c>
      <c r="G7" s="38">
        <f t="shared" si="10"/>
        <v>1901.8999999995231</v>
      </c>
      <c r="H7" s="1">
        <v>2747</v>
      </c>
      <c r="I7" s="54">
        <f t="shared" si="11"/>
        <v>6</v>
      </c>
      <c r="J7" s="38">
        <f t="shared" si="12"/>
        <v>11399.999999999998</v>
      </c>
      <c r="K7" s="7">
        <v>13319.41</v>
      </c>
      <c r="L7" s="54">
        <f t="shared" si="13"/>
        <v>0</v>
      </c>
      <c r="M7" s="38">
        <f t="shared" si="14"/>
        <v>0</v>
      </c>
      <c r="N7" s="7">
        <v>2976.94</v>
      </c>
      <c r="O7" s="54">
        <f t="shared" si="15"/>
        <v>1.2680000000000291</v>
      </c>
      <c r="P7" s="38">
        <f t="shared" si="19"/>
        <v>2409.2000000000553</v>
      </c>
      <c r="Q7" s="7">
        <v>4726.8999999999996</v>
      </c>
      <c r="R7" s="54">
        <f t="shared" si="16"/>
        <v>0.2999999999992724</v>
      </c>
      <c r="S7" s="38">
        <f t="shared" si="17"/>
        <v>569.99999999861745</v>
      </c>
      <c r="T7" s="8">
        <f t="shared" si="20"/>
        <v>13.286999999999807</v>
      </c>
      <c r="U7" s="40">
        <f t="shared" si="18"/>
        <v>25245.299999999632</v>
      </c>
    </row>
    <row r="8" spans="1:25" ht="16.5" thickBot="1" x14ac:dyDescent="0.25">
      <c r="A8" s="10">
        <v>44292</v>
      </c>
      <c r="B8" s="1">
        <v>20301.951000000001</v>
      </c>
      <c r="C8" s="54">
        <f t="shared" si="7"/>
        <v>4.4330000000009022</v>
      </c>
      <c r="D8" s="38">
        <f t="shared" si="8"/>
        <v>8422.7000000017124</v>
      </c>
      <c r="E8" s="1">
        <v>3515.0729999999999</v>
      </c>
      <c r="F8" s="54">
        <f t="shared" si="9"/>
        <v>1.4059999999999491</v>
      </c>
      <c r="G8" s="38">
        <f t="shared" si="10"/>
        <v>2671.3999999999028</v>
      </c>
      <c r="H8" s="1">
        <v>2752</v>
      </c>
      <c r="I8" s="54">
        <f t="shared" si="11"/>
        <v>5</v>
      </c>
      <c r="J8" s="38">
        <f t="shared" si="12"/>
        <v>9500</v>
      </c>
      <c r="K8" s="7">
        <f t="shared" ref="K8" si="21">K7</f>
        <v>13319.41</v>
      </c>
      <c r="L8" s="54">
        <f>IF((K8-K7)&lt;0,"0",(K8-K7))</f>
        <v>0</v>
      </c>
      <c r="M8" s="38">
        <f t="shared" si="14"/>
        <v>0</v>
      </c>
      <c r="N8" s="7">
        <v>2978.3270000000002</v>
      </c>
      <c r="O8" s="54">
        <f t="shared" si="15"/>
        <v>1.387000000000171</v>
      </c>
      <c r="P8" s="38">
        <f t="shared" si="19"/>
        <v>2635.3000000003244</v>
      </c>
      <c r="Q8" s="7">
        <v>4727.3</v>
      </c>
      <c r="R8" s="54">
        <f t="shared" si="16"/>
        <v>0.4000000000005457</v>
      </c>
      <c r="S8" s="38">
        <f t="shared" si="17"/>
        <v>760.00000000103671</v>
      </c>
      <c r="T8" s="8">
        <f t="shared" si="20"/>
        <v>12.626000000001568</v>
      </c>
      <c r="U8" s="40">
        <f t="shared" si="18"/>
        <v>23989.400000002977</v>
      </c>
    </row>
    <row r="9" spans="1:25" ht="16.5" thickBot="1" x14ac:dyDescent="0.25">
      <c r="A9" s="10">
        <v>44293</v>
      </c>
      <c r="B9" s="1">
        <v>20307.313999999998</v>
      </c>
      <c r="C9" s="54">
        <f t="shared" si="7"/>
        <v>5.3629999999975553</v>
      </c>
      <c r="D9" s="38">
        <f t="shared" si="8"/>
        <v>10189.699999995355</v>
      </c>
      <c r="E9" s="1">
        <v>3516.6210000000001</v>
      </c>
      <c r="F9" s="54">
        <f t="shared" si="9"/>
        <v>1.5480000000002292</v>
      </c>
      <c r="G9" s="38">
        <f t="shared" si="10"/>
        <v>2941.2000000004355</v>
      </c>
      <c r="H9" s="1">
        <v>2757</v>
      </c>
      <c r="I9" s="54">
        <f t="shared" si="11"/>
        <v>5</v>
      </c>
      <c r="J9" s="38">
        <f t="shared" si="12"/>
        <v>9500</v>
      </c>
      <c r="K9" s="7">
        <v>13320.23</v>
      </c>
      <c r="L9" s="54">
        <f t="shared" si="13"/>
        <v>0.81999999999970896</v>
      </c>
      <c r="M9" s="38">
        <f t="shared" si="14"/>
        <v>1557.999999999447</v>
      </c>
      <c r="N9" s="7">
        <v>2979.7460000000001</v>
      </c>
      <c r="O9" s="54">
        <f t="shared" si="15"/>
        <v>1.418999999999869</v>
      </c>
      <c r="P9" s="38">
        <f t="shared" si="19"/>
        <v>2696.0999999997512</v>
      </c>
      <c r="Q9" s="7">
        <v>4727.6499999999996</v>
      </c>
      <c r="R9" s="54">
        <f t="shared" si="16"/>
        <v>0.3499999999994543</v>
      </c>
      <c r="S9" s="38">
        <f t="shared" si="17"/>
        <v>664.99999999896318</v>
      </c>
      <c r="T9" s="8">
        <f t="shared" si="20"/>
        <v>14.499999999996817</v>
      </c>
      <c r="U9" s="40">
        <f t="shared" si="18"/>
        <v>27549.99999999395</v>
      </c>
    </row>
    <row r="10" spans="1:25" ht="16.5" thickBot="1" x14ac:dyDescent="0.25">
      <c r="A10" s="10">
        <v>44294</v>
      </c>
      <c r="B10" s="1">
        <v>20313.669999999998</v>
      </c>
      <c r="C10" s="54">
        <f t="shared" si="7"/>
        <v>6.3559999999997672</v>
      </c>
      <c r="D10" s="38">
        <f t="shared" si="8"/>
        <v>12076.399999999558</v>
      </c>
      <c r="E10" s="1">
        <v>3518.3519999999999</v>
      </c>
      <c r="F10" s="54">
        <f t="shared" si="9"/>
        <v>1.7309999999997672</v>
      </c>
      <c r="G10" s="38">
        <f t="shared" si="10"/>
        <v>3288.8999999995576</v>
      </c>
      <c r="H10" s="1">
        <v>2763</v>
      </c>
      <c r="I10" s="54">
        <f t="shared" si="11"/>
        <v>6</v>
      </c>
      <c r="J10" s="38">
        <f t="shared" si="12"/>
        <v>11399.999999999998</v>
      </c>
      <c r="K10" s="7">
        <v>13321.86</v>
      </c>
      <c r="L10" s="54">
        <f t="shared" si="13"/>
        <v>1.6300000000010186</v>
      </c>
      <c r="M10" s="38">
        <f t="shared" si="14"/>
        <v>3097.0000000019354</v>
      </c>
      <c r="N10" s="7">
        <v>2981.2869999999998</v>
      </c>
      <c r="O10" s="54">
        <f t="shared" si="15"/>
        <v>1.5409999999997126</v>
      </c>
      <c r="P10" s="38">
        <f t="shared" si="19"/>
        <v>2927.8999999994539</v>
      </c>
      <c r="Q10" s="7">
        <v>4729.18</v>
      </c>
      <c r="R10" s="54">
        <f t="shared" si="16"/>
        <v>1.5300000000006548</v>
      </c>
      <c r="S10" s="38">
        <f t="shared" si="17"/>
        <v>2907.0000000012437</v>
      </c>
      <c r="T10" s="8">
        <f t="shared" si="20"/>
        <v>18.78800000000092</v>
      </c>
      <c r="U10" s="40">
        <f t="shared" si="18"/>
        <v>35697.200000001751</v>
      </c>
    </row>
    <row r="11" spans="1:25" ht="16.5" thickBot="1" x14ac:dyDescent="0.25">
      <c r="A11" s="10">
        <v>44295</v>
      </c>
      <c r="B11" s="1">
        <v>20320.244999999999</v>
      </c>
      <c r="C11" s="54">
        <f t="shared" si="7"/>
        <v>6.5750000000007276</v>
      </c>
      <c r="D11" s="38">
        <f t="shared" si="8"/>
        <v>12492.500000001382</v>
      </c>
      <c r="E11" s="1">
        <v>3520.1640000000002</v>
      </c>
      <c r="F11" s="54">
        <f t="shared" si="9"/>
        <v>1.8120000000003529</v>
      </c>
      <c r="G11" s="38">
        <f t="shared" si="10"/>
        <v>3442.80000000067</v>
      </c>
      <c r="H11" s="1">
        <v>2770</v>
      </c>
      <c r="I11" s="54">
        <f t="shared" si="11"/>
        <v>7</v>
      </c>
      <c r="J11" s="38">
        <f t="shared" si="12"/>
        <v>13299.999999999998</v>
      </c>
      <c r="K11" s="7">
        <v>13323.54</v>
      </c>
      <c r="L11" s="54">
        <f t="shared" si="13"/>
        <v>1.680000000000291</v>
      </c>
      <c r="M11" s="38">
        <f t="shared" si="14"/>
        <v>3192.0000000005525</v>
      </c>
      <c r="N11" s="7">
        <v>2983.2469999999998</v>
      </c>
      <c r="O11" s="54">
        <f t="shared" si="15"/>
        <v>1.9600000000000364</v>
      </c>
      <c r="P11" s="38">
        <f t="shared" si="19"/>
        <v>3724.0000000000691</v>
      </c>
      <c r="Q11" s="7">
        <v>4730.2470000000003</v>
      </c>
      <c r="R11" s="54">
        <f t="shared" si="16"/>
        <v>1.0670000000000073</v>
      </c>
      <c r="S11" s="38">
        <f t="shared" si="17"/>
        <v>2027.3000000000136</v>
      </c>
      <c r="T11" s="8">
        <f t="shared" si="20"/>
        <v>20.094000000001415</v>
      </c>
      <c r="U11" s="40">
        <f t="shared" si="18"/>
        <v>38178.600000002691</v>
      </c>
    </row>
    <row r="12" spans="1:25" ht="16.5" thickBot="1" x14ac:dyDescent="0.25">
      <c r="A12" s="10">
        <v>44296</v>
      </c>
      <c r="B12" s="1">
        <v>20325.762999999999</v>
      </c>
      <c r="C12" s="54">
        <f t="shared" si="7"/>
        <v>5.5180000000000291</v>
      </c>
      <c r="D12" s="38">
        <f t="shared" si="8"/>
        <v>10484.200000000055</v>
      </c>
      <c r="E12" s="1">
        <v>3521.078</v>
      </c>
      <c r="F12" s="54">
        <f t="shared" si="9"/>
        <v>0.91399999999975989</v>
      </c>
      <c r="G12" s="38">
        <f t="shared" si="10"/>
        <v>1736.5999999995436</v>
      </c>
      <c r="H12" s="1">
        <v>2775</v>
      </c>
      <c r="I12" s="54">
        <f t="shared" si="11"/>
        <v>5</v>
      </c>
      <c r="J12" s="38">
        <f t="shared" si="12"/>
        <v>9500</v>
      </c>
      <c r="K12" s="7">
        <v>13324.74</v>
      </c>
      <c r="L12" s="54">
        <f t="shared" si="13"/>
        <v>1.1999999999989086</v>
      </c>
      <c r="M12" s="38">
        <f t="shared" si="14"/>
        <v>2279.9999999979264</v>
      </c>
      <c r="N12" s="7">
        <v>2984.8</v>
      </c>
      <c r="O12" s="54">
        <f t="shared" si="15"/>
        <v>1.5530000000003383</v>
      </c>
      <c r="P12" s="38">
        <f t="shared" si="19"/>
        <v>2950.7000000006424</v>
      </c>
      <c r="Q12" s="7">
        <v>4731.29</v>
      </c>
      <c r="R12" s="54">
        <f t="shared" si="16"/>
        <v>1.0429999999996653</v>
      </c>
      <c r="S12" s="38">
        <f t="shared" si="17"/>
        <v>1981.6999999993641</v>
      </c>
      <c r="T12" s="8">
        <f t="shared" si="20"/>
        <v>15.227999999998701</v>
      </c>
      <c r="U12" s="40">
        <f t="shared" si="18"/>
        <v>28933.199999997531</v>
      </c>
    </row>
    <row r="13" spans="1:25" ht="16.5" thickBot="1" x14ac:dyDescent="0.25">
      <c r="A13" s="10">
        <v>44297</v>
      </c>
      <c r="B13" s="1">
        <v>20331.46</v>
      </c>
      <c r="C13" s="54">
        <f t="shared" si="7"/>
        <v>5.6970000000001164</v>
      </c>
      <c r="D13" s="38">
        <f t="shared" si="8"/>
        <v>10824.300000000221</v>
      </c>
      <c r="E13" s="1">
        <v>3522.0929999999998</v>
      </c>
      <c r="F13" s="54">
        <f t="shared" si="9"/>
        <v>1.0149999999998727</v>
      </c>
      <c r="G13" s="38">
        <f t="shared" si="10"/>
        <v>1928.4999999997581</v>
      </c>
      <c r="H13" s="1">
        <v>2782</v>
      </c>
      <c r="I13" s="54">
        <f t="shared" si="11"/>
        <v>7</v>
      </c>
      <c r="J13" s="38">
        <f t="shared" si="12"/>
        <v>13299.999999999998</v>
      </c>
      <c r="K13" s="7">
        <v>13326.31</v>
      </c>
      <c r="L13" s="54">
        <f t="shared" si="13"/>
        <v>1.569999999999709</v>
      </c>
      <c r="M13" s="38">
        <f t="shared" si="14"/>
        <v>2982.9999999994466</v>
      </c>
      <c r="N13" s="7">
        <v>2986.413</v>
      </c>
      <c r="O13" s="54">
        <f t="shared" si="15"/>
        <v>1.612999999999829</v>
      </c>
      <c r="P13" s="38">
        <f t="shared" si="19"/>
        <v>3064.6999999996751</v>
      </c>
      <c r="Q13" s="7">
        <v>4732.6099999999997</v>
      </c>
      <c r="R13" s="54">
        <f t="shared" si="16"/>
        <v>1.319999999999709</v>
      </c>
      <c r="S13" s="38">
        <f t="shared" si="17"/>
        <v>2507.999999999447</v>
      </c>
      <c r="T13" s="8">
        <f t="shared" si="20"/>
        <v>18.214999999999236</v>
      </c>
      <c r="U13" s="40">
        <f t="shared" si="18"/>
        <v>34608.499999998552</v>
      </c>
    </row>
    <row r="14" spans="1:25" ht="16.5" thickBot="1" x14ac:dyDescent="0.25">
      <c r="A14" s="10">
        <v>44298</v>
      </c>
      <c r="B14" s="1">
        <v>20335.38</v>
      </c>
      <c r="C14" s="54">
        <f t="shared" si="7"/>
        <v>3.9200000000018917</v>
      </c>
      <c r="D14" s="38">
        <f t="shared" si="8"/>
        <v>7448.0000000035943</v>
      </c>
      <c r="E14" s="1">
        <v>3523</v>
      </c>
      <c r="F14" s="54">
        <f t="shared" si="9"/>
        <v>0.9070000000001528</v>
      </c>
      <c r="G14" s="38">
        <f t="shared" si="10"/>
        <v>1723.3000000002903</v>
      </c>
      <c r="H14" s="1">
        <v>2786</v>
      </c>
      <c r="I14" s="54">
        <f t="shared" si="11"/>
        <v>4</v>
      </c>
      <c r="J14" s="38">
        <f t="shared" si="12"/>
        <v>7600</v>
      </c>
      <c r="K14" s="7">
        <v>13327.5</v>
      </c>
      <c r="L14" s="54">
        <f t="shared" si="13"/>
        <v>1.1900000000005093</v>
      </c>
      <c r="M14" s="38">
        <f t="shared" si="14"/>
        <v>2261.0000000009677</v>
      </c>
      <c r="N14" s="7">
        <v>2987.7150000000001</v>
      </c>
      <c r="O14" s="54">
        <f t="shared" si="15"/>
        <v>1.3020000000001346</v>
      </c>
      <c r="P14" s="38">
        <f t="shared" si="19"/>
        <v>2473.8000000002557</v>
      </c>
      <c r="Q14" s="7">
        <v>4732.6499999999996</v>
      </c>
      <c r="R14" s="54">
        <f t="shared" si="16"/>
        <v>3.999999999996362E-2</v>
      </c>
      <c r="S14" s="38">
        <f t="shared" si="17"/>
        <v>75.999999999930878</v>
      </c>
      <c r="T14" s="8">
        <f t="shared" si="20"/>
        <v>11.359000000002652</v>
      </c>
      <c r="U14" s="40">
        <f t="shared" si="18"/>
        <v>21582.100000005037</v>
      </c>
    </row>
    <row r="15" spans="1:25" ht="16.5" thickBot="1" x14ac:dyDescent="0.25">
      <c r="A15" s="10">
        <v>44299</v>
      </c>
      <c r="B15" s="1">
        <v>20340.698</v>
      </c>
      <c r="C15" s="54">
        <f t="shared" si="7"/>
        <v>5.3179999999993015</v>
      </c>
      <c r="D15" s="38">
        <f t="shared" si="8"/>
        <v>10104.199999998671</v>
      </c>
      <c r="E15" s="1">
        <v>3524.7069999999999</v>
      </c>
      <c r="F15" s="54">
        <f t="shared" si="9"/>
        <v>1.7069999999998799</v>
      </c>
      <c r="G15" s="38">
        <f t="shared" si="10"/>
        <v>3243.2999999997719</v>
      </c>
      <c r="H15" s="1">
        <v>2792</v>
      </c>
      <c r="I15" s="54">
        <f t="shared" si="11"/>
        <v>6</v>
      </c>
      <c r="J15" s="38">
        <f t="shared" si="12"/>
        <v>11399.999999999998</v>
      </c>
      <c r="K15" s="7">
        <v>13328.93</v>
      </c>
      <c r="L15" s="54">
        <f t="shared" si="13"/>
        <v>1.430000000000291</v>
      </c>
      <c r="M15" s="38">
        <f t="shared" si="14"/>
        <v>2717.000000000553</v>
      </c>
      <c r="N15" s="7">
        <v>2989.3429999999998</v>
      </c>
      <c r="O15" s="54">
        <f t="shared" si="15"/>
        <v>1.6279999999997017</v>
      </c>
      <c r="P15" s="38">
        <f t="shared" si="19"/>
        <v>3093.1999999994327</v>
      </c>
      <c r="Q15" s="7">
        <v>4732.6499999999996</v>
      </c>
      <c r="R15" s="54">
        <f t="shared" si="16"/>
        <v>0</v>
      </c>
      <c r="S15" s="38">
        <f t="shared" si="17"/>
        <v>0</v>
      </c>
      <c r="T15" s="8">
        <f t="shared" si="20"/>
        <v>16.082999999999174</v>
      </c>
      <c r="U15" s="40">
        <f t="shared" si="18"/>
        <v>30557.699999998429</v>
      </c>
      <c r="W15" t="s">
        <v>13</v>
      </c>
    </row>
    <row r="16" spans="1:25" ht="16.5" thickBot="1" x14ac:dyDescent="0.25">
      <c r="A16" s="10">
        <v>44300</v>
      </c>
      <c r="B16" s="1">
        <v>20344.359</v>
      </c>
      <c r="C16" s="54">
        <f t="shared" si="7"/>
        <v>3.6610000000000582</v>
      </c>
      <c r="D16" s="38">
        <f t="shared" si="8"/>
        <v>6955.9000000001097</v>
      </c>
      <c r="E16" s="1">
        <v>3525.6170000000002</v>
      </c>
      <c r="F16" s="54">
        <f t="shared" si="9"/>
        <v>0.91000000000030923</v>
      </c>
      <c r="G16" s="38">
        <f t="shared" si="10"/>
        <v>1729.0000000005873</v>
      </c>
      <c r="H16" s="1">
        <v>2797</v>
      </c>
      <c r="I16" s="54">
        <f t="shared" si="11"/>
        <v>5</v>
      </c>
      <c r="J16" s="38">
        <f t="shared" si="12"/>
        <v>9500</v>
      </c>
      <c r="K16" s="7">
        <v>13330.19</v>
      </c>
      <c r="L16" s="54">
        <f t="shared" si="13"/>
        <v>1.2600000000002183</v>
      </c>
      <c r="M16" s="38">
        <f t="shared" si="14"/>
        <v>2394.0000000004143</v>
      </c>
      <c r="N16" s="7">
        <v>2990.402</v>
      </c>
      <c r="O16" s="54">
        <f t="shared" si="15"/>
        <v>1.0590000000001965</v>
      </c>
      <c r="P16" s="38">
        <f t="shared" si="19"/>
        <v>2012.1000000003733</v>
      </c>
      <c r="Q16" s="7">
        <v>4732.6499999999996</v>
      </c>
      <c r="R16" s="54">
        <f t="shared" si="16"/>
        <v>0</v>
      </c>
      <c r="S16" s="38">
        <f t="shared" si="17"/>
        <v>0</v>
      </c>
      <c r="T16" s="8">
        <f t="shared" si="20"/>
        <v>11.890000000000782</v>
      </c>
      <c r="U16" s="40">
        <f t="shared" si="18"/>
        <v>22591.000000001484</v>
      </c>
      <c r="Y16" t="s">
        <v>13</v>
      </c>
    </row>
    <row r="17" spans="1:24" ht="16.5" thickBot="1" x14ac:dyDescent="0.25">
      <c r="A17" s="10">
        <v>44301</v>
      </c>
      <c r="B17" s="1">
        <v>20348.633000000002</v>
      </c>
      <c r="C17" s="54">
        <f>IF((B17-B16)&lt;0,"0",(B17-B16))</f>
        <v>4.2740000000012515</v>
      </c>
      <c r="D17" s="38">
        <f t="shared" si="8"/>
        <v>8120.6000000023778</v>
      </c>
      <c r="E17" s="1">
        <v>3526.5909999999999</v>
      </c>
      <c r="F17" s="54">
        <f t="shared" si="9"/>
        <v>0.97399999999970532</v>
      </c>
      <c r="G17" s="38">
        <f t="shared" si="10"/>
        <v>1850.5999999994401</v>
      </c>
      <c r="H17" s="1">
        <v>2802</v>
      </c>
      <c r="I17" s="54">
        <f t="shared" si="11"/>
        <v>5</v>
      </c>
      <c r="J17" s="38">
        <f t="shared" si="12"/>
        <v>9500</v>
      </c>
      <c r="K17" s="7">
        <v>13331.68</v>
      </c>
      <c r="L17" s="54">
        <f t="shared" si="13"/>
        <v>1.4899999999997817</v>
      </c>
      <c r="M17" s="38">
        <f t="shared" si="14"/>
        <v>2830.9999999995853</v>
      </c>
      <c r="N17" s="7">
        <v>2991.53</v>
      </c>
      <c r="O17" s="54">
        <f t="shared" si="15"/>
        <v>1.1280000000001564</v>
      </c>
      <c r="P17" s="38">
        <f t="shared" si="19"/>
        <v>2143.2000000002972</v>
      </c>
      <c r="Q17" s="7">
        <v>4732.9399999999996</v>
      </c>
      <c r="R17" s="54">
        <f t="shared" si="16"/>
        <v>0.28999999999996362</v>
      </c>
      <c r="S17" s="38">
        <f t="shared" si="17"/>
        <v>550.99999999993088</v>
      </c>
      <c r="T17" s="8">
        <f t="shared" si="20"/>
        <v>13.156000000000859</v>
      </c>
      <c r="U17" s="40">
        <f t="shared" si="18"/>
        <v>24996.400000001628</v>
      </c>
    </row>
    <row r="18" spans="1:24" ht="16.5" thickBot="1" x14ac:dyDescent="0.25">
      <c r="A18" s="10">
        <v>44302</v>
      </c>
      <c r="B18" s="1">
        <v>20353.153999999999</v>
      </c>
      <c r="C18" s="54">
        <f>IF((B18-B17)&lt;0,"0",(B18-B17))</f>
        <v>4.5209999999970023</v>
      </c>
      <c r="D18" s="38">
        <f t="shared" si="8"/>
        <v>8589.8999999943026</v>
      </c>
      <c r="E18" s="1">
        <v>3527.6880000000001</v>
      </c>
      <c r="F18" s="54">
        <f t="shared" si="9"/>
        <v>1.0970000000002074</v>
      </c>
      <c r="G18" s="38">
        <f t="shared" si="10"/>
        <v>2084.3000000003935</v>
      </c>
      <c r="H18" s="1">
        <v>2808</v>
      </c>
      <c r="I18" s="54">
        <f t="shared" si="11"/>
        <v>6</v>
      </c>
      <c r="J18" s="38">
        <f t="shared" si="12"/>
        <v>11399.999999999998</v>
      </c>
      <c r="K18" s="7">
        <v>13332.47</v>
      </c>
      <c r="L18" s="54">
        <f t="shared" si="13"/>
        <v>0.78999999999905413</v>
      </c>
      <c r="M18" s="38">
        <f t="shared" si="14"/>
        <v>1500.9999999982026</v>
      </c>
      <c r="N18" s="7">
        <v>2992.7060000000001</v>
      </c>
      <c r="O18" s="54">
        <f t="shared" si="15"/>
        <v>1.1759999999999309</v>
      </c>
      <c r="P18" s="38">
        <f t="shared" si="19"/>
        <v>2234.3999999998687</v>
      </c>
      <c r="Q18" s="7">
        <v>4732.9399999999996</v>
      </c>
      <c r="R18" s="54">
        <f t="shared" si="16"/>
        <v>0</v>
      </c>
      <c r="S18" s="38">
        <f t="shared" si="17"/>
        <v>0</v>
      </c>
      <c r="T18" s="8">
        <f t="shared" si="20"/>
        <v>13.583999999996195</v>
      </c>
      <c r="U18" s="40">
        <f t="shared" si="18"/>
        <v>25809.59999999277</v>
      </c>
    </row>
    <row r="19" spans="1:24" ht="16.5" thickBot="1" x14ac:dyDescent="0.25">
      <c r="A19" s="10">
        <v>44303</v>
      </c>
      <c r="B19" s="1">
        <v>20358.740000000002</v>
      </c>
      <c r="C19" s="54">
        <f>IF((B19-B18)&lt;0,"0",(B19-B18))</f>
        <v>5.5860000000029686</v>
      </c>
      <c r="D19" s="38">
        <f t="shared" si="8"/>
        <v>10613.40000000564</v>
      </c>
      <c r="E19" s="1">
        <v>3528.4740000000002</v>
      </c>
      <c r="F19" s="54">
        <f t="shared" si="9"/>
        <v>0.78600000000005821</v>
      </c>
      <c r="G19" s="38">
        <f t="shared" si="10"/>
        <v>1493.4000000001104</v>
      </c>
      <c r="H19" s="1">
        <v>2814</v>
      </c>
      <c r="I19" s="54">
        <f t="shared" si="11"/>
        <v>6</v>
      </c>
      <c r="J19" s="38">
        <f t="shared" si="12"/>
        <v>11399.999999999998</v>
      </c>
      <c r="K19" s="7">
        <v>13333.66</v>
      </c>
      <c r="L19" s="54">
        <f t="shared" si="13"/>
        <v>1.1900000000005093</v>
      </c>
      <c r="M19" s="38">
        <f t="shared" si="14"/>
        <v>2261.0000000009677</v>
      </c>
      <c r="N19" s="7">
        <v>2994.0419999999999</v>
      </c>
      <c r="O19" s="54">
        <f t="shared" si="15"/>
        <v>1.3359999999997854</v>
      </c>
      <c r="P19" s="38">
        <f t="shared" si="19"/>
        <v>2538.3999999995922</v>
      </c>
      <c r="Q19" s="7">
        <v>4732.9399999999996</v>
      </c>
      <c r="R19" s="54">
        <f t="shared" si="16"/>
        <v>0</v>
      </c>
      <c r="S19" s="38">
        <f t="shared" si="17"/>
        <v>0</v>
      </c>
      <c r="T19" s="8">
        <f t="shared" si="20"/>
        <v>14.898000000003321</v>
      </c>
      <c r="U19" s="40">
        <f t="shared" si="18"/>
        <v>28306.200000006309</v>
      </c>
    </row>
    <row r="20" spans="1:24" ht="16.5" thickBot="1" x14ac:dyDescent="0.25">
      <c r="A20" s="10">
        <v>44304</v>
      </c>
      <c r="B20" s="1">
        <v>20365.419000000002</v>
      </c>
      <c r="C20" s="54">
        <f t="shared" si="7"/>
        <v>6.6790000000000873</v>
      </c>
      <c r="D20" s="38">
        <f t="shared" si="8"/>
        <v>12690.100000000164</v>
      </c>
      <c r="E20" s="1">
        <v>3529.96</v>
      </c>
      <c r="F20" s="54">
        <f t="shared" si="9"/>
        <v>1.4859999999998763</v>
      </c>
      <c r="G20" s="38">
        <f t="shared" si="10"/>
        <v>2823.399999999765</v>
      </c>
      <c r="H20" s="1">
        <v>2822</v>
      </c>
      <c r="I20" s="54">
        <f t="shared" si="11"/>
        <v>8</v>
      </c>
      <c r="J20" s="38">
        <f t="shared" si="12"/>
        <v>15200</v>
      </c>
      <c r="K20" s="7">
        <v>13335.53</v>
      </c>
      <c r="L20" s="54">
        <f t="shared" si="13"/>
        <v>1.8700000000008004</v>
      </c>
      <c r="M20" s="38">
        <f t="shared" si="14"/>
        <v>3553.0000000015207</v>
      </c>
      <c r="N20" s="7">
        <v>2995.654</v>
      </c>
      <c r="O20" s="54">
        <f t="shared" si="15"/>
        <v>1.61200000000008</v>
      </c>
      <c r="P20" s="38">
        <f t="shared" si="19"/>
        <v>3062.8000000001521</v>
      </c>
      <c r="Q20" s="7">
        <v>4732.9399999999996</v>
      </c>
      <c r="R20" s="54">
        <v>0</v>
      </c>
      <c r="S20" s="38">
        <f t="shared" si="17"/>
        <v>0</v>
      </c>
      <c r="T20" s="8">
        <f t="shared" si="20"/>
        <v>19.647000000000844</v>
      </c>
      <c r="U20" s="40">
        <f t="shared" si="18"/>
        <v>37329.300000001604</v>
      </c>
      <c r="X20" t="s">
        <v>13</v>
      </c>
    </row>
    <row r="21" spans="1:24" ht="16.5" thickBot="1" x14ac:dyDescent="0.25">
      <c r="A21" s="10">
        <v>44305</v>
      </c>
      <c r="B21" s="1">
        <v>20371.991999999998</v>
      </c>
      <c r="C21" s="54">
        <f t="shared" si="7"/>
        <v>6.5729999999966822</v>
      </c>
      <c r="D21" s="38">
        <f t="shared" si="8"/>
        <v>12488.699999993696</v>
      </c>
      <c r="E21" s="1">
        <v>3531.9659999999999</v>
      </c>
      <c r="F21" s="54">
        <f t="shared" si="9"/>
        <v>2.0059999999998581</v>
      </c>
      <c r="G21" s="38">
        <f t="shared" si="10"/>
        <v>3811.3999999997304</v>
      </c>
      <c r="H21" s="1">
        <v>2829</v>
      </c>
      <c r="I21" s="54">
        <f t="shared" si="11"/>
        <v>7</v>
      </c>
      <c r="J21" s="38">
        <f t="shared" si="12"/>
        <v>13299.999999999998</v>
      </c>
      <c r="K21" s="7">
        <v>13336.75</v>
      </c>
      <c r="L21" s="54">
        <f t="shared" si="13"/>
        <v>1.2199999999993452</v>
      </c>
      <c r="M21" s="38">
        <f t="shared" si="14"/>
        <v>2317.9999999987558</v>
      </c>
      <c r="N21" s="7">
        <v>2997.1219999999998</v>
      </c>
      <c r="O21" s="54">
        <f t="shared" si="15"/>
        <v>1.4679999999998472</v>
      </c>
      <c r="P21" s="38">
        <f t="shared" si="19"/>
        <v>2789.1999999997097</v>
      </c>
      <c r="Q21" s="7">
        <v>4734.79</v>
      </c>
      <c r="R21" s="54">
        <f t="shared" si="16"/>
        <v>1.8500000000003638</v>
      </c>
      <c r="S21" s="38">
        <f t="shared" si="17"/>
        <v>3515.0000000006912</v>
      </c>
      <c r="T21" s="8">
        <f t="shared" si="20"/>
        <v>20.116999999996096</v>
      </c>
      <c r="U21" s="40">
        <f t="shared" si="18"/>
        <v>38222.299999992581</v>
      </c>
    </row>
    <row r="22" spans="1:24" ht="16.5" thickBot="1" x14ac:dyDescent="0.25">
      <c r="A22" s="10">
        <v>44306</v>
      </c>
      <c r="B22" s="1">
        <v>20382.407999999999</v>
      </c>
      <c r="C22" s="54">
        <f t="shared" si="7"/>
        <v>10.416000000001077</v>
      </c>
      <c r="D22" s="38">
        <f t="shared" si="8"/>
        <v>19790.400000002046</v>
      </c>
      <c r="E22" s="1">
        <v>3534</v>
      </c>
      <c r="F22" s="54">
        <f t="shared" si="9"/>
        <v>2.0340000000001055</v>
      </c>
      <c r="G22" s="38">
        <f t="shared" si="10"/>
        <v>3864.6000000002</v>
      </c>
      <c r="H22" s="1">
        <v>2838</v>
      </c>
      <c r="I22" s="54">
        <f t="shared" si="11"/>
        <v>9</v>
      </c>
      <c r="J22" s="38">
        <f t="shared" si="12"/>
        <v>17099.999999999996</v>
      </c>
      <c r="K22" s="7">
        <v>13338.44</v>
      </c>
      <c r="L22" s="54">
        <f t="shared" si="13"/>
        <v>1.6900000000005093</v>
      </c>
      <c r="M22" s="38">
        <f t="shared" si="14"/>
        <v>3211.0000000009677</v>
      </c>
      <c r="N22" s="7">
        <v>2999.0120000000002</v>
      </c>
      <c r="O22" s="54">
        <f t="shared" si="15"/>
        <v>1.8900000000003274</v>
      </c>
      <c r="P22" s="38">
        <f t="shared" si="19"/>
        <v>3591.0000000006221</v>
      </c>
      <c r="Q22" s="7">
        <v>4738.68</v>
      </c>
      <c r="R22" s="54">
        <f t="shared" si="16"/>
        <v>3.8900000000003274</v>
      </c>
      <c r="S22" s="38">
        <f t="shared" si="17"/>
        <v>7391.0000000006221</v>
      </c>
      <c r="T22" s="8">
        <f t="shared" si="20"/>
        <v>28.920000000002346</v>
      </c>
      <c r="U22" s="40">
        <f t="shared" si="18"/>
        <v>54948.000000004453</v>
      </c>
    </row>
    <row r="23" spans="1:24" ht="16.5" thickBot="1" x14ac:dyDescent="0.25">
      <c r="A23" s="10">
        <v>44307</v>
      </c>
      <c r="B23" s="1">
        <v>20390.205000000002</v>
      </c>
      <c r="C23" s="54">
        <f t="shared" si="7"/>
        <v>7.7970000000022992</v>
      </c>
      <c r="D23" s="38">
        <f t="shared" si="8"/>
        <v>14814.300000004367</v>
      </c>
      <c r="E23" s="1">
        <v>3536.1390000000001</v>
      </c>
      <c r="F23" s="54">
        <f t="shared" si="9"/>
        <v>2.1390000000001237</v>
      </c>
      <c r="G23" s="38">
        <f t="shared" si="10"/>
        <v>4064.100000000235</v>
      </c>
      <c r="H23" s="1">
        <v>2847</v>
      </c>
      <c r="I23" s="54">
        <f t="shared" si="11"/>
        <v>9</v>
      </c>
      <c r="J23" s="38">
        <f t="shared" si="12"/>
        <v>17099.999999999996</v>
      </c>
      <c r="K23" s="7">
        <v>13339.82</v>
      </c>
      <c r="L23" s="54">
        <f t="shared" si="13"/>
        <v>1.3799999999991996</v>
      </c>
      <c r="M23" s="38">
        <f t="shared" si="14"/>
        <v>2621.9999999984793</v>
      </c>
      <c r="N23" s="7">
        <v>3000.2530000000002</v>
      </c>
      <c r="O23" s="54">
        <f t="shared" si="15"/>
        <v>1.2409999999999854</v>
      </c>
      <c r="P23" s="38">
        <f t="shared" si="19"/>
        <v>2357.8999999999724</v>
      </c>
      <c r="Q23" s="7">
        <v>4740.58</v>
      </c>
      <c r="R23" s="54">
        <f t="shared" si="16"/>
        <v>1.8999999999996362</v>
      </c>
      <c r="S23" s="38">
        <f t="shared" si="17"/>
        <v>3609.9999999993083</v>
      </c>
      <c r="T23" s="8">
        <f t="shared" si="20"/>
        <v>23.457000000001244</v>
      </c>
      <c r="U23" s="40">
        <f t="shared" si="18"/>
        <v>44568.30000000236</v>
      </c>
    </row>
    <row r="24" spans="1:24" ht="16.5" thickBot="1" x14ac:dyDescent="0.25">
      <c r="A24" s="10">
        <v>44308</v>
      </c>
      <c r="B24" s="1">
        <v>20393.976999999999</v>
      </c>
      <c r="C24" s="54">
        <f t="shared" si="7"/>
        <v>3.771999999997206</v>
      </c>
      <c r="D24" s="38">
        <f t="shared" si="8"/>
        <v>7166.7999999946906</v>
      </c>
      <c r="E24" s="1">
        <v>3537.2539999999999</v>
      </c>
      <c r="F24" s="54">
        <f t="shared" si="9"/>
        <v>1.1149999999997817</v>
      </c>
      <c r="G24" s="38">
        <f t="shared" si="10"/>
        <v>2118.4999999995853</v>
      </c>
      <c r="H24" s="1">
        <v>2852</v>
      </c>
      <c r="I24" s="54">
        <f t="shared" si="11"/>
        <v>5</v>
      </c>
      <c r="J24" s="38">
        <f t="shared" si="12"/>
        <v>9500</v>
      </c>
      <c r="K24" s="7">
        <v>13340.44</v>
      </c>
      <c r="L24" s="54">
        <f t="shared" si="13"/>
        <v>0.62000000000080036</v>
      </c>
      <c r="M24" s="38">
        <f t="shared" si="14"/>
        <v>1178.0000000015207</v>
      </c>
      <c r="N24" s="7">
        <v>3000.931</v>
      </c>
      <c r="O24" s="54">
        <f t="shared" si="15"/>
        <v>0.67799999999988358</v>
      </c>
      <c r="P24" s="38">
        <f t="shared" si="19"/>
        <v>1288.1999999997788</v>
      </c>
      <c r="Q24" s="7">
        <v>4741.16</v>
      </c>
      <c r="R24" s="54">
        <f t="shared" si="16"/>
        <v>0.57999999999992724</v>
      </c>
      <c r="S24" s="38">
        <f t="shared" si="17"/>
        <v>1101.9999999998618</v>
      </c>
      <c r="T24" s="8">
        <f t="shared" si="20"/>
        <v>11.764999999997599</v>
      </c>
      <c r="U24" s="40">
        <f t="shared" si="18"/>
        <v>22353.499999995438</v>
      </c>
    </row>
    <row r="25" spans="1:24" ht="16.5" thickBot="1" x14ac:dyDescent="0.25">
      <c r="A25" s="10">
        <v>44309</v>
      </c>
      <c r="B25" s="1">
        <v>20399.885999999999</v>
      </c>
      <c r="C25" s="54">
        <f t="shared" si="7"/>
        <v>5.9089999999996508</v>
      </c>
      <c r="D25" s="38">
        <f t="shared" si="8"/>
        <v>11227.099999999336</v>
      </c>
      <c r="E25" s="1">
        <v>3539.3139999999999</v>
      </c>
      <c r="F25" s="54">
        <f t="shared" si="9"/>
        <v>2.0599999999999454</v>
      </c>
      <c r="G25" s="38">
        <f t="shared" si="10"/>
        <v>3913.9999999998963</v>
      </c>
      <c r="H25" s="1">
        <v>2860</v>
      </c>
      <c r="I25" s="54">
        <f t="shared" si="11"/>
        <v>8</v>
      </c>
      <c r="J25" s="38">
        <f t="shared" si="12"/>
        <v>15200</v>
      </c>
      <c r="K25" s="7">
        <v>13341.53</v>
      </c>
      <c r="L25" s="54">
        <f t="shared" si="13"/>
        <v>1.0900000000001455</v>
      </c>
      <c r="M25" s="38">
        <f t="shared" si="14"/>
        <v>2071.0000000002765</v>
      </c>
      <c r="N25" s="7">
        <v>3002.163</v>
      </c>
      <c r="O25" s="54">
        <f t="shared" si="15"/>
        <v>1.2319999999999709</v>
      </c>
      <c r="P25" s="38">
        <f t="shared" si="19"/>
        <v>2340.7999999999447</v>
      </c>
      <c r="Q25" s="7">
        <v>4742.3</v>
      </c>
      <c r="R25" s="54">
        <f t="shared" si="16"/>
        <v>1.1400000000003274</v>
      </c>
      <c r="S25" s="38">
        <f t="shared" si="17"/>
        <v>2166.0000000006221</v>
      </c>
      <c r="T25" s="8">
        <f t="shared" si="20"/>
        <v>19.43100000000004</v>
      </c>
      <c r="U25" s="40">
        <f t="shared" si="18"/>
        <v>36918.900000000074</v>
      </c>
    </row>
    <row r="26" spans="1:24" ht="16.5" thickBot="1" x14ac:dyDescent="0.25">
      <c r="A26" s="10">
        <v>44310</v>
      </c>
      <c r="B26" s="1">
        <v>20405.127</v>
      </c>
      <c r="C26" s="54">
        <f t="shared" si="7"/>
        <v>5.2410000000018044</v>
      </c>
      <c r="D26" s="38">
        <f t="shared" si="8"/>
        <v>9957.9000000034284</v>
      </c>
      <c r="E26" s="1">
        <v>3540.7020000000002</v>
      </c>
      <c r="F26" s="54">
        <f t="shared" si="9"/>
        <v>1.3880000000003747</v>
      </c>
      <c r="G26" s="38">
        <f t="shared" si="10"/>
        <v>2637.200000000712</v>
      </c>
      <c r="H26" s="1">
        <v>2867</v>
      </c>
      <c r="I26" s="54">
        <f t="shared" si="11"/>
        <v>7</v>
      </c>
      <c r="J26" s="38">
        <f t="shared" si="12"/>
        <v>13299.999999999998</v>
      </c>
      <c r="K26" s="7">
        <v>13341.53</v>
      </c>
      <c r="L26" s="54">
        <f t="shared" si="13"/>
        <v>0</v>
      </c>
      <c r="M26" s="38">
        <f t="shared" si="14"/>
        <v>0</v>
      </c>
      <c r="N26" s="7">
        <v>3003.1489999999999</v>
      </c>
      <c r="O26" s="54">
        <f t="shared" si="15"/>
        <v>0.98599999999987631</v>
      </c>
      <c r="P26" s="38">
        <f t="shared" si="19"/>
        <v>1873.3999999997648</v>
      </c>
      <c r="Q26" s="7">
        <v>4743.25</v>
      </c>
      <c r="R26" s="54">
        <f t="shared" si="16"/>
        <v>0.9499999999998181</v>
      </c>
      <c r="S26" s="38">
        <f t="shared" si="17"/>
        <v>1804.9999999996542</v>
      </c>
      <c r="T26" s="8">
        <f t="shared" si="20"/>
        <v>15.565000000001874</v>
      </c>
      <c r="U26" s="40">
        <f t="shared" si="18"/>
        <v>29573.500000003558</v>
      </c>
      <c r="V26" t="s">
        <v>13</v>
      </c>
    </row>
    <row r="27" spans="1:24" ht="16.5" thickBot="1" x14ac:dyDescent="0.25">
      <c r="A27" s="10">
        <v>44311</v>
      </c>
      <c r="B27" s="1">
        <v>20412.742999999999</v>
      </c>
      <c r="C27" s="54">
        <f t="shared" si="7"/>
        <v>7.6159999999981665</v>
      </c>
      <c r="D27" s="38">
        <f t="shared" si="8"/>
        <v>14470.399999996516</v>
      </c>
      <c r="E27" s="1">
        <v>3542.0990000000002</v>
      </c>
      <c r="F27" s="54">
        <f t="shared" si="9"/>
        <v>1.3969999999999345</v>
      </c>
      <c r="G27" s="38">
        <f t="shared" si="10"/>
        <v>2654.2999999998751</v>
      </c>
      <c r="H27" s="1">
        <v>2877</v>
      </c>
      <c r="I27" s="54">
        <f t="shared" si="11"/>
        <v>10</v>
      </c>
      <c r="J27" s="38">
        <f t="shared" si="12"/>
        <v>19000</v>
      </c>
      <c r="K27" s="7">
        <v>13341</v>
      </c>
      <c r="L27" s="54" t="str">
        <f t="shared" si="13"/>
        <v>0</v>
      </c>
      <c r="M27" s="38">
        <f t="shared" si="14"/>
        <v>0</v>
      </c>
      <c r="N27" s="7">
        <v>3004.8809999999999</v>
      </c>
      <c r="O27" s="54">
        <f t="shared" si="15"/>
        <v>1.7319999999999709</v>
      </c>
      <c r="P27" s="38">
        <f t="shared" si="19"/>
        <v>3290.7999999999442</v>
      </c>
      <c r="Q27" s="7">
        <v>4743.53</v>
      </c>
      <c r="R27" s="54">
        <f t="shared" si="16"/>
        <v>0.27999999999974534</v>
      </c>
      <c r="S27" s="38">
        <f t="shared" si="17"/>
        <v>531.99999999951604</v>
      </c>
      <c r="T27" s="8">
        <f t="shared" si="20"/>
        <v>21.024999999997817</v>
      </c>
      <c r="U27" s="40">
        <f t="shared" si="18"/>
        <v>39947.499999995845</v>
      </c>
      <c r="V27" t="s">
        <v>13</v>
      </c>
    </row>
    <row r="28" spans="1:24" ht="16.5" thickBot="1" x14ac:dyDescent="0.25">
      <c r="A28" s="10">
        <v>44312</v>
      </c>
      <c r="B28" s="1">
        <f t="shared" ref="B28:B29" si="22">B27</f>
        <v>20412.742999999999</v>
      </c>
      <c r="C28" s="54">
        <f t="shared" si="7"/>
        <v>0</v>
      </c>
      <c r="D28" s="38">
        <f t="shared" si="8"/>
        <v>0</v>
      </c>
      <c r="E28" s="1">
        <f t="shared" ref="E28" si="23">E27</f>
        <v>3542.0990000000002</v>
      </c>
      <c r="F28" s="54">
        <f t="shared" si="9"/>
        <v>0</v>
      </c>
      <c r="G28" s="38">
        <f t="shared" si="10"/>
        <v>0</v>
      </c>
      <c r="H28" s="1">
        <f t="shared" ref="H28:H29" si="24">H27</f>
        <v>2877</v>
      </c>
      <c r="I28" s="54">
        <f t="shared" si="11"/>
        <v>0</v>
      </c>
      <c r="J28" s="38">
        <f t="shared" si="12"/>
        <v>0</v>
      </c>
      <c r="K28" s="7">
        <f t="shared" ref="K28:K29" si="25">K27</f>
        <v>13341</v>
      </c>
      <c r="L28" s="54">
        <f t="shared" si="13"/>
        <v>0</v>
      </c>
      <c r="M28" s="38">
        <f t="shared" si="14"/>
        <v>0</v>
      </c>
      <c r="N28" s="7">
        <f t="shared" ref="N28:N29" si="26">N27</f>
        <v>3004.8809999999999</v>
      </c>
      <c r="O28" s="54">
        <f t="shared" si="15"/>
        <v>0</v>
      </c>
      <c r="P28" s="38">
        <f t="shared" si="19"/>
        <v>0</v>
      </c>
      <c r="Q28" s="7">
        <v>4730.2470000000003</v>
      </c>
      <c r="R28" s="54" t="str">
        <f t="shared" si="16"/>
        <v>0</v>
      </c>
      <c r="S28" s="38">
        <f t="shared" si="17"/>
        <v>0</v>
      </c>
      <c r="T28" s="8">
        <f t="shared" si="20"/>
        <v>0</v>
      </c>
      <c r="U28" s="40">
        <f t="shared" si="18"/>
        <v>0</v>
      </c>
    </row>
    <row r="29" spans="1:24" ht="16.5" thickBot="1" x14ac:dyDescent="0.25">
      <c r="A29" s="10">
        <v>44313</v>
      </c>
      <c r="B29" s="1">
        <f t="shared" si="22"/>
        <v>20412.742999999999</v>
      </c>
      <c r="C29" s="54">
        <f t="shared" si="7"/>
        <v>0</v>
      </c>
      <c r="D29" s="38">
        <f t="shared" si="8"/>
        <v>0</v>
      </c>
      <c r="E29" s="1">
        <f>E28</f>
        <v>3542.0990000000002</v>
      </c>
      <c r="F29" s="54">
        <f t="shared" si="9"/>
        <v>0</v>
      </c>
      <c r="G29" s="38">
        <f t="shared" si="10"/>
        <v>0</v>
      </c>
      <c r="H29" s="1">
        <f t="shared" si="24"/>
        <v>2877</v>
      </c>
      <c r="I29" s="54">
        <f t="shared" si="11"/>
        <v>0</v>
      </c>
      <c r="J29" s="38">
        <f t="shared" si="12"/>
        <v>0</v>
      </c>
      <c r="K29" s="7">
        <f t="shared" si="25"/>
        <v>13341</v>
      </c>
      <c r="L29" s="54">
        <f t="shared" si="13"/>
        <v>0</v>
      </c>
      <c r="M29" s="38">
        <f t="shared" si="14"/>
        <v>0</v>
      </c>
      <c r="N29" s="7">
        <f t="shared" si="26"/>
        <v>3004.8809999999999</v>
      </c>
      <c r="O29" s="54">
        <f t="shared" si="15"/>
        <v>0</v>
      </c>
      <c r="P29" s="38">
        <f t="shared" si="19"/>
        <v>0</v>
      </c>
      <c r="Q29" s="7">
        <v>4730.2470000000003</v>
      </c>
      <c r="R29" s="54">
        <f t="shared" si="16"/>
        <v>0</v>
      </c>
      <c r="S29" s="38">
        <f t="shared" si="17"/>
        <v>0</v>
      </c>
      <c r="T29" s="8">
        <f t="shared" si="20"/>
        <v>0</v>
      </c>
      <c r="U29" s="40">
        <f t="shared" si="18"/>
        <v>0</v>
      </c>
    </row>
    <row r="30" spans="1:24" ht="16.5" thickBot="1" x14ac:dyDescent="0.25">
      <c r="A30" s="10">
        <v>44314</v>
      </c>
      <c r="B30" s="1">
        <v>20426.097000000002</v>
      </c>
      <c r="C30" s="54">
        <f t="shared" si="7"/>
        <v>13.354000000002998</v>
      </c>
      <c r="D30" s="38">
        <v>3546.2669999999998</v>
      </c>
      <c r="E30" s="1">
        <v>3546.2669999999998</v>
      </c>
      <c r="F30" s="54">
        <f t="shared" si="9"/>
        <v>4.1679999999996653</v>
      </c>
      <c r="G30" s="38">
        <f t="shared" si="10"/>
        <v>7919.1999999993641</v>
      </c>
      <c r="H30" s="1">
        <v>2894</v>
      </c>
      <c r="I30" s="54">
        <f t="shared" si="11"/>
        <v>17</v>
      </c>
      <c r="J30" s="38">
        <f t="shared" si="12"/>
        <v>32299.999999999996</v>
      </c>
      <c r="K30" s="7">
        <v>13345.23</v>
      </c>
      <c r="L30" s="54">
        <f t="shared" si="13"/>
        <v>4.2299999999995634</v>
      </c>
      <c r="M30" s="38">
        <f t="shared" si="14"/>
        <v>8036.9999999991696</v>
      </c>
      <c r="N30" s="7">
        <v>3008.3339999999998</v>
      </c>
      <c r="O30" s="54">
        <f t="shared" si="15"/>
        <v>3.4529999999999745</v>
      </c>
      <c r="P30" s="38">
        <f t="shared" si="19"/>
        <v>6560.6999999999507</v>
      </c>
      <c r="Q30" s="7">
        <v>4748.78</v>
      </c>
      <c r="R30" s="54">
        <f t="shared" si="16"/>
        <v>18.532999999999447</v>
      </c>
      <c r="S30" s="38">
        <f t="shared" si="17"/>
        <v>35212.699999998949</v>
      </c>
      <c r="T30" s="8">
        <f t="shared" si="20"/>
        <v>60.738000000001648</v>
      </c>
      <c r="U30" s="40">
        <f t="shared" si="18"/>
        <v>115402.20000000313</v>
      </c>
    </row>
    <row r="31" spans="1:24" ht="16.5" thickBot="1" x14ac:dyDescent="0.25">
      <c r="A31" s="10">
        <v>44315</v>
      </c>
      <c r="B31" s="1">
        <v>20431.637999999999</v>
      </c>
      <c r="C31" s="54">
        <f t="shared" si="7"/>
        <v>5.5409999999974389</v>
      </c>
      <c r="D31" s="38">
        <f t="shared" si="8"/>
        <v>10527.899999995134</v>
      </c>
      <c r="E31" s="1">
        <v>3547.9180000000001</v>
      </c>
      <c r="F31" s="54">
        <f t="shared" si="9"/>
        <v>1.6510000000002947</v>
      </c>
      <c r="G31" s="38">
        <f t="shared" si="10"/>
        <v>3136.9000000005599</v>
      </c>
      <c r="H31" s="1">
        <v>2902</v>
      </c>
      <c r="I31" s="54">
        <f t="shared" si="11"/>
        <v>8</v>
      </c>
      <c r="J31" s="38">
        <f t="shared" si="12"/>
        <v>15200</v>
      </c>
      <c r="K31" s="7">
        <v>13346.85</v>
      </c>
      <c r="L31" s="54">
        <f t="shared" si="13"/>
        <v>1.6200000000008004</v>
      </c>
      <c r="M31" s="38">
        <f t="shared" si="14"/>
        <v>3078.0000000015202</v>
      </c>
      <c r="N31" s="7">
        <v>3009.7460000000001</v>
      </c>
      <c r="O31" s="54">
        <f t="shared" si="15"/>
        <v>1.4120000000002619</v>
      </c>
      <c r="P31" s="38">
        <f t="shared" si="19"/>
        <v>2682.8000000004977</v>
      </c>
      <c r="Q31" s="7">
        <v>4750.38</v>
      </c>
      <c r="R31" s="54">
        <f t="shared" si="16"/>
        <v>1.6000000000003638</v>
      </c>
      <c r="S31" s="38">
        <f t="shared" si="17"/>
        <v>3040.0000000006912</v>
      </c>
      <c r="T31" s="8">
        <f t="shared" si="20"/>
        <v>19.82399999999916</v>
      </c>
      <c r="U31" s="40">
        <f t="shared" si="18"/>
        <v>37665.599999998398</v>
      </c>
    </row>
    <row r="32" spans="1:24" ht="16.5" thickBot="1" x14ac:dyDescent="0.25">
      <c r="A32" s="10">
        <v>44316</v>
      </c>
      <c r="B32" s="1">
        <v>20444.93</v>
      </c>
      <c r="C32" s="54">
        <f t="shared" si="7"/>
        <v>13.292000000001281</v>
      </c>
      <c r="D32" s="38">
        <f t="shared" si="8"/>
        <v>25254.800000002433</v>
      </c>
      <c r="E32" s="1">
        <v>3550</v>
      </c>
      <c r="F32" s="54">
        <f t="shared" si="9"/>
        <v>2.0819999999998799</v>
      </c>
      <c r="G32" s="38">
        <f t="shared" si="10"/>
        <v>3955.7999999997719</v>
      </c>
      <c r="H32" s="1">
        <v>2917</v>
      </c>
      <c r="I32" s="54">
        <f t="shared" si="11"/>
        <v>15</v>
      </c>
      <c r="J32" s="38">
        <f t="shared" si="12"/>
        <v>28500</v>
      </c>
      <c r="K32" s="7">
        <v>13349.51</v>
      </c>
      <c r="L32" s="54">
        <f t="shared" si="13"/>
        <v>2.6599999999998545</v>
      </c>
      <c r="M32" s="38">
        <f t="shared" si="14"/>
        <v>5053.9999999997235</v>
      </c>
      <c r="N32" s="7">
        <v>3012.3609999999999</v>
      </c>
      <c r="O32" s="54">
        <f t="shared" si="15"/>
        <v>2.6149999999997817</v>
      </c>
      <c r="P32" s="38">
        <f t="shared" si="19"/>
        <v>4968.4999999995853</v>
      </c>
      <c r="Q32" s="7">
        <v>4751.76</v>
      </c>
      <c r="R32" s="54">
        <f t="shared" si="16"/>
        <v>1.3800000000001091</v>
      </c>
      <c r="S32" s="38">
        <f t="shared" si="17"/>
        <v>2622.0000000002074</v>
      </c>
      <c r="T32" s="8">
        <f t="shared" si="20"/>
        <v>37.029000000000906</v>
      </c>
      <c r="U32" s="40">
        <f t="shared" si="18"/>
        <v>70355.100000001708</v>
      </c>
    </row>
    <row r="33" spans="1:27" ht="16.5" thickBot="1" x14ac:dyDescent="0.25">
      <c r="A33" s="10">
        <v>44316</v>
      </c>
      <c r="B33" s="1">
        <v>20444.93</v>
      </c>
      <c r="C33" s="54">
        <f t="shared" si="7"/>
        <v>0</v>
      </c>
      <c r="D33" s="38">
        <f t="shared" si="8"/>
        <v>0</v>
      </c>
      <c r="E33" s="1">
        <v>3550</v>
      </c>
      <c r="F33" s="54">
        <f t="shared" si="9"/>
        <v>0</v>
      </c>
      <c r="G33" s="38">
        <f t="shared" si="10"/>
        <v>0</v>
      </c>
      <c r="H33" s="1">
        <v>2917</v>
      </c>
      <c r="I33" s="54">
        <f t="shared" si="11"/>
        <v>0</v>
      </c>
      <c r="J33" s="38">
        <f t="shared" si="12"/>
        <v>0</v>
      </c>
      <c r="K33" s="7">
        <v>13349.51</v>
      </c>
      <c r="L33" s="54">
        <f t="shared" si="13"/>
        <v>0</v>
      </c>
      <c r="M33" s="38">
        <f t="shared" si="14"/>
        <v>0</v>
      </c>
      <c r="N33" s="7">
        <v>3012.3609999999999</v>
      </c>
      <c r="O33" s="54">
        <f t="shared" si="15"/>
        <v>0</v>
      </c>
      <c r="P33" s="38">
        <f t="shared" si="19"/>
        <v>0</v>
      </c>
      <c r="Q33" s="7">
        <v>4751.76</v>
      </c>
      <c r="R33" s="54">
        <f t="shared" si="16"/>
        <v>0</v>
      </c>
      <c r="S33" s="38">
        <f t="shared" si="17"/>
        <v>0</v>
      </c>
      <c r="T33" s="8">
        <f t="shared" si="20"/>
        <v>0</v>
      </c>
      <c r="U33" s="40">
        <f t="shared" si="18"/>
        <v>0</v>
      </c>
    </row>
    <row r="34" spans="1:27" s="26" customFormat="1" ht="16.5" thickBot="1" x14ac:dyDescent="0.25">
      <c r="A34" s="6" t="s">
        <v>24</v>
      </c>
      <c r="B34" s="162"/>
      <c r="C34" s="162">
        <v>0</v>
      </c>
      <c r="D34" s="162">
        <f>SUM(D2:D33)</f>
        <v>298532.66699999536</v>
      </c>
      <c r="E34" s="162">
        <v>0</v>
      </c>
      <c r="F34" s="162">
        <f>SUM(F2:F33)</f>
        <v>40.659999999999854</v>
      </c>
      <c r="G34" s="162">
        <f>SUM(G2:G33)</f>
        <v>77253.999999999724</v>
      </c>
      <c r="H34" s="162"/>
      <c r="I34" s="162">
        <f>SUM(I2:I33)</f>
        <v>195</v>
      </c>
      <c r="J34" s="162">
        <f>SUM(J2:J33)</f>
        <v>370500</v>
      </c>
      <c r="K34" s="162"/>
      <c r="L34" s="162">
        <f>SUM(L2:L33)</f>
        <v>32.290000000000873</v>
      </c>
      <c r="M34" s="162">
        <f>SUM(M2:M33)</f>
        <v>61351.000000001659</v>
      </c>
      <c r="N34" s="162"/>
      <c r="O34" s="162">
        <f>SUM(O2:O33)</f>
        <v>41.346000000000004</v>
      </c>
      <c r="P34" s="162">
        <f>SUM(P2:P33)</f>
        <v>78186.299999999726</v>
      </c>
      <c r="Q34" s="162"/>
      <c r="R34" s="162">
        <f>SUM(R2:R33)</f>
        <v>41.027999999999338</v>
      </c>
      <c r="S34" s="162">
        <f>SUM(S2:S33)</f>
        <v>77953.199999998731</v>
      </c>
      <c r="T34" s="162">
        <f>SUM(T2:T33)</f>
        <v>506.06100000000106</v>
      </c>
      <c r="U34" s="162">
        <f>SUM(U2:U33)</f>
        <v>961515.90000000189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D20" sqref="D2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3" t="s">
        <v>140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108"/>
      <c r="B2" s="109" t="s">
        <v>93</v>
      </c>
      <c r="C2" s="110">
        <f>K8+K9+K14</f>
        <v>451038</v>
      </c>
      <c r="D2" s="110">
        <f>C2*1.27</f>
        <v>572818.26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25433539</v>
      </c>
      <c r="J3" s="158">
        <f>ELECT.!E33</f>
        <v>25714262</v>
      </c>
      <c r="K3" s="105">
        <f>J3-I3</f>
        <v>280723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79837635</v>
      </c>
      <c r="J4" s="158">
        <f>ELECT.!G33</f>
        <v>81240726</v>
      </c>
      <c r="K4" s="105">
        <f>J4-I4</f>
        <v>1403091</v>
      </c>
    </row>
    <row r="5" spans="1:11" ht="13.5" thickBot="1" x14ac:dyDescent="0.25">
      <c r="A5" s="108"/>
      <c r="B5" s="114" t="s">
        <v>28</v>
      </c>
      <c r="C5" s="118">
        <f>(K10+K12)*0.842284+K26</f>
        <v>781363.79934400006</v>
      </c>
      <c r="D5" s="118">
        <f t="shared" ref="D5:D11" si="0">C5*1.27</f>
        <v>992332.02516688011</v>
      </c>
      <c r="E5" s="119"/>
      <c r="F5" s="108"/>
      <c r="G5" s="108"/>
      <c r="H5" s="114" t="s">
        <v>24</v>
      </c>
      <c r="I5" s="120"/>
      <c r="J5" s="120"/>
      <c r="K5" s="145">
        <f>K3+K4</f>
        <v>1683814</v>
      </c>
    </row>
    <row r="6" spans="1:11" ht="13.5" thickBot="1" x14ac:dyDescent="0.25">
      <c r="A6" s="108"/>
      <c r="B6" s="114" t="s">
        <v>100</v>
      </c>
      <c r="C6" s="118">
        <f>(K10+K12+K26)*0.1488</f>
        <v>137663.21279999998</v>
      </c>
      <c r="D6" s="118">
        <f t="shared" si="0"/>
        <v>174832.28025599997</v>
      </c>
      <c r="E6" s="119"/>
      <c r="F6" s="108"/>
      <c r="G6" s="108"/>
      <c r="H6" s="114" t="s">
        <v>101</v>
      </c>
      <c r="I6" s="163">
        <f>ELECT.!J2</f>
        <v>7752235</v>
      </c>
      <c r="J6" s="159">
        <f>ELECT.!J33</f>
        <v>7916972</v>
      </c>
      <c r="K6" s="105">
        <f>J6-I6</f>
        <v>164737</v>
      </c>
    </row>
    <row r="7" spans="1:11" ht="13.5" thickBot="1" x14ac:dyDescent="0.25">
      <c r="A7" s="108"/>
      <c r="B7" s="114" t="s">
        <v>102</v>
      </c>
      <c r="C7" s="118">
        <f>(K6+K7)-(C8+C9+C10+C11+K26)</f>
        <v>245401</v>
      </c>
      <c r="D7" s="118">
        <f t="shared" si="0"/>
        <v>311659.27</v>
      </c>
      <c r="E7" s="119"/>
      <c r="F7" s="108"/>
      <c r="G7" s="108"/>
      <c r="H7" s="114" t="s">
        <v>103</v>
      </c>
      <c r="I7" s="163">
        <f>ELECT.!L2</f>
        <v>7774835</v>
      </c>
      <c r="J7" s="159">
        <f>ELECT.!L33</f>
        <v>7931158</v>
      </c>
      <c r="K7" s="105">
        <f>J7-I7</f>
        <v>156323</v>
      </c>
    </row>
    <row r="8" spans="1:11" ht="13.5" thickBot="1" x14ac:dyDescent="0.25">
      <c r="A8" s="108"/>
      <c r="B8" s="114" t="s">
        <v>104</v>
      </c>
      <c r="C8" s="118">
        <f>K21+K22+K23+K24</f>
        <v>32996</v>
      </c>
      <c r="D8" s="118">
        <f t="shared" si="0"/>
        <v>41904.92</v>
      </c>
      <c r="E8" s="119"/>
      <c r="F8" s="108"/>
      <c r="G8" s="108"/>
      <c r="H8" s="114" t="s">
        <v>105</v>
      </c>
      <c r="I8" s="163">
        <f>ELECT.!N2</f>
        <v>5008835</v>
      </c>
      <c r="J8" s="159">
        <f>ELECT.!N33</f>
        <v>5068618</v>
      </c>
      <c r="K8" s="105">
        <f>(J8-I8)*2</f>
        <v>119566</v>
      </c>
    </row>
    <row r="9" spans="1:11" ht="13.5" thickBot="1" x14ac:dyDescent="0.25">
      <c r="A9" s="108"/>
      <c r="B9" s="114" t="s">
        <v>138</v>
      </c>
      <c r="C9" s="118">
        <f>K25+K16+K17</f>
        <v>8942</v>
      </c>
      <c r="D9" s="118">
        <f t="shared" si="0"/>
        <v>11356.34</v>
      </c>
      <c r="E9" s="119"/>
      <c r="F9" s="108"/>
      <c r="G9" s="108"/>
      <c r="H9" s="114" t="s">
        <v>106</v>
      </c>
      <c r="I9" s="163">
        <f>ELECT.!P2</f>
        <v>2893394</v>
      </c>
      <c r="J9" s="159">
        <f>ELECT.!P33</f>
        <v>3187872</v>
      </c>
      <c r="K9" s="105">
        <f>J9-I9</f>
        <v>294478</v>
      </c>
    </row>
    <row r="10" spans="1:11" ht="13.5" thickBot="1" x14ac:dyDescent="0.25">
      <c r="A10" s="108"/>
      <c r="B10" s="114" t="s">
        <v>107</v>
      </c>
      <c r="C10" s="118">
        <f>K18</f>
        <v>16640</v>
      </c>
      <c r="D10" s="118">
        <f t="shared" si="0"/>
        <v>21132.799999999999</v>
      </c>
      <c r="E10" s="119"/>
      <c r="F10" s="108"/>
      <c r="G10" s="108"/>
      <c r="H10" s="114" t="s">
        <v>108</v>
      </c>
      <c r="I10" s="163">
        <f>ELECT.!R2</f>
        <v>16985908</v>
      </c>
      <c r="J10" s="159">
        <f>ELECT.!R33</f>
        <v>17259708</v>
      </c>
      <c r="K10" s="105">
        <f>J10-I10</f>
        <v>273800</v>
      </c>
    </row>
    <row r="11" spans="1:11" ht="13.5" thickBot="1" x14ac:dyDescent="0.25">
      <c r="A11" s="108"/>
      <c r="B11" s="114" t="s">
        <v>109</v>
      </c>
      <c r="C11" s="118">
        <f>K19+K20</f>
        <v>3641</v>
      </c>
      <c r="D11" s="118">
        <f t="shared" si="0"/>
        <v>4624.07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4578564</v>
      </c>
      <c r="J12" s="159">
        <f>ELECT.!V33</f>
        <v>4897522</v>
      </c>
      <c r="K12" s="105">
        <f>(J12-I12)*2</f>
        <v>637916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1646820</v>
      </c>
    </row>
    <row r="14" spans="1:11" ht="13.5" thickBot="1" x14ac:dyDescent="0.25">
      <c r="A14" s="108"/>
      <c r="B14" s="114" t="s">
        <v>43</v>
      </c>
      <c r="C14" s="118">
        <f>K29</f>
        <v>24150</v>
      </c>
      <c r="D14" s="126">
        <f t="shared" ref="D14:D22" si="1">C14*10.03</f>
        <v>242224.49999999997</v>
      </c>
      <c r="E14" s="127"/>
      <c r="F14" s="108"/>
      <c r="G14" s="108"/>
      <c r="H14" s="114" t="s">
        <v>115</v>
      </c>
      <c r="I14" s="123"/>
      <c r="J14" s="124"/>
      <c r="K14" s="106">
        <f>K5-K13</f>
        <v>36994</v>
      </c>
    </row>
    <row r="15" spans="1:11" ht="13.5" thickBot="1" x14ac:dyDescent="0.25">
      <c r="A15" s="108"/>
      <c r="B15" s="114" t="s">
        <v>116</v>
      </c>
      <c r="C15" s="128">
        <f>K30</f>
        <v>122.41799999999999</v>
      </c>
      <c r="D15" s="126">
        <f t="shared" si="1"/>
        <v>1227.8525399999999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2399.7593075999998</v>
      </c>
      <c r="D16" s="126">
        <f t="shared" si="1"/>
        <v>24069.585855227997</v>
      </c>
      <c r="E16" s="127"/>
      <c r="F16" s="108"/>
      <c r="G16" s="108"/>
      <c r="H16" s="129" t="s">
        <v>137</v>
      </c>
      <c r="I16" s="130">
        <f>'Mall, Citadel, Rotana'!T2</f>
        <v>3580</v>
      </c>
      <c r="J16" s="130">
        <f>'Mall, Citadel, Rotana'!T33</f>
        <v>3620</v>
      </c>
      <c r="K16" s="107">
        <f>(J16-I16)*160</f>
        <v>6400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24778</v>
      </c>
      <c r="J18" s="130">
        <f>'Mall, Citadel, Rotana'!L33</f>
        <v>24882</v>
      </c>
      <c r="K18" s="107">
        <f>(J18-I18)*160</f>
        <v>16640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74" t="s">
        <v>117</v>
      </c>
      <c r="F19" s="175"/>
      <c r="G19" s="108"/>
      <c r="H19" s="129" t="s">
        <v>118</v>
      </c>
      <c r="I19" s="130">
        <f>'Mall, Citadel, Rotana'!P2</f>
        <v>98110</v>
      </c>
      <c r="J19" s="130">
        <f>'Mall, Citadel, Rotana'!P33</f>
        <v>101751</v>
      </c>
      <c r="K19" s="107">
        <f>J19-I19</f>
        <v>3641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45039</v>
      </c>
      <c r="J21" s="130">
        <f>'Mall, Citadel, Rotana'!B33</f>
        <v>45185</v>
      </c>
      <c r="K21" s="107">
        <f>(J21-I21)*120</f>
        <v>17520</v>
      </c>
    </row>
    <row r="22" spans="1:11" ht="13.5" thickBot="1" x14ac:dyDescent="0.25">
      <c r="A22" s="108"/>
      <c r="B22" s="114" t="s">
        <v>120</v>
      </c>
      <c r="C22" s="126">
        <f>C14-(C15+C16+C17+C18+C19+C20+C21)</f>
        <v>15807.822692400001</v>
      </c>
      <c r="D22" s="126">
        <f t="shared" si="1"/>
        <v>158552.46160477199</v>
      </c>
      <c r="E22" s="127"/>
      <c r="F22" s="108"/>
      <c r="G22" s="108"/>
      <c r="H22" s="129" t="s">
        <v>16</v>
      </c>
      <c r="I22" s="130">
        <f>'Mall, Citadel, Rotana'!D2</f>
        <v>39393</v>
      </c>
      <c r="J22" s="130">
        <f>'Mall, Citadel, Rotana'!D33</f>
        <v>39472</v>
      </c>
      <c r="K22" s="107">
        <f>(J22-I22)*160</f>
        <v>12640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20221</v>
      </c>
      <c r="J23" s="130">
        <f>'Mall, Citadel, Rotana'!F33</f>
        <v>20316</v>
      </c>
      <c r="K23" s="107">
        <f>(J23-I23)*20</f>
        <v>1900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239849</v>
      </c>
      <c r="J24" s="130">
        <f>'Mall, Citadel, Rotana'!H33</f>
        <v>240785</v>
      </c>
      <c r="K24" s="107">
        <f>J24-I24</f>
        <v>936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212904</v>
      </c>
      <c r="J25" s="130">
        <f>'Mall, Citadel, Rotana'!N33</f>
        <v>215446</v>
      </c>
      <c r="K25" s="107">
        <f>J25-I25</f>
        <v>2542</v>
      </c>
    </row>
    <row r="26" spans="1:11" ht="13.5" thickBot="1" x14ac:dyDescent="0.25">
      <c r="A26" s="108"/>
      <c r="B26" s="114" t="s">
        <v>43</v>
      </c>
      <c r="C26" s="132">
        <f>K35</f>
        <v>65100</v>
      </c>
      <c r="D26" s="118">
        <f>C26*3.65</f>
        <v>237615</v>
      </c>
      <c r="E26" s="119"/>
      <c r="F26" s="108"/>
      <c r="G26" s="108"/>
      <c r="H26" s="129" t="s">
        <v>124</v>
      </c>
      <c r="I26" s="139">
        <f>ELECT.!C2</f>
        <v>18067</v>
      </c>
      <c r="J26" s="139">
        <f>ELECT.!C33</f>
        <v>18151</v>
      </c>
      <c r="K26" s="107">
        <f>(J26-I26)*160</f>
        <v>13440</v>
      </c>
    </row>
    <row r="27" spans="1:11" ht="13.5" thickBot="1" x14ac:dyDescent="0.25">
      <c r="A27" s="108"/>
      <c r="B27" s="109" t="s">
        <v>125</v>
      </c>
      <c r="C27" s="132">
        <f>C26</f>
        <v>65100</v>
      </c>
      <c r="D27" s="118">
        <f>C27*3.65</f>
        <v>237615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407443</v>
      </c>
      <c r="J29" s="130">
        <f>Water!B33</f>
        <v>409858</v>
      </c>
      <c r="K29" s="107">
        <f>(J29-I29)*10</f>
        <v>24150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726024</v>
      </c>
      <c r="J30" s="130">
        <f>Water!H33</f>
        <v>730558</v>
      </c>
      <c r="K30" s="107">
        <f>(J30-I30)*0.027</f>
        <v>122.41799999999999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3767800</v>
      </c>
      <c r="J31" s="130">
        <f>Water!D33</f>
        <v>4167000</v>
      </c>
      <c r="K31" s="107">
        <f>(J31-I31)*0.027</f>
        <v>10778.4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2454800</v>
      </c>
      <c r="J32" s="130">
        <f>Water!F33</f>
        <v>2826800</v>
      </c>
      <c r="K32" s="107">
        <f>(J32-I32)*0.027</f>
        <v>10044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17250461</v>
      </c>
      <c r="J35" s="161">
        <f>Gas!B33</f>
        <v>17315561</v>
      </c>
      <c r="K35" s="138">
        <f>J35-I35</f>
        <v>65100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1" zoomScaleNormal="100" workbookViewId="0">
      <selection activeCell="H87" sqref="H87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142</v>
      </c>
      <c r="F1" s="69" t="s">
        <v>143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143</v>
      </c>
      <c r="M1" s="69" t="s">
        <v>141</v>
      </c>
      <c r="N1" s="69" t="s">
        <v>92</v>
      </c>
      <c r="O1" s="70" t="s">
        <v>80</v>
      </c>
    </row>
    <row r="2" spans="2:15" ht="15" x14ac:dyDescent="0.2">
      <c r="B2" s="67"/>
      <c r="C2" s="176">
        <v>6</v>
      </c>
      <c r="D2" s="71" t="s">
        <v>81</v>
      </c>
      <c r="E2" s="72">
        <v>274698</v>
      </c>
      <c r="F2" s="72">
        <v>275850</v>
      </c>
      <c r="G2" s="73">
        <f>F2-E2</f>
        <v>1152</v>
      </c>
      <c r="H2" s="74"/>
      <c r="J2" s="176">
        <v>6</v>
      </c>
      <c r="K2" s="71" t="s">
        <v>81</v>
      </c>
      <c r="L2" s="72">
        <v>275850</v>
      </c>
      <c r="M2" s="72">
        <v>277045</v>
      </c>
      <c r="N2" s="73">
        <f>M2-L2</f>
        <v>1195</v>
      </c>
      <c r="O2" s="74"/>
    </row>
    <row r="3" spans="2:15" ht="15" x14ac:dyDescent="0.2">
      <c r="B3" s="67"/>
      <c r="C3" s="178"/>
      <c r="D3" s="71" t="s">
        <v>82</v>
      </c>
      <c r="E3" s="72">
        <v>238756</v>
      </c>
      <c r="F3" s="72">
        <v>239970</v>
      </c>
      <c r="G3" s="73">
        <f t="shared" ref="G3:G60" si="0">F3-E3</f>
        <v>1214</v>
      </c>
      <c r="H3" s="74"/>
      <c r="J3" s="178"/>
      <c r="K3" s="71" t="s">
        <v>82</v>
      </c>
      <c r="L3" s="72">
        <v>239970</v>
      </c>
      <c r="M3" s="72">
        <v>240756</v>
      </c>
      <c r="N3" s="73">
        <f t="shared" ref="N3:N60" si="1">M3-L3</f>
        <v>786</v>
      </c>
      <c r="O3" s="74"/>
    </row>
    <row r="4" spans="2:15" ht="15" x14ac:dyDescent="0.2">
      <c r="B4" s="67"/>
      <c r="C4" s="177"/>
      <c r="D4" s="71" t="s">
        <v>83</v>
      </c>
      <c r="E4" s="72">
        <v>187896</v>
      </c>
      <c r="F4" s="72">
        <v>188683</v>
      </c>
      <c r="G4" s="73">
        <f t="shared" si="0"/>
        <v>787</v>
      </c>
      <c r="H4" s="74"/>
      <c r="J4" s="177"/>
      <c r="K4" s="71" t="s">
        <v>83</v>
      </c>
      <c r="L4" s="72">
        <v>188683</v>
      </c>
      <c r="M4" s="72">
        <v>189319</v>
      </c>
      <c r="N4" s="73">
        <f t="shared" si="1"/>
        <v>636</v>
      </c>
      <c r="O4" s="74"/>
    </row>
    <row r="5" spans="2:15" ht="15" x14ac:dyDescent="0.2">
      <c r="B5" s="67"/>
      <c r="C5" s="176">
        <v>7</v>
      </c>
      <c r="D5" s="71" t="s">
        <v>81</v>
      </c>
      <c r="E5" s="72">
        <v>235909</v>
      </c>
      <c r="F5" s="72">
        <v>236863</v>
      </c>
      <c r="G5" s="73">
        <f t="shared" si="0"/>
        <v>954</v>
      </c>
      <c r="H5" s="74"/>
      <c r="J5" s="176">
        <v>7</v>
      </c>
      <c r="K5" s="71" t="s">
        <v>81</v>
      </c>
      <c r="L5" s="72">
        <v>236863</v>
      </c>
      <c r="M5" s="72">
        <v>238044</v>
      </c>
      <c r="N5" s="73">
        <f t="shared" si="1"/>
        <v>1181</v>
      </c>
      <c r="O5" s="74"/>
    </row>
    <row r="6" spans="2:15" ht="15" x14ac:dyDescent="0.2">
      <c r="B6" s="67"/>
      <c r="C6" s="178"/>
      <c r="D6" s="71" t="s">
        <v>82</v>
      </c>
      <c r="E6" s="72">
        <v>153504</v>
      </c>
      <c r="F6" s="72">
        <v>153544</v>
      </c>
      <c r="G6" s="73">
        <f t="shared" si="0"/>
        <v>40</v>
      </c>
      <c r="H6" s="74"/>
      <c r="J6" s="178"/>
      <c r="K6" s="71" t="s">
        <v>82</v>
      </c>
      <c r="L6" s="72">
        <v>153544</v>
      </c>
      <c r="M6" s="72">
        <v>153575</v>
      </c>
      <c r="N6" s="73">
        <f t="shared" si="1"/>
        <v>31</v>
      </c>
      <c r="O6" s="74"/>
    </row>
    <row r="7" spans="2:15" ht="15" x14ac:dyDescent="0.2">
      <c r="B7" s="67"/>
      <c r="C7" s="177"/>
      <c r="D7" s="71" t="s">
        <v>83</v>
      </c>
      <c r="E7" s="72">
        <v>116610</v>
      </c>
      <c r="F7" s="72">
        <v>117142</v>
      </c>
      <c r="G7" s="73">
        <f t="shared" si="0"/>
        <v>532</v>
      </c>
      <c r="H7" s="74"/>
      <c r="J7" s="177"/>
      <c r="K7" s="71" t="s">
        <v>83</v>
      </c>
      <c r="L7" s="72">
        <v>117142</v>
      </c>
      <c r="M7" s="72">
        <v>117538</v>
      </c>
      <c r="N7" s="73">
        <f t="shared" si="1"/>
        <v>396</v>
      </c>
      <c r="O7" s="74"/>
    </row>
    <row r="8" spans="2:15" ht="15" x14ac:dyDescent="0.2">
      <c r="B8" s="67"/>
      <c r="C8" s="176">
        <v>8</v>
      </c>
      <c r="D8" s="71" t="s">
        <v>81</v>
      </c>
      <c r="E8" s="72">
        <v>72003</v>
      </c>
      <c r="F8" s="72">
        <v>72212</v>
      </c>
      <c r="G8" s="73">
        <f t="shared" si="0"/>
        <v>209</v>
      </c>
      <c r="H8" s="74"/>
      <c r="J8" s="176">
        <v>8</v>
      </c>
      <c r="K8" s="71" t="s">
        <v>81</v>
      </c>
      <c r="L8" s="72">
        <v>72212</v>
      </c>
      <c r="M8" s="72">
        <v>72265</v>
      </c>
      <c r="N8" s="73">
        <f t="shared" si="1"/>
        <v>53</v>
      </c>
      <c r="O8" s="74"/>
    </row>
    <row r="9" spans="2:15" ht="15" x14ac:dyDescent="0.2">
      <c r="B9" s="67"/>
      <c r="C9" s="178"/>
      <c r="D9" s="71" t="s">
        <v>82</v>
      </c>
      <c r="E9" s="72">
        <v>158</v>
      </c>
      <c r="F9" s="72">
        <v>158</v>
      </c>
      <c r="G9" s="73">
        <f t="shared" si="0"/>
        <v>0</v>
      </c>
      <c r="H9" s="76" t="s">
        <v>13</v>
      </c>
      <c r="J9" s="178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7"/>
      <c r="D10" s="71" t="s">
        <v>83</v>
      </c>
      <c r="E10" s="72">
        <v>94510</v>
      </c>
      <c r="F10" s="72">
        <v>94935</v>
      </c>
      <c r="G10" s="73">
        <f t="shared" si="0"/>
        <v>425</v>
      </c>
      <c r="H10" s="74"/>
      <c r="J10" s="177"/>
      <c r="K10" s="71" t="s">
        <v>83</v>
      </c>
      <c r="L10" s="72">
        <v>94935</v>
      </c>
      <c r="M10" s="72">
        <v>95566</v>
      </c>
      <c r="N10" s="73">
        <f t="shared" si="1"/>
        <v>631</v>
      </c>
      <c r="O10" s="74"/>
    </row>
    <row r="11" spans="2:15" ht="15" x14ac:dyDescent="0.2">
      <c r="B11" s="67"/>
      <c r="C11" s="176">
        <v>9</v>
      </c>
      <c r="D11" s="71" t="s">
        <v>81</v>
      </c>
      <c r="E11" s="72">
        <v>39500</v>
      </c>
      <c r="F11" s="72">
        <v>39500</v>
      </c>
      <c r="G11" s="73">
        <f t="shared" si="0"/>
        <v>0</v>
      </c>
      <c r="H11" s="74"/>
      <c r="J11" s="176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8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78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7"/>
      <c r="D13" s="71" t="s">
        <v>83</v>
      </c>
      <c r="E13" s="72">
        <v>28245</v>
      </c>
      <c r="F13" s="72">
        <v>28318</v>
      </c>
      <c r="G13" s="73">
        <f t="shared" si="0"/>
        <v>73</v>
      </c>
      <c r="H13" s="74"/>
      <c r="I13" s="77"/>
      <c r="J13" s="177"/>
      <c r="K13" s="71" t="s">
        <v>83</v>
      </c>
      <c r="L13" s="72">
        <v>28318</v>
      </c>
      <c r="M13" s="72">
        <v>28397</v>
      </c>
      <c r="N13" s="73">
        <f t="shared" si="1"/>
        <v>79</v>
      </c>
      <c r="O13" s="74"/>
    </row>
    <row r="14" spans="2:15" ht="15" x14ac:dyDescent="0.2">
      <c r="B14" s="67"/>
      <c r="C14" s="176">
        <v>10</v>
      </c>
      <c r="D14" s="71" t="s">
        <v>81</v>
      </c>
      <c r="E14" s="72">
        <v>187336</v>
      </c>
      <c r="F14" s="72">
        <v>189237</v>
      </c>
      <c r="G14" s="73">
        <f t="shared" si="0"/>
        <v>1901</v>
      </c>
      <c r="H14" s="74"/>
      <c r="I14" s="78"/>
      <c r="J14" s="176">
        <v>10</v>
      </c>
      <c r="K14" s="71" t="s">
        <v>81</v>
      </c>
      <c r="L14" s="72">
        <v>189237</v>
      </c>
      <c r="M14" s="72">
        <v>191472</v>
      </c>
      <c r="N14" s="73">
        <f t="shared" si="1"/>
        <v>2235</v>
      </c>
      <c r="O14" s="74"/>
    </row>
    <row r="15" spans="2:15" ht="15" x14ac:dyDescent="0.2">
      <c r="B15" s="67"/>
      <c r="C15" s="178"/>
      <c r="D15" s="71" t="s">
        <v>82</v>
      </c>
      <c r="E15" s="72">
        <v>7717</v>
      </c>
      <c r="F15" s="72">
        <v>7717</v>
      </c>
      <c r="G15" s="73">
        <f t="shared" si="0"/>
        <v>0</v>
      </c>
      <c r="H15" s="74"/>
      <c r="I15" s="78"/>
      <c r="J15" s="178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7"/>
      <c r="D16" s="71" t="s">
        <v>83</v>
      </c>
      <c r="E16" s="72">
        <v>180413</v>
      </c>
      <c r="F16" s="72">
        <v>181852</v>
      </c>
      <c r="G16" s="73">
        <f t="shared" si="0"/>
        <v>1439</v>
      </c>
      <c r="H16" s="74"/>
      <c r="I16" s="78"/>
      <c r="J16" s="177"/>
      <c r="K16" s="71" t="s">
        <v>83</v>
      </c>
      <c r="L16" s="72">
        <v>181852</v>
      </c>
      <c r="M16" s="72">
        <v>183212</v>
      </c>
      <c r="N16" s="73">
        <f t="shared" si="1"/>
        <v>1360</v>
      </c>
      <c r="O16" s="74"/>
    </row>
    <row r="17" spans="2:15" ht="15" x14ac:dyDescent="0.2">
      <c r="B17" s="67"/>
      <c r="C17" s="176">
        <v>11</v>
      </c>
      <c r="D17" s="71" t="s">
        <v>81</v>
      </c>
      <c r="E17" s="73">
        <v>62793</v>
      </c>
      <c r="F17" s="73">
        <v>62836</v>
      </c>
      <c r="G17" s="73">
        <f t="shared" si="0"/>
        <v>43</v>
      </c>
      <c r="H17" s="74"/>
      <c r="I17" s="78"/>
      <c r="J17" s="176">
        <v>11</v>
      </c>
      <c r="K17" s="71" t="s">
        <v>81</v>
      </c>
      <c r="L17" s="73">
        <v>62836</v>
      </c>
      <c r="M17" s="75">
        <v>63089</v>
      </c>
      <c r="N17" s="73">
        <f t="shared" si="1"/>
        <v>253</v>
      </c>
      <c r="O17" s="74"/>
    </row>
    <row r="18" spans="2:15" ht="15" x14ac:dyDescent="0.2">
      <c r="B18" s="67"/>
      <c r="C18" s="178"/>
      <c r="D18" s="71" t="s">
        <v>82</v>
      </c>
      <c r="E18" s="73">
        <v>208087</v>
      </c>
      <c r="F18" s="73">
        <v>209562</v>
      </c>
      <c r="G18" s="73">
        <f t="shared" si="0"/>
        <v>1475</v>
      </c>
      <c r="H18" s="74"/>
      <c r="I18" s="78"/>
      <c r="J18" s="178"/>
      <c r="K18" s="71" t="s">
        <v>82</v>
      </c>
      <c r="L18" s="73">
        <v>209562</v>
      </c>
      <c r="M18" s="75">
        <v>210931</v>
      </c>
      <c r="N18" s="73">
        <f t="shared" si="1"/>
        <v>1369</v>
      </c>
      <c r="O18" s="74"/>
    </row>
    <row r="19" spans="2:15" ht="15" x14ac:dyDescent="0.2">
      <c r="B19" s="67"/>
      <c r="C19" s="177"/>
      <c r="D19" s="71" t="s">
        <v>83</v>
      </c>
      <c r="E19" s="72">
        <v>30454</v>
      </c>
      <c r="F19" s="72">
        <v>30495</v>
      </c>
      <c r="G19" s="73">
        <f t="shared" si="0"/>
        <v>41</v>
      </c>
      <c r="H19" s="74"/>
      <c r="I19" s="78"/>
      <c r="J19" s="177"/>
      <c r="K19" s="71" t="s">
        <v>83</v>
      </c>
      <c r="L19" s="72">
        <v>30495</v>
      </c>
      <c r="M19" s="72">
        <v>30543</v>
      </c>
      <c r="N19" s="73">
        <f t="shared" si="1"/>
        <v>48</v>
      </c>
      <c r="O19" s="74"/>
    </row>
    <row r="20" spans="2:15" ht="15" x14ac:dyDescent="0.2">
      <c r="B20" s="67"/>
      <c r="C20" s="176">
        <v>12</v>
      </c>
      <c r="D20" s="71" t="s">
        <v>81</v>
      </c>
      <c r="E20" s="165">
        <v>144946</v>
      </c>
      <c r="F20" s="165">
        <v>145081</v>
      </c>
      <c r="G20" s="73">
        <f t="shared" si="0"/>
        <v>135</v>
      </c>
      <c r="H20" s="74"/>
      <c r="I20" s="78"/>
      <c r="J20" s="176">
        <v>12</v>
      </c>
      <c r="K20" s="71" t="s">
        <v>81</v>
      </c>
      <c r="L20" s="165">
        <v>145081</v>
      </c>
      <c r="M20" s="79">
        <v>145218</v>
      </c>
      <c r="N20" s="73">
        <f t="shared" si="1"/>
        <v>137</v>
      </c>
      <c r="O20" s="74"/>
    </row>
    <row r="21" spans="2:15" ht="15" x14ac:dyDescent="0.2">
      <c r="B21" s="67"/>
      <c r="C21" s="178"/>
      <c r="D21" s="71" t="s">
        <v>82</v>
      </c>
      <c r="E21" s="72">
        <v>22284</v>
      </c>
      <c r="F21" s="72">
        <v>22318</v>
      </c>
      <c r="G21" s="73">
        <f t="shared" si="0"/>
        <v>34</v>
      </c>
      <c r="H21" s="74"/>
      <c r="I21" s="80" t="s">
        <v>13</v>
      </c>
      <c r="J21" s="178"/>
      <c r="K21" s="71" t="s">
        <v>82</v>
      </c>
      <c r="L21" s="72">
        <v>22318</v>
      </c>
      <c r="M21" s="72">
        <v>22341</v>
      </c>
      <c r="N21" s="73">
        <f t="shared" si="1"/>
        <v>23</v>
      </c>
      <c r="O21" s="74"/>
    </row>
    <row r="22" spans="2:15" ht="15" x14ac:dyDescent="0.2">
      <c r="B22" s="67"/>
      <c r="C22" s="177"/>
      <c r="D22" s="71" t="s">
        <v>83</v>
      </c>
      <c r="E22" s="72">
        <v>235976</v>
      </c>
      <c r="F22" s="72">
        <v>237679</v>
      </c>
      <c r="G22" s="73">
        <f t="shared" si="0"/>
        <v>1703</v>
      </c>
      <c r="H22" s="74"/>
      <c r="I22" s="78"/>
      <c r="J22" s="177"/>
      <c r="K22" s="71" t="s">
        <v>83</v>
      </c>
      <c r="L22" s="72">
        <v>237679</v>
      </c>
      <c r="M22" s="72">
        <v>239745</v>
      </c>
      <c r="N22" s="73">
        <f t="shared" si="1"/>
        <v>2066</v>
      </c>
      <c r="O22" s="74"/>
    </row>
    <row r="23" spans="2:15" ht="15" x14ac:dyDescent="0.2">
      <c r="B23" s="67"/>
      <c r="C23" s="176">
        <v>14</v>
      </c>
      <c r="D23" s="71" t="s">
        <v>81</v>
      </c>
      <c r="E23" s="72">
        <v>116112</v>
      </c>
      <c r="F23" s="72">
        <v>116245</v>
      </c>
      <c r="G23" s="73">
        <f t="shared" si="0"/>
        <v>133</v>
      </c>
      <c r="H23" s="74"/>
      <c r="I23" s="78"/>
      <c r="J23" s="176">
        <v>14</v>
      </c>
      <c r="K23" s="71" t="s">
        <v>81</v>
      </c>
      <c r="L23" s="72">
        <v>116245</v>
      </c>
      <c r="M23" s="72">
        <v>116427</v>
      </c>
      <c r="N23" s="73">
        <f t="shared" si="1"/>
        <v>182</v>
      </c>
      <c r="O23" s="74"/>
    </row>
    <row r="24" spans="2:15" ht="15" x14ac:dyDescent="0.2">
      <c r="B24" s="67"/>
      <c r="C24" s="178"/>
      <c r="D24" s="71" t="s">
        <v>82</v>
      </c>
      <c r="E24" s="81">
        <v>23763</v>
      </c>
      <c r="F24" s="81">
        <v>23763</v>
      </c>
      <c r="G24" s="73">
        <f t="shared" si="0"/>
        <v>0</v>
      </c>
      <c r="H24" s="74"/>
      <c r="I24" s="78"/>
      <c r="J24" s="178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7"/>
      <c r="D25" s="71" t="s">
        <v>83</v>
      </c>
      <c r="E25" s="72">
        <v>1916</v>
      </c>
      <c r="F25" s="72">
        <v>1957</v>
      </c>
      <c r="G25" s="73">
        <f t="shared" si="0"/>
        <v>41</v>
      </c>
      <c r="H25" s="74"/>
      <c r="I25" s="78"/>
      <c r="J25" s="177"/>
      <c r="K25" s="71" t="s">
        <v>83</v>
      </c>
      <c r="L25" s="72">
        <v>1957</v>
      </c>
      <c r="M25" s="72">
        <v>1966</v>
      </c>
      <c r="N25" s="73">
        <f t="shared" si="1"/>
        <v>9</v>
      </c>
      <c r="O25" s="74"/>
    </row>
    <row r="26" spans="2:15" ht="15" x14ac:dyDescent="0.2">
      <c r="B26" s="67"/>
      <c r="C26" s="176">
        <v>15</v>
      </c>
      <c r="D26" s="71" t="s">
        <v>81</v>
      </c>
      <c r="E26" s="165">
        <v>39380</v>
      </c>
      <c r="F26" s="165">
        <v>39380</v>
      </c>
      <c r="G26" s="73">
        <f t="shared" si="0"/>
        <v>0</v>
      </c>
      <c r="H26" s="74"/>
      <c r="I26" s="80" t="s">
        <v>13</v>
      </c>
      <c r="J26" s="176">
        <v>15</v>
      </c>
      <c r="K26" s="71" t="s">
        <v>81</v>
      </c>
      <c r="L26" s="165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8"/>
      <c r="D27" s="71" t="s">
        <v>82</v>
      </c>
      <c r="E27" s="72">
        <v>78845</v>
      </c>
      <c r="F27" s="72">
        <v>78969</v>
      </c>
      <c r="G27" s="73">
        <f t="shared" si="0"/>
        <v>124</v>
      </c>
      <c r="H27" s="74"/>
      <c r="I27" s="80" t="s">
        <v>13</v>
      </c>
      <c r="J27" s="178"/>
      <c r="K27" s="71" t="s">
        <v>82</v>
      </c>
      <c r="L27" s="72">
        <v>78969</v>
      </c>
      <c r="M27" s="72">
        <v>79108</v>
      </c>
      <c r="N27" s="73">
        <f t="shared" si="1"/>
        <v>139</v>
      </c>
      <c r="O27" s="74"/>
    </row>
    <row r="28" spans="2:15" ht="15" x14ac:dyDescent="0.2">
      <c r="B28" s="67"/>
      <c r="C28" s="177"/>
      <c r="D28" s="71" t="s">
        <v>83</v>
      </c>
      <c r="E28" s="72">
        <v>149338</v>
      </c>
      <c r="F28" s="72">
        <v>150141</v>
      </c>
      <c r="G28" s="73">
        <f t="shared" si="0"/>
        <v>803</v>
      </c>
      <c r="H28" s="74"/>
      <c r="I28" s="78"/>
      <c r="J28" s="177"/>
      <c r="K28" s="71" t="s">
        <v>83</v>
      </c>
      <c r="L28" s="72">
        <v>150141</v>
      </c>
      <c r="M28" s="72">
        <v>151061</v>
      </c>
      <c r="N28" s="73">
        <f t="shared" si="1"/>
        <v>920</v>
      </c>
      <c r="O28" s="74"/>
    </row>
    <row r="29" spans="2:15" ht="15" x14ac:dyDescent="0.2">
      <c r="B29" s="67"/>
      <c r="C29" s="176">
        <v>16</v>
      </c>
      <c r="D29" s="71" t="s">
        <v>81</v>
      </c>
      <c r="E29" s="165">
        <v>97965</v>
      </c>
      <c r="F29" s="165">
        <v>97965</v>
      </c>
      <c r="G29" s="73">
        <f t="shared" si="0"/>
        <v>0</v>
      </c>
      <c r="H29" s="76" t="s">
        <v>13</v>
      </c>
      <c r="I29" s="78"/>
      <c r="J29" s="176">
        <v>16</v>
      </c>
      <c r="K29" s="71" t="s">
        <v>81</v>
      </c>
      <c r="L29" s="165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78"/>
      <c r="D30" s="71" t="s">
        <v>82</v>
      </c>
      <c r="E30" s="165">
        <v>58630</v>
      </c>
      <c r="F30" s="165">
        <v>58979</v>
      </c>
      <c r="G30" s="73">
        <f t="shared" si="0"/>
        <v>349</v>
      </c>
      <c r="H30" s="74"/>
      <c r="I30" s="78"/>
      <c r="J30" s="178"/>
      <c r="K30" s="71" t="s">
        <v>82</v>
      </c>
      <c r="L30" s="165">
        <v>58979</v>
      </c>
      <c r="M30" s="79">
        <v>59194</v>
      </c>
      <c r="N30" s="73">
        <f t="shared" si="1"/>
        <v>215</v>
      </c>
      <c r="O30" s="74"/>
    </row>
    <row r="31" spans="2:15" ht="15" x14ac:dyDescent="0.2">
      <c r="B31" s="67"/>
      <c r="C31" s="177"/>
      <c r="D31" s="71" t="s">
        <v>83</v>
      </c>
      <c r="E31" s="72">
        <v>68462</v>
      </c>
      <c r="F31" s="72">
        <v>68462</v>
      </c>
      <c r="G31" s="73">
        <f t="shared" si="0"/>
        <v>0</v>
      </c>
      <c r="H31" s="82"/>
      <c r="I31" s="78"/>
      <c r="J31" s="177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6">
        <v>17</v>
      </c>
      <c r="D32" s="71" t="s">
        <v>81</v>
      </c>
      <c r="E32" s="72">
        <v>31484</v>
      </c>
      <c r="F32" s="72">
        <v>31649</v>
      </c>
      <c r="G32" s="73">
        <f t="shared" si="0"/>
        <v>165</v>
      </c>
      <c r="H32" s="74"/>
      <c r="I32" s="78"/>
      <c r="J32" s="176">
        <v>17</v>
      </c>
      <c r="K32" s="71" t="s">
        <v>81</v>
      </c>
      <c r="L32" s="72">
        <v>31649</v>
      </c>
      <c r="M32" s="72">
        <v>31833</v>
      </c>
      <c r="N32" s="73">
        <f t="shared" si="1"/>
        <v>184</v>
      </c>
      <c r="O32" s="74"/>
    </row>
    <row r="33" spans="2:15" ht="15" x14ac:dyDescent="0.2">
      <c r="B33" s="67"/>
      <c r="C33" s="178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8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7"/>
      <c r="D34" s="71" t="s">
        <v>83</v>
      </c>
      <c r="E34" s="72">
        <v>11261</v>
      </c>
      <c r="F34" s="72">
        <v>11309</v>
      </c>
      <c r="G34" s="73">
        <f t="shared" si="0"/>
        <v>48</v>
      </c>
      <c r="H34" s="82"/>
      <c r="I34" s="78"/>
      <c r="J34" s="177"/>
      <c r="K34" s="71" t="s">
        <v>83</v>
      </c>
      <c r="L34" s="72">
        <v>11309</v>
      </c>
      <c r="M34" s="72">
        <v>11392</v>
      </c>
      <c r="N34" s="73">
        <f t="shared" si="1"/>
        <v>83</v>
      </c>
      <c r="O34" s="82"/>
    </row>
    <row r="35" spans="2:15" ht="15" x14ac:dyDescent="0.2">
      <c r="B35" s="67"/>
      <c r="C35" s="176">
        <v>18</v>
      </c>
      <c r="D35" s="71" t="s">
        <v>81</v>
      </c>
      <c r="E35" s="72">
        <v>231326</v>
      </c>
      <c r="F35" s="72">
        <v>232437</v>
      </c>
      <c r="G35" s="73">
        <f t="shared" si="0"/>
        <v>1111</v>
      </c>
      <c r="H35" s="82"/>
      <c r="I35" s="78"/>
      <c r="J35" s="176">
        <v>18</v>
      </c>
      <c r="K35" s="71" t="s">
        <v>81</v>
      </c>
      <c r="L35" s="72">
        <v>232437</v>
      </c>
      <c r="M35" s="72">
        <v>233969</v>
      </c>
      <c r="N35" s="73">
        <f t="shared" si="1"/>
        <v>1532</v>
      </c>
      <c r="O35" s="82"/>
    </row>
    <row r="36" spans="2:15" ht="15" x14ac:dyDescent="0.2">
      <c r="B36" s="67"/>
      <c r="C36" s="178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8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7"/>
      <c r="D37" s="71" t="s">
        <v>83</v>
      </c>
      <c r="E37" s="72">
        <v>72822</v>
      </c>
      <c r="F37" s="72">
        <v>74162</v>
      </c>
      <c r="G37" s="73">
        <f t="shared" si="0"/>
        <v>1340</v>
      </c>
      <c r="H37" s="74"/>
      <c r="I37" s="78"/>
      <c r="J37" s="177"/>
      <c r="K37" s="71" t="s">
        <v>83</v>
      </c>
      <c r="L37" s="72">
        <v>74162</v>
      </c>
      <c r="M37" s="72">
        <v>75385</v>
      </c>
      <c r="N37" s="73">
        <f t="shared" si="1"/>
        <v>1223</v>
      </c>
      <c r="O37" s="74"/>
    </row>
    <row r="38" spans="2:15" ht="15" x14ac:dyDescent="0.2">
      <c r="B38" s="67"/>
      <c r="C38" s="176">
        <v>19</v>
      </c>
      <c r="D38" s="71" t="s">
        <v>81</v>
      </c>
      <c r="E38" s="72">
        <v>20813</v>
      </c>
      <c r="F38" s="72">
        <v>20948</v>
      </c>
      <c r="G38" s="73">
        <f t="shared" si="0"/>
        <v>135</v>
      </c>
      <c r="H38" s="74"/>
      <c r="I38" s="78"/>
      <c r="J38" s="176">
        <v>19</v>
      </c>
      <c r="K38" s="71" t="s">
        <v>81</v>
      </c>
      <c r="L38" s="72">
        <v>20948</v>
      </c>
      <c r="M38" s="72">
        <v>21075</v>
      </c>
      <c r="N38" s="73">
        <f t="shared" si="1"/>
        <v>127</v>
      </c>
      <c r="O38" s="74"/>
    </row>
    <row r="39" spans="2:15" ht="15" x14ac:dyDescent="0.2">
      <c r="B39" s="67"/>
      <c r="C39" s="178"/>
      <c r="D39" s="71" t="s">
        <v>82</v>
      </c>
      <c r="E39" s="165">
        <v>81825</v>
      </c>
      <c r="F39" s="165">
        <v>82016</v>
      </c>
      <c r="G39" s="73">
        <f t="shared" si="0"/>
        <v>191</v>
      </c>
      <c r="H39" s="82"/>
      <c r="I39" s="78"/>
      <c r="J39" s="178"/>
      <c r="K39" s="71" t="s">
        <v>82</v>
      </c>
      <c r="L39" s="165">
        <v>82016</v>
      </c>
      <c r="M39" s="79">
        <v>82385</v>
      </c>
      <c r="N39" s="73">
        <f t="shared" si="1"/>
        <v>369</v>
      </c>
      <c r="O39" s="82"/>
    </row>
    <row r="40" spans="2:15" ht="15" x14ac:dyDescent="0.2">
      <c r="B40" s="67"/>
      <c r="C40" s="177"/>
      <c r="D40" s="71" t="s">
        <v>83</v>
      </c>
      <c r="E40" s="72">
        <v>52948</v>
      </c>
      <c r="F40" s="72">
        <v>53012</v>
      </c>
      <c r="G40" s="73">
        <f t="shared" si="0"/>
        <v>64</v>
      </c>
      <c r="H40" s="74"/>
      <c r="I40" s="78"/>
      <c r="J40" s="177"/>
      <c r="K40" s="71" t="s">
        <v>83</v>
      </c>
      <c r="L40" s="72">
        <v>53012</v>
      </c>
      <c r="M40" s="72">
        <v>53053</v>
      </c>
      <c r="N40" s="73">
        <f t="shared" si="1"/>
        <v>41</v>
      </c>
      <c r="O40" s="74"/>
    </row>
    <row r="41" spans="2:15" ht="15" x14ac:dyDescent="0.2">
      <c r="B41" s="67"/>
      <c r="C41" s="176">
        <v>20</v>
      </c>
      <c r="D41" s="71" t="s">
        <v>81</v>
      </c>
      <c r="E41" s="72">
        <v>116595</v>
      </c>
      <c r="F41" s="72">
        <v>117288</v>
      </c>
      <c r="G41" s="73">
        <f t="shared" si="0"/>
        <v>693</v>
      </c>
      <c r="H41" s="74"/>
      <c r="I41" s="78"/>
      <c r="J41" s="176">
        <v>20</v>
      </c>
      <c r="K41" s="71" t="s">
        <v>81</v>
      </c>
      <c r="L41" s="72">
        <v>117288</v>
      </c>
      <c r="M41" s="72">
        <v>117949</v>
      </c>
      <c r="N41" s="73">
        <f t="shared" si="1"/>
        <v>661</v>
      </c>
      <c r="O41" s="74"/>
    </row>
    <row r="42" spans="2:15" ht="15" x14ac:dyDescent="0.2">
      <c r="B42" s="67"/>
      <c r="C42" s="178"/>
      <c r="D42" s="71" t="s">
        <v>82</v>
      </c>
      <c r="E42" s="165">
        <v>68333</v>
      </c>
      <c r="F42" s="165">
        <v>68478</v>
      </c>
      <c r="G42" s="73">
        <f t="shared" si="0"/>
        <v>145</v>
      </c>
      <c r="H42" s="74"/>
      <c r="J42" s="178"/>
      <c r="K42" s="71" t="s">
        <v>82</v>
      </c>
      <c r="L42" s="165">
        <v>68478</v>
      </c>
      <c r="M42" s="79">
        <v>68638</v>
      </c>
      <c r="N42" s="73">
        <f t="shared" si="1"/>
        <v>160</v>
      </c>
      <c r="O42" s="74"/>
    </row>
    <row r="43" spans="2:15" ht="15" x14ac:dyDescent="0.2">
      <c r="B43" s="67"/>
      <c r="C43" s="177"/>
      <c r="D43" s="71" t="s">
        <v>83</v>
      </c>
      <c r="E43" s="72">
        <v>3224</v>
      </c>
      <c r="F43" s="72">
        <v>3234</v>
      </c>
      <c r="G43" s="73">
        <f t="shared" si="0"/>
        <v>10</v>
      </c>
      <c r="H43" s="74"/>
      <c r="J43" s="177"/>
      <c r="K43" s="71" t="s">
        <v>83</v>
      </c>
      <c r="L43" s="72">
        <v>3234</v>
      </c>
      <c r="M43" s="72">
        <v>3237</v>
      </c>
      <c r="N43" s="73">
        <f t="shared" si="1"/>
        <v>3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6">
        <v>21</v>
      </c>
      <c r="D45" s="71" t="s">
        <v>84</v>
      </c>
      <c r="E45" s="72">
        <v>3182</v>
      </c>
      <c r="F45" s="72">
        <v>3182</v>
      </c>
      <c r="G45" s="73">
        <f t="shared" si="0"/>
        <v>0</v>
      </c>
      <c r="H45" s="76" t="s">
        <v>13</v>
      </c>
      <c r="J45" s="176">
        <v>21</v>
      </c>
      <c r="K45" s="87" t="s">
        <v>84</v>
      </c>
      <c r="L45" s="72">
        <v>3182</v>
      </c>
      <c r="M45" s="72">
        <v>3218</v>
      </c>
      <c r="N45" s="73">
        <f t="shared" si="1"/>
        <v>36</v>
      </c>
      <c r="O45" s="76" t="s">
        <v>13</v>
      </c>
    </row>
    <row r="46" spans="2:15" ht="15" x14ac:dyDescent="0.2">
      <c r="B46" s="67"/>
      <c r="C46" s="178"/>
      <c r="D46" s="71" t="s">
        <v>83</v>
      </c>
      <c r="E46" s="72">
        <v>38125</v>
      </c>
      <c r="F46" s="72">
        <v>38125</v>
      </c>
      <c r="G46" s="73">
        <f t="shared" si="0"/>
        <v>0</v>
      </c>
      <c r="H46" s="74"/>
      <c r="J46" s="178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6">
        <v>22</v>
      </c>
      <c r="D47" s="71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76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8"/>
      <c r="D48" s="71" t="s">
        <v>83</v>
      </c>
      <c r="E48" s="88">
        <v>19003</v>
      </c>
      <c r="F48" s="88">
        <v>19003</v>
      </c>
      <c r="G48" s="73">
        <f t="shared" si="0"/>
        <v>0</v>
      </c>
      <c r="H48" s="74"/>
      <c r="J48" s="178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6">
        <v>23</v>
      </c>
      <c r="D49" s="71" t="s">
        <v>84</v>
      </c>
      <c r="E49" s="88"/>
      <c r="F49" s="88"/>
      <c r="G49" s="73">
        <f t="shared" si="0"/>
        <v>0</v>
      </c>
      <c r="H49" s="74"/>
      <c r="J49" s="176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8"/>
      <c r="D50" s="71" t="s">
        <v>83</v>
      </c>
      <c r="E50" s="88"/>
      <c r="F50" s="88"/>
      <c r="G50" s="73">
        <f t="shared" si="0"/>
        <v>0</v>
      </c>
      <c r="H50" s="74"/>
      <c r="J50" s="178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6">
        <v>24</v>
      </c>
      <c r="D52" s="71" t="s">
        <v>85</v>
      </c>
      <c r="E52" s="165">
        <v>237611</v>
      </c>
      <c r="F52" s="165">
        <v>238619</v>
      </c>
      <c r="G52" s="73">
        <f t="shared" si="0"/>
        <v>1008</v>
      </c>
      <c r="H52" s="74"/>
      <c r="J52" s="179">
        <v>24</v>
      </c>
      <c r="K52" s="71" t="s">
        <v>85</v>
      </c>
      <c r="L52" s="165">
        <v>238619</v>
      </c>
      <c r="M52" s="79">
        <v>239731</v>
      </c>
      <c r="N52" s="73">
        <f t="shared" si="1"/>
        <v>1112</v>
      </c>
      <c r="O52" s="90"/>
    </row>
    <row r="53" spans="1:15" ht="15" x14ac:dyDescent="0.2">
      <c r="B53" s="67"/>
      <c r="C53" s="178"/>
      <c r="D53" s="71" t="s">
        <v>86</v>
      </c>
      <c r="E53" s="165">
        <v>533854</v>
      </c>
      <c r="F53" s="165">
        <v>534339</v>
      </c>
      <c r="G53" s="73">
        <f t="shared" si="0"/>
        <v>485</v>
      </c>
      <c r="H53" s="82"/>
      <c r="J53" s="180"/>
      <c r="K53" s="71" t="s">
        <v>86</v>
      </c>
      <c r="L53" s="165">
        <v>534339</v>
      </c>
      <c r="M53" s="79">
        <v>534805</v>
      </c>
      <c r="N53" s="73">
        <f t="shared" si="1"/>
        <v>466</v>
      </c>
      <c r="O53" s="82"/>
    </row>
    <row r="54" spans="1:15" ht="15" x14ac:dyDescent="0.2">
      <c r="B54" s="67"/>
      <c r="C54" s="177"/>
      <c r="D54" s="71" t="s">
        <v>85</v>
      </c>
      <c r="E54" s="165">
        <v>34567</v>
      </c>
      <c r="F54" s="165">
        <v>34567</v>
      </c>
      <c r="G54" s="73">
        <f t="shared" si="0"/>
        <v>0</v>
      </c>
      <c r="H54" s="166" t="s">
        <v>13</v>
      </c>
      <c r="J54" s="181"/>
      <c r="K54" s="71" t="s">
        <v>85</v>
      </c>
      <c r="L54" s="165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76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76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7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7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6">
        <v>26</v>
      </c>
      <c r="D57" s="71" t="s">
        <v>85</v>
      </c>
      <c r="E57" s="72">
        <v>688763</v>
      </c>
      <c r="F57" s="72">
        <v>692347</v>
      </c>
      <c r="G57" s="73">
        <f t="shared" si="0"/>
        <v>3584</v>
      </c>
      <c r="H57" s="74"/>
      <c r="J57" s="176">
        <v>26</v>
      </c>
      <c r="K57" s="71" t="s">
        <v>85</v>
      </c>
      <c r="L57" s="72">
        <v>692347</v>
      </c>
      <c r="M57" s="72">
        <v>696546</v>
      </c>
      <c r="N57" s="73">
        <f t="shared" si="1"/>
        <v>4199</v>
      </c>
      <c r="O57" s="74"/>
    </row>
    <row r="58" spans="1:15" ht="15" x14ac:dyDescent="0.2">
      <c r="A58" s="78"/>
      <c r="B58" s="67"/>
      <c r="C58" s="177"/>
      <c r="D58" s="71" t="s">
        <v>86</v>
      </c>
      <c r="E58" s="72">
        <v>754384</v>
      </c>
      <c r="F58" s="72">
        <v>758854</v>
      </c>
      <c r="G58" s="73">
        <f t="shared" si="0"/>
        <v>4470</v>
      </c>
      <c r="H58" s="82"/>
      <c r="I58" s="78"/>
      <c r="J58" s="177"/>
      <c r="K58" s="71" t="s">
        <v>86</v>
      </c>
      <c r="L58" s="72">
        <v>758854</v>
      </c>
      <c r="M58" s="72">
        <v>763486</v>
      </c>
      <c r="N58" s="73">
        <f t="shared" si="1"/>
        <v>4632</v>
      </c>
      <c r="O58" s="82"/>
    </row>
    <row r="59" spans="1:15" ht="15" x14ac:dyDescent="0.2">
      <c r="A59" s="78"/>
      <c r="B59" s="67"/>
      <c r="C59" s="176">
        <v>27</v>
      </c>
      <c r="D59" s="71" t="s">
        <v>85</v>
      </c>
      <c r="E59" s="72">
        <v>234450</v>
      </c>
      <c r="F59" s="72">
        <v>235568</v>
      </c>
      <c r="G59" s="73">
        <f t="shared" si="0"/>
        <v>1118</v>
      </c>
      <c r="H59" s="74"/>
      <c r="I59" s="78"/>
      <c r="J59" s="176">
        <v>27</v>
      </c>
      <c r="K59" s="71" t="s">
        <v>85</v>
      </c>
      <c r="L59" s="72">
        <v>235568</v>
      </c>
      <c r="M59" s="72">
        <v>236626</v>
      </c>
      <c r="N59" s="73">
        <f t="shared" si="1"/>
        <v>1058</v>
      </c>
      <c r="O59" s="74"/>
    </row>
    <row r="60" spans="1:15" ht="15" x14ac:dyDescent="0.2">
      <c r="A60" s="78"/>
      <c r="B60" s="67"/>
      <c r="C60" s="177"/>
      <c r="D60" s="71" t="s">
        <v>86</v>
      </c>
      <c r="E60" s="72">
        <v>95207</v>
      </c>
      <c r="F60" s="72">
        <v>96054</v>
      </c>
      <c r="G60" s="73">
        <f t="shared" si="0"/>
        <v>847</v>
      </c>
      <c r="H60" s="74"/>
      <c r="I60" s="78"/>
      <c r="J60" s="177"/>
      <c r="K60" s="71" t="s">
        <v>86</v>
      </c>
      <c r="L60" s="72">
        <v>96054</v>
      </c>
      <c r="M60" s="72">
        <v>96550</v>
      </c>
      <c r="N60" s="73">
        <f t="shared" si="1"/>
        <v>496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6">
        <v>28</v>
      </c>
      <c r="D62" s="185" t="s">
        <v>87</v>
      </c>
      <c r="E62" s="72"/>
      <c r="F62" s="72"/>
      <c r="G62" s="73"/>
      <c r="H62" s="187" t="s">
        <v>88</v>
      </c>
      <c r="I62" s="78"/>
      <c r="J62" s="176">
        <v>28</v>
      </c>
      <c r="K62" s="185" t="s">
        <v>87</v>
      </c>
      <c r="L62" s="72"/>
      <c r="M62" s="72"/>
      <c r="N62" s="73"/>
      <c r="O62" s="187" t="s">
        <v>88</v>
      </c>
    </row>
    <row r="63" spans="1:15" ht="15" x14ac:dyDescent="0.2">
      <c r="A63" s="78"/>
      <c r="B63" s="67"/>
      <c r="C63" s="177"/>
      <c r="D63" s="186"/>
      <c r="E63" s="72"/>
      <c r="F63" s="72"/>
      <c r="G63" s="73"/>
      <c r="H63" s="188"/>
      <c r="I63" s="78"/>
      <c r="J63" s="177"/>
      <c r="K63" s="186"/>
      <c r="L63" s="72"/>
      <c r="M63" s="72"/>
      <c r="N63" s="73"/>
      <c r="O63" s="188"/>
    </row>
    <row r="64" spans="1:15" x14ac:dyDescent="0.2">
      <c r="A64" s="78"/>
      <c r="B64" s="67"/>
      <c r="C64" s="189" t="s">
        <v>89</v>
      </c>
      <c r="D64" s="189"/>
      <c r="E64" s="189"/>
      <c r="F64" s="189"/>
      <c r="G64" s="93">
        <f>SUM(G2:G63)</f>
        <v>29021</v>
      </c>
      <c r="H64" s="94"/>
      <c r="I64" s="78"/>
      <c r="J64" s="189" t="s">
        <v>89</v>
      </c>
      <c r="K64" s="189"/>
      <c r="L64" s="189"/>
      <c r="M64" s="189"/>
      <c r="N64" s="93">
        <f>SUM(N2:N63)</f>
        <v>30326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90">
        <v>44256</v>
      </c>
      <c r="C69" s="191"/>
      <c r="D69" s="191"/>
      <c r="E69" s="192"/>
      <c r="F69" s="97"/>
      <c r="G69" s="190">
        <v>44287</v>
      </c>
      <c r="H69" s="191"/>
      <c r="I69" s="191"/>
      <c r="J69" s="192"/>
      <c r="K69" s="97"/>
      <c r="L69" s="182" t="s">
        <v>26</v>
      </c>
      <c r="M69" s="183"/>
      <c r="N69" s="183"/>
      <c r="O69" s="184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127095</v>
      </c>
      <c r="D87" s="102">
        <v>154166</v>
      </c>
      <c r="E87" s="103">
        <v>287362</v>
      </c>
      <c r="F87" s="95"/>
      <c r="G87" s="100">
        <v>23</v>
      </c>
      <c r="H87" s="101">
        <v>127095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0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52916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-32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193617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191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2021-04-30T22:39:54Z</cp:lastPrinted>
  <dcterms:created xsi:type="dcterms:W3CDTF">2017-07-31T14:40:49Z</dcterms:created>
  <dcterms:modified xsi:type="dcterms:W3CDTF">2021-05-12T06:38:15Z</dcterms:modified>
</cp:coreProperties>
</file>