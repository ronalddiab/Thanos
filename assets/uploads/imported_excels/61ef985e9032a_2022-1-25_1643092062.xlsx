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5" i="3" l="1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F26" i="3"/>
  <c r="E25" i="3"/>
  <c r="F25" i="3" l="1"/>
  <c r="F24" i="3" l="1"/>
  <c r="E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X33" i="4"/>
  <c r="AW25" i="3" s="1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BK24" i="3" s="1"/>
  <c r="FA32" i="4"/>
  <c r="EZ32" i="4"/>
  <c r="BI24" i="3" s="1"/>
  <c r="EY32" i="4"/>
  <c r="EX32" i="4"/>
  <c r="BJ24" i="3" s="1"/>
  <c r="EW32" i="4"/>
  <c r="EV32" i="4"/>
  <c r="BH24" i="3" s="1"/>
  <c r="EU32" i="4"/>
  <c r="ET32" i="4"/>
  <c r="BG24" i="3" s="1"/>
  <c r="ER32" i="4"/>
  <c r="EQ32" i="4"/>
  <c r="BC24" i="3" s="1"/>
  <c r="EP32" i="4"/>
  <c r="EO32" i="4"/>
  <c r="BF24" i="3" s="1"/>
  <c r="EN32" i="4"/>
  <c r="EM32" i="4"/>
  <c r="BE24" i="3" s="1"/>
  <c r="EL32" i="4"/>
  <c r="EK32" i="4"/>
  <c r="BD24" i="3" s="1"/>
  <c r="EJ32" i="4"/>
  <c r="EI32" i="4"/>
  <c r="BB24" i="3" s="1"/>
  <c r="EH32" i="4"/>
  <c r="EG32" i="4"/>
  <c r="BA24" i="3" s="1"/>
  <c r="EE32" i="4"/>
  <c r="ED32" i="4"/>
  <c r="AZ24" i="3" s="1"/>
  <c r="EC32" i="4"/>
  <c r="EB32" i="4"/>
  <c r="AY24" i="3" s="1"/>
  <c r="EA32" i="4"/>
  <c r="DZ32" i="4"/>
  <c r="AX24" i="3" s="1"/>
  <c r="DY32" i="4"/>
  <c r="DX32" i="4"/>
  <c r="AW24" i="3" s="1"/>
  <c r="DW32" i="4"/>
  <c r="DV32" i="4"/>
  <c r="DU32" i="4"/>
  <c r="DT32" i="4"/>
  <c r="AU24" i="3" s="1"/>
  <c r="DR32" i="4"/>
  <c r="DQ32" i="4"/>
  <c r="AT24" i="3" s="1"/>
  <c r="DP32" i="4"/>
  <c r="DO32" i="4"/>
  <c r="AR24" i="3" s="1"/>
  <c r="DN32" i="4"/>
  <c r="DM32" i="4"/>
  <c r="AS24" i="3" s="1"/>
  <c r="DL32" i="4"/>
  <c r="DK32" i="4"/>
  <c r="AP24" i="3" s="1"/>
  <c r="DJ32" i="4"/>
  <c r="DI32" i="4"/>
  <c r="AQ24" i="3" s="1"/>
  <c r="DH32" i="4"/>
  <c r="DG32" i="4"/>
  <c r="AN24" i="3" s="1"/>
  <c r="DF32" i="4"/>
  <c r="DE32" i="4"/>
  <c r="AO24" i="3" s="1"/>
  <c r="DD32" i="4"/>
  <c r="DC32" i="4"/>
  <c r="AL24" i="3" s="1"/>
  <c r="DB32" i="4"/>
  <c r="DA32" i="4"/>
  <c r="AM24" i="3" s="1"/>
  <c r="CZ32" i="4"/>
  <c r="CY32" i="4"/>
  <c r="AJ24" i="3" s="1"/>
  <c r="CX32" i="4"/>
  <c r="CW32" i="4"/>
  <c r="AK24" i="3" s="1"/>
  <c r="CU32" i="4"/>
  <c r="CT32" i="4"/>
  <c r="AC24" i="3" s="1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T24" i="3" s="1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P24" i="3" s="1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AB23" i="3" s="1"/>
  <c r="CP31" i="4"/>
  <c r="CO31" i="4"/>
  <c r="CN31" i="4"/>
  <c r="CM31" i="4"/>
  <c r="CL31" i="4"/>
  <c r="CK31" i="4"/>
  <c r="Z23" i="3" s="1"/>
  <c r="CJ31" i="4"/>
  <c r="CI31" i="4"/>
  <c r="AI23" i="3" s="1"/>
  <c r="CH31" i="4"/>
  <c r="CG31" i="4"/>
  <c r="AH23" i="3" s="1"/>
  <c r="CF31" i="4"/>
  <c r="CE31" i="4"/>
  <c r="AG23" i="3" s="1"/>
  <c r="CD31" i="4"/>
  <c r="CC31" i="4"/>
  <c r="AF23" i="3" s="1"/>
  <c r="CB31" i="4"/>
  <c r="CA31" i="4"/>
  <c r="AE23" i="3" s="1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M23" i="3" s="1"/>
  <c r="S31" i="4"/>
  <c r="R31" i="4"/>
  <c r="L23" i="3" s="1"/>
  <c r="Q31" i="4"/>
  <c r="P31" i="4"/>
  <c r="O31" i="4"/>
  <c r="N31" i="4"/>
  <c r="M31" i="4"/>
  <c r="L31" i="4"/>
  <c r="K31" i="4"/>
  <c r="J31" i="4"/>
  <c r="I31" i="4"/>
  <c r="H31" i="4"/>
  <c r="G31" i="4"/>
  <c r="F31" i="4"/>
  <c r="H23" i="3" s="1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24" i="3" l="1"/>
  <c r="J24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K20" i="3"/>
  <c r="AL20" i="3"/>
  <c r="AQ20" i="3"/>
  <c r="AR20" i="3"/>
  <c r="AY20" i="3"/>
  <c r="BB20" i="3"/>
  <c r="AA21" i="3"/>
  <c r="AC21" i="3"/>
  <c r="AM21" i="3"/>
  <c r="AN21" i="3"/>
  <c r="AS21" i="3"/>
  <c r="AU21" i="3"/>
  <c r="AX21" i="3"/>
  <c r="BA21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A22" i="3"/>
  <c r="AC22" i="3"/>
  <c r="AM22" i="3"/>
  <c r="AN22" i="3"/>
  <c r="AS22" i="3"/>
  <c r="AU22" i="3"/>
  <c r="AX22" i="3"/>
  <c r="BA22" i="3"/>
  <c r="BE22" i="3"/>
  <c r="BG22" i="3"/>
  <c r="BI22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M21" i="3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s="1"/>
  <c r="AM50" i="4" s="1"/>
  <c r="AD47" i="4" l="1"/>
  <c r="AD49" i="4" l="1"/>
  <c r="AA50" i="4"/>
  <c r="AV50" i="4" s="1"/>
  <c r="EJ28" i="4" l="1"/>
  <c r="EJ29" i="4"/>
  <c r="DY33" i="4" l="1"/>
  <c r="DY34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<sst xmlns="http://schemas.openxmlformats.org/spreadsheetml/2006/main" count="412" uniqueCount="203">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</sst>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B31">
            <v>0.54</v>
          </cell>
          <cell r="E31">
            <v>953034</v>
          </cell>
          <cell r="F31">
            <v>687</v>
          </cell>
          <cell r="G31">
            <v>523</v>
          </cell>
          <cell r="H31">
            <v>110600</v>
          </cell>
          <cell r="I31">
            <v>470</v>
          </cell>
          <cell r="J31">
            <v>457</v>
          </cell>
          <cell r="K31">
            <v>164625</v>
          </cell>
          <cell r="L31">
            <v>0</v>
          </cell>
          <cell r="N31">
            <v>825868</v>
          </cell>
          <cell r="O31">
            <v>215</v>
          </cell>
          <cell r="Q31">
            <v>193402</v>
          </cell>
          <cell r="R31">
            <v>0</v>
          </cell>
          <cell r="S31">
            <v>56492.65</v>
          </cell>
          <cell r="T31">
            <v>52.430000000000291</v>
          </cell>
          <cell r="U31">
            <v>16</v>
          </cell>
          <cell r="V31">
            <v>4372</v>
          </cell>
          <cell r="W31">
            <v>0</v>
          </cell>
          <cell r="AC31">
            <v>7284127.2000000002</v>
          </cell>
          <cell r="AD31">
            <v>3361.6800000006333</v>
          </cell>
          <cell r="AF31">
            <v>13960277.52</v>
          </cell>
          <cell r="AG31">
            <v>5310.480000000447</v>
          </cell>
          <cell r="AI31">
            <v>13841205.84</v>
          </cell>
          <cell r="AJ31">
            <v>146.16000000014901</v>
          </cell>
          <cell r="AL31">
            <v>16774685.760000002</v>
          </cell>
          <cell r="AM31">
            <v>8477.2800000011921</v>
          </cell>
          <cell r="AO31">
            <v>17278889.039999999</v>
          </cell>
          <cell r="AP31">
            <v>48.719999998807907</v>
          </cell>
          <cell r="AR31">
            <v>15735683.039999999</v>
          </cell>
          <cell r="AS31">
            <v>6090</v>
          </cell>
          <cell r="AU31">
            <v>13366624.319999998</v>
          </cell>
          <cell r="AV31">
            <v>4433.519999999553</v>
          </cell>
          <cell r="AX31">
            <v>12851459.040000001</v>
          </cell>
          <cell r="AY31">
            <v>4920.7200000025332</v>
          </cell>
          <cell r="BA31">
            <v>10231541.040000001</v>
          </cell>
          <cell r="BB31">
            <v>3507.8400000017136</v>
          </cell>
          <cell r="BD31">
            <v>15903426</v>
          </cell>
          <cell r="BE31">
            <v>5895.1199999991804</v>
          </cell>
          <cell r="BK31">
            <v>68689200</v>
          </cell>
          <cell r="BL31">
            <v>0</v>
          </cell>
          <cell r="BN31">
            <v>70762600</v>
          </cell>
          <cell r="BO31">
            <v>32300</v>
          </cell>
          <cell r="BQ31">
            <v>65863100</v>
          </cell>
          <cell r="BR31">
            <v>0</v>
          </cell>
          <cell r="BT31">
            <v>7967760</v>
          </cell>
          <cell r="BU31">
            <v>6510</v>
          </cell>
          <cell r="BW31">
            <v>0.46</v>
          </cell>
          <cell r="BX31">
            <v>0.14999999999999997</v>
          </cell>
          <cell r="BZ31">
            <v>57964</v>
          </cell>
          <cell r="CA31">
            <v>21</v>
          </cell>
          <cell r="CB31">
            <v>49407</v>
          </cell>
          <cell r="CC31">
            <v>21</v>
          </cell>
          <cell r="CD31">
            <v>16940</v>
          </cell>
          <cell r="CE31">
            <v>6</v>
          </cell>
          <cell r="CF31">
            <v>22560</v>
          </cell>
          <cell r="CG31">
            <v>14</v>
          </cell>
          <cell r="CH31">
            <v>24583</v>
          </cell>
          <cell r="CI31">
            <v>16</v>
          </cell>
          <cell r="CJ31">
            <v>54502</v>
          </cell>
          <cell r="CK31">
            <v>25</v>
          </cell>
          <cell r="CL31">
            <v>238807</v>
          </cell>
          <cell r="CM31">
            <v>121</v>
          </cell>
          <cell r="CO31">
            <v>185232</v>
          </cell>
          <cell r="CP31">
            <v>130</v>
          </cell>
          <cell r="CR31">
            <v>331855</v>
          </cell>
          <cell r="CS31">
            <v>468</v>
          </cell>
          <cell r="CU31">
            <v>630576</v>
          </cell>
          <cell r="CV31">
            <v>290</v>
          </cell>
          <cell r="CX31">
            <v>6777</v>
          </cell>
          <cell r="CY31">
            <v>10</v>
          </cell>
          <cell r="CZ31">
            <v>4249</v>
          </cell>
          <cell r="DA31">
            <v>9</v>
          </cell>
          <cell r="DB31">
            <v>27639</v>
          </cell>
          <cell r="DC31">
            <v>11</v>
          </cell>
          <cell r="DD31">
            <v>28258</v>
          </cell>
          <cell r="DE31">
            <v>9</v>
          </cell>
          <cell r="DF31">
            <v>19054</v>
          </cell>
          <cell r="DG31">
            <v>8</v>
          </cell>
          <cell r="DH31">
            <v>22154</v>
          </cell>
          <cell r="DI31">
            <v>7</v>
          </cell>
          <cell r="DJ31">
            <v>3668</v>
          </cell>
          <cell r="DK31">
            <v>11</v>
          </cell>
          <cell r="DL31">
            <v>7359</v>
          </cell>
          <cell r="DM31">
            <v>18</v>
          </cell>
          <cell r="DN31">
            <v>1999</v>
          </cell>
          <cell r="DO31">
            <v>5</v>
          </cell>
          <cell r="DP31">
            <v>3912</v>
          </cell>
          <cell r="DQ31">
            <v>10</v>
          </cell>
          <cell r="DR31">
            <v>26520</v>
          </cell>
          <cell r="DS31">
            <v>7</v>
          </cell>
          <cell r="DU31">
            <v>3509.9</v>
          </cell>
          <cell r="DV31">
            <v>11.200000000000273</v>
          </cell>
          <cell r="DW31">
            <v>8522.7999999999993</v>
          </cell>
          <cell r="DX31">
            <v>7.5999999999985448</v>
          </cell>
          <cell r="DY31">
            <v>2652.2</v>
          </cell>
          <cell r="DZ31">
            <v>7.5999999999999091</v>
          </cell>
          <cell r="EA31">
            <v>2784.4</v>
          </cell>
          <cell r="EB31">
            <v>7.0999999999999091</v>
          </cell>
          <cell r="EC31">
            <v>897904</v>
          </cell>
          <cell r="ED31">
            <v>643</v>
          </cell>
          <cell r="EG31">
            <v>183234.9</v>
          </cell>
          <cell r="EH31">
            <v>185.39999999999418</v>
          </cell>
          <cell r="EJ31">
            <v>10542600</v>
          </cell>
          <cell r="EK31">
            <v>1700</v>
          </cell>
          <cell r="EL31">
            <v>838760</v>
          </cell>
          <cell r="EM31">
            <v>260</v>
          </cell>
          <cell r="EN31">
            <v>6441500</v>
          </cell>
          <cell r="EO31">
            <v>700</v>
          </cell>
          <cell r="EP31">
            <v>2266100</v>
          </cell>
          <cell r="EQ31">
            <v>300</v>
          </cell>
          <cell r="ER31">
            <v>1024760</v>
          </cell>
          <cell r="ES31">
            <v>710</v>
          </cell>
          <cell r="ET31">
            <v>14404100</v>
          </cell>
          <cell r="EU31">
            <v>1400</v>
          </cell>
          <cell r="EW31">
            <v>38174</v>
          </cell>
          <cell r="EX31">
            <v>16</v>
          </cell>
          <cell r="EY31">
            <v>33079</v>
          </cell>
          <cell r="EZ31">
            <v>16</v>
          </cell>
          <cell r="FA31">
            <v>4164</v>
          </cell>
          <cell r="FB31">
            <v>17</v>
          </cell>
          <cell r="FC31">
            <v>54988</v>
          </cell>
          <cell r="FD31">
            <v>21</v>
          </cell>
          <cell r="FE31">
            <v>39192</v>
          </cell>
          <cell r="FF31">
            <v>38</v>
          </cell>
        </row>
        <row r="32">
          <cell r="B32">
            <v>0.49</v>
          </cell>
          <cell r="E32">
            <v>953477</v>
          </cell>
          <cell r="F32">
            <v>443</v>
          </cell>
          <cell r="G32">
            <v>463</v>
          </cell>
          <cell r="H32">
            <v>110918</v>
          </cell>
          <cell r="I32">
            <v>318</v>
          </cell>
          <cell r="J32">
            <v>422</v>
          </cell>
          <cell r="K32">
            <v>164625</v>
          </cell>
          <cell r="L32">
            <v>0</v>
          </cell>
          <cell r="N32">
            <v>825986</v>
          </cell>
          <cell r="O32">
            <v>118</v>
          </cell>
          <cell r="Q32">
            <v>193402</v>
          </cell>
          <cell r="R32">
            <v>0</v>
          </cell>
          <cell r="S32">
            <v>56551.199999999997</v>
          </cell>
          <cell r="T32">
            <v>58.549999999995634</v>
          </cell>
          <cell r="U32">
            <v>22</v>
          </cell>
          <cell r="V32">
            <v>4375</v>
          </cell>
          <cell r="W32">
            <v>3</v>
          </cell>
          <cell r="AC32">
            <v>7286465.7599999998</v>
          </cell>
          <cell r="AD32">
            <v>2338.5599999995902</v>
          </cell>
          <cell r="AF32">
            <v>13964467.439999999</v>
          </cell>
          <cell r="AG32">
            <v>4189.9199999999255</v>
          </cell>
          <cell r="AI32">
            <v>13841352</v>
          </cell>
          <cell r="AJ32">
            <v>146.16000000014901</v>
          </cell>
          <cell r="AL32">
            <v>16780678.32</v>
          </cell>
          <cell r="AM32">
            <v>5992.5599999986589</v>
          </cell>
          <cell r="AO32">
            <v>17278889.039999999</v>
          </cell>
          <cell r="AP32">
            <v>0</v>
          </cell>
          <cell r="AR32">
            <v>15740555.039999999</v>
          </cell>
          <cell r="AS32">
            <v>4872</v>
          </cell>
          <cell r="AU32">
            <v>13369839.84</v>
          </cell>
          <cell r="AV32">
            <v>3215.5200000014156</v>
          </cell>
          <cell r="AX32">
            <v>12855015.6</v>
          </cell>
          <cell r="AY32">
            <v>3556.5599999986589</v>
          </cell>
          <cell r="BA32">
            <v>10234171.92</v>
          </cell>
          <cell r="BB32">
            <v>2630.8799999989569</v>
          </cell>
          <cell r="BD32">
            <v>15907859.52</v>
          </cell>
          <cell r="BE32">
            <v>4433.519999999553</v>
          </cell>
          <cell r="BK32">
            <v>68689200</v>
          </cell>
          <cell r="BL32">
            <v>0</v>
          </cell>
          <cell r="BN32">
            <v>70790600</v>
          </cell>
          <cell r="BO32">
            <v>28000</v>
          </cell>
          <cell r="BQ32">
            <v>65863100</v>
          </cell>
          <cell r="BR32">
            <v>0</v>
          </cell>
          <cell r="BT32">
            <v>7972100</v>
          </cell>
          <cell r="BU32">
            <v>4340</v>
          </cell>
          <cell r="BW32">
            <v>0.64</v>
          </cell>
          <cell r="BX32">
            <v>-0.18</v>
          </cell>
          <cell r="BZ32">
            <v>57976</v>
          </cell>
          <cell r="CA32">
            <v>12</v>
          </cell>
          <cell r="CB32">
            <v>49424</v>
          </cell>
          <cell r="CC32">
            <v>17</v>
          </cell>
          <cell r="CD32">
            <v>16944</v>
          </cell>
          <cell r="CE32">
            <v>4</v>
          </cell>
          <cell r="CF32">
            <v>22569</v>
          </cell>
          <cell r="CG32">
            <v>9</v>
          </cell>
          <cell r="CH32">
            <v>24592</v>
          </cell>
          <cell r="CI32">
            <v>9</v>
          </cell>
          <cell r="CJ32">
            <v>54521</v>
          </cell>
          <cell r="CK32">
            <v>19</v>
          </cell>
          <cell r="CL32">
            <v>238902</v>
          </cell>
          <cell r="CM32">
            <v>95</v>
          </cell>
          <cell r="CO32">
            <v>185340</v>
          </cell>
          <cell r="CP32">
            <v>108</v>
          </cell>
          <cell r="CR32">
            <v>332164</v>
          </cell>
          <cell r="CS32">
            <v>309</v>
          </cell>
          <cell r="CU32">
            <v>630802</v>
          </cell>
          <cell r="CV32">
            <v>226</v>
          </cell>
          <cell r="CX32">
            <v>6785</v>
          </cell>
          <cell r="CY32">
            <v>8</v>
          </cell>
          <cell r="CZ32">
            <v>4251</v>
          </cell>
          <cell r="DA32">
            <v>2</v>
          </cell>
          <cell r="DB32">
            <v>27660</v>
          </cell>
          <cell r="DC32">
            <v>21</v>
          </cell>
          <cell r="DD32">
            <v>28283</v>
          </cell>
          <cell r="DE32">
            <v>25</v>
          </cell>
          <cell r="DF32">
            <v>19063</v>
          </cell>
          <cell r="DG32">
            <v>9</v>
          </cell>
          <cell r="DH32">
            <v>22162</v>
          </cell>
          <cell r="DI32">
            <v>8</v>
          </cell>
          <cell r="DJ32">
            <v>3679</v>
          </cell>
          <cell r="DK32">
            <v>11</v>
          </cell>
          <cell r="DL32">
            <v>7369</v>
          </cell>
          <cell r="DM32">
            <v>10</v>
          </cell>
          <cell r="DN32">
            <v>2004</v>
          </cell>
          <cell r="DO32">
            <v>5</v>
          </cell>
          <cell r="DP32">
            <v>3916</v>
          </cell>
          <cell r="DQ32">
            <v>4</v>
          </cell>
          <cell r="DR32">
            <v>26525</v>
          </cell>
          <cell r="DS32">
            <v>5</v>
          </cell>
          <cell r="DU32">
            <v>3517.2</v>
          </cell>
          <cell r="DV32">
            <v>7.2999999999997272</v>
          </cell>
          <cell r="DW32">
            <v>8528.2999999999993</v>
          </cell>
          <cell r="DX32">
            <v>5.5</v>
          </cell>
          <cell r="DY32">
            <v>2657.6</v>
          </cell>
          <cell r="DZ32">
            <v>5.4000000000000909</v>
          </cell>
          <cell r="EA32">
            <v>2789.3</v>
          </cell>
          <cell r="EB32">
            <v>4.9000000000000909</v>
          </cell>
          <cell r="EC32">
            <v>898333</v>
          </cell>
          <cell r="ED32">
            <v>429</v>
          </cell>
          <cell r="EG32">
            <v>183363.4</v>
          </cell>
          <cell r="EH32">
            <v>128.5</v>
          </cell>
          <cell r="EJ32">
            <v>10543700</v>
          </cell>
          <cell r="EK32">
            <v>1100</v>
          </cell>
          <cell r="EL32">
            <v>838940</v>
          </cell>
          <cell r="EM32">
            <v>180</v>
          </cell>
          <cell r="EN32">
            <v>6441900</v>
          </cell>
          <cell r="EO32">
            <v>400</v>
          </cell>
          <cell r="EP32">
            <v>2266300</v>
          </cell>
          <cell r="EQ32">
            <v>200</v>
          </cell>
          <cell r="ER32">
            <v>1025280</v>
          </cell>
          <cell r="ES32">
            <v>520</v>
          </cell>
          <cell r="ET32">
            <v>14404500</v>
          </cell>
          <cell r="EU32">
            <v>400</v>
          </cell>
          <cell r="EW32">
            <v>38187</v>
          </cell>
          <cell r="EX32">
            <v>13</v>
          </cell>
          <cell r="EY32">
            <v>33089</v>
          </cell>
          <cell r="EZ32">
            <v>10</v>
          </cell>
          <cell r="FA32">
            <v>4174</v>
          </cell>
          <cell r="FB32">
            <v>10</v>
          </cell>
          <cell r="FC32">
            <v>55006</v>
          </cell>
          <cell r="FD32">
            <v>18</v>
          </cell>
          <cell r="FE32">
            <v>39214</v>
          </cell>
          <cell r="FF32">
            <v>22</v>
          </cell>
        </row>
        <row r="33">
          <cell r="B33">
            <v>0.59</v>
          </cell>
          <cell r="E33">
            <v>954139</v>
          </cell>
          <cell r="F33">
            <v>662</v>
          </cell>
          <cell r="G33">
            <v>466</v>
          </cell>
          <cell r="H33">
            <v>111267</v>
          </cell>
          <cell r="I33">
            <v>349</v>
          </cell>
          <cell r="J33">
            <v>405</v>
          </cell>
          <cell r="K33">
            <v>164625</v>
          </cell>
          <cell r="L33">
            <v>0</v>
          </cell>
          <cell r="N33">
            <v>826349</v>
          </cell>
          <cell r="O33">
            <v>363</v>
          </cell>
          <cell r="Q33">
            <v>193740</v>
          </cell>
          <cell r="R33">
            <v>338</v>
          </cell>
          <cell r="S33">
            <v>56604.47</v>
          </cell>
          <cell r="T33">
            <v>53.270000000004075</v>
          </cell>
          <cell r="U33">
            <v>10</v>
          </cell>
          <cell r="V33">
            <v>4382</v>
          </cell>
          <cell r="W33">
            <v>7</v>
          </cell>
          <cell r="AC33">
            <v>7289194.0800000001</v>
          </cell>
          <cell r="AD33">
            <v>2728.320000000298</v>
          </cell>
          <cell r="AF33">
            <v>13969242</v>
          </cell>
          <cell r="AG33">
            <v>4774.5600000005215</v>
          </cell>
          <cell r="AI33">
            <v>13841498.16</v>
          </cell>
          <cell r="AJ33">
            <v>146.16000000014901</v>
          </cell>
          <cell r="AL33">
            <v>16787499.119999997</v>
          </cell>
          <cell r="AM33">
            <v>6820.7999999970198</v>
          </cell>
          <cell r="AO33">
            <v>17278889.039999999</v>
          </cell>
          <cell r="AP33">
            <v>0</v>
          </cell>
          <cell r="AR33">
            <v>15746206.559999999</v>
          </cell>
          <cell r="AS33">
            <v>5651.519999999553</v>
          </cell>
          <cell r="AU33">
            <v>13373640</v>
          </cell>
          <cell r="AV33">
            <v>3800.160000000149</v>
          </cell>
          <cell r="AX33">
            <v>12859205.52</v>
          </cell>
          <cell r="AY33">
            <v>4189.9199999999255</v>
          </cell>
          <cell r="BA33">
            <v>10237241.280000001</v>
          </cell>
          <cell r="BB33">
            <v>3069.3600000012666</v>
          </cell>
          <cell r="BD33">
            <v>15912828.959999999</v>
          </cell>
          <cell r="BE33">
            <v>4969.4399999994785</v>
          </cell>
          <cell r="BK33">
            <v>68689200</v>
          </cell>
          <cell r="BL33">
            <v>0</v>
          </cell>
          <cell r="BN33">
            <v>70817900</v>
          </cell>
          <cell r="BO33">
            <v>27300</v>
          </cell>
          <cell r="BQ33">
            <v>65863100</v>
          </cell>
          <cell r="BR33">
            <v>0</v>
          </cell>
          <cell r="BT33">
            <v>7976980</v>
          </cell>
          <cell r="BU33">
            <v>4880</v>
          </cell>
          <cell r="BW33">
            <v>0.59</v>
          </cell>
          <cell r="BX33">
            <v>5.0000000000000044E-2</v>
          </cell>
          <cell r="BZ33">
            <v>57991</v>
          </cell>
          <cell r="CA33">
            <v>15</v>
          </cell>
          <cell r="CB33">
            <v>49442</v>
          </cell>
          <cell r="CC33">
            <v>18</v>
          </cell>
          <cell r="CD33">
            <v>16949</v>
          </cell>
          <cell r="CE33">
            <v>5</v>
          </cell>
          <cell r="CF33">
            <v>22581</v>
          </cell>
          <cell r="CG33">
            <v>12</v>
          </cell>
          <cell r="CH33">
            <v>24607</v>
          </cell>
          <cell r="CI33">
            <v>15</v>
          </cell>
          <cell r="CJ33">
            <v>54542</v>
          </cell>
          <cell r="CK33">
            <v>21</v>
          </cell>
          <cell r="CL33">
            <v>239011</v>
          </cell>
          <cell r="CM33">
            <v>109</v>
          </cell>
          <cell r="CO33">
            <v>185453</v>
          </cell>
          <cell r="CP33">
            <v>113</v>
          </cell>
          <cell r="CR33">
            <v>332479</v>
          </cell>
          <cell r="CS33">
            <v>315</v>
          </cell>
          <cell r="CU33">
            <v>631059</v>
          </cell>
          <cell r="CV33">
            <v>257</v>
          </cell>
          <cell r="CX33">
            <v>6791</v>
          </cell>
          <cell r="CY33">
            <v>6</v>
          </cell>
          <cell r="CZ33">
            <v>4255</v>
          </cell>
          <cell r="DA33">
            <v>4</v>
          </cell>
          <cell r="DB33">
            <v>27675</v>
          </cell>
          <cell r="DC33">
            <v>15</v>
          </cell>
          <cell r="DD33">
            <v>28299</v>
          </cell>
          <cell r="DE33">
            <v>16</v>
          </cell>
          <cell r="DF33">
            <v>19072</v>
          </cell>
          <cell r="DG33">
            <v>9</v>
          </cell>
          <cell r="DH33">
            <v>22170</v>
          </cell>
          <cell r="DI33">
            <v>8</v>
          </cell>
          <cell r="DJ33">
            <v>3683</v>
          </cell>
          <cell r="DK33">
            <v>4</v>
          </cell>
          <cell r="DL33">
            <v>7381</v>
          </cell>
          <cell r="DM33">
            <v>12</v>
          </cell>
          <cell r="DN33">
            <v>2008</v>
          </cell>
          <cell r="DO33">
            <v>4</v>
          </cell>
          <cell r="DP33">
            <v>3922</v>
          </cell>
          <cell r="DQ33">
            <v>6</v>
          </cell>
          <cell r="DR33">
            <v>26533</v>
          </cell>
          <cell r="DS33">
            <v>8</v>
          </cell>
          <cell r="DU33">
            <v>3525.8</v>
          </cell>
          <cell r="DV33">
            <v>8.6000000000003638</v>
          </cell>
          <cell r="DW33">
            <v>8533.9</v>
          </cell>
          <cell r="DX33">
            <v>5.6000000000003638</v>
          </cell>
          <cell r="DY33">
            <v>2664.1</v>
          </cell>
          <cell r="DZ33">
            <v>6.5</v>
          </cell>
          <cell r="EA33">
            <v>2794.3</v>
          </cell>
          <cell r="EB33">
            <v>5</v>
          </cell>
          <cell r="EC33">
            <v>898828</v>
          </cell>
          <cell r="ED33">
            <v>495</v>
          </cell>
          <cell r="EG33">
            <v>183512.6</v>
          </cell>
          <cell r="EH33">
            <v>149.20000000001164</v>
          </cell>
          <cell r="EJ33">
            <v>10545100</v>
          </cell>
          <cell r="EK33">
            <v>1400</v>
          </cell>
          <cell r="EL33">
            <v>839160</v>
          </cell>
          <cell r="EM33">
            <v>220</v>
          </cell>
          <cell r="EN33">
            <v>6442500</v>
          </cell>
          <cell r="EO33">
            <v>600</v>
          </cell>
          <cell r="EP33">
            <v>2266500</v>
          </cell>
          <cell r="EQ33">
            <v>200</v>
          </cell>
          <cell r="ER33">
            <v>1025880</v>
          </cell>
          <cell r="ES33">
            <v>600</v>
          </cell>
          <cell r="ET33">
            <v>14404500</v>
          </cell>
          <cell r="EU33">
            <v>0</v>
          </cell>
          <cell r="EW33">
            <v>38200</v>
          </cell>
          <cell r="EX33">
            <v>13</v>
          </cell>
          <cell r="EY33">
            <v>33099</v>
          </cell>
          <cell r="EZ33">
            <v>10</v>
          </cell>
          <cell r="FA33">
            <v>4185</v>
          </cell>
          <cell r="FB33">
            <v>11</v>
          </cell>
          <cell r="FC33">
            <v>55023</v>
          </cell>
          <cell r="FD33">
            <v>17</v>
          </cell>
          <cell r="FE33">
            <v>39244</v>
          </cell>
          <cell r="FF33">
            <v>30</v>
          </cell>
        </row>
        <row r="34">
          <cell r="F34">
            <v>-954139</v>
          </cell>
          <cell r="G34">
            <v>448</v>
          </cell>
          <cell r="I34">
            <v>-111267</v>
          </cell>
          <cell r="J34">
            <v>414</v>
          </cell>
          <cell r="L34">
            <v>-164625</v>
          </cell>
          <cell r="O34">
            <v>-826349</v>
          </cell>
          <cell r="R34">
            <v>-193740</v>
          </cell>
          <cell r="T34">
            <v>-56604.47</v>
          </cell>
          <cell r="U34">
            <v>12</v>
          </cell>
          <cell r="W34">
            <v>-4382</v>
          </cell>
          <cell r="AD34">
            <v>-7289194.0800000001</v>
          </cell>
          <cell r="AG34">
            <v>-13969242</v>
          </cell>
          <cell r="AJ34">
            <v>-13841498.16</v>
          </cell>
          <cell r="AM34">
            <v>-16787499.119999997</v>
          </cell>
          <cell r="AP34">
            <v>-17278889.039999999</v>
          </cell>
          <cell r="AS34">
            <v>-15746206.559999999</v>
          </cell>
          <cell r="AV34">
            <v>-13373640</v>
          </cell>
          <cell r="AY34">
            <v>-12859205.52</v>
          </cell>
          <cell r="BB34">
            <v>-10237241.280000001</v>
          </cell>
          <cell r="BE34">
            <v>-15912828.959999999</v>
          </cell>
          <cell r="BL34">
            <v>-68689200</v>
          </cell>
          <cell r="BO34">
            <v>-70817900</v>
          </cell>
          <cell r="BR34">
            <v>-65863100</v>
          </cell>
          <cell r="BU34">
            <v>-7976980</v>
          </cell>
          <cell r="BX34">
            <v>0.59</v>
          </cell>
          <cell r="CA34">
            <v>-57991</v>
          </cell>
          <cell r="CC34">
            <v>-49442</v>
          </cell>
          <cell r="CE34">
            <v>-16949</v>
          </cell>
          <cell r="CG34">
            <v>-22581</v>
          </cell>
          <cell r="CI34">
            <v>-24607</v>
          </cell>
          <cell r="CK34">
            <v>-54542</v>
          </cell>
          <cell r="CM34">
            <v>-239011</v>
          </cell>
          <cell r="CP34">
            <v>-185453</v>
          </cell>
          <cell r="CS34">
            <v>-332479</v>
          </cell>
          <cell r="CV34">
            <v>-631059</v>
          </cell>
          <cell r="CY34">
            <v>-6791</v>
          </cell>
          <cell r="DA34">
            <v>-4255</v>
          </cell>
          <cell r="DC34">
            <v>-27675</v>
          </cell>
          <cell r="DE34">
            <v>-28299</v>
          </cell>
          <cell r="DG34">
            <v>-19072</v>
          </cell>
          <cell r="DI34">
            <v>-22170</v>
          </cell>
          <cell r="DK34">
            <v>-3683</v>
          </cell>
          <cell r="DM34">
            <v>-7381</v>
          </cell>
          <cell r="DO34">
            <v>-2008</v>
          </cell>
          <cell r="DQ34">
            <v>-3922</v>
          </cell>
          <cell r="DS34">
            <v>-26533</v>
          </cell>
          <cell r="DV34">
            <v>-3525.8</v>
          </cell>
          <cell r="DX34">
            <v>-8533.9</v>
          </cell>
          <cell r="DZ34">
            <v>-2664.1</v>
          </cell>
          <cell r="EB34">
            <v>-2794.3</v>
          </cell>
          <cell r="ED34">
            <v>-898828</v>
          </cell>
          <cell r="EH34">
            <v>-183512.6</v>
          </cell>
          <cell r="EK34">
            <v>-10545100</v>
          </cell>
          <cell r="EM34">
            <v>-839160</v>
          </cell>
          <cell r="EO34">
            <v>-6442500</v>
          </cell>
          <cell r="EQ34">
            <v>-2266500</v>
          </cell>
          <cell r="ES34">
            <v>-1025880</v>
          </cell>
          <cell r="EU34">
            <v>-14404500</v>
          </cell>
          <cell r="EX34">
            <v>-38200</v>
          </cell>
          <cell r="EZ34">
            <v>-33099</v>
          </cell>
          <cell r="FB34">
            <v>-4185</v>
          </cell>
          <cell r="FD34">
            <v>-55023</v>
          </cell>
          <cell r="FF34">
            <v>-39244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9" sqref="I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1"/>
        <v>3.6730769230769229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1"/>
        <v>3.6730769230769229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1"/>
        <v>3.6730769230769229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1"/>
        <v>3.6730769230769229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42191.52000000421</v>
      </c>
      <c r="F23">
        <v>0.44447999999999999</v>
      </c>
      <c r="G23" s="3">
        <f>Submetering!Z23+Submetering!AA23+Submetering!AB23</f>
        <v>1358.9099999999999</v>
      </c>
      <c r="H23" s="238">
        <f t="shared" si="1"/>
        <v>3.6730769230769229</v>
      </c>
      <c r="I23" s="3">
        <f>Submetering!G23</f>
        <v>687</v>
      </c>
      <c r="J23">
        <v>13.83</v>
      </c>
      <c r="K23" s="3">
        <f>Submetering!I23</f>
        <v>215</v>
      </c>
      <c r="L23">
        <v>1.2</v>
      </c>
      <c r="M23" s="238">
        <f>Submetering!E23</f>
        <v>127.98</v>
      </c>
      <c r="N23">
        <f>Submetering!F23</f>
        <v>235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31375.679999996908</v>
      </c>
      <c r="F24">
        <v>0.44447999999999999</v>
      </c>
      <c r="G24" s="3">
        <f>Submetering!Z24+Submetering!AA24+Submetering!AB24</f>
        <v>967.68</v>
      </c>
      <c r="H24" s="238">
        <f t="shared" si="1"/>
        <v>3.6730769230769229</v>
      </c>
      <c r="I24" s="3">
        <f>Submetering!G24</f>
        <v>443</v>
      </c>
      <c r="J24">
        <v>13.83</v>
      </c>
      <c r="K24" s="3">
        <f>Submetering!I24</f>
        <v>118</v>
      </c>
      <c r="L24">
        <v>1.2</v>
      </c>
      <c r="M24" s="238">
        <f>Submetering!E24</f>
        <v>116.13</v>
      </c>
      <c r="N24">
        <f>Submetering!F24</f>
        <v>213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36150.239999998361</v>
      </c>
      <c r="F25">
        <v>0.44447999999999999</v>
      </c>
      <c r="G25" s="3">
        <f>Submetering!Z25+Submetering!AA25+Submetering!AB25</f>
        <v>1014.9300000000001</v>
      </c>
      <c r="H25" s="238">
        <f t="shared" si="1"/>
        <v>3.6730769230769229</v>
      </c>
      <c r="I25" s="3">
        <f>Submetering!G25</f>
        <v>662</v>
      </c>
      <c r="J25">
        <v>13.83</v>
      </c>
      <c r="K25" s="3">
        <f>Submetering!I25</f>
        <v>363</v>
      </c>
      <c r="L25">
        <v>1.2</v>
      </c>
      <c r="M25" s="238">
        <f>Submetering!E25</f>
        <v>139.82999999999998</v>
      </c>
      <c r="N25">
        <f>Submetering!F25</f>
        <v>249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254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F30" sqref="BF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2022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</v>
      </c>
      <c r="D3">
        <v>2022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2022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2022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2022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2022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2022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2022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2022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2022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2022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2022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2022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2022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2022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2022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2022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2022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2022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2022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2022</v>
      </c>
      <c r="E23" s="78">
        <f>237*0.54</f>
        <v>127.98</v>
      </c>
      <c r="F23" s="79">
        <f>215+20</f>
        <v>235</v>
      </c>
      <c r="G23" s="3">
        <f>'DJB Daily Readings'!C31-'DJB Daily Readings'!C30</f>
        <v>687</v>
      </c>
      <c r="H23" s="3">
        <f>'DJB Daily Readings'!F31-'DJB Daily Readings'!F30</f>
        <v>470</v>
      </c>
      <c r="I23" s="3">
        <f>'DJB Daily Readings'!K31-'DJB Daily Readings'!K30</f>
        <v>215</v>
      </c>
      <c r="J23" s="3">
        <f>'DJB Daily Readings'!K31-'DJB Daily Readings'!K30</f>
        <v>215</v>
      </c>
      <c r="K23" s="3">
        <f>'DJB Daily Readings'!O31-'DJB Daily Readings'!O30</f>
        <v>52.430000000000291</v>
      </c>
      <c r="L23" s="3">
        <f>'DJB Daily Readings'!R31-'DJB Daily Readings'!R30</f>
        <v>0</v>
      </c>
      <c r="M23" s="3">
        <f>'DJB Daily Readings'!U31-'DJB Daily Readings'!U30</f>
        <v>3361.6800000006333</v>
      </c>
      <c r="N23" s="3">
        <f>'DJB Daily Readings'!X31-'DJB Daily Readings'!X30</f>
        <v>5310.480000000447</v>
      </c>
      <c r="O23" s="3">
        <f>'DJB Daily Readings'!AA31-'DJB Daily Readings'!AA30</f>
        <v>146.16000000014901</v>
      </c>
      <c r="P23" s="3">
        <f>'DJB Daily Readings'!AD31-'DJB Daily Readings'!AD30</f>
        <v>8477.2800000011921</v>
      </c>
      <c r="Q23" s="3">
        <f>'DJB Daily Readings'!AG31-'DJB Daily Readings'!AG30</f>
        <v>48.719999998807907</v>
      </c>
      <c r="R23" s="3">
        <f>'DJB Daily Readings'!AJ31-'DJB Daily Readings'!AJ30</f>
        <v>6090</v>
      </c>
      <c r="S23" s="3">
        <f>'DJB Daily Readings'!AM31-'DJB Daily Readings'!AM30</f>
        <v>4433.519999999553</v>
      </c>
      <c r="T23" s="3">
        <f>'DJB Daily Readings'!AP31-'DJB Daily Readings'!AP30</f>
        <v>4920.7200000025332</v>
      </c>
      <c r="U23" s="3">
        <f>'DJB Daily Readings'!AS31-'DJB Daily Readings'!AS30</f>
        <v>3507.8400000017136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32300</v>
      </c>
      <c r="Y23" s="3">
        <f>'DJB Daily Readings'!BF31-'DJB Daily Readings'!BF30</f>
        <v>0</v>
      </c>
      <c r="Z23" s="3">
        <f>('DJB Daily Readings'!CK31-'DJB Daily Readings'!CK30)*1.89</f>
        <v>228.69</v>
      </c>
      <c r="AA23" s="3">
        <f>('DJB Daily Readings'!CN31-'DJB Daily Readings'!CN30)*1.89</f>
        <v>245.7</v>
      </c>
      <c r="AB23" s="3">
        <f>('DJB Daily Readings'!CQ31-'DJB Daily Readings'!CQ30)*1.89</f>
        <v>884.52</v>
      </c>
      <c r="AC23" s="3">
        <f>'DJB Daily Readings'!CT31-'DJB Daily Readings'!CT30</f>
        <v>290</v>
      </c>
      <c r="AD23" s="84">
        <f>('DJB Daily Readings'!BY31-'DJB Daily Readings'!BY30)*1.89</f>
        <v>39.69</v>
      </c>
      <c r="AE23" s="84">
        <f>('DJB Daily Readings'!CA31-'DJB Daily Readings'!CA30)*1.89</f>
        <v>39.69</v>
      </c>
      <c r="AF23" s="84">
        <f>('DJB Daily Readings'!CC31-'DJB Daily Readings'!CC30)*1.89</f>
        <v>11.34</v>
      </c>
      <c r="AG23" s="84">
        <f>('DJB Daily Readings'!CE31-'DJB Daily Readings'!CE30)*1.89</f>
        <v>26.459999999999997</v>
      </c>
      <c r="AH23" s="84">
        <f>('DJB Daily Readings'!CG31-'DJB Daily Readings'!CG30)*1.89</f>
        <v>30.24</v>
      </c>
      <c r="AI23" s="84">
        <f>('DJB Daily Readings'!CI31-'DJB Daily Readings'!CI30)*1.89</f>
        <v>47.25</v>
      </c>
      <c r="AJ23" s="81">
        <f>'DJB Daily Readings'!CY31-'DJB Daily Readings'!CY30</f>
        <v>9</v>
      </c>
      <c r="AK23" s="81">
        <f>'DJB Daily Readings'!CW31-'DJB Daily Readings'!CW30</f>
        <v>10</v>
      </c>
      <c r="AL23" s="82">
        <f>'DJB Daily Readings'!DC31-'DJB Daily Readings'!DC30</f>
        <v>9</v>
      </c>
      <c r="AM23" s="82">
        <f>'DJB Daily Readings'!DA31-'DJB Daily Readings'!DA30</f>
        <v>11</v>
      </c>
      <c r="AN23" s="82">
        <f>'DJB Daily Readings'!DG31-'DJB Daily Readings'!DG30</f>
        <v>7</v>
      </c>
      <c r="AO23" s="82">
        <f>'DJB Daily Readings'!DE31-'DJB Daily Readings'!DE30</f>
        <v>8</v>
      </c>
      <c r="AP23" s="82">
        <f>'DJB Daily Readings'!DK31-'DJB Daily Readings'!DK30</f>
        <v>18</v>
      </c>
      <c r="AQ23" s="82">
        <f>'DJB Daily Readings'!DI31-'DJB Daily Readings'!DI30</f>
        <v>11</v>
      </c>
      <c r="AR23" s="82">
        <f>'DJB Daily Readings'!DO31-'DJB Daily Readings'!DO30</f>
        <v>10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11.200000000000273</v>
      </c>
      <c r="AW23" s="82">
        <f>'DJB Daily Readings'!DX31-'DJB Daily Readings'!DX30</f>
        <v>7.5999999999999091</v>
      </c>
      <c r="AX23" s="82">
        <f>'DJB Daily Readings'!DZ31-'DJB Daily Readings'!DZ30</f>
        <v>7.0999999999999091</v>
      </c>
      <c r="AY23" s="82">
        <f>'DJB Daily Readings'!EB31-'DJB Daily Readings'!EB30</f>
        <v>643</v>
      </c>
      <c r="AZ23" s="82">
        <f>'DJB Daily Readings'!ED31-'DJB Daily Readings'!ED30</f>
        <v>185.39999999999418</v>
      </c>
      <c r="BA23" s="82">
        <f>'DJB Daily Readings'!EG31-'DJB Daily Readings'!EG30</f>
        <v>1700</v>
      </c>
      <c r="BB23" s="82">
        <f>'DJB Daily Readings'!EI31-'DJB Daily Readings'!EI30</f>
        <v>260</v>
      </c>
      <c r="BC23" s="82">
        <f>'DJB Daily Readings'!EQ31-'DJB Daily Readings'!EQ30</f>
        <v>1400</v>
      </c>
      <c r="BD23" s="82">
        <f>'DJB Daily Readings'!EK31-'DJB Daily Readings'!EK30</f>
        <v>700</v>
      </c>
      <c r="BE23" s="82">
        <f>'DJB Daily Readings'!EM31-'DJB Daily Readings'!EM30</f>
        <v>300</v>
      </c>
      <c r="BF23" s="82">
        <f>'DJB Daily Readings'!EO31-'DJB Daily Readings'!EO30</f>
        <v>710</v>
      </c>
      <c r="BG23" s="82">
        <f>('DJB Daily Readings'!ET31-'DJB Daily Readings'!ET30)*1.89</f>
        <v>30.24</v>
      </c>
      <c r="BH23" s="82">
        <f>('DJB Daily Readings'!EV31-'DJB Daily Readings'!EV30)*1.89</f>
        <v>30.24</v>
      </c>
      <c r="BI23" s="82">
        <f>('DJB Daily Readings'!EZ31-'DJB Daily Readings'!EZ30)*1.89</f>
        <v>39.69</v>
      </c>
      <c r="BJ23" s="82">
        <f>('DJB Daily Readings'!EX31-'DJB Daily Readings'!EX30)*1.89</f>
        <v>32.129999999999995</v>
      </c>
      <c r="BK23" s="82">
        <f>('DJB Daily Readings'!FB31-'DJB Daily Readings'!FB30)*1.89</f>
        <v>71.819999999999993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2022</v>
      </c>
      <c r="E24" s="78">
        <f>237*0.49</f>
        <v>116.13</v>
      </c>
      <c r="F24" s="79">
        <f>195+18</f>
        <v>213</v>
      </c>
      <c r="G24" s="3">
        <f>'DJB Daily Readings'!C32-'DJB Daily Readings'!C31</f>
        <v>443</v>
      </c>
      <c r="H24" s="3">
        <f>'DJB Daily Readings'!F32-'DJB Daily Readings'!F31</f>
        <v>318</v>
      </c>
      <c r="I24" s="3">
        <f>'DJB Daily Readings'!K32-'DJB Daily Readings'!K31</f>
        <v>118</v>
      </c>
      <c r="J24" s="3">
        <f>'DJB Daily Readings'!K32-'DJB Daily Readings'!K31</f>
        <v>118</v>
      </c>
      <c r="K24" s="3">
        <f>'DJB Daily Readings'!O32-'DJB Daily Readings'!O31</f>
        <v>58.549999999995634</v>
      </c>
      <c r="L24" s="3">
        <f>'DJB Daily Readings'!R32-'DJB Daily Readings'!R31</f>
        <v>3</v>
      </c>
      <c r="M24" s="3">
        <f>'DJB Daily Readings'!U32-'DJB Daily Readings'!U31</f>
        <v>2338.5599999995902</v>
      </c>
      <c r="N24" s="3">
        <f>'DJB Daily Readings'!X32-'DJB Daily Readings'!X31</f>
        <v>4189.9199999999255</v>
      </c>
      <c r="O24" s="3">
        <f>'DJB Daily Readings'!AA32-'DJB Daily Readings'!AA31</f>
        <v>146.16000000014901</v>
      </c>
      <c r="P24" s="3">
        <f>'DJB Daily Readings'!AD32-'DJB Daily Readings'!AD31</f>
        <v>5992.5599999986589</v>
      </c>
      <c r="Q24" s="3">
        <f>'DJB Daily Readings'!AG32-'DJB Daily Readings'!AG31</f>
        <v>0</v>
      </c>
      <c r="R24" s="3">
        <f>'DJB Daily Readings'!AJ32-'DJB Daily Readings'!AJ31</f>
        <v>4872</v>
      </c>
      <c r="S24" s="3">
        <f>'DJB Daily Readings'!AM32-'DJB Daily Readings'!AM31</f>
        <v>3215.5200000014156</v>
      </c>
      <c r="T24" s="3">
        <f>'DJB Daily Readings'!AP32-'DJB Daily Readings'!AP31</f>
        <v>3556.5599999986589</v>
      </c>
      <c r="U24" s="3">
        <f>'DJB Daily Readings'!AS32-'DJB Daily Readings'!AS31</f>
        <v>2630.8799999989569</v>
      </c>
      <c r="V24" s="3">
        <f>'DJB Daily Readings'!AV32-'DJB Daily Readings'!AV31</f>
        <v>4433.519999999553</v>
      </c>
      <c r="W24" s="3">
        <f>'DJB Daily Readings'!AZ32-'DJB Daily Readings'!AZ31</f>
        <v>0</v>
      </c>
      <c r="X24" s="3">
        <f>'DJB Daily Readings'!BC32-'DJB Daily Readings'!BC31</f>
        <v>28000</v>
      </c>
      <c r="Y24" s="3">
        <f>'DJB Daily Readings'!BF32-'DJB Daily Readings'!BF31</f>
        <v>0</v>
      </c>
      <c r="Z24" s="3">
        <f>('DJB Daily Readings'!CK32-'DJB Daily Readings'!CK31)*1.89</f>
        <v>179.54999999999998</v>
      </c>
      <c r="AA24" s="3">
        <f>('DJB Daily Readings'!CN32-'DJB Daily Readings'!CN31)*1.89</f>
        <v>204.11999999999998</v>
      </c>
      <c r="AB24" s="3">
        <f>('DJB Daily Readings'!CQ32-'DJB Daily Readings'!CQ31)*1.89</f>
        <v>584.01</v>
      </c>
      <c r="AC24" s="3">
        <f>'DJB Daily Readings'!CT32-'DJB Daily Readings'!CT31</f>
        <v>226</v>
      </c>
      <c r="AD24" s="84">
        <f>('DJB Daily Readings'!BY32-'DJB Daily Readings'!BY31)*1.89</f>
        <v>22.68</v>
      </c>
      <c r="AE24" s="84">
        <f>('DJB Daily Readings'!CA32-'DJB Daily Readings'!CA31)*1.89</f>
        <v>32.129999999999995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35.909999999999997</v>
      </c>
      <c r="AJ24" s="81">
        <f>'DJB Daily Readings'!CY32-'DJB Daily Readings'!CY31</f>
        <v>2</v>
      </c>
      <c r="AK24" s="81">
        <f>'DJB Daily Readings'!CW32-'DJB Daily Readings'!CW31</f>
        <v>8</v>
      </c>
      <c r="AL24" s="82">
        <f>'DJB Daily Readings'!DC32-'DJB Daily Readings'!DC31</f>
        <v>25</v>
      </c>
      <c r="AM24" s="82">
        <f>'DJB Daily Readings'!DA32-'DJB Daily Readings'!DA31</f>
        <v>21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10</v>
      </c>
      <c r="AQ24" s="82">
        <f>'DJB Daily Readings'!DI32-'DJB Daily Readings'!DI31</f>
        <v>11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5</v>
      </c>
      <c r="AU24" s="82">
        <f>'DJB Daily Readings'!DT32-'DJB Daily Readings'!DT31</f>
        <v>7.2999999999997272</v>
      </c>
      <c r="AW24" s="82">
        <f>'DJB Daily Readings'!DX32-'DJB Daily Readings'!DX31</f>
        <v>5.4000000000000909</v>
      </c>
      <c r="AX24" s="82">
        <f>'DJB Daily Readings'!DZ32-'DJB Daily Readings'!DZ31</f>
        <v>4.9000000000000909</v>
      </c>
      <c r="AY24" s="82">
        <f>'DJB Daily Readings'!EB32-'DJB Daily Readings'!EB31</f>
        <v>429</v>
      </c>
      <c r="AZ24" s="82">
        <f>'DJB Daily Readings'!ED32-'DJB Daily Readings'!ED31</f>
        <v>128.5</v>
      </c>
      <c r="BA24" s="82">
        <f>'DJB Daily Readings'!EG32-'DJB Daily Readings'!EG31</f>
        <v>1100</v>
      </c>
      <c r="BB24" s="82">
        <f>'DJB Daily Readings'!EI32-'DJB Daily Readings'!EI31</f>
        <v>180</v>
      </c>
      <c r="BC24" s="82">
        <f>'DJB Daily Readings'!EQ32-'DJB Daily Readings'!EQ31</f>
        <v>400</v>
      </c>
      <c r="BD24" s="82">
        <f>'DJB Daily Readings'!EK32-'DJB Daily Readings'!EK31</f>
        <v>400</v>
      </c>
      <c r="BE24" s="82">
        <f>'DJB Daily Readings'!EM32-'DJB Daily Readings'!EM31</f>
        <v>200</v>
      </c>
      <c r="BF24" s="82">
        <f>'DJB Daily Readings'!EO32-'DJB Daily Readings'!EO31</f>
        <v>520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34.019999999999996</v>
      </c>
      <c r="BJ24" s="82">
        <f>('DJB Daily Readings'!EX32-'DJB Daily Readings'!EX31)*1.89</f>
        <v>18.899999999999999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2022</v>
      </c>
      <c r="E25" s="78">
        <f>237*0.59</f>
        <v>139.82999999999998</v>
      </c>
      <c r="F25" s="79">
        <f>221+28</f>
        <v>249</v>
      </c>
      <c r="G25" s="3">
        <f>'DJB Daily Readings'!C33-'DJB Daily Readings'!C32</f>
        <v>662</v>
      </c>
      <c r="H25" s="3">
        <f>'DJB Daily Readings'!F33-'DJB Daily Readings'!F32</f>
        <v>349</v>
      </c>
      <c r="I25" s="3">
        <f>'DJB Daily Readings'!K33-'DJB Daily Readings'!K32</f>
        <v>363</v>
      </c>
      <c r="J25" s="3">
        <f>'DJB Daily Readings'!K33-'DJB Daily Readings'!K32</f>
        <v>363</v>
      </c>
      <c r="K25" s="3">
        <f>'DJB Daily Readings'!O33-'DJB Daily Readings'!O32</f>
        <v>53.270000000004075</v>
      </c>
      <c r="L25" s="3">
        <f>'DJB Daily Readings'!R33-'DJB Daily Readings'!R32</f>
        <v>7</v>
      </c>
      <c r="M25" s="3">
        <f>'DJB Daily Readings'!U33-'DJB Daily Readings'!U32</f>
        <v>2728.320000000298</v>
      </c>
      <c r="N25" s="3">
        <f>'DJB Daily Readings'!X33-'DJB Daily Readings'!X32</f>
        <v>4774.5600000005215</v>
      </c>
      <c r="O25" s="3">
        <f>'DJB Daily Readings'!AA33-'DJB Daily Readings'!AA32</f>
        <v>146.16000000014901</v>
      </c>
      <c r="P25" s="3">
        <f>'DJB Daily Readings'!AD33-'DJB Daily Readings'!AD32</f>
        <v>6820.7999999970198</v>
      </c>
      <c r="Q25" s="3">
        <f>'DJB Daily Readings'!AG33-'DJB Daily Readings'!AG32</f>
        <v>0</v>
      </c>
      <c r="R25" s="3">
        <f>'DJB Daily Readings'!AJ33-'DJB Daily Readings'!AJ32</f>
        <v>5651.519999999553</v>
      </c>
      <c r="S25" s="3">
        <f>'DJB Daily Readings'!AM33-'DJB Daily Readings'!AM32</f>
        <v>3800.160000000149</v>
      </c>
      <c r="T25" s="3">
        <f>'DJB Daily Readings'!AP33-'DJB Daily Readings'!AP32</f>
        <v>4189.9199999999255</v>
      </c>
      <c r="U25" s="3">
        <f>'DJB Daily Readings'!AS33-'DJB Daily Readings'!AS32</f>
        <v>3069.3600000012666</v>
      </c>
      <c r="V25" s="3">
        <f>'DJB Daily Readings'!AV33-'DJB Daily Readings'!AV32</f>
        <v>4969.4399999994785</v>
      </c>
      <c r="W25" s="3">
        <f>'DJB Daily Readings'!AZ33-'DJB Daily Readings'!AZ32</f>
        <v>0</v>
      </c>
      <c r="X25" s="3">
        <f>'DJB Daily Readings'!BC33-'DJB Daily Readings'!BC32</f>
        <v>27300</v>
      </c>
      <c r="Y25" s="3">
        <f>'DJB Daily Readings'!BF33-'DJB Daily Readings'!BF32</f>
        <v>0</v>
      </c>
      <c r="Z25" s="3">
        <f>('DJB Daily Readings'!CK33-'DJB Daily Readings'!CK32)*1.89</f>
        <v>206.01</v>
      </c>
      <c r="AA25" s="3">
        <f>('DJB Daily Readings'!CN33-'DJB Daily Readings'!CN32)*1.89</f>
        <v>213.57</v>
      </c>
      <c r="AB25" s="3">
        <f>('DJB Daily Readings'!CQ33-'DJB Daily Readings'!CQ32)*1.89</f>
        <v>595.35</v>
      </c>
      <c r="AC25" s="3">
        <f>'DJB Daily Readings'!CT33-'DJB Daily Readings'!CT32</f>
        <v>257</v>
      </c>
      <c r="AD25" s="84">
        <f>('DJB Daily Readings'!BY33-'DJB Daily Readings'!BY32)*1.89</f>
        <v>28.349999999999998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22.68</v>
      </c>
      <c r="AH25" s="84">
        <f>('DJB Daily Readings'!CG33-'DJB Daily Readings'!CG32)*1.89</f>
        <v>28.349999999999998</v>
      </c>
      <c r="AI25" s="84">
        <f>('DJB Daily Readings'!CI33-'DJB Daily Readings'!CI32)*1.89</f>
        <v>39.69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16</v>
      </c>
      <c r="AM25" s="82">
        <f>'DJB Daily Readings'!DA33-'DJB Daily Readings'!DA32</f>
        <v>15</v>
      </c>
      <c r="AN25" s="82">
        <f>'DJB Daily Readings'!DG33-'DJB Daily Readings'!DG32</f>
        <v>8</v>
      </c>
      <c r="AO25" s="82">
        <f>'DJB Daily Readings'!DE33-'DJB Daily Readings'!DE32</f>
        <v>9</v>
      </c>
      <c r="AP25" s="82">
        <f>'DJB Daily Readings'!DK33-'DJB Daily Readings'!DK32</f>
        <v>12</v>
      </c>
      <c r="AQ25" s="82">
        <f>'DJB Daily Readings'!DI33-'DJB Daily Readings'!DI32</f>
        <v>4</v>
      </c>
      <c r="AR25" s="82">
        <f>'DJB Daily Readings'!DO33-'DJB Daily Readings'!DO32</f>
        <v>6</v>
      </c>
      <c r="AS25" s="82">
        <f>'DJB Daily Readings'!DM33-'DJB Daily Readings'!DM32</f>
        <v>4</v>
      </c>
      <c r="AT25" s="82">
        <f>'DJB Daily Readings'!DQ33-'DJB Daily Readings'!DQ32</f>
        <v>8</v>
      </c>
      <c r="AU25" s="82">
        <f>'DJB Daily Readings'!DT33-'DJB Daily Readings'!DT32</f>
        <v>8.6000000000003638</v>
      </c>
      <c r="AW25" s="82">
        <f>'DJB Daily Readings'!DX33-'DJB Daily Readings'!DX32</f>
        <v>6.5</v>
      </c>
      <c r="AX25" s="82">
        <f>'DJB Daily Readings'!DZ33-'DJB Daily Readings'!DZ32</f>
        <v>5</v>
      </c>
      <c r="AY25" s="82">
        <f>'DJB Daily Readings'!EB33-'DJB Daily Readings'!EB32</f>
        <v>495</v>
      </c>
      <c r="AZ25" s="82">
        <f>'DJB Daily Readings'!ED33-'DJB Daily Readings'!ED32</f>
        <v>149.20000000001164</v>
      </c>
      <c r="BA25" s="82">
        <f>'DJB Daily Readings'!EG33-'DJB Daily Readings'!EG32</f>
        <v>1400</v>
      </c>
      <c r="BB25" s="82">
        <f>'DJB Daily Readings'!EI33-'DJB Daily Readings'!EI32</f>
        <v>220</v>
      </c>
      <c r="BC25" s="82">
        <f>'DJB Daily Readings'!EQ33-'DJB Daily Readings'!EQ32</f>
        <v>0</v>
      </c>
      <c r="BD25" s="82">
        <f>'DJB Daily Readings'!EK33-'DJB Daily Readings'!EK32</f>
        <v>600</v>
      </c>
      <c r="BE25" s="82">
        <f>'DJB Daily Readings'!EM33-'DJB Daily Readings'!EM32</f>
        <v>200</v>
      </c>
      <c r="BF25" s="82">
        <f>'DJB Daily Readings'!EO33-'DJB Daily Readings'!EO32</f>
        <v>600</v>
      </c>
      <c r="BG25" s="82">
        <f>('DJB Daily Readings'!ET33-'DJB Daily Readings'!ET32)*1.89</f>
        <v>24.57</v>
      </c>
      <c r="BH25" s="82">
        <f>('DJB Daily Readings'!EV33-'DJB Daily Readings'!EV32)*1.89</f>
        <v>18.899999999999999</v>
      </c>
      <c r="BI25" s="82">
        <f>('DJB Daily Readings'!EZ33-'DJB Daily Readings'!EZ32)*1.89</f>
        <v>32.129999999999995</v>
      </c>
      <c r="BJ25" s="82">
        <f>('DJB Daily Readings'!EX33-'DJB Daily Readings'!EX32)*1.89</f>
        <v>20.79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</v>
      </c>
      <c r="D26">
        <v>2022</v>
      </c>
      <c r="E26" s="78"/>
      <c r="F26" s="79">
        <f>228+26</f>
        <v>254</v>
      </c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</v>
      </c>
      <c r="D31">
        <v>2022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410">
        <f>C10-C9</f>
        <v>627</v>
      </c>
      <c r="E9" s="412">
        <f>'[1]January - 2022'!G9</f>
        <v>568</v>
      </c>
      <c r="F9" s="168">
        <f>'[1]January - 2022'!H9</f>
        <v>100193.47</v>
      </c>
      <c r="G9" s="368">
        <f>F10-F9</f>
        <v>493.56999999999243</v>
      </c>
      <c r="H9" s="412">
        <f>'[1]January - 2022'!J9</f>
        <v>537</v>
      </c>
      <c r="I9" s="264">
        <f>'[1]January - 2022'!K9</f>
        <v>164625</v>
      </c>
      <c r="J9" s="368">
        <f>I10-I9</f>
        <v>0</v>
      </c>
      <c r="K9" s="264">
        <f>'[1]January - 2022'!N9</f>
        <v>822048.6</v>
      </c>
      <c r="L9" s="367">
        <f>K10-K9</f>
        <v>0</v>
      </c>
      <c r="M9" s="264">
        <f>'[1]January - 2022'!Q9</f>
        <v>191270</v>
      </c>
      <c r="N9" s="367">
        <f>M10-M9</f>
        <v>0</v>
      </c>
      <c r="O9" s="264">
        <f>'[1]January - 2022'!S9</f>
        <v>54947.85</v>
      </c>
      <c r="P9" s="368">
        <f>O10-O9</f>
        <v>73.419999999998254</v>
      </c>
      <c r="Q9" s="412">
        <f>'[1]January - 2022'!U9</f>
        <v>17</v>
      </c>
      <c r="R9" s="264">
        <f>'[1]January - 2022'!V9</f>
        <v>4176</v>
      </c>
      <c r="S9" s="414">
        <f>R10-R9</f>
        <v>11</v>
      </c>
      <c r="T9" s="520"/>
      <c r="U9" s="269">
        <f>'[1]January - 2022'!AC9</f>
        <v>7231779.1200000001</v>
      </c>
      <c r="V9" s="416">
        <f>U10-U9</f>
        <v>1922.8799999998882</v>
      </c>
      <c r="W9" s="408">
        <f>'[1]January - 2022'!AD9</f>
        <v>1922.8799999998882</v>
      </c>
      <c r="X9" s="255">
        <f>'[1]January - 2022'!AF9</f>
        <v>13854944.880000001</v>
      </c>
      <c r="Y9" s="368">
        <f>X10-X9</f>
        <v>4774.5599999986589</v>
      </c>
      <c r="Z9" s="408">
        <f>'[1]January - 2022'!AG9</f>
        <v>4774.5599999986589</v>
      </c>
      <c r="AA9" s="255">
        <f>'[1]January - 2022'!AI9</f>
        <v>13761743.52</v>
      </c>
      <c r="AB9" s="368">
        <f>AA10-AA9</f>
        <v>243.59999999962747</v>
      </c>
      <c r="AC9" s="408">
        <f>'[1]January - 2022'!AJ9</f>
        <v>243.59999999962747</v>
      </c>
      <c r="AD9" s="255">
        <f>'[1]January - 2022'!AL9</f>
        <v>16751982.239999998</v>
      </c>
      <c r="AE9" s="368">
        <f>AD10-AD9</f>
        <v>1315.4400000013411</v>
      </c>
      <c r="AF9" s="408">
        <f>'[1]January - 2022'!AM9</f>
        <v>1315.4400000013411</v>
      </c>
      <c r="AG9" s="255">
        <f>'[1]January - 2022'!AO9</f>
        <v>17184031.199999999</v>
      </c>
      <c r="AH9" s="368">
        <f>AG10-AG9</f>
        <v>8818.320000000298</v>
      </c>
      <c r="AI9" s="408">
        <f>'[1]January - 2022'!AP9</f>
        <v>8818.320000000298</v>
      </c>
      <c r="AJ9" s="255">
        <f>'[1]January - 2022'!AR9</f>
        <v>15612567.6</v>
      </c>
      <c r="AK9" s="368">
        <f>AJ10-AJ9</f>
        <v>5066.8800000008196</v>
      </c>
      <c r="AL9" s="408">
        <f>'[1]January - 2022'!AS9</f>
        <v>5066.8800000008196</v>
      </c>
      <c r="AM9" s="255">
        <f>'[1]January - 2022'!AU9</f>
        <v>13275176.880000001</v>
      </c>
      <c r="AN9" s="368">
        <f>AM10-AM9</f>
        <v>3556.5599999986589</v>
      </c>
      <c r="AO9" s="408">
        <f>'[1]January - 2022'!AV9</f>
        <v>3556.5599999986589</v>
      </c>
      <c r="AP9" s="255">
        <f>'[1]January - 2022'!AX9</f>
        <v>12759329.52</v>
      </c>
      <c r="AQ9" s="368">
        <f>AP10-AP9</f>
        <v>4141.1999999992549</v>
      </c>
      <c r="AR9" s="408">
        <f>'[1]January - 2022'!AY9</f>
        <v>4141.1999999992549</v>
      </c>
      <c r="AS9" s="255">
        <f>'[1]January - 2022'!BA9</f>
        <v>10165642.4</v>
      </c>
      <c r="AT9" s="368">
        <f>AS10-AS9</f>
        <v>-604.16000000014901</v>
      </c>
      <c r="AU9" s="408">
        <f>'[1]January - 2022'!BB9</f>
        <v>-604.16000000014901</v>
      </c>
      <c r="AV9" s="255">
        <f>'[1]January - 2022'!BD9</f>
        <v>15785621.039999999</v>
      </c>
      <c r="AW9" s="368">
        <f>AV10-AV9</f>
        <v>5797.679999999702</v>
      </c>
      <c r="AX9" s="489">
        <f>'[1]January - 2022'!BE9</f>
        <v>5797.679999999702</v>
      </c>
      <c r="AY9" s="486"/>
      <c r="AZ9" s="272">
        <f>'[1]January - 2022'!BK9</f>
        <v>68270800</v>
      </c>
      <c r="BA9" s="491">
        <f>AZ10-AZ9</f>
        <v>0</v>
      </c>
      <c r="BB9" s="487">
        <f>'[1]January - 2022'!BL9</f>
        <v>0</v>
      </c>
      <c r="BC9" s="272">
        <f>'[1]January - 2022'!BN9</f>
        <v>70700300</v>
      </c>
      <c r="BD9" s="491">
        <f>BC10-BC9</f>
        <v>0</v>
      </c>
      <c r="BE9" s="487">
        <f>'[1]January - 2022'!BO9</f>
        <v>0</v>
      </c>
      <c r="BF9" s="272">
        <f>'[1]January - 2022'!BQ9</f>
        <v>65479500</v>
      </c>
      <c r="BG9" s="491">
        <f>BF10-BF9</f>
        <v>44400</v>
      </c>
      <c r="BH9" s="487">
        <f>'[1]January - 2022'!BR9</f>
        <v>44400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385">
        <f>BS10-BS9</f>
        <v>6850</v>
      </c>
      <c r="BU9" s="393"/>
      <c r="BV9" s="88">
        <f>'[1]January - 2022'!BW9</f>
        <v>0.6</v>
      </c>
      <c r="BW9" s="387">
        <f>BV10-BV9</f>
        <v>8.0000000000000071E-2</v>
      </c>
      <c r="BX9" s="389">
        <f>'[1]January - 2022'!$BX$9:$BX$10</f>
        <v>-8.0000000000000071E-2</v>
      </c>
      <c r="BY9" s="89">
        <f>'[1]January - 2022'!BZ9</f>
        <v>57522</v>
      </c>
      <c r="BZ9" s="391">
        <f>BY10-BY9</f>
        <v>23</v>
      </c>
      <c r="CA9" s="89">
        <f>'[1]January - 2022'!CB9</f>
        <v>48984</v>
      </c>
      <c r="CB9" s="391">
        <f>CA10-CA9</f>
        <v>20</v>
      </c>
      <c r="CC9" s="89">
        <f>'[1]January - 2022'!CD9</f>
        <v>16823</v>
      </c>
      <c r="CD9" s="391">
        <f>CC10-CC9</f>
        <v>6</v>
      </c>
      <c r="CE9" s="89">
        <f>'[1]January - 2022'!CF9</f>
        <v>22306</v>
      </c>
      <c r="CF9" s="391">
        <f>CE10-CE9</f>
        <v>10</v>
      </c>
      <c r="CG9" s="89">
        <f>'[1]January - 2022'!CH9</f>
        <v>24342</v>
      </c>
      <c r="CH9" s="391">
        <f>CG10-CG9</f>
        <v>8</v>
      </c>
      <c r="CI9" s="89">
        <f>'[1]January - 2022'!CJ9</f>
        <v>53965</v>
      </c>
      <c r="CJ9" s="391">
        <f>CI10-CI9</f>
        <v>26</v>
      </c>
      <c r="CK9" s="89">
        <f>'[1]January - 2022'!CL9</f>
        <v>236532.3</v>
      </c>
      <c r="CL9" s="391">
        <f>CK10-CK9</f>
        <v>104.70000000001164</v>
      </c>
      <c r="CM9" s="405">
        <f>'[1]January - 2022'!CM9</f>
        <v>104.70000000001164</v>
      </c>
      <c r="CN9" s="89">
        <f>'[1]January - 2022'!CO9</f>
        <v>182625.88</v>
      </c>
      <c r="CO9" s="391">
        <f>CN10-CN9</f>
        <v>127.11999999999534</v>
      </c>
      <c r="CP9" s="405">
        <f>'[1]January - 2022'!CP9</f>
        <v>127.11999999999534</v>
      </c>
      <c r="CQ9" s="89">
        <f>'[1]January - 2022'!CR9</f>
        <v>324174.24</v>
      </c>
      <c r="CR9" s="391">
        <f>CQ10-CQ9</f>
        <v>392.76000000000931</v>
      </c>
      <c r="CS9" s="405">
        <f>'[1]January - 2022'!CS9</f>
        <v>392.76000000000931</v>
      </c>
      <c r="CT9" s="89">
        <f>'[1]January - 2022'!CU9</f>
        <v>625387</v>
      </c>
      <c r="CU9" s="467">
        <f>CT10-CT9</f>
        <v>217</v>
      </c>
      <c r="CV9" s="453"/>
      <c r="CW9" s="297">
        <f>'[1]January - 2022'!CX9</f>
        <v>6514</v>
      </c>
      <c r="CX9" s="379">
        <f>CW10-CW9</f>
        <v>53</v>
      </c>
      <c r="CY9" s="298">
        <f>'[1]January - 2022'!CZ9</f>
        <v>4065.47</v>
      </c>
      <c r="CZ9" s="379">
        <f>CY10-CY9</f>
        <v>8.5300000000002001</v>
      </c>
      <c r="DA9" s="298">
        <f>'[1]January - 2022'!DB9</f>
        <v>27211.3</v>
      </c>
      <c r="DB9" s="379">
        <f>DA10-DA9</f>
        <v>24.700000000000728</v>
      </c>
      <c r="DC9" s="298">
        <f>'[1]January - 2022'!DD9</f>
        <v>27868.7</v>
      </c>
      <c r="DD9" s="379">
        <f>DC10-DC9</f>
        <v>17.299999999999272</v>
      </c>
      <c r="DE9" s="298">
        <f>'[1]January - 2022'!DF9</f>
        <v>18849.400000000001</v>
      </c>
      <c r="DF9" s="379">
        <f>DE10-DE9</f>
        <v>10.599999999998545</v>
      </c>
      <c r="DG9" s="298">
        <f>'[1]January - 2022'!DH9</f>
        <v>21964.400000000001</v>
      </c>
      <c r="DH9" s="379">
        <f>DG10-DG9</f>
        <v>9.5999999999985448</v>
      </c>
      <c r="DI9" s="298">
        <f>'[1]January - 2022'!DJ9</f>
        <v>3463.43</v>
      </c>
      <c r="DJ9" s="379">
        <f>DI10-DI9</f>
        <v>9.5700000000001637</v>
      </c>
      <c r="DK9" s="298">
        <f>'[1]January - 2022'!DL9</f>
        <v>7039.14</v>
      </c>
      <c r="DL9" s="379">
        <f>DK10-DK9</f>
        <v>16.859999999999673</v>
      </c>
      <c r="DM9" s="298">
        <f>'[1]January - 2022'!DN9</f>
        <v>1900</v>
      </c>
      <c r="DN9" s="379">
        <f>DM10-DM9</f>
        <v>4</v>
      </c>
      <c r="DO9" s="298">
        <f>'[1]January - 2022'!DP9</f>
        <v>3739.67</v>
      </c>
      <c r="DP9" s="379">
        <f>DO10-DO9</f>
        <v>8.3299999999999272</v>
      </c>
      <c r="DQ9" s="298">
        <f>'[1]January - 2022'!DR9</f>
        <v>26400</v>
      </c>
      <c r="DR9" s="381">
        <f>DQ10-DQ9</f>
        <v>0</v>
      </c>
      <c r="DS9" s="438"/>
      <c r="DT9" s="210">
        <f>'[1]January - 2022'!DU9</f>
        <v>3318.2</v>
      </c>
      <c r="DU9" s="383">
        <f>DT10-DT9</f>
        <v>7.2000000000002728</v>
      </c>
      <c r="DV9" s="91">
        <f>'[1]January - 2022'!DW9</f>
        <v>8371.9</v>
      </c>
      <c r="DW9" s="445">
        <f>DV10-DV9</f>
        <v>6.7000000000007276</v>
      </c>
      <c r="DX9" s="91">
        <f>'[1]January - 2022'!DY9</f>
        <v>2498.1</v>
      </c>
      <c r="DY9" s="383">
        <f>DX10-DX9</f>
        <v>6.0999999999999091</v>
      </c>
      <c r="DZ9" s="91">
        <f>'[1]January - 2022'!EA9</f>
        <v>2647.5</v>
      </c>
      <c r="EA9" s="383">
        <f>DZ10-DZ9</f>
        <v>6.3000000000001819</v>
      </c>
      <c r="EB9" s="91">
        <f>'[1]January - 2022'!EC9</f>
        <v>886052</v>
      </c>
      <c r="EC9" s="383">
        <f>EB10-EB9</f>
        <v>592</v>
      </c>
      <c r="ED9" s="91">
        <f>'[1]January - 2022'!EG9</f>
        <v>179841.9</v>
      </c>
      <c r="EE9" s="447">
        <f>ED10-ED9</f>
        <v>125.39999999999418</v>
      </c>
      <c r="EF9" s="377"/>
      <c r="EG9" s="235">
        <f>'[1]January - 2022'!EJ9</f>
        <v>10495400</v>
      </c>
      <c r="EH9" s="369">
        <f>EG10-EG9</f>
        <v>3700</v>
      </c>
      <c r="EI9" s="90">
        <f>'[1]January - 2022'!EL9</f>
        <v>832870</v>
      </c>
      <c r="EJ9" s="369">
        <f>EI10-EI9</f>
        <v>320</v>
      </c>
      <c r="EK9" s="90">
        <f>'[1]January - 2022'!EN9</f>
        <v>6425500</v>
      </c>
      <c r="EL9" s="369">
        <f>EK10-EK9</f>
        <v>700</v>
      </c>
      <c r="EM9" s="90">
        <f>'[1]January - 2022'!EP9</f>
        <v>2259800</v>
      </c>
      <c r="EN9" s="369">
        <f>EM10-EM9</f>
        <v>400</v>
      </c>
      <c r="EO9" s="90">
        <f>'[1]January - 2022'!ER9</f>
        <v>1010550</v>
      </c>
      <c r="EP9" s="369">
        <f>EO10-EO9</f>
        <v>660</v>
      </c>
      <c r="EQ9" s="90">
        <f>'[1]January - 2022'!ET9</f>
        <v>14358700</v>
      </c>
      <c r="ER9" s="433">
        <f>EQ10-EQ9</f>
        <v>2900</v>
      </c>
      <c r="ES9" s="425"/>
      <c r="ET9" s="281">
        <f>'[1]January - 2022'!EW9</f>
        <v>37848.559999999998</v>
      </c>
      <c r="EU9" s="380">
        <f>ET10-ET9</f>
        <v>12.440000000002328</v>
      </c>
      <c r="EV9" s="282">
        <f>'[1]January - 2022'!EY9</f>
        <v>32758.212</v>
      </c>
      <c r="EW9" s="380">
        <f>EV10-EV9</f>
        <v>16.788000000000466</v>
      </c>
      <c r="EX9" s="282">
        <f>'[1]January - 2022'!FA9</f>
        <v>3889.54</v>
      </c>
      <c r="EY9" s="380">
        <v>0</v>
      </c>
      <c r="EZ9" s="282">
        <f>'[1]January - 2022'!FC9</f>
        <v>54552</v>
      </c>
      <c r="FA9" s="380">
        <f>EZ10-EZ9</f>
        <v>21</v>
      </c>
      <c r="FB9" s="282">
        <f>'[1]January - 2022'!FE9</f>
        <v>38479.879999999997</v>
      </c>
      <c r="FC9" s="382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411"/>
      <c r="E10" s="413"/>
      <c r="F10" s="168">
        <f>'[1]January - 2022'!H10</f>
        <v>100687.03999999999</v>
      </c>
      <c r="G10" s="407"/>
      <c r="H10" s="413"/>
      <c r="I10" s="168">
        <f>'[1]January - 2022'!K10</f>
        <v>164625</v>
      </c>
      <c r="J10" s="407"/>
      <c r="K10" s="168">
        <f>'[1]January - 2022'!N10</f>
        <v>822048.6</v>
      </c>
      <c r="L10" s="368"/>
      <c r="M10" s="168">
        <f>'[1]January - 2022'!Q10</f>
        <v>191270</v>
      </c>
      <c r="N10" s="368"/>
      <c r="O10" s="168">
        <f>'[1]January - 2022'!S10</f>
        <v>55021.27</v>
      </c>
      <c r="P10" s="407"/>
      <c r="Q10" s="413"/>
      <c r="R10" s="168">
        <f>'[1]January - 2022'!V10</f>
        <v>4187</v>
      </c>
      <c r="S10" s="415"/>
      <c r="T10" s="520"/>
      <c r="U10" s="269">
        <f>'[1]January - 2022'!AC10</f>
        <v>7233702</v>
      </c>
      <c r="V10" s="417"/>
      <c r="W10" s="409"/>
      <c r="X10" s="287">
        <f>'[1]January - 2022'!AF10</f>
        <v>13859719.439999999</v>
      </c>
      <c r="Y10" s="407"/>
      <c r="Z10" s="409"/>
      <c r="AA10" s="287">
        <f>'[1]January - 2022'!AI10</f>
        <v>13761987.119999999</v>
      </c>
      <c r="AB10" s="407"/>
      <c r="AC10" s="409"/>
      <c r="AD10" s="287">
        <f>'[1]January - 2022'!AL10</f>
        <v>16753297.68</v>
      </c>
      <c r="AE10" s="407"/>
      <c r="AF10" s="409"/>
      <c r="AG10" s="287">
        <f>'[1]January - 2022'!AO10</f>
        <v>17192849.52</v>
      </c>
      <c r="AH10" s="407"/>
      <c r="AI10" s="409"/>
      <c r="AJ10" s="287">
        <f>'[1]January - 2022'!AR10</f>
        <v>15617634.48</v>
      </c>
      <c r="AK10" s="407"/>
      <c r="AL10" s="409"/>
      <c r="AM10" s="287">
        <f>'[1]January - 2022'!AU10</f>
        <v>13278733.439999999</v>
      </c>
      <c r="AN10" s="407"/>
      <c r="AO10" s="409"/>
      <c r="AP10" s="287">
        <f>'[1]January - 2022'!AX10</f>
        <v>12763470.719999999</v>
      </c>
      <c r="AQ10" s="407"/>
      <c r="AR10" s="409"/>
      <c r="AS10" s="287">
        <f>'[1]January - 2022'!BA10</f>
        <v>10165038.24</v>
      </c>
      <c r="AT10" s="407"/>
      <c r="AU10" s="409"/>
      <c r="AV10" s="287">
        <f>'[1]January - 2022'!BD10</f>
        <v>15791418.719999999</v>
      </c>
      <c r="AW10" s="407"/>
      <c r="AX10" s="490"/>
      <c r="AY10" s="486"/>
      <c r="AZ10" s="272">
        <f>'[1]January - 2022'!BK10</f>
        <v>68270800</v>
      </c>
      <c r="BA10" s="492"/>
      <c r="BB10" s="488"/>
      <c r="BC10" s="272">
        <f>'[1]January - 2022'!BN10</f>
        <v>70700300</v>
      </c>
      <c r="BD10" s="492"/>
      <c r="BE10" s="488"/>
      <c r="BF10" s="272">
        <f>'[1]January - 2022'!BQ10</f>
        <v>65523900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386"/>
      <c r="BU10" s="393"/>
      <c r="BV10" s="88">
        <f>'[1]January - 2022'!BW10</f>
        <v>0.68</v>
      </c>
      <c r="BW10" s="388"/>
      <c r="BX10" s="390"/>
      <c r="BY10" s="89">
        <f>'[1]January - 2022'!BZ10</f>
        <v>57545</v>
      </c>
      <c r="BZ10" s="385"/>
      <c r="CA10" s="89">
        <f>'[1]January - 2022'!CB10</f>
        <v>49004</v>
      </c>
      <c r="CB10" s="385"/>
      <c r="CC10" s="89">
        <f>'[1]January - 2022'!CD10</f>
        <v>16829</v>
      </c>
      <c r="CD10" s="385"/>
      <c r="CE10" s="89">
        <f>'[1]January - 2022'!CF10</f>
        <v>22316</v>
      </c>
      <c r="CF10" s="385"/>
      <c r="CG10" s="89">
        <f>'[1]January - 2022'!CH10</f>
        <v>24350</v>
      </c>
      <c r="CH10" s="385"/>
      <c r="CI10" s="89">
        <f>'[1]January - 2022'!CJ10</f>
        <v>53991</v>
      </c>
      <c r="CJ10" s="385"/>
      <c r="CK10" s="89">
        <f>'[1]January - 2022'!CL10</f>
        <v>236637</v>
      </c>
      <c r="CL10" s="385"/>
      <c r="CM10" s="406"/>
      <c r="CN10" s="89">
        <f>'[1]January - 2022'!CO10</f>
        <v>182753</v>
      </c>
      <c r="CO10" s="385"/>
      <c r="CP10" s="406"/>
      <c r="CQ10" s="89">
        <f>'[1]January - 2022'!CR10</f>
        <v>324567</v>
      </c>
      <c r="CR10" s="385"/>
      <c r="CS10" s="406"/>
      <c r="CT10" s="89">
        <f>'[1]January - 2022'!CU10</f>
        <v>625604</v>
      </c>
      <c r="CU10" s="468"/>
      <c r="CV10" s="453"/>
      <c r="CW10" s="256">
        <f>'[1]January - 2022'!CX10</f>
        <v>6567</v>
      </c>
      <c r="CX10" s="380"/>
      <c r="CY10" s="257">
        <f>'[1]January - 2022'!CZ10</f>
        <v>4074</v>
      </c>
      <c r="CZ10" s="380"/>
      <c r="DA10" s="257">
        <f>'[1]January - 2022'!DB10</f>
        <v>27236</v>
      </c>
      <c r="DB10" s="380"/>
      <c r="DC10" s="257">
        <f>'[1]January - 2022'!DD10</f>
        <v>27886</v>
      </c>
      <c r="DD10" s="380"/>
      <c r="DE10" s="257">
        <f>'[1]January - 2022'!DF10</f>
        <v>18860</v>
      </c>
      <c r="DF10" s="380"/>
      <c r="DG10" s="257">
        <f>'[1]January - 2022'!DH10</f>
        <v>21974</v>
      </c>
      <c r="DH10" s="380"/>
      <c r="DI10" s="257">
        <f>'[1]January - 2022'!DJ10</f>
        <v>3473</v>
      </c>
      <c r="DJ10" s="380"/>
      <c r="DK10" s="257">
        <f>'[1]January - 2022'!DL10</f>
        <v>7056</v>
      </c>
      <c r="DL10" s="380"/>
      <c r="DM10" s="257">
        <f>'[1]January - 2022'!DN10</f>
        <v>1904</v>
      </c>
      <c r="DN10" s="380"/>
      <c r="DO10" s="257">
        <f>'[1]January - 2022'!DP10</f>
        <v>3748</v>
      </c>
      <c r="DP10" s="380"/>
      <c r="DQ10" s="257">
        <f>'[1]January - 2022'!DR10</f>
        <v>26400</v>
      </c>
      <c r="DR10" s="382"/>
      <c r="DS10" s="438"/>
      <c r="DT10" s="210">
        <f>'[1]January - 2022'!DU10</f>
        <v>3325.4</v>
      </c>
      <c r="DU10" s="384"/>
      <c r="DV10" s="91">
        <f>'[1]January - 2022'!DW10</f>
        <v>8378.6</v>
      </c>
      <c r="DW10" s="446"/>
      <c r="DX10" s="91">
        <f>'[1]January - 2022'!DY10</f>
        <v>2504.1999999999998</v>
      </c>
      <c r="DY10" s="384"/>
      <c r="DZ10" s="91">
        <f>'[1]January - 2022'!EA10</f>
        <v>2653.8</v>
      </c>
      <c r="EA10" s="384"/>
      <c r="EB10" s="91">
        <f>'[1]January - 2022'!EC10</f>
        <v>886644</v>
      </c>
      <c r="EC10" s="384"/>
      <c r="ED10" s="91">
        <f>'[1]January - 2022'!EG10</f>
        <v>179967.3</v>
      </c>
      <c r="EE10" s="448"/>
      <c r="EF10" s="377"/>
      <c r="EG10" s="235">
        <f>'[1]January - 2022'!EJ10</f>
        <v>10499100</v>
      </c>
      <c r="EH10" s="370"/>
      <c r="EI10" s="90">
        <f>'[1]January - 2022'!EL10</f>
        <v>833190</v>
      </c>
      <c r="EJ10" s="370"/>
      <c r="EK10" s="90">
        <f>'[1]January - 2022'!EN10</f>
        <v>6426200</v>
      </c>
      <c r="EL10" s="370"/>
      <c r="EM10" s="90">
        <f>'[1]January - 2022'!EP10</f>
        <v>2260200</v>
      </c>
      <c r="EN10" s="370"/>
      <c r="EO10" s="90">
        <f>'[1]January - 2022'!ER10</f>
        <v>1011210</v>
      </c>
      <c r="EP10" s="370"/>
      <c r="EQ10" s="90">
        <f>'[1]January - 2022'!ET10</f>
        <v>14361600</v>
      </c>
      <c r="ER10" s="434"/>
      <c r="ES10" s="425"/>
      <c r="ET10" s="281">
        <f>'[1]January - 2022'!EW10</f>
        <v>37861</v>
      </c>
      <c r="EU10" s="429"/>
      <c r="EV10" s="282">
        <f>'[1]January - 2022'!EY10</f>
        <v>32775</v>
      </c>
      <c r="EW10" s="429"/>
      <c r="EX10" s="282">
        <f>'[1]January - 2022'!FA10</f>
        <v>3905</v>
      </c>
      <c r="EY10" s="429"/>
      <c r="EZ10" s="282">
        <f>'[1]January - 2022'!FC10</f>
        <v>54573</v>
      </c>
      <c r="FA10" s="429"/>
      <c r="FB10" s="282">
        <f>'[1]January - 2022'!FE10</f>
        <v>38513</v>
      </c>
      <c r="FC10" s="430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520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86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393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453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438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377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42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520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86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393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453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438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377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42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520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86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393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453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438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377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42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520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86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393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453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438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377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42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520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86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393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453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438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377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42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520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86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393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453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438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377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42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520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86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393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453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438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377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42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520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86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393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453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438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377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42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520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86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393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453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438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377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42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520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86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393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453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438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377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42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520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86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393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453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438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377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42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520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86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393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453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438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377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42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520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86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393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453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438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377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42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520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86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393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453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438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377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42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520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86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393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453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438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377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42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520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86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393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453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438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377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42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520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86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393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453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438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377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42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520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86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393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453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438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377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42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520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86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393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453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438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377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42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520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86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393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453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438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377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42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0.54</v>
      </c>
      <c r="C31" s="250">
        <f>'[1]January - 2022'!E31</f>
        <v>953034</v>
      </c>
      <c r="D31" s="170">
        <f>'[1]January - 2022'!F31</f>
        <v>687</v>
      </c>
      <c r="E31" s="168">
        <f>'[1]January - 2022'!G31</f>
        <v>523</v>
      </c>
      <c r="F31" s="168">
        <f>'[1]January - 2022'!H31</f>
        <v>110600</v>
      </c>
      <c r="G31" s="170">
        <f>'[1]January - 2022'!I31</f>
        <v>470</v>
      </c>
      <c r="H31" s="168">
        <f>'[1]January - 2022'!J31</f>
        <v>457</v>
      </c>
      <c r="I31" s="168">
        <f>'[1]January - 2022'!K31</f>
        <v>164625</v>
      </c>
      <c r="J31" s="170">
        <f>'[1]January - 2022'!L31</f>
        <v>0</v>
      </c>
      <c r="K31" s="168">
        <f>'[1]January - 2022'!N31</f>
        <v>825868</v>
      </c>
      <c r="L31" s="170">
        <f>'[1]January - 2022'!O31</f>
        <v>215</v>
      </c>
      <c r="M31" s="168">
        <f>'[1]January - 2022'!Q31</f>
        <v>193402</v>
      </c>
      <c r="N31" s="170">
        <f>'[1]January - 2022'!R31</f>
        <v>0</v>
      </c>
      <c r="O31" s="168">
        <f>'[1]January - 2022'!S31</f>
        <v>56492.65</v>
      </c>
      <c r="P31" s="170">
        <f>'[1]January - 2022'!T31</f>
        <v>52.430000000000291</v>
      </c>
      <c r="Q31" s="168">
        <f>'[1]January - 2022'!U31</f>
        <v>16</v>
      </c>
      <c r="R31" s="168">
        <f>'[1]January - 2022'!V31</f>
        <v>4372</v>
      </c>
      <c r="S31" s="208">
        <f>'[1]January - 2022'!W31</f>
        <v>0</v>
      </c>
      <c r="T31" s="520"/>
      <c r="U31" s="169">
        <f>'[1]January - 2022'!AC31</f>
        <v>7284127.2000000002</v>
      </c>
      <c r="V31" s="288">
        <f>'[1]January - 2022'!AD31</f>
        <v>3361.6800000006333</v>
      </c>
      <c r="W31" s="92">
        <f>'[1]January - 2022'!AD31</f>
        <v>3361.6800000006333</v>
      </c>
      <c r="X31" s="287">
        <f>'[1]January - 2022'!AF31</f>
        <v>13960277.52</v>
      </c>
      <c r="Y31" s="288">
        <f>'[1]January - 2022'!AG31</f>
        <v>5310.480000000447</v>
      </c>
      <c r="Z31" s="92">
        <f>'[1]January - 2022'!AG31</f>
        <v>5310.480000000447</v>
      </c>
      <c r="AA31" s="287">
        <f>'[1]January - 2022'!AI31</f>
        <v>13841205.84</v>
      </c>
      <c r="AB31" s="288">
        <f>'[1]January - 2022'!AJ31</f>
        <v>146.16000000014901</v>
      </c>
      <c r="AC31" s="92">
        <f>'[1]January - 2022'!AJ31</f>
        <v>146.16000000014901</v>
      </c>
      <c r="AD31" s="287">
        <f>'[1]January - 2022'!AL31</f>
        <v>16774685.760000002</v>
      </c>
      <c r="AE31" s="288">
        <f>'[1]January - 2022'!AM31</f>
        <v>8477.2800000011921</v>
      </c>
      <c r="AF31" s="92">
        <f>'[1]January - 2022'!AM31</f>
        <v>8477.2800000011921</v>
      </c>
      <c r="AG31" s="287">
        <f>'[1]January - 2022'!AO31</f>
        <v>17278889.039999999</v>
      </c>
      <c r="AH31" s="288">
        <f>'[1]January - 2022'!AP31</f>
        <v>48.719999998807907</v>
      </c>
      <c r="AI31" s="92">
        <f>'[1]January - 2022'!AP31</f>
        <v>48.719999998807907</v>
      </c>
      <c r="AJ31" s="287">
        <f>'[1]January - 2022'!AR31</f>
        <v>15735683.039999999</v>
      </c>
      <c r="AK31" s="288">
        <f>'[1]January - 2022'!AS31</f>
        <v>6090</v>
      </c>
      <c r="AL31" s="92">
        <f>'[1]January - 2022'!AS31</f>
        <v>6090</v>
      </c>
      <c r="AM31" s="287">
        <f>'[1]January - 2022'!AU31</f>
        <v>13366624.319999998</v>
      </c>
      <c r="AN31" s="288">
        <f>'[1]January - 2022'!AV31</f>
        <v>4433.519999999553</v>
      </c>
      <c r="AO31" s="92">
        <f>'[1]January - 2022'!AV31</f>
        <v>4433.519999999553</v>
      </c>
      <c r="AP31" s="287">
        <f>'[1]January - 2022'!AX31</f>
        <v>12851459.040000001</v>
      </c>
      <c r="AQ31" s="288">
        <f>'[1]January - 2022'!AY31</f>
        <v>4920.7200000025332</v>
      </c>
      <c r="AR31" s="92">
        <f>'[1]January - 2022'!AY31</f>
        <v>4920.7200000025332</v>
      </c>
      <c r="AS31" s="287">
        <f>'[1]January - 2022'!BA31</f>
        <v>10231541.040000001</v>
      </c>
      <c r="AT31" s="288">
        <f>'[1]January - 2022'!BB31</f>
        <v>3507.8400000017136</v>
      </c>
      <c r="AU31" s="92">
        <f>'[1]January - 2022'!BB31</f>
        <v>3507.8400000017136</v>
      </c>
      <c r="AV31" s="287">
        <f>'[1]January - 2022'!BD31</f>
        <v>15903426</v>
      </c>
      <c r="AW31" s="252">
        <f>'[1]January - 2022'!BE31</f>
        <v>5895.1199999991804</v>
      </c>
      <c r="AX31" s="253">
        <f>'[1]January - 2022'!BE31</f>
        <v>5895.1199999991804</v>
      </c>
      <c r="AY31" s="486"/>
      <c r="AZ31" s="272">
        <f>'[1]January - 2022'!BK31</f>
        <v>68689200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70762600</v>
      </c>
      <c r="BD31" s="245">
        <f>'[1]January - 2022'!BO31</f>
        <v>32300</v>
      </c>
      <c r="BE31" s="93">
        <f>'[1]January - 2022'!BO31</f>
        <v>32300</v>
      </c>
      <c r="BF31" s="272">
        <f>'[1]January - 2022'!BQ31</f>
        <v>65863100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7967760</v>
      </c>
      <c r="BT31" s="185">
        <f>'[1]January - 2022'!BU31</f>
        <v>6510</v>
      </c>
      <c r="BU31" s="393"/>
      <c r="BV31" s="88">
        <f>'[1]January - 2022'!BW31</f>
        <v>0.46</v>
      </c>
      <c r="BW31" s="241">
        <f>'[1]January - 2022'!BX31</f>
        <v>0.14999999999999997</v>
      </c>
      <c r="BX31" s="88">
        <f>'[1]January - 2022'!BX31</f>
        <v>0.14999999999999997</v>
      </c>
      <c r="BY31" s="89">
        <f>'[1]January - 2022'!BZ31</f>
        <v>57964</v>
      </c>
      <c r="BZ31" s="191">
        <f>'[1]January - 2022'!CA31</f>
        <v>21</v>
      </c>
      <c r="CA31" s="89">
        <f>'[1]January - 2022'!CB31</f>
        <v>49407</v>
      </c>
      <c r="CB31" s="191">
        <f>'[1]January - 2022'!CC31</f>
        <v>21</v>
      </c>
      <c r="CC31" s="89">
        <f>'[1]January - 2022'!CD31</f>
        <v>16940</v>
      </c>
      <c r="CD31" s="191">
        <f>'[1]January - 2022'!CE31</f>
        <v>6</v>
      </c>
      <c r="CE31" s="89">
        <f>'[1]January - 2022'!CF31</f>
        <v>22560</v>
      </c>
      <c r="CF31" s="191">
        <f>'[1]January - 2022'!CG31</f>
        <v>14</v>
      </c>
      <c r="CG31" s="89">
        <f>'[1]January - 2022'!CH31</f>
        <v>24583</v>
      </c>
      <c r="CH31" s="191">
        <f>'[1]January - 2022'!CI31</f>
        <v>16</v>
      </c>
      <c r="CI31" s="89">
        <f>'[1]January - 2022'!CJ31</f>
        <v>54502</v>
      </c>
      <c r="CJ31" s="191">
        <f>'[1]January - 2022'!CK31</f>
        <v>25</v>
      </c>
      <c r="CK31" s="89">
        <f>'[1]January - 2022'!CL31</f>
        <v>238807</v>
      </c>
      <c r="CL31" s="246">
        <f>'[1]January - 2022'!CM31</f>
        <v>121</v>
      </c>
      <c r="CM31" s="89">
        <f>'[1]January - 2022'!CM31</f>
        <v>121</v>
      </c>
      <c r="CN31" s="89">
        <f>'[1]January - 2022'!CO31</f>
        <v>185232</v>
      </c>
      <c r="CO31" s="246">
        <f>'[1]January - 2022'!CP31</f>
        <v>130</v>
      </c>
      <c r="CP31" s="89">
        <f>'[1]January - 2022'!CP31</f>
        <v>130</v>
      </c>
      <c r="CQ31" s="89">
        <f>'[1]January - 2022'!CR31</f>
        <v>331855</v>
      </c>
      <c r="CR31" s="246">
        <f>'[1]January - 2022'!CS31</f>
        <v>468</v>
      </c>
      <c r="CS31" s="89">
        <f>'[1]January - 2022'!CS31</f>
        <v>468</v>
      </c>
      <c r="CT31" s="89">
        <f>'[1]January - 2022'!CU31</f>
        <v>630576</v>
      </c>
      <c r="CU31" s="191">
        <f>'[1]January - 2022'!CV31</f>
        <v>290</v>
      </c>
      <c r="CV31" s="453"/>
      <c r="CW31" s="256">
        <f>'[1]January - 2022'!CX31</f>
        <v>6777</v>
      </c>
      <c r="CX31" s="198">
        <f>'[1]January - 2022'!CY31</f>
        <v>10</v>
      </c>
      <c r="CY31" s="257">
        <f>'[1]January - 2022'!CZ31</f>
        <v>4249</v>
      </c>
      <c r="CZ31" s="198">
        <f>'[1]January - 2022'!DA31</f>
        <v>9</v>
      </c>
      <c r="DA31" s="257">
        <f>'[1]January - 2022'!DB31</f>
        <v>27639</v>
      </c>
      <c r="DB31" s="198">
        <f>'[1]January - 2022'!DC31</f>
        <v>11</v>
      </c>
      <c r="DC31" s="257">
        <f>'[1]January - 2022'!DD31</f>
        <v>28258</v>
      </c>
      <c r="DD31" s="198">
        <f>'[1]January - 2022'!DE31</f>
        <v>9</v>
      </c>
      <c r="DE31" s="257">
        <f>'[1]January - 2022'!DF31</f>
        <v>19054</v>
      </c>
      <c r="DF31" s="198">
        <f>'[1]January - 2022'!DG31</f>
        <v>8</v>
      </c>
      <c r="DG31" s="257">
        <f>'[1]January - 2022'!DH31</f>
        <v>22154</v>
      </c>
      <c r="DH31" s="198">
        <f>'[1]January - 2022'!DI31</f>
        <v>7</v>
      </c>
      <c r="DI31" s="257">
        <f>'[1]January - 2022'!DJ31</f>
        <v>3668</v>
      </c>
      <c r="DJ31" s="198">
        <f>'[1]January - 2022'!DK31</f>
        <v>11</v>
      </c>
      <c r="DK31" s="257">
        <f>'[1]January - 2022'!DL31</f>
        <v>7359</v>
      </c>
      <c r="DL31" s="198">
        <f>'[1]January - 2022'!DM31</f>
        <v>18</v>
      </c>
      <c r="DM31" s="257">
        <f>'[1]January - 2022'!DN31</f>
        <v>1999</v>
      </c>
      <c r="DN31" s="198">
        <f>'[1]January - 2022'!DO31</f>
        <v>5</v>
      </c>
      <c r="DO31" s="257">
        <f>'[1]January - 2022'!DP31</f>
        <v>3912</v>
      </c>
      <c r="DP31" s="198">
        <f>'[1]January - 2022'!DQ31</f>
        <v>10</v>
      </c>
      <c r="DQ31" s="257">
        <f>'[1]January - 2022'!DR31</f>
        <v>26520</v>
      </c>
      <c r="DR31" s="206">
        <f>'[1]January - 2022'!DS31</f>
        <v>7</v>
      </c>
      <c r="DS31" s="438"/>
      <c r="DT31" s="210">
        <f>'[1]January - 2022'!DU31</f>
        <v>3509.9</v>
      </c>
      <c r="DU31" s="221">
        <f>'[1]January - 2022'!DV31</f>
        <v>11.200000000000273</v>
      </c>
      <c r="DV31" s="91">
        <f>'[1]January - 2022'!DW31</f>
        <v>8522.7999999999993</v>
      </c>
      <c r="DW31" s="215">
        <f>'[1]January - 2022'!DX31</f>
        <v>7.5999999999985448</v>
      </c>
      <c r="DX31" s="91">
        <f>'[1]January - 2022'!DY31</f>
        <v>2652.2</v>
      </c>
      <c r="DY31" s="215">
        <f>'[1]January - 2022'!DZ31</f>
        <v>7.5999999999999091</v>
      </c>
      <c r="DZ31" s="91">
        <f>'[1]January - 2022'!EA31</f>
        <v>2784.4</v>
      </c>
      <c r="EA31" s="215">
        <f>'[1]January - 2022'!EB31</f>
        <v>7.0999999999999091</v>
      </c>
      <c r="EB31" s="91">
        <f>'[1]January - 2022'!EC31</f>
        <v>897904</v>
      </c>
      <c r="EC31" s="215">
        <f>'[1]January - 2022'!ED31</f>
        <v>643</v>
      </c>
      <c r="ED31" s="91">
        <f>'[1]January - 2022'!EG31</f>
        <v>183234.9</v>
      </c>
      <c r="EE31" s="229">
        <f>'[1]January - 2022'!EH31</f>
        <v>185.39999999999418</v>
      </c>
      <c r="EF31" s="377"/>
      <c r="EG31" s="235">
        <f>'[1]January - 2022'!EJ31</f>
        <v>10542600</v>
      </c>
      <c r="EH31" s="230">
        <f>'[1]January - 2022'!EK31</f>
        <v>1700</v>
      </c>
      <c r="EI31" s="90">
        <f>'[1]January - 2022'!EL31</f>
        <v>838760</v>
      </c>
      <c r="EJ31" s="230">
        <f>'[1]January - 2022'!EM31</f>
        <v>260</v>
      </c>
      <c r="EK31" s="90">
        <f>'[1]January - 2022'!EN31</f>
        <v>6441500</v>
      </c>
      <c r="EL31" s="230">
        <f>'[1]January - 2022'!EO31</f>
        <v>700</v>
      </c>
      <c r="EM31" s="90">
        <f>'[1]January - 2022'!EP31</f>
        <v>2266100</v>
      </c>
      <c r="EN31" s="230">
        <f>'[1]January - 2022'!EQ31</f>
        <v>300</v>
      </c>
      <c r="EO31" s="90">
        <f>'[1]January - 2022'!ER31</f>
        <v>1024760</v>
      </c>
      <c r="EP31" s="230">
        <f>'[1]January - 2022'!ES31</f>
        <v>710</v>
      </c>
      <c r="EQ31" s="90">
        <f>'[1]January - 2022'!ET31</f>
        <v>14404100</v>
      </c>
      <c r="ER31" s="230">
        <f>'[1]January - 2022'!EU31</f>
        <v>1400</v>
      </c>
      <c r="ES31" s="425"/>
      <c r="ET31" s="281">
        <f>'[1]January - 2022'!EW31</f>
        <v>38174</v>
      </c>
      <c r="EU31" s="275">
        <f>'[1]January - 2022'!EX31</f>
        <v>16</v>
      </c>
      <c r="EV31" s="282">
        <f>'[1]January - 2022'!EY31</f>
        <v>33079</v>
      </c>
      <c r="EW31" s="275">
        <f>'[1]January - 2022'!EZ31</f>
        <v>16</v>
      </c>
      <c r="EX31" s="282">
        <f>'[1]January - 2022'!FA31</f>
        <v>4164</v>
      </c>
      <c r="EY31" s="275">
        <f>'[1]January - 2022'!FB31</f>
        <v>17</v>
      </c>
      <c r="EZ31" s="282">
        <f>'[1]January - 2022'!FC31</f>
        <v>54988</v>
      </c>
      <c r="FA31" s="275">
        <f>'[1]January - 2022'!FD31</f>
        <v>21</v>
      </c>
      <c r="FB31" s="282">
        <f>'[1]January - 2022'!FE31</f>
        <v>39192</v>
      </c>
      <c r="FC31" s="276">
        <f>'[1]January - 2022'!FF31</f>
        <v>38</v>
      </c>
    </row>
    <row r="32" spans="1:159" ht="30" customHeight="1" x14ac:dyDescent="0.25">
      <c r="A32" s="207">
        <v>43853</v>
      </c>
      <c r="B32" s="209">
        <f>'[1]January - 2022'!B32</f>
        <v>0.49</v>
      </c>
      <c r="C32" s="250">
        <f>'[1]January - 2022'!E32</f>
        <v>953477</v>
      </c>
      <c r="D32" s="170">
        <f>'[1]January - 2022'!F32</f>
        <v>443</v>
      </c>
      <c r="E32" s="168">
        <f>'[1]January - 2022'!G32</f>
        <v>463</v>
      </c>
      <c r="F32" s="168">
        <f>'[1]January - 2022'!H32</f>
        <v>110918</v>
      </c>
      <c r="G32" s="170">
        <f>'[1]January - 2022'!I32</f>
        <v>318</v>
      </c>
      <c r="H32" s="168">
        <f>'[1]January - 2022'!J32</f>
        <v>422</v>
      </c>
      <c r="I32" s="168">
        <f>'[1]January - 2022'!K32</f>
        <v>164625</v>
      </c>
      <c r="J32" s="170">
        <f>'[1]January - 2022'!L32</f>
        <v>0</v>
      </c>
      <c r="K32" s="168">
        <f>'[1]January - 2022'!N32</f>
        <v>825986</v>
      </c>
      <c r="L32" s="170">
        <f>'[1]January - 2022'!O32</f>
        <v>118</v>
      </c>
      <c r="M32" s="168">
        <f>'[1]January - 2022'!Q32</f>
        <v>193402</v>
      </c>
      <c r="N32" s="170">
        <f>'[1]January - 2022'!R32</f>
        <v>0</v>
      </c>
      <c r="O32" s="168">
        <f>'[1]January - 2022'!S32</f>
        <v>56551.199999999997</v>
      </c>
      <c r="P32" s="170">
        <f>'[1]January - 2022'!T32</f>
        <v>58.549999999995634</v>
      </c>
      <c r="Q32" s="168">
        <f>'[1]January - 2022'!U32</f>
        <v>22</v>
      </c>
      <c r="R32" s="168">
        <f>'[1]January - 2022'!V32</f>
        <v>4375</v>
      </c>
      <c r="S32" s="208">
        <f>'[1]January - 2022'!W32</f>
        <v>3</v>
      </c>
      <c r="T32" s="520"/>
      <c r="U32" s="169">
        <f>'[1]January - 2022'!AC32</f>
        <v>7286465.7599999998</v>
      </c>
      <c r="V32" s="288">
        <f>'[1]January - 2022'!AD32</f>
        <v>2338.5599999995902</v>
      </c>
      <c r="W32" s="92">
        <f>'[1]January - 2022'!AD32</f>
        <v>2338.5599999995902</v>
      </c>
      <c r="X32" s="287">
        <f>'[1]January - 2022'!AF32</f>
        <v>13964467.439999999</v>
      </c>
      <c r="Y32" s="288">
        <f>'[1]January - 2022'!AG32</f>
        <v>4189.9199999999255</v>
      </c>
      <c r="Z32" s="92">
        <f>'[1]January - 2022'!AG32</f>
        <v>4189.9199999999255</v>
      </c>
      <c r="AA32" s="287">
        <f>'[1]January - 2022'!AI32</f>
        <v>13841352</v>
      </c>
      <c r="AB32" s="288">
        <f>'[1]January - 2022'!AJ32</f>
        <v>146.16000000014901</v>
      </c>
      <c r="AC32" s="92">
        <f>'[1]January - 2022'!AJ32</f>
        <v>146.16000000014901</v>
      </c>
      <c r="AD32" s="287">
        <f>'[1]January - 2022'!AL32</f>
        <v>16780678.32</v>
      </c>
      <c r="AE32" s="288">
        <f>'[1]January - 2022'!AM32</f>
        <v>5992.5599999986589</v>
      </c>
      <c r="AF32" s="92">
        <f>'[1]January - 2022'!AM32</f>
        <v>5992.5599999986589</v>
      </c>
      <c r="AG32" s="287">
        <f>'[1]January - 2022'!AO32</f>
        <v>17278889.039999999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15740555.039999999</v>
      </c>
      <c r="AK32" s="288">
        <f>'[1]January - 2022'!AS32</f>
        <v>4872</v>
      </c>
      <c r="AL32" s="92">
        <f>'[1]January - 2022'!AS32</f>
        <v>4872</v>
      </c>
      <c r="AM32" s="287">
        <f>'[1]January - 2022'!AU32</f>
        <v>13369839.84</v>
      </c>
      <c r="AN32" s="288">
        <f>'[1]January - 2022'!AV32</f>
        <v>3215.5200000014156</v>
      </c>
      <c r="AO32" s="92">
        <f>'[1]January - 2022'!AV32</f>
        <v>3215.5200000014156</v>
      </c>
      <c r="AP32" s="287">
        <f>'[1]January - 2022'!AX32</f>
        <v>12855015.6</v>
      </c>
      <c r="AQ32" s="288">
        <f>'[1]January - 2022'!AY32</f>
        <v>3556.5599999986589</v>
      </c>
      <c r="AR32" s="92">
        <f>'[1]January - 2022'!AY32</f>
        <v>3556.5599999986589</v>
      </c>
      <c r="AS32" s="287">
        <f>'[1]January - 2022'!BA32</f>
        <v>10234171.92</v>
      </c>
      <c r="AT32" s="288">
        <f>'[1]January - 2022'!BB32</f>
        <v>2630.8799999989569</v>
      </c>
      <c r="AU32" s="92">
        <f>'[1]January - 2022'!BB32</f>
        <v>2630.8799999989569</v>
      </c>
      <c r="AV32" s="287">
        <f>'[1]January - 2022'!BD32</f>
        <v>15907859.52</v>
      </c>
      <c r="AW32" s="252">
        <f>'[1]January - 2022'!BE32</f>
        <v>4433.519999999553</v>
      </c>
      <c r="AX32" s="253">
        <f>'[1]January - 2022'!BE32</f>
        <v>4433.519999999553</v>
      </c>
      <c r="AY32" s="486"/>
      <c r="AZ32" s="272">
        <f>'[1]January - 2022'!BK32</f>
        <v>68689200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70790600</v>
      </c>
      <c r="BD32" s="245">
        <f>'[1]January - 2022'!BO32</f>
        <v>28000</v>
      </c>
      <c r="BE32" s="93">
        <f>'[1]January - 2022'!BO32</f>
        <v>28000</v>
      </c>
      <c r="BF32" s="272">
        <f>'[1]January - 2022'!BQ32</f>
        <v>65863100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7972100</v>
      </c>
      <c r="BT32" s="185">
        <f>'[1]January - 2022'!BU32</f>
        <v>4340</v>
      </c>
      <c r="BU32" s="393"/>
      <c r="BV32" s="88">
        <f>'[1]January - 2022'!BW32</f>
        <v>0.64</v>
      </c>
      <c r="BW32" s="241">
        <f>'[1]January - 2022'!BX32</f>
        <v>-0.18</v>
      </c>
      <c r="BX32" s="88">
        <f>'[1]January - 2022'!BX32</f>
        <v>-0.18</v>
      </c>
      <c r="BY32" s="89">
        <f>'[1]January - 2022'!BZ32</f>
        <v>57976</v>
      </c>
      <c r="BZ32" s="191">
        <f>'[1]January - 2022'!CA32</f>
        <v>12</v>
      </c>
      <c r="CA32" s="89">
        <f>'[1]January - 2022'!CB32</f>
        <v>49424</v>
      </c>
      <c r="CB32" s="191">
        <f>'[1]January - 2022'!CC32</f>
        <v>17</v>
      </c>
      <c r="CC32" s="89">
        <f>'[1]January - 2022'!CD32</f>
        <v>16944</v>
      </c>
      <c r="CD32" s="191">
        <f>'[1]January - 2022'!CE32</f>
        <v>4</v>
      </c>
      <c r="CE32" s="89">
        <f>'[1]January - 2022'!CF32</f>
        <v>22569</v>
      </c>
      <c r="CF32" s="191">
        <f>'[1]January - 2022'!CG32</f>
        <v>9</v>
      </c>
      <c r="CG32" s="89">
        <f>'[1]January - 2022'!CH32</f>
        <v>24592</v>
      </c>
      <c r="CH32" s="191">
        <f>'[1]January - 2022'!CI32</f>
        <v>9</v>
      </c>
      <c r="CI32" s="89">
        <f>'[1]January - 2022'!CJ32</f>
        <v>54521</v>
      </c>
      <c r="CJ32" s="191">
        <f>'[1]January - 2022'!CK32</f>
        <v>19</v>
      </c>
      <c r="CK32" s="89">
        <f>'[1]January - 2022'!CL32</f>
        <v>238902</v>
      </c>
      <c r="CL32" s="246">
        <f>'[1]January - 2022'!CM32</f>
        <v>95</v>
      </c>
      <c r="CM32" s="89">
        <f>'[1]January - 2022'!CM32</f>
        <v>95</v>
      </c>
      <c r="CN32" s="89">
        <f>'[1]January - 2022'!CO32</f>
        <v>185340</v>
      </c>
      <c r="CO32" s="246">
        <f>'[1]January - 2022'!CP32</f>
        <v>108</v>
      </c>
      <c r="CP32" s="89">
        <f>'[1]January - 2022'!CP32</f>
        <v>108</v>
      </c>
      <c r="CQ32" s="89">
        <f>'[1]January - 2022'!CR32</f>
        <v>332164</v>
      </c>
      <c r="CR32" s="246">
        <f>'[1]January - 2022'!CS32</f>
        <v>309</v>
      </c>
      <c r="CS32" s="89">
        <f>'[1]January - 2022'!CS32</f>
        <v>309</v>
      </c>
      <c r="CT32" s="89">
        <f>'[1]January - 2022'!CU32</f>
        <v>630802</v>
      </c>
      <c r="CU32" s="191">
        <f>'[1]January - 2022'!CV32</f>
        <v>226</v>
      </c>
      <c r="CV32" s="453"/>
      <c r="CW32" s="256">
        <f>'[1]January - 2022'!CX32</f>
        <v>6785</v>
      </c>
      <c r="CX32" s="198">
        <f>'[1]January - 2022'!CY32</f>
        <v>8</v>
      </c>
      <c r="CY32" s="257">
        <f>'[1]January - 2022'!CZ32</f>
        <v>4251</v>
      </c>
      <c r="CZ32" s="198">
        <f>'[1]January - 2022'!DA32</f>
        <v>2</v>
      </c>
      <c r="DA32" s="257">
        <f>'[1]January - 2022'!DB32</f>
        <v>27660</v>
      </c>
      <c r="DB32" s="198">
        <f>'[1]January - 2022'!DC32</f>
        <v>21</v>
      </c>
      <c r="DC32" s="257">
        <f>'[1]January - 2022'!DD32</f>
        <v>28283</v>
      </c>
      <c r="DD32" s="198">
        <f>'[1]January - 2022'!DE32</f>
        <v>25</v>
      </c>
      <c r="DE32" s="257">
        <f>'[1]January - 2022'!DF32</f>
        <v>19063</v>
      </c>
      <c r="DF32" s="198">
        <f>'[1]January - 2022'!DG32</f>
        <v>9</v>
      </c>
      <c r="DG32" s="257">
        <f>'[1]January - 2022'!DH32</f>
        <v>22162</v>
      </c>
      <c r="DH32" s="198">
        <f>'[1]January - 2022'!DI32</f>
        <v>8</v>
      </c>
      <c r="DI32" s="257">
        <f>'[1]January - 2022'!DJ32</f>
        <v>3679</v>
      </c>
      <c r="DJ32" s="198">
        <f>'[1]January - 2022'!DK32</f>
        <v>11</v>
      </c>
      <c r="DK32" s="257">
        <f>'[1]January - 2022'!DL32</f>
        <v>7369</v>
      </c>
      <c r="DL32" s="198">
        <f>'[1]January - 2022'!DM32</f>
        <v>10</v>
      </c>
      <c r="DM32" s="257">
        <f>'[1]January - 2022'!DN32</f>
        <v>2004</v>
      </c>
      <c r="DN32" s="198">
        <f>'[1]January - 2022'!DO32</f>
        <v>5</v>
      </c>
      <c r="DO32" s="257">
        <f>'[1]January - 2022'!DP32</f>
        <v>3916</v>
      </c>
      <c r="DP32" s="198">
        <f>'[1]January - 2022'!DQ32</f>
        <v>4</v>
      </c>
      <c r="DQ32" s="257">
        <f>'[1]January - 2022'!DR32</f>
        <v>26525</v>
      </c>
      <c r="DR32" s="206">
        <f>'[1]January - 2022'!DS32</f>
        <v>5</v>
      </c>
      <c r="DS32" s="438"/>
      <c r="DT32" s="210">
        <f>'[1]January - 2022'!DU32</f>
        <v>3517.2</v>
      </c>
      <c r="DU32" s="221">
        <f>'[1]January - 2022'!DV32</f>
        <v>7.2999999999997272</v>
      </c>
      <c r="DV32" s="91">
        <f>'[1]January - 2022'!DW32</f>
        <v>8528.2999999999993</v>
      </c>
      <c r="DW32" s="215">
        <f>'[1]January - 2022'!DX32</f>
        <v>5.5</v>
      </c>
      <c r="DX32" s="91">
        <f>'[1]January - 2022'!DY32</f>
        <v>2657.6</v>
      </c>
      <c r="DY32" s="215">
        <f>'[1]January - 2022'!DZ32</f>
        <v>5.4000000000000909</v>
      </c>
      <c r="DZ32" s="91">
        <f>'[1]January - 2022'!EA32</f>
        <v>2789.3</v>
      </c>
      <c r="EA32" s="215">
        <f>'[1]January - 2022'!EB32</f>
        <v>4.9000000000000909</v>
      </c>
      <c r="EB32" s="91">
        <f>'[1]January - 2022'!EC32</f>
        <v>898333</v>
      </c>
      <c r="EC32" s="215">
        <f>'[1]January - 2022'!ED32</f>
        <v>429</v>
      </c>
      <c r="ED32" s="91">
        <f>'[1]January - 2022'!EG32</f>
        <v>183363.4</v>
      </c>
      <c r="EE32" s="229">
        <f>'[1]January - 2022'!EH32</f>
        <v>128.5</v>
      </c>
      <c r="EF32" s="377"/>
      <c r="EG32" s="235">
        <f>'[1]January - 2022'!EJ32</f>
        <v>10543700</v>
      </c>
      <c r="EH32" s="230">
        <f>'[1]January - 2022'!EK32</f>
        <v>1100</v>
      </c>
      <c r="EI32" s="90">
        <f>'[1]January - 2022'!EL32</f>
        <v>838940</v>
      </c>
      <c r="EJ32" s="230">
        <f>'[1]January - 2022'!EM32</f>
        <v>180</v>
      </c>
      <c r="EK32" s="90">
        <f>'[1]January - 2022'!EN32</f>
        <v>6441900</v>
      </c>
      <c r="EL32" s="230">
        <f>'[1]January - 2022'!EO32</f>
        <v>400</v>
      </c>
      <c r="EM32" s="90">
        <f>'[1]January - 2022'!EP32</f>
        <v>2266300</v>
      </c>
      <c r="EN32" s="230">
        <f>'[1]January - 2022'!EQ32</f>
        <v>200</v>
      </c>
      <c r="EO32" s="90">
        <f>'[1]January - 2022'!ER32</f>
        <v>1025280</v>
      </c>
      <c r="EP32" s="230">
        <f>'[1]January - 2022'!ES32</f>
        <v>520</v>
      </c>
      <c r="EQ32" s="90">
        <f>'[1]January - 2022'!ET32</f>
        <v>14404500</v>
      </c>
      <c r="ER32" s="230">
        <f>'[1]January - 2022'!EU32</f>
        <v>400</v>
      </c>
      <c r="ES32" s="425"/>
      <c r="ET32" s="281">
        <f>'[1]January - 2022'!EW32</f>
        <v>38187</v>
      </c>
      <c r="EU32" s="275">
        <f>'[1]January - 2022'!EX32</f>
        <v>13</v>
      </c>
      <c r="EV32" s="282">
        <f>'[1]January - 2022'!EY32</f>
        <v>33089</v>
      </c>
      <c r="EW32" s="275">
        <f>'[1]January - 2022'!EZ32</f>
        <v>10</v>
      </c>
      <c r="EX32" s="282">
        <f>'[1]January - 2022'!FA32</f>
        <v>4174</v>
      </c>
      <c r="EY32" s="275">
        <f>'[1]January - 2022'!FB32</f>
        <v>10</v>
      </c>
      <c r="EZ32" s="282">
        <f>'[1]January - 2022'!FC32</f>
        <v>55006</v>
      </c>
      <c r="FA32" s="275">
        <f>'[1]January - 2022'!FD32</f>
        <v>18</v>
      </c>
      <c r="FB32" s="282">
        <f>'[1]January - 2022'!FE32</f>
        <v>39214</v>
      </c>
      <c r="FC32" s="276">
        <f>'[1]January - 2022'!FF32</f>
        <v>22</v>
      </c>
    </row>
    <row r="33" spans="1:160" ht="30" customHeight="1" x14ac:dyDescent="0.25">
      <c r="A33" s="207">
        <v>43854</v>
      </c>
      <c r="B33" s="209">
        <f>'[1]January - 2022'!B33</f>
        <v>0.59</v>
      </c>
      <c r="C33" s="250">
        <f>'[1]January - 2022'!E33</f>
        <v>954139</v>
      </c>
      <c r="D33" s="170">
        <f>'[1]January - 2022'!F33</f>
        <v>662</v>
      </c>
      <c r="E33" s="168">
        <f>'[1]January - 2022'!G33</f>
        <v>466</v>
      </c>
      <c r="F33" s="168">
        <f>'[1]January - 2022'!H33</f>
        <v>111267</v>
      </c>
      <c r="G33" s="170">
        <f>'[1]January - 2022'!I33</f>
        <v>349</v>
      </c>
      <c r="H33" s="168">
        <f>'[1]January - 2022'!J33</f>
        <v>405</v>
      </c>
      <c r="I33" s="168">
        <f>'[1]January - 2022'!K33</f>
        <v>164625</v>
      </c>
      <c r="J33" s="170">
        <f>'[1]January - 2022'!L33</f>
        <v>0</v>
      </c>
      <c r="K33" s="168">
        <f>'[1]January - 2022'!N33</f>
        <v>826349</v>
      </c>
      <c r="L33" s="170">
        <f>'[1]January - 2022'!O33</f>
        <v>363</v>
      </c>
      <c r="M33" s="168">
        <f>'[1]January - 2022'!Q33</f>
        <v>193740</v>
      </c>
      <c r="N33" s="170">
        <f>'[1]January - 2022'!R33</f>
        <v>338</v>
      </c>
      <c r="O33" s="168">
        <f>'[1]January - 2022'!S33</f>
        <v>56604.47</v>
      </c>
      <c r="P33" s="170">
        <f>'[1]January - 2022'!T33</f>
        <v>53.270000000004075</v>
      </c>
      <c r="Q33" s="168">
        <f>'[1]January - 2022'!U33</f>
        <v>10</v>
      </c>
      <c r="R33" s="168">
        <f>'[1]January - 2022'!V33</f>
        <v>4382</v>
      </c>
      <c r="S33" s="208">
        <f>'[1]January - 2022'!W33</f>
        <v>7</v>
      </c>
      <c r="T33" s="520"/>
      <c r="U33" s="169">
        <f>'[1]January - 2022'!AC33</f>
        <v>7289194.0800000001</v>
      </c>
      <c r="V33" s="288">
        <f>'[1]January - 2022'!AD33</f>
        <v>2728.320000000298</v>
      </c>
      <c r="W33" s="92">
        <f>'[1]January - 2022'!AD33</f>
        <v>2728.320000000298</v>
      </c>
      <c r="X33" s="287">
        <f>'[1]January - 2022'!AF33</f>
        <v>13969242</v>
      </c>
      <c r="Y33" s="288">
        <f>'[1]January - 2022'!AG33</f>
        <v>4774.5600000005215</v>
      </c>
      <c r="Z33" s="92">
        <f>'[1]January - 2022'!AG33</f>
        <v>4774.5600000005215</v>
      </c>
      <c r="AA33" s="287">
        <f>'[1]January - 2022'!AI33</f>
        <v>13841498.16</v>
      </c>
      <c r="AB33" s="288">
        <f>'[1]January - 2022'!AJ33</f>
        <v>146.16000000014901</v>
      </c>
      <c r="AC33" s="92">
        <f>'[1]January - 2022'!AJ33</f>
        <v>146.16000000014901</v>
      </c>
      <c r="AD33" s="287">
        <f>'[1]January - 2022'!AL33</f>
        <v>16787499.119999997</v>
      </c>
      <c r="AE33" s="288">
        <f>'[1]January - 2022'!AM33</f>
        <v>6820.7999999970198</v>
      </c>
      <c r="AF33" s="92">
        <f>'[1]January - 2022'!AM33</f>
        <v>6820.7999999970198</v>
      </c>
      <c r="AG33" s="287">
        <f>'[1]January - 2022'!AO33</f>
        <v>17278889.039999999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15746206.559999999</v>
      </c>
      <c r="AK33" s="288">
        <f>'[1]January - 2022'!AS33</f>
        <v>5651.519999999553</v>
      </c>
      <c r="AL33" s="92">
        <f>'[1]January - 2022'!AS33</f>
        <v>5651.519999999553</v>
      </c>
      <c r="AM33" s="287">
        <f>'[1]January - 2022'!AU33</f>
        <v>13373640</v>
      </c>
      <c r="AN33" s="288">
        <f>'[1]January - 2022'!AV33</f>
        <v>3800.160000000149</v>
      </c>
      <c r="AO33" s="92">
        <f>'[1]January - 2022'!AV33</f>
        <v>3800.160000000149</v>
      </c>
      <c r="AP33" s="287">
        <f>'[1]January - 2022'!AX33</f>
        <v>12859205.52</v>
      </c>
      <c r="AQ33" s="288">
        <f>'[1]January - 2022'!AY33</f>
        <v>4189.9199999999255</v>
      </c>
      <c r="AR33" s="92">
        <f>'[1]January - 2022'!AY33</f>
        <v>4189.9199999999255</v>
      </c>
      <c r="AS33" s="287">
        <f>'[1]January - 2022'!BA33</f>
        <v>10237241.280000001</v>
      </c>
      <c r="AT33" s="288">
        <f>'[1]January - 2022'!BB33</f>
        <v>3069.3600000012666</v>
      </c>
      <c r="AU33" s="92">
        <f>'[1]January - 2022'!BB33</f>
        <v>3069.3600000012666</v>
      </c>
      <c r="AV33" s="287">
        <f>'[1]January - 2022'!BD33</f>
        <v>15912828.959999999</v>
      </c>
      <c r="AW33" s="252">
        <f>'[1]January - 2022'!BE33</f>
        <v>4969.4399999994785</v>
      </c>
      <c r="AX33" s="253">
        <f>'[1]January - 2022'!BE33</f>
        <v>4969.4399999994785</v>
      </c>
      <c r="AY33" s="486"/>
      <c r="AZ33" s="272">
        <f>'[1]January - 2022'!BK33</f>
        <v>68689200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70817900</v>
      </c>
      <c r="BD33" s="245">
        <f>'[1]January - 2022'!BO33</f>
        <v>27300</v>
      </c>
      <c r="BE33" s="93">
        <f>'[1]January - 2022'!BO33</f>
        <v>27300</v>
      </c>
      <c r="BF33" s="272">
        <f>'[1]January - 2022'!BQ33</f>
        <v>65863100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7976980</v>
      </c>
      <c r="BT33" s="185">
        <f>'[1]January - 2022'!BU33</f>
        <v>4880</v>
      </c>
      <c r="BU33" s="393"/>
      <c r="BV33" s="88">
        <f>'[1]January - 2022'!BW33</f>
        <v>0.59</v>
      </c>
      <c r="BW33" s="241">
        <f>'[1]January - 2022'!BX33</f>
        <v>5.0000000000000044E-2</v>
      </c>
      <c r="BX33" s="88">
        <f>'[1]January - 2022'!BX33</f>
        <v>5.0000000000000044E-2</v>
      </c>
      <c r="BY33" s="89">
        <f>'[1]January - 2022'!BZ33</f>
        <v>57991</v>
      </c>
      <c r="BZ33" s="191">
        <f>'[1]January - 2022'!CA33</f>
        <v>15</v>
      </c>
      <c r="CA33" s="89">
        <f>'[1]January - 2022'!CB33</f>
        <v>49442</v>
      </c>
      <c r="CB33" s="191">
        <f>'[1]January - 2022'!CC33</f>
        <v>18</v>
      </c>
      <c r="CC33" s="89">
        <f>'[1]January - 2022'!CD33</f>
        <v>16949</v>
      </c>
      <c r="CD33" s="191">
        <f>'[1]January - 2022'!CE33</f>
        <v>5</v>
      </c>
      <c r="CE33" s="89">
        <f>'[1]January - 2022'!CF33</f>
        <v>22581</v>
      </c>
      <c r="CF33" s="191">
        <f>'[1]January - 2022'!CG33</f>
        <v>12</v>
      </c>
      <c r="CG33" s="89">
        <f>'[1]January - 2022'!CH33</f>
        <v>24607</v>
      </c>
      <c r="CH33" s="191">
        <f>'[1]January - 2022'!CI33</f>
        <v>15</v>
      </c>
      <c r="CI33" s="89">
        <f>'[1]January - 2022'!CJ33</f>
        <v>54542</v>
      </c>
      <c r="CJ33" s="191">
        <f>'[1]January - 2022'!CK33</f>
        <v>21</v>
      </c>
      <c r="CK33" s="89">
        <f>'[1]January - 2022'!CL33</f>
        <v>239011</v>
      </c>
      <c r="CL33" s="246">
        <f>'[1]January - 2022'!CM33</f>
        <v>109</v>
      </c>
      <c r="CM33" s="89">
        <f>'[1]January - 2022'!CM33</f>
        <v>109</v>
      </c>
      <c r="CN33" s="89">
        <f>'[1]January - 2022'!CO33</f>
        <v>185453</v>
      </c>
      <c r="CO33" s="246">
        <f>'[1]January - 2022'!CP33</f>
        <v>113</v>
      </c>
      <c r="CP33" s="89">
        <f>'[1]January - 2022'!CP33</f>
        <v>113</v>
      </c>
      <c r="CQ33" s="89">
        <f>'[1]January - 2022'!CR33</f>
        <v>332479</v>
      </c>
      <c r="CR33" s="246">
        <f>'[1]January - 2022'!CS33</f>
        <v>315</v>
      </c>
      <c r="CS33" s="89">
        <f>'[1]January - 2022'!CS33</f>
        <v>315</v>
      </c>
      <c r="CT33" s="89">
        <f>'[1]January - 2022'!CU33</f>
        <v>631059</v>
      </c>
      <c r="CU33" s="191">
        <f>'[1]January - 2022'!CV33</f>
        <v>257</v>
      </c>
      <c r="CV33" s="453"/>
      <c r="CW33" s="256">
        <f>'[1]January - 2022'!CX33</f>
        <v>6791</v>
      </c>
      <c r="CX33" s="198">
        <f>'[1]January - 2022'!CY33</f>
        <v>6</v>
      </c>
      <c r="CY33" s="257">
        <f>'[1]January - 2022'!CZ33</f>
        <v>4255</v>
      </c>
      <c r="CZ33" s="198">
        <f>'[1]January - 2022'!DA33</f>
        <v>4</v>
      </c>
      <c r="DA33" s="257">
        <f>'[1]January - 2022'!DB33</f>
        <v>27675</v>
      </c>
      <c r="DB33" s="198">
        <f>'[1]January - 2022'!DC33</f>
        <v>15</v>
      </c>
      <c r="DC33" s="257">
        <f>'[1]January - 2022'!DD33</f>
        <v>28299</v>
      </c>
      <c r="DD33" s="198">
        <f>'[1]January - 2022'!DE33</f>
        <v>16</v>
      </c>
      <c r="DE33" s="257">
        <f>'[1]January - 2022'!DF33</f>
        <v>19072</v>
      </c>
      <c r="DF33" s="198">
        <f>'[1]January - 2022'!DG33</f>
        <v>9</v>
      </c>
      <c r="DG33" s="257">
        <f>'[1]January - 2022'!DH33</f>
        <v>22170</v>
      </c>
      <c r="DH33" s="198">
        <f>'[1]January - 2022'!DI33</f>
        <v>8</v>
      </c>
      <c r="DI33" s="257">
        <f>'[1]January - 2022'!DJ33</f>
        <v>3683</v>
      </c>
      <c r="DJ33" s="198">
        <f>'[1]January - 2022'!DK33</f>
        <v>4</v>
      </c>
      <c r="DK33" s="257">
        <f>'[1]January - 2022'!DL33</f>
        <v>7381</v>
      </c>
      <c r="DL33" s="198">
        <f>'[1]January - 2022'!DM33</f>
        <v>12</v>
      </c>
      <c r="DM33" s="257">
        <f>'[1]January - 2022'!DN33</f>
        <v>2008</v>
      </c>
      <c r="DN33" s="198">
        <f>'[1]January - 2022'!DO33</f>
        <v>4</v>
      </c>
      <c r="DO33" s="257">
        <f>'[1]January - 2022'!DP33</f>
        <v>3922</v>
      </c>
      <c r="DP33" s="198">
        <f>'[1]January - 2022'!DQ33</f>
        <v>6</v>
      </c>
      <c r="DQ33" s="257">
        <f>'[1]January - 2022'!DR33</f>
        <v>26533</v>
      </c>
      <c r="DR33" s="206">
        <f>'[1]January - 2022'!DS33</f>
        <v>8</v>
      </c>
      <c r="DS33" s="438"/>
      <c r="DT33" s="210">
        <f>'[1]January - 2022'!DU33</f>
        <v>3525.8</v>
      </c>
      <c r="DU33" s="221">
        <f>'[1]January - 2022'!DV33</f>
        <v>8.6000000000003638</v>
      </c>
      <c r="DV33" s="91">
        <f>'[1]January - 2022'!DW33</f>
        <v>8533.9</v>
      </c>
      <c r="DW33" s="215">
        <f>'[1]January - 2022'!DX33</f>
        <v>5.6000000000003638</v>
      </c>
      <c r="DX33" s="91">
        <f>'[1]January - 2022'!DY33</f>
        <v>2664.1</v>
      </c>
      <c r="DY33" s="215">
        <f>'[1]January - 2022'!DZ33</f>
        <v>6.5</v>
      </c>
      <c r="DZ33" s="91">
        <f>'[1]January - 2022'!EA33</f>
        <v>2794.3</v>
      </c>
      <c r="EA33" s="215">
        <f>'[1]January - 2022'!EB33</f>
        <v>5</v>
      </c>
      <c r="EB33" s="91">
        <f>'[1]January - 2022'!EC33</f>
        <v>898828</v>
      </c>
      <c r="EC33" s="215">
        <f>'[1]January - 2022'!ED33</f>
        <v>495</v>
      </c>
      <c r="ED33" s="91">
        <f>'[1]January - 2022'!EG33</f>
        <v>183512.6</v>
      </c>
      <c r="EE33" s="229">
        <f>'[1]January - 2022'!EH33</f>
        <v>149.20000000001164</v>
      </c>
      <c r="EF33" s="377"/>
      <c r="EG33" s="235">
        <f>'[1]January - 2022'!EJ33</f>
        <v>10545100</v>
      </c>
      <c r="EH33" s="230">
        <f>'[1]January - 2022'!EK33</f>
        <v>1400</v>
      </c>
      <c r="EI33" s="90">
        <f>'[1]January - 2022'!EL33</f>
        <v>839160</v>
      </c>
      <c r="EJ33" s="230">
        <f>'[1]January - 2022'!EM33</f>
        <v>220</v>
      </c>
      <c r="EK33" s="90">
        <f>'[1]January - 2022'!EN33</f>
        <v>6442500</v>
      </c>
      <c r="EL33" s="230">
        <f>'[1]January - 2022'!EO33</f>
        <v>600</v>
      </c>
      <c r="EM33" s="90">
        <f>'[1]January - 2022'!EP33</f>
        <v>2266500</v>
      </c>
      <c r="EN33" s="230">
        <f>'[1]January - 2022'!EQ33</f>
        <v>200</v>
      </c>
      <c r="EO33" s="90">
        <f>'[1]January - 2022'!ER33</f>
        <v>1025880</v>
      </c>
      <c r="EP33" s="230">
        <f>'[1]January - 2022'!ES33</f>
        <v>600</v>
      </c>
      <c r="EQ33" s="90">
        <f>'[1]January - 2022'!ET33</f>
        <v>14404500</v>
      </c>
      <c r="ER33" s="230">
        <f>'[1]January - 2022'!EU33</f>
        <v>0</v>
      </c>
      <c r="ES33" s="425"/>
      <c r="ET33" s="281">
        <f>'[1]January - 2022'!EW33</f>
        <v>38200</v>
      </c>
      <c r="EU33" s="275">
        <f>'[1]January - 2022'!EX33</f>
        <v>13</v>
      </c>
      <c r="EV33" s="282">
        <f>'[1]January - 2022'!EY33</f>
        <v>33099</v>
      </c>
      <c r="EW33" s="275">
        <f>'[1]January - 2022'!EZ33</f>
        <v>10</v>
      </c>
      <c r="EX33" s="282">
        <f>'[1]January - 2022'!FA33</f>
        <v>4185</v>
      </c>
      <c r="EY33" s="275">
        <f>'[1]January - 2022'!FB33</f>
        <v>11</v>
      </c>
      <c r="EZ33" s="282">
        <f>'[1]January - 2022'!FC33</f>
        <v>55023</v>
      </c>
      <c r="FA33" s="275">
        <f>'[1]January - 2022'!FD33</f>
        <v>17</v>
      </c>
      <c r="FB33" s="282">
        <f>'[1]January - 2022'!FE33</f>
        <v>39244</v>
      </c>
      <c r="FC33" s="276">
        <f>'[1]January - 2022'!FF33</f>
        <v>30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-954139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-111267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-164625</v>
      </c>
      <c r="K34" s="168">
        <f>'[1]January - 2022'!N34</f>
        <v>0</v>
      </c>
      <c r="L34" s="170">
        <f>'[1]January - 2022'!O34</f>
        <v>-826349</v>
      </c>
      <c r="M34" s="168">
        <f>'[1]January - 2022'!Q34</f>
        <v>0</v>
      </c>
      <c r="N34" s="170">
        <f>'[1]January - 2022'!R34</f>
        <v>-193740</v>
      </c>
      <c r="O34" s="168">
        <f>'[1]January - 2022'!S34</f>
        <v>0</v>
      </c>
      <c r="P34" s="170">
        <f>'[1]January - 2022'!T34</f>
        <v>-56604.47</v>
      </c>
      <c r="Q34" s="168">
        <f>'[1]January - 2022'!U34</f>
        <v>12</v>
      </c>
      <c r="R34" s="168">
        <f>'[1]January - 2022'!V34</f>
        <v>0</v>
      </c>
      <c r="S34" s="208">
        <f>'[1]January - 2022'!W34</f>
        <v>-4382</v>
      </c>
      <c r="T34" s="520"/>
      <c r="U34" s="169">
        <f>'[1]January - 2022'!AC34</f>
        <v>0</v>
      </c>
      <c r="V34" s="288">
        <f>'[1]January - 2022'!AD34</f>
        <v>-7289194.0800000001</v>
      </c>
      <c r="W34" s="92">
        <f>'[1]January - 2022'!AD34</f>
        <v>-7289194.0800000001</v>
      </c>
      <c r="X34" s="287">
        <f>'[1]January - 2022'!AF34</f>
        <v>0</v>
      </c>
      <c r="Y34" s="288">
        <f>'[1]January - 2022'!AG34</f>
        <v>-13969242</v>
      </c>
      <c r="Z34" s="92">
        <f>'[1]January - 2022'!AG34</f>
        <v>-13969242</v>
      </c>
      <c r="AA34" s="287">
        <f>'[1]January - 2022'!AI34</f>
        <v>0</v>
      </c>
      <c r="AB34" s="288">
        <f>'[1]January - 2022'!AJ34</f>
        <v>-13841498.16</v>
      </c>
      <c r="AC34" s="92">
        <f>'[1]January - 2022'!AJ34</f>
        <v>-13841498.16</v>
      </c>
      <c r="AD34" s="287">
        <f>'[1]January - 2022'!AL34</f>
        <v>0</v>
      </c>
      <c r="AE34" s="288">
        <f>'[1]January - 2022'!AM34</f>
        <v>-16787499.119999997</v>
      </c>
      <c r="AF34" s="92">
        <f>'[1]January - 2022'!AM34</f>
        <v>-16787499.119999997</v>
      </c>
      <c r="AG34" s="287">
        <f>'[1]January - 2022'!AO34</f>
        <v>0</v>
      </c>
      <c r="AH34" s="288">
        <f>'[1]January - 2022'!AP34</f>
        <v>-17278889.039999999</v>
      </c>
      <c r="AI34" s="92">
        <f>'[1]January - 2022'!AP34</f>
        <v>-17278889.039999999</v>
      </c>
      <c r="AJ34" s="287">
        <f>'[1]January - 2022'!AR34</f>
        <v>0</v>
      </c>
      <c r="AK34" s="288">
        <f>'[1]January - 2022'!AS34</f>
        <v>-15746206.559999999</v>
      </c>
      <c r="AL34" s="92">
        <f>'[1]January - 2022'!AS34</f>
        <v>-15746206.559999999</v>
      </c>
      <c r="AM34" s="287">
        <f>'[1]January - 2022'!AU34</f>
        <v>0</v>
      </c>
      <c r="AN34" s="288">
        <f>'[1]January - 2022'!AV34</f>
        <v>-13373640</v>
      </c>
      <c r="AO34" s="92">
        <f>'[1]January - 2022'!AV34</f>
        <v>-13373640</v>
      </c>
      <c r="AP34" s="287">
        <f>'[1]January - 2022'!AX34</f>
        <v>0</v>
      </c>
      <c r="AQ34" s="288">
        <f>'[1]January - 2022'!AY34</f>
        <v>-12859205.52</v>
      </c>
      <c r="AR34" s="92">
        <f>'[1]January - 2022'!AY34</f>
        <v>-12859205.52</v>
      </c>
      <c r="AS34" s="287">
        <f>'[1]January - 2022'!BA34</f>
        <v>0</v>
      </c>
      <c r="AT34" s="288">
        <f>'[1]January - 2022'!BB34</f>
        <v>-10237241.280000001</v>
      </c>
      <c r="AU34" s="92">
        <f>'[1]January - 2022'!BB34</f>
        <v>-10237241.280000001</v>
      </c>
      <c r="AV34" s="287">
        <f>'[1]January - 2022'!BD34</f>
        <v>0</v>
      </c>
      <c r="AW34" s="252">
        <f>'[1]January - 2022'!BE34</f>
        <v>-15912828.959999999</v>
      </c>
      <c r="AX34" s="253">
        <f>'[1]January - 2022'!BE34</f>
        <v>-15912828.959999999</v>
      </c>
      <c r="AY34" s="486"/>
      <c r="AZ34" s="272">
        <f>'[1]January - 2022'!BK34</f>
        <v>0</v>
      </c>
      <c r="BA34" s="179">
        <f>'[1]January - 2022'!BL34</f>
        <v>-68689200</v>
      </c>
      <c r="BB34" s="93">
        <f>'[1]January - 2022'!BL34</f>
        <v>-68689200</v>
      </c>
      <c r="BC34" s="272">
        <f>'[1]January - 2022'!BN34</f>
        <v>0</v>
      </c>
      <c r="BD34" s="245">
        <f>'[1]January - 2022'!BO34</f>
        <v>-70817900</v>
      </c>
      <c r="BE34" s="93">
        <f>'[1]January - 2022'!BO34</f>
        <v>-70817900</v>
      </c>
      <c r="BF34" s="272">
        <f>'[1]January - 2022'!BQ34</f>
        <v>0</v>
      </c>
      <c r="BG34" s="245">
        <f>'[1]January - 2022'!BR34</f>
        <v>-65863100</v>
      </c>
      <c r="BH34" s="93">
        <f>'[1]January - 2022'!BR34</f>
        <v>-65863100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-7976980</v>
      </c>
      <c r="BU34" s="393"/>
      <c r="BV34" s="88">
        <f>'[1]January - 2022'!BW34</f>
        <v>0</v>
      </c>
      <c r="BW34" s="241">
        <f>'[1]January - 2022'!BX34</f>
        <v>0.59</v>
      </c>
      <c r="BX34" s="88">
        <f>'[1]January - 2022'!BX34</f>
        <v>0.59</v>
      </c>
      <c r="BY34" s="89">
        <f>'[1]January - 2022'!BZ34</f>
        <v>0</v>
      </c>
      <c r="BZ34" s="191">
        <f>'[1]January - 2022'!CA34</f>
        <v>-57991</v>
      </c>
      <c r="CA34" s="89">
        <f>'[1]January - 2022'!CB34</f>
        <v>0</v>
      </c>
      <c r="CB34" s="191">
        <f>'[1]January - 2022'!CC34</f>
        <v>-49442</v>
      </c>
      <c r="CC34" s="89">
        <f>'[1]January - 2022'!CD34</f>
        <v>0</v>
      </c>
      <c r="CD34" s="191">
        <f>'[1]January - 2022'!CE34</f>
        <v>-16949</v>
      </c>
      <c r="CE34" s="89">
        <f>'[1]January - 2022'!CF34</f>
        <v>0</v>
      </c>
      <c r="CF34" s="191">
        <f>'[1]January - 2022'!CG34</f>
        <v>-22581</v>
      </c>
      <c r="CG34" s="89">
        <f>'[1]January - 2022'!CH34</f>
        <v>0</v>
      </c>
      <c r="CH34" s="191">
        <f>'[1]January - 2022'!CI34</f>
        <v>-24607</v>
      </c>
      <c r="CI34" s="89">
        <f>'[1]January - 2022'!CJ34</f>
        <v>0</v>
      </c>
      <c r="CJ34" s="191">
        <f>'[1]January - 2022'!CK34</f>
        <v>-54542</v>
      </c>
      <c r="CK34" s="89">
        <f>'[1]January - 2022'!CL34</f>
        <v>0</v>
      </c>
      <c r="CL34" s="246">
        <f>'[1]January - 2022'!CM34</f>
        <v>-239011</v>
      </c>
      <c r="CM34" s="89">
        <f>'[1]January - 2022'!CM34</f>
        <v>-239011</v>
      </c>
      <c r="CN34" s="89">
        <f>'[1]January - 2022'!CO34</f>
        <v>0</v>
      </c>
      <c r="CO34" s="246">
        <f>'[1]January - 2022'!CP34</f>
        <v>-185453</v>
      </c>
      <c r="CP34" s="89">
        <f>'[1]January - 2022'!CP34</f>
        <v>-185453</v>
      </c>
      <c r="CQ34" s="89">
        <f>'[1]January - 2022'!CR34</f>
        <v>0</v>
      </c>
      <c r="CR34" s="246">
        <f>'[1]January - 2022'!CS34</f>
        <v>-332479</v>
      </c>
      <c r="CS34" s="89">
        <f>'[1]January - 2022'!CS34</f>
        <v>-332479</v>
      </c>
      <c r="CT34" s="89">
        <f>'[1]January - 2022'!CU34</f>
        <v>0</v>
      </c>
      <c r="CU34" s="191">
        <f>'[1]January - 2022'!CV34</f>
        <v>-631059</v>
      </c>
      <c r="CV34" s="453"/>
      <c r="CW34" s="256">
        <f>'[1]January - 2022'!CX34</f>
        <v>0</v>
      </c>
      <c r="CX34" s="198">
        <f>'[1]January - 2022'!CY34</f>
        <v>-6791</v>
      </c>
      <c r="CY34" s="257">
        <f>'[1]January - 2022'!CZ34</f>
        <v>0</v>
      </c>
      <c r="CZ34" s="198">
        <f>'[1]January - 2022'!DA34</f>
        <v>-4255</v>
      </c>
      <c r="DA34" s="257">
        <f>'[1]January - 2022'!DB34</f>
        <v>0</v>
      </c>
      <c r="DB34" s="198">
        <f>'[1]January - 2022'!DC34</f>
        <v>-27675</v>
      </c>
      <c r="DC34" s="257">
        <f>'[1]January - 2022'!DD34</f>
        <v>0</v>
      </c>
      <c r="DD34" s="198">
        <f>'[1]January - 2022'!DE34</f>
        <v>-28299</v>
      </c>
      <c r="DE34" s="257">
        <f>'[1]January - 2022'!DF34</f>
        <v>0</v>
      </c>
      <c r="DF34" s="198">
        <f>'[1]January - 2022'!DG34</f>
        <v>-19072</v>
      </c>
      <c r="DG34" s="257">
        <f>'[1]January - 2022'!DH34</f>
        <v>0</v>
      </c>
      <c r="DH34" s="198">
        <f>'[1]January - 2022'!DI34</f>
        <v>-22170</v>
      </c>
      <c r="DI34" s="257">
        <f>'[1]January - 2022'!DJ34</f>
        <v>0</v>
      </c>
      <c r="DJ34" s="198">
        <f>'[1]January - 2022'!DK34</f>
        <v>-3683</v>
      </c>
      <c r="DK34" s="257">
        <f>'[1]January - 2022'!DL34</f>
        <v>0</v>
      </c>
      <c r="DL34" s="198">
        <f>'[1]January - 2022'!DM34</f>
        <v>-7381</v>
      </c>
      <c r="DM34" s="257">
        <f>'[1]January - 2022'!DN34</f>
        <v>0</v>
      </c>
      <c r="DN34" s="198">
        <f>'[1]January - 2022'!DO34</f>
        <v>-2008</v>
      </c>
      <c r="DO34" s="257">
        <f>'[1]January - 2022'!DP34</f>
        <v>0</v>
      </c>
      <c r="DP34" s="198">
        <f>'[1]January - 2022'!DQ34</f>
        <v>-3922</v>
      </c>
      <c r="DQ34" s="257">
        <f>'[1]January - 2022'!DR34</f>
        <v>0</v>
      </c>
      <c r="DR34" s="206">
        <f>'[1]January - 2022'!DS34</f>
        <v>-26533</v>
      </c>
      <c r="DS34" s="438"/>
      <c r="DT34" s="210">
        <f>'[1]January - 2022'!DU34</f>
        <v>0</v>
      </c>
      <c r="DU34" s="221">
        <f>'[1]January - 2022'!DV34</f>
        <v>-3525.8</v>
      </c>
      <c r="DV34" s="91">
        <f>'[1]January - 2022'!DW34</f>
        <v>0</v>
      </c>
      <c r="DW34" s="215">
        <f>'[1]January - 2022'!DX34</f>
        <v>-8533.9</v>
      </c>
      <c r="DX34" s="91">
        <f>'[1]January - 2022'!DY34</f>
        <v>0</v>
      </c>
      <c r="DY34" s="215">
        <f>'[1]January - 2022'!DZ34</f>
        <v>-2664.1</v>
      </c>
      <c r="DZ34" s="91">
        <f>'[1]January - 2022'!EA34</f>
        <v>0</v>
      </c>
      <c r="EA34" s="215">
        <f>'[1]January - 2022'!EB34</f>
        <v>-2794.3</v>
      </c>
      <c r="EB34" s="91">
        <f>'[1]January - 2022'!EC34</f>
        <v>0</v>
      </c>
      <c r="EC34" s="215">
        <f>'[1]January - 2022'!ED34</f>
        <v>-898828</v>
      </c>
      <c r="ED34" s="91">
        <f>'[1]January - 2022'!EG34</f>
        <v>0</v>
      </c>
      <c r="EE34" s="229">
        <f>'[1]January - 2022'!EH34</f>
        <v>-183512.6</v>
      </c>
      <c r="EF34" s="377"/>
      <c r="EG34" s="235">
        <f>'[1]January - 2022'!EJ34</f>
        <v>0</v>
      </c>
      <c r="EH34" s="230">
        <f>'[1]January - 2022'!EK34</f>
        <v>-10545100</v>
      </c>
      <c r="EI34" s="90">
        <f>'[1]January - 2022'!EL34</f>
        <v>0</v>
      </c>
      <c r="EJ34" s="230">
        <f>'[1]January - 2022'!EM34</f>
        <v>-839160</v>
      </c>
      <c r="EK34" s="90">
        <f>'[1]January - 2022'!EN34</f>
        <v>0</v>
      </c>
      <c r="EL34" s="230">
        <f>'[1]January - 2022'!EO34</f>
        <v>-6442500</v>
      </c>
      <c r="EM34" s="90">
        <f>'[1]January - 2022'!EP34</f>
        <v>0</v>
      </c>
      <c r="EN34" s="230">
        <f>'[1]January - 2022'!EQ34</f>
        <v>-2266500</v>
      </c>
      <c r="EO34" s="90">
        <f>'[1]January - 2022'!ER34</f>
        <v>0</v>
      </c>
      <c r="EP34" s="230">
        <f>'[1]January - 2022'!ES34</f>
        <v>-1025880</v>
      </c>
      <c r="EQ34" s="90">
        <f>'[1]January - 2022'!ET34</f>
        <v>0</v>
      </c>
      <c r="ER34" s="230">
        <f>'[1]January - 2022'!EU34</f>
        <v>-14404500</v>
      </c>
      <c r="ES34" s="425"/>
      <c r="ET34" s="281">
        <f>'[1]January - 2022'!EW34</f>
        <v>0</v>
      </c>
      <c r="EU34" s="275">
        <f>'[1]January - 2022'!EX34</f>
        <v>-38200</v>
      </c>
      <c r="EV34" s="282">
        <f>'[1]January - 2022'!EY34</f>
        <v>0</v>
      </c>
      <c r="EW34" s="275">
        <f>'[1]January - 2022'!EZ34</f>
        <v>-33099</v>
      </c>
      <c r="EX34" s="282">
        <f>'[1]January - 2022'!FA34</f>
        <v>0</v>
      </c>
      <c r="EY34" s="275">
        <f>'[1]January - 2022'!FB34</f>
        <v>-4185</v>
      </c>
      <c r="EZ34" s="282">
        <f>'[1]January - 2022'!FC34</f>
        <v>0</v>
      </c>
      <c r="FA34" s="275">
        <f>'[1]January - 2022'!FD34</f>
        <v>-55023</v>
      </c>
      <c r="FB34" s="282">
        <f>'[1]January - 2022'!FE34</f>
        <v>0</v>
      </c>
      <c r="FC34" s="276">
        <f>'[1]January - 2022'!FF34</f>
        <v>-39244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520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86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393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453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438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377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42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520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86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393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453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438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377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42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520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86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393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453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438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377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42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520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86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393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453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438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377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42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520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86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394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453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438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377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42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453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438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377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427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7743</v>
      </c>
      <c r="D44" s="548"/>
      <c r="E44" s="549"/>
      <c r="F44" s="550">
        <f>SUM(H9:H24)</f>
        <v>6720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475</v>
      </c>
      <c r="P44" s="551"/>
      <c r="Q44" s="552"/>
      <c r="R44" s="556"/>
      <c r="S44" s="557"/>
      <c r="T44" s="525"/>
      <c r="U44" s="362">
        <f>SUM(W9:W24)</f>
        <v>35685.83999999892</v>
      </c>
      <c r="V44" s="363"/>
      <c r="W44" s="364"/>
      <c r="X44" s="362">
        <f>SUM(Z9:Z24)</f>
        <v>71764.559999998659</v>
      </c>
      <c r="Y44" s="363"/>
      <c r="Z44" s="364"/>
      <c r="AA44" s="362">
        <f>SUM(AC9:AC24)</f>
        <v>35419.439999999478</v>
      </c>
      <c r="AB44" s="363"/>
      <c r="AC44" s="364"/>
      <c r="AD44" s="362">
        <f>SUM(AF9:AF24)</f>
        <v>6382.3200000021607</v>
      </c>
      <c r="AE44" s="363"/>
      <c r="AF44" s="364"/>
      <c r="AG44" s="362">
        <f>SUM(AI9:AI24)</f>
        <v>89303.760000001639</v>
      </c>
      <c r="AH44" s="363"/>
      <c r="AI44" s="364"/>
      <c r="AJ44" s="362">
        <f>SUM(AL9:AL24)</f>
        <v>84821.519999999553</v>
      </c>
      <c r="AK44" s="363"/>
      <c r="AL44" s="364"/>
      <c r="AM44" s="362">
        <f>SUM(AO9:AO24)</f>
        <v>63579.599999999627</v>
      </c>
      <c r="AN44" s="363"/>
      <c r="AO44" s="364"/>
      <c r="AP44" s="362">
        <f>SUM(AR9:AR24)</f>
        <v>62653.919999999925</v>
      </c>
      <c r="AQ44" s="363"/>
      <c r="AR44" s="364"/>
      <c r="AS44" s="362">
        <f>SUM(AU9:AU24)</f>
        <v>44315.679999999702</v>
      </c>
      <c r="AT44" s="363"/>
      <c r="AU44" s="364"/>
      <c r="AV44" s="362">
        <f>SUM(AX9:AX24)</f>
        <v>80485.440000001341</v>
      </c>
      <c r="AW44" s="363"/>
      <c r="AX44" s="363"/>
      <c r="AY44" s="584"/>
      <c r="AZ44" s="363">
        <f>SUM(BB9:BB24)</f>
        <v>190800</v>
      </c>
      <c r="BA44" s="363"/>
      <c r="BB44" s="363"/>
      <c r="BC44" s="362">
        <f>SUM(BE9:BE24)</f>
        <v>0</v>
      </c>
      <c r="BD44" s="363"/>
      <c r="BE44" s="363"/>
      <c r="BF44" s="357">
        <f>SUM(BH9:BH24)</f>
        <v>383600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1505.7000000000116</v>
      </c>
      <c r="CL44" s="357"/>
      <c r="CM44" s="357"/>
      <c r="CN44" s="357">
        <f>SUM(CP9:CP24)</f>
        <v>1781.1199999999953</v>
      </c>
      <c r="CO44" s="357"/>
      <c r="CP44" s="357"/>
      <c r="CQ44" s="357">
        <f>SUM(CS9:CS24)</f>
        <v>5286.7600000000093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11358</v>
      </c>
      <c r="D45" s="359"/>
      <c r="E45" s="360"/>
      <c r="F45" s="359">
        <f>SUM(G9:G24)</f>
        <v>7513.5299999999988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1032.9800000000032</v>
      </c>
      <c r="P45" s="359"/>
      <c r="Q45" s="360"/>
      <c r="R45" s="365"/>
      <c r="S45" s="366"/>
      <c r="T45" s="526"/>
      <c r="U45" s="350">
        <f>SUM(V9:V24)</f>
        <v>35685.83999999892</v>
      </c>
      <c r="V45" s="350"/>
      <c r="W45" s="351"/>
      <c r="X45" s="350">
        <f>SUM(Y9:Y24)</f>
        <v>71764.559999998659</v>
      </c>
      <c r="Y45" s="350"/>
      <c r="Z45" s="351"/>
      <c r="AA45" s="350">
        <f>SUM(AB9:AB24)</f>
        <v>35419.439999999478</v>
      </c>
      <c r="AB45" s="350"/>
      <c r="AC45" s="351"/>
      <c r="AD45" s="350">
        <f>SUM(AE9:AE24)</f>
        <v>6382.3200000021607</v>
      </c>
      <c r="AE45" s="350"/>
      <c r="AF45" s="351"/>
      <c r="AG45" s="350">
        <f>SUM(AH9:AH24)</f>
        <v>89303.760000001639</v>
      </c>
      <c r="AH45" s="350"/>
      <c r="AI45" s="351"/>
      <c r="AJ45" s="350">
        <f>SUM(AK9:AK24)</f>
        <v>84821.519999999553</v>
      </c>
      <c r="AK45" s="350"/>
      <c r="AL45" s="351"/>
      <c r="AM45" s="350">
        <f>SUM(AN9:AN24)</f>
        <v>63579.599999999627</v>
      </c>
      <c r="AN45" s="350"/>
      <c r="AO45" s="351"/>
      <c r="AP45" s="350">
        <f>SUM(AQ9:AQ24)</f>
        <v>62653.919999999925</v>
      </c>
      <c r="AQ45" s="350"/>
      <c r="AR45" s="351"/>
      <c r="AS45" s="350">
        <f>SUM(AT9:AT24)</f>
        <v>44315.679999999702</v>
      </c>
      <c r="AT45" s="350"/>
      <c r="AU45" s="351"/>
      <c r="AV45" s="350">
        <f>SUM(AW9:AW24)</f>
        <v>80485.440000001341</v>
      </c>
      <c r="AW45" s="350"/>
      <c r="AX45" s="350"/>
      <c r="AY45" s="584"/>
      <c r="AZ45" s="351">
        <f>SUM(BA9:BA24)</f>
        <v>190800</v>
      </c>
      <c r="BA45" s="357"/>
      <c r="BB45" s="357"/>
      <c r="BC45" s="357">
        <f>SUM(BD9:BD24)</f>
        <v>0</v>
      </c>
      <c r="BD45" s="357"/>
      <c r="BE45" s="357"/>
      <c r="BF45" s="357">
        <f>SUM(BG9:BG24)</f>
        <v>383600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1505.7000000000116</v>
      </c>
      <c r="CL45" s="357"/>
      <c r="CM45" s="357"/>
      <c r="CN45" s="357">
        <f>SUM(CO9:CO24)</f>
        <v>1781.1199999999953</v>
      </c>
      <c r="CO45" s="357"/>
      <c r="CP45" s="357"/>
      <c r="CQ45" s="357">
        <f>SUM(CR9:CR24)</f>
        <v>5286.7600000000093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14846</v>
      </c>
      <c r="D47" s="576"/>
      <c r="E47" s="577"/>
      <c r="F47" s="575">
        <f>SUM(H9:H39)</f>
        <v>12921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837</v>
      </c>
      <c r="P47" s="578"/>
      <c r="Q47" s="578"/>
      <c r="R47" s="575">
        <v>476</v>
      </c>
      <c r="S47" s="576"/>
      <c r="T47" s="585"/>
      <c r="U47" s="349">
        <f>SUM(W9:W39)</f>
        <v>-7231779.1200000001</v>
      </c>
      <c r="V47" s="350"/>
      <c r="W47" s="351"/>
      <c r="X47" s="349">
        <f>SUM(Z9:Z39)</f>
        <v>-13854944.880000001</v>
      </c>
      <c r="Y47" s="350"/>
      <c r="Z47" s="351"/>
      <c r="AA47" s="349">
        <f>SUM(AC9:AC39)</f>
        <v>-13761743.52</v>
      </c>
      <c r="AB47" s="350"/>
      <c r="AC47" s="351"/>
      <c r="AD47" s="349">
        <f>SUM(AF9:AF39)</f>
        <v>-16751982.239999998</v>
      </c>
      <c r="AE47" s="350"/>
      <c r="AF47" s="351"/>
      <c r="AG47" s="349">
        <f>SUM(AI9:AI39)</f>
        <v>-17184031.199999999</v>
      </c>
      <c r="AH47" s="350"/>
      <c r="AI47" s="351"/>
      <c r="AJ47" s="349">
        <f>SUM(AL9:AL39)</f>
        <v>-15612567.6</v>
      </c>
      <c r="AK47" s="350"/>
      <c r="AL47" s="351"/>
      <c r="AM47" s="349">
        <f>SUM(AO9:AO39)</f>
        <v>-13275176.880000001</v>
      </c>
      <c r="AN47" s="350"/>
      <c r="AO47" s="351"/>
      <c r="AP47" s="349">
        <f>SUM(AR9:AR39)</f>
        <v>-12759329.52</v>
      </c>
      <c r="AQ47" s="350"/>
      <c r="AR47" s="351"/>
      <c r="AS47" s="349">
        <f>SUM(AU9:AU39)</f>
        <v>-10165642.4</v>
      </c>
      <c r="AT47" s="350"/>
      <c r="AU47" s="351"/>
      <c r="AV47" s="349">
        <f>SUM(AX9:AX39)</f>
        <v>-15785621.039999999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-236532.3</v>
      </c>
      <c r="CL47" s="350"/>
      <c r="CM47" s="351"/>
      <c r="CN47" s="349">
        <f>SUM(CP9:CP39)</f>
        <v>-182625.88</v>
      </c>
      <c r="CO47" s="350"/>
      <c r="CP47" s="351"/>
      <c r="CQ47" s="349">
        <f>SUM(CS9:CS39)</f>
        <v>-324174.24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-938355</v>
      </c>
      <c r="D48" s="576"/>
      <c r="E48" s="577"/>
      <c r="F48" s="575">
        <f>SUM(G9:G39)</f>
        <v>-100193.47</v>
      </c>
      <c r="G48" s="576"/>
      <c r="H48" s="577"/>
      <c r="I48" s="575">
        <f>SUM(J10:J39)</f>
        <v>-164625</v>
      </c>
      <c r="J48" s="577"/>
      <c r="K48" s="575">
        <f>SUM(L9:L39)</f>
        <v>-822048.6</v>
      </c>
      <c r="L48" s="577"/>
      <c r="M48" s="575"/>
      <c r="N48" s="577"/>
      <c r="O48" s="575">
        <f>SUM(P9:P39)</f>
        <v>-54947.85</v>
      </c>
      <c r="P48" s="576"/>
      <c r="Q48" s="577"/>
      <c r="R48" s="575">
        <f>SUM(S9:S39)</f>
        <v>-4176</v>
      </c>
      <c r="S48" s="576"/>
      <c r="T48" s="585"/>
      <c r="U48" s="586">
        <f>SUM(V9:V39)</f>
        <v>-7231779.1200000001</v>
      </c>
      <c r="V48" s="587"/>
      <c r="W48" s="588"/>
      <c r="X48" s="586">
        <f>SUM(Y9:Y39)</f>
        <v>-13854944.880000001</v>
      </c>
      <c r="Y48" s="587"/>
      <c r="Z48" s="588"/>
      <c r="AA48" s="339">
        <f>SUM(AB9:AB39)</f>
        <v>-13761743.52</v>
      </c>
      <c r="AB48" s="340"/>
      <c r="AC48" s="341"/>
      <c r="AD48" s="339">
        <f>SUM(AE9:AE39)</f>
        <v>-16751982.239999998</v>
      </c>
      <c r="AE48" s="340"/>
      <c r="AF48" s="341"/>
      <c r="AG48" s="339">
        <f>SUM(AH9:AH39)</f>
        <v>-17184031.199999999</v>
      </c>
      <c r="AH48" s="340"/>
      <c r="AI48" s="341"/>
      <c r="AJ48" s="339">
        <f>SUM(AK9:AK39)</f>
        <v>-15612567.6</v>
      </c>
      <c r="AK48" s="340"/>
      <c r="AL48" s="341"/>
      <c r="AM48" s="339">
        <f>SUM(AN9:AN39)</f>
        <v>-13275176.880000001</v>
      </c>
      <c r="AN48" s="340"/>
      <c r="AO48" s="341"/>
      <c r="AP48" s="339">
        <f>SUM(AQ9:AQ39)</f>
        <v>-12759329.52</v>
      </c>
      <c r="AQ48" s="340"/>
      <c r="AR48" s="341"/>
      <c r="AS48" s="339">
        <f>SUM(AT9:AT39)</f>
        <v>-10165642.4</v>
      </c>
      <c r="AT48" s="340"/>
      <c r="AU48" s="341"/>
      <c r="AV48" s="339">
        <f>SUM(AW9:AW39)</f>
        <v>-15785621.039999999</v>
      </c>
      <c r="AW48" s="340"/>
      <c r="AX48" s="340"/>
      <c r="AY48" s="584"/>
      <c r="AZ48" s="335">
        <f>SUM(BA9:BA40)</f>
        <v>-68270800</v>
      </c>
      <c r="BA48" s="335"/>
      <c r="BB48" s="336"/>
      <c r="BC48" s="335">
        <f t="shared" ref="BC48" si="0">SUM(BD9:BD40)</f>
        <v>-70700300</v>
      </c>
      <c r="BD48" s="335"/>
      <c r="BE48" s="336"/>
      <c r="BF48" s="335">
        <f t="shared" ref="BF48" si="1">SUM(BG9:BG40)</f>
        <v>-65479500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-7819480</v>
      </c>
      <c r="BT48" s="342"/>
      <c r="BU48" s="565"/>
      <c r="BV48" s="352"/>
      <c r="BW48" s="353"/>
      <c r="BX48" s="117"/>
      <c r="BY48" s="347">
        <f>SUM(BZ9:BZ39)</f>
        <v>-57522</v>
      </c>
      <c r="BZ48" s="348"/>
      <c r="CA48" s="347">
        <f>SUM(CB9:CB39)</f>
        <v>-48984</v>
      </c>
      <c r="CB48" s="348"/>
      <c r="CC48" s="347">
        <f>SUM(CD9:CD39)</f>
        <v>-16823</v>
      </c>
      <c r="CD48" s="348"/>
      <c r="CE48" s="347">
        <f>SUM(CF9:CF39)</f>
        <v>-22306</v>
      </c>
      <c r="CF48" s="348"/>
      <c r="CG48" s="347">
        <f>SUM(CH9:CH39)</f>
        <v>-24342</v>
      </c>
      <c r="CH48" s="348"/>
      <c r="CI48" s="347">
        <f>SUM(CJ9:CJ39)</f>
        <v>-53965</v>
      </c>
      <c r="CJ48" s="348"/>
      <c r="CK48" s="347">
        <f>SUM(CL9:CL39)</f>
        <v>-236532.3</v>
      </c>
      <c r="CL48" s="354"/>
      <c r="CM48" s="348"/>
      <c r="CN48" s="347">
        <f>SUM(CO9:CO39)</f>
        <v>-182625.88</v>
      </c>
      <c r="CO48" s="354"/>
      <c r="CP48" s="348"/>
      <c r="CQ48" s="347">
        <f>SUM(CR9:CR39)</f>
        <v>-324174.24</v>
      </c>
      <c r="CR48" s="354"/>
      <c r="CS48" s="348"/>
      <c r="CT48" s="347">
        <f>SUM(CU9:CU39)</f>
        <v>-625387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953201</v>
      </c>
      <c r="D49" s="303"/>
      <c r="E49" s="304"/>
      <c r="F49" s="302">
        <f>F47-F48</f>
        <v>113114.47</v>
      </c>
      <c r="G49" s="303"/>
      <c r="H49" s="304"/>
      <c r="I49" s="302">
        <f>I47-I48</f>
        <v>171673.9</v>
      </c>
      <c r="J49" s="304"/>
      <c r="K49" s="302">
        <f>K47-K48</f>
        <v>829750.8</v>
      </c>
      <c r="L49" s="304"/>
      <c r="M49" s="302"/>
      <c r="N49" s="304"/>
      <c r="O49" s="589">
        <f>O47-O48</f>
        <v>55784.85</v>
      </c>
      <c r="P49" s="589"/>
      <c r="Q49" s="589"/>
      <c r="R49" s="302">
        <f>R47-R48</f>
        <v>4652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-68618100</v>
      </c>
      <c r="BA49" s="335"/>
      <c r="BB49" s="336"/>
      <c r="BC49" s="335">
        <f t="shared" ref="BC49" si="2">BC48-BC47</f>
        <v>-71061400</v>
      </c>
      <c r="BD49" s="335"/>
      <c r="BE49" s="336"/>
      <c r="BF49" s="335">
        <f t="shared" ref="BF49" si="3">BF48-BF47</f>
        <v>-66038342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629281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-136382818.39999998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-136382818.39999998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574412.08000000101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574412.08000000101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-204450600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2022-01-25T06:26:50Z</dcterms:modified>
</cp:coreProperties>
</file>