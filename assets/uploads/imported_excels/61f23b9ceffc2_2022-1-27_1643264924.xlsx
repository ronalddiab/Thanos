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5690" windowHeight="8055" activeTab="1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M12" i="4" s="1"/>
  <c r="L13" i="4"/>
  <c r="M13" i="4" s="1"/>
  <c r="L14" i="4"/>
  <c r="M14" i="4" s="1"/>
  <c r="L15" i="4"/>
  <c r="L16" i="4"/>
  <c r="L17" i="4"/>
  <c r="M17" i="4" s="1"/>
  <c r="L18" i="4"/>
  <c r="M18" i="4" s="1"/>
  <c r="K19" i="4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K12" i="4" s="1"/>
  <c r="J13" i="4"/>
  <c r="K13" i="4" s="1"/>
  <c r="J14" i="4"/>
  <c r="K14" i="4" s="1"/>
  <c r="J15" i="4"/>
  <c r="K15" i="4" s="1"/>
  <c r="J16" i="4"/>
  <c r="J17" i="4"/>
  <c r="K17" i="4" s="1"/>
  <c r="J18" i="4"/>
  <c r="J19" i="4"/>
  <c r="J20" i="4"/>
  <c r="K20" i="4" s="1"/>
  <c r="J21" i="4"/>
  <c r="K21" i="4" s="1"/>
  <c r="J22" i="4"/>
  <c r="K22" i="4" s="1"/>
  <c r="J23" i="4"/>
  <c r="K23" i="4" s="1"/>
  <c r="J24" i="4"/>
  <c r="J25" i="4"/>
  <c r="K25" i="4" s="1"/>
  <c r="J26" i="4"/>
  <c r="K26" i="4" s="1"/>
  <c r="J27" i="4"/>
  <c r="J28" i="4"/>
  <c r="K28" i="4" s="1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M25" i="3" s="1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30" i="3" l="1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E47" i="1"/>
  <c r="Q53" i="4"/>
  <c r="E93" i="1"/>
  <c r="E104" i="1"/>
  <c r="E109" i="1"/>
  <c r="E143" i="1"/>
  <c r="E20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<sst xmlns="http://schemas.openxmlformats.org/spreadsheetml/2006/main" count="606" uniqueCount="76">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</sst>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B7" workbookViewId="0">
      <selection activeCell="L27" sqref="L2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41">
        <v>2.06</v>
      </c>
      <c r="G11" s="4">
        <f>'Gas Water'!M14</f>
        <v>2670</v>
      </c>
      <c r="H11" s="141">
        <v>6.17</v>
      </c>
      <c r="I11" s="2">
        <f>'Gas Water'!L14</f>
        <v>182</v>
      </c>
      <c r="J11" s="141">
        <v>14.95</v>
      </c>
      <c r="K11" s="5">
        <v>98</v>
      </c>
      <c r="L11" s="5">
        <v>164</v>
      </c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41">
        <v>2.06</v>
      </c>
      <c r="G12" s="4">
        <f>'Gas Water'!M15</f>
        <v>3164</v>
      </c>
      <c r="H12" s="141">
        <v>6.17</v>
      </c>
      <c r="I12" s="2">
        <f>'Gas Water'!L15</f>
        <v>148</v>
      </c>
      <c r="J12" s="141">
        <v>14.95</v>
      </c>
      <c r="K12" s="5">
        <v>97</v>
      </c>
      <c r="L12" s="5">
        <v>159</v>
      </c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41">
        <v>2.06</v>
      </c>
      <c r="G13" s="4">
        <f>'Gas Water'!M16</f>
        <v>3991</v>
      </c>
      <c r="H13" s="141">
        <v>6.17</v>
      </c>
      <c r="I13" s="2">
        <f>'Gas Water'!L16</f>
        <v>175</v>
      </c>
      <c r="J13" s="141">
        <v>14.95</v>
      </c>
      <c r="K13" s="5">
        <v>96</v>
      </c>
      <c r="L13" s="5">
        <v>139</v>
      </c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41">
        <v>2.06</v>
      </c>
      <c r="G14" s="4">
        <f>'Gas Water'!M17</f>
        <v>4064</v>
      </c>
      <c r="H14" s="141">
        <v>6.17</v>
      </c>
      <c r="I14" s="2">
        <f>'Gas Water'!L17</f>
        <v>122</v>
      </c>
      <c r="J14" s="141">
        <v>14.95</v>
      </c>
      <c r="K14" s="5">
        <v>102</v>
      </c>
      <c r="L14" s="5">
        <v>167</v>
      </c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41">
        <v>2.06</v>
      </c>
      <c r="G15" s="4">
        <f>'Gas Water'!M18</f>
        <v>3946</v>
      </c>
      <c r="H15" s="141">
        <v>6.17</v>
      </c>
      <c r="I15" s="2">
        <f>'Gas Water'!L18</f>
        <v>144</v>
      </c>
      <c r="J15" s="141">
        <v>14.95</v>
      </c>
      <c r="K15" s="5">
        <v>111</v>
      </c>
      <c r="L15" s="5">
        <v>186</v>
      </c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41">
        <v>2.06</v>
      </c>
      <c r="G16" s="4">
        <f>'Gas Water'!M19</f>
        <v>3639</v>
      </c>
      <c r="H16" s="141">
        <v>6.17</v>
      </c>
      <c r="I16" s="2">
        <f>'Gas Water'!L19</f>
        <v>161</v>
      </c>
      <c r="J16" s="141">
        <v>14.95</v>
      </c>
      <c r="K16" s="5">
        <v>100</v>
      </c>
      <c r="L16" s="5">
        <v>178</v>
      </c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41">
        <v>2.06</v>
      </c>
      <c r="G17" s="4">
        <f>'Gas Water'!M20</f>
        <v>3669</v>
      </c>
      <c r="H17" s="141">
        <v>6.17</v>
      </c>
      <c r="I17" s="2">
        <f>'Gas Water'!L20</f>
        <v>139</v>
      </c>
      <c r="J17" s="141">
        <v>14.95</v>
      </c>
      <c r="K17" s="5">
        <v>67</v>
      </c>
      <c r="L17" s="5">
        <v>116</v>
      </c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>
        <v>24653</v>
      </c>
      <c r="F18" s="141">
        <v>2.06</v>
      </c>
      <c r="G18" s="4">
        <v>3409</v>
      </c>
      <c r="H18" s="141">
        <v>6.17</v>
      </c>
      <c r="I18" s="2">
        <v>168</v>
      </c>
      <c r="J18" s="141">
        <v>14.95</v>
      </c>
      <c r="K18" s="5">
        <v>46</v>
      </c>
      <c r="L18" s="5">
        <v>84</v>
      </c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>
        <v>23080</v>
      </c>
      <c r="F19" s="141">
        <v>2.06</v>
      </c>
      <c r="G19" s="4">
        <v>3817</v>
      </c>
      <c r="H19" s="141">
        <v>6.17</v>
      </c>
      <c r="I19" s="2">
        <v>121</v>
      </c>
      <c r="J19" s="141">
        <v>14.95</v>
      </c>
      <c r="K19" s="5">
        <v>57</v>
      </c>
      <c r="L19" s="5">
        <v>89</v>
      </c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>
        <v>23101</v>
      </c>
      <c r="F20" s="141">
        <v>2.06</v>
      </c>
      <c r="G20" s="4">
        <v>4098</v>
      </c>
      <c r="H20" s="141">
        <v>6.17</v>
      </c>
      <c r="I20" s="2">
        <v>128</v>
      </c>
      <c r="J20" s="141">
        <v>14.95</v>
      </c>
      <c r="K20" s="5">
        <v>67</v>
      </c>
      <c r="L20" s="5">
        <v>109</v>
      </c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>
        <v>23378</v>
      </c>
      <c r="F21" s="141">
        <v>2.06</v>
      </c>
      <c r="G21" s="4">
        <v>3568</v>
      </c>
      <c r="H21" s="141">
        <v>6.17</v>
      </c>
      <c r="I21" s="2">
        <v>147</v>
      </c>
      <c r="J21" s="141">
        <v>14.95</v>
      </c>
      <c r="K21" s="5">
        <v>91</v>
      </c>
      <c r="L21" s="5">
        <v>143</v>
      </c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>
        <v>22612</v>
      </c>
      <c r="F22" s="141">
        <v>2.06</v>
      </c>
      <c r="G22" s="4">
        <v>2117</v>
      </c>
      <c r="H22" s="141">
        <v>6.17</v>
      </c>
      <c r="I22" s="2">
        <v>117</v>
      </c>
      <c r="J22" s="141">
        <v>14.95</v>
      </c>
      <c r="K22" s="5">
        <v>87</v>
      </c>
      <c r="L22" s="5">
        <v>140</v>
      </c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>
        <v>24827</v>
      </c>
      <c r="F23" s="141">
        <v>2.06</v>
      </c>
      <c r="G23" s="4">
        <v>1731</v>
      </c>
      <c r="H23" s="141">
        <v>6.17</v>
      </c>
      <c r="I23" s="2">
        <v>140</v>
      </c>
      <c r="J23" s="141">
        <v>14.95</v>
      </c>
      <c r="K23" s="5">
        <v>104</v>
      </c>
      <c r="L23" s="5">
        <v>170</v>
      </c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41">
        <v>2.06</v>
      </c>
      <c r="G24" s="4">
        <f>'Gas Water'!M27</f>
        <v>4282</v>
      </c>
      <c r="H24" s="141">
        <v>6.17</v>
      </c>
      <c r="I24" s="2">
        <f>'Gas Water'!L27</f>
        <v>140</v>
      </c>
      <c r="J24" s="141">
        <v>14.95</v>
      </c>
      <c r="K24" s="5">
        <v>82</v>
      </c>
      <c r="L24" s="5">
        <v>118</v>
      </c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41">
        <v>2.06</v>
      </c>
      <c r="G25" s="4">
        <f>'Gas Water'!M28</f>
        <v>4328</v>
      </c>
      <c r="H25" s="141">
        <v>6.17</v>
      </c>
      <c r="I25" s="2">
        <f>'Gas Water'!L28</f>
        <v>110</v>
      </c>
      <c r="J25" s="141">
        <v>14.95</v>
      </c>
      <c r="K25" s="5">
        <v>94</v>
      </c>
      <c r="L25" s="5">
        <v>145</v>
      </c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41">
        <v>2.06</v>
      </c>
      <c r="G26" s="4">
        <f>'Gas Water'!M29</f>
        <v>4490</v>
      </c>
      <c r="H26" s="141">
        <v>6.17</v>
      </c>
      <c r="I26" s="2">
        <f>'Gas Water'!L29</f>
        <v>114</v>
      </c>
      <c r="J26" s="141">
        <v>14.95</v>
      </c>
      <c r="K26" s="5">
        <v>70</v>
      </c>
      <c r="L26" s="5">
        <v>104</v>
      </c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41">
        <v>2.06</v>
      </c>
      <c r="G27" s="4" t="e">
        <f>'Gas Water'!M30</f>
        <v>#VALUE!</v>
      </c>
      <c r="H27" s="141">
        <v>6.17</v>
      </c>
      <c r="I27" s="2">
        <f>'Gas Water'!L30</f>
        <v>140</v>
      </c>
      <c r="J27" s="141">
        <v>14.95</v>
      </c>
      <c r="K27" s="5">
        <v>67</v>
      </c>
      <c r="L27" s="5">
        <v>101</v>
      </c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abSelected="1" topLeftCell="B1" workbookViewId="0">
      <selection activeCell="D30" sqref="D3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41">
        <v>16228335</v>
      </c>
      <c r="D14" s="162">
        <v>5120934</v>
      </c>
      <c r="E14" s="163">
        <v>245586</v>
      </c>
      <c r="F14" s="164">
        <v>641063</v>
      </c>
      <c r="G14" s="165">
        <v>295942</v>
      </c>
      <c r="H14" s="28">
        <f t="shared" si="1"/>
        <v>0</v>
      </c>
      <c r="I14" s="28">
        <f t="shared" si="6"/>
        <v>2301</v>
      </c>
      <c r="J14" s="28">
        <f t="shared" si="2"/>
        <v>170</v>
      </c>
      <c r="K14" s="28">
        <f t="shared" si="7"/>
        <v>199</v>
      </c>
      <c r="L14" s="29">
        <f t="shared" si="4"/>
        <v>182</v>
      </c>
      <c r="M14" s="30">
        <f t="shared" si="0"/>
        <v>2670</v>
      </c>
      <c r="Q14" s="20">
        <f t="shared" si="5"/>
        <v>0</v>
      </c>
    </row>
    <row r="15" spans="1:23" s="10" customFormat="1" ht="12.95" customHeight="1" x14ac:dyDescent="0.2">
      <c r="B15" s="22">
        <v>44207</v>
      </c>
      <c r="C15" s="41">
        <v>16228335</v>
      </c>
      <c r="D15" s="162">
        <v>5123728</v>
      </c>
      <c r="E15" s="163">
        <v>245785</v>
      </c>
      <c r="F15" s="164">
        <v>641234</v>
      </c>
      <c r="G15" s="165">
        <v>296090</v>
      </c>
      <c r="H15" s="28">
        <f t="shared" si="1"/>
        <v>0</v>
      </c>
      <c r="I15" s="28">
        <f t="shared" si="6"/>
        <v>2794</v>
      </c>
      <c r="J15" s="28">
        <f t="shared" si="2"/>
        <v>199</v>
      </c>
      <c r="K15" s="28">
        <f t="shared" si="7"/>
        <v>171</v>
      </c>
      <c r="L15" s="29">
        <f t="shared" si="4"/>
        <v>148</v>
      </c>
      <c r="M15" s="30">
        <f t="shared" si="0"/>
        <v>3164</v>
      </c>
      <c r="Q15" s="20">
        <f t="shared" si="5"/>
        <v>0</v>
      </c>
    </row>
    <row r="16" spans="1:23" s="10" customFormat="1" ht="12.95" customHeight="1" x14ac:dyDescent="0.2">
      <c r="B16" s="22">
        <v>44208</v>
      </c>
      <c r="C16" s="41">
        <v>16228335</v>
      </c>
      <c r="D16" s="162">
        <v>5127388</v>
      </c>
      <c r="E16" s="163">
        <v>245930</v>
      </c>
      <c r="F16" s="164">
        <v>641420</v>
      </c>
      <c r="G16" s="165">
        <v>296265</v>
      </c>
      <c r="H16" s="28">
        <f t="shared" si="1"/>
        <v>0</v>
      </c>
      <c r="I16" s="28">
        <f t="shared" si="6"/>
        <v>3660</v>
      </c>
      <c r="J16" s="28">
        <f t="shared" si="2"/>
        <v>145</v>
      </c>
      <c r="K16" s="28">
        <f t="shared" si="7"/>
        <v>186</v>
      </c>
      <c r="L16" s="29">
        <f t="shared" si="4"/>
        <v>175</v>
      </c>
      <c r="M16" s="30">
        <f t="shared" si="0"/>
        <v>3991</v>
      </c>
      <c r="Q16" s="20">
        <f t="shared" si="5"/>
        <v>0</v>
      </c>
    </row>
    <row r="17" spans="2:17" s="10" customFormat="1" ht="12.95" customHeight="1" x14ac:dyDescent="0.2">
      <c r="B17" s="22">
        <v>44209</v>
      </c>
      <c r="C17" s="41">
        <v>16228335</v>
      </c>
      <c r="D17" s="162">
        <v>5131328</v>
      </c>
      <c r="E17" s="163">
        <v>246054</v>
      </c>
      <c r="F17" s="164">
        <v>641420</v>
      </c>
      <c r="G17" s="165">
        <v>296387</v>
      </c>
      <c r="H17" s="28">
        <f t="shared" si="1"/>
        <v>0</v>
      </c>
      <c r="I17" s="28">
        <f t="shared" si="6"/>
        <v>3940</v>
      </c>
      <c r="J17" s="28">
        <f t="shared" si="2"/>
        <v>124</v>
      </c>
      <c r="K17" s="28">
        <f t="shared" si="7"/>
        <v>0</v>
      </c>
      <c r="L17" s="29">
        <f t="shared" si="4"/>
        <v>122</v>
      </c>
      <c r="M17" s="30">
        <f t="shared" si="0"/>
        <v>4064</v>
      </c>
      <c r="Q17" s="20">
        <f t="shared" si="5"/>
        <v>0</v>
      </c>
    </row>
    <row r="18" spans="2:17" s="10" customFormat="1" ht="12.95" customHeight="1" x14ac:dyDescent="0.2">
      <c r="B18" s="22">
        <v>44210</v>
      </c>
      <c r="C18" s="41">
        <v>16228335</v>
      </c>
      <c r="D18" s="162">
        <v>5134834</v>
      </c>
      <c r="E18" s="163">
        <v>246173</v>
      </c>
      <c r="F18" s="164">
        <v>641741</v>
      </c>
      <c r="G18" s="165">
        <v>296531</v>
      </c>
      <c r="H18" s="28">
        <f t="shared" si="1"/>
        <v>0</v>
      </c>
      <c r="I18" s="28">
        <f t="shared" si="6"/>
        <v>3506</v>
      </c>
      <c r="J18" s="28">
        <f t="shared" si="2"/>
        <v>119</v>
      </c>
      <c r="K18" s="28">
        <f t="shared" si="7"/>
        <v>321</v>
      </c>
      <c r="L18" s="29">
        <f t="shared" si="4"/>
        <v>144</v>
      </c>
      <c r="M18" s="30">
        <f t="shared" si="0"/>
        <v>3946</v>
      </c>
      <c r="Q18" s="20">
        <f t="shared" si="5"/>
        <v>0</v>
      </c>
    </row>
    <row r="19" spans="2:17" s="10" customFormat="1" ht="12.95" customHeight="1" x14ac:dyDescent="0.2">
      <c r="B19" s="22">
        <v>44211</v>
      </c>
      <c r="C19" s="41">
        <v>16228335</v>
      </c>
      <c r="D19" s="162">
        <v>5138157</v>
      </c>
      <c r="E19" s="163">
        <v>246321</v>
      </c>
      <c r="F19" s="164">
        <v>641909</v>
      </c>
      <c r="G19" s="165">
        <v>296692</v>
      </c>
      <c r="H19" s="28">
        <f t="shared" si="1"/>
        <v>0</v>
      </c>
      <c r="I19" s="28">
        <f t="shared" si="6"/>
        <v>3323</v>
      </c>
      <c r="J19" s="28">
        <f t="shared" si="2"/>
        <v>148</v>
      </c>
      <c r="K19" s="28">
        <f t="shared" si="7"/>
        <v>168</v>
      </c>
      <c r="L19" s="29">
        <f t="shared" si="4"/>
        <v>161</v>
      </c>
      <c r="M19" s="30">
        <f t="shared" si="0"/>
        <v>3639</v>
      </c>
      <c r="Q19" s="20">
        <f t="shared" si="5"/>
        <v>0</v>
      </c>
    </row>
    <row r="20" spans="2:17" s="10" customFormat="1" ht="12.95" customHeight="1" x14ac:dyDescent="0.2">
      <c r="B20" s="22">
        <v>44212</v>
      </c>
      <c r="C20" s="41">
        <v>16228335</v>
      </c>
      <c r="D20" s="162">
        <v>5141532</v>
      </c>
      <c r="E20" s="163">
        <v>246442</v>
      </c>
      <c r="F20" s="164">
        <v>642082</v>
      </c>
      <c r="G20" s="165">
        <v>296831</v>
      </c>
      <c r="H20" s="28">
        <f t="shared" si="1"/>
        <v>0</v>
      </c>
      <c r="I20" s="28">
        <f t="shared" si="6"/>
        <v>3375</v>
      </c>
      <c r="J20" s="28">
        <f t="shared" si="2"/>
        <v>121</v>
      </c>
      <c r="K20" s="28">
        <f t="shared" si="7"/>
        <v>173</v>
      </c>
      <c r="L20" s="29">
        <f t="shared" si="4"/>
        <v>139</v>
      </c>
      <c r="M20" s="30">
        <f t="shared" si="0"/>
        <v>3669</v>
      </c>
      <c r="Q20" s="20">
        <f t="shared" si="5"/>
        <v>0</v>
      </c>
    </row>
    <row r="21" spans="2:17" s="10" customFormat="1" ht="12.95" customHeight="1" x14ac:dyDescent="0.2">
      <c r="B21" s="22">
        <v>44213</v>
      </c>
      <c r="C21" s="161">
        <v>16228335</v>
      </c>
      <c r="D21" s="162">
        <v>5144650</v>
      </c>
      <c r="E21" s="163">
        <v>246575</v>
      </c>
      <c r="F21" s="164">
        <v>642240</v>
      </c>
      <c r="G21" s="165">
        <v>296999</v>
      </c>
      <c r="H21" s="28">
        <f t="shared" si="1"/>
        <v>0</v>
      </c>
      <c r="I21" s="28">
        <f t="shared" si="6"/>
        <v>3118</v>
      </c>
      <c r="J21" s="28">
        <f t="shared" si="2"/>
        <v>133</v>
      </c>
      <c r="K21" s="28">
        <f t="shared" si="7"/>
        <v>158</v>
      </c>
      <c r="L21" s="29">
        <f t="shared" si="4"/>
        <v>168</v>
      </c>
      <c r="M21" s="30">
        <f t="shared" si="0"/>
        <v>3409</v>
      </c>
      <c r="Q21" s="20">
        <f t="shared" si="5"/>
        <v>0</v>
      </c>
    </row>
    <row r="22" spans="2:17" s="10" customFormat="1" ht="12.95" customHeight="1" x14ac:dyDescent="0.2">
      <c r="B22" s="22">
        <v>44214</v>
      </c>
      <c r="C22" s="161">
        <v>16228335</v>
      </c>
      <c r="D22" s="162">
        <v>5148176</v>
      </c>
      <c r="E22" s="163">
        <v>246722</v>
      </c>
      <c r="F22" s="164">
        <v>642384</v>
      </c>
      <c r="G22" s="165">
        <v>297120</v>
      </c>
      <c r="H22" s="28">
        <f t="shared" si="1"/>
        <v>0</v>
      </c>
      <c r="I22" s="28">
        <f t="shared" si="6"/>
        <v>3526</v>
      </c>
      <c r="J22" s="28">
        <f t="shared" si="2"/>
        <v>147</v>
      </c>
      <c r="K22" s="28">
        <f t="shared" si="7"/>
        <v>144</v>
      </c>
      <c r="L22" s="29">
        <f t="shared" si="4"/>
        <v>121</v>
      </c>
      <c r="M22" s="30">
        <f t="shared" si="0"/>
        <v>3817</v>
      </c>
      <c r="Q22" s="20">
        <f t="shared" si="5"/>
        <v>0</v>
      </c>
    </row>
    <row r="23" spans="2:17" s="10" customFormat="1" ht="12.95" customHeight="1" x14ac:dyDescent="0.2">
      <c r="B23" s="22">
        <v>44215</v>
      </c>
      <c r="C23" s="161">
        <v>16228335</v>
      </c>
      <c r="D23" s="162">
        <v>5151980</v>
      </c>
      <c r="E23" s="163">
        <v>246886</v>
      </c>
      <c r="F23" s="164">
        <v>642514</v>
      </c>
      <c r="G23" s="165">
        <v>297248</v>
      </c>
      <c r="H23" s="28">
        <f t="shared" si="1"/>
        <v>0</v>
      </c>
      <c r="I23" s="28">
        <f t="shared" si="6"/>
        <v>3804</v>
      </c>
      <c r="J23" s="28">
        <f t="shared" si="2"/>
        <v>164</v>
      </c>
      <c r="K23" s="28">
        <f t="shared" si="7"/>
        <v>130</v>
      </c>
      <c r="L23" s="29">
        <f t="shared" si="4"/>
        <v>128</v>
      </c>
      <c r="M23" s="30">
        <f t="shared" si="0"/>
        <v>4098</v>
      </c>
      <c r="Q23" s="20">
        <f t="shared" si="5"/>
        <v>0</v>
      </c>
    </row>
    <row r="24" spans="2:17" s="10" customFormat="1" ht="12.95" customHeight="1" thickBot="1" x14ac:dyDescent="0.25">
      <c r="B24" s="22">
        <v>44216</v>
      </c>
      <c r="C24" s="161">
        <v>16228335</v>
      </c>
      <c r="D24" s="162">
        <v>5155253</v>
      </c>
      <c r="E24" s="163">
        <v>247040</v>
      </c>
      <c r="F24" s="164">
        <v>642655</v>
      </c>
      <c r="G24" s="165">
        <v>297395</v>
      </c>
      <c r="H24" s="28">
        <f t="shared" si="1"/>
        <v>0</v>
      </c>
      <c r="I24" s="28">
        <f t="shared" si="6"/>
        <v>3273</v>
      </c>
      <c r="J24" s="28">
        <f t="shared" si="2"/>
        <v>154</v>
      </c>
      <c r="K24" s="28">
        <f t="shared" si="7"/>
        <v>141</v>
      </c>
      <c r="L24" s="29">
        <f t="shared" si="4"/>
        <v>147</v>
      </c>
      <c r="M24" s="30">
        <f t="shared" si="0"/>
        <v>3568</v>
      </c>
      <c r="Q24" s="20">
        <f t="shared" si="5"/>
        <v>0</v>
      </c>
    </row>
    <row r="25" spans="2:17" s="10" customFormat="1" ht="12.95" customHeight="1" x14ac:dyDescent="0.2">
      <c r="B25" s="22">
        <v>44217</v>
      </c>
      <c r="C25" s="161">
        <v>16228335</v>
      </c>
      <c r="D25" s="162">
        <v>5157034</v>
      </c>
      <c r="E25" s="163">
        <v>247218</v>
      </c>
      <c r="F25" s="164">
        <v>642813</v>
      </c>
      <c r="G25" s="165">
        <v>297512</v>
      </c>
      <c r="H25" s="28">
        <f t="shared" si="1"/>
        <v>0</v>
      </c>
      <c r="I25" s="28">
        <f t="shared" si="6"/>
        <v>1781</v>
      </c>
      <c r="J25" s="28">
        <f t="shared" si="2"/>
        <v>178</v>
      </c>
      <c r="K25" s="28">
        <f t="shared" si="7"/>
        <v>158</v>
      </c>
      <c r="L25" s="29">
        <f t="shared" si="4"/>
        <v>117</v>
      </c>
      <c r="M25" s="30">
        <f t="shared" si="0"/>
        <v>2117</v>
      </c>
      <c r="N25" s="185" t="s">
        <v>21</v>
      </c>
      <c r="O25" s="185" t="s">
        <v>22</v>
      </c>
      <c r="Q25" s="20">
        <f t="shared" si="5"/>
        <v>0</v>
      </c>
    </row>
    <row r="26" spans="2:17" s="10" customFormat="1" ht="12.95" customHeight="1" x14ac:dyDescent="0.2">
      <c r="B26" s="22">
        <v>44218</v>
      </c>
      <c r="C26" s="161">
        <v>16228335</v>
      </c>
      <c r="D26" s="162">
        <v>5158429</v>
      </c>
      <c r="E26" s="163">
        <v>247407</v>
      </c>
      <c r="F26" s="164">
        <v>642960</v>
      </c>
      <c r="G26" s="165">
        <v>297652</v>
      </c>
      <c r="H26" s="28">
        <f t="shared" si="1"/>
        <v>0</v>
      </c>
      <c r="I26" s="28">
        <f t="shared" si="6"/>
        <v>1395</v>
      </c>
      <c r="J26" s="28">
        <f t="shared" si="2"/>
        <v>189</v>
      </c>
      <c r="K26" s="28">
        <f t="shared" si="7"/>
        <v>147</v>
      </c>
      <c r="L26" s="29">
        <f t="shared" si="4"/>
        <v>140</v>
      </c>
      <c r="M26" s="30">
        <f t="shared" si="0"/>
        <v>1731</v>
      </c>
      <c r="N26" s="186"/>
      <c r="O26" s="186"/>
      <c r="Q26" s="20">
        <f t="shared" si="5"/>
        <v>0</v>
      </c>
    </row>
    <row r="27" spans="2:17" s="10" customFormat="1" ht="12.95" customHeight="1" thickBot="1" x14ac:dyDescent="0.25">
      <c r="B27" s="22">
        <v>44219</v>
      </c>
      <c r="C27" s="161">
        <v>16228335</v>
      </c>
      <c r="D27" s="162">
        <v>5162376</v>
      </c>
      <c r="E27" s="163">
        <v>247548</v>
      </c>
      <c r="F27" s="164">
        <v>643154</v>
      </c>
      <c r="G27" s="165">
        <v>297792</v>
      </c>
      <c r="H27" s="28">
        <f t="shared" si="1"/>
        <v>0</v>
      </c>
      <c r="I27" s="28">
        <f t="shared" si="6"/>
        <v>3947</v>
      </c>
      <c r="J27" s="28">
        <f t="shared" si="2"/>
        <v>141</v>
      </c>
      <c r="K27" s="28">
        <f t="shared" si="7"/>
        <v>194</v>
      </c>
      <c r="L27" s="29">
        <f t="shared" si="4"/>
        <v>140</v>
      </c>
      <c r="M27" s="30">
        <f t="shared" si="0"/>
        <v>4282</v>
      </c>
      <c r="N27" s="187"/>
      <c r="O27" s="187"/>
      <c r="Q27" s="20">
        <f t="shared" si="5"/>
        <v>0</v>
      </c>
    </row>
    <row r="28" spans="2:17" s="10" customFormat="1" ht="12.95" customHeight="1" thickBot="1" x14ac:dyDescent="0.25">
      <c r="B28" s="22">
        <v>44220</v>
      </c>
      <c r="C28" s="161">
        <v>16228335</v>
      </c>
      <c r="D28" s="162">
        <v>5166409</v>
      </c>
      <c r="E28" s="163">
        <v>247685</v>
      </c>
      <c r="F28" s="164">
        <v>643312</v>
      </c>
      <c r="G28" s="165">
        <v>297902</v>
      </c>
      <c r="H28" s="28">
        <f t="shared" si="1"/>
        <v>0</v>
      </c>
      <c r="I28" s="28">
        <f t="shared" si="6"/>
        <v>4033</v>
      </c>
      <c r="J28" s="28">
        <f t="shared" si="2"/>
        <v>137</v>
      </c>
      <c r="K28" s="28">
        <f t="shared" si="7"/>
        <v>158</v>
      </c>
      <c r="L28" s="29">
        <f t="shared" si="4"/>
        <v>110</v>
      </c>
      <c r="M28" s="30">
        <f t="shared" si="0"/>
        <v>4328</v>
      </c>
      <c r="N28" s="32">
        <f>SUM(L4:L34)</f>
        <v>4354</v>
      </c>
      <c r="O28" s="32" t="e">
        <f>SUM(M4:M34)</f>
        <v>#VALUE!</v>
      </c>
      <c r="Q28" s="20">
        <f t="shared" si="5"/>
        <v>0</v>
      </c>
    </row>
    <row r="29" spans="2:17" s="10" customFormat="1" ht="12.95" customHeight="1" x14ac:dyDescent="0.2">
      <c r="B29" s="22">
        <v>44221</v>
      </c>
      <c r="C29" s="161">
        <v>16228335</v>
      </c>
      <c r="D29" s="162">
        <v>5170609</v>
      </c>
      <c r="E29" s="163">
        <v>247833</v>
      </c>
      <c r="F29" s="164">
        <v>643454</v>
      </c>
      <c r="G29" s="165">
        <v>298016</v>
      </c>
      <c r="H29" s="28">
        <f t="shared" si="1"/>
        <v>0</v>
      </c>
      <c r="I29" s="28">
        <f t="shared" si="6"/>
        <v>4200</v>
      </c>
      <c r="J29" s="28">
        <f t="shared" si="2"/>
        <v>148</v>
      </c>
      <c r="K29" s="28">
        <f t="shared" si="7"/>
        <v>142</v>
      </c>
      <c r="L29" s="29">
        <f t="shared" si="4"/>
        <v>114</v>
      </c>
      <c r="M29" s="30">
        <f t="shared" si="0"/>
        <v>4490</v>
      </c>
      <c r="N29" s="185" t="s">
        <v>23</v>
      </c>
      <c r="O29" s="185" t="s">
        <v>24</v>
      </c>
      <c r="Q29" s="20">
        <f t="shared" si="5"/>
        <v>0</v>
      </c>
    </row>
    <row r="30" spans="2:17" s="10" customFormat="1" ht="12.95" customHeight="1" thickBot="1" x14ac:dyDescent="0.25">
      <c r="B30" s="22">
        <v>44222</v>
      </c>
      <c r="C30" s="161">
        <v>16228335</v>
      </c>
      <c r="D30" s="162"/>
      <c r="E30" s="163">
        <v>247969</v>
      </c>
      <c r="F30" s="164">
        <v>643609</v>
      </c>
      <c r="G30" s="165">
        <v>298156</v>
      </c>
      <c r="H30" s="28">
        <f t="shared" si="1"/>
        <v>0</v>
      </c>
      <c r="I30" s="28" t="str">
        <f t="shared" si="6"/>
        <v/>
      </c>
      <c r="J30" s="28">
        <f t="shared" si="2"/>
        <v>136</v>
      </c>
      <c r="K30" s="28">
        <f t="shared" si="7"/>
        <v>155</v>
      </c>
      <c r="L30" s="29">
        <f t="shared" si="4"/>
        <v>140</v>
      </c>
      <c r="M30" s="30" t="e">
        <f t="shared" si="0"/>
        <v>#VALUE!</v>
      </c>
      <c r="N30" s="187"/>
      <c r="O30" s="187"/>
      <c r="Q30" s="20">
        <f t="shared" si="5"/>
        <v>0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161.25925925925927</v>
      </c>
      <c r="O31" s="32" t="e">
        <f>AVERAGE(M4:M34)</f>
        <v>#VALUE!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 t="e">
        <f>SUM(M12:M155)</f>
        <v>#VALUE!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4" workbookViewId="0">
      <selection activeCell="F30" sqref="F30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55">
        <v>0.14199999999999999</v>
      </c>
      <c r="E13" s="56">
        <v>1934.18</v>
      </c>
      <c r="F13" s="57">
        <v>62.383000000000003</v>
      </c>
      <c r="G13" s="148">
        <v>184.02799999999999</v>
      </c>
      <c r="H13" s="58">
        <v>4140</v>
      </c>
      <c r="I13" s="58">
        <f t="shared" si="2"/>
        <v>24011.999999999811</v>
      </c>
      <c r="J13" s="58">
        <f t="shared" si="2"/>
        <v>405.72000000002515</v>
      </c>
      <c r="K13" s="59">
        <f t="shared" si="4"/>
        <v>1.6896551724139112E-2</v>
      </c>
      <c r="L13" s="58">
        <f t="shared" si="5"/>
        <v>405.72000000002515</v>
      </c>
      <c r="M13" s="59">
        <f t="shared" si="6"/>
        <v>1.6896551724139112E-2</v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55">
        <v>0.14199999999999999</v>
      </c>
      <c r="E14" s="56">
        <v>1939.9929999999999</v>
      </c>
      <c r="F14" s="57">
        <v>62.448</v>
      </c>
      <c r="G14" s="148">
        <v>184.07300000000001</v>
      </c>
      <c r="H14" s="58">
        <v>4140</v>
      </c>
      <c r="I14" s="58">
        <f t="shared" si="2"/>
        <v>24065.819999999479</v>
      </c>
      <c r="J14" s="58">
        <f t="shared" si="2"/>
        <v>269.09999999999059</v>
      </c>
      <c r="K14" s="59">
        <f t="shared" si="4"/>
        <v>1.1181833820746454E-2</v>
      </c>
      <c r="L14" s="58">
        <f t="shared" si="5"/>
        <v>269.09999999999059</v>
      </c>
      <c r="M14" s="59">
        <f t="shared" si="6"/>
        <v>1.1181833820746454E-2</v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55">
        <v>0.14199999999999999</v>
      </c>
      <c r="E15" s="56">
        <v>1945.788</v>
      </c>
      <c r="F15" s="57">
        <v>62.552</v>
      </c>
      <c r="G15" s="148">
        <v>184.107</v>
      </c>
      <c r="H15" s="58">
        <v>4140</v>
      </c>
      <c r="I15" s="58">
        <f t="shared" si="2"/>
        <v>23991.300000000301</v>
      </c>
      <c r="J15" s="58">
        <f t="shared" si="2"/>
        <v>430.55999999999671</v>
      </c>
      <c r="K15" s="59">
        <f t="shared" si="4"/>
        <v>1.7946505608282641E-2</v>
      </c>
      <c r="L15" s="58">
        <f t="shared" si="5"/>
        <v>430.55999999999671</v>
      </c>
      <c r="M15" s="59">
        <f t="shared" si="6"/>
        <v>1.7946505608282641E-2</v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55">
        <v>0.14199999999999999</v>
      </c>
      <c r="E16" s="56">
        <v>1951.3869999999999</v>
      </c>
      <c r="F16" s="57">
        <v>62.622</v>
      </c>
      <c r="G16" s="148">
        <v>184.131</v>
      </c>
      <c r="H16" s="58">
        <v>4140</v>
      </c>
      <c r="I16" s="58">
        <f t="shared" si="2"/>
        <v>23179.85999999972</v>
      </c>
      <c r="J16" s="58">
        <f t="shared" si="2"/>
        <v>289.80000000000121</v>
      </c>
      <c r="K16" s="59">
        <f t="shared" si="4"/>
        <v>1.2502232541525476E-2</v>
      </c>
      <c r="L16" s="58">
        <f t="shared" si="5"/>
        <v>289.80000000000121</v>
      </c>
      <c r="M16" s="59">
        <f t="shared" si="6"/>
        <v>1.2502232541525476E-2</v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55">
        <v>0.14199999999999999</v>
      </c>
      <c r="E17" s="56">
        <v>1957.057</v>
      </c>
      <c r="F17" s="57">
        <v>62.703000000000003</v>
      </c>
      <c r="G17" s="148">
        <v>184.166</v>
      </c>
      <c r="H17" s="58">
        <v>4140</v>
      </c>
      <c r="I17" s="58">
        <f t="shared" si="2"/>
        <v>23473.800000000301</v>
      </c>
      <c r="J17" s="58">
        <f t="shared" si="2"/>
        <v>335.34000000001271</v>
      </c>
      <c r="K17" s="59">
        <f t="shared" si="4"/>
        <v>1.4285714285714644E-2</v>
      </c>
      <c r="L17" s="58">
        <f t="shared" si="5"/>
        <v>335.34000000001271</v>
      </c>
      <c r="M17" s="59">
        <f t="shared" si="6"/>
        <v>1.4285714285714644E-2</v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55">
        <v>0.14199999999999999</v>
      </c>
      <c r="E18" s="56">
        <v>1962.748</v>
      </c>
      <c r="F18" s="57">
        <v>62.829000000000001</v>
      </c>
      <c r="G18" s="148">
        <v>184.20599999999999</v>
      </c>
      <c r="H18" s="58">
        <v>4140</v>
      </c>
      <c r="I18" s="58">
        <f t="shared" si="2"/>
        <v>23560.740000000129</v>
      </c>
      <c r="J18" s="58">
        <f t="shared" si="2"/>
        <v>521.63999999999032</v>
      </c>
      <c r="K18" s="59">
        <f t="shared" si="4"/>
        <v>2.214022140221349E-2</v>
      </c>
      <c r="L18" s="58">
        <f t="shared" si="5"/>
        <v>521.63999999999032</v>
      </c>
      <c r="M18" s="59">
        <f t="shared" si="6"/>
        <v>2.214022140221349E-2</v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55">
        <v>0.14199999999999999</v>
      </c>
      <c r="E19" s="56">
        <v>1968.395</v>
      </c>
      <c r="F19" s="57">
        <v>62.918999999999997</v>
      </c>
      <c r="G19" s="148">
        <v>184.245</v>
      </c>
      <c r="H19" s="58">
        <v>4140</v>
      </c>
      <c r="I19" s="58">
        <f t="shared" si="2"/>
        <v>23378.579999999729</v>
      </c>
      <c r="J19" s="58">
        <f t="shared" si="2"/>
        <v>372.59999999998468</v>
      </c>
      <c r="K19" s="59">
        <f t="shared" si="4"/>
        <v>1.5937666017353878E-2</v>
      </c>
      <c r="L19" s="58">
        <f t="shared" si="5"/>
        <v>372.59999999998468</v>
      </c>
      <c r="M19" s="59">
        <f t="shared" si="6"/>
        <v>1.5937666017353878E-2</v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>
        <v>0.14199999999999999</v>
      </c>
      <c r="E20" s="146">
        <v>1974.35</v>
      </c>
      <c r="F20" s="147">
        <v>63.036000000000001</v>
      </c>
      <c r="G20" s="148">
        <v>184.28200000000001</v>
      </c>
      <c r="H20" s="58">
        <v>4140</v>
      </c>
      <c r="I20" s="58">
        <f t="shared" si="2"/>
        <v>24653.699999999699</v>
      </c>
      <c r="J20" s="58">
        <f t="shared" si="2"/>
        <v>484.38000000001836</v>
      </c>
      <c r="K20" s="59">
        <f t="shared" si="4"/>
        <v>1.9647355163728945E-2</v>
      </c>
      <c r="L20" s="58">
        <f t="shared" si="5"/>
        <v>484.38000000001836</v>
      </c>
      <c r="M20" s="59">
        <f t="shared" si="6"/>
        <v>1.9647355163728945E-2</v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>
        <v>0.14199999999999999</v>
      </c>
      <c r="E21" s="146">
        <v>1979.925</v>
      </c>
      <c r="F21" s="147">
        <v>63.125999999999998</v>
      </c>
      <c r="G21" s="148">
        <v>184.31200000000001</v>
      </c>
      <c r="H21" s="58">
        <v>4140</v>
      </c>
      <c r="I21" s="58">
        <f t="shared" si="2"/>
        <v>23080.500000000189</v>
      </c>
      <c r="J21" s="58">
        <f t="shared" si="2"/>
        <v>372.59999999998468</v>
      </c>
      <c r="K21" s="59">
        <f t="shared" si="4"/>
        <v>1.6143497757846736E-2</v>
      </c>
      <c r="L21" s="58">
        <f t="shared" si="5"/>
        <v>372.59999999998468</v>
      </c>
      <c r="M21" s="59">
        <f t="shared" si="6"/>
        <v>1.6143497757846736E-2</v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>
        <v>0.14199999999999999</v>
      </c>
      <c r="E22" s="146">
        <v>1985.5050000000001</v>
      </c>
      <c r="F22" s="147">
        <v>63.203000000000003</v>
      </c>
      <c r="G22" s="148">
        <v>184.34800000000001</v>
      </c>
      <c r="H22" s="58">
        <v>4140</v>
      </c>
      <c r="I22" s="58">
        <f t="shared" si="2"/>
        <v>23101.200000000641</v>
      </c>
      <c r="J22" s="58">
        <f t="shared" si="2"/>
        <v>318.78000000002191</v>
      </c>
      <c r="K22" s="59">
        <f t="shared" si="4"/>
        <v>1.3799283154122429E-2</v>
      </c>
      <c r="L22" s="58">
        <f t="shared" si="5"/>
        <v>318.78000000002191</v>
      </c>
      <c r="M22" s="59">
        <f t="shared" si="6"/>
        <v>1.3799283154122429E-2</v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>
        <v>0.14199999999999999</v>
      </c>
      <c r="E23" s="146">
        <v>1991.152</v>
      </c>
      <c r="F23" s="147">
        <v>63.286999999999999</v>
      </c>
      <c r="G23" s="148">
        <v>184.39</v>
      </c>
      <c r="H23" s="58">
        <v>4140</v>
      </c>
      <c r="I23" s="58">
        <f t="shared" si="2"/>
        <v>23378.579999999729</v>
      </c>
      <c r="J23" s="58">
        <f t="shared" si="2"/>
        <v>347.75999999998373</v>
      </c>
      <c r="K23" s="59">
        <f t="shared" si="4"/>
        <v>1.4875154949530201E-2</v>
      </c>
      <c r="L23" s="58">
        <f t="shared" si="5"/>
        <v>347.75999999998373</v>
      </c>
      <c r="M23" s="59">
        <f t="shared" si="6"/>
        <v>1.4875154949530201E-2</v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>
        <v>0.14199999999999999</v>
      </c>
      <c r="E24" s="146">
        <v>1996.614</v>
      </c>
      <c r="F24" s="147">
        <v>63.38</v>
      </c>
      <c r="G24" s="148">
        <v>184.43799999999999</v>
      </c>
      <c r="H24" s="58">
        <v>4140</v>
      </c>
      <c r="I24" s="58">
        <f t="shared" si="2"/>
        <v>22612.679999999957</v>
      </c>
      <c r="J24" s="58">
        <f t="shared" si="2"/>
        <v>385.02000000001459</v>
      </c>
      <c r="K24" s="59">
        <f t="shared" si="4"/>
        <v>1.7026730135482185E-2</v>
      </c>
      <c r="L24" s="58">
        <f t="shared" si="5"/>
        <v>385.02000000001459</v>
      </c>
      <c r="M24" s="59">
        <f t="shared" si="6"/>
        <v>1.7026730135482185E-2</v>
      </c>
      <c r="N24" s="152">
        <v>66068309</v>
      </c>
      <c r="O24" s="152">
        <v>0</v>
      </c>
      <c r="P24" s="69">
        <f>IF(J3="",0,+SUM(J3:J33)/SUM(I3:I33))</f>
        <v>1.5775070006994876E-2</v>
      </c>
      <c r="Q24" s="69">
        <f>IF(L3="",0,+SUM(L3:L33)/SUM(I3:I33))</f>
        <v>1.5775070006994876E-2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>
        <v>0.14199999999999999</v>
      </c>
      <c r="E25" s="146">
        <v>2002.6110000000001</v>
      </c>
      <c r="F25" s="147">
        <v>63.488</v>
      </c>
      <c r="G25" s="148">
        <v>184.483</v>
      </c>
      <c r="H25" s="58">
        <v>4140</v>
      </c>
      <c r="I25" s="58">
        <f t="shared" si="2"/>
        <v>24827.580000000293</v>
      </c>
      <c r="J25" s="58">
        <f t="shared" si="2"/>
        <v>447.1199999999875</v>
      </c>
      <c r="K25" s="59">
        <f t="shared" si="4"/>
        <v>1.800900450225041E-2</v>
      </c>
      <c r="L25" s="58">
        <f t="shared" si="5"/>
        <v>447.1199999999875</v>
      </c>
      <c r="M25" s="59">
        <f t="shared" si="6"/>
        <v>1.800900450225041E-2</v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-0.36610346679008543</v>
      </c>
      <c r="Q25" s="70">
        <f>IF(L3="",0,+(+(LOOKUP(9.99999999999999E+307,F3:F33)-F2))/(+(LOOKUP(9.99999999999999E+307,D3:D33)-D2)))</f>
        <v>2.1486648742518492E-2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>
        <v>0.14199999999999999</v>
      </c>
      <c r="E26" s="146">
        <v>2007.9570000000001</v>
      </c>
      <c r="F26" s="147">
        <v>63.579000000000001</v>
      </c>
      <c r="G26" s="148">
        <v>184.53800000000001</v>
      </c>
      <c r="H26" s="58">
        <v>4140</v>
      </c>
      <c r="I26" s="58">
        <f t="shared" si="2"/>
        <v>22132.440000000017</v>
      </c>
      <c r="J26" s="58">
        <f t="shared" si="2"/>
        <v>376.74000000000444</v>
      </c>
      <c r="K26" s="59">
        <f t="shared" si="4"/>
        <v>1.7022072577628319E-2</v>
      </c>
      <c r="L26" s="58">
        <f t="shared" si="5"/>
        <v>376.74000000000444</v>
      </c>
      <c r="M26" s="59">
        <f t="shared" si="6"/>
        <v>1.7022072577628319E-2</v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>
        <v>0.14199999999999999</v>
      </c>
      <c r="E27" s="146">
        <v>2013.0409999999999</v>
      </c>
      <c r="F27" s="147">
        <v>63.662999999999997</v>
      </c>
      <c r="G27" s="148">
        <v>184.571</v>
      </c>
      <c r="H27" s="58">
        <v>4140</v>
      </c>
      <c r="I27" s="58">
        <f t="shared" si="2"/>
        <v>21047.759999999307</v>
      </c>
      <c r="J27" s="58">
        <f t="shared" si="2"/>
        <v>347.75999999998373</v>
      </c>
      <c r="K27" s="59">
        <f t="shared" si="4"/>
        <v>1.6522423288748787E-2</v>
      </c>
      <c r="L27" s="58">
        <f t="shared" si="5"/>
        <v>347.75999999998373</v>
      </c>
      <c r="M27" s="59">
        <f t="shared" si="6"/>
        <v>1.6522423288748787E-2</v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>
        <v>0.14199999999999999</v>
      </c>
      <c r="E28" s="146">
        <v>2018.2239999999999</v>
      </c>
      <c r="F28" s="147">
        <v>63.71</v>
      </c>
      <c r="G28" s="148">
        <v>184.61</v>
      </c>
      <c r="H28" s="58">
        <v>4140</v>
      </c>
      <c r="I28" s="58">
        <f t="shared" si="2"/>
        <v>21457.61999999997</v>
      </c>
      <c r="J28" s="58">
        <f t="shared" si="2"/>
        <v>194.58000000001718</v>
      </c>
      <c r="K28" s="59">
        <f t="shared" si="4"/>
        <v>9.0681072737804781E-3</v>
      </c>
      <c r="L28" s="58">
        <f t="shared" si="5"/>
        <v>194.58000000001718</v>
      </c>
      <c r="M28" s="59">
        <f t="shared" si="6"/>
        <v>9.0681072737804781E-3</v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>
        <v>0.14199999999999999</v>
      </c>
      <c r="E29" s="146">
        <v>2023.5609999999999</v>
      </c>
      <c r="F29" s="147">
        <v>63.9</v>
      </c>
      <c r="G29" s="148">
        <v>184.66200000000001</v>
      </c>
      <c r="H29" s="58">
        <v>4140</v>
      </c>
      <c r="I29" s="58">
        <f t="shared" si="2"/>
        <v>22095.179999999957</v>
      </c>
      <c r="J29" s="58">
        <f t="shared" si="2"/>
        <v>786.59999999999059</v>
      </c>
      <c r="K29" s="59">
        <f t="shared" si="4"/>
        <v>3.560052463931012E-2</v>
      </c>
      <c r="L29" s="58">
        <f t="shared" si="5"/>
        <v>786.59999999999059</v>
      </c>
      <c r="M29" s="59">
        <f t="shared" si="6"/>
        <v>3.560052463931012E-2</v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2022-01-27T06:27:59Z</dcterms:modified>
  <cp:category/>
  <cp:contentStatus/>
</cp:coreProperties>
</file>