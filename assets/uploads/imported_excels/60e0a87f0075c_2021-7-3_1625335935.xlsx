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<sst xmlns="http://schemas.openxmlformats.org/spreadsheetml/2006/main" count="313" uniqueCount="148">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</sst>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 t="str">
        <f>'FS Desroches Daily'!X6</f>
        <v/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309.99999999997385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3499.9999999998363</v>
      </c>
      <c r="F33" s="17">
        <f t="shared" ref="F33:BC33" si="1">SUM(F2:F32)</f>
        <v>4799.9999999999154</v>
      </c>
      <c r="G33" s="17">
        <f t="shared" si="1"/>
        <v>4500.000000000171</v>
      </c>
      <c r="H33" s="17">
        <f t="shared" si="1"/>
        <v>2199.99999999998</v>
      </c>
      <c r="I33" s="17">
        <f t="shared" si="1"/>
        <v>3499.9999999998363</v>
      </c>
      <c r="J33" s="17">
        <f t="shared" si="1"/>
        <v>1599.9999999998238</v>
      </c>
      <c r="K33" s="17">
        <f t="shared" si="1"/>
        <v>8</v>
      </c>
      <c r="L33" s="17">
        <f t="shared" si="1"/>
        <v>4</v>
      </c>
      <c r="M33" s="17">
        <f t="shared" si="1"/>
        <v>1210.5999999999767</v>
      </c>
      <c r="N33" s="17">
        <f t="shared" si="1"/>
        <v>457.30000000004657</v>
      </c>
      <c r="O33" s="17">
        <f t="shared" si="1"/>
        <v>200.00000000004547</v>
      </c>
      <c r="P33" s="17">
        <f t="shared" si="1"/>
        <v>3899.9999999997926</v>
      </c>
      <c r="Q33" s="17">
        <f t="shared" si="1"/>
        <v>490.00000000000909</v>
      </c>
      <c r="R33" s="17">
        <f t="shared" si="1"/>
        <v>379.99999999999545</v>
      </c>
      <c r="S33" s="17">
        <f t="shared" si="1"/>
        <v>470.00000000002728</v>
      </c>
      <c r="T33" s="17">
        <f t="shared" si="1"/>
        <v>56</v>
      </c>
      <c r="U33" s="35">
        <f t="shared" si="1"/>
        <v>1360.0000000000136</v>
      </c>
      <c r="V33" s="35">
        <f t="shared" si="1"/>
        <v>280.00000000000114</v>
      </c>
      <c r="W33" s="35">
        <f t="shared" si="1"/>
        <v>399.99999999997726</v>
      </c>
      <c r="X33" s="35">
        <f t="shared" si="1"/>
        <v>189.99999999999773</v>
      </c>
      <c r="Y33" s="35">
        <f t="shared" si="1"/>
        <v>189.99999999999773</v>
      </c>
      <c r="Z33" s="35">
        <f t="shared" si="1"/>
        <v>230.00000000001819</v>
      </c>
      <c r="AA33" s="35">
        <f t="shared" si="1"/>
        <v>230.00000000001819</v>
      </c>
      <c r="AB33" s="35">
        <f t="shared" si="1"/>
        <v>69.999999999993179</v>
      </c>
      <c r="AC33" s="35">
        <f t="shared" si="1"/>
        <v>69.999999999993179</v>
      </c>
      <c r="AD33" s="35">
        <f t="shared" si="1"/>
        <v>40.000000000020464</v>
      </c>
      <c r="AE33" s="35">
        <f t="shared" si="1"/>
        <v>49.999999999982947</v>
      </c>
      <c r="AF33" s="17">
        <f t="shared" si="1"/>
        <v>54</v>
      </c>
      <c r="AG33" s="32">
        <f t="shared" si="1"/>
        <v>80.000000000012506</v>
      </c>
      <c r="AH33" s="32">
        <f t="shared" si="1"/>
        <v>40.000000000020464</v>
      </c>
      <c r="AI33" s="32">
        <f t="shared" si="1"/>
        <v>50.000000000011369</v>
      </c>
      <c r="AJ33" s="32">
        <f t="shared" si="1"/>
        <v>60.000000000002274</v>
      </c>
      <c r="AK33" s="32">
        <f t="shared" si="1"/>
        <v>69.999999999993179</v>
      </c>
      <c r="AL33" s="32">
        <f t="shared" si="1"/>
        <v>46</v>
      </c>
      <c r="AM33" s="32">
        <f t="shared" si="1"/>
        <v>49.999999999982947</v>
      </c>
      <c r="AN33" s="32">
        <f t="shared" si="1"/>
        <v>78</v>
      </c>
      <c r="AO33" s="32">
        <f t="shared" si="1"/>
        <v>40.000000000020464</v>
      </c>
      <c r="AP33" s="32">
        <f t="shared" si="1"/>
        <v>75</v>
      </c>
      <c r="AQ33" s="17">
        <f t="shared" si="1"/>
        <v>55.299999999999272</v>
      </c>
      <c r="AR33" s="17">
        <f t="shared" si="1"/>
        <v>11.199999999998909</v>
      </c>
      <c r="AS33" s="17">
        <f t="shared" si="1"/>
        <v>5.5</v>
      </c>
      <c r="AT33" s="17">
        <f t="shared" si="1"/>
        <v>67.099999999998545</v>
      </c>
      <c r="AU33" s="17">
        <f t="shared" si="1"/>
        <v>523</v>
      </c>
      <c r="AV33" s="17">
        <f t="shared" si="1"/>
        <v>1209.9999999999227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7.3259999999999996</v>
      </c>
      <c r="BC33" s="17">
        <f t="shared" si="1"/>
        <v>0</v>
      </c>
    </row>
    <row r="35" spans="5:55" x14ac:dyDescent="0.25">
      <c r="E35" s="38">
        <f>E33/E37</f>
        <v>0.45231325924010851</v>
      </c>
      <c r="G35" s="29">
        <f>G33-M36</f>
        <v>2832.1000000001477</v>
      </c>
      <c r="AE35" s="35">
        <f>SUM(U33:AE33)</f>
        <v>3110.0000000000136</v>
      </c>
      <c r="AG35" s="32">
        <f>SUM(AG33:AP33)</f>
        <v>589.0000000000432</v>
      </c>
    </row>
    <row r="36" spans="5:55" x14ac:dyDescent="0.25">
      <c r="G36" s="29">
        <f>G35-633*14</f>
        <v>-6029.8999999998523</v>
      </c>
      <c r="M36" s="29">
        <f>M33+N33</f>
        <v>1667.9000000000233</v>
      </c>
    </row>
    <row r="37" spans="5:55" x14ac:dyDescent="0.25">
      <c r="E37" s="17">
        <f>E33+F33+G33+H33+J33-633*14</f>
        <v>7737.9999999997272</v>
      </c>
      <c r="G37" s="37">
        <f>M36/E37</f>
        <v>0.21554665288189223</v>
      </c>
      <c r="M37" s="35">
        <f>AE35</f>
        <v>3110.0000000000136</v>
      </c>
    </row>
    <row r="38" spans="5:55" x14ac:dyDescent="0.25">
      <c r="L38" s="27">
        <f>M38/E37</f>
        <v>7.6117859912130256E-2</v>
      </c>
      <c r="M38" s="29">
        <f>AG35</f>
        <v>589.0000000000432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2" activePane="bottomLeft" state="frozen"/>
      <selection pane="bottomLeft" activeCell="BG10" sqref="BG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195.92</v>
      </c>
      <c r="AN5" s="65">
        <f t="shared" si="15"/>
        <v>309.99999999997385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4"/>
        <v>0</v>
      </c>
      <c r="M6" s="58"/>
      <c r="N6" s="64" t="str">
        <f t="shared" si="5"/>
        <v/>
      </c>
      <c r="O6" s="58"/>
      <c r="P6" s="67" t="str">
        <f>IF((O6-O5&lt;0), "",O6-O5)</f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39"/>
        <v/>
      </c>
      <c r="BG6" s="60"/>
      <c r="BH6" s="65" t="str">
        <f t="shared" si="23"/>
        <v/>
      </c>
      <c r="BI6" s="60"/>
      <c r="BJ6" s="65" t="str">
        <f t="shared" si="40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9"/>
        <v/>
      </c>
      <c r="BW6" s="60"/>
      <c r="BX6" s="65" t="str">
        <f t="shared" si="30"/>
        <v/>
      </c>
      <c r="BY6" s="60"/>
      <c r="BZ6" s="67" t="str">
        <f t="shared" si="31"/>
        <v/>
      </c>
      <c r="CA6" s="60"/>
      <c r="CB6" s="67" t="str">
        <f t="shared" si="32"/>
        <v/>
      </c>
      <c r="CC6" s="60"/>
      <c r="CD6" s="67" t="str">
        <f t="shared" si="33"/>
        <v/>
      </c>
      <c r="CE6" s="60"/>
      <c r="CF6" s="67" t="str">
        <f t="shared" si="34"/>
        <v/>
      </c>
      <c r="CG6" s="60"/>
      <c r="CH6" s="67" t="str">
        <f t="shared" si="35"/>
        <v/>
      </c>
      <c r="CI6" s="60"/>
      <c r="CJ6" s="67" t="str">
        <f t="shared" si="36"/>
        <v/>
      </c>
      <c r="CK6" s="60"/>
      <c r="CL6" s="64" t="str">
        <f t="shared" si="37"/>
        <v/>
      </c>
      <c r="CM6" s="65" t="e">
        <f t="shared" si="41"/>
        <v>#VALUE!</v>
      </c>
      <c r="CN6" s="62">
        <v>0</v>
      </c>
      <c r="CO6" s="62">
        <v>0</v>
      </c>
      <c r="CP6" s="68"/>
      <c r="CQ6" s="67" t="str">
        <f t="shared" si="38"/>
        <v/>
      </c>
      <c r="CR6" s="68"/>
      <c r="CS6" s="67" t="str">
        <f t="shared" si="38"/>
        <v/>
      </c>
      <c r="CT6" s="75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44381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4"/>
        <v>0</v>
      </c>
      <c r="M7" s="58"/>
      <c r="N7" s="64">
        <f t="shared" si="5"/>
        <v>0</v>
      </c>
      <c r="O7" s="58"/>
      <c r="P7" s="67">
        <f t="shared" ref="P7:P10" si="43">IF((O7-O6&lt;0), "",O7-O6)</f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39"/>
        <v>0</v>
      </c>
      <c r="BG7" s="60"/>
      <c r="BH7" s="65">
        <f t="shared" si="23"/>
        <v>0</v>
      </c>
      <c r="BI7" s="60"/>
      <c r="BJ7" s="65">
        <f t="shared" si="40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9"/>
        <v>0</v>
      </c>
      <c r="BW7" s="60"/>
      <c r="BX7" s="65">
        <f t="shared" si="30"/>
        <v>0</v>
      </c>
      <c r="BY7" s="60"/>
      <c r="BZ7" s="67">
        <f t="shared" si="31"/>
        <v>0</v>
      </c>
      <c r="CA7" s="60"/>
      <c r="CB7" s="67">
        <f t="shared" si="32"/>
        <v>0</v>
      </c>
      <c r="CC7" s="60"/>
      <c r="CD7" s="67">
        <f t="shared" si="33"/>
        <v>0</v>
      </c>
      <c r="CE7" s="60"/>
      <c r="CF7" s="67">
        <f t="shared" si="34"/>
        <v>0</v>
      </c>
      <c r="CG7" s="60"/>
      <c r="CH7" s="67">
        <f t="shared" si="35"/>
        <v>0</v>
      </c>
      <c r="CI7" s="60"/>
      <c r="CJ7" s="67">
        <f t="shared" si="36"/>
        <v>0</v>
      </c>
      <c r="CK7" s="60"/>
      <c r="CL7" s="64">
        <f t="shared" si="37"/>
        <v>0</v>
      </c>
      <c r="CM7" s="65">
        <f t="shared" si="41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44382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4"/>
        <v>0</v>
      </c>
      <c r="M8" s="58"/>
      <c r="N8" s="64">
        <f t="shared" si="5"/>
        <v>0</v>
      </c>
      <c r="O8" s="58"/>
      <c r="P8" s="67">
        <f t="shared" si="43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39"/>
        <v>0</v>
      </c>
      <c r="BG8" s="60"/>
      <c r="BH8" s="65">
        <f t="shared" si="23"/>
        <v>0</v>
      </c>
      <c r="BI8" s="60"/>
      <c r="BJ8" s="65">
        <f t="shared" si="40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9"/>
        <v>0</v>
      </c>
      <c r="BW8" s="60"/>
      <c r="BX8" s="65">
        <f t="shared" si="30"/>
        <v>0</v>
      </c>
      <c r="BY8" s="60"/>
      <c r="BZ8" s="67">
        <f t="shared" si="31"/>
        <v>0</v>
      </c>
      <c r="CA8" s="60"/>
      <c r="CB8" s="67">
        <f t="shared" si="32"/>
        <v>0</v>
      </c>
      <c r="CC8" s="60"/>
      <c r="CD8" s="67">
        <f t="shared" si="33"/>
        <v>0</v>
      </c>
      <c r="CE8" s="60"/>
      <c r="CF8" s="67">
        <f t="shared" si="34"/>
        <v>0</v>
      </c>
      <c r="CG8" s="60"/>
      <c r="CH8" s="67">
        <f t="shared" si="35"/>
        <v>0</v>
      </c>
      <c r="CI8" s="60"/>
      <c r="CJ8" s="67">
        <f t="shared" si="36"/>
        <v>0</v>
      </c>
      <c r="CK8" s="60"/>
      <c r="CL8" s="64">
        <f t="shared" si="37"/>
        <v>0</v>
      </c>
      <c r="CM8" s="65">
        <f t="shared" si="41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44383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4"/>
        <v>0</v>
      </c>
      <c r="M9" s="58"/>
      <c r="N9" s="64">
        <f t="shared" si="5"/>
        <v>0</v>
      </c>
      <c r="O9" s="58"/>
      <c r="P9" s="67">
        <f t="shared" si="43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39"/>
        <v>0</v>
      </c>
      <c r="BG9" s="60"/>
      <c r="BH9" s="65">
        <f t="shared" si="23"/>
        <v>0</v>
      </c>
      <c r="BI9" s="60"/>
      <c r="BJ9" s="65">
        <f t="shared" si="40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9"/>
        <v>0</v>
      </c>
      <c r="BW9" s="60"/>
      <c r="BX9" s="65">
        <f t="shared" si="30"/>
        <v>0</v>
      </c>
      <c r="BY9" s="60"/>
      <c r="BZ9" s="67">
        <f t="shared" si="31"/>
        <v>0</v>
      </c>
      <c r="CA9" s="60"/>
      <c r="CB9" s="67">
        <f t="shared" si="32"/>
        <v>0</v>
      </c>
      <c r="CC9" s="60"/>
      <c r="CD9" s="67">
        <f t="shared" si="33"/>
        <v>0</v>
      </c>
      <c r="CE9" s="60"/>
      <c r="CF9" s="67">
        <f t="shared" si="34"/>
        <v>0</v>
      </c>
      <c r="CG9" s="60"/>
      <c r="CH9" s="67">
        <f t="shared" si="35"/>
        <v>0</v>
      </c>
      <c r="CI9" s="60"/>
      <c r="CJ9" s="67">
        <f t="shared" si="36"/>
        <v>0</v>
      </c>
      <c r="CK9" s="60"/>
      <c r="CL9" s="64">
        <f t="shared" si="37"/>
        <v>0</v>
      </c>
      <c r="CM9" s="65">
        <f t="shared" si="41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44384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4"/>
        <v>0</v>
      </c>
      <c r="M10" s="58"/>
      <c r="N10" s="64">
        <f t="shared" si="5"/>
        <v>0</v>
      </c>
      <c r="O10" s="58"/>
      <c r="P10" s="67">
        <f t="shared" si="43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39"/>
        <v>0</v>
      </c>
      <c r="BG10" s="60"/>
      <c r="BH10" s="65">
        <f t="shared" si="23"/>
        <v>0</v>
      </c>
      <c r="BI10" s="60"/>
      <c r="BJ10" s="65">
        <f t="shared" si="40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9"/>
        <v>0</v>
      </c>
      <c r="BW10" s="60"/>
      <c r="BX10" s="65">
        <f t="shared" si="30"/>
        <v>0</v>
      </c>
      <c r="BY10" s="60"/>
      <c r="BZ10" s="67">
        <f t="shared" si="31"/>
        <v>0</v>
      </c>
      <c r="CA10" s="60"/>
      <c r="CB10" s="67">
        <f t="shared" si="32"/>
        <v>0</v>
      </c>
      <c r="CC10" s="60"/>
      <c r="CD10" s="67">
        <f t="shared" si="33"/>
        <v>0</v>
      </c>
      <c r="CE10" s="60"/>
      <c r="CF10" s="67">
        <f t="shared" si="34"/>
        <v>0</v>
      </c>
      <c r="CG10" s="60"/>
      <c r="CH10" s="67">
        <f t="shared" si="35"/>
        <v>0</v>
      </c>
      <c r="CI10" s="60"/>
      <c r="CJ10" s="67">
        <f t="shared" si="36"/>
        <v>0</v>
      </c>
      <c r="CK10" s="60"/>
      <c r="CL10" s="64">
        <f t="shared" si="37"/>
        <v>0</v>
      </c>
      <c r="CM10" s="65">
        <f t="shared" si="41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44385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4"/>
        <v>0</v>
      </c>
      <c r="M11" s="58"/>
      <c r="N11" s="64">
        <f t="shared" si="5"/>
        <v>0</v>
      </c>
      <c r="O11" s="58"/>
      <c r="P11" s="67">
        <f t="shared" ref="P11:P34" si="44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39"/>
        <v>0</v>
      </c>
      <c r="BG11" s="60"/>
      <c r="BH11" s="65">
        <f t="shared" si="23"/>
        <v>0</v>
      </c>
      <c r="BI11" s="60"/>
      <c r="BJ11" s="65">
        <f t="shared" si="40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9"/>
        <v>0</v>
      </c>
      <c r="BW11" s="60"/>
      <c r="BX11" s="65">
        <f t="shared" si="30"/>
        <v>0</v>
      </c>
      <c r="BY11" s="60"/>
      <c r="BZ11" s="67">
        <f t="shared" si="31"/>
        <v>0</v>
      </c>
      <c r="CA11" s="60"/>
      <c r="CB11" s="67">
        <f t="shared" si="32"/>
        <v>0</v>
      </c>
      <c r="CC11" s="60"/>
      <c r="CD11" s="67">
        <f t="shared" si="33"/>
        <v>0</v>
      </c>
      <c r="CE11" s="60"/>
      <c r="CF11" s="67">
        <f t="shared" si="34"/>
        <v>0</v>
      </c>
      <c r="CG11" s="60"/>
      <c r="CH11" s="67">
        <f t="shared" si="35"/>
        <v>0</v>
      </c>
      <c r="CI11" s="60"/>
      <c r="CJ11" s="67">
        <f t="shared" si="36"/>
        <v>0</v>
      </c>
      <c r="CK11" s="60"/>
      <c r="CL11" s="64">
        <f t="shared" si="37"/>
        <v>0</v>
      </c>
      <c r="CM11" s="65">
        <f t="shared" si="41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44386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4"/>
        <v>0</v>
      </c>
      <c r="M12" s="58"/>
      <c r="N12" s="64">
        <f t="shared" si="5"/>
        <v>0</v>
      </c>
      <c r="O12" s="58"/>
      <c r="P12" s="67">
        <f t="shared" si="44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39"/>
        <v>0</v>
      </c>
      <c r="BG12" s="60"/>
      <c r="BH12" s="65">
        <f t="shared" si="23"/>
        <v>0</v>
      </c>
      <c r="BI12" s="60"/>
      <c r="BJ12" s="65">
        <f t="shared" si="40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9"/>
        <v>0</v>
      </c>
      <c r="BW12" s="60"/>
      <c r="BX12" s="65">
        <f t="shared" si="30"/>
        <v>0</v>
      </c>
      <c r="BY12" s="60"/>
      <c r="BZ12" s="67">
        <f t="shared" si="31"/>
        <v>0</v>
      </c>
      <c r="CA12" s="60"/>
      <c r="CB12" s="67">
        <f t="shared" si="32"/>
        <v>0</v>
      </c>
      <c r="CC12" s="60"/>
      <c r="CD12" s="67">
        <f t="shared" si="33"/>
        <v>0</v>
      </c>
      <c r="CE12" s="60"/>
      <c r="CF12" s="67">
        <f t="shared" si="34"/>
        <v>0</v>
      </c>
      <c r="CG12" s="60"/>
      <c r="CH12" s="67">
        <f t="shared" si="35"/>
        <v>0</v>
      </c>
      <c r="CI12" s="60"/>
      <c r="CJ12" s="67">
        <f t="shared" si="36"/>
        <v>0</v>
      </c>
      <c r="CK12" s="60"/>
      <c r="CL12" s="64">
        <f t="shared" si="37"/>
        <v>0</v>
      </c>
      <c r="CM12" s="65">
        <f t="shared" si="41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44387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4"/>
        <v>0</v>
      </c>
      <c r="M13" s="58"/>
      <c r="N13" s="64">
        <f t="shared" si="5"/>
        <v>0</v>
      </c>
      <c r="O13" s="58"/>
      <c r="P13" s="67">
        <f t="shared" si="44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39"/>
        <v>0</v>
      </c>
      <c r="BG13" s="60"/>
      <c r="BH13" s="65">
        <f t="shared" si="23"/>
        <v>0</v>
      </c>
      <c r="BI13" s="60"/>
      <c r="BJ13" s="65">
        <f t="shared" si="40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9"/>
        <v>0</v>
      </c>
      <c r="BW13" s="60"/>
      <c r="BX13" s="65">
        <f t="shared" si="30"/>
        <v>0</v>
      </c>
      <c r="BY13" s="60"/>
      <c r="BZ13" s="67">
        <f t="shared" si="31"/>
        <v>0</v>
      </c>
      <c r="CA13" s="60"/>
      <c r="CB13" s="67">
        <f t="shared" si="32"/>
        <v>0</v>
      </c>
      <c r="CC13" s="60"/>
      <c r="CD13" s="67">
        <f t="shared" si="33"/>
        <v>0</v>
      </c>
      <c r="CE13" s="60"/>
      <c r="CF13" s="67">
        <f t="shared" si="34"/>
        <v>0</v>
      </c>
      <c r="CG13" s="60"/>
      <c r="CH13" s="67">
        <f t="shared" si="35"/>
        <v>0</v>
      </c>
      <c r="CI13" s="60"/>
      <c r="CJ13" s="67">
        <f t="shared" si="36"/>
        <v>0</v>
      </c>
      <c r="CK13" s="60"/>
      <c r="CL13" s="64">
        <f t="shared" si="37"/>
        <v>0</v>
      </c>
      <c r="CM13" s="65">
        <f t="shared" si="41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44388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44389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44390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44391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44392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44393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E5" zoomScaleNormal="100" workbookViewId="0">
      <selection activeCell="J10" sqref="J1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0</v>
      </c>
      <c r="D10" s="40">
        <v>0</v>
      </c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0"/>
        <v>-198</v>
      </c>
    </row>
    <row r="11" spans="1:20" x14ac:dyDescent="0.25">
      <c r="A11" s="73">
        <v>44016</v>
      </c>
      <c r="B11" s="40">
        <v>0</v>
      </c>
      <c r="C11" s="40">
        <v>0</v>
      </c>
      <c r="D11" s="40">
        <v>0</v>
      </c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0</v>
      </c>
      <c r="D12" s="40">
        <v>0</v>
      </c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0</v>
      </c>
      <c r="D13" s="40">
        <v>0</v>
      </c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0</v>
      </c>
      <c r="D14" s="40">
        <v>0</v>
      </c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0</v>
      </c>
      <c r="D15" s="40">
        <v>0</v>
      </c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0</v>
      </c>
      <c r="D16" s="40">
        <v>0</v>
      </c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0</v>
      </c>
      <c r="D17" s="40">
        <v>0</v>
      </c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2021-07-03T18:10:54Z</dcterms:modified>
</cp:coreProperties>
</file>