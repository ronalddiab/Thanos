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<sst xmlns="http://schemas.openxmlformats.org/spreadsheetml/2006/main" count="143" uniqueCount="64">
  <si>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</si>
  <si>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</si>
  <si>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</si>
  <si>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</si>
  <si>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</si>
  <si>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</si>
  <si>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</si>
  <si>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</si>
  <si>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</si>
  <si>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</si>
  <si>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</si>
  <si>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</si>
  <si>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</si>
  <si>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</si>
  <si>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</si>
  <si>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</si>
  <si>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</si>
  <si>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</si>
  <si>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</si>
  <si>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</si>
  <si>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</si>
  <si>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</si>
  <si>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</si>
  <si>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</si>
  <si>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</si>
  <si>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</si>
  <si>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</si>
  <si>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</si>
  <si>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</si>
  <si>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</si>
  <si>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</si>
  <si>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</si>
  <si>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</si>
  <si>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</si>
  <si>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</si>
  <si>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</si>
  <si>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</si>
  <si>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</si>
  <si>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</si>
  <si>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</si>
  <si>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</si>
  <si>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</si>
  <si>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</si>
  <si>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</si>
  <si>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</si>
  <si>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</si>
  <si>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</si>
  <si>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</si>
  <si>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</si>
  <si>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Oct</t>
  </si>
  <si>
    <t>8481040</t>
  </si>
  <si>
    <t>20684650</t>
  </si>
  <si>
    <t>3655800</t>
  </si>
  <si>
    <t>4290540</t>
  </si>
  <si>
    <t>12642440</t>
  </si>
  <si>
    <t>7438080</t>
  </si>
  <si>
    <t>6454460</t>
  </si>
  <si>
    <t>8028370</t>
  </si>
  <si>
    <t>11703800</t>
  </si>
  <si>
    <t>5098680</t>
  </si>
  <si>
    <t>9403030</t>
  </si>
  <si>
    <t>15499340</t>
  </si>
  <si>
    <t>21684240</t>
  </si>
  <si>
    <t>254769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</si>
</sst>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7" fillId="0" borderId="2" xfId="0" quotePrefix="1" applyNumberFormat="1" applyFont="1" applyBorder="1" applyAlignment="1">
      <alignment horizontal="right"/>
    </xf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0" borderId="10" xfId="0" quotePrefix="1" applyNumberFormat="1" applyFon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7" sqref="C7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67590</v>
      </c>
      <c r="F2" s="11">
        <v>5.0000000000000001E-3</v>
      </c>
      <c r="G2" s="12">
        <f>Submetering!R2</f>
        <v>751.78242599999999</v>
      </c>
      <c r="H2" s="11">
        <v>0.52800000000000002</v>
      </c>
      <c r="I2" s="12">
        <f>Hotel!B7</f>
        <v>95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58410</v>
      </c>
      <c r="F3" s="11">
        <v>5.0000000000000001E-3</v>
      </c>
      <c r="G3" s="12">
        <f>Submetering!R3</f>
        <v>752.53950799999996</v>
      </c>
      <c r="H3" s="11">
        <v>0.52800000000000002</v>
      </c>
      <c r="I3" s="12">
        <f>Hotel!B8</f>
        <v>111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61020</v>
      </c>
      <c r="F4" s="11">
        <v>5.0000000000000001E-3</v>
      </c>
      <c r="G4" s="12">
        <f>Submetering!R4</f>
        <v>718.47081799999989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60630</v>
      </c>
      <c r="F5" s="11">
        <v>5.0000000000000001E-3</v>
      </c>
      <c r="G5" s="12">
        <f>Submetering!R5</f>
        <v>742.31890099999998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58680</v>
      </c>
      <c r="F6" s="11">
        <v>5.0000000000000001E-3</v>
      </c>
      <c r="G6" s="12">
        <f>Submetering!R6</f>
        <v>687.80899699999998</v>
      </c>
      <c r="H6" s="11">
        <v>0.52800000000000002</v>
      </c>
      <c r="I6" s="12">
        <f>Hotel!B11</f>
        <v>122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61600</v>
      </c>
      <c r="F7" s="11">
        <v>5.0000000000000001E-3</v>
      </c>
      <c r="G7" s="12">
        <f>Submetering!R7</f>
        <v>810.83482200000003</v>
      </c>
      <c r="H7" s="11">
        <v>0.52800000000000002</v>
      </c>
      <c r="I7" s="12">
        <f>Hotel!B12</f>
        <v>154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63470</v>
      </c>
      <c r="F8" s="11">
        <v>5.0000000000000001E-3</v>
      </c>
      <c r="G8" s="12">
        <f>Submetering!R8</f>
        <v>755.56783599999994</v>
      </c>
      <c r="H8" s="11">
        <v>0.52800000000000002</v>
      </c>
      <c r="I8" s="12">
        <f>Hotel!B13</f>
        <v>148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64240</v>
      </c>
      <c r="F9" s="11">
        <v>5.0000000000000001E-3</v>
      </c>
      <c r="G9" s="12">
        <f>Submetering!R9</f>
        <v>617.77891199999999</v>
      </c>
      <c r="H9" s="11">
        <v>0.52800000000000002</v>
      </c>
      <c r="I9" s="12">
        <f>Hotel!B14</f>
        <v>156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10</v>
      </c>
      <c r="D32" s="1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31" sqref="S31:S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2022</v>
      </c>
      <c r="E2" s="4">
        <f>Hotel!Q7</f>
        <v>1050</v>
      </c>
      <c r="F2" s="4">
        <f>Hotel!R7</f>
        <v>12850</v>
      </c>
      <c r="G2" s="4">
        <f>Hotel!S7</f>
        <v>3130</v>
      </c>
      <c r="H2" s="4">
        <f>Hotel!T7</f>
        <v>1590</v>
      </c>
      <c r="I2" s="4">
        <f>Hotel!U7</f>
        <v>5050</v>
      </c>
      <c r="J2" s="4">
        <f>Hotel!V7</f>
        <v>4330</v>
      </c>
      <c r="K2" s="4">
        <f>Hotel!W7</f>
        <v>3760</v>
      </c>
      <c r="L2" s="4">
        <f>Hotel!X7</f>
        <v>4900</v>
      </c>
      <c r="M2" s="4">
        <f>Hotel!Y7</f>
        <v>5750</v>
      </c>
      <c r="N2" s="4">
        <f>Hotel!Z7</f>
        <v>2740</v>
      </c>
      <c r="O2" s="4">
        <f>Hotel!AA7</f>
        <v>3360</v>
      </c>
      <c r="P2" s="4">
        <f>Hotel!AB7</f>
        <v>7340</v>
      </c>
      <c r="Q2" s="4">
        <f>Hotel!AC7</f>
        <v>11740</v>
      </c>
      <c r="R2" s="4">
        <f>Hotel!AV7*0.00378541*100</f>
        <v>751.78242599999999</v>
      </c>
      <c r="S2" s="4">
        <f>Hotel!B7</f>
        <v>95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2022</v>
      </c>
      <c r="E3" s="4">
        <f>Hotel!Q8</f>
        <v>940</v>
      </c>
      <c r="F3" s="4">
        <f>Hotel!R8</f>
        <v>11370</v>
      </c>
      <c r="G3" s="4">
        <f>Hotel!S8</f>
        <v>2770</v>
      </c>
      <c r="H3" s="4">
        <f>Hotel!T8</f>
        <v>1430</v>
      </c>
      <c r="I3" s="4">
        <f>Hotel!U8</f>
        <v>4550</v>
      </c>
      <c r="J3" s="4">
        <f>Hotel!V8</f>
        <v>3650</v>
      </c>
      <c r="K3" s="4">
        <f>Hotel!W8</f>
        <v>3150</v>
      </c>
      <c r="L3" s="4">
        <f>Hotel!X8</f>
        <v>4150</v>
      </c>
      <c r="M3" s="4">
        <f>Hotel!Y8</f>
        <v>4620</v>
      </c>
      <c r="N3" s="4">
        <f>Hotel!Z8</f>
        <v>2280</v>
      </c>
      <c r="O3" s="4">
        <f>Hotel!AA8</f>
        <v>2990</v>
      </c>
      <c r="P3" s="4">
        <f>Hotel!AB8</f>
        <v>6330</v>
      </c>
      <c r="Q3" s="4">
        <f>Hotel!AC8</f>
        <v>10180</v>
      </c>
      <c r="R3" s="4">
        <f>Hotel!AV8*0.00378541*100</f>
        <v>752.53950799999996</v>
      </c>
      <c r="S3" s="4">
        <f>Hotel!B8</f>
        <v>111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2022</v>
      </c>
      <c r="E4" s="4">
        <f>Hotel!Q9</f>
        <v>1040</v>
      </c>
      <c r="F4" s="4">
        <f>Hotel!R9</f>
        <v>12440</v>
      </c>
      <c r="G4" s="4">
        <f>Hotel!S9</f>
        <v>3010</v>
      </c>
      <c r="H4" s="4">
        <f>Hotel!T9</f>
        <v>1570</v>
      </c>
      <c r="I4" s="4">
        <f>Hotel!U9</f>
        <v>4720</v>
      </c>
      <c r="J4" s="4">
        <f>Hotel!V9</f>
        <v>3630</v>
      </c>
      <c r="K4" s="4">
        <f>Hotel!W9</f>
        <v>2960</v>
      </c>
      <c r="L4" s="4">
        <f>Hotel!X9</f>
        <v>4790</v>
      </c>
      <c r="M4" s="4">
        <f>Hotel!Y9</f>
        <v>5160</v>
      </c>
      <c r="N4" s="4">
        <f>Hotel!Z9</f>
        <v>2460</v>
      </c>
      <c r="O4" s="4">
        <f>Hotel!AA9</f>
        <v>3080</v>
      </c>
      <c r="P4" s="4">
        <f>Hotel!AB9</f>
        <v>7050</v>
      </c>
      <c r="Q4" s="4">
        <f>Hotel!AC9</f>
        <v>9110</v>
      </c>
      <c r="R4" s="4">
        <f>Hotel!AV9*0.00378541*100</f>
        <v>718.47081799999989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2022</v>
      </c>
      <c r="E5" s="4">
        <f>Hotel!Q10</f>
        <v>1040</v>
      </c>
      <c r="F5" s="4">
        <f>Hotel!R10</f>
        <v>12850</v>
      </c>
      <c r="G5" s="4">
        <f>Hotel!S10</f>
        <v>3190</v>
      </c>
      <c r="H5" s="4">
        <f>Hotel!T10</f>
        <v>1570</v>
      </c>
      <c r="I5" s="4">
        <f>Hotel!U10</f>
        <v>4580</v>
      </c>
      <c r="J5" s="4">
        <f>Hotel!V10</f>
        <v>3630</v>
      </c>
      <c r="K5" s="4">
        <f>Hotel!W10</f>
        <v>3220</v>
      </c>
      <c r="L5" s="4">
        <f>Hotel!X10</f>
        <v>4590</v>
      </c>
      <c r="M5" s="4">
        <f>Hotel!Y10</f>
        <v>5070</v>
      </c>
      <c r="N5" s="4">
        <f>Hotel!Z10</f>
        <v>2420</v>
      </c>
      <c r="O5" s="4">
        <f>Hotel!AA10</f>
        <v>2830</v>
      </c>
      <c r="P5" s="4">
        <f>Hotel!AB10</f>
        <v>6940</v>
      </c>
      <c r="Q5" s="4">
        <f>Hotel!AC10</f>
        <v>8700</v>
      </c>
      <c r="R5" s="4">
        <f>Hotel!AV10*0.00378541*100</f>
        <v>742.31890099999998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2022</v>
      </c>
      <c r="E6" s="4">
        <f>Hotel!Q11</f>
        <v>890</v>
      </c>
      <c r="F6" s="4">
        <f>Hotel!R11</f>
        <v>12830</v>
      </c>
      <c r="G6" s="4">
        <f>Hotel!S11</f>
        <v>2010</v>
      </c>
      <c r="H6" s="4">
        <f>Hotel!T11</f>
        <v>1450</v>
      </c>
      <c r="I6" s="4">
        <f>Hotel!U11</f>
        <v>4540</v>
      </c>
      <c r="J6" s="4">
        <f>Hotel!V11</f>
        <v>3590</v>
      </c>
      <c r="K6" s="4">
        <f>Hotel!W11</f>
        <v>3060</v>
      </c>
      <c r="L6" s="4">
        <f>Hotel!X11</f>
        <v>4670</v>
      </c>
      <c r="M6" s="4">
        <f>Hotel!Y11</f>
        <v>4840</v>
      </c>
      <c r="N6" s="4">
        <f>Hotel!Z11</f>
        <v>2440</v>
      </c>
      <c r="O6" s="4">
        <f>Hotel!AA11</f>
        <v>2880</v>
      </c>
      <c r="P6" s="4">
        <f>Hotel!AB11</f>
        <v>6680</v>
      </c>
      <c r="Q6" s="4">
        <f>Hotel!AC11</f>
        <v>8800</v>
      </c>
      <c r="R6" s="4">
        <f>Hotel!AV11*0.00378541*100</f>
        <v>687.80899699999998</v>
      </c>
      <c r="S6" s="4">
        <f>Hotel!B11</f>
        <v>122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2022</v>
      </c>
      <c r="E7" s="4">
        <f>Hotel!Q12</f>
        <v>980</v>
      </c>
      <c r="F7" s="4">
        <f>Hotel!R12</f>
        <v>12070</v>
      </c>
      <c r="G7" s="4">
        <f>Hotel!S12</f>
        <v>2750</v>
      </c>
      <c r="H7" s="4">
        <f>Hotel!T12</f>
        <v>1250</v>
      </c>
      <c r="I7" s="4">
        <f>Hotel!U12</f>
        <v>4900</v>
      </c>
      <c r="J7" s="4">
        <f>Hotel!V12</f>
        <v>3780</v>
      </c>
      <c r="K7" s="4">
        <f>Hotel!W12</f>
        <v>3470</v>
      </c>
      <c r="L7" s="4">
        <f>Hotel!X12</f>
        <v>4570</v>
      </c>
      <c r="M7" s="4">
        <f>Hotel!Y12</f>
        <v>4860</v>
      </c>
      <c r="N7" s="4">
        <f>Hotel!Z12</f>
        <v>2620</v>
      </c>
      <c r="O7" s="4">
        <f>Hotel!AA12</f>
        <v>2990</v>
      </c>
      <c r="P7" s="4">
        <f>Hotel!AB12</f>
        <v>7100</v>
      </c>
      <c r="Q7" s="4">
        <f>Hotel!AC12</f>
        <v>10260</v>
      </c>
      <c r="R7" s="4">
        <f>Hotel!AV12*0.00378541*100</f>
        <v>810.83482200000003</v>
      </c>
      <c r="S7" s="4">
        <f>Hotel!B12</f>
        <v>154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2022</v>
      </c>
      <c r="E8" s="4">
        <f>Hotel!Q13</f>
        <v>1020</v>
      </c>
      <c r="F8" s="4">
        <f>Hotel!R13</f>
        <v>12670</v>
      </c>
      <c r="G8" s="4">
        <f>Hotel!S13</f>
        <v>2880</v>
      </c>
      <c r="H8" s="4">
        <f>Hotel!T13</f>
        <v>1590</v>
      </c>
      <c r="I8" s="4">
        <f>Hotel!U13</f>
        <v>5020</v>
      </c>
      <c r="J8" s="4">
        <f>Hotel!V13</f>
        <v>3820</v>
      </c>
      <c r="K8" s="4">
        <f>Hotel!W13</f>
        <v>3360</v>
      </c>
      <c r="L8" s="4">
        <f>Hotel!X13</f>
        <v>4820</v>
      </c>
      <c r="M8" s="4">
        <f>Hotel!Y13</f>
        <v>5130</v>
      </c>
      <c r="N8" s="4">
        <f>Hotel!Z13</f>
        <v>2750</v>
      </c>
      <c r="O8" s="4">
        <f>Hotel!AA13</f>
        <v>3300</v>
      </c>
      <c r="P8" s="4">
        <f>Hotel!AB13</f>
        <v>7130</v>
      </c>
      <c r="Q8" s="4">
        <f>Hotel!AC13</f>
        <v>9980</v>
      </c>
      <c r="R8" s="4">
        <f>Hotel!AV13*0.00378541*100</f>
        <v>755.56783599999994</v>
      </c>
      <c r="S8" s="4">
        <f>Hotel!B13</f>
        <v>148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2022</v>
      </c>
      <c r="E9" s="4">
        <f>Hotel!Q14</f>
        <v>1030</v>
      </c>
      <c r="F9" s="4">
        <f>Hotel!R14</f>
        <v>12700</v>
      </c>
      <c r="G9" s="4">
        <f>Hotel!S14</f>
        <v>3110</v>
      </c>
      <c r="H9" s="4">
        <f>Hotel!T14</f>
        <v>1600</v>
      </c>
      <c r="I9" s="4">
        <f>Hotel!U14</f>
        <v>5180</v>
      </c>
      <c r="J9" s="4">
        <f>Hotel!V14</f>
        <v>4220</v>
      </c>
      <c r="K9" s="4">
        <f>Hotel!W14</f>
        <v>3620</v>
      </c>
      <c r="L9" s="4">
        <f>Hotel!X14</f>
        <v>4710</v>
      </c>
      <c r="M9" s="4">
        <f>Hotel!Y14</f>
        <v>5180</v>
      </c>
      <c r="N9" s="4">
        <f>Hotel!Z14</f>
        <v>2830</v>
      </c>
      <c r="O9" s="4">
        <f>Hotel!AA14</f>
        <v>3360</v>
      </c>
      <c r="P9" s="4">
        <f>Hotel!AB14</f>
        <v>7070</v>
      </c>
      <c r="Q9" s="4">
        <f>Hotel!AC14</f>
        <v>9630</v>
      </c>
      <c r="R9" s="4">
        <f>Hotel!AV14*0.00378541*100</f>
        <v>617.77891199999999</v>
      </c>
      <c r="S9" s="4">
        <f>Hotel!B14</f>
        <v>156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2022</v>
      </c>
      <c r="E10" s="4" t="str">
        <f>Hotel!Q15</f>
        <v>0</v>
      </c>
      <c r="F10" s="4" t="str">
        <f>Hotel!R15</f>
        <v>0</v>
      </c>
      <c r="G10" s="4" t="str">
        <f>Hotel!S15</f>
        <v>0</v>
      </c>
      <c r="H10" s="4" t="str">
        <f>Hotel!T15</f>
        <v>0</v>
      </c>
      <c r="I10" s="4" t="str">
        <f>Hotel!U15</f>
        <v>0</v>
      </c>
      <c r="J10" s="4" t="str">
        <f>Hotel!V15</f>
        <v>0</v>
      </c>
      <c r="K10" s="4" t="str">
        <f>Hotel!W15</f>
        <v>0</v>
      </c>
      <c r="L10" s="4" t="str">
        <f>Hotel!X15</f>
        <v>0</v>
      </c>
      <c r="M10" s="4" t="str">
        <f>Hotel!Y15</f>
        <v>0</v>
      </c>
      <c r="N10" s="4" t="str">
        <f>Hotel!Z15</f>
        <v>0</v>
      </c>
      <c r="O10" s="4" t="str">
        <f>Hotel!AA15</f>
        <v>0</v>
      </c>
      <c r="P10" s="4" t="str">
        <f>Hotel!AB15</f>
        <v>0</v>
      </c>
      <c r="Q10" s="4" t="str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AO23" sqref="AO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44834</v>
      </c>
      <c r="B2" s="40">
        <v>123</v>
      </c>
      <c r="C2" s="56">
        <v>8474080</v>
      </c>
      <c r="D2" s="56">
        <v>20597570</v>
      </c>
      <c r="E2" s="56">
        <v>3636060</v>
      </c>
      <c r="F2" s="56">
        <v>4280090</v>
      </c>
      <c r="G2" s="56">
        <v>12609080</v>
      </c>
      <c r="H2" s="56">
        <v>7411650</v>
      </c>
      <c r="I2" s="56">
        <v>6431480</v>
      </c>
      <c r="J2" s="56">
        <v>7995880</v>
      </c>
      <c r="K2" s="56">
        <v>11668370</v>
      </c>
      <c r="L2" s="56">
        <v>5080970</v>
      </c>
      <c r="M2" s="56">
        <v>9381600</v>
      </c>
      <c r="N2" s="56">
        <v>15450770</v>
      </c>
      <c r="O2" s="56">
        <v>21615470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240981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8" t="s">
        <v>23</v>
      </c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Q4" s="70" t="s">
        <v>24</v>
      </c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2"/>
      <c r="AD4" s="28" t="s">
        <v>25</v>
      </c>
      <c r="AF4" s="73" t="s">
        <v>26</v>
      </c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29" t="s">
        <v>27</v>
      </c>
      <c r="AU4" s="64" t="s">
        <v>28</v>
      </c>
      <c r="AV4" s="65" t="s">
        <v>29</v>
      </c>
      <c r="AW4" s="65" t="s">
        <v>48</v>
      </c>
      <c r="AX4" s="67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4"/>
      <c r="AV5" s="66"/>
      <c r="AW5" s="66"/>
      <c r="AX5" s="67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240981</v>
      </c>
    </row>
    <row r="7" spans="1:50" x14ac:dyDescent="0.25">
      <c r="A7" s="23">
        <v>44835</v>
      </c>
      <c r="B7" s="40">
        <v>95</v>
      </c>
      <c r="C7" s="51">
        <v>8475130</v>
      </c>
      <c r="D7" s="51">
        <v>20610420</v>
      </c>
      <c r="E7" s="51">
        <v>3639190</v>
      </c>
      <c r="F7" s="51">
        <v>4281680</v>
      </c>
      <c r="G7" s="51">
        <v>12614130</v>
      </c>
      <c r="H7" s="51">
        <v>7415980</v>
      </c>
      <c r="I7" s="51">
        <v>6435240</v>
      </c>
      <c r="J7" s="51">
        <v>8000780</v>
      </c>
      <c r="K7" s="51">
        <v>11674120</v>
      </c>
      <c r="L7" s="51">
        <v>5083710</v>
      </c>
      <c r="M7" s="51">
        <v>9384960</v>
      </c>
      <c r="N7" s="51">
        <v>15458110</v>
      </c>
      <c r="O7" s="51">
        <v>21627210</v>
      </c>
      <c r="Q7" s="37">
        <f t="shared" ref="Q7:AC7" si="0">IF((C7-C2&lt;0), "0",C7-C2)</f>
        <v>1050</v>
      </c>
      <c r="R7" s="37">
        <f t="shared" si="0"/>
        <v>12850</v>
      </c>
      <c r="S7" s="37">
        <f t="shared" si="0"/>
        <v>3130</v>
      </c>
      <c r="T7" s="37">
        <f t="shared" si="0"/>
        <v>1590</v>
      </c>
      <c r="U7" s="37">
        <f t="shared" si="0"/>
        <v>5050</v>
      </c>
      <c r="V7" s="37">
        <f t="shared" si="0"/>
        <v>4330</v>
      </c>
      <c r="W7" s="37">
        <f t="shared" si="0"/>
        <v>3760</v>
      </c>
      <c r="X7" s="37">
        <f t="shared" si="0"/>
        <v>4900</v>
      </c>
      <c r="Y7" s="37">
        <f t="shared" si="0"/>
        <v>5750</v>
      </c>
      <c r="Z7" s="37">
        <f t="shared" si="0"/>
        <v>2740</v>
      </c>
      <c r="AA7" s="37">
        <f t="shared" si="0"/>
        <v>3360</v>
      </c>
      <c r="AB7" s="37">
        <f t="shared" si="0"/>
        <v>7340</v>
      </c>
      <c r="AC7" s="37">
        <f t="shared" si="0"/>
        <v>11740</v>
      </c>
      <c r="AD7" s="34">
        <f>SUM(Q7:AC7)</f>
        <v>67590</v>
      </c>
      <c r="AF7" s="20">
        <f t="shared" ref="AF7:AF36" si="1">Q7*$D$39</f>
        <v>5.25</v>
      </c>
      <c r="AG7" s="20">
        <f t="shared" ref="AG7:AG36" si="2">R7*$D$39</f>
        <v>64.25</v>
      </c>
      <c r="AH7" s="20">
        <f t="shared" ref="AH7:AH36" si="3">S7*$D$39</f>
        <v>15.65</v>
      </c>
      <c r="AI7" s="20">
        <f t="shared" ref="AI7:AI36" si="4">T7*$D$39</f>
        <v>7.95</v>
      </c>
      <c r="AJ7" s="20">
        <f t="shared" ref="AJ7:AJ36" si="5">U7*$D$39</f>
        <v>25.25</v>
      </c>
      <c r="AK7" s="20">
        <f t="shared" ref="AK7:AK36" si="6">V7*$D$39</f>
        <v>21.650000000000002</v>
      </c>
      <c r="AL7" s="20">
        <f t="shared" ref="AL7:AL36" si="7">W7*$D$39</f>
        <v>18.8</v>
      </c>
      <c r="AM7" s="20">
        <f t="shared" ref="AM7:AM36" si="8">X7*$D$39</f>
        <v>24.5</v>
      </c>
      <c r="AN7" s="20">
        <f t="shared" ref="AN7:AN36" si="9">Y7*$D$39</f>
        <v>28.75</v>
      </c>
      <c r="AO7" s="20">
        <f t="shared" ref="AO7:AO36" si="10">Z7*$D$39</f>
        <v>13.700000000000001</v>
      </c>
      <c r="AP7" s="20">
        <f t="shared" ref="AP7:AP36" si="11">AA7*$D$39</f>
        <v>16.8</v>
      </c>
      <c r="AQ7" s="20">
        <f t="shared" ref="AQ7:AQ36" si="12">AB7*$D$39</f>
        <v>36.700000000000003</v>
      </c>
      <c r="AR7" s="20">
        <f t="shared" ref="AR7:AR36" si="13">AC7*$D$39</f>
        <v>58.7</v>
      </c>
      <c r="AS7" s="35">
        <f>SUM(AF7:AR7)</f>
        <v>337.95</v>
      </c>
      <c r="AU7" s="54">
        <v>242967</v>
      </c>
      <c r="AV7" s="37">
        <f>IF((AU7-AU6&lt;0),"0",AU7-AU6)</f>
        <v>1986</v>
      </c>
      <c r="AW7" s="37">
        <f>AV7*100*AV44</f>
        <v>751.78242599999999</v>
      </c>
      <c r="AX7" s="35">
        <f t="shared" ref="AX7:AX35" si="14">AV7*$D$40</f>
        <v>3.972</v>
      </c>
    </row>
    <row r="8" spans="1:50" x14ac:dyDescent="0.25">
      <c r="A8" s="23">
        <v>44836</v>
      </c>
      <c r="B8" s="40">
        <v>111</v>
      </c>
      <c r="C8" s="52">
        <v>8476070</v>
      </c>
      <c r="D8" s="52">
        <v>20621790</v>
      </c>
      <c r="E8" s="52">
        <v>3641960</v>
      </c>
      <c r="F8" s="52">
        <v>4283110</v>
      </c>
      <c r="G8" s="52">
        <v>12618680</v>
      </c>
      <c r="H8" s="52">
        <v>7419630</v>
      </c>
      <c r="I8" s="52">
        <v>6438390</v>
      </c>
      <c r="J8" s="52">
        <v>8004930</v>
      </c>
      <c r="K8" s="52">
        <v>11678740</v>
      </c>
      <c r="L8" s="52">
        <v>5085990</v>
      </c>
      <c r="M8" s="52">
        <v>9387950</v>
      </c>
      <c r="N8" s="52">
        <v>15464440</v>
      </c>
      <c r="O8" s="52">
        <v>21637390</v>
      </c>
      <c r="Q8" s="37">
        <f>IF((C8-C7&lt;0), "0",C8-C7)</f>
        <v>940</v>
      </c>
      <c r="R8" s="37">
        <f t="shared" ref="R8:AC8" si="15">IF((D8-D7&lt;0), "0",D8-D7)</f>
        <v>11370</v>
      </c>
      <c r="S8" s="37">
        <f t="shared" ref="S8:S35" si="16">IF((E8-E7&lt;0), "0",E8-E7)</f>
        <v>2770</v>
      </c>
      <c r="T8" s="37">
        <f t="shared" si="15"/>
        <v>1430</v>
      </c>
      <c r="U8" s="37">
        <f t="shared" si="15"/>
        <v>4550</v>
      </c>
      <c r="V8" s="37">
        <f t="shared" si="15"/>
        <v>3650</v>
      </c>
      <c r="W8" s="37">
        <f t="shared" si="15"/>
        <v>3150</v>
      </c>
      <c r="X8" s="37">
        <f t="shared" si="15"/>
        <v>4150</v>
      </c>
      <c r="Y8" s="37">
        <f t="shared" si="15"/>
        <v>4620</v>
      </c>
      <c r="Z8" s="37">
        <f t="shared" si="15"/>
        <v>2280</v>
      </c>
      <c r="AA8" s="37">
        <f t="shared" si="15"/>
        <v>2990</v>
      </c>
      <c r="AB8" s="37">
        <f t="shared" si="15"/>
        <v>6330</v>
      </c>
      <c r="AC8" s="37">
        <f t="shared" si="15"/>
        <v>10180</v>
      </c>
      <c r="AD8" s="35">
        <f>SUM(Q8:AC8)</f>
        <v>58410</v>
      </c>
      <c r="AF8" s="20">
        <f t="shared" si="1"/>
        <v>4.7</v>
      </c>
      <c r="AG8" s="20">
        <f t="shared" si="2"/>
        <v>56.85</v>
      </c>
      <c r="AH8" s="20">
        <f t="shared" si="3"/>
        <v>13.85</v>
      </c>
      <c r="AI8" s="20">
        <f t="shared" si="4"/>
        <v>7.15</v>
      </c>
      <c r="AJ8" s="20">
        <f t="shared" si="5"/>
        <v>22.75</v>
      </c>
      <c r="AK8" s="20">
        <f t="shared" si="6"/>
        <v>18.25</v>
      </c>
      <c r="AL8" s="20">
        <f t="shared" si="7"/>
        <v>15.75</v>
      </c>
      <c r="AM8" s="20">
        <f t="shared" si="8"/>
        <v>20.75</v>
      </c>
      <c r="AN8" s="20">
        <f t="shared" si="9"/>
        <v>23.1</v>
      </c>
      <c r="AO8" s="20">
        <f t="shared" si="10"/>
        <v>11.4</v>
      </c>
      <c r="AP8" s="20">
        <f t="shared" si="11"/>
        <v>14.950000000000001</v>
      </c>
      <c r="AQ8" s="20">
        <f t="shared" si="12"/>
        <v>31.650000000000002</v>
      </c>
      <c r="AR8" s="20">
        <f t="shared" si="13"/>
        <v>50.9</v>
      </c>
      <c r="AS8" s="35">
        <f>SUM(AF8:AR8)</f>
        <v>292.05</v>
      </c>
      <c r="AU8" s="55">
        <v>244955</v>
      </c>
      <c r="AV8" s="37">
        <f>IF((AU8-AU7&lt;0),"0",AU8-AU7)</f>
        <v>1988</v>
      </c>
      <c r="AW8" s="37">
        <f>AV8*100*AV44</f>
        <v>752.53950799999996</v>
      </c>
      <c r="AX8" s="35">
        <f t="shared" si="14"/>
        <v>3.976</v>
      </c>
    </row>
    <row r="9" spans="1:50" x14ac:dyDescent="0.25">
      <c r="A9" s="23">
        <v>44837</v>
      </c>
      <c r="B9" s="40">
        <v>93</v>
      </c>
      <c r="C9" s="51">
        <v>8477110</v>
      </c>
      <c r="D9" s="51">
        <v>20634230</v>
      </c>
      <c r="E9" s="51">
        <v>3644970</v>
      </c>
      <c r="F9" s="51">
        <v>4284680</v>
      </c>
      <c r="G9" s="51">
        <v>12623400</v>
      </c>
      <c r="H9" s="51">
        <v>7423260</v>
      </c>
      <c r="I9" s="51">
        <v>6441350</v>
      </c>
      <c r="J9" s="51">
        <v>8009720</v>
      </c>
      <c r="K9" s="51">
        <v>11683900</v>
      </c>
      <c r="L9" s="51">
        <v>5088450</v>
      </c>
      <c r="M9" s="51">
        <v>9391030</v>
      </c>
      <c r="N9" s="51">
        <v>15471490</v>
      </c>
      <c r="O9" s="51">
        <v>21646500</v>
      </c>
      <c r="Q9" s="37">
        <f t="shared" ref="Q9:Q30" si="17">IF((C9-C8&lt;0), "0",C9-C8)</f>
        <v>1040</v>
      </c>
      <c r="R9" s="37">
        <f t="shared" ref="R9:R37" si="18">IF((D9-D8&lt;0), "0",D9-D8)</f>
        <v>12440</v>
      </c>
      <c r="S9" s="37">
        <f t="shared" si="16"/>
        <v>3010</v>
      </c>
      <c r="T9" s="37">
        <f t="shared" ref="T9:T35" si="19">IF((F9-F8&lt;0), "0",F9-F8)</f>
        <v>1570</v>
      </c>
      <c r="U9" s="37">
        <f t="shared" ref="U9:U35" si="20">IF((G9-G8&lt;0), "0",G9-G8)</f>
        <v>4720</v>
      </c>
      <c r="V9" s="37">
        <f t="shared" ref="V9:V35" si="21">IF((H9-H8&lt;0), "0",H9-H8)</f>
        <v>3630</v>
      </c>
      <c r="W9" s="37">
        <f t="shared" ref="W9:W35" si="22">IF((I9-I8&lt;0), "0",I9-I8)</f>
        <v>2960</v>
      </c>
      <c r="X9" s="37">
        <f t="shared" ref="X9:X37" si="23">IF((J9-J8&lt;0), "0",J9-J8)</f>
        <v>4790</v>
      </c>
      <c r="Y9" s="37">
        <f t="shared" ref="Y9:Y35" si="24">IF((K9-K8&lt;0), "0",K9-K8)</f>
        <v>5160</v>
      </c>
      <c r="Z9" s="37">
        <f t="shared" ref="Z9:Z35" si="25">IF((L9-L8&lt;0), "0",L9-L8)</f>
        <v>2460</v>
      </c>
      <c r="AA9" s="37">
        <f t="shared" ref="AA9:AA35" si="26">IF((M9-M8&lt;0), "0",M9-M8)</f>
        <v>3080</v>
      </c>
      <c r="AB9" s="37">
        <f t="shared" ref="AB9:AB37" si="27">IF((N9-N8&lt;0), "0",N9-N8)</f>
        <v>7050</v>
      </c>
      <c r="AC9" s="37">
        <f t="shared" ref="AC9:AC37" si="28">IF((O9-O8&lt;0), "0",O9-O8)</f>
        <v>9110</v>
      </c>
      <c r="AD9" s="35">
        <f t="shared" ref="AD9:AD37" si="29">SUM(Q9:AC9)</f>
        <v>61020</v>
      </c>
      <c r="AF9" s="20">
        <f t="shared" si="1"/>
        <v>5.2</v>
      </c>
      <c r="AG9" s="20">
        <f t="shared" si="2"/>
        <v>62.2</v>
      </c>
      <c r="AH9" s="20">
        <f t="shared" si="3"/>
        <v>15.05</v>
      </c>
      <c r="AI9" s="20">
        <f t="shared" si="4"/>
        <v>7.8500000000000005</v>
      </c>
      <c r="AJ9" s="20">
        <f t="shared" si="5"/>
        <v>23.6</v>
      </c>
      <c r="AK9" s="20">
        <f t="shared" si="6"/>
        <v>18.150000000000002</v>
      </c>
      <c r="AL9" s="20">
        <f t="shared" si="7"/>
        <v>14.8</v>
      </c>
      <c r="AM9" s="20">
        <f t="shared" si="8"/>
        <v>23.95</v>
      </c>
      <c r="AN9" s="20">
        <f t="shared" si="9"/>
        <v>25.8</v>
      </c>
      <c r="AO9" s="20">
        <f t="shared" si="10"/>
        <v>12.3</v>
      </c>
      <c r="AP9" s="20">
        <f t="shared" si="11"/>
        <v>15.4</v>
      </c>
      <c r="AQ9" s="20">
        <f t="shared" si="12"/>
        <v>35.25</v>
      </c>
      <c r="AR9" s="20">
        <f t="shared" si="13"/>
        <v>45.550000000000004</v>
      </c>
      <c r="AS9" s="35">
        <f t="shared" ref="AS9:AS33" si="30">SUM(AF9:AR9)</f>
        <v>305.10000000000008</v>
      </c>
      <c r="AU9" s="63">
        <v>246853</v>
      </c>
      <c r="AV9" s="37">
        <f>IF((AU9-AU8&lt;0),"0",AU9-AU8)</f>
        <v>1898</v>
      </c>
      <c r="AW9" s="37">
        <f>AV9*100*AV44</f>
        <v>718.47081800000001</v>
      </c>
      <c r="AX9" s="35">
        <f t="shared" si="14"/>
        <v>3.7960000000000003</v>
      </c>
    </row>
    <row r="10" spans="1:50" x14ac:dyDescent="0.25">
      <c r="A10" s="23">
        <v>44838</v>
      </c>
      <c r="B10" s="40">
        <v>119</v>
      </c>
      <c r="C10" s="52">
        <v>8478150</v>
      </c>
      <c r="D10" s="52">
        <v>20647080</v>
      </c>
      <c r="E10" s="52">
        <v>3648160</v>
      </c>
      <c r="F10" s="52">
        <v>4286250</v>
      </c>
      <c r="G10" s="52">
        <v>12627980</v>
      </c>
      <c r="H10" s="52">
        <v>7426890</v>
      </c>
      <c r="I10" s="52">
        <v>6444570</v>
      </c>
      <c r="J10" s="52">
        <v>8014310</v>
      </c>
      <c r="K10" s="52">
        <v>11688970</v>
      </c>
      <c r="L10" s="52">
        <v>5090870</v>
      </c>
      <c r="M10" s="52">
        <v>9393860</v>
      </c>
      <c r="N10" s="52">
        <v>15478430</v>
      </c>
      <c r="O10" s="52">
        <v>21655200</v>
      </c>
      <c r="Q10" s="37">
        <f t="shared" si="17"/>
        <v>1040</v>
      </c>
      <c r="R10" s="37">
        <f t="shared" si="18"/>
        <v>12850</v>
      </c>
      <c r="S10" s="37">
        <f t="shared" si="16"/>
        <v>3190</v>
      </c>
      <c r="T10" s="37">
        <f t="shared" si="19"/>
        <v>1570</v>
      </c>
      <c r="U10" s="37">
        <f t="shared" si="20"/>
        <v>4580</v>
      </c>
      <c r="V10" s="37">
        <f t="shared" si="21"/>
        <v>3630</v>
      </c>
      <c r="W10" s="37">
        <f t="shared" si="22"/>
        <v>3220</v>
      </c>
      <c r="X10" s="37">
        <f t="shared" si="23"/>
        <v>4590</v>
      </c>
      <c r="Y10" s="37">
        <f t="shared" si="24"/>
        <v>5070</v>
      </c>
      <c r="Z10" s="37">
        <f t="shared" si="25"/>
        <v>2420</v>
      </c>
      <c r="AA10" s="37">
        <f t="shared" si="26"/>
        <v>2830</v>
      </c>
      <c r="AB10" s="37">
        <f t="shared" si="27"/>
        <v>6940</v>
      </c>
      <c r="AC10" s="37">
        <f t="shared" si="28"/>
        <v>8700</v>
      </c>
      <c r="AD10" s="35">
        <f t="shared" si="29"/>
        <v>60630</v>
      </c>
      <c r="AF10" s="20">
        <f t="shared" si="1"/>
        <v>5.2</v>
      </c>
      <c r="AG10" s="20">
        <f t="shared" si="2"/>
        <v>64.25</v>
      </c>
      <c r="AH10" s="20">
        <f t="shared" si="3"/>
        <v>15.950000000000001</v>
      </c>
      <c r="AI10" s="20">
        <f t="shared" si="4"/>
        <v>7.8500000000000005</v>
      </c>
      <c r="AJ10" s="20">
        <f t="shared" si="5"/>
        <v>22.900000000000002</v>
      </c>
      <c r="AK10" s="20">
        <f t="shared" si="6"/>
        <v>18.150000000000002</v>
      </c>
      <c r="AL10" s="20">
        <f t="shared" si="7"/>
        <v>16.100000000000001</v>
      </c>
      <c r="AM10" s="20">
        <f t="shared" si="8"/>
        <v>22.95</v>
      </c>
      <c r="AN10" s="20">
        <f t="shared" si="9"/>
        <v>25.35</v>
      </c>
      <c r="AO10" s="20">
        <f t="shared" si="10"/>
        <v>12.1</v>
      </c>
      <c r="AP10" s="20">
        <f t="shared" si="11"/>
        <v>14.15</v>
      </c>
      <c r="AQ10" s="20">
        <f t="shared" si="12"/>
        <v>34.700000000000003</v>
      </c>
      <c r="AR10" s="20">
        <f t="shared" si="13"/>
        <v>43.5</v>
      </c>
      <c r="AS10" s="35">
        <f t="shared" si="30"/>
        <v>303.14999999999998</v>
      </c>
      <c r="AU10" s="55">
        <v>248814</v>
      </c>
      <c r="AV10" s="37">
        <f t="shared" ref="AV10:AV26" si="31">IF((AU10-AU9&lt;0),"0",AU10-AU9)</f>
        <v>1961</v>
      </c>
      <c r="AW10" s="37">
        <f>AV10*100*AV44</f>
        <v>742.31890099999998</v>
      </c>
      <c r="AX10" s="35">
        <f t="shared" si="14"/>
        <v>3.9220000000000002</v>
      </c>
    </row>
    <row r="11" spans="1:50" x14ac:dyDescent="0.25">
      <c r="A11" s="23">
        <v>44839</v>
      </c>
      <c r="B11" s="40">
        <v>122</v>
      </c>
      <c r="C11" s="51">
        <v>8479040</v>
      </c>
      <c r="D11" s="51">
        <v>20659910</v>
      </c>
      <c r="E11" s="51">
        <v>3650170</v>
      </c>
      <c r="F11" s="51">
        <v>4287700</v>
      </c>
      <c r="G11" s="51">
        <v>12632520</v>
      </c>
      <c r="H11" s="51">
        <v>7430480</v>
      </c>
      <c r="I11" s="51">
        <v>6447630</v>
      </c>
      <c r="J11" s="51">
        <v>8018980</v>
      </c>
      <c r="K11" s="51">
        <v>11693810</v>
      </c>
      <c r="L11" s="51">
        <v>5093310</v>
      </c>
      <c r="M11" s="51">
        <v>9396740</v>
      </c>
      <c r="N11" s="51">
        <v>15485110</v>
      </c>
      <c r="O11" s="51">
        <v>21664000</v>
      </c>
      <c r="Q11" s="37">
        <f t="shared" si="17"/>
        <v>890</v>
      </c>
      <c r="R11" s="37">
        <f t="shared" si="18"/>
        <v>12830</v>
      </c>
      <c r="S11" s="37">
        <f t="shared" si="16"/>
        <v>2010</v>
      </c>
      <c r="T11" s="37">
        <f t="shared" si="19"/>
        <v>1450</v>
      </c>
      <c r="U11" s="37">
        <f t="shared" si="20"/>
        <v>4540</v>
      </c>
      <c r="V11" s="37">
        <f t="shared" si="21"/>
        <v>3590</v>
      </c>
      <c r="W11" s="37">
        <f t="shared" si="22"/>
        <v>3060</v>
      </c>
      <c r="X11" s="37">
        <f t="shared" si="23"/>
        <v>4670</v>
      </c>
      <c r="Y11" s="37">
        <f t="shared" si="24"/>
        <v>4840</v>
      </c>
      <c r="Z11" s="37">
        <f t="shared" si="25"/>
        <v>2440</v>
      </c>
      <c r="AA11" s="37">
        <f t="shared" si="26"/>
        <v>2880</v>
      </c>
      <c r="AB11" s="37">
        <f t="shared" si="27"/>
        <v>6680</v>
      </c>
      <c r="AC11" s="37">
        <f t="shared" si="28"/>
        <v>8800</v>
      </c>
      <c r="AD11" s="35">
        <f t="shared" si="29"/>
        <v>58680</v>
      </c>
      <c r="AF11" s="20">
        <f t="shared" si="1"/>
        <v>4.45</v>
      </c>
      <c r="AG11" s="20">
        <f t="shared" si="2"/>
        <v>64.150000000000006</v>
      </c>
      <c r="AH11" s="20">
        <f t="shared" si="3"/>
        <v>10.050000000000001</v>
      </c>
      <c r="AI11" s="20">
        <f t="shared" si="4"/>
        <v>7.25</v>
      </c>
      <c r="AJ11" s="20">
        <f t="shared" si="5"/>
        <v>22.7</v>
      </c>
      <c r="AK11" s="20">
        <f t="shared" si="6"/>
        <v>17.95</v>
      </c>
      <c r="AL11" s="20">
        <f t="shared" si="7"/>
        <v>15.3</v>
      </c>
      <c r="AM11" s="20">
        <f t="shared" si="8"/>
        <v>23.35</v>
      </c>
      <c r="AN11" s="20">
        <f t="shared" si="9"/>
        <v>24.2</v>
      </c>
      <c r="AO11" s="20">
        <f t="shared" si="10"/>
        <v>12.200000000000001</v>
      </c>
      <c r="AP11" s="20">
        <f t="shared" si="11"/>
        <v>14.4</v>
      </c>
      <c r="AQ11" s="20">
        <f t="shared" si="12"/>
        <v>33.4</v>
      </c>
      <c r="AR11" s="20">
        <f t="shared" si="13"/>
        <v>44</v>
      </c>
      <c r="AS11" s="35">
        <f t="shared" si="30"/>
        <v>293.39999999999998</v>
      </c>
      <c r="AU11" s="54">
        <v>250631</v>
      </c>
      <c r="AV11" s="37">
        <f t="shared" si="31"/>
        <v>1817</v>
      </c>
      <c r="AW11" s="37">
        <f>AV11*100*AV44</f>
        <v>687.80899699999998</v>
      </c>
      <c r="AX11" s="35">
        <f t="shared" si="14"/>
        <v>3.6339999999999999</v>
      </c>
    </row>
    <row r="12" spans="1:50" x14ac:dyDescent="0.25">
      <c r="A12" s="23">
        <v>44840</v>
      </c>
      <c r="B12" s="40">
        <v>154</v>
      </c>
      <c r="C12" s="52">
        <v>8480020</v>
      </c>
      <c r="D12" s="52">
        <v>20671980</v>
      </c>
      <c r="E12" s="52">
        <v>3652920</v>
      </c>
      <c r="F12" s="52">
        <v>4288950</v>
      </c>
      <c r="G12" s="52">
        <v>12637420</v>
      </c>
      <c r="H12" s="52">
        <v>7434260</v>
      </c>
      <c r="I12" s="52">
        <v>6451100</v>
      </c>
      <c r="J12" s="52">
        <v>8023550</v>
      </c>
      <c r="K12" s="52">
        <v>11698670</v>
      </c>
      <c r="L12" s="52">
        <v>5095930</v>
      </c>
      <c r="M12" s="52">
        <v>9399730</v>
      </c>
      <c r="N12" s="52">
        <v>15492210</v>
      </c>
      <c r="O12" s="52">
        <v>21674260</v>
      </c>
      <c r="Q12" s="37">
        <f t="shared" si="17"/>
        <v>980</v>
      </c>
      <c r="R12" s="37">
        <f t="shared" si="18"/>
        <v>12070</v>
      </c>
      <c r="S12" s="37">
        <f t="shared" si="16"/>
        <v>2750</v>
      </c>
      <c r="T12" s="37">
        <f t="shared" ref="T12:W14" si="32">IF((F12-F11&lt;0), "0",F12-F11)</f>
        <v>1250</v>
      </c>
      <c r="U12" s="37">
        <f t="shared" si="32"/>
        <v>4900</v>
      </c>
      <c r="V12" s="37">
        <f t="shared" si="32"/>
        <v>3780</v>
      </c>
      <c r="W12" s="37">
        <f t="shared" si="32"/>
        <v>3470</v>
      </c>
      <c r="X12" s="37">
        <f t="shared" si="23"/>
        <v>4570</v>
      </c>
      <c r="Y12" s="37">
        <f t="shared" si="24"/>
        <v>4860</v>
      </c>
      <c r="Z12" s="37">
        <f>IF((L12-L11&lt;0), "0",L12-L11)</f>
        <v>2620</v>
      </c>
      <c r="AA12" s="37">
        <f t="shared" si="26"/>
        <v>2990</v>
      </c>
      <c r="AB12" s="37">
        <f t="shared" si="27"/>
        <v>7100</v>
      </c>
      <c r="AC12" s="37">
        <f t="shared" si="28"/>
        <v>10260</v>
      </c>
      <c r="AD12" s="35">
        <f t="shared" si="29"/>
        <v>61600</v>
      </c>
      <c r="AF12" s="20">
        <f t="shared" si="1"/>
        <v>4.9000000000000004</v>
      </c>
      <c r="AG12" s="20">
        <f t="shared" si="2"/>
        <v>60.35</v>
      </c>
      <c r="AH12" s="20">
        <f t="shared" si="3"/>
        <v>13.75</v>
      </c>
      <c r="AI12" s="20">
        <f t="shared" si="4"/>
        <v>6.25</v>
      </c>
      <c r="AJ12" s="20">
        <f t="shared" si="5"/>
        <v>24.5</v>
      </c>
      <c r="AK12" s="20">
        <f t="shared" si="6"/>
        <v>18.900000000000002</v>
      </c>
      <c r="AL12" s="20">
        <f t="shared" si="7"/>
        <v>17.350000000000001</v>
      </c>
      <c r="AM12" s="20">
        <f t="shared" si="8"/>
        <v>22.85</v>
      </c>
      <c r="AN12" s="20">
        <f t="shared" si="9"/>
        <v>24.3</v>
      </c>
      <c r="AO12" s="20">
        <f t="shared" si="10"/>
        <v>13.1</v>
      </c>
      <c r="AP12" s="20">
        <f t="shared" si="11"/>
        <v>14.950000000000001</v>
      </c>
      <c r="AQ12" s="20">
        <f t="shared" si="12"/>
        <v>35.5</v>
      </c>
      <c r="AR12" s="20">
        <f t="shared" si="13"/>
        <v>51.300000000000004</v>
      </c>
      <c r="AS12" s="35">
        <f t="shared" si="30"/>
        <v>308</v>
      </c>
      <c r="AU12" s="55">
        <v>252773</v>
      </c>
      <c r="AV12" s="37">
        <f t="shared" si="31"/>
        <v>2142</v>
      </c>
      <c r="AW12" s="37">
        <f>AV12*100*AV44</f>
        <v>810.83482200000003</v>
      </c>
      <c r="AX12" s="35">
        <f t="shared" si="14"/>
        <v>4.2839999999999998</v>
      </c>
    </row>
    <row r="13" spans="1:50" x14ac:dyDescent="0.25">
      <c r="A13" s="23">
        <v>44841</v>
      </c>
      <c r="B13" s="40">
        <v>148</v>
      </c>
      <c r="C13" s="61" t="s">
        <v>50</v>
      </c>
      <c r="D13" s="61" t="s">
        <v>51</v>
      </c>
      <c r="E13" s="61" t="s">
        <v>52</v>
      </c>
      <c r="F13" s="61" t="s">
        <v>53</v>
      </c>
      <c r="G13" s="61" t="s">
        <v>54</v>
      </c>
      <c r="H13" s="61" t="s">
        <v>55</v>
      </c>
      <c r="I13" s="61" t="s">
        <v>56</v>
      </c>
      <c r="J13" s="61" t="s">
        <v>57</v>
      </c>
      <c r="K13" s="61" t="s">
        <v>58</v>
      </c>
      <c r="L13" s="61" t="s">
        <v>59</v>
      </c>
      <c r="M13" s="61" t="s">
        <v>60</v>
      </c>
      <c r="N13" s="61" t="s">
        <v>61</v>
      </c>
      <c r="O13" s="61" t="s">
        <v>62</v>
      </c>
      <c r="Q13" s="37">
        <f t="shared" si="17"/>
        <v>1020</v>
      </c>
      <c r="R13" s="37">
        <f t="shared" si="18"/>
        <v>12670</v>
      </c>
      <c r="S13" s="37">
        <f t="shared" si="16"/>
        <v>2880</v>
      </c>
      <c r="T13" s="37">
        <f t="shared" si="32"/>
        <v>1590</v>
      </c>
      <c r="U13" s="37">
        <f t="shared" si="32"/>
        <v>5020</v>
      </c>
      <c r="V13" s="37">
        <f t="shared" si="32"/>
        <v>3820</v>
      </c>
      <c r="W13" s="37">
        <f t="shared" si="32"/>
        <v>3360</v>
      </c>
      <c r="X13" s="37">
        <f t="shared" si="23"/>
        <v>4820</v>
      </c>
      <c r="Y13" s="37">
        <f t="shared" si="24"/>
        <v>5130</v>
      </c>
      <c r="Z13" s="37">
        <f>IF((L13-L12&lt;0), "0",L13-L12)</f>
        <v>2750</v>
      </c>
      <c r="AA13" s="37">
        <f t="shared" si="26"/>
        <v>3300</v>
      </c>
      <c r="AB13" s="37">
        <f t="shared" si="27"/>
        <v>7130</v>
      </c>
      <c r="AC13" s="37">
        <f t="shared" si="28"/>
        <v>9980</v>
      </c>
      <c r="AD13" s="35">
        <f t="shared" si="29"/>
        <v>63470</v>
      </c>
      <c r="AF13" s="20">
        <f t="shared" si="1"/>
        <v>5.1000000000000005</v>
      </c>
      <c r="AG13" s="20">
        <f t="shared" si="2"/>
        <v>63.35</v>
      </c>
      <c r="AH13" s="20">
        <f t="shared" si="3"/>
        <v>14.4</v>
      </c>
      <c r="AI13" s="20">
        <f t="shared" si="4"/>
        <v>7.95</v>
      </c>
      <c r="AJ13" s="20">
        <f t="shared" si="5"/>
        <v>25.1</v>
      </c>
      <c r="AK13" s="20">
        <f t="shared" si="6"/>
        <v>19.100000000000001</v>
      </c>
      <c r="AL13" s="20">
        <f t="shared" si="7"/>
        <v>16.8</v>
      </c>
      <c r="AM13" s="20">
        <f t="shared" si="8"/>
        <v>24.1</v>
      </c>
      <c r="AN13" s="20">
        <f t="shared" si="9"/>
        <v>25.650000000000002</v>
      </c>
      <c r="AO13" s="20">
        <f t="shared" si="10"/>
        <v>13.75</v>
      </c>
      <c r="AP13" s="20">
        <f t="shared" si="11"/>
        <v>16.5</v>
      </c>
      <c r="AQ13" s="20">
        <f t="shared" si="12"/>
        <v>35.65</v>
      </c>
      <c r="AR13" s="20">
        <f t="shared" si="13"/>
        <v>49.9</v>
      </c>
      <c r="AS13" s="35">
        <f t="shared" si="30"/>
        <v>317.34999999999997</v>
      </c>
      <c r="AU13" s="62" t="s">
        <v>63</v>
      </c>
      <c r="AV13" s="37">
        <f t="shared" si="31"/>
        <v>1996</v>
      </c>
      <c r="AW13" s="37">
        <f>AV13*100*AV44</f>
        <v>755.56783599999994</v>
      </c>
      <c r="AX13" s="35">
        <f t="shared" si="14"/>
        <v>3.992</v>
      </c>
    </row>
    <row r="14" spans="1:50" x14ac:dyDescent="0.25">
      <c r="A14" s="23">
        <v>44842</v>
      </c>
      <c r="B14" s="40">
        <v>156</v>
      </c>
      <c r="C14" s="52">
        <v>8482070</v>
      </c>
      <c r="D14" s="52">
        <v>20697350</v>
      </c>
      <c r="E14" s="52">
        <v>3658910</v>
      </c>
      <c r="F14" s="52">
        <v>4292140</v>
      </c>
      <c r="G14" s="52">
        <v>12647620</v>
      </c>
      <c r="H14" s="52">
        <v>7442300</v>
      </c>
      <c r="I14" s="52">
        <v>6458080</v>
      </c>
      <c r="J14" s="52">
        <v>8033080</v>
      </c>
      <c r="K14" s="52">
        <v>11708980</v>
      </c>
      <c r="L14" s="52">
        <v>5101510</v>
      </c>
      <c r="M14" s="52">
        <v>9406390</v>
      </c>
      <c r="N14" s="52">
        <v>15506410</v>
      </c>
      <c r="O14" s="52">
        <v>21693870</v>
      </c>
      <c r="P14" s="49"/>
      <c r="Q14" s="37">
        <f t="shared" si="17"/>
        <v>1030</v>
      </c>
      <c r="R14" s="37">
        <f t="shared" si="18"/>
        <v>12700</v>
      </c>
      <c r="S14" s="37">
        <f t="shared" si="16"/>
        <v>3110</v>
      </c>
      <c r="T14" s="37">
        <f t="shared" si="32"/>
        <v>1600</v>
      </c>
      <c r="U14" s="37">
        <f t="shared" si="32"/>
        <v>5180</v>
      </c>
      <c r="V14" s="37">
        <f t="shared" si="32"/>
        <v>4220</v>
      </c>
      <c r="W14" s="37">
        <f t="shared" si="32"/>
        <v>3620</v>
      </c>
      <c r="X14" s="37">
        <f t="shared" si="23"/>
        <v>4710</v>
      </c>
      <c r="Y14" s="37">
        <f t="shared" si="24"/>
        <v>5180</v>
      </c>
      <c r="Z14" s="37">
        <f>IF((L14-L13&lt;0), "0",L14-L13)</f>
        <v>2830</v>
      </c>
      <c r="AA14" s="37">
        <f t="shared" si="26"/>
        <v>3360</v>
      </c>
      <c r="AB14" s="37">
        <f t="shared" si="27"/>
        <v>7070</v>
      </c>
      <c r="AC14" s="37">
        <f t="shared" si="28"/>
        <v>9630</v>
      </c>
      <c r="AD14" s="35">
        <f t="shared" si="29"/>
        <v>64240</v>
      </c>
      <c r="AF14" s="20">
        <f t="shared" si="1"/>
        <v>5.15</v>
      </c>
      <c r="AG14" s="20">
        <f t="shared" si="2"/>
        <v>63.5</v>
      </c>
      <c r="AH14" s="20">
        <f t="shared" si="3"/>
        <v>15.55</v>
      </c>
      <c r="AI14" s="20">
        <f t="shared" si="4"/>
        <v>8</v>
      </c>
      <c r="AJ14" s="20">
        <f t="shared" si="5"/>
        <v>25.900000000000002</v>
      </c>
      <c r="AK14" s="20">
        <f t="shared" si="6"/>
        <v>21.1</v>
      </c>
      <c r="AL14" s="20">
        <f t="shared" si="7"/>
        <v>18.100000000000001</v>
      </c>
      <c r="AM14" s="20">
        <f t="shared" si="8"/>
        <v>23.55</v>
      </c>
      <c r="AN14" s="20">
        <f t="shared" si="9"/>
        <v>25.900000000000002</v>
      </c>
      <c r="AO14" s="20">
        <f t="shared" si="10"/>
        <v>14.15</v>
      </c>
      <c r="AP14" s="20">
        <f t="shared" si="11"/>
        <v>16.8</v>
      </c>
      <c r="AQ14" s="20">
        <f t="shared" si="12"/>
        <v>35.35</v>
      </c>
      <c r="AR14" s="20">
        <f t="shared" si="13"/>
        <v>48.15</v>
      </c>
      <c r="AS14" s="35">
        <f t="shared" si="30"/>
        <v>321.20000000000005</v>
      </c>
      <c r="AU14" s="55">
        <v>256401</v>
      </c>
      <c r="AV14" s="37">
        <f t="shared" si="31"/>
        <v>1632</v>
      </c>
      <c r="AW14" s="37">
        <f>AV14*100*AV44</f>
        <v>617.77891199999999</v>
      </c>
      <c r="AX14" s="35">
        <f t="shared" si="14"/>
        <v>3.2640000000000002</v>
      </c>
    </row>
    <row r="15" spans="1:50" x14ac:dyDescent="0.25">
      <c r="A15" s="23">
        <v>44843</v>
      </c>
      <c r="B15" s="40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Q15" s="37" t="str">
        <f t="shared" si="17"/>
        <v>0</v>
      </c>
      <c r="R15" s="37" t="str">
        <f t="shared" si="18"/>
        <v>0</v>
      </c>
      <c r="S15" s="37" t="str">
        <f t="shared" si="16"/>
        <v>0</v>
      </c>
      <c r="T15" s="37" t="str">
        <f t="shared" si="19"/>
        <v>0</v>
      </c>
      <c r="U15" s="37" t="str">
        <f t="shared" si="20"/>
        <v>0</v>
      </c>
      <c r="V15" s="37" t="str">
        <f t="shared" si="21"/>
        <v>0</v>
      </c>
      <c r="W15" s="37" t="str">
        <f t="shared" si="22"/>
        <v>0</v>
      </c>
      <c r="X15" s="37" t="str">
        <f t="shared" si="23"/>
        <v>0</v>
      </c>
      <c r="Y15" s="37" t="str">
        <f t="shared" si="24"/>
        <v>0</v>
      </c>
      <c r="Z15" s="37" t="str">
        <f t="shared" si="25"/>
        <v>0</v>
      </c>
      <c r="AA15" s="37" t="str">
        <f t="shared" si="26"/>
        <v>0</v>
      </c>
      <c r="AB15" s="37" t="str">
        <f t="shared" si="27"/>
        <v>0</v>
      </c>
      <c r="AC15" s="37" t="str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4"/>
      <c r="AV15" s="37" t="str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44844</v>
      </c>
      <c r="B16" s="4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5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44845</v>
      </c>
      <c r="B17" s="4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8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44846</v>
      </c>
      <c r="B18" s="4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5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44847</v>
      </c>
      <c r="B19" s="4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4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44848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44849</v>
      </c>
      <c r="B21" s="40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60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44850</v>
      </c>
      <c r="B22" s="40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7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44851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44852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3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44853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44854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44855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44856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44857</v>
      </c>
      <c r="B29" s="40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2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44858</v>
      </c>
      <c r="B30" s="40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44859</v>
      </c>
      <c r="B31" s="40"/>
      <c r="C31" s="24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4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44860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44861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44862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44863</v>
      </c>
      <c r="B35" s="4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2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44864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44865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7990</v>
      </c>
      <c r="R38" s="38">
        <f t="shared" ref="R38:AD38" si="60">SUM(R7:R37)</f>
        <v>99780</v>
      </c>
      <c r="S38" s="38">
        <f t="shared" si="60"/>
        <v>22850</v>
      </c>
      <c r="T38" s="38">
        <f t="shared" si="60"/>
        <v>12050</v>
      </c>
      <c r="U38" s="38">
        <f t="shared" si="60"/>
        <v>38540</v>
      </c>
      <c r="V38" s="38">
        <f t="shared" si="60"/>
        <v>30650</v>
      </c>
      <c r="W38" s="38">
        <f t="shared" si="60"/>
        <v>26600</v>
      </c>
      <c r="X38" s="38">
        <f t="shared" si="60"/>
        <v>37200</v>
      </c>
      <c r="Y38" s="38">
        <f t="shared" si="60"/>
        <v>40610</v>
      </c>
      <c r="Z38" s="38">
        <f t="shared" si="60"/>
        <v>20540</v>
      </c>
      <c r="AA38" s="38">
        <f t="shared" si="60"/>
        <v>24790</v>
      </c>
      <c r="AB38" s="38">
        <f t="shared" si="60"/>
        <v>55640</v>
      </c>
      <c r="AC38" s="38">
        <f t="shared" si="60"/>
        <v>78400</v>
      </c>
      <c r="AD38" s="38">
        <f t="shared" si="60"/>
        <v>495640</v>
      </c>
      <c r="AF38" s="35">
        <f>SUM(AF7:AF37)</f>
        <v>39.949999999999996</v>
      </c>
      <c r="AG38" s="35">
        <f t="shared" ref="AG38:AS38" si="61">SUM(AG7:AG37)</f>
        <v>498.90000000000009</v>
      </c>
      <c r="AH38" s="35">
        <f t="shared" si="61"/>
        <v>114.25</v>
      </c>
      <c r="AI38" s="35">
        <f t="shared" si="61"/>
        <v>60.250000000000007</v>
      </c>
      <c r="AJ38" s="35">
        <f t="shared" si="61"/>
        <v>192.7</v>
      </c>
      <c r="AK38" s="35">
        <f t="shared" si="61"/>
        <v>153.25000000000003</v>
      </c>
      <c r="AL38" s="35">
        <f t="shared" si="61"/>
        <v>133</v>
      </c>
      <c r="AM38" s="35">
        <f t="shared" si="61"/>
        <v>186</v>
      </c>
      <c r="AN38" s="35">
        <f t="shared" si="61"/>
        <v>203.05</v>
      </c>
      <c r="AO38" s="35">
        <f t="shared" si="61"/>
        <v>102.70000000000002</v>
      </c>
      <c r="AP38" s="35">
        <f t="shared" si="61"/>
        <v>123.95</v>
      </c>
      <c r="AQ38" s="35">
        <f t="shared" si="61"/>
        <v>278.20000000000005</v>
      </c>
      <c r="AR38" s="35">
        <f t="shared" si="61"/>
        <v>391.99999999999994</v>
      </c>
      <c r="AS38" s="35">
        <f t="shared" si="61"/>
        <v>2478.1999999999998</v>
      </c>
      <c r="AU38" s="46"/>
      <c r="AV38" s="34">
        <f>SUM(AV7:AV37)</f>
        <v>15420</v>
      </c>
      <c r="AW38" s="34">
        <f>SUM(AW7:AW37)</f>
        <v>5837.1022200000007</v>
      </c>
      <c r="AX38" s="35">
        <f>SUM(AX7:AX37)</f>
        <v>30.84</v>
      </c>
    </row>
    <row r="39" spans="1:50" x14ac:dyDescent="0.25">
      <c r="B39" s="39">
        <f>SUM(B7:B36)</f>
        <v>998</v>
      </c>
      <c r="D39">
        <v>5.0000000000000001E-3</v>
      </c>
      <c r="AV39" s="36"/>
      <c r="AW39" s="50">
        <f>AW38/31</f>
        <v>188.29362000000003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13:O13 AU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2022-10-09T09:58:44Z</dcterms:modified>
</cp:coreProperties>
</file>