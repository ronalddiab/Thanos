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200" windowHeight="7310" tabRatio="762" activeTab="1"/>
  </bookViews>
  <sheets>
    <sheet name="TOTAL" sheetId="11" r:id="rId1"/>
    <sheet name="FS Jimbaran July 2021" sheetId="14" r:id="rId2"/>
    <sheet name="RNs &amp; Covers July 2021" sheetId="10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7" i="14" l="1"/>
  <c r="Q47" i="14"/>
  <c r="AL42" i="14" l="1"/>
  <c r="AI42" i="14"/>
  <c r="AG42" i="14"/>
  <c r="AA42" i="14"/>
  <c r="AB42" i="14" s="1"/>
  <c r="V42" i="14"/>
  <c r="N42" i="14"/>
  <c r="P42" i="14"/>
  <c r="I42" i="14"/>
  <c r="O42" i="14" l="1"/>
  <c r="B32" i="11"/>
  <c r="E32" i="11"/>
  <c r="F32" i="11"/>
  <c r="G32" i="11"/>
  <c r="H32" i="11"/>
  <c r="I32" i="11"/>
  <c r="J32" i="11"/>
  <c r="K32" i="11"/>
  <c r="L32" i="11"/>
  <c r="M32" i="11"/>
  <c r="N32" i="11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8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7" i="14"/>
  <c r="O22" i="14"/>
  <c r="P26" i="14"/>
  <c r="E47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7" i="14"/>
  <c r="V47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7" i="14"/>
  <c r="P12" i="14"/>
  <c r="J2" i="11"/>
  <c r="AC47" i="14"/>
  <c r="W52" i="14" l="1"/>
  <c r="F5" i="1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47" i="14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s="1"/>
  <c r="U48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<sst xmlns="http://schemas.openxmlformats.org/spreadsheetml/2006/main" count="101" uniqueCount="55">
  <si>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</si>
  <si>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</si>
  <si>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</si>
  <si>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</si>
  <si>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</si>
  <si>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</si>
  <si>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</si>
  <si>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</si>
  <si>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</si>
  <si>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</si>
  <si>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</si>
  <si>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</si>
  <si>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</si>
  <si>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</si>
  <si>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</si>
  <si>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</si>
  <si>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</si>
  <si>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</si>
  <si>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</si>
  <si>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</si>
  <si>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</si>
  <si>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</si>
  <si>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</si>
  <si>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</si>
  <si>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</si>
  <si>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</si>
  <si>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</si>
  <si>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</si>
  <si>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</si>
  <si>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</si>
  <si>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</si>
  <si>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</si>
  <si>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</si>
  <si>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</si>
  <si>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</si>
  <si>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</si>
  <si>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</si>
  <si>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</si>
  <si>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</si>
  <si>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</si>
  <si>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</si>
  <si>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</si>
  <si>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</si>
  <si>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</si>
  <si>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</si>
  <si>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</si>
  <si>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</si>
  <si>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</si>
  <si>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</si>
  <si>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</si>
  <si>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</si>
  <si>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</si>
  <si>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</si>
  <si>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</si>
  <si>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JULY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</si>
</sst>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66">
    <xf numFmtId="0" fontId="0" fillId="0" borderId="0" xfId="0"/>
    <xf numFmtId="0" fontId="0" fillId="0" borderId="0" xfId="0" applyBorder="1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 applyBorder="1"/>
    <xf numFmtId="165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164" fontId="0" fillId="3" borderId="0" xfId="0" applyNumberFormat="1" applyFill="1" applyBorder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167" fontId="6" fillId="3" borderId="0" xfId="0" applyNumberFormat="1" applyFont="1" applyFill="1" applyBorder="1" applyAlignment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6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7" xfId="0" applyBorder="1"/>
    <xf numFmtId="164" fontId="0" fillId="0" borderId="45" xfId="2" applyFont="1" applyBorder="1"/>
    <xf numFmtId="164" fontId="0" fillId="0" borderId="58" xfId="2" applyFont="1" applyBorder="1"/>
    <xf numFmtId="165" fontId="8" fillId="0" borderId="44" xfId="2" applyNumberFormat="1" applyFont="1" applyBorder="1" applyAlignment="1">
      <alignment horizontal="center" vertical="center" wrapText="1"/>
    </xf>
    <xf numFmtId="165" fontId="8" fillId="0" borderId="45" xfId="2" applyNumberFormat="1" applyFont="1" applyBorder="1"/>
    <xf numFmtId="165" fontId="8" fillId="0" borderId="58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5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5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 applyBorder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6" xfId="2" applyNumberFormat="1" applyFont="1" applyFill="1" applyBorder="1" applyProtection="1">
      <protection locked="0"/>
    </xf>
    <xf numFmtId="166" fontId="0" fillId="0" borderId="55" xfId="2" applyNumberFormat="1" applyFont="1" applyBorder="1"/>
    <xf numFmtId="165" fontId="14" fillId="3" borderId="45" xfId="2" applyNumberFormat="1" applyFont="1" applyFill="1" applyBorder="1" applyProtection="1">
      <protection locked="0"/>
    </xf>
    <xf numFmtId="165" fontId="0" fillId="0" borderId="58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4" fillId="3" borderId="63" xfId="2" applyNumberFormat="1" applyFont="1" applyFill="1" applyBorder="1" applyProtection="1">
      <protection locked="0"/>
    </xf>
    <xf numFmtId="165" fontId="14" fillId="3" borderId="46" xfId="2" applyNumberFormat="1" applyFont="1" applyFill="1" applyBorder="1" applyProtection="1">
      <protection locked="0"/>
    </xf>
    <xf numFmtId="0" fontId="7" fillId="0" borderId="67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49" xfId="0" applyNumberFormat="1" applyFill="1" applyBorder="1"/>
    <xf numFmtId="164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 applyBorder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69" xfId="2" applyFont="1" applyFill="1" applyBorder="1"/>
    <xf numFmtId="164" fontId="0" fillId="3" borderId="7" xfId="2" applyFont="1" applyFill="1" applyBorder="1"/>
    <xf numFmtId="164" fontId="0" fillId="3" borderId="46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4" fontId="0" fillId="3" borderId="45" xfId="2" applyFont="1" applyFill="1" applyBorder="1"/>
    <xf numFmtId="164" fontId="0" fillId="3" borderId="58" xfId="2" applyFont="1" applyFill="1" applyBorder="1"/>
    <xf numFmtId="164" fontId="17" fillId="0" borderId="0" xfId="0" applyNumberFormat="1" applyFont="1"/>
    <xf numFmtId="164" fontId="0" fillId="0" borderId="0" xfId="0" applyNumberFormat="1" applyBorder="1"/>
    <xf numFmtId="164" fontId="0" fillId="0" borderId="0" xfId="2" applyNumberFormat="1" applyFont="1" applyBorder="1"/>
    <xf numFmtId="9" fontId="17" fillId="0" borderId="0" xfId="5" applyFont="1"/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workbookViewId="0">
      <selection activeCell="C20" sqref="C20"/>
    </sheetView>
  </sheetViews>
  <sheetFormatPr defaultColWidth="11.54296875" defaultRowHeight="14.5" x14ac:dyDescent="0.35"/>
  <cols>
    <col min="1" max="1" width="18.453125" style="166" customWidth="1"/>
    <col min="2" max="2" width="11.54296875" style="167"/>
    <col min="3" max="3" width="11.54296875" style="168"/>
    <col min="4" max="4" width="13.453125" style="167" customWidth="1"/>
    <col min="5" max="5" width="12.54296875" style="165" customWidth="1"/>
    <col min="6" max="6" width="12.54296875" style="169" customWidth="1"/>
    <col min="7" max="7" width="11.54296875" style="165"/>
    <col min="8" max="8" width="11.54296875" style="169"/>
    <col min="9" max="9" width="11.54296875" style="170"/>
    <col min="10" max="10" width="11.54296875" style="171"/>
    <col min="11" max="11" width="11.54296875" style="165"/>
    <col min="12" max="12" width="11.54296875" style="171"/>
    <col min="13" max="26" width="11.54296875" style="165"/>
  </cols>
  <sheetData>
    <row r="1" spans="1:15" s="159" customFormat="1" ht="43.5" x14ac:dyDescent="0.35">
      <c r="A1" s="155" t="s">
        <v>37</v>
      </c>
      <c r="B1" s="155" t="s">
        <v>38</v>
      </c>
      <c r="C1" s="156" t="s">
        <v>39</v>
      </c>
      <c r="D1" s="155" t="s">
        <v>40</v>
      </c>
      <c r="E1" s="154" t="s">
        <v>41</v>
      </c>
      <c r="F1" s="157" t="s">
        <v>42</v>
      </c>
      <c r="G1" s="154" t="s">
        <v>47</v>
      </c>
      <c r="H1" s="157" t="s">
        <v>48</v>
      </c>
      <c r="I1" s="173" t="s">
        <v>50</v>
      </c>
      <c r="J1" s="157" t="s">
        <v>51</v>
      </c>
      <c r="K1" s="154" t="s">
        <v>43</v>
      </c>
      <c r="L1" s="158" t="s">
        <v>44</v>
      </c>
      <c r="M1" s="154" t="s">
        <v>45</v>
      </c>
      <c r="N1" s="154" t="s">
        <v>3</v>
      </c>
    </row>
    <row r="2" spans="1:15" x14ac:dyDescent="0.35">
      <c r="A2" s="160" t="s">
        <v>49</v>
      </c>
      <c r="B2" s="161">
        <v>1</v>
      </c>
      <c r="C2" s="162">
        <v>7</v>
      </c>
      <c r="D2" s="161">
        <v>2021</v>
      </c>
      <c r="E2" s="163">
        <f>'FS Jimbaran July 2021'!P12</f>
        <v>14359.999999999829</v>
      </c>
      <c r="F2" s="172">
        <f>'FS Jimbaran July 2021'!O12/'FS Jimbaran July 2021'!P12</f>
        <v>1132.433565459613</v>
      </c>
      <c r="G2" s="163">
        <f>'FS Jimbaran July 2021'!AG12</f>
        <v>0</v>
      </c>
      <c r="H2" s="172" t="e">
        <f>'FS Jimbaran July 2021'!AH12/'FS Jimbaran July 2021'!AG12</f>
        <v>#DIV/0!</v>
      </c>
      <c r="I2" s="163">
        <f>'FS Jimbaran July 2021'!AJ12</f>
        <v>360.76000000000204</v>
      </c>
      <c r="J2" s="164">
        <f>'FS Jimbaran July 2021'!AK12/'FS Jimbaran July 2021'!AJ12</f>
        <v>10000</v>
      </c>
      <c r="K2" s="163">
        <f>'FS Jimbaran July 2021'!V12</f>
        <v>998.58</v>
      </c>
      <c r="L2" s="172">
        <f>'FS Jimbaran July 2021'!AA12/'FS Jimbaran July 2021'!V12</f>
        <v>7829.4213190730834</v>
      </c>
      <c r="M2" s="163">
        <f>+'RNs &amp; Covers July 2021'!B6</f>
        <v>4</v>
      </c>
      <c r="N2" s="174">
        <f>+'RNs &amp; Covers July 2021'!C6</f>
        <v>84</v>
      </c>
    </row>
    <row r="3" spans="1:15" x14ac:dyDescent="0.35">
      <c r="A3" s="160" t="s">
        <v>49</v>
      </c>
      <c r="B3" s="161">
        <f>B2+1</f>
        <v>2</v>
      </c>
      <c r="C3" s="162">
        <v>7</v>
      </c>
      <c r="D3" s="161">
        <v>2021</v>
      </c>
      <c r="E3" s="174">
        <f>'FS Jimbaran July 2021'!P13</f>
        <v>14759.999999999876</v>
      </c>
      <c r="F3" s="172">
        <f>'FS Jimbaran July 2021'!O13/'FS Jimbaran July 2021'!P13</f>
        <v>1124.9019918699182</v>
      </c>
      <c r="G3" s="174">
        <f>'FS Jimbaran July 2021'!AG13</f>
        <v>400</v>
      </c>
      <c r="H3" s="172">
        <f>'FS Jimbaran July 2021'!AH13/'FS Jimbaran July 2021'!AG13</f>
        <v>12920</v>
      </c>
      <c r="I3" s="174">
        <f>'FS Jimbaran July 2021'!AJ13</f>
        <v>325.73999999999796</v>
      </c>
      <c r="J3" s="164">
        <f>'FS Jimbaran July 2021'!AK13/'FS Jimbaran July 2021'!AJ13</f>
        <v>10000</v>
      </c>
      <c r="K3" s="174">
        <f>'FS Jimbaran July 2021'!V13</f>
        <v>982.56000000000006</v>
      </c>
      <c r="L3" s="172">
        <f>'FS Jimbaran July 2021'!AA13/'FS Jimbaran July 2021'!V13</f>
        <v>7042.4598913043483</v>
      </c>
      <c r="M3" s="174">
        <f>+'RNs &amp; Covers July 2021'!B7</f>
        <v>6</v>
      </c>
      <c r="N3" s="174">
        <f>+'RNs &amp; Covers July 2021'!C7</f>
        <v>102</v>
      </c>
    </row>
    <row r="4" spans="1:15" x14ac:dyDescent="0.35">
      <c r="A4" s="160" t="s">
        <v>49</v>
      </c>
      <c r="B4" s="161">
        <f t="shared" ref="B4:B32" si="0">B3+1</f>
        <v>3</v>
      </c>
      <c r="C4" s="162">
        <v>7</v>
      </c>
      <c r="D4" s="161">
        <v>2021</v>
      </c>
      <c r="E4" s="174">
        <f>'FS Jimbaran July 2021'!P14</f>
        <v>15280.000000000286</v>
      </c>
      <c r="F4" s="172">
        <f>'FS Jimbaran July 2021'!O14/'FS Jimbaran July 2021'!P14</f>
        <v>1126.6141099476415</v>
      </c>
      <c r="G4" s="174">
        <f>'FS Jimbaran July 2021'!AG14</f>
        <v>0</v>
      </c>
      <c r="H4" s="172" t="e">
        <f>'FS Jimbaran July 2021'!AH14/'FS Jimbaran July 2021'!AG14</f>
        <v>#DIV/0!</v>
      </c>
      <c r="I4" s="174">
        <f>'FS Jimbaran July 2021'!AJ14</f>
        <v>688.9900000000016</v>
      </c>
      <c r="J4" s="164">
        <f>'FS Jimbaran July 2021'!AK14/'FS Jimbaran July 2021'!AJ14</f>
        <v>10000</v>
      </c>
      <c r="K4" s="174">
        <f>'FS Jimbaran July 2021'!V14</f>
        <v>853.51</v>
      </c>
      <c r="L4" s="172">
        <f>'FS Jimbaran July 2021'!AA14/'FS Jimbaran July 2021'!V14</f>
        <v>7451.0941605839416</v>
      </c>
      <c r="M4" s="174">
        <f>+'RNs &amp; Covers July 2021'!B8</f>
        <v>8</v>
      </c>
      <c r="N4" s="174">
        <f>+'RNs &amp; Covers July 2021'!C8</f>
        <v>102</v>
      </c>
    </row>
    <row r="5" spans="1:15" x14ac:dyDescent="0.35">
      <c r="A5" s="160" t="s">
        <v>49</v>
      </c>
      <c r="B5" s="161">
        <f t="shared" si="0"/>
        <v>4</v>
      </c>
      <c r="C5" s="162">
        <v>7</v>
      </c>
      <c r="D5" s="161">
        <v>2021</v>
      </c>
      <c r="E5" s="174">
        <f>'FS Jimbaran July 2021'!P15</f>
        <v>14539.999999999851</v>
      </c>
      <c r="F5" s="172">
        <f>'FS Jimbaran July 2021'!O15/'FS Jimbaran July 2021'!P15</f>
        <v>1124.8257359009638</v>
      </c>
      <c r="G5" s="174">
        <f>'FS Jimbaran July 2021'!AG15</f>
        <v>0</v>
      </c>
      <c r="H5" s="172" t="e">
        <f>'FS Jimbaran July 2021'!AH15/'FS Jimbaran July 2021'!AG15</f>
        <v>#DIV/0!</v>
      </c>
      <c r="I5" s="174">
        <f>'FS Jimbaran July 2021'!AJ15</f>
        <v>121.63999999999942</v>
      </c>
      <c r="J5" s="164">
        <f>'FS Jimbaran July 2021'!AK15/'FS Jimbaran July 2021'!AJ15</f>
        <v>10000</v>
      </c>
      <c r="K5" s="174">
        <f>'FS Jimbaran July 2021'!V15</f>
        <v>916.7</v>
      </c>
      <c r="L5" s="172">
        <f>'FS Jimbaran July 2021'!AA15/'FS Jimbaran July 2021'!V15</f>
        <v>6643.7796116504842</v>
      </c>
      <c r="M5" s="174">
        <f>+'RNs &amp; Covers July 2021'!B9</f>
        <v>6</v>
      </c>
      <c r="N5" s="174">
        <f>+'RNs &amp; Covers July 2021'!C9</f>
        <v>83</v>
      </c>
    </row>
    <row r="6" spans="1:15" x14ac:dyDescent="0.35">
      <c r="A6" s="160" t="s">
        <v>49</v>
      </c>
      <c r="B6" s="161">
        <f t="shared" si="0"/>
        <v>5</v>
      </c>
      <c r="C6" s="162">
        <v>7</v>
      </c>
      <c r="D6" s="161">
        <v>2021</v>
      </c>
      <c r="E6" s="174">
        <f>'FS Jimbaran July 2021'!P16</f>
        <v>14340.000000000004</v>
      </c>
      <c r="F6" s="172">
        <f>'FS Jimbaran July 2021'!O16/'FS Jimbaran July 2021'!P16</f>
        <v>1124.6230543933057</v>
      </c>
      <c r="G6" s="174">
        <f>'FS Jimbaran July 2021'!AG16</f>
        <v>400</v>
      </c>
      <c r="H6" s="172">
        <f>'FS Jimbaran July 2021'!AH16/'FS Jimbaran July 2021'!AG16</f>
        <v>12920</v>
      </c>
      <c r="I6" s="174">
        <f>'FS Jimbaran July 2021'!AJ16</f>
        <v>295.73999999999796</v>
      </c>
      <c r="J6" s="164">
        <f>'FS Jimbaran July 2021'!AK16/'FS Jimbaran July 2021'!AJ16</f>
        <v>10000</v>
      </c>
      <c r="K6" s="174">
        <f>'FS Jimbaran July 2021'!V16</f>
        <v>823.25</v>
      </c>
      <c r="L6" s="172">
        <f>'FS Jimbaran July 2021'!AA16/'FS Jimbaran July 2021'!V16</f>
        <v>6871.5385297297298</v>
      </c>
      <c r="M6" s="174">
        <f>+'RNs &amp; Covers July 2021'!B10</f>
        <v>5</v>
      </c>
      <c r="N6" s="174">
        <f>+'RNs &amp; Covers July 2021'!C10</f>
        <v>50</v>
      </c>
    </row>
    <row r="7" spans="1:15" x14ac:dyDescent="0.35">
      <c r="A7" s="160" t="s">
        <v>49</v>
      </c>
      <c r="B7" s="161">
        <f t="shared" si="0"/>
        <v>6</v>
      </c>
      <c r="C7" s="162">
        <v>7</v>
      </c>
      <c r="D7" s="161">
        <v>2021</v>
      </c>
      <c r="E7" s="174">
        <f>'FS Jimbaran July 2021'!P17</f>
        <v>14459.999999999851</v>
      </c>
      <c r="F7" s="172">
        <f>'FS Jimbaran July 2021'!O17/'FS Jimbaran July 2021'!P17</f>
        <v>1126.0346887966803</v>
      </c>
      <c r="G7" s="174">
        <f>'FS Jimbaran July 2021'!AG17</f>
        <v>0</v>
      </c>
      <c r="H7" s="172" t="e">
        <f>'FS Jimbaran July 2021'!AH17/'FS Jimbaran July 2021'!AG17</f>
        <v>#DIV/0!</v>
      </c>
      <c r="I7" s="174">
        <f>'FS Jimbaran July 2021'!AJ17</f>
        <v>132.95000000000073</v>
      </c>
      <c r="J7" s="164">
        <f>'FS Jimbaran July 2021'!AK17/'FS Jimbaran July 2021'!AJ17</f>
        <v>10000</v>
      </c>
      <c r="K7" s="174">
        <f>'FS Jimbaran July 2021'!V17</f>
        <v>804.56000000000006</v>
      </c>
      <c r="L7" s="172">
        <f>'FS Jimbaran July 2021'!AA17/'FS Jimbaran July 2021'!V17</f>
        <v>7236.2065929203536</v>
      </c>
      <c r="M7" s="174">
        <f>+'RNs &amp; Covers July 2021'!B11</f>
        <v>7</v>
      </c>
      <c r="N7" s="174">
        <f>+'RNs &amp; Covers July 2021'!C11</f>
        <v>63</v>
      </c>
    </row>
    <row r="8" spans="1:15" x14ac:dyDescent="0.35">
      <c r="A8" s="160" t="s">
        <v>49</v>
      </c>
      <c r="B8" s="161">
        <f t="shared" si="0"/>
        <v>7</v>
      </c>
      <c r="C8" s="162">
        <v>7</v>
      </c>
      <c r="D8" s="161">
        <v>2021</v>
      </c>
      <c r="E8" s="174">
        <f>'FS Jimbaran July 2021'!P18</f>
        <v>13879.999999999882</v>
      </c>
      <c r="F8" s="172">
        <f>'FS Jimbaran July 2021'!O18/'FS Jimbaran July 2021'!P18</f>
        <v>1125.3287031700308</v>
      </c>
      <c r="G8" s="174">
        <f>'FS Jimbaran July 2021'!AG18</f>
        <v>0</v>
      </c>
      <c r="H8" s="172" t="e">
        <f>'FS Jimbaran July 2021'!AH18/'FS Jimbaran July 2021'!AG18</f>
        <v>#DIV/0!</v>
      </c>
      <c r="I8" s="174">
        <f>'FS Jimbaran July 2021'!AJ18</f>
        <v>443.25999999998749</v>
      </c>
      <c r="J8" s="164">
        <f>'FS Jimbaran July 2021'!AK18/'FS Jimbaran July 2021'!AJ18</f>
        <v>10000</v>
      </c>
      <c r="K8" s="174">
        <f>'FS Jimbaran July 2021'!V18</f>
        <v>817.02</v>
      </c>
      <c r="L8" s="172">
        <f>'FS Jimbaran July 2021'!AA18/'FS Jimbaran July 2021'!V18</f>
        <v>6906.5165577342059</v>
      </c>
      <c r="M8" s="174">
        <f>+'RNs &amp; Covers July 2021'!B12</f>
        <v>7</v>
      </c>
      <c r="N8" s="174">
        <f>+'RNs &amp; Covers July 2021'!C12</f>
        <v>52</v>
      </c>
    </row>
    <row r="9" spans="1:15" x14ac:dyDescent="0.35">
      <c r="A9" s="160" t="s">
        <v>49</v>
      </c>
      <c r="B9" s="161">
        <f t="shared" si="0"/>
        <v>8</v>
      </c>
      <c r="C9" s="162">
        <v>7</v>
      </c>
      <c r="D9" s="161">
        <v>2021</v>
      </c>
      <c r="E9" s="174">
        <f>'FS Jimbaran July 2021'!P19</f>
        <v>14200.000000000202</v>
      </c>
      <c r="F9" s="172">
        <f>'FS Jimbaran July 2021'!O19/'FS Jimbaran July 2021'!P19</f>
        <v>1124.7695492957748</v>
      </c>
      <c r="G9" s="174">
        <f>'FS Jimbaran July 2021'!AG19</f>
        <v>12</v>
      </c>
      <c r="H9" s="172">
        <f>'FS Jimbaran July 2021'!AH19/'FS Jimbaran July 2021'!AG19</f>
        <v>11458.333333333334</v>
      </c>
      <c r="I9" s="174">
        <f>'FS Jimbaran July 2021'!AJ19</f>
        <v>107.88000000000466</v>
      </c>
      <c r="J9" s="164">
        <f>'FS Jimbaran July 2021'!AK19/'FS Jimbaran July 2021'!AJ19</f>
        <v>10000</v>
      </c>
      <c r="K9" s="174">
        <f>'FS Jimbaran July 2021'!V19</f>
        <v>763.62</v>
      </c>
      <c r="L9" s="172">
        <f>'FS Jimbaran July 2021'!AA19/'FS Jimbaran July 2021'!V19</f>
        <v>7284.5865268065272</v>
      </c>
      <c r="M9" s="174">
        <f>+'RNs &amp; Covers July 2021'!B13</f>
        <v>5</v>
      </c>
      <c r="N9" s="174">
        <f>+'RNs &amp; Covers July 2021'!C13</f>
        <v>47</v>
      </c>
      <c r="O9" s="165" t="s">
        <v>46</v>
      </c>
    </row>
    <row r="10" spans="1:15" x14ac:dyDescent="0.35">
      <c r="A10" s="160" t="s">
        <v>49</v>
      </c>
      <c r="B10" s="161">
        <f t="shared" si="0"/>
        <v>9</v>
      </c>
      <c r="C10" s="162">
        <v>7</v>
      </c>
      <c r="D10" s="161">
        <v>2021</v>
      </c>
      <c r="E10" s="174">
        <f>'FS Jimbaran July 2021'!P20</f>
        <v>14204.000000000107</v>
      </c>
      <c r="F10" s="172">
        <f>'FS Jimbaran July 2021'!O20/'FS Jimbaran July 2021'!P20</f>
        <v>1124.1611151788209</v>
      </c>
      <c r="G10" s="174">
        <f>'FS Jimbaran July 2021'!AG20</f>
        <v>0</v>
      </c>
      <c r="H10" s="172" t="e">
        <f>'FS Jimbaran July 2021'!AH20/'FS Jimbaran July 2021'!AG20</f>
        <v>#DIV/0!</v>
      </c>
      <c r="I10" s="174">
        <f>'FS Jimbaran July 2021'!AJ20</f>
        <v>404.05999999999767</v>
      </c>
      <c r="J10" s="164">
        <f>'FS Jimbaran July 2021'!AK20/'FS Jimbaran July 2021'!AJ20</f>
        <v>10000</v>
      </c>
      <c r="K10" s="174">
        <f>'FS Jimbaran July 2021'!V20</f>
        <v>773.41000000000008</v>
      </c>
      <c r="L10" s="172">
        <f>'FS Jimbaran July 2021'!AA20/'FS Jimbaran July 2021'!V20</f>
        <v>7088.1691829689289</v>
      </c>
      <c r="M10" s="174">
        <f>+'RNs &amp; Covers July 2021'!B14</f>
        <v>5</v>
      </c>
      <c r="N10" s="174">
        <f>+'RNs &amp; Covers July 2021'!C14</f>
        <v>47</v>
      </c>
    </row>
    <row r="11" spans="1:15" x14ac:dyDescent="0.35">
      <c r="A11" s="160" t="s">
        <v>49</v>
      </c>
      <c r="B11" s="161">
        <f t="shared" si="0"/>
        <v>10</v>
      </c>
      <c r="C11" s="162">
        <v>7</v>
      </c>
      <c r="D11" s="161">
        <v>2021</v>
      </c>
      <c r="E11" s="174">
        <f>'FS Jimbaran July 2021'!P21</f>
        <v>14455.999999999804</v>
      </c>
      <c r="F11" s="172">
        <f>'FS Jimbaran July 2021'!O21/'FS Jimbaran July 2021'!P21</f>
        <v>1121.617329828445</v>
      </c>
      <c r="G11" s="174">
        <f>'FS Jimbaran July 2021'!AG21</f>
        <v>0</v>
      </c>
      <c r="H11" s="172" t="e">
        <f>'FS Jimbaran July 2021'!AH21/'FS Jimbaran July 2021'!AG21</f>
        <v>#DIV/0!</v>
      </c>
      <c r="I11" s="174">
        <f>'FS Jimbaran July 2021'!AJ21</f>
        <v>62.839999999996508</v>
      </c>
      <c r="J11" s="164">
        <f>'FS Jimbaran July 2021'!AK21/'FS Jimbaran July 2021'!AJ21</f>
        <v>10000</v>
      </c>
      <c r="K11" s="174">
        <f>'FS Jimbaran July 2021'!V21</f>
        <v>740.48</v>
      </c>
      <c r="L11" s="172">
        <f>'FS Jimbaran July 2021'!AA21/'FS Jimbaran July 2021'!V21</f>
        <v>6967.1485096153838</v>
      </c>
      <c r="M11" s="174">
        <f>+'RNs &amp; Covers July 2021'!B15</f>
        <v>3</v>
      </c>
      <c r="N11" s="174">
        <f>+'RNs &amp; Covers July 2021'!C15</f>
        <v>34</v>
      </c>
    </row>
    <row r="12" spans="1:15" x14ac:dyDescent="0.35">
      <c r="A12" s="160" t="s">
        <v>49</v>
      </c>
      <c r="B12" s="161">
        <f t="shared" si="0"/>
        <v>11</v>
      </c>
      <c r="C12" s="162">
        <v>7</v>
      </c>
      <c r="D12" s="161">
        <v>2021</v>
      </c>
      <c r="E12" s="174">
        <f>'FS Jimbaran July 2021'!P22</f>
        <v>15340.000000000045</v>
      </c>
      <c r="F12" s="172">
        <f>'FS Jimbaran July 2021'!O22/'FS Jimbaran July 2021'!P22</f>
        <v>1117.481029986963</v>
      </c>
      <c r="G12" s="174">
        <f>'FS Jimbaran July 2021'!AG22</f>
        <v>0</v>
      </c>
      <c r="H12" s="172" t="e">
        <f>'FS Jimbaran July 2021'!AH22/'FS Jimbaran July 2021'!AG22</f>
        <v>#DIV/0!</v>
      </c>
      <c r="I12" s="174">
        <f>'FS Jimbaran July 2021'!AJ22</f>
        <v>50.940000000002328</v>
      </c>
      <c r="J12" s="164">
        <f>'FS Jimbaran July 2021'!AK22/'FS Jimbaran July 2021'!AJ22</f>
        <v>10000</v>
      </c>
      <c r="K12" s="174">
        <f>'FS Jimbaran July 2021'!V22</f>
        <v>695.09</v>
      </c>
      <c r="L12" s="172">
        <f>'FS Jimbaran July 2021'!AA22/'FS Jimbaran July 2021'!V22</f>
        <v>5809.2689628681183</v>
      </c>
      <c r="M12" s="174">
        <f>+'RNs &amp; Covers July 2021'!B16</f>
        <v>3</v>
      </c>
      <c r="N12" s="174">
        <f>+'RNs &amp; Covers July 2021'!C16</f>
        <v>39</v>
      </c>
    </row>
    <row r="13" spans="1:15" x14ac:dyDescent="0.35">
      <c r="A13" s="160" t="s">
        <v>49</v>
      </c>
      <c r="B13" s="161">
        <f t="shared" si="0"/>
        <v>12</v>
      </c>
      <c r="C13" s="162">
        <v>7</v>
      </c>
      <c r="D13" s="161">
        <v>2021</v>
      </c>
      <c r="E13" s="174">
        <f>'FS Jimbaran July 2021'!P23</f>
        <v>12520.000000000251</v>
      </c>
      <c r="F13" s="172">
        <f>'FS Jimbaran July 2021'!O23/'FS Jimbaran July 2021'!P23</f>
        <v>1133.4014376996786</v>
      </c>
      <c r="G13" s="174">
        <f>'FS Jimbaran July 2021'!AG23</f>
        <v>0</v>
      </c>
      <c r="H13" s="172" t="e">
        <f>'FS Jimbaran July 2021'!AH23/'FS Jimbaran July 2021'!AG23</f>
        <v>#DIV/0!</v>
      </c>
      <c r="I13" s="174">
        <f>'FS Jimbaran July 2021'!AJ23</f>
        <v>433.72000000000116</v>
      </c>
      <c r="J13" s="164">
        <f>'FS Jimbaran July 2021'!AK23/'FS Jimbaran July 2021'!AJ23</f>
        <v>9999.9999999999982</v>
      </c>
      <c r="K13" s="174">
        <f>'FS Jimbaran July 2021'!V23</f>
        <v>591.85</v>
      </c>
      <c r="L13" s="172">
        <f>'FS Jimbaran July 2021'!AA23/'FS Jimbaran July 2021'!V23</f>
        <v>4245.18</v>
      </c>
      <c r="M13" s="174">
        <f>+'RNs &amp; Covers July 2021'!B17</f>
        <v>3</v>
      </c>
      <c r="N13" s="174">
        <f>+'RNs &amp; Covers July 2021'!C17</f>
        <v>39</v>
      </c>
    </row>
    <row r="14" spans="1:15" x14ac:dyDescent="0.35">
      <c r="A14" s="160" t="s">
        <v>49</v>
      </c>
      <c r="B14" s="161">
        <f t="shared" si="0"/>
        <v>13</v>
      </c>
      <c r="C14" s="162">
        <v>7</v>
      </c>
      <c r="D14" s="161">
        <v>2021</v>
      </c>
      <c r="E14" s="174">
        <f>'FS Jimbaran July 2021'!P24</f>
        <v>13339.999999999691</v>
      </c>
      <c r="F14" s="172">
        <f>'FS Jimbaran July 2021'!O24/'FS Jimbaran July 2021'!P24</f>
        <v>1120.4126986506769</v>
      </c>
      <c r="G14" s="174">
        <f>'FS Jimbaran July 2021'!AG24</f>
        <v>24</v>
      </c>
      <c r="H14" s="172">
        <f>'FS Jimbaran July 2021'!AH24/'FS Jimbaran July 2021'!AG24</f>
        <v>11458.333333333334</v>
      </c>
      <c r="I14" s="174">
        <f>'FS Jimbaran July 2021'!AJ24</f>
        <v>189.58999999999651</v>
      </c>
      <c r="J14" s="164">
        <f>'FS Jimbaran July 2021'!AK24/'FS Jimbaran July 2021'!AJ24</f>
        <v>10000</v>
      </c>
      <c r="K14" s="174">
        <f>'FS Jimbaran July 2021'!V24</f>
        <v>666.61</v>
      </c>
      <c r="L14" s="172">
        <f>'FS Jimbaran July 2021'!AA24/'FS Jimbaran July 2021'!V24</f>
        <v>6810.6603738317763</v>
      </c>
      <c r="M14" s="174">
        <f>+'RNs &amp; Covers July 2021'!B18</f>
        <v>2</v>
      </c>
      <c r="N14" s="174">
        <f>+'RNs &amp; Covers July 2021'!C18</f>
        <v>29</v>
      </c>
    </row>
    <row r="15" spans="1:15" x14ac:dyDescent="0.35">
      <c r="A15" s="160" t="s">
        <v>49</v>
      </c>
      <c r="B15" s="161">
        <f t="shared" si="0"/>
        <v>14</v>
      </c>
      <c r="C15" s="162">
        <v>7</v>
      </c>
      <c r="D15" s="161">
        <v>2021</v>
      </c>
      <c r="E15" s="174">
        <f>'FS Jimbaran July 2021'!P25</f>
        <v>13459.999999999993</v>
      </c>
      <c r="F15" s="172">
        <f>'FS Jimbaran July 2021'!O25/'FS Jimbaran July 2021'!P25</f>
        <v>1121.1972213967306</v>
      </c>
      <c r="G15" s="174">
        <f>'FS Jimbaran July 2021'!AG25</f>
        <v>12</v>
      </c>
      <c r="H15" s="172">
        <f>'FS Jimbaran July 2021'!AH25/'FS Jimbaran July 2021'!AG25</f>
        <v>11458.333333333334</v>
      </c>
      <c r="I15" s="174">
        <f>'FS Jimbaran July 2021'!AJ25</f>
        <v>304.49000000000524</v>
      </c>
      <c r="J15" s="164">
        <f>'FS Jimbaran July 2021'!AK25/'FS Jimbaran July 2021'!AJ25</f>
        <v>10000</v>
      </c>
      <c r="K15" s="174">
        <f>'FS Jimbaran July 2021'!V25</f>
        <v>675.51</v>
      </c>
      <c r="L15" s="172">
        <f>'FS Jimbaran July 2021'!AA25/'FS Jimbaran July 2021'!V25</f>
        <v>6993.8606851119903</v>
      </c>
      <c r="M15" s="174">
        <f>+'RNs &amp; Covers July 2021'!B19</f>
        <v>3</v>
      </c>
      <c r="N15" s="174">
        <f>+'RNs &amp; Covers July 2021'!C19</f>
        <v>20</v>
      </c>
    </row>
    <row r="16" spans="1:15" x14ac:dyDescent="0.35">
      <c r="A16" s="160" t="s">
        <v>49</v>
      </c>
      <c r="B16" s="161">
        <f t="shared" si="0"/>
        <v>15</v>
      </c>
      <c r="C16" s="162">
        <v>7</v>
      </c>
      <c r="D16" s="161">
        <v>2021</v>
      </c>
      <c r="E16" s="174">
        <f>'FS Jimbaran July 2021'!P26</f>
        <v>14079.999999999913</v>
      </c>
      <c r="F16" s="172">
        <f>'FS Jimbaran July 2021'!O26/'FS Jimbaran July 2021'!P26</f>
        <v>1131.4130965909098</v>
      </c>
      <c r="G16" s="174">
        <f>'FS Jimbaran July 2021'!AG26</f>
        <v>400</v>
      </c>
      <c r="H16" s="172">
        <f>'FS Jimbaran July 2021'!AH26/'FS Jimbaran July 2021'!AG26</f>
        <v>12920</v>
      </c>
      <c r="I16" s="174">
        <f>'FS Jimbaran July 2021'!AJ26</f>
        <v>363.93000000000029</v>
      </c>
      <c r="J16" s="164">
        <f>'FS Jimbaran July 2021'!AK26/'FS Jimbaran July 2021'!AJ26</f>
        <v>10000</v>
      </c>
      <c r="K16" s="174">
        <f>'FS Jimbaran July 2021'!V26</f>
        <v>695.98</v>
      </c>
      <c r="L16" s="172">
        <f>'FS Jimbaran July 2021'!AA26/'FS Jimbaran July 2021'!V26</f>
        <v>6877.914015345269</v>
      </c>
      <c r="M16" s="174">
        <f>+'RNs &amp; Covers July 2021'!B20</f>
        <v>3</v>
      </c>
      <c r="N16" s="174">
        <f>+'RNs &amp; Covers July 2021'!C20</f>
        <v>22</v>
      </c>
    </row>
    <row r="17" spans="1:14" x14ac:dyDescent="0.35">
      <c r="A17" s="160" t="s">
        <v>49</v>
      </c>
      <c r="B17" s="161">
        <f t="shared" si="0"/>
        <v>16</v>
      </c>
      <c r="C17" s="162">
        <v>7</v>
      </c>
      <c r="D17" s="161">
        <v>2021</v>
      </c>
      <c r="E17" s="174">
        <f>'FS Jimbaran July 2021'!P27</f>
        <v>14020.000000000182</v>
      </c>
      <c r="F17" s="172">
        <f>'FS Jimbaran July 2021'!O27/'FS Jimbaran July 2021'!P27</f>
        <v>1122.218131241083</v>
      </c>
      <c r="G17" s="174">
        <f>'FS Jimbaran July 2021'!AG27</f>
        <v>12</v>
      </c>
      <c r="H17" s="172">
        <f>'FS Jimbaran July 2021'!AH27/'FS Jimbaran July 2021'!AG27</f>
        <v>11458.333333333334</v>
      </c>
      <c r="I17" s="174">
        <f>'FS Jimbaran July 2021'!AJ27</f>
        <v>409.75</v>
      </c>
      <c r="J17" s="164">
        <f>'FS Jimbaran July 2021'!AK27/'FS Jimbaran July 2021'!AJ27</f>
        <v>10000</v>
      </c>
      <c r="K17" s="174">
        <f>'FS Jimbaran July 2021'!V27</f>
        <v>694.2</v>
      </c>
      <c r="L17" s="172">
        <f>'FS Jimbaran July 2021'!AA27/'FS Jimbaran July 2021'!V27</f>
        <v>6884.6646153846159</v>
      </c>
      <c r="M17" s="174">
        <f>+'RNs &amp; Covers July 2021'!B21</f>
        <v>5</v>
      </c>
      <c r="N17" s="174">
        <f>+'RNs &amp; Covers July 2021'!C21</f>
        <v>28</v>
      </c>
    </row>
    <row r="18" spans="1:14" x14ac:dyDescent="0.35">
      <c r="A18" s="160" t="s">
        <v>49</v>
      </c>
      <c r="B18" s="161">
        <f t="shared" si="0"/>
        <v>17</v>
      </c>
      <c r="C18" s="162">
        <v>7</v>
      </c>
      <c r="D18" s="161">
        <v>2021</v>
      </c>
      <c r="E18" s="174">
        <f>'FS Jimbaran July 2021'!P28</f>
        <v>13200.000000000087</v>
      </c>
      <c r="F18" s="172">
        <f>'FS Jimbaran July 2021'!O28/'FS Jimbaran July 2021'!P28</f>
        <v>1133.080545454545</v>
      </c>
      <c r="G18" s="174">
        <f>'FS Jimbaran July 2021'!AG28</f>
        <v>12</v>
      </c>
      <c r="H18" s="172">
        <f>'FS Jimbaran July 2021'!AH28/'FS Jimbaran July 2021'!AG28</f>
        <v>11458.333333333334</v>
      </c>
      <c r="I18" s="174">
        <f>'FS Jimbaran July 2021'!AJ28</f>
        <v>369.94999999999709</v>
      </c>
      <c r="J18" s="164">
        <f>'FS Jimbaran July 2021'!AK28/'FS Jimbaran July 2021'!AJ28</f>
        <v>10000</v>
      </c>
      <c r="K18" s="174">
        <f>'FS Jimbaran July 2021'!V28</f>
        <v>709.33</v>
      </c>
      <c r="L18" s="172">
        <f>'FS Jimbaran July 2021'!AA28/'FS Jimbaran July 2021'!V28</f>
        <v>6811.14321204517</v>
      </c>
      <c r="M18" s="174">
        <f>+'RNs &amp; Covers July 2021'!B22</f>
        <v>6</v>
      </c>
      <c r="N18" s="174">
        <f>+'RNs &amp; Covers July 2021'!C22</f>
        <v>38</v>
      </c>
    </row>
    <row r="19" spans="1:14" x14ac:dyDescent="0.35">
      <c r="A19" s="160" t="s">
        <v>49</v>
      </c>
      <c r="B19" s="161">
        <f t="shared" si="0"/>
        <v>18</v>
      </c>
      <c r="C19" s="162">
        <v>7</v>
      </c>
      <c r="D19" s="161">
        <v>2021</v>
      </c>
      <c r="E19" s="174">
        <f>'FS Jimbaran July 2021'!P29</f>
        <v>13500.000000000015</v>
      </c>
      <c r="F19" s="172">
        <f>'FS Jimbaran July 2021'!O29/'FS Jimbaran July 2021'!P29</f>
        <v>1117.1079111111096</v>
      </c>
      <c r="G19" s="174">
        <f>'FS Jimbaran July 2021'!AG29</f>
        <v>0</v>
      </c>
      <c r="H19" s="172" t="e">
        <f>'FS Jimbaran July 2021'!AH29/'FS Jimbaran July 2021'!AG29</f>
        <v>#DIV/0!</v>
      </c>
      <c r="I19" s="174">
        <f>'FS Jimbaran July 2021'!AJ29</f>
        <v>225.97000000000116</v>
      </c>
      <c r="J19" s="164">
        <f>'FS Jimbaran July 2021'!AK29/'FS Jimbaran July 2021'!AJ29</f>
        <v>10000</v>
      </c>
      <c r="K19" s="174">
        <f>'FS Jimbaran July 2021'!V29</f>
        <v>671.95</v>
      </c>
      <c r="L19" s="172">
        <f>'FS Jimbaran July 2021'!AA29/'FS Jimbaran July 2021'!V29</f>
        <v>6990.2440000000006</v>
      </c>
      <c r="M19" s="174">
        <f>+'RNs &amp; Covers July 2021'!B23</f>
        <v>5</v>
      </c>
      <c r="N19" s="174">
        <f>+'RNs &amp; Covers July 2021'!C23</f>
        <v>46</v>
      </c>
    </row>
    <row r="20" spans="1:14" x14ac:dyDescent="0.35">
      <c r="A20" s="160" t="s">
        <v>49</v>
      </c>
      <c r="B20" s="161">
        <f t="shared" si="0"/>
        <v>19</v>
      </c>
      <c r="C20" s="162">
        <v>7</v>
      </c>
      <c r="D20" s="161">
        <v>2021</v>
      </c>
      <c r="E20" s="174">
        <f>'FS Jimbaran July 2021'!P30</f>
        <v>13079.999999999927</v>
      </c>
      <c r="F20" s="172">
        <f>'FS Jimbaran July 2021'!O30/'FS Jimbaran July 2021'!P30</f>
        <v>1122.886880733945</v>
      </c>
      <c r="G20" s="174">
        <f>'FS Jimbaran July 2021'!AG30</f>
        <v>50</v>
      </c>
      <c r="H20" s="172">
        <f>'FS Jimbaran July 2021'!AH30/'FS Jimbaran July 2021'!AG30</f>
        <v>12920</v>
      </c>
      <c r="I20" s="174">
        <f>'FS Jimbaran July 2021'!AJ30</f>
        <v>349.65999999999622</v>
      </c>
      <c r="J20" s="164">
        <f>'FS Jimbaran July 2021'!AK30/'FS Jimbaran July 2021'!AJ30</f>
        <v>10000</v>
      </c>
      <c r="K20" s="174">
        <f>'FS Jimbaran July 2021'!V30</f>
        <v>696.87</v>
      </c>
      <c r="L20" s="172">
        <f>'FS Jimbaran July 2021'!AA30/'FS Jimbaran July 2021'!V30</f>
        <v>6874.5516475095792</v>
      </c>
      <c r="M20" s="174">
        <f>+'RNs &amp; Covers July 2021'!B24</f>
        <v>2</v>
      </c>
      <c r="N20" s="174">
        <f>+'RNs &amp; Covers July 2021'!C24</f>
        <v>22</v>
      </c>
    </row>
    <row r="21" spans="1:14" x14ac:dyDescent="0.35">
      <c r="A21" s="160" t="s">
        <v>49</v>
      </c>
      <c r="B21" s="161">
        <f t="shared" si="0"/>
        <v>20</v>
      </c>
      <c r="C21" s="162">
        <v>7</v>
      </c>
      <c r="D21" s="161">
        <v>2021</v>
      </c>
      <c r="E21" s="174">
        <f>'FS Jimbaran July 2021'!P31</f>
        <v>13179.999999999865</v>
      </c>
      <c r="F21" s="172">
        <f>'FS Jimbaran July 2021'!O31/'FS Jimbaran July 2021'!P31</f>
        <v>1123.0118512898341</v>
      </c>
      <c r="G21" s="174">
        <f>'FS Jimbaran July 2021'!AG31</f>
        <v>412</v>
      </c>
      <c r="H21" s="172">
        <f>'FS Jimbaran July 2021'!AH31/'FS Jimbaran July 2021'!AG31</f>
        <v>12877.42718446602</v>
      </c>
      <c r="I21" s="174">
        <f>'FS Jimbaran July 2021'!AJ31</f>
        <v>78.100000000005821</v>
      </c>
      <c r="J21" s="164">
        <f>'FS Jimbaran July 2021'!AK31/'FS Jimbaran July 2021'!AJ31</f>
        <v>10000</v>
      </c>
      <c r="K21" s="174">
        <f>'FS Jimbaran July 2021'!V31</f>
        <v>626.55999999999995</v>
      </c>
      <c r="L21" s="172">
        <f>'FS Jimbaran July 2021'!AA31/'FS Jimbaran July 2021'!V31</f>
        <v>7150.1127840909103</v>
      </c>
      <c r="M21" s="174">
        <f>+'RNs &amp; Covers July 2021'!B25</f>
        <v>1</v>
      </c>
      <c r="N21" s="174">
        <f>+'RNs &amp; Covers July 2021'!C25</f>
        <v>10</v>
      </c>
    </row>
    <row r="22" spans="1:14" x14ac:dyDescent="0.35">
      <c r="A22" s="160" t="s">
        <v>49</v>
      </c>
      <c r="B22" s="161">
        <f t="shared" si="0"/>
        <v>21</v>
      </c>
      <c r="C22" s="162">
        <v>7</v>
      </c>
      <c r="D22" s="161">
        <v>2021</v>
      </c>
      <c r="E22" s="174">
        <f>'FS Jimbaran July 2021'!P32</f>
        <v>12479.999999999962</v>
      </c>
      <c r="F22" s="172">
        <f>'FS Jimbaran July 2021'!O32/'FS Jimbaran July 2021'!P32</f>
        <v>1130.3945192307708</v>
      </c>
      <c r="G22" s="174">
        <f>'FS Jimbaran July 2021'!AG32</f>
        <v>0</v>
      </c>
      <c r="H22" s="172" t="e">
        <f>'FS Jimbaran July 2021'!AH32/'FS Jimbaran July 2021'!AG32</f>
        <v>#DIV/0!</v>
      </c>
      <c r="I22" s="174">
        <f>'FS Jimbaran July 2021'!AJ32</f>
        <v>317.81999999999971</v>
      </c>
      <c r="J22" s="164">
        <f>'FS Jimbaran July 2021'!AK32/'FS Jimbaran July 2021'!AJ32</f>
        <v>10000</v>
      </c>
      <c r="K22" s="174">
        <f>'FS Jimbaran July 2021'!V32</f>
        <v>596.29999999999995</v>
      </c>
      <c r="L22" s="172">
        <f>'FS Jimbaran July 2021'!AA32/'FS Jimbaran July 2021'!V32</f>
        <v>6805.8740298507473</v>
      </c>
      <c r="M22" s="174">
        <f>+'RNs &amp; Covers July 2021'!B26</f>
        <v>0</v>
      </c>
      <c r="N22" s="174">
        <f>+'RNs &amp; Covers July 2021'!C26</f>
        <v>4</v>
      </c>
    </row>
    <row r="23" spans="1:14" x14ac:dyDescent="0.35">
      <c r="A23" s="160" t="s">
        <v>49</v>
      </c>
      <c r="B23" s="161">
        <f t="shared" si="0"/>
        <v>22</v>
      </c>
      <c r="C23" s="162">
        <v>7</v>
      </c>
      <c r="D23" s="161">
        <v>2021</v>
      </c>
      <c r="E23" s="174">
        <f>'FS Jimbaran July 2021'!P33</f>
        <v>12980.000000000302</v>
      </c>
      <c r="F23" s="172">
        <f>'FS Jimbaran July 2021'!O33/'FS Jimbaran July 2021'!P33</f>
        <v>1119.5680585516145</v>
      </c>
      <c r="G23" s="174">
        <f>'FS Jimbaran July 2021'!AG33</f>
        <v>0</v>
      </c>
      <c r="H23" s="172" t="e">
        <f>'FS Jimbaran July 2021'!AH33/'FS Jimbaran July 2021'!AG33</f>
        <v>#DIV/0!</v>
      </c>
      <c r="I23" s="174">
        <f>'FS Jimbaran July 2021'!AJ33</f>
        <v>80.559999999997672</v>
      </c>
      <c r="J23" s="164">
        <f>'FS Jimbaran July 2021'!AK33/'FS Jimbaran July 2021'!AJ33</f>
        <v>10000</v>
      </c>
      <c r="K23" s="174">
        <f>'FS Jimbaran July 2021'!V33</f>
        <v>673.73</v>
      </c>
      <c r="L23" s="172">
        <f>'FS Jimbaran July 2021'!AA33/'FS Jimbaran July 2021'!V33</f>
        <v>6529.7114663143993</v>
      </c>
      <c r="M23" s="174">
        <f>+'RNs &amp; Covers July 2021'!B27</f>
        <v>1</v>
      </c>
      <c r="N23" s="174">
        <f>+'RNs &amp; Covers July 2021'!C27</f>
        <v>8</v>
      </c>
    </row>
    <row r="24" spans="1:14" x14ac:dyDescent="0.35">
      <c r="A24" s="160" t="s">
        <v>49</v>
      </c>
      <c r="B24" s="161">
        <f t="shared" si="0"/>
        <v>23</v>
      </c>
      <c r="C24" s="162">
        <v>7</v>
      </c>
      <c r="D24" s="161">
        <v>2021</v>
      </c>
      <c r="E24" s="174">
        <f>'FS Jimbaran July 2021'!P34</f>
        <v>13520.000000000011</v>
      </c>
      <c r="F24" s="172">
        <f>'FS Jimbaran July 2021'!O34/'FS Jimbaran July 2021'!P34</f>
        <v>1120.0520414201212</v>
      </c>
      <c r="G24" s="174">
        <f>'FS Jimbaran July 2021'!AG34</f>
        <v>0</v>
      </c>
      <c r="H24" s="172" t="e">
        <f>'FS Jimbaran July 2021'!AH34/'FS Jimbaran July 2021'!AG34</f>
        <v>#DIV/0!</v>
      </c>
      <c r="I24" s="174">
        <f>'FS Jimbaran July 2021'!AJ34</f>
        <v>294.23999999999796</v>
      </c>
      <c r="J24" s="164">
        <f>'FS Jimbaran July 2021'!AK34/'FS Jimbaran July 2021'!AJ34</f>
        <v>10000</v>
      </c>
      <c r="K24" s="174">
        <f>'FS Jimbaran July 2021'!V34</f>
        <v>615.88</v>
      </c>
      <c r="L24" s="172">
        <f>'FS Jimbaran July 2021'!AA34/'FS Jimbaran July 2021'!V34</f>
        <v>6704.6304046242776</v>
      </c>
      <c r="M24" s="174">
        <f>+'RNs &amp; Covers July 2021'!B28</f>
        <v>2</v>
      </c>
      <c r="N24" s="174">
        <f>+'RNs &amp; Covers July 2021'!C28</f>
        <v>18</v>
      </c>
    </row>
    <row r="25" spans="1:14" x14ac:dyDescent="0.35">
      <c r="A25" s="160" t="s">
        <v>49</v>
      </c>
      <c r="B25" s="161">
        <f t="shared" si="0"/>
        <v>24</v>
      </c>
      <c r="C25" s="162">
        <v>7</v>
      </c>
      <c r="D25" s="161">
        <v>2021</v>
      </c>
      <c r="E25" s="174">
        <f>'FS Jimbaran July 2021'!P35</f>
        <v>12799.999999999742</v>
      </c>
      <c r="F25" s="172">
        <f>'FS Jimbaran July 2021'!O35/'FS Jimbaran July 2021'!P35</f>
        <v>1129.6475624999998</v>
      </c>
      <c r="G25" s="174">
        <f>'FS Jimbaran July 2021'!AG35</f>
        <v>0</v>
      </c>
      <c r="H25" s="172" t="e">
        <f>'FS Jimbaran July 2021'!AH35/'FS Jimbaran July 2021'!AG35</f>
        <v>#DIV/0!</v>
      </c>
      <c r="I25" s="174">
        <f>'FS Jimbaran July 2021'!AJ35</f>
        <v>80.510000000002037</v>
      </c>
      <c r="J25" s="164">
        <f>'FS Jimbaran July 2021'!AK35/'FS Jimbaran July 2021'!AJ35</f>
        <v>10000</v>
      </c>
      <c r="K25" s="174">
        <f>'FS Jimbaran July 2021'!V35</f>
        <v>702.21</v>
      </c>
      <c r="L25" s="172">
        <f>'FS Jimbaran July 2021'!AA35/'FS Jimbaran July 2021'!V35</f>
        <v>6437.0561977186317</v>
      </c>
      <c r="M25" s="174">
        <f>+'RNs &amp; Covers July 2021'!B29</f>
        <v>2</v>
      </c>
      <c r="N25" s="174">
        <f>+'RNs &amp; Covers July 2021'!C29</f>
        <v>21</v>
      </c>
    </row>
    <row r="26" spans="1:14" x14ac:dyDescent="0.35">
      <c r="A26" s="160" t="s">
        <v>49</v>
      </c>
      <c r="B26" s="161">
        <f>B25+1</f>
        <v>25</v>
      </c>
      <c r="C26" s="162">
        <v>7</v>
      </c>
      <c r="D26" s="161">
        <v>2021</v>
      </c>
      <c r="E26" s="174">
        <f>'FS Jimbaran July 2021'!P36</f>
        <v>12680.000000000247</v>
      </c>
      <c r="F26" s="172">
        <f>'FS Jimbaran July 2021'!O36/'FS Jimbaran July 2021'!P36</f>
        <v>1125.6347318611972</v>
      </c>
      <c r="G26" s="174">
        <f>'FS Jimbaran July 2021'!AG36</f>
        <v>400</v>
      </c>
      <c r="H26" s="172">
        <f>'FS Jimbaran July 2021'!AH36/'FS Jimbaran July 2021'!AG36</f>
        <v>12920</v>
      </c>
      <c r="I26" s="174">
        <f>'FS Jimbaran July 2021'!AJ36</f>
        <v>92.709999999999127</v>
      </c>
      <c r="J26" s="164">
        <f>'FS Jimbaran July 2021'!AK36/'FS Jimbaran July 2021'!AJ36</f>
        <v>10000</v>
      </c>
      <c r="K26" s="174">
        <f>'FS Jimbaran July 2021'!V36</f>
        <v>624.78</v>
      </c>
      <c r="L26" s="172">
        <f>'FS Jimbaran July 2021'!AA36/'FS Jimbaran July 2021'!V36</f>
        <v>6708.6989743589756</v>
      </c>
      <c r="M26" s="174">
        <f>+'RNs &amp; Covers July 2021'!B30</f>
        <v>3</v>
      </c>
      <c r="N26" s="174">
        <f>+'RNs &amp; Covers July 2021'!C30</f>
        <v>17</v>
      </c>
    </row>
    <row r="27" spans="1:14" x14ac:dyDescent="0.35">
      <c r="A27" s="160" t="s">
        <v>49</v>
      </c>
      <c r="B27" s="161">
        <f t="shared" si="0"/>
        <v>26</v>
      </c>
      <c r="C27" s="162">
        <v>7</v>
      </c>
      <c r="D27" s="161">
        <v>2021</v>
      </c>
      <c r="E27" s="174">
        <f>'FS Jimbaran July 2021'!P37</f>
        <v>13139.999999999816</v>
      </c>
      <c r="F27" s="172">
        <f>'FS Jimbaran July 2021'!O37/'FS Jimbaran July 2021'!P37</f>
        <v>1122.4891324200921</v>
      </c>
      <c r="G27" s="174">
        <f>'FS Jimbaran July 2021'!AG37</f>
        <v>0</v>
      </c>
      <c r="H27" s="172" t="e">
        <f>'FS Jimbaran July 2021'!AH37/'FS Jimbaran July 2021'!AG37</f>
        <v>#DIV/0!</v>
      </c>
      <c r="I27" s="174">
        <f>'FS Jimbaran July 2021'!AJ37</f>
        <v>421.56000000005588</v>
      </c>
      <c r="J27" s="164">
        <f>'FS Jimbaran July 2021'!AK37/'FS Jimbaran July 2021'!AJ37</f>
        <v>10000</v>
      </c>
      <c r="K27" s="174">
        <f>'FS Jimbaran July 2021'!V37</f>
        <v>591.85</v>
      </c>
      <c r="L27" s="172">
        <f>'FS Jimbaran July 2021'!AA37/'FS Jimbaran July 2021'!V37</f>
        <v>6783.8482105263165</v>
      </c>
      <c r="M27" s="174">
        <f>+'RNs &amp; Covers July 2021'!B31</f>
        <v>3</v>
      </c>
      <c r="N27" s="174">
        <f>+'RNs &amp; Covers July 2021'!C31</f>
        <v>34</v>
      </c>
    </row>
    <row r="28" spans="1:14" x14ac:dyDescent="0.35">
      <c r="A28" s="160" t="s">
        <v>49</v>
      </c>
      <c r="B28" s="161">
        <f t="shared" si="0"/>
        <v>27</v>
      </c>
      <c r="C28" s="162">
        <v>7</v>
      </c>
      <c r="D28" s="161">
        <v>2021</v>
      </c>
      <c r="E28" s="174">
        <f>'FS Jimbaran July 2021'!P38</f>
        <v>12539.99999999992</v>
      </c>
      <c r="F28" s="172">
        <f>'FS Jimbaran July 2021'!O38/'FS Jimbaran July 2021'!P38</f>
        <v>1123.3339712918698</v>
      </c>
      <c r="G28" s="174">
        <f>'FS Jimbaran July 2021'!AG38</f>
        <v>0</v>
      </c>
      <c r="H28" s="172" t="e">
        <f>'FS Jimbaran July 2021'!AH38/'FS Jimbaran July 2021'!AG38</f>
        <v>#DIV/0!</v>
      </c>
      <c r="I28" s="174">
        <f>'FS Jimbaran July 2021'!AJ38</f>
        <v>105.34000000000378</v>
      </c>
      <c r="J28" s="164">
        <f>'FS Jimbaran July 2021'!AK38/'FS Jimbaran July 2021'!AJ38</f>
        <v>9999.9999999999982</v>
      </c>
      <c r="K28" s="174">
        <f>'FS Jimbaran July 2021'!V38</f>
        <v>695.09</v>
      </c>
      <c r="L28" s="172">
        <f>'FS Jimbaran July 2021'!AA38/'FS Jimbaran July 2021'!V38</f>
        <v>6441.9341613316265</v>
      </c>
      <c r="M28" s="174">
        <f>+'RNs &amp; Covers July 2021'!B32</f>
        <v>3</v>
      </c>
      <c r="N28" s="174">
        <f>+'RNs &amp; Covers July 2021'!C32</f>
        <v>55</v>
      </c>
    </row>
    <row r="29" spans="1:14" x14ac:dyDescent="0.35">
      <c r="A29" s="160" t="s">
        <v>49</v>
      </c>
      <c r="B29" s="161">
        <f t="shared" si="0"/>
        <v>28</v>
      </c>
      <c r="C29" s="162">
        <v>7</v>
      </c>
      <c r="D29" s="161">
        <v>2021</v>
      </c>
      <c r="E29" s="174">
        <f>'FS Jimbaran July 2021'!P39</f>
        <v>13200.000000000216</v>
      </c>
      <c r="F29" s="172">
        <f>'FS Jimbaran July 2021'!O39/'FS Jimbaran July 2021'!P39</f>
        <v>1122.0949999999982</v>
      </c>
      <c r="G29" s="174">
        <f>'FS Jimbaran July 2021'!AG39</f>
        <v>12</v>
      </c>
      <c r="H29" s="172">
        <f>'FS Jimbaran July 2021'!AH39/'FS Jimbaran July 2021'!AG39</f>
        <v>11458.333333333334</v>
      </c>
      <c r="I29" s="174">
        <f>'FS Jimbaran July 2021'!AJ39</f>
        <v>489.92999999997846</v>
      </c>
      <c r="J29" s="164">
        <f>'FS Jimbaran July 2021'!AK39/'FS Jimbaran July 2021'!AJ39</f>
        <v>10000</v>
      </c>
      <c r="K29" s="174">
        <f>'FS Jimbaran July 2021'!V39</f>
        <v>906.91</v>
      </c>
      <c r="L29" s="172">
        <f>'FS Jimbaran July 2021'!AA39/'FS Jimbaran July 2021'!V39</f>
        <v>5955.793974484789</v>
      </c>
      <c r="M29" s="174">
        <f>+'RNs &amp; Covers July 2021'!B33</f>
        <v>3</v>
      </c>
      <c r="N29" s="174">
        <f>+'RNs &amp; Covers July 2021'!C33</f>
        <v>50</v>
      </c>
    </row>
    <row r="30" spans="1:14" x14ac:dyDescent="0.35">
      <c r="A30" s="160" t="s">
        <v>49</v>
      </c>
      <c r="B30" s="161">
        <f t="shared" si="0"/>
        <v>29</v>
      </c>
      <c r="C30" s="162">
        <v>7</v>
      </c>
      <c r="D30" s="161">
        <v>2021</v>
      </c>
      <c r="E30" s="174">
        <f>'FS Jimbaran July 2021'!P40</f>
        <v>13760.000000000091</v>
      </c>
      <c r="F30" s="172">
        <f>'FS Jimbaran July 2021'!O40/'FS Jimbaran July 2021'!P40</f>
        <v>1129.1206395348834</v>
      </c>
      <c r="G30" s="174">
        <f>'FS Jimbaran July 2021'!AG40</f>
        <v>0</v>
      </c>
      <c r="H30" s="172" t="e">
        <f>'FS Jimbaran July 2021'!AH40/'FS Jimbaran July 2021'!AG40</f>
        <v>#DIV/0!</v>
      </c>
      <c r="I30" s="174">
        <f>'FS Jimbaran July 2021'!AJ40</f>
        <v>293.86999999999534</v>
      </c>
      <c r="J30" s="164">
        <f>'FS Jimbaran July 2021'!AK40/'FS Jimbaran July 2021'!AJ40</f>
        <v>10000</v>
      </c>
      <c r="K30" s="174">
        <f>'FS Jimbaran July 2021'!V40</f>
        <v>909.58</v>
      </c>
      <c r="L30" s="172">
        <f>'FS Jimbaran July 2021'!AA40/'FS Jimbaran July 2021'!V40</f>
        <v>5937.3427397260275</v>
      </c>
      <c r="M30" s="174">
        <f>+'RNs &amp; Covers July 2021'!B34</f>
        <v>3</v>
      </c>
      <c r="N30" s="174">
        <f>+'RNs &amp; Covers July 2021'!C34</f>
        <v>55</v>
      </c>
    </row>
    <row r="31" spans="1:14" x14ac:dyDescent="0.35">
      <c r="A31" s="160" t="s">
        <v>49</v>
      </c>
      <c r="B31" s="161">
        <f t="shared" si="0"/>
        <v>30</v>
      </c>
      <c r="C31" s="162">
        <v>7</v>
      </c>
      <c r="D31" s="161">
        <v>2021</v>
      </c>
      <c r="E31" s="174">
        <f>'FS Jimbaran July 2021'!P41</f>
        <v>13559.999999999704</v>
      </c>
      <c r="F31" s="172">
        <f>'FS Jimbaran July 2021'!O41/'FS Jimbaran July 2021'!P41</f>
        <v>1122.8588495575225</v>
      </c>
      <c r="G31" s="174">
        <f>'FS Jimbaran July 2021'!AG41</f>
        <v>412</v>
      </c>
      <c r="H31" s="172">
        <f>'FS Jimbaran July 2021'!AH41/'FS Jimbaran July 2021'!AG41</f>
        <v>12877.42718446602</v>
      </c>
      <c r="I31" s="174">
        <f>'FS Jimbaran July 2021'!AJ41</f>
        <v>324.40000000000146</v>
      </c>
      <c r="J31" s="164">
        <f>'FS Jimbaran July 2021'!AK41/'FS Jimbaran July 2021'!AJ41</f>
        <v>10000</v>
      </c>
      <c r="K31" s="174">
        <f>'FS Jimbaran July 2021'!V41</f>
        <v>863.3</v>
      </c>
      <c r="L31" s="172">
        <f>'FS Jimbaran July 2021'!AA41/'FS Jimbaran July 2021'!V41</f>
        <v>6042.2064329896912</v>
      </c>
      <c r="M31" s="174">
        <f>+'RNs &amp; Covers July 2021'!B35</f>
        <v>5</v>
      </c>
      <c r="N31" s="174">
        <f>+'RNs &amp; Covers July 2021'!C35</f>
        <v>74</v>
      </c>
    </row>
    <row r="32" spans="1:14" x14ac:dyDescent="0.35">
      <c r="A32" s="160" t="s">
        <v>49</v>
      </c>
      <c r="B32" s="161">
        <f t="shared" si="0"/>
        <v>31</v>
      </c>
      <c r="C32" s="162">
        <v>7</v>
      </c>
      <c r="D32" s="161">
        <v>2021</v>
      </c>
      <c r="E32" s="174">
        <f>'FS Jimbaran July 2021'!P42</f>
        <v>12900.000000000204</v>
      </c>
      <c r="F32" s="172">
        <f>'FS Jimbaran July 2021'!O42/'FS Jimbaran July 2021'!P42</f>
        <v>1128.1169767441829</v>
      </c>
      <c r="G32" s="174">
        <f>'FS Jimbaran July 2021'!AG42</f>
        <v>0</v>
      </c>
      <c r="H32" s="172" t="e">
        <f>'FS Jimbaran July 2021'!AH42/'FS Jimbaran July 2021'!AG42</f>
        <v>#DIV/0!</v>
      </c>
      <c r="I32" s="174">
        <f>'FS Jimbaran July 2021'!AJ42</f>
        <v>333.5199999999968</v>
      </c>
      <c r="J32" s="164">
        <f>'FS Jimbaran July 2021'!AK42/'FS Jimbaran July 2021'!AJ42</f>
        <v>10000</v>
      </c>
      <c r="K32" s="174">
        <f>'FS Jimbaran July 2021'!V42</f>
        <v>919.37</v>
      </c>
      <c r="L32" s="172">
        <f>'FS Jimbaran July 2021'!AA42/'FS Jimbaran July 2021'!V42</f>
        <v>5906.036727976767</v>
      </c>
      <c r="M32" s="174">
        <f>+'RNs &amp; Covers July 2021'!B36</f>
        <v>6</v>
      </c>
      <c r="N32" s="174">
        <f>+'RNs &amp; Covers July 2021'!C36</f>
        <v>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70"/>
  <sheetViews>
    <sheetView tabSelected="1" zoomScale="62" zoomScaleNormal="62" workbookViewId="0">
      <pane xSplit="4" ySplit="10" topLeftCell="AA11" activePane="bottomRight" state="frozen"/>
      <selection pane="topRight" activeCell="E1" sqref="E1"/>
      <selection pane="bottomLeft" activeCell="A11" sqref="A11"/>
      <selection pane="bottomRight" activeCell="AJ12" sqref="AJ12:AK42"/>
    </sheetView>
  </sheetViews>
  <sheetFormatPr defaultRowHeight="15.5" x14ac:dyDescent="0.35"/>
  <cols>
    <col min="1" max="1" width="3.7265625" style="15" customWidth="1"/>
    <col min="2" max="2" width="8.7265625" style="15" customWidth="1"/>
    <col min="3" max="3" width="8.7265625" style="4" customWidth="1"/>
    <col min="4" max="4" width="9.1796875" customWidth="1"/>
    <col min="5" max="5" width="14.7265625" style="4" customWidth="1"/>
    <col min="6" max="6" width="17.7265625" style="4" customWidth="1"/>
    <col min="7" max="7" width="14.81640625" customWidth="1"/>
    <col min="8" max="8" width="17.1796875" style="4" customWidth="1"/>
    <col min="9" max="9" width="17" customWidth="1"/>
    <col min="10" max="10" width="14" customWidth="1"/>
    <col min="11" max="11" width="17.453125" customWidth="1"/>
    <col min="12" max="12" width="14.1796875" style="4" customWidth="1"/>
    <col min="13" max="13" width="18.26953125" style="64" bestFit="1" customWidth="1"/>
    <col min="14" max="14" width="20.453125" style="68" customWidth="1"/>
    <col min="15" max="15" width="18.81640625" customWidth="1"/>
    <col min="16" max="16" width="15.1796875" style="68" customWidth="1"/>
    <col min="17" max="17" width="19.7265625" customWidth="1"/>
    <col min="18" max="18" width="18.1796875" style="89" customWidth="1"/>
    <col min="19" max="19" width="24.26953125" customWidth="1"/>
    <col min="20" max="20" width="21.1796875" bestFit="1" customWidth="1"/>
    <col min="21" max="21" width="18.81640625" customWidth="1"/>
    <col min="22" max="22" width="19.7265625" customWidth="1"/>
    <col min="23" max="24" width="21.1796875" bestFit="1" customWidth="1"/>
    <col min="25" max="25" width="19.7265625" bestFit="1" customWidth="1"/>
    <col min="26" max="26" width="21.26953125" bestFit="1" customWidth="1"/>
    <col min="27" max="27" width="17.81640625" bestFit="1" customWidth="1"/>
    <col min="28" max="28" width="9.81640625" customWidth="1"/>
    <col min="29" max="29" width="15.81640625" bestFit="1" customWidth="1"/>
    <col min="30" max="30" width="12.81640625" style="4" bestFit="1" customWidth="1"/>
    <col min="31" max="31" width="14.81640625" customWidth="1"/>
    <col min="32" max="32" width="12.26953125" bestFit="1" customWidth="1"/>
    <col min="33" max="33" width="10" bestFit="1" customWidth="1"/>
    <col min="34" max="34" width="19" style="4" customWidth="1"/>
    <col min="35" max="35" width="10.54296875" customWidth="1"/>
    <col min="36" max="36" width="13.26953125" style="89" bestFit="1" customWidth="1"/>
    <col min="37" max="37" width="20.7265625" bestFit="1" customWidth="1"/>
    <col min="38" max="38" width="9.453125" style="41" bestFit="1" customWidth="1"/>
    <col min="39" max="39" width="2.26953125" style="15" customWidth="1"/>
  </cols>
  <sheetData>
    <row r="5" spans="1:39" x14ac:dyDescent="0.35">
      <c r="N5" s="175"/>
      <c r="X5" s="176"/>
    </row>
    <row r="6" spans="1:39" s="27" customFormat="1" ht="19" thickBot="1" x14ac:dyDescent="0.5">
      <c r="B6" s="27" t="s">
        <v>28</v>
      </c>
      <c r="C6" s="36"/>
      <c r="E6" s="36"/>
      <c r="F6" s="36"/>
      <c r="H6" s="36"/>
      <c r="L6" s="36"/>
      <c r="M6" s="59"/>
      <c r="N6" s="65"/>
      <c r="P6" s="65"/>
      <c r="R6" s="85"/>
      <c r="AD6" s="36"/>
      <c r="AH6" s="36"/>
      <c r="AJ6" s="85"/>
      <c r="AL6" s="38"/>
    </row>
    <row r="7" spans="1:39" s="12" customFormat="1" ht="16" thickBot="1" x14ac:dyDescent="0.4">
      <c r="A7" s="32"/>
      <c r="B7" s="223" t="s">
        <v>54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4"/>
      <c r="AC7" s="224"/>
      <c r="AD7" s="224"/>
      <c r="AE7" s="224"/>
      <c r="AF7" s="224"/>
      <c r="AG7" s="224"/>
      <c r="AH7" s="224"/>
      <c r="AI7" s="224"/>
      <c r="AJ7" s="224"/>
      <c r="AK7" s="224"/>
      <c r="AL7" s="225"/>
      <c r="AM7" s="32"/>
    </row>
    <row r="8" spans="1:39" s="8" customFormat="1" ht="15.75" customHeight="1" thickBot="1" x14ac:dyDescent="0.4">
      <c r="A8" s="28"/>
      <c r="B8" s="226" t="s">
        <v>1</v>
      </c>
      <c r="C8" s="229" t="s">
        <v>2</v>
      </c>
      <c r="D8" s="232" t="s">
        <v>3</v>
      </c>
      <c r="E8" s="235" t="s">
        <v>34</v>
      </c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  <c r="U8" s="236"/>
      <c r="V8" s="237" t="s">
        <v>19</v>
      </c>
      <c r="W8" s="238"/>
      <c r="X8" s="238"/>
      <c r="Y8" s="238"/>
      <c r="Z8" s="238"/>
      <c r="AA8" s="238"/>
      <c r="AB8" s="239"/>
      <c r="AC8" s="240" t="s">
        <v>24</v>
      </c>
      <c r="AD8" s="240"/>
      <c r="AE8" s="240"/>
      <c r="AF8" s="240"/>
      <c r="AG8" s="240"/>
      <c r="AH8" s="240"/>
      <c r="AI8" s="240"/>
      <c r="AJ8" s="240"/>
      <c r="AK8" s="240"/>
      <c r="AL8" s="241"/>
      <c r="AM8" s="30"/>
    </row>
    <row r="9" spans="1:39" ht="15" customHeight="1" thickBot="1" x14ac:dyDescent="0.4">
      <c r="A9" s="31"/>
      <c r="B9" s="227"/>
      <c r="C9" s="230"/>
      <c r="D9" s="233"/>
      <c r="E9" s="242" t="s">
        <v>33</v>
      </c>
      <c r="F9" s="243"/>
      <c r="G9" s="243"/>
      <c r="H9" s="243"/>
      <c r="I9" s="244"/>
      <c r="J9" s="245" t="s">
        <v>5</v>
      </c>
      <c r="K9" s="245"/>
      <c r="L9" s="245"/>
      <c r="M9" s="245"/>
      <c r="N9" s="246"/>
      <c r="O9" s="232" t="s">
        <v>12</v>
      </c>
      <c r="P9" s="247" t="s">
        <v>32</v>
      </c>
      <c r="Q9" s="249" t="s">
        <v>52</v>
      </c>
      <c r="R9" s="254" t="s">
        <v>21</v>
      </c>
      <c r="S9" s="256" t="s">
        <v>13</v>
      </c>
      <c r="T9" s="258" t="s">
        <v>18</v>
      </c>
      <c r="U9" s="259"/>
      <c r="V9" s="53"/>
      <c r="W9" s="53" t="s">
        <v>4</v>
      </c>
      <c r="X9" s="53"/>
      <c r="Y9" s="54"/>
      <c r="Z9" s="181"/>
      <c r="AA9" s="260" t="s">
        <v>27</v>
      </c>
      <c r="AB9" s="261"/>
      <c r="AC9" s="240" t="s">
        <v>22</v>
      </c>
      <c r="AD9" s="240"/>
      <c r="AE9" s="240"/>
      <c r="AF9" s="240"/>
      <c r="AG9" s="240"/>
      <c r="AH9" s="240"/>
      <c r="AI9" s="241"/>
      <c r="AJ9" s="251" t="s">
        <v>20</v>
      </c>
      <c r="AK9" s="252"/>
      <c r="AL9" s="253"/>
      <c r="AM9" s="31"/>
    </row>
    <row r="10" spans="1:39" ht="61.5" customHeight="1" thickBot="1" x14ac:dyDescent="0.4">
      <c r="A10" s="29"/>
      <c r="B10" s="228"/>
      <c r="C10" s="231"/>
      <c r="D10" s="234"/>
      <c r="E10" s="99" t="s">
        <v>35</v>
      </c>
      <c r="F10" s="83" t="s">
        <v>6</v>
      </c>
      <c r="G10" s="133" t="s">
        <v>36</v>
      </c>
      <c r="H10" s="19" t="s">
        <v>6</v>
      </c>
      <c r="I10" s="100" t="s">
        <v>14</v>
      </c>
      <c r="J10" s="99" t="s">
        <v>35</v>
      </c>
      <c r="K10" s="84" t="s">
        <v>6</v>
      </c>
      <c r="L10" s="133" t="s">
        <v>36</v>
      </c>
      <c r="M10" s="60" t="s">
        <v>6</v>
      </c>
      <c r="N10" s="92" t="s">
        <v>15</v>
      </c>
      <c r="O10" s="234"/>
      <c r="P10" s="248"/>
      <c r="Q10" s="250"/>
      <c r="R10" s="255"/>
      <c r="S10" s="257"/>
      <c r="T10" s="182" t="s">
        <v>16</v>
      </c>
      <c r="U10" s="24" t="s">
        <v>17</v>
      </c>
      <c r="V10" s="183" t="s">
        <v>8</v>
      </c>
      <c r="W10" s="55" t="s">
        <v>0</v>
      </c>
      <c r="X10" s="55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5" t="s">
        <v>7</v>
      </c>
      <c r="AD10" s="48" t="s">
        <v>31</v>
      </c>
      <c r="AE10" s="47" t="s">
        <v>11</v>
      </c>
      <c r="AF10" s="47" t="s">
        <v>9</v>
      </c>
      <c r="AG10" s="47" t="s">
        <v>25</v>
      </c>
      <c r="AH10" s="48" t="s">
        <v>16</v>
      </c>
      <c r="AI10" s="49" t="s">
        <v>17</v>
      </c>
      <c r="AJ10" s="140" t="s">
        <v>23</v>
      </c>
      <c r="AK10" s="47" t="s">
        <v>16</v>
      </c>
      <c r="AL10" s="51" t="s">
        <v>17</v>
      </c>
      <c r="AM10" s="29"/>
    </row>
    <row r="11" spans="1:39" x14ac:dyDescent="0.35">
      <c r="A11" s="29"/>
      <c r="B11" s="57"/>
      <c r="C11" s="101"/>
      <c r="D11" s="184"/>
      <c r="E11" s="185"/>
      <c r="F11" s="90"/>
      <c r="G11" s="20"/>
      <c r="H11" s="21"/>
      <c r="I11" s="102"/>
      <c r="J11" s="91"/>
      <c r="K11" s="20"/>
      <c r="L11" s="21"/>
      <c r="M11" s="61"/>
      <c r="N11" s="93"/>
      <c r="O11" s="56"/>
      <c r="P11" s="110"/>
      <c r="Q11" s="186"/>
      <c r="R11" s="113"/>
      <c r="S11" s="187"/>
      <c r="T11" s="187"/>
      <c r="U11" s="25"/>
      <c r="V11" s="91"/>
      <c r="W11" s="20"/>
      <c r="X11" s="20"/>
      <c r="Y11" s="22"/>
      <c r="Z11" s="22"/>
      <c r="AA11" s="22"/>
      <c r="AB11" s="102"/>
      <c r="AC11" s="126"/>
      <c r="AD11" s="45"/>
      <c r="AE11" s="42"/>
      <c r="AF11" s="42"/>
      <c r="AG11" s="42"/>
      <c r="AH11" s="45"/>
      <c r="AI11" s="46"/>
      <c r="AJ11" s="141"/>
      <c r="AK11" s="42"/>
      <c r="AL11" s="50"/>
      <c r="AM11" s="29"/>
    </row>
    <row r="12" spans="1:39" x14ac:dyDescent="0.35">
      <c r="A12" s="35"/>
      <c r="B12" s="58">
        <v>1</v>
      </c>
      <c r="C12" s="149">
        <v>4</v>
      </c>
      <c r="D12" s="151">
        <v>84</v>
      </c>
      <c r="E12" s="106">
        <v>10219.9999999998</v>
      </c>
      <c r="F12" s="3">
        <v>10585671.599999793</v>
      </c>
      <c r="G12" s="37">
        <v>2200.0000000000455</v>
      </c>
      <c r="H12" s="3">
        <v>3418074.0000000708</v>
      </c>
      <c r="I12" s="103">
        <f>F12+H12</f>
        <v>14003745.599999864</v>
      </c>
      <c r="J12" s="106">
        <v>1459.9999999999795</v>
      </c>
      <c r="K12" s="3">
        <v>1512238.7999999789</v>
      </c>
      <c r="L12" s="188">
        <v>480.00000000000398</v>
      </c>
      <c r="M12" s="189">
        <v>745761.60000000626</v>
      </c>
      <c r="N12" s="94">
        <f>+K12+M12</f>
        <v>2258000.399999985</v>
      </c>
      <c r="O12" s="108">
        <f>N12+I12</f>
        <v>16261745.999999849</v>
      </c>
      <c r="P12" s="111">
        <f>L12+J12+G12+E12</f>
        <v>14359.999999999829</v>
      </c>
      <c r="Q12" s="135"/>
      <c r="R12" s="203"/>
      <c r="S12" s="217"/>
      <c r="T12" s="214"/>
      <c r="U12" s="212">
        <v>0</v>
      </c>
      <c r="V12" s="190">
        <f>Y12+W12</f>
        <v>998.58</v>
      </c>
      <c r="W12" s="3">
        <v>260.77</v>
      </c>
      <c r="X12" s="3">
        <v>4686167.2849999992</v>
      </c>
      <c r="Y12" s="33">
        <v>737.81000000000006</v>
      </c>
      <c r="Z12" s="33">
        <v>3132136.2558000004</v>
      </c>
      <c r="AA12" s="33">
        <f t="shared" ref="AA12:AA39" si="0">Z12+X12</f>
        <v>7818303.5407999996</v>
      </c>
      <c r="AB12" s="128">
        <f t="shared" ref="AB12:AB39" si="1">AA12/$AL$48</f>
        <v>602.51613088380236</v>
      </c>
      <c r="AC12" s="134">
        <v>0</v>
      </c>
      <c r="AD12" s="3">
        <v>0</v>
      </c>
      <c r="AE12" s="3">
        <v>0</v>
      </c>
      <c r="AF12" s="3">
        <v>0</v>
      </c>
      <c r="AG12" s="3">
        <f t="shared" ref="AG12:AG31" si="2">+AE12+AF12</f>
        <v>0</v>
      </c>
      <c r="AH12" s="3">
        <v>0</v>
      </c>
      <c r="AI12" s="43">
        <f t="shared" ref="AI12:AI39" si="3">AH12/$AL$48</f>
        <v>0</v>
      </c>
      <c r="AJ12" s="142">
        <v>360.76000000000204</v>
      </c>
      <c r="AK12" s="3">
        <v>3607600.0000000205</v>
      </c>
      <c r="AL12" s="39">
        <f t="shared" ref="AL12:AL42" si="4">AK12/$AL$48</f>
        <v>278.01903346848093</v>
      </c>
      <c r="AM12" s="7"/>
    </row>
    <row r="13" spans="1:39" x14ac:dyDescent="0.35">
      <c r="A13" s="35"/>
      <c r="B13" s="58">
        <v>2</v>
      </c>
      <c r="C13" s="149">
        <v>6</v>
      </c>
      <c r="D13" s="151">
        <v>102</v>
      </c>
      <c r="E13" s="106">
        <v>10639.999999999873</v>
      </c>
      <c r="F13" s="3">
        <v>11020699.199999867</v>
      </c>
      <c r="G13" s="37">
        <v>2159.9999999999682</v>
      </c>
      <c r="H13" s="3">
        <v>3355927.1999999508</v>
      </c>
      <c r="I13" s="103">
        <f t="shared" ref="I13:I42" si="5">F13+H13</f>
        <v>14376626.399999818</v>
      </c>
      <c r="J13" s="106">
        <v>1580.0000000000409</v>
      </c>
      <c r="K13" s="3">
        <v>1636532.4000000423</v>
      </c>
      <c r="L13" s="188">
        <v>379.99999999999545</v>
      </c>
      <c r="M13" s="189">
        <v>590394.59999999299</v>
      </c>
      <c r="N13" s="94">
        <f t="shared" ref="N13:N41" si="6">+K13+M13</f>
        <v>2226927.0000000354</v>
      </c>
      <c r="O13" s="108">
        <f t="shared" ref="O13:O39" si="7">N13+I13</f>
        <v>16603553.399999853</v>
      </c>
      <c r="P13" s="111">
        <f t="shared" ref="P13:P39" si="8">L13+J13+G13+E13</f>
        <v>14759.999999999876</v>
      </c>
      <c r="Q13" s="193"/>
      <c r="R13" s="204"/>
      <c r="S13" s="217"/>
      <c r="T13" s="214"/>
      <c r="U13" s="212">
        <v>0</v>
      </c>
      <c r="V13" s="190">
        <f t="shared" ref="V13:V41" si="9">Y13+W13</f>
        <v>982.56000000000006</v>
      </c>
      <c r="W13" s="3">
        <v>200.25</v>
      </c>
      <c r="X13" s="3">
        <v>3598592.625</v>
      </c>
      <c r="Y13" s="33">
        <v>782.31000000000006</v>
      </c>
      <c r="Z13" s="33">
        <v>3321046.7658000006</v>
      </c>
      <c r="AA13" s="33">
        <f t="shared" si="0"/>
        <v>6919639.3908000011</v>
      </c>
      <c r="AB13" s="128">
        <f t="shared" si="1"/>
        <v>533.26074270446657</v>
      </c>
      <c r="AC13" s="134">
        <v>0</v>
      </c>
      <c r="AD13" s="3">
        <v>0</v>
      </c>
      <c r="AE13" s="3">
        <v>400</v>
      </c>
      <c r="AF13" s="3">
        <v>0</v>
      </c>
      <c r="AG13" s="3">
        <f t="shared" si="2"/>
        <v>400</v>
      </c>
      <c r="AH13" s="3">
        <v>5168000</v>
      </c>
      <c r="AI13" s="43">
        <f t="shared" si="3"/>
        <v>398.27097376790698</v>
      </c>
      <c r="AJ13" s="142">
        <v>325.73999999999796</v>
      </c>
      <c r="AK13" s="3">
        <v>3257399.9999999795</v>
      </c>
      <c r="AL13" s="39">
        <f t="shared" si="4"/>
        <v>251.03093458815249</v>
      </c>
      <c r="AM13" s="7"/>
    </row>
    <row r="14" spans="1:39" x14ac:dyDescent="0.35">
      <c r="A14" s="35"/>
      <c r="B14" s="58">
        <v>3</v>
      </c>
      <c r="C14" s="149">
        <v>8</v>
      </c>
      <c r="D14" s="151">
        <v>102</v>
      </c>
      <c r="E14" s="106">
        <v>11160.000000000309</v>
      </c>
      <c r="F14" s="3">
        <v>11559304.800000319</v>
      </c>
      <c r="G14" s="37">
        <v>2279.9999999999727</v>
      </c>
      <c r="H14" s="3">
        <v>3542367.5999999577</v>
      </c>
      <c r="I14" s="103">
        <f t="shared" si="5"/>
        <v>15101672.400000278</v>
      </c>
      <c r="J14" s="106">
        <v>1439.9999999999977</v>
      </c>
      <c r="K14" s="3">
        <v>1491523.1999999976</v>
      </c>
      <c r="L14" s="188">
        <v>400.00000000000568</v>
      </c>
      <c r="M14" s="189">
        <v>621468.00000000885</v>
      </c>
      <c r="N14" s="94">
        <f t="shared" si="6"/>
        <v>2112991.2000000067</v>
      </c>
      <c r="O14" s="108">
        <f t="shared" si="7"/>
        <v>17214663.600000285</v>
      </c>
      <c r="P14" s="111">
        <f t="shared" si="8"/>
        <v>15280.000000000286</v>
      </c>
      <c r="Q14" s="193"/>
      <c r="R14" s="204"/>
      <c r="S14" s="217"/>
      <c r="T14" s="214"/>
      <c r="U14" s="212">
        <v>0</v>
      </c>
      <c r="V14" s="190">
        <f t="shared" si="9"/>
        <v>853.51</v>
      </c>
      <c r="W14" s="3">
        <v>199.36</v>
      </c>
      <c r="X14" s="3">
        <v>3582598.8800000004</v>
      </c>
      <c r="Y14" s="33">
        <v>654.15</v>
      </c>
      <c r="Z14" s="33">
        <v>2776984.497</v>
      </c>
      <c r="AA14" s="33">
        <f t="shared" si="0"/>
        <v>6359583.3770000003</v>
      </c>
      <c r="AB14" s="128">
        <f t="shared" si="1"/>
        <v>490.10012854411463</v>
      </c>
      <c r="AC14" s="134">
        <v>0</v>
      </c>
      <c r="AD14" s="3">
        <v>0</v>
      </c>
      <c r="AE14" s="3">
        <v>0</v>
      </c>
      <c r="AF14" s="3">
        <v>0</v>
      </c>
      <c r="AG14" s="3">
        <f t="shared" si="2"/>
        <v>0</v>
      </c>
      <c r="AH14" s="3">
        <v>0</v>
      </c>
      <c r="AI14" s="43">
        <f t="shared" si="3"/>
        <v>0</v>
      </c>
      <c r="AJ14" s="142">
        <v>688.9900000000016</v>
      </c>
      <c r="AK14" s="3">
        <v>6889900.0000000158</v>
      </c>
      <c r="AL14" s="39">
        <f t="shared" si="4"/>
        <v>530.96888199758291</v>
      </c>
      <c r="AM14" s="7"/>
    </row>
    <row r="15" spans="1:39" x14ac:dyDescent="0.35">
      <c r="A15" s="35"/>
      <c r="B15" s="58">
        <v>4</v>
      </c>
      <c r="C15" s="149">
        <v>6</v>
      </c>
      <c r="D15" s="151">
        <v>83</v>
      </c>
      <c r="E15" s="106">
        <v>10639.999999999873</v>
      </c>
      <c r="F15" s="3">
        <v>11020699.199999867</v>
      </c>
      <c r="G15" s="37">
        <v>2120.0000000000045</v>
      </c>
      <c r="H15" s="3">
        <v>3293780.4000000074</v>
      </c>
      <c r="I15" s="103">
        <f t="shared" si="5"/>
        <v>14314479.599999875</v>
      </c>
      <c r="J15" s="106">
        <v>1399.9999999999773</v>
      </c>
      <c r="K15" s="3">
        <v>1450091.9999999765</v>
      </c>
      <c r="L15" s="188">
        <v>379.99999999999545</v>
      </c>
      <c r="M15" s="189">
        <v>590394.59999999299</v>
      </c>
      <c r="N15" s="94">
        <f t="shared" si="6"/>
        <v>2040486.5999999694</v>
      </c>
      <c r="O15" s="108">
        <f t="shared" si="7"/>
        <v>16354966.199999845</v>
      </c>
      <c r="P15" s="111">
        <f t="shared" si="8"/>
        <v>14539.999999999851</v>
      </c>
      <c r="Q15" s="193"/>
      <c r="R15" s="204"/>
      <c r="S15" s="217"/>
      <c r="T15" s="214"/>
      <c r="U15" s="212">
        <v>0</v>
      </c>
      <c r="V15" s="190">
        <f t="shared" si="9"/>
        <v>916.7</v>
      </c>
      <c r="W15" s="3">
        <v>160.19999999999999</v>
      </c>
      <c r="X15" s="3">
        <v>2878874.0999999996</v>
      </c>
      <c r="Y15" s="33">
        <v>756.5</v>
      </c>
      <c r="Z15" s="33">
        <v>3211478.6700000004</v>
      </c>
      <c r="AA15" s="33">
        <f t="shared" si="0"/>
        <v>6090352.7699999996</v>
      </c>
      <c r="AB15" s="128">
        <f t="shared" si="1"/>
        <v>469.35192111028817</v>
      </c>
      <c r="AC15" s="134">
        <v>0</v>
      </c>
      <c r="AD15" s="3">
        <v>0</v>
      </c>
      <c r="AE15" s="3">
        <v>0</v>
      </c>
      <c r="AF15" s="3">
        <v>0</v>
      </c>
      <c r="AG15" s="3">
        <f t="shared" si="2"/>
        <v>0</v>
      </c>
      <c r="AH15" s="3">
        <v>0</v>
      </c>
      <c r="AI15" s="43">
        <f t="shared" si="3"/>
        <v>0</v>
      </c>
      <c r="AJ15" s="142">
        <v>121.63999999999942</v>
      </c>
      <c r="AK15" s="3">
        <v>1216399.9999999942</v>
      </c>
      <c r="AL15" s="39">
        <f t="shared" si="4"/>
        <v>93.74164328391636</v>
      </c>
      <c r="AM15" s="7"/>
    </row>
    <row r="16" spans="1:39" x14ac:dyDescent="0.35">
      <c r="A16" s="35"/>
      <c r="B16" s="58">
        <v>5</v>
      </c>
      <c r="C16" s="149">
        <v>5</v>
      </c>
      <c r="D16" s="151">
        <v>50</v>
      </c>
      <c r="E16" s="106">
        <v>10519.999999999982</v>
      </c>
      <c r="F16" s="3">
        <v>10896405.599999981</v>
      </c>
      <c r="G16" s="37">
        <v>2120.0000000000045</v>
      </c>
      <c r="H16" s="3">
        <v>3293780.4000000074</v>
      </c>
      <c r="I16" s="103">
        <f t="shared" si="5"/>
        <v>14190185.999999989</v>
      </c>
      <c r="J16" s="106">
        <v>1360.0000000000136</v>
      </c>
      <c r="K16" s="3">
        <v>1408660.800000014</v>
      </c>
      <c r="L16" s="188">
        <v>340.00000000000341</v>
      </c>
      <c r="M16" s="189">
        <v>528247.80000000529</v>
      </c>
      <c r="N16" s="94">
        <f t="shared" si="6"/>
        <v>1936908.6000000192</v>
      </c>
      <c r="O16" s="108">
        <f t="shared" si="7"/>
        <v>16127094.600000009</v>
      </c>
      <c r="P16" s="111">
        <f t="shared" si="8"/>
        <v>14340.000000000004</v>
      </c>
      <c r="Q16" s="193"/>
      <c r="R16" s="204"/>
      <c r="S16" s="217"/>
      <c r="T16" s="214"/>
      <c r="U16" s="212">
        <v>0</v>
      </c>
      <c r="V16" s="190">
        <f t="shared" si="9"/>
        <v>823.25</v>
      </c>
      <c r="W16" s="3">
        <v>157.53</v>
      </c>
      <c r="X16" s="3">
        <v>2830892.8650000002</v>
      </c>
      <c r="Y16" s="33">
        <v>665.72</v>
      </c>
      <c r="Z16" s="33">
        <v>2826101.2296000002</v>
      </c>
      <c r="AA16" s="33">
        <f t="shared" si="0"/>
        <v>5656994.0946000004</v>
      </c>
      <c r="AB16" s="128">
        <f t="shared" si="1"/>
        <v>435.95521413615353</v>
      </c>
      <c r="AC16" s="134">
        <v>0</v>
      </c>
      <c r="AD16" s="3">
        <v>0</v>
      </c>
      <c r="AE16" s="3">
        <v>400</v>
      </c>
      <c r="AF16" s="3">
        <v>0</v>
      </c>
      <c r="AG16" s="3">
        <f t="shared" si="2"/>
        <v>400</v>
      </c>
      <c r="AH16" s="3">
        <v>5168000</v>
      </c>
      <c r="AI16" s="43">
        <f t="shared" si="3"/>
        <v>398.27097376790698</v>
      </c>
      <c r="AJ16" s="142">
        <v>295.73999999999796</v>
      </c>
      <c r="AK16" s="3">
        <v>2957399.9999999795</v>
      </c>
      <c r="AL16" s="39">
        <f t="shared" si="4"/>
        <v>227.91148951648606</v>
      </c>
      <c r="AM16" s="7"/>
    </row>
    <row r="17" spans="1:39" x14ac:dyDescent="0.35">
      <c r="A17" s="35"/>
      <c r="B17" s="58">
        <v>6</v>
      </c>
      <c r="C17" s="149">
        <v>7</v>
      </c>
      <c r="D17" s="151">
        <v>63</v>
      </c>
      <c r="E17" s="106">
        <v>10599.999999999909</v>
      </c>
      <c r="F17" s="3">
        <v>10979267.999999905</v>
      </c>
      <c r="G17" s="37">
        <v>2159.9999999999682</v>
      </c>
      <c r="H17" s="3">
        <v>3355927.1999999508</v>
      </c>
      <c r="I17" s="103">
        <f t="shared" si="5"/>
        <v>14335195.199999856</v>
      </c>
      <c r="J17" s="106">
        <v>1339.999999999975</v>
      </c>
      <c r="K17" s="3">
        <v>1387945.1999999741</v>
      </c>
      <c r="L17" s="188">
        <v>359.99999999999943</v>
      </c>
      <c r="M17" s="189">
        <v>559321.19999999914</v>
      </c>
      <c r="N17" s="94">
        <f t="shared" si="6"/>
        <v>1947266.3999999734</v>
      </c>
      <c r="O17" s="108">
        <f t="shared" si="7"/>
        <v>16282461.59999983</v>
      </c>
      <c r="P17" s="111">
        <f t="shared" si="8"/>
        <v>14459.999999999851</v>
      </c>
      <c r="Q17" s="193"/>
      <c r="R17" s="204"/>
      <c r="S17" s="217"/>
      <c r="T17" s="214"/>
      <c r="U17" s="212">
        <v>0</v>
      </c>
      <c r="V17" s="190">
        <f t="shared" si="9"/>
        <v>804.56000000000006</v>
      </c>
      <c r="W17" s="3">
        <v>175.33</v>
      </c>
      <c r="X17" s="3">
        <v>3150767.7650000001</v>
      </c>
      <c r="Y17" s="33">
        <v>629.23</v>
      </c>
      <c r="Z17" s="33">
        <v>2671194.6114000003</v>
      </c>
      <c r="AA17" s="33">
        <f t="shared" si="0"/>
        <v>5821962.3764000004</v>
      </c>
      <c r="AB17" s="128">
        <f t="shared" si="1"/>
        <v>448.6684645682945</v>
      </c>
      <c r="AC17" s="134">
        <v>0</v>
      </c>
      <c r="AD17" s="3">
        <v>0</v>
      </c>
      <c r="AE17" s="3">
        <v>0</v>
      </c>
      <c r="AF17" s="3">
        <v>0</v>
      </c>
      <c r="AG17" s="3">
        <f t="shared" si="2"/>
        <v>0</v>
      </c>
      <c r="AH17" s="3">
        <v>0</v>
      </c>
      <c r="AI17" s="43">
        <f t="shared" si="3"/>
        <v>0</v>
      </c>
      <c r="AJ17" s="142">
        <v>132.95000000000073</v>
      </c>
      <c r="AK17" s="3">
        <v>1329500.0000000072</v>
      </c>
      <c r="AL17" s="39">
        <f t="shared" si="4"/>
        <v>102.4576740759356</v>
      </c>
      <c r="AM17" s="7"/>
    </row>
    <row r="18" spans="1:39" x14ac:dyDescent="0.35">
      <c r="A18" s="35"/>
      <c r="B18" s="58">
        <v>7</v>
      </c>
      <c r="C18" s="149">
        <v>7</v>
      </c>
      <c r="D18" s="151">
        <v>52</v>
      </c>
      <c r="E18" s="106">
        <v>10159.999999999854</v>
      </c>
      <c r="F18" s="3">
        <v>10523524.79999985</v>
      </c>
      <c r="G18" s="37">
        <v>2080.0000000000409</v>
      </c>
      <c r="H18" s="3">
        <v>3231633.6000000639</v>
      </c>
      <c r="I18" s="103">
        <f t="shared" si="5"/>
        <v>13755158.399999913</v>
      </c>
      <c r="J18" s="106">
        <v>1319.9999999999932</v>
      </c>
      <c r="K18" s="3">
        <v>1367229.5999999929</v>
      </c>
      <c r="L18" s="188">
        <v>319.99999999999318</v>
      </c>
      <c r="M18" s="189">
        <v>497174.39999998943</v>
      </c>
      <c r="N18" s="94">
        <f t="shared" si="6"/>
        <v>1864403.9999999823</v>
      </c>
      <c r="O18" s="108">
        <f t="shared" si="7"/>
        <v>15619562.399999894</v>
      </c>
      <c r="P18" s="111">
        <f t="shared" si="8"/>
        <v>13879.999999999882</v>
      </c>
      <c r="Q18" s="193"/>
      <c r="R18" s="204"/>
      <c r="S18" s="217"/>
      <c r="T18" s="214"/>
      <c r="U18" s="212">
        <v>0</v>
      </c>
      <c r="V18" s="190">
        <f t="shared" si="9"/>
        <v>817.02</v>
      </c>
      <c r="W18" s="3">
        <v>158.42000000000002</v>
      </c>
      <c r="X18" s="3">
        <v>2846886.6100000003</v>
      </c>
      <c r="Y18" s="33">
        <v>658.6</v>
      </c>
      <c r="Z18" s="33">
        <v>2795875.5480000004</v>
      </c>
      <c r="AA18" s="33">
        <f t="shared" si="0"/>
        <v>5642762.1580000008</v>
      </c>
      <c r="AB18" s="128">
        <f t="shared" si="1"/>
        <v>434.85843254786306</v>
      </c>
      <c r="AC18" s="134">
        <v>0</v>
      </c>
      <c r="AD18" s="3">
        <v>0</v>
      </c>
      <c r="AE18" s="3">
        <v>0</v>
      </c>
      <c r="AF18" s="3">
        <v>0</v>
      </c>
      <c r="AG18" s="3">
        <f t="shared" si="2"/>
        <v>0</v>
      </c>
      <c r="AH18" s="3">
        <v>0</v>
      </c>
      <c r="AI18" s="43">
        <f t="shared" si="3"/>
        <v>0</v>
      </c>
      <c r="AJ18" s="142">
        <v>443.25999999998749</v>
      </c>
      <c r="AK18" s="3">
        <v>4432599.9999998752</v>
      </c>
      <c r="AL18" s="39">
        <f t="shared" si="4"/>
        <v>341.5975074155524</v>
      </c>
      <c r="AM18" s="7"/>
    </row>
    <row r="19" spans="1:39" x14ac:dyDescent="0.35">
      <c r="A19" s="35"/>
      <c r="B19" s="58">
        <v>8</v>
      </c>
      <c r="C19" s="149">
        <v>5</v>
      </c>
      <c r="D19" s="151">
        <v>47</v>
      </c>
      <c r="E19" s="106">
        <v>10360.000000000127</v>
      </c>
      <c r="F19" s="3">
        <v>10730680.800000131</v>
      </c>
      <c r="G19" s="37">
        <v>2080.0000000000409</v>
      </c>
      <c r="H19" s="3">
        <v>3231633.6000000639</v>
      </c>
      <c r="I19" s="103">
        <f t="shared" si="5"/>
        <v>13962314.400000196</v>
      </c>
      <c r="J19" s="106">
        <v>1400.0000000000341</v>
      </c>
      <c r="K19" s="3">
        <v>1450092.0000000354</v>
      </c>
      <c r="L19" s="188">
        <v>359.99999999999943</v>
      </c>
      <c r="M19" s="189">
        <v>559321.19999999914</v>
      </c>
      <c r="N19" s="94">
        <f t="shared" si="6"/>
        <v>2009413.2000000346</v>
      </c>
      <c r="O19" s="108">
        <f t="shared" si="7"/>
        <v>15971727.600000231</v>
      </c>
      <c r="P19" s="111">
        <f t="shared" si="8"/>
        <v>14200.000000000202</v>
      </c>
      <c r="Q19" s="193"/>
      <c r="R19" s="204"/>
      <c r="S19" s="217"/>
      <c r="T19" s="214"/>
      <c r="U19" s="212">
        <v>0</v>
      </c>
      <c r="V19" s="190">
        <f t="shared" si="9"/>
        <v>763.62</v>
      </c>
      <c r="W19" s="3">
        <v>169.1</v>
      </c>
      <c r="X19" s="3">
        <v>3038811.55</v>
      </c>
      <c r="Y19" s="33">
        <v>594.52</v>
      </c>
      <c r="Z19" s="33">
        <v>2523844.4136000001</v>
      </c>
      <c r="AA19" s="33">
        <f t="shared" si="0"/>
        <v>5562655.9636000004</v>
      </c>
      <c r="AB19" s="128">
        <f t="shared" si="1"/>
        <v>428.68506334342629</v>
      </c>
      <c r="AC19" s="134">
        <v>0</v>
      </c>
      <c r="AD19" s="3">
        <v>0</v>
      </c>
      <c r="AE19" s="3">
        <v>0</v>
      </c>
      <c r="AF19" s="3">
        <v>12</v>
      </c>
      <c r="AG19" s="3">
        <f t="shared" si="2"/>
        <v>12</v>
      </c>
      <c r="AH19" s="3">
        <v>137500</v>
      </c>
      <c r="AI19" s="43">
        <f t="shared" si="3"/>
        <v>10.596412324513778</v>
      </c>
      <c r="AJ19" s="142">
        <v>107.88000000000466</v>
      </c>
      <c r="AK19" s="3">
        <v>1078800.0000000466</v>
      </c>
      <c r="AL19" s="39">
        <f t="shared" si="4"/>
        <v>83.137524477716056</v>
      </c>
      <c r="AM19" s="7"/>
    </row>
    <row r="20" spans="1:39" x14ac:dyDescent="0.35">
      <c r="A20" s="35"/>
      <c r="B20" s="58">
        <v>9</v>
      </c>
      <c r="C20" s="149">
        <v>5</v>
      </c>
      <c r="D20" s="151">
        <v>47</v>
      </c>
      <c r="E20" s="106">
        <v>10360.000000000127</v>
      </c>
      <c r="F20" s="3">
        <v>10730680.800000131</v>
      </c>
      <c r="G20" s="37">
        <v>2063.9999999999645</v>
      </c>
      <c r="H20" s="3">
        <v>3206774.8799999449</v>
      </c>
      <c r="I20" s="103">
        <f t="shared" si="5"/>
        <v>13937455.680000076</v>
      </c>
      <c r="J20" s="106">
        <v>1420.0000000000159</v>
      </c>
      <c r="K20" s="3">
        <v>1470807.6000000164</v>
      </c>
      <c r="L20" s="188">
        <v>359.99999999999943</v>
      </c>
      <c r="M20" s="189">
        <v>559321.19999999914</v>
      </c>
      <c r="N20" s="94">
        <f t="shared" si="6"/>
        <v>2030128.8000000156</v>
      </c>
      <c r="O20" s="108">
        <f t="shared" si="7"/>
        <v>15967584.480000092</v>
      </c>
      <c r="P20" s="111">
        <f t="shared" si="8"/>
        <v>14204.000000000107</v>
      </c>
      <c r="Q20" s="193"/>
      <c r="R20" s="204"/>
      <c r="S20" s="217"/>
      <c r="T20" s="214"/>
      <c r="U20" s="212">
        <v>0</v>
      </c>
      <c r="V20" s="190">
        <f t="shared" si="9"/>
        <v>773.41000000000008</v>
      </c>
      <c r="W20" s="3">
        <v>160.19999999999999</v>
      </c>
      <c r="X20" s="3">
        <v>2878874.0999999996</v>
      </c>
      <c r="Y20" s="33">
        <v>613.21</v>
      </c>
      <c r="Z20" s="33">
        <v>2603186.8278000006</v>
      </c>
      <c r="AA20" s="33">
        <f t="shared" si="0"/>
        <v>5482060.9277999997</v>
      </c>
      <c r="AB20" s="128">
        <f t="shared" si="1"/>
        <v>422.47402166600261</v>
      </c>
      <c r="AC20" s="134">
        <v>0</v>
      </c>
      <c r="AD20" s="3">
        <v>0</v>
      </c>
      <c r="AE20" s="3">
        <v>0</v>
      </c>
      <c r="AF20" s="3">
        <v>0</v>
      </c>
      <c r="AG20" s="3">
        <f t="shared" si="2"/>
        <v>0</v>
      </c>
      <c r="AH20" s="3">
        <v>0</v>
      </c>
      <c r="AI20" s="43">
        <f t="shared" si="3"/>
        <v>0</v>
      </c>
      <c r="AJ20" s="142">
        <v>404.05999999999767</v>
      </c>
      <c r="AK20" s="3">
        <v>4040599.9999999767</v>
      </c>
      <c r="AL20" s="39">
        <f t="shared" si="4"/>
        <v>311.38809918858277</v>
      </c>
      <c r="AM20" s="7"/>
    </row>
    <row r="21" spans="1:39" x14ac:dyDescent="0.35">
      <c r="A21" s="35"/>
      <c r="B21" s="58">
        <v>10</v>
      </c>
      <c r="C21" s="149">
        <v>3</v>
      </c>
      <c r="D21" s="151">
        <v>34</v>
      </c>
      <c r="E21" s="106">
        <v>10639.999999999873</v>
      </c>
      <c r="F21" s="3">
        <v>11020699.199999867</v>
      </c>
      <c r="G21" s="37">
        <v>2015.9999999999627</v>
      </c>
      <c r="H21" s="3">
        <v>3132198.719999942</v>
      </c>
      <c r="I21" s="103">
        <f t="shared" si="5"/>
        <v>14152897.919999808</v>
      </c>
      <c r="J21" s="106">
        <v>1419.9999999999591</v>
      </c>
      <c r="K21" s="3">
        <v>1470807.5999999575</v>
      </c>
      <c r="L21" s="188">
        <v>380.00000000000966</v>
      </c>
      <c r="M21" s="189">
        <v>590394.60000001499</v>
      </c>
      <c r="N21" s="94">
        <f t="shared" si="6"/>
        <v>2061202.1999999725</v>
      </c>
      <c r="O21" s="108">
        <f t="shared" si="7"/>
        <v>16214100.119999781</v>
      </c>
      <c r="P21" s="111">
        <f t="shared" si="8"/>
        <v>14455.999999999804</v>
      </c>
      <c r="Q21" s="193"/>
      <c r="R21" s="204"/>
      <c r="S21" s="217"/>
      <c r="T21" s="214"/>
      <c r="U21" s="212">
        <v>0</v>
      </c>
      <c r="V21" s="190">
        <f t="shared" si="9"/>
        <v>740.48</v>
      </c>
      <c r="W21" s="3">
        <v>146.85</v>
      </c>
      <c r="X21" s="3">
        <v>2638967.9249999998</v>
      </c>
      <c r="Y21" s="33">
        <v>593.63</v>
      </c>
      <c r="Z21" s="33">
        <v>2520066.2034</v>
      </c>
      <c r="AA21" s="33">
        <f t="shared" si="0"/>
        <v>5159034.1283999998</v>
      </c>
      <c r="AB21" s="128">
        <f t="shared" si="1"/>
        <v>397.58002051465422</v>
      </c>
      <c r="AC21" s="134">
        <v>0</v>
      </c>
      <c r="AD21" s="3">
        <v>0</v>
      </c>
      <c r="AE21" s="3">
        <v>0</v>
      </c>
      <c r="AF21" s="3">
        <v>0</v>
      </c>
      <c r="AG21" s="3">
        <f t="shared" si="2"/>
        <v>0</v>
      </c>
      <c r="AH21" s="3">
        <v>0</v>
      </c>
      <c r="AI21" s="43">
        <f t="shared" si="3"/>
        <v>0</v>
      </c>
      <c r="AJ21" s="142">
        <v>62.839999999996508</v>
      </c>
      <c r="AK21" s="3">
        <v>628399.99999996508</v>
      </c>
      <c r="AL21" s="39">
        <f t="shared" si="4"/>
        <v>48.427530943447913</v>
      </c>
      <c r="AM21" s="7"/>
    </row>
    <row r="22" spans="1:39" x14ac:dyDescent="0.35">
      <c r="A22" s="35"/>
      <c r="B22" s="58">
        <v>11</v>
      </c>
      <c r="C22" s="149">
        <v>3</v>
      </c>
      <c r="D22" s="151">
        <v>39</v>
      </c>
      <c r="E22" s="106">
        <v>11480.000000000018</v>
      </c>
      <c r="F22" s="3">
        <v>11890754.400000019</v>
      </c>
      <c r="G22" s="37">
        <v>2080.0000000000409</v>
      </c>
      <c r="H22" s="3">
        <v>3231633.6000000639</v>
      </c>
      <c r="I22" s="103">
        <f t="shared" si="5"/>
        <v>15122388.000000082</v>
      </c>
      <c r="J22" s="106">
        <v>1439.9999999999977</v>
      </c>
      <c r="K22" s="3">
        <v>1491523.1999999976</v>
      </c>
      <c r="L22" s="188">
        <v>339.9999999999892</v>
      </c>
      <c r="M22" s="189">
        <v>528247.79999998328</v>
      </c>
      <c r="N22" s="94">
        <f t="shared" si="6"/>
        <v>2019770.9999999809</v>
      </c>
      <c r="O22" s="108">
        <f t="shared" si="7"/>
        <v>17142159.000000063</v>
      </c>
      <c r="P22" s="111">
        <f t="shared" si="8"/>
        <v>15340.000000000045</v>
      </c>
      <c r="Q22" s="193"/>
      <c r="R22" s="204"/>
      <c r="S22" s="217"/>
      <c r="T22" s="214"/>
      <c r="U22" s="212">
        <v>0</v>
      </c>
      <c r="V22" s="190">
        <f t="shared" si="9"/>
        <v>695.09</v>
      </c>
      <c r="W22" s="3">
        <v>79.210000000000008</v>
      </c>
      <c r="X22" s="3">
        <v>1423443.3050000002</v>
      </c>
      <c r="Y22" s="33">
        <v>615.88</v>
      </c>
      <c r="Z22" s="33">
        <v>2614521.4584000004</v>
      </c>
      <c r="AA22" s="33">
        <f t="shared" si="0"/>
        <v>4037964.7634000005</v>
      </c>
      <c r="AB22" s="128">
        <f t="shared" si="1"/>
        <v>311.18501516250274</v>
      </c>
      <c r="AC22" s="134">
        <v>0</v>
      </c>
      <c r="AD22" s="3">
        <v>0</v>
      </c>
      <c r="AE22" s="3">
        <v>0</v>
      </c>
      <c r="AF22" s="3">
        <v>0</v>
      </c>
      <c r="AG22" s="3">
        <f t="shared" si="2"/>
        <v>0</v>
      </c>
      <c r="AH22" s="3">
        <v>0</v>
      </c>
      <c r="AI22" s="43">
        <f t="shared" si="3"/>
        <v>0</v>
      </c>
      <c r="AJ22" s="142">
        <v>50.940000000002328</v>
      </c>
      <c r="AK22" s="3">
        <v>509400.00000002328</v>
      </c>
      <c r="AL22" s="39">
        <f t="shared" si="4"/>
        <v>39.256817731691385</v>
      </c>
      <c r="AM22" s="7"/>
    </row>
    <row r="23" spans="1:39" x14ac:dyDescent="0.35">
      <c r="A23" s="35"/>
      <c r="B23" s="58">
        <v>12</v>
      </c>
      <c r="C23" s="149">
        <v>3</v>
      </c>
      <c r="D23" s="151">
        <v>39</v>
      </c>
      <c r="E23" s="106">
        <v>8760.0000000002183</v>
      </c>
      <c r="F23" s="3">
        <v>9073432.8000002261</v>
      </c>
      <c r="G23" s="37">
        <v>2000</v>
      </c>
      <c r="H23" s="3">
        <v>3107340</v>
      </c>
      <c r="I23" s="103">
        <f t="shared" si="5"/>
        <v>12180772.800000226</v>
      </c>
      <c r="J23" s="106">
        <v>1400.0000000000341</v>
      </c>
      <c r="K23" s="3">
        <v>1450092.0000000354</v>
      </c>
      <c r="L23" s="188">
        <v>359.99999999999943</v>
      </c>
      <c r="M23" s="189">
        <v>559321.19999999914</v>
      </c>
      <c r="N23" s="94">
        <f t="shared" si="6"/>
        <v>2009413.2000000346</v>
      </c>
      <c r="O23" s="108">
        <f t="shared" si="7"/>
        <v>14190186.000000261</v>
      </c>
      <c r="P23" s="111">
        <f t="shared" si="8"/>
        <v>12520.000000000251</v>
      </c>
      <c r="Q23" s="193"/>
      <c r="R23" s="204"/>
      <c r="S23" s="217"/>
      <c r="T23" s="214"/>
      <c r="U23" s="212">
        <v>0</v>
      </c>
      <c r="V23" s="190">
        <f t="shared" si="9"/>
        <v>591.85</v>
      </c>
      <c r="W23" s="3">
        <v>0</v>
      </c>
      <c r="X23" s="3">
        <v>0</v>
      </c>
      <c r="Y23" s="33">
        <v>591.85</v>
      </c>
      <c r="Z23" s="33">
        <v>2512509.7830000003</v>
      </c>
      <c r="AA23" s="33">
        <f t="shared" si="0"/>
        <v>2512509.7830000003</v>
      </c>
      <c r="AB23" s="128">
        <f t="shared" si="1"/>
        <v>193.62610640031014</v>
      </c>
      <c r="AC23" s="134">
        <v>0</v>
      </c>
      <c r="AD23" s="3">
        <v>0</v>
      </c>
      <c r="AE23" s="3">
        <v>0</v>
      </c>
      <c r="AF23" s="3">
        <v>0</v>
      </c>
      <c r="AG23" s="3">
        <f t="shared" si="2"/>
        <v>0</v>
      </c>
      <c r="AH23" s="3">
        <v>0</v>
      </c>
      <c r="AI23" s="43">
        <f t="shared" si="3"/>
        <v>0</v>
      </c>
      <c r="AJ23" s="142">
        <v>433.72000000000116</v>
      </c>
      <c r="AK23" s="3">
        <v>4337200.0000000112</v>
      </c>
      <c r="AL23" s="39">
        <f t="shared" si="4"/>
        <v>334.24552388277294</v>
      </c>
      <c r="AM23" s="7"/>
    </row>
    <row r="24" spans="1:39" x14ac:dyDescent="0.35">
      <c r="A24" s="35"/>
      <c r="B24" s="58">
        <v>13</v>
      </c>
      <c r="C24" s="149">
        <v>2</v>
      </c>
      <c r="D24" s="151">
        <v>29</v>
      </c>
      <c r="E24" s="106">
        <v>9839.9999999996908</v>
      </c>
      <c r="F24" s="3">
        <v>10192075.199999679</v>
      </c>
      <c r="G24" s="37">
        <v>1879.9999999999955</v>
      </c>
      <c r="H24" s="3">
        <v>2920899.5999999931</v>
      </c>
      <c r="I24" s="103">
        <f t="shared" si="5"/>
        <v>13112974.799999673</v>
      </c>
      <c r="J24" s="106">
        <v>1319.9999999999932</v>
      </c>
      <c r="K24" s="3">
        <v>1367229.5999999929</v>
      </c>
      <c r="L24" s="188">
        <v>300.00000000001137</v>
      </c>
      <c r="M24" s="189">
        <v>466101.0000000177</v>
      </c>
      <c r="N24" s="94">
        <f t="shared" si="6"/>
        <v>1833330.6000000106</v>
      </c>
      <c r="O24" s="108">
        <f t="shared" si="7"/>
        <v>14946305.399999684</v>
      </c>
      <c r="P24" s="111">
        <f t="shared" si="8"/>
        <v>13339.999999999691</v>
      </c>
      <c r="Q24" s="193"/>
      <c r="R24" s="204"/>
      <c r="S24" s="217"/>
      <c r="T24" s="214"/>
      <c r="U24" s="212">
        <v>0</v>
      </c>
      <c r="V24" s="190">
        <f>Y24+W24</f>
        <v>666.61</v>
      </c>
      <c r="W24" s="3">
        <v>124.60000000000001</v>
      </c>
      <c r="X24" s="3">
        <v>2239124.3000000003</v>
      </c>
      <c r="Y24" s="33">
        <v>542.01</v>
      </c>
      <c r="Z24" s="33">
        <v>2300930.0118</v>
      </c>
      <c r="AA24" s="33">
        <f t="shared" si="0"/>
        <v>4540054.3118000003</v>
      </c>
      <c r="AB24" s="128">
        <f t="shared" si="1"/>
        <v>349.8784542801414</v>
      </c>
      <c r="AC24" s="134">
        <v>0</v>
      </c>
      <c r="AD24" s="3">
        <v>0</v>
      </c>
      <c r="AE24" s="3">
        <v>0</v>
      </c>
      <c r="AF24" s="3">
        <v>24</v>
      </c>
      <c r="AG24" s="3">
        <f t="shared" si="2"/>
        <v>24</v>
      </c>
      <c r="AH24" s="3">
        <v>275000</v>
      </c>
      <c r="AI24" s="43">
        <f t="shared" si="3"/>
        <v>21.192824649027557</v>
      </c>
      <c r="AJ24" s="142">
        <v>189.58999999999651</v>
      </c>
      <c r="AK24" s="3">
        <v>1895899.9999999651</v>
      </c>
      <c r="AL24" s="39">
        <f t="shared" si="4"/>
        <v>146.10718637123856</v>
      </c>
      <c r="AM24" s="7"/>
    </row>
    <row r="25" spans="1:39" x14ac:dyDescent="0.35">
      <c r="A25" s="35"/>
      <c r="B25" s="58">
        <v>14</v>
      </c>
      <c r="C25" s="149">
        <v>3</v>
      </c>
      <c r="D25" s="151">
        <v>20</v>
      </c>
      <c r="E25" s="106">
        <v>9960.0000000000364</v>
      </c>
      <c r="F25" s="3">
        <v>10316368.800000038</v>
      </c>
      <c r="G25" s="37">
        <v>1879.9999999999955</v>
      </c>
      <c r="H25" s="3">
        <v>2920899.5999999931</v>
      </c>
      <c r="I25" s="103">
        <f t="shared" si="5"/>
        <v>13237268.400000032</v>
      </c>
      <c r="J25" s="106">
        <v>1279.9999999999727</v>
      </c>
      <c r="K25" s="3">
        <v>1325798.3999999717</v>
      </c>
      <c r="L25" s="188">
        <v>339.9999999999892</v>
      </c>
      <c r="M25" s="189">
        <v>528247.79999998328</v>
      </c>
      <c r="N25" s="94">
        <f t="shared" si="6"/>
        <v>1854046.199999955</v>
      </c>
      <c r="O25" s="108">
        <f t="shared" si="7"/>
        <v>15091314.599999987</v>
      </c>
      <c r="P25" s="111">
        <f t="shared" si="8"/>
        <v>13459.999999999993</v>
      </c>
      <c r="Q25" s="193"/>
      <c r="R25" s="204"/>
      <c r="S25" s="217"/>
      <c r="T25" s="214"/>
      <c r="U25" s="212">
        <v>0</v>
      </c>
      <c r="V25" s="190">
        <f t="shared" si="9"/>
        <v>675.51</v>
      </c>
      <c r="W25" s="3">
        <v>135.28</v>
      </c>
      <c r="X25" s="3">
        <v>2431049.2400000002</v>
      </c>
      <c r="Y25" s="33">
        <v>540.23</v>
      </c>
      <c r="Z25" s="33">
        <v>2293373.5914000003</v>
      </c>
      <c r="AA25" s="33">
        <f t="shared" si="0"/>
        <v>4724422.8314000005</v>
      </c>
      <c r="AB25" s="128">
        <f t="shared" si="1"/>
        <v>364.08678048626359</v>
      </c>
      <c r="AC25" s="134">
        <v>0</v>
      </c>
      <c r="AD25" s="3">
        <v>0</v>
      </c>
      <c r="AE25" s="3">
        <v>0</v>
      </c>
      <c r="AF25" s="3">
        <v>12</v>
      </c>
      <c r="AG25" s="3">
        <f t="shared" si="2"/>
        <v>12</v>
      </c>
      <c r="AH25" s="3">
        <v>137500</v>
      </c>
      <c r="AI25" s="43">
        <f t="shared" si="3"/>
        <v>10.596412324513778</v>
      </c>
      <c r="AJ25" s="142">
        <v>304.49000000000524</v>
      </c>
      <c r="AK25" s="3">
        <v>3044900.0000000522</v>
      </c>
      <c r="AL25" s="39">
        <f t="shared" si="4"/>
        <v>234.65466099572768</v>
      </c>
      <c r="AM25" s="7"/>
    </row>
    <row r="26" spans="1:39" x14ac:dyDescent="0.35">
      <c r="A26" s="35"/>
      <c r="B26" s="58">
        <v>15</v>
      </c>
      <c r="C26" s="149">
        <v>3</v>
      </c>
      <c r="D26" s="151">
        <v>22</v>
      </c>
      <c r="E26" s="106">
        <v>10119.999999999891</v>
      </c>
      <c r="F26" s="3">
        <v>10482093.599999886</v>
      </c>
      <c r="G26" s="37">
        <v>2240.0000000000091</v>
      </c>
      <c r="H26" s="3">
        <v>3480220.8000000142</v>
      </c>
      <c r="I26" s="103">
        <f t="shared" si="5"/>
        <v>13962314.3999999</v>
      </c>
      <c r="J26" s="106">
        <v>1360.0000000000136</v>
      </c>
      <c r="K26" s="3">
        <v>1408660.800000014</v>
      </c>
      <c r="L26" s="188">
        <v>359.99999999999943</v>
      </c>
      <c r="M26" s="189">
        <v>559321.19999999914</v>
      </c>
      <c r="N26" s="94">
        <f t="shared" si="6"/>
        <v>1967982.000000013</v>
      </c>
      <c r="O26" s="108">
        <f t="shared" si="7"/>
        <v>15930296.399999913</v>
      </c>
      <c r="P26" s="111">
        <f t="shared" si="8"/>
        <v>14079.999999999913</v>
      </c>
      <c r="Q26" s="193"/>
      <c r="R26" s="204"/>
      <c r="S26" s="217"/>
      <c r="T26" s="214"/>
      <c r="U26" s="212">
        <v>0</v>
      </c>
      <c r="V26" s="190">
        <f t="shared" si="9"/>
        <v>695.98</v>
      </c>
      <c r="W26" s="3">
        <v>133.5</v>
      </c>
      <c r="X26" s="3">
        <v>2399061.75</v>
      </c>
      <c r="Y26" s="33">
        <v>562.48</v>
      </c>
      <c r="Z26" s="33">
        <v>2387828.8464000002</v>
      </c>
      <c r="AA26" s="33">
        <f t="shared" si="0"/>
        <v>4786890.5964000002</v>
      </c>
      <c r="AB26" s="128">
        <f t="shared" si="1"/>
        <v>368.90084735848779</v>
      </c>
      <c r="AC26" s="134">
        <v>0</v>
      </c>
      <c r="AD26" s="3">
        <v>0</v>
      </c>
      <c r="AE26" s="3">
        <v>400</v>
      </c>
      <c r="AF26" s="3">
        <v>0</v>
      </c>
      <c r="AG26" s="3">
        <f t="shared" si="2"/>
        <v>400</v>
      </c>
      <c r="AH26" s="3">
        <v>5168000</v>
      </c>
      <c r="AI26" s="43">
        <f t="shared" si="3"/>
        <v>398.27097376790698</v>
      </c>
      <c r="AJ26" s="142">
        <v>363.93000000000029</v>
      </c>
      <c r="AK26" s="3">
        <v>3639300.0000000028</v>
      </c>
      <c r="AL26" s="39">
        <f t="shared" si="4"/>
        <v>280.46198816438562</v>
      </c>
      <c r="AM26" s="7"/>
    </row>
    <row r="27" spans="1:39" x14ac:dyDescent="0.35">
      <c r="A27" s="35"/>
      <c r="B27" s="58">
        <v>16</v>
      </c>
      <c r="C27" s="149">
        <v>5</v>
      </c>
      <c r="D27" s="151">
        <v>28</v>
      </c>
      <c r="E27" s="106">
        <v>10320.000000000164</v>
      </c>
      <c r="F27" s="3">
        <v>10689249.600000169</v>
      </c>
      <c r="G27" s="37">
        <v>2000</v>
      </c>
      <c r="H27" s="3">
        <v>3107340</v>
      </c>
      <c r="I27" s="103">
        <f t="shared" si="5"/>
        <v>13796589.600000169</v>
      </c>
      <c r="J27" s="106">
        <v>1360.0000000000136</v>
      </c>
      <c r="K27" s="3">
        <v>1408660.800000014</v>
      </c>
      <c r="L27" s="188">
        <v>340.00000000000341</v>
      </c>
      <c r="M27" s="189">
        <v>528247.80000000529</v>
      </c>
      <c r="N27" s="94">
        <f t="shared" si="6"/>
        <v>1936908.6000000192</v>
      </c>
      <c r="O27" s="108">
        <f t="shared" si="7"/>
        <v>15733498.200000189</v>
      </c>
      <c r="P27" s="111">
        <f t="shared" si="8"/>
        <v>14020.000000000182</v>
      </c>
      <c r="Q27" s="193"/>
      <c r="R27" s="204"/>
      <c r="S27" s="217"/>
      <c r="T27" s="214"/>
      <c r="U27" s="212">
        <v>0</v>
      </c>
      <c r="V27" s="190">
        <f t="shared" si="9"/>
        <v>694.2</v>
      </c>
      <c r="W27" s="3">
        <v>133.5</v>
      </c>
      <c r="X27" s="3">
        <v>2399061.75</v>
      </c>
      <c r="Y27" s="33">
        <v>560.70000000000005</v>
      </c>
      <c r="Z27" s="33">
        <v>2380272.4260000004</v>
      </c>
      <c r="AA27" s="33">
        <f t="shared" si="0"/>
        <v>4779334.1760000009</v>
      </c>
      <c r="AB27" s="128">
        <f t="shared" si="1"/>
        <v>368.31851320390047</v>
      </c>
      <c r="AC27" s="134">
        <v>0</v>
      </c>
      <c r="AD27" s="3">
        <v>0</v>
      </c>
      <c r="AE27" s="3">
        <v>0</v>
      </c>
      <c r="AF27" s="3">
        <v>12</v>
      </c>
      <c r="AG27" s="3">
        <f t="shared" si="2"/>
        <v>12</v>
      </c>
      <c r="AH27" s="3">
        <v>137500</v>
      </c>
      <c r="AI27" s="43">
        <f t="shared" si="3"/>
        <v>10.596412324513778</v>
      </c>
      <c r="AJ27" s="142">
        <v>409.75</v>
      </c>
      <c r="AK27" s="3">
        <v>4097500</v>
      </c>
      <c r="AL27" s="39">
        <f t="shared" si="4"/>
        <v>315.77308727051059</v>
      </c>
      <c r="AM27" s="7"/>
    </row>
    <row r="28" spans="1:39" x14ac:dyDescent="0.35">
      <c r="A28" s="35"/>
      <c r="B28" s="58">
        <v>17</v>
      </c>
      <c r="C28" s="149">
        <v>6</v>
      </c>
      <c r="D28" s="151">
        <v>38</v>
      </c>
      <c r="E28" s="106">
        <v>9400.0000000000909</v>
      </c>
      <c r="F28" s="3">
        <v>9736332.0000000931</v>
      </c>
      <c r="G28" s="37">
        <v>2120.0000000000045</v>
      </c>
      <c r="H28" s="3">
        <v>3293780.4000000074</v>
      </c>
      <c r="I28" s="103">
        <f t="shared" si="5"/>
        <v>13030112.400000101</v>
      </c>
      <c r="J28" s="106">
        <v>1319.9999999999932</v>
      </c>
      <c r="K28" s="3">
        <v>1367229.5999999929</v>
      </c>
      <c r="L28" s="188">
        <v>359.99999999999943</v>
      </c>
      <c r="M28" s="189">
        <v>559321.19999999914</v>
      </c>
      <c r="N28" s="94">
        <f t="shared" si="6"/>
        <v>1926550.7999999919</v>
      </c>
      <c r="O28" s="108">
        <f t="shared" si="7"/>
        <v>14956663.200000092</v>
      </c>
      <c r="P28" s="111">
        <f t="shared" si="8"/>
        <v>13200.000000000087</v>
      </c>
      <c r="Q28" s="193"/>
      <c r="R28" s="206"/>
      <c r="S28" s="217"/>
      <c r="T28" s="214"/>
      <c r="U28" s="212">
        <v>0</v>
      </c>
      <c r="V28" s="190">
        <f t="shared" si="9"/>
        <v>709.33</v>
      </c>
      <c r="W28" s="3">
        <v>132.61000000000001</v>
      </c>
      <c r="X28" s="3">
        <v>2383068.0050000004</v>
      </c>
      <c r="Y28" s="33">
        <v>576.72</v>
      </c>
      <c r="Z28" s="33">
        <v>2448280.2096000002</v>
      </c>
      <c r="AA28" s="33">
        <f t="shared" si="0"/>
        <v>4831348.2146000005</v>
      </c>
      <c r="AB28" s="128">
        <f t="shared" si="1"/>
        <v>372.32696556512792</v>
      </c>
      <c r="AC28" s="134">
        <v>0</v>
      </c>
      <c r="AD28" s="3">
        <v>0</v>
      </c>
      <c r="AE28" s="3">
        <v>0</v>
      </c>
      <c r="AF28" s="3">
        <v>12</v>
      </c>
      <c r="AG28" s="3">
        <f t="shared" si="2"/>
        <v>12</v>
      </c>
      <c r="AH28" s="3">
        <v>137500</v>
      </c>
      <c r="AI28" s="43">
        <f t="shared" si="3"/>
        <v>10.596412324513778</v>
      </c>
      <c r="AJ28" s="142">
        <v>369.94999999999709</v>
      </c>
      <c r="AK28" s="3">
        <v>3699499.9999999711</v>
      </c>
      <c r="AL28" s="39">
        <f t="shared" si="4"/>
        <v>285.10129014209758</v>
      </c>
      <c r="AM28" s="7"/>
    </row>
    <row r="29" spans="1:39" x14ac:dyDescent="0.35">
      <c r="A29" s="35"/>
      <c r="B29" s="58">
        <v>18</v>
      </c>
      <c r="C29" s="149">
        <v>5</v>
      </c>
      <c r="D29" s="151">
        <v>46</v>
      </c>
      <c r="E29" s="106">
        <v>9960.0000000000364</v>
      </c>
      <c r="F29" s="3">
        <v>10316368.800000038</v>
      </c>
      <c r="G29" s="37">
        <v>1799.9999999999545</v>
      </c>
      <c r="H29" s="3">
        <v>2796605.9999999297</v>
      </c>
      <c r="I29" s="103">
        <f t="shared" si="5"/>
        <v>13112974.799999967</v>
      </c>
      <c r="J29" s="106">
        <v>1420.0000000000159</v>
      </c>
      <c r="K29" s="3">
        <v>1470807.6000000164</v>
      </c>
      <c r="L29" s="188">
        <v>320.00000000000739</v>
      </c>
      <c r="M29" s="189">
        <v>497174.40000001149</v>
      </c>
      <c r="N29" s="94">
        <f t="shared" si="6"/>
        <v>1967982.0000000279</v>
      </c>
      <c r="O29" s="108">
        <f t="shared" si="7"/>
        <v>15080956.799999995</v>
      </c>
      <c r="P29" s="111">
        <f t="shared" si="8"/>
        <v>13500.000000000015</v>
      </c>
      <c r="Q29" s="194"/>
      <c r="R29" s="207"/>
      <c r="S29" s="217"/>
      <c r="T29" s="214"/>
      <c r="U29" s="212">
        <v>0</v>
      </c>
      <c r="V29" s="190">
        <f t="shared" si="9"/>
        <v>671.95</v>
      </c>
      <c r="W29" s="3">
        <v>134.39000000000001</v>
      </c>
      <c r="X29" s="3">
        <v>2415055.4950000001</v>
      </c>
      <c r="Y29" s="33">
        <v>537.56000000000006</v>
      </c>
      <c r="Z29" s="33">
        <v>2282038.9608000005</v>
      </c>
      <c r="AA29" s="33">
        <f t="shared" si="0"/>
        <v>4697094.4558000006</v>
      </c>
      <c r="AB29" s="128">
        <f t="shared" si="1"/>
        <v>361.98072422432341</v>
      </c>
      <c r="AC29" s="134">
        <v>0</v>
      </c>
      <c r="AD29" s="3">
        <v>0</v>
      </c>
      <c r="AE29" s="3">
        <v>0</v>
      </c>
      <c r="AF29" s="3">
        <v>0</v>
      </c>
      <c r="AG29" s="3">
        <f t="shared" si="2"/>
        <v>0</v>
      </c>
      <c r="AH29" s="3">
        <v>0</v>
      </c>
      <c r="AI29" s="43">
        <f t="shared" si="3"/>
        <v>0</v>
      </c>
      <c r="AJ29" s="142">
        <v>225.97000000000116</v>
      </c>
      <c r="AK29" s="3">
        <v>2259700.0000000116</v>
      </c>
      <c r="AL29" s="39">
        <f t="shared" si="4"/>
        <v>174.14336676148298</v>
      </c>
      <c r="AM29" s="7"/>
    </row>
    <row r="30" spans="1:39" x14ac:dyDescent="0.35">
      <c r="A30" s="35"/>
      <c r="B30" s="58">
        <v>19</v>
      </c>
      <c r="C30" s="149">
        <v>2</v>
      </c>
      <c r="D30" s="151">
        <v>22</v>
      </c>
      <c r="E30" s="106">
        <v>9519.9999999999818</v>
      </c>
      <c r="F30" s="3">
        <v>9860625.599999981</v>
      </c>
      <c r="G30" s="37">
        <v>1879.9999999999955</v>
      </c>
      <c r="H30" s="3">
        <v>2920899.5999999931</v>
      </c>
      <c r="I30" s="103">
        <f t="shared" si="5"/>
        <v>12781525.199999973</v>
      </c>
      <c r="J30" s="106">
        <v>1359.9999999999568</v>
      </c>
      <c r="K30" s="3">
        <v>1408660.7999999551</v>
      </c>
      <c r="L30" s="188">
        <v>319.99999999999318</v>
      </c>
      <c r="M30" s="189">
        <v>497174.39999998943</v>
      </c>
      <c r="N30" s="94">
        <f t="shared" si="6"/>
        <v>1905835.1999999445</v>
      </c>
      <c r="O30" s="108">
        <f t="shared" si="7"/>
        <v>14687360.399999918</v>
      </c>
      <c r="P30" s="111">
        <f t="shared" si="8"/>
        <v>13079.999999999927</v>
      </c>
      <c r="Q30" s="193"/>
      <c r="R30" s="206"/>
      <c r="S30" s="217"/>
      <c r="T30" s="214"/>
      <c r="U30" s="212">
        <v>0</v>
      </c>
      <c r="V30" s="190">
        <f t="shared" si="9"/>
        <v>696.87</v>
      </c>
      <c r="W30" s="3">
        <v>133.5</v>
      </c>
      <c r="X30" s="3">
        <v>2399061.75</v>
      </c>
      <c r="Y30" s="33">
        <v>563.37</v>
      </c>
      <c r="Z30" s="33">
        <v>2391607.0566000002</v>
      </c>
      <c r="AA30" s="33">
        <f t="shared" si="0"/>
        <v>4790668.8066000007</v>
      </c>
      <c r="AB30" s="128">
        <f t="shared" si="1"/>
        <v>369.19201443578157</v>
      </c>
      <c r="AC30" s="134">
        <v>0</v>
      </c>
      <c r="AD30" s="3">
        <v>0</v>
      </c>
      <c r="AE30" s="3">
        <v>50</v>
      </c>
      <c r="AF30" s="3">
        <v>0</v>
      </c>
      <c r="AG30" s="3">
        <f t="shared" si="2"/>
        <v>50</v>
      </c>
      <c r="AH30" s="3">
        <v>646000</v>
      </c>
      <c r="AI30" s="43">
        <f t="shared" si="3"/>
        <v>49.783871720988373</v>
      </c>
      <c r="AJ30" s="142">
        <v>349.65999999999622</v>
      </c>
      <c r="AK30" s="3">
        <v>3496599.9999999623</v>
      </c>
      <c r="AL30" s="39">
        <f t="shared" si="4"/>
        <v>269.46483879195983</v>
      </c>
      <c r="AM30" s="7"/>
    </row>
    <row r="31" spans="1:39" x14ac:dyDescent="0.35">
      <c r="A31" s="35"/>
      <c r="B31" s="58">
        <v>20</v>
      </c>
      <c r="C31" s="149">
        <v>1</v>
      </c>
      <c r="D31" s="151">
        <v>10</v>
      </c>
      <c r="E31" s="106">
        <v>9679.9999999998363</v>
      </c>
      <c r="F31" s="3">
        <v>10026350.399999831</v>
      </c>
      <c r="G31" s="37">
        <v>1879.9999999999955</v>
      </c>
      <c r="H31" s="3">
        <v>2920899.5999999931</v>
      </c>
      <c r="I31" s="103">
        <f t="shared" si="5"/>
        <v>12947249.999999825</v>
      </c>
      <c r="J31" s="106">
        <v>1280.0000000000296</v>
      </c>
      <c r="K31" s="3">
        <v>1325798.4000000306</v>
      </c>
      <c r="L31" s="188">
        <v>340.00000000000341</v>
      </c>
      <c r="M31" s="189">
        <v>528247.80000000529</v>
      </c>
      <c r="N31" s="94">
        <f t="shared" si="6"/>
        <v>1854046.200000036</v>
      </c>
      <c r="O31" s="108">
        <f t="shared" si="7"/>
        <v>14801296.199999861</v>
      </c>
      <c r="P31" s="111">
        <f t="shared" si="8"/>
        <v>13179.999999999865</v>
      </c>
      <c r="Q31" s="194"/>
      <c r="R31" s="207"/>
      <c r="S31" s="217"/>
      <c r="T31" s="214"/>
      <c r="U31" s="212">
        <v>0</v>
      </c>
      <c r="V31" s="190">
        <f t="shared" si="9"/>
        <v>626.55999999999995</v>
      </c>
      <c r="W31" s="3">
        <v>132.61000000000001</v>
      </c>
      <c r="X31" s="3">
        <v>2383068.0050000004</v>
      </c>
      <c r="Y31" s="33">
        <v>493.95</v>
      </c>
      <c r="Z31" s="33">
        <v>2096906.6610000001</v>
      </c>
      <c r="AA31" s="33">
        <f t="shared" si="0"/>
        <v>4479974.6660000002</v>
      </c>
      <c r="AB31" s="128">
        <f t="shared" si="1"/>
        <v>345.24842737681382</v>
      </c>
      <c r="AC31" s="134">
        <v>0</v>
      </c>
      <c r="AD31" s="3">
        <v>0</v>
      </c>
      <c r="AE31" s="3">
        <v>400</v>
      </c>
      <c r="AF31" s="3">
        <v>12</v>
      </c>
      <c r="AG31" s="3">
        <f t="shared" si="2"/>
        <v>412</v>
      </c>
      <c r="AH31" s="3">
        <v>5305500</v>
      </c>
      <c r="AI31" s="43">
        <f t="shared" si="3"/>
        <v>408.86738609242076</v>
      </c>
      <c r="AJ31" s="142">
        <v>78.100000000005821</v>
      </c>
      <c r="AK31" s="3">
        <v>781000.00000005821</v>
      </c>
      <c r="AL31" s="39">
        <f t="shared" si="4"/>
        <v>60.187622003242751</v>
      </c>
      <c r="AM31" s="7"/>
    </row>
    <row r="32" spans="1:39" x14ac:dyDescent="0.35">
      <c r="A32" s="35"/>
      <c r="B32" s="58">
        <v>21</v>
      </c>
      <c r="C32" s="149">
        <v>0</v>
      </c>
      <c r="D32" s="151">
        <v>4</v>
      </c>
      <c r="E32" s="106">
        <v>9039.9999999999636</v>
      </c>
      <c r="F32" s="3">
        <v>9363451.199999962</v>
      </c>
      <c r="G32" s="37">
        <v>1960.0000000000364</v>
      </c>
      <c r="H32" s="3">
        <v>3045193.2000000565</v>
      </c>
      <c r="I32" s="103">
        <f t="shared" si="5"/>
        <v>12408644.400000019</v>
      </c>
      <c r="J32" s="106">
        <v>1159.9999999999682</v>
      </c>
      <c r="K32" s="3">
        <v>1201504.799999967</v>
      </c>
      <c r="L32" s="188">
        <v>319.99999999999318</v>
      </c>
      <c r="M32" s="189">
        <v>497174.39999998943</v>
      </c>
      <c r="N32" s="94">
        <f>+K32+M32</f>
        <v>1698679.1999999564</v>
      </c>
      <c r="O32" s="108">
        <f t="shared" si="7"/>
        <v>14107323.599999975</v>
      </c>
      <c r="P32" s="111">
        <f t="shared" si="8"/>
        <v>12479.999999999962</v>
      </c>
      <c r="Q32" s="193"/>
      <c r="R32" s="205"/>
      <c r="S32" s="217"/>
      <c r="T32" s="214"/>
      <c r="U32" s="212">
        <v>0</v>
      </c>
      <c r="V32" s="190">
        <f t="shared" si="9"/>
        <v>596.29999999999995</v>
      </c>
      <c r="W32" s="3">
        <v>111.25</v>
      </c>
      <c r="X32" s="3">
        <v>1999218.125</v>
      </c>
      <c r="Y32" s="33">
        <v>485.05</v>
      </c>
      <c r="Z32" s="33">
        <v>2059124.5590000001</v>
      </c>
      <c r="AA32" s="33">
        <f t="shared" si="0"/>
        <v>4058342.6840000004</v>
      </c>
      <c r="AB32" s="128">
        <f t="shared" si="1"/>
        <v>312.75543588245768</v>
      </c>
      <c r="AC32" s="134">
        <v>0</v>
      </c>
      <c r="AD32" s="3">
        <v>0</v>
      </c>
      <c r="AE32" s="3">
        <v>0</v>
      </c>
      <c r="AF32" s="3">
        <v>0</v>
      </c>
      <c r="AG32" s="3">
        <f t="shared" ref="AG32:AG40" si="10">+AE32+AF32</f>
        <v>0</v>
      </c>
      <c r="AH32" s="3">
        <v>0</v>
      </c>
      <c r="AI32" s="43">
        <f t="shared" si="3"/>
        <v>0</v>
      </c>
      <c r="AJ32" s="142">
        <v>317.81999999999971</v>
      </c>
      <c r="AK32" s="3">
        <v>3178199.9999999972</v>
      </c>
      <c r="AL32" s="39">
        <f t="shared" si="4"/>
        <v>244.92740108923391</v>
      </c>
      <c r="AM32" s="7"/>
    </row>
    <row r="33" spans="1:39" x14ac:dyDescent="0.35">
      <c r="A33" s="35"/>
      <c r="B33" s="58">
        <v>22</v>
      </c>
      <c r="C33" s="149">
        <v>1</v>
      </c>
      <c r="D33" s="151">
        <v>8</v>
      </c>
      <c r="E33" s="106">
        <v>9640.0000000003274</v>
      </c>
      <c r="F33" s="3">
        <v>9984919.2000003383</v>
      </c>
      <c r="G33" s="37">
        <v>1799.9999999999545</v>
      </c>
      <c r="H33" s="3">
        <v>2796605.9999999297</v>
      </c>
      <c r="I33" s="103">
        <f t="shared" si="5"/>
        <v>12781525.200000267</v>
      </c>
      <c r="J33" s="106">
        <v>1240.0000000000091</v>
      </c>
      <c r="K33" s="3">
        <v>1284367.2000000095</v>
      </c>
      <c r="L33" s="188">
        <v>300.00000000001137</v>
      </c>
      <c r="M33" s="189">
        <v>466101.0000000177</v>
      </c>
      <c r="N33" s="94">
        <f t="shared" si="6"/>
        <v>1750468.2000000272</v>
      </c>
      <c r="O33" s="108">
        <f t="shared" si="7"/>
        <v>14531993.400000295</v>
      </c>
      <c r="P33" s="111">
        <f t="shared" si="8"/>
        <v>12980.000000000302</v>
      </c>
      <c r="Q33" s="193"/>
      <c r="R33" s="206"/>
      <c r="S33" s="217"/>
      <c r="T33" s="214"/>
      <c r="U33" s="212">
        <v>0</v>
      </c>
      <c r="V33" s="190">
        <f t="shared" si="9"/>
        <v>673.73</v>
      </c>
      <c r="W33" s="3">
        <v>112.14</v>
      </c>
      <c r="X33" s="3">
        <v>2015211.87</v>
      </c>
      <c r="Y33" s="33">
        <v>561.59</v>
      </c>
      <c r="Z33" s="33">
        <v>2384050.6362000001</v>
      </c>
      <c r="AA33" s="33">
        <f t="shared" si="0"/>
        <v>4399262.5062000006</v>
      </c>
      <c r="AB33" s="128">
        <f t="shared" si="1"/>
        <v>339.02835955977497</v>
      </c>
      <c r="AC33" s="134">
        <v>0</v>
      </c>
      <c r="AD33" s="3">
        <v>0</v>
      </c>
      <c r="AE33" s="3">
        <v>0</v>
      </c>
      <c r="AF33" s="3">
        <v>0</v>
      </c>
      <c r="AG33" s="3">
        <f t="shared" si="10"/>
        <v>0</v>
      </c>
      <c r="AH33" s="3">
        <v>0</v>
      </c>
      <c r="AI33" s="43">
        <f t="shared" si="3"/>
        <v>0</v>
      </c>
      <c r="AJ33" s="142">
        <v>80.559999999997672</v>
      </c>
      <c r="AK33" s="3">
        <v>805599.99999997672</v>
      </c>
      <c r="AL33" s="39">
        <f t="shared" si="4"/>
        <v>62.083416499113113</v>
      </c>
      <c r="AM33" s="7"/>
    </row>
    <row r="34" spans="1:39" x14ac:dyDescent="0.35">
      <c r="A34" s="35"/>
      <c r="B34" s="58">
        <v>23</v>
      </c>
      <c r="C34" s="149">
        <v>2</v>
      </c>
      <c r="D34" s="151">
        <v>18</v>
      </c>
      <c r="E34" s="106">
        <v>10079.999999999927</v>
      </c>
      <c r="F34" s="3">
        <v>10440662.399999924</v>
      </c>
      <c r="G34" s="37">
        <v>1920.0000000000728</v>
      </c>
      <c r="H34" s="3">
        <v>2983046.4000001131</v>
      </c>
      <c r="I34" s="103">
        <f t="shared" si="5"/>
        <v>13423708.800000038</v>
      </c>
      <c r="J34" s="106">
        <v>1240.0000000000091</v>
      </c>
      <c r="K34" s="3">
        <v>1284367.2000000095</v>
      </c>
      <c r="L34" s="188">
        <v>280.00000000000114</v>
      </c>
      <c r="M34" s="189">
        <v>435027.60000000178</v>
      </c>
      <c r="N34" s="94">
        <f t="shared" si="6"/>
        <v>1719394.8000000112</v>
      </c>
      <c r="O34" s="108">
        <f t="shared" si="7"/>
        <v>15143103.60000005</v>
      </c>
      <c r="P34" s="111">
        <f t="shared" si="8"/>
        <v>13520.000000000011</v>
      </c>
      <c r="Q34" s="194"/>
      <c r="R34" s="207"/>
      <c r="S34" s="217"/>
      <c r="T34" s="214"/>
      <c r="U34" s="212">
        <v>0</v>
      </c>
      <c r="V34" s="190">
        <f t="shared" si="9"/>
        <v>615.88</v>
      </c>
      <c r="W34" s="3">
        <v>110.36</v>
      </c>
      <c r="X34" s="3">
        <v>1983224.38</v>
      </c>
      <c r="Y34" s="33">
        <v>505.52</v>
      </c>
      <c r="Z34" s="33">
        <v>2146023.3936000001</v>
      </c>
      <c r="AA34" s="33">
        <f t="shared" si="0"/>
        <v>4129247.7736</v>
      </c>
      <c r="AB34" s="128">
        <f t="shared" si="1"/>
        <v>318.21972363015362</v>
      </c>
      <c r="AC34" s="134">
        <v>0</v>
      </c>
      <c r="AD34" s="3">
        <v>0</v>
      </c>
      <c r="AE34" s="3">
        <v>0</v>
      </c>
      <c r="AF34" s="3">
        <v>0</v>
      </c>
      <c r="AG34" s="3">
        <f t="shared" si="10"/>
        <v>0</v>
      </c>
      <c r="AH34" s="3">
        <v>0</v>
      </c>
      <c r="AI34" s="43">
        <f t="shared" si="3"/>
        <v>0</v>
      </c>
      <c r="AJ34" s="142">
        <v>294.23999999999796</v>
      </c>
      <c r="AK34" s="3">
        <v>2942399.9999999795</v>
      </c>
      <c r="AL34" s="39">
        <f t="shared" si="4"/>
        <v>226.75551726290274</v>
      </c>
      <c r="AM34" s="7"/>
    </row>
    <row r="35" spans="1:39" x14ac:dyDescent="0.35">
      <c r="A35" s="35"/>
      <c r="B35" s="58">
        <v>24</v>
      </c>
      <c r="C35" s="149">
        <v>2</v>
      </c>
      <c r="D35" s="151">
        <v>21</v>
      </c>
      <c r="E35" s="106">
        <v>9239.9999999997817</v>
      </c>
      <c r="F35" s="3">
        <v>9570607.1999997739</v>
      </c>
      <c r="G35" s="37">
        <v>1919.9999999999591</v>
      </c>
      <c r="H35" s="3">
        <v>2983046.3999999366</v>
      </c>
      <c r="I35" s="103">
        <f t="shared" si="5"/>
        <v>12553653.599999711</v>
      </c>
      <c r="J35" s="106">
        <v>1240.0000000000091</v>
      </c>
      <c r="K35" s="3">
        <v>1284367.2000000095</v>
      </c>
      <c r="L35" s="188">
        <v>399.99999999999147</v>
      </c>
      <c r="M35" s="189">
        <v>621467.99999998673</v>
      </c>
      <c r="N35" s="94">
        <f t="shared" si="6"/>
        <v>1905835.1999999962</v>
      </c>
      <c r="O35" s="108">
        <f t="shared" si="7"/>
        <v>14459488.799999706</v>
      </c>
      <c r="P35" s="111">
        <f t="shared" si="8"/>
        <v>12799.999999999742</v>
      </c>
      <c r="Q35" s="193"/>
      <c r="R35" s="205"/>
      <c r="S35" s="217"/>
      <c r="T35" s="214"/>
      <c r="U35" s="212">
        <v>0</v>
      </c>
      <c r="V35" s="190">
        <f t="shared" si="9"/>
        <v>702.21</v>
      </c>
      <c r="W35" s="3">
        <v>112.14</v>
      </c>
      <c r="X35" s="3">
        <v>2015211.87</v>
      </c>
      <c r="Y35" s="33">
        <v>590.07000000000005</v>
      </c>
      <c r="Z35" s="33">
        <v>2504953.3626000006</v>
      </c>
      <c r="AA35" s="33">
        <f t="shared" si="0"/>
        <v>4520165.2326000007</v>
      </c>
      <c r="AB35" s="128">
        <f t="shared" si="1"/>
        <v>348.34570603317337</v>
      </c>
      <c r="AC35" s="134">
        <v>0</v>
      </c>
      <c r="AD35" s="3">
        <v>0</v>
      </c>
      <c r="AE35" s="3">
        <v>0</v>
      </c>
      <c r="AF35" s="3">
        <v>0</v>
      </c>
      <c r="AG35" s="3">
        <f t="shared" si="10"/>
        <v>0</v>
      </c>
      <c r="AH35" s="3">
        <v>0</v>
      </c>
      <c r="AI35" s="43">
        <f t="shared" si="3"/>
        <v>0</v>
      </c>
      <c r="AJ35" s="142">
        <v>80.510000000002037</v>
      </c>
      <c r="AK35" s="3">
        <v>805100.00000002037</v>
      </c>
      <c r="AL35" s="39">
        <f t="shared" si="4"/>
        <v>62.0448840906637</v>
      </c>
      <c r="AM35" s="7"/>
    </row>
    <row r="36" spans="1:39" x14ac:dyDescent="0.35">
      <c r="A36" s="35"/>
      <c r="B36" s="58">
        <v>25</v>
      </c>
      <c r="C36" s="149">
        <v>3</v>
      </c>
      <c r="D36" s="151">
        <v>17</v>
      </c>
      <c r="E36" s="106">
        <v>9240.0000000002365</v>
      </c>
      <c r="F36" s="3">
        <v>9570607.2000002451</v>
      </c>
      <c r="G36" s="37">
        <v>1879.9999999999955</v>
      </c>
      <c r="H36" s="3">
        <v>2920899.5999999931</v>
      </c>
      <c r="I36" s="103">
        <f t="shared" si="5"/>
        <v>12491506.800000239</v>
      </c>
      <c r="J36" s="106">
        <v>1240.0000000000091</v>
      </c>
      <c r="K36" s="3">
        <v>1284367.2000000095</v>
      </c>
      <c r="L36" s="188">
        <v>320.00000000000739</v>
      </c>
      <c r="M36" s="189">
        <v>497174.40000001149</v>
      </c>
      <c r="N36" s="94">
        <f t="shared" si="6"/>
        <v>1781541.600000021</v>
      </c>
      <c r="O36" s="108">
        <f t="shared" si="7"/>
        <v>14273048.400000259</v>
      </c>
      <c r="P36" s="111">
        <f t="shared" si="8"/>
        <v>12680.000000000247</v>
      </c>
      <c r="Q36" s="193"/>
      <c r="R36" s="205"/>
      <c r="S36" s="217"/>
      <c r="T36" s="214"/>
      <c r="U36" s="212">
        <v>0</v>
      </c>
      <c r="V36" s="190">
        <f t="shared" si="9"/>
        <v>624.78</v>
      </c>
      <c r="W36" s="3">
        <v>112.14</v>
      </c>
      <c r="X36" s="3">
        <v>2015211.87</v>
      </c>
      <c r="Y36" s="33">
        <v>512.64</v>
      </c>
      <c r="Z36" s="33">
        <v>2176249.0752000003</v>
      </c>
      <c r="AA36" s="33">
        <f t="shared" si="0"/>
        <v>4191460.9452000004</v>
      </c>
      <c r="AB36" s="128">
        <f t="shared" si="1"/>
        <v>323.01417030862149</v>
      </c>
      <c r="AC36" s="134">
        <v>0</v>
      </c>
      <c r="AD36" s="3">
        <v>0</v>
      </c>
      <c r="AE36" s="3">
        <v>400</v>
      </c>
      <c r="AF36" s="3">
        <v>0</v>
      </c>
      <c r="AG36" s="3">
        <f t="shared" si="10"/>
        <v>400</v>
      </c>
      <c r="AH36" s="3">
        <v>5168000</v>
      </c>
      <c r="AI36" s="43">
        <f t="shared" si="3"/>
        <v>398.27097376790698</v>
      </c>
      <c r="AJ36" s="142">
        <v>92.709999999999127</v>
      </c>
      <c r="AK36" s="3">
        <v>927099.99999999127</v>
      </c>
      <c r="AL36" s="39">
        <f t="shared" si="4"/>
        <v>71.446791753139138</v>
      </c>
      <c r="AM36" s="7"/>
    </row>
    <row r="37" spans="1:39" x14ac:dyDescent="0.35">
      <c r="A37" s="35"/>
      <c r="B37" s="58">
        <v>26</v>
      </c>
      <c r="C37" s="149">
        <v>3</v>
      </c>
      <c r="D37" s="151">
        <v>34</v>
      </c>
      <c r="E37" s="106">
        <v>9679.9999999998363</v>
      </c>
      <c r="F37" s="3">
        <v>10026350.399999831</v>
      </c>
      <c r="G37" s="37">
        <v>1879.9999999999955</v>
      </c>
      <c r="H37" s="3">
        <v>2920899.5999999931</v>
      </c>
      <c r="I37" s="103">
        <f t="shared" si="5"/>
        <v>12947249.999999825</v>
      </c>
      <c r="J37" s="106">
        <v>1259.9999999999909</v>
      </c>
      <c r="K37" s="3">
        <v>1305082.7999999905</v>
      </c>
      <c r="L37" s="188">
        <v>319.99999999999318</v>
      </c>
      <c r="M37" s="189">
        <v>497174.39999998943</v>
      </c>
      <c r="N37" s="94">
        <f t="shared" si="6"/>
        <v>1802257.1999999799</v>
      </c>
      <c r="O37" s="108">
        <f t="shared" si="7"/>
        <v>14749507.199999806</v>
      </c>
      <c r="P37" s="111">
        <f t="shared" si="8"/>
        <v>13139.999999999816</v>
      </c>
      <c r="Q37" s="193"/>
      <c r="R37" s="205"/>
      <c r="S37" s="217"/>
      <c r="T37" s="214"/>
      <c r="U37" s="212">
        <v>0</v>
      </c>
      <c r="V37" s="190">
        <f t="shared" si="9"/>
        <v>591.85</v>
      </c>
      <c r="W37" s="3">
        <v>109.47</v>
      </c>
      <c r="X37" s="3">
        <v>1967230.635</v>
      </c>
      <c r="Y37" s="33">
        <v>482.38</v>
      </c>
      <c r="Z37" s="33">
        <v>2047789.9284000001</v>
      </c>
      <c r="AA37" s="33">
        <f t="shared" si="0"/>
        <v>4015020.5634000003</v>
      </c>
      <c r="AB37" s="128">
        <f t="shared" si="1"/>
        <v>309.4168245904583</v>
      </c>
      <c r="AC37" s="134">
        <v>0</v>
      </c>
      <c r="AD37" s="3">
        <v>0</v>
      </c>
      <c r="AE37" s="3">
        <v>0</v>
      </c>
      <c r="AF37" s="3">
        <v>0</v>
      </c>
      <c r="AG37" s="3">
        <f t="shared" si="10"/>
        <v>0</v>
      </c>
      <c r="AH37" s="3">
        <v>0</v>
      </c>
      <c r="AI37" s="43">
        <f t="shared" si="3"/>
        <v>0</v>
      </c>
      <c r="AJ37" s="142">
        <v>421.56000000005588</v>
      </c>
      <c r="AK37" s="3">
        <v>4215600.0000005588</v>
      </c>
      <c r="AL37" s="39">
        <f t="shared" si="4"/>
        <v>324.87444214709967</v>
      </c>
      <c r="AM37" s="7"/>
    </row>
    <row r="38" spans="1:39" x14ac:dyDescent="0.35">
      <c r="A38" s="35"/>
      <c r="B38" s="58">
        <v>27</v>
      </c>
      <c r="C38" s="149">
        <v>3</v>
      </c>
      <c r="D38" s="151">
        <v>55</v>
      </c>
      <c r="E38" s="106">
        <v>9199.9999999998181</v>
      </c>
      <c r="F38" s="3">
        <v>9529175.9999998119</v>
      </c>
      <c r="G38" s="37">
        <v>1800.0000000000682</v>
      </c>
      <c r="H38" s="3">
        <v>2796606.0000001062</v>
      </c>
      <c r="I38" s="103">
        <f t="shared" si="5"/>
        <v>12325781.999999918</v>
      </c>
      <c r="J38" s="106">
        <v>1220.0000000000273</v>
      </c>
      <c r="K38" s="3">
        <v>1263651.6000000283</v>
      </c>
      <c r="L38" s="188">
        <v>320.00000000000739</v>
      </c>
      <c r="M38" s="189">
        <v>497174.40000001149</v>
      </c>
      <c r="N38" s="94">
        <f t="shared" si="6"/>
        <v>1760826.0000000398</v>
      </c>
      <c r="O38" s="108">
        <f t="shared" si="7"/>
        <v>14086607.999999957</v>
      </c>
      <c r="P38" s="111">
        <f t="shared" si="8"/>
        <v>12539.99999999992</v>
      </c>
      <c r="Q38" s="193"/>
      <c r="R38" s="205"/>
      <c r="S38" s="217"/>
      <c r="T38" s="214"/>
      <c r="U38" s="212">
        <v>0</v>
      </c>
      <c r="V38" s="190">
        <f t="shared" si="9"/>
        <v>695.09</v>
      </c>
      <c r="W38" s="3">
        <v>111.25</v>
      </c>
      <c r="X38" s="3">
        <v>1999218.125</v>
      </c>
      <c r="Y38" s="33">
        <v>583.84</v>
      </c>
      <c r="Z38" s="33">
        <v>2478505.8912000004</v>
      </c>
      <c r="AA38" s="33">
        <f t="shared" si="0"/>
        <v>4477724.0162000004</v>
      </c>
      <c r="AB38" s="128">
        <f t="shared" si="1"/>
        <v>345.0749814620583</v>
      </c>
      <c r="AC38" s="134">
        <v>0</v>
      </c>
      <c r="AD38" s="3">
        <v>0</v>
      </c>
      <c r="AE38" s="3">
        <v>0</v>
      </c>
      <c r="AF38" s="3">
        <v>0</v>
      </c>
      <c r="AG38" s="3">
        <f t="shared" si="10"/>
        <v>0</v>
      </c>
      <c r="AH38" s="3">
        <v>0</v>
      </c>
      <c r="AI38" s="43">
        <f t="shared" si="3"/>
        <v>0</v>
      </c>
      <c r="AJ38" s="142">
        <v>105.34000000000378</v>
      </c>
      <c r="AK38" s="3">
        <v>1053400.0000000377</v>
      </c>
      <c r="AL38" s="39">
        <f t="shared" si="4"/>
        <v>81.180078128314278</v>
      </c>
      <c r="AM38" s="7"/>
    </row>
    <row r="39" spans="1:39" x14ac:dyDescent="0.35">
      <c r="A39" s="35"/>
      <c r="B39" s="58">
        <v>28</v>
      </c>
      <c r="C39" s="149">
        <v>3</v>
      </c>
      <c r="D39" s="151">
        <v>50</v>
      </c>
      <c r="E39" s="106">
        <v>9720.0000000002547</v>
      </c>
      <c r="F39" s="3">
        <v>10067781.600000264</v>
      </c>
      <c r="G39" s="37">
        <v>1879.9999999999955</v>
      </c>
      <c r="H39" s="3">
        <v>2920899.5999999931</v>
      </c>
      <c r="I39" s="103">
        <f t="shared" si="5"/>
        <v>12988681.200000256</v>
      </c>
      <c r="J39" s="106">
        <v>1279.9999999999727</v>
      </c>
      <c r="K39" s="3">
        <v>1325798.3999999717</v>
      </c>
      <c r="L39" s="188">
        <v>319.99999999999318</v>
      </c>
      <c r="M39" s="189">
        <v>497174.39999998943</v>
      </c>
      <c r="N39" s="94">
        <f t="shared" si="6"/>
        <v>1822972.7999999612</v>
      </c>
      <c r="O39" s="108">
        <f t="shared" si="7"/>
        <v>14811654.000000218</v>
      </c>
      <c r="P39" s="111">
        <f t="shared" si="8"/>
        <v>13200.000000000216</v>
      </c>
      <c r="Q39" s="193"/>
      <c r="R39" s="208"/>
      <c r="S39" s="217"/>
      <c r="T39" s="214"/>
      <c r="U39" s="212">
        <v>0</v>
      </c>
      <c r="V39" s="190">
        <f t="shared" si="9"/>
        <v>906.91</v>
      </c>
      <c r="W39" s="3">
        <v>113.03</v>
      </c>
      <c r="X39" s="3">
        <v>2031205.615</v>
      </c>
      <c r="Y39" s="33">
        <v>793.88</v>
      </c>
      <c r="Z39" s="33">
        <v>3370163.4984000004</v>
      </c>
      <c r="AA39" s="33">
        <f t="shared" si="0"/>
        <v>5401369.1134000001</v>
      </c>
      <c r="AB39" s="128">
        <f t="shared" si="1"/>
        <v>416.25552176348964</v>
      </c>
      <c r="AC39" s="134">
        <v>0</v>
      </c>
      <c r="AD39" s="3">
        <v>0</v>
      </c>
      <c r="AE39" s="3">
        <v>0</v>
      </c>
      <c r="AF39" s="3">
        <v>12</v>
      </c>
      <c r="AG39" s="3">
        <f t="shared" si="10"/>
        <v>12</v>
      </c>
      <c r="AH39" s="3">
        <v>137500</v>
      </c>
      <c r="AI39" s="43">
        <f t="shared" si="3"/>
        <v>10.596412324513778</v>
      </c>
      <c r="AJ39" s="142">
        <v>489.92999999997846</v>
      </c>
      <c r="AK39" s="3">
        <v>4899299.9999997849</v>
      </c>
      <c r="AL39" s="39">
        <f t="shared" si="4"/>
        <v>377.56365746536784</v>
      </c>
      <c r="AM39" s="7"/>
    </row>
    <row r="40" spans="1:39" x14ac:dyDescent="0.35">
      <c r="A40" s="35"/>
      <c r="B40" s="58">
        <v>29</v>
      </c>
      <c r="C40" s="149">
        <v>3</v>
      </c>
      <c r="D40" s="151">
        <v>55</v>
      </c>
      <c r="E40" s="106">
        <v>9920.0000000000728</v>
      </c>
      <c r="F40" s="3">
        <v>10274937.600000076</v>
      </c>
      <c r="G40" s="37">
        <v>2120.0000000000045</v>
      </c>
      <c r="H40" s="3">
        <v>3293780.4000000074</v>
      </c>
      <c r="I40" s="103">
        <f t="shared" si="5"/>
        <v>13568718.000000084</v>
      </c>
      <c r="J40" s="106">
        <v>1360.0000000000136</v>
      </c>
      <c r="K40" s="3">
        <v>1408660.800000014</v>
      </c>
      <c r="L40" s="188">
        <v>359.99999999999943</v>
      </c>
      <c r="M40" s="189">
        <v>559321.19999999914</v>
      </c>
      <c r="N40" s="94">
        <f t="shared" si="6"/>
        <v>1967982.000000013</v>
      </c>
      <c r="O40" s="108">
        <f t="shared" ref="O40:O41" si="11">N40+I40</f>
        <v>15536700.000000097</v>
      </c>
      <c r="P40" s="111">
        <f t="shared" ref="P40:P41" si="12">L40+J40+G40+E40</f>
        <v>13760.000000000091</v>
      </c>
      <c r="Q40" s="194"/>
      <c r="R40" s="209"/>
      <c r="S40" s="217"/>
      <c r="T40" s="214"/>
      <c r="U40" s="212">
        <v>0</v>
      </c>
      <c r="V40" s="190">
        <f t="shared" si="9"/>
        <v>909.58</v>
      </c>
      <c r="W40" s="3">
        <v>112.14</v>
      </c>
      <c r="X40" s="3">
        <v>2015211.87</v>
      </c>
      <c r="Y40" s="33">
        <v>797.44</v>
      </c>
      <c r="Z40" s="33">
        <v>3385276.3392000003</v>
      </c>
      <c r="AA40" s="33">
        <f t="shared" ref="AA40:AA41" si="13">Z40+X40</f>
        <v>5400488.2092000004</v>
      </c>
      <c r="AB40" s="128">
        <f t="shared" ref="AB40:AB41" si="14">AA40/$AL$48</f>
        <v>416.18763504260534</v>
      </c>
      <c r="AC40" s="134">
        <v>0</v>
      </c>
      <c r="AD40" s="3">
        <v>0</v>
      </c>
      <c r="AE40" s="3">
        <v>0</v>
      </c>
      <c r="AF40" s="3">
        <v>0</v>
      </c>
      <c r="AG40" s="3">
        <f t="shared" si="10"/>
        <v>0</v>
      </c>
      <c r="AH40" s="3">
        <v>0</v>
      </c>
      <c r="AI40" s="43">
        <f t="shared" ref="AI40:AI42" si="15">AH40/$AL$48</f>
        <v>0</v>
      </c>
      <c r="AJ40" s="142">
        <v>293.86999999999534</v>
      </c>
      <c r="AK40" s="3">
        <v>2938699.9999999534</v>
      </c>
      <c r="AL40" s="39">
        <f t="shared" si="4"/>
        <v>226.47037744035018</v>
      </c>
      <c r="AM40" s="7"/>
    </row>
    <row r="41" spans="1:39" ht="17.25" customHeight="1" x14ac:dyDescent="0.35">
      <c r="A41" s="35"/>
      <c r="B41" s="58">
        <v>30</v>
      </c>
      <c r="C41" s="149">
        <v>5</v>
      </c>
      <c r="D41" s="151">
        <v>74</v>
      </c>
      <c r="E41" s="106">
        <v>9759.9999999997635</v>
      </c>
      <c r="F41" s="3">
        <v>10109212.799999755</v>
      </c>
      <c r="G41" s="37">
        <v>1919.9999999999591</v>
      </c>
      <c r="H41" s="3">
        <v>2983046.3999999366</v>
      </c>
      <c r="I41" s="103">
        <f t="shared" si="5"/>
        <v>13092259.199999692</v>
      </c>
      <c r="J41" s="106">
        <v>1519.9999999999818</v>
      </c>
      <c r="K41" s="3">
        <v>1574385.5999999812</v>
      </c>
      <c r="L41" s="188">
        <v>359.99999999999943</v>
      </c>
      <c r="M41" s="189">
        <v>559321.19999999914</v>
      </c>
      <c r="N41" s="94">
        <f t="shared" si="6"/>
        <v>2133706.7999999803</v>
      </c>
      <c r="O41" s="108">
        <f t="shared" si="11"/>
        <v>15225965.999999672</v>
      </c>
      <c r="P41" s="111">
        <f t="shared" si="12"/>
        <v>13559.999999999704</v>
      </c>
      <c r="Q41" s="193"/>
      <c r="R41" s="210"/>
      <c r="S41" s="217"/>
      <c r="T41" s="214"/>
      <c r="U41" s="212">
        <v>0</v>
      </c>
      <c r="V41" s="190">
        <f t="shared" si="9"/>
        <v>863.3</v>
      </c>
      <c r="W41" s="3">
        <v>113.03</v>
      </c>
      <c r="X41" s="3">
        <v>2031205.615</v>
      </c>
      <c r="Y41" s="33">
        <v>750.27</v>
      </c>
      <c r="Z41" s="33">
        <v>3185031.1986000002</v>
      </c>
      <c r="AA41" s="33">
        <f t="shared" si="13"/>
        <v>5216236.8136</v>
      </c>
      <c r="AB41" s="128">
        <f t="shared" si="14"/>
        <v>401.98833497609832</v>
      </c>
      <c r="AC41" s="134">
        <v>0</v>
      </c>
      <c r="AD41" s="3">
        <v>0</v>
      </c>
      <c r="AE41" s="3">
        <v>400</v>
      </c>
      <c r="AF41" s="3">
        <v>12</v>
      </c>
      <c r="AG41" s="3">
        <f>+AE41+AF41</f>
        <v>412</v>
      </c>
      <c r="AH41" s="3">
        <v>5305500</v>
      </c>
      <c r="AI41" s="43">
        <f t="shared" si="15"/>
        <v>408.86738609242076</v>
      </c>
      <c r="AJ41" s="142">
        <v>324.40000000000146</v>
      </c>
      <c r="AK41" s="3">
        <v>3244000.0000000144</v>
      </c>
      <c r="AL41" s="39">
        <f t="shared" si="4"/>
        <v>249.99826604162072</v>
      </c>
      <c r="AM41" s="7"/>
    </row>
    <row r="42" spans="1:39" x14ac:dyDescent="0.35">
      <c r="A42" s="35"/>
      <c r="B42" s="58">
        <v>31</v>
      </c>
      <c r="C42" s="177">
        <v>6</v>
      </c>
      <c r="D42" s="178">
        <v>81</v>
      </c>
      <c r="E42" s="106">
        <v>9260.0000000002183</v>
      </c>
      <c r="F42" s="3">
        <v>9591322.8000002261</v>
      </c>
      <c r="G42" s="37">
        <v>1919.9999999999591</v>
      </c>
      <c r="H42" s="3">
        <v>2983046.3999999366</v>
      </c>
      <c r="I42" s="103">
        <f t="shared" si="5"/>
        <v>12574369.200000163</v>
      </c>
      <c r="J42" s="106">
        <v>1340.0000000000318</v>
      </c>
      <c r="K42" s="3">
        <v>1387945.200000033</v>
      </c>
      <c r="L42" s="188">
        <v>379.99999999999545</v>
      </c>
      <c r="M42" s="189">
        <v>590394.59999999299</v>
      </c>
      <c r="N42" s="94">
        <f t="shared" ref="N42" si="16">+K42+M42</f>
        <v>1978339.8000000259</v>
      </c>
      <c r="O42" s="108">
        <f t="shared" ref="O42" si="17">N42+I42</f>
        <v>14552709.00000019</v>
      </c>
      <c r="P42" s="111">
        <f t="shared" ref="P42" si="18">L42+J42+G42+E42</f>
        <v>12900.000000000204</v>
      </c>
      <c r="Q42" s="193"/>
      <c r="R42" s="210"/>
      <c r="S42" s="217"/>
      <c r="T42" s="214"/>
      <c r="U42" s="212">
        <v>1</v>
      </c>
      <c r="V42" s="190">
        <f t="shared" ref="V42" si="19">Y42+W42</f>
        <v>919.37</v>
      </c>
      <c r="W42" s="3">
        <v>111.25</v>
      </c>
      <c r="X42" s="3">
        <v>1999218.125</v>
      </c>
      <c r="Y42" s="33">
        <v>808.12</v>
      </c>
      <c r="Z42" s="33">
        <v>3430614.8616000004</v>
      </c>
      <c r="AA42" s="33">
        <f t="shared" ref="AA42" si="20">Z42+X42</f>
        <v>5429832.9866000004</v>
      </c>
      <c r="AB42" s="128">
        <f t="shared" ref="AB42" si="21">AA42/$AL$48</f>
        <v>418.44908494007058</v>
      </c>
      <c r="AC42" s="134">
        <v>0</v>
      </c>
      <c r="AD42" s="3">
        <v>0</v>
      </c>
      <c r="AE42" s="3">
        <v>0</v>
      </c>
      <c r="AF42" s="3">
        <v>0</v>
      </c>
      <c r="AG42" s="3">
        <f>+AE42+AF42</f>
        <v>0</v>
      </c>
      <c r="AH42" s="3">
        <v>0</v>
      </c>
      <c r="AI42" s="43">
        <f t="shared" si="15"/>
        <v>0</v>
      </c>
      <c r="AJ42" s="142">
        <v>333.5199999999968</v>
      </c>
      <c r="AK42" s="3">
        <v>3335199.9999999679</v>
      </c>
      <c r="AL42" s="39">
        <f t="shared" si="4"/>
        <v>257.02657734340374</v>
      </c>
      <c r="AM42" s="7"/>
    </row>
    <row r="43" spans="1:39" ht="16" thickBot="1" x14ac:dyDescent="0.4">
      <c r="A43" s="35"/>
      <c r="B43" s="122"/>
      <c r="C43" s="150"/>
      <c r="D43" s="152"/>
      <c r="E43" s="104"/>
      <c r="F43" s="104"/>
      <c r="G43" s="95"/>
      <c r="H43" s="96"/>
      <c r="I43" s="105"/>
      <c r="J43" s="107"/>
      <c r="K43" s="95"/>
      <c r="L43" s="96"/>
      <c r="M43" s="97"/>
      <c r="N43" s="98"/>
      <c r="O43" s="109"/>
      <c r="P43" s="112"/>
      <c r="Q43" s="179"/>
      <c r="R43" s="211"/>
      <c r="S43" s="218"/>
      <c r="T43" s="218"/>
      <c r="U43" s="213"/>
      <c r="V43" s="190"/>
      <c r="W43" s="3"/>
      <c r="X43" s="3"/>
      <c r="Y43" s="33"/>
      <c r="Z43" s="33"/>
      <c r="AA43" s="18"/>
      <c r="AB43" s="129"/>
      <c r="AC43" s="127"/>
      <c r="AD43" s="3"/>
      <c r="AE43" s="2"/>
      <c r="AF43" s="2"/>
      <c r="AG43" s="2"/>
      <c r="AH43" s="3"/>
      <c r="AI43" s="43"/>
      <c r="AJ43" s="142"/>
      <c r="AK43" s="3"/>
      <c r="AL43" s="39"/>
      <c r="AM43" s="7"/>
    </row>
    <row r="44" spans="1:39" s="8" customFormat="1" ht="4.5" customHeight="1" x14ac:dyDescent="0.35">
      <c r="A44" s="15"/>
      <c r="B44" s="117"/>
      <c r="C44" s="118"/>
      <c r="D44" s="118"/>
      <c r="E44" s="116"/>
      <c r="F44" s="7"/>
      <c r="G44" s="15"/>
      <c r="H44" s="7"/>
      <c r="I44" s="15"/>
      <c r="J44" s="15"/>
      <c r="K44" s="15"/>
      <c r="L44" s="7"/>
      <c r="M44" s="62"/>
      <c r="N44" s="66"/>
      <c r="O44" s="15"/>
      <c r="P44" s="66"/>
      <c r="Q44" s="15"/>
      <c r="R44" s="86"/>
      <c r="S44" s="7"/>
      <c r="T44" s="15"/>
      <c r="U44" s="34"/>
      <c r="V44" s="130"/>
      <c r="W44" s="15"/>
      <c r="X44" s="15"/>
      <c r="Y44" s="15"/>
      <c r="Z44" s="15"/>
      <c r="AA44" s="15"/>
      <c r="AB44" s="34"/>
      <c r="AC44" s="15"/>
      <c r="AD44" s="7"/>
      <c r="AE44" s="15"/>
      <c r="AF44" s="15"/>
      <c r="AG44" s="15"/>
      <c r="AH44" s="15"/>
      <c r="AI44" s="15"/>
      <c r="AJ44" s="86"/>
      <c r="AK44" s="15"/>
      <c r="AL44" s="34"/>
      <c r="AM44" s="15"/>
    </row>
    <row r="45" spans="1:39" s="8" customFormat="1" ht="6" customHeight="1" x14ac:dyDescent="0.35">
      <c r="A45" s="15"/>
      <c r="B45" s="117"/>
      <c r="C45" s="118"/>
      <c r="D45" s="118"/>
      <c r="E45" s="116"/>
      <c r="F45" s="7"/>
      <c r="G45" s="15"/>
      <c r="H45" s="7"/>
      <c r="I45" s="15"/>
      <c r="J45" s="15"/>
      <c r="K45" s="15"/>
      <c r="L45" s="7"/>
      <c r="M45" s="62"/>
      <c r="N45" s="66"/>
      <c r="O45" s="15"/>
      <c r="P45" s="66"/>
      <c r="Q45" s="15"/>
      <c r="R45" s="86"/>
      <c r="S45" s="16"/>
      <c r="T45" s="16"/>
      <c r="U45" s="34"/>
      <c r="V45" s="130"/>
      <c r="W45" s="15"/>
      <c r="X45" s="15"/>
      <c r="Y45" s="15"/>
      <c r="Z45" s="15"/>
      <c r="AA45" s="15"/>
      <c r="AB45" s="131"/>
      <c r="AC45" s="15"/>
      <c r="AD45" s="7"/>
      <c r="AE45" s="15"/>
      <c r="AF45" s="15"/>
      <c r="AG45" s="15"/>
      <c r="AH45" s="7"/>
      <c r="AI45" s="15"/>
      <c r="AJ45" s="88"/>
      <c r="AK45" s="5"/>
      <c r="AL45" s="40"/>
      <c r="AM45" s="15"/>
    </row>
    <row r="46" spans="1:39" s="8" customFormat="1" ht="16" thickBot="1" x14ac:dyDescent="0.4">
      <c r="A46" s="15"/>
      <c r="B46" s="119"/>
      <c r="C46" s="120"/>
      <c r="D46" s="120"/>
      <c r="E46" s="121"/>
      <c r="F46" s="72"/>
      <c r="G46" s="71"/>
      <c r="H46" s="72"/>
      <c r="I46" s="71"/>
      <c r="J46" s="71"/>
      <c r="K46" s="71"/>
      <c r="L46" s="72"/>
      <c r="M46" s="73"/>
      <c r="N46" s="74"/>
      <c r="O46" s="71"/>
      <c r="P46" s="74"/>
      <c r="Q46" s="71"/>
      <c r="R46" s="87"/>
      <c r="S46" s="75"/>
      <c r="T46" s="71"/>
      <c r="U46" s="191"/>
      <c r="V46" s="132"/>
      <c r="W46" s="77"/>
      <c r="X46" s="71"/>
      <c r="Y46" s="71"/>
      <c r="Z46" s="71"/>
      <c r="AA46" s="71"/>
      <c r="AB46" s="76"/>
      <c r="AC46" s="78"/>
      <c r="AD46" s="72"/>
      <c r="AE46" s="78"/>
      <c r="AF46" s="78"/>
      <c r="AG46" s="78"/>
      <c r="AH46" s="72"/>
      <c r="AI46" s="71"/>
      <c r="AJ46" s="143"/>
      <c r="AK46" s="79"/>
      <c r="AL46" s="80"/>
      <c r="AM46" s="15"/>
    </row>
    <row r="47" spans="1:39" ht="16.5" thickTop="1" thickBot="1" x14ac:dyDescent="0.4">
      <c r="A47" s="26"/>
      <c r="B47" s="69"/>
      <c r="C47" s="70">
        <f>SUM(C12:C43)</f>
        <v>120</v>
      </c>
      <c r="D47" s="70">
        <f>SUM(D12:D43)</f>
        <v>1374</v>
      </c>
      <c r="E47" s="70">
        <f>SUM(E12:E43)</f>
        <v>309119.99999999983</v>
      </c>
      <c r="F47" s="70">
        <f>SUM(F12:F43)</f>
        <v>320180313.59999996</v>
      </c>
      <c r="G47" s="70">
        <f>SUM(G12:G43)</f>
        <v>62039.999999999949</v>
      </c>
      <c r="H47" s="70">
        <f t="shared" ref="H47:O47" si="22">SUM(H12:H43)</f>
        <v>96389686.799999937</v>
      </c>
      <c r="I47" s="70">
        <f t="shared" si="22"/>
        <v>416570000.39999992</v>
      </c>
      <c r="J47" s="70">
        <f t="shared" si="22"/>
        <v>41780.000000000029</v>
      </c>
      <c r="K47" s="70">
        <f t="shared" si="22"/>
        <v>43274888.400000036</v>
      </c>
      <c r="L47" s="70">
        <f t="shared" si="22"/>
        <v>10819.999999999993</v>
      </c>
      <c r="M47" s="70">
        <f t="shared" si="22"/>
        <v>16810709.399999987</v>
      </c>
      <c r="N47" s="70">
        <f t="shared" si="22"/>
        <v>60085597.800000019</v>
      </c>
      <c r="O47" s="70">
        <f t="shared" si="22"/>
        <v>476655598.19999987</v>
      </c>
      <c r="P47" s="82">
        <f>SUM(P12:P43)</f>
        <v>423760</v>
      </c>
      <c r="Q47" s="192" t="e">
        <f>+#REF!</f>
        <v>#REF!</v>
      </c>
      <c r="R47" s="123" t="e">
        <f>+#REF!</f>
        <v>#REF!</v>
      </c>
      <c r="S47" s="115" t="e">
        <f>Q47+P47</f>
        <v>#REF!</v>
      </c>
      <c r="T47" s="115" t="e">
        <f>R47+O47</f>
        <v>#REF!</v>
      </c>
      <c r="U47" s="137" t="e">
        <f>T47/AL48</f>
        <v>#REF!</v>
      </c>
      <c r="V47" s="180">
        <f>SUM(V12:V42)</f>
        <v>23296.639999999999</v>
      </c>
      <c r="W47" s="52">
        <f>SUM(W12:W42)</f>
        <v>4155.41</v>
      </c>
      <c r="X47" s="52">
        <f t="shared" ref="X47:Z47" si="23">SUM(X12:X42)</f>
        <v>74674795.405000001</v>
      </c>
      <c r="Y47" s="52">
        <f t="shared" si="23"/>
        <v>19141.229999999996</v>
      </c>
      <c r="Z47" s="52">
        <f t="shared" si="23"/>
        <v>81257966.771400005</v>
      </c>
      <c r="AA47" s="136">
        <f>SUM(AA12:AA42)</f>
        <v>155932762.17640004</v>
      </c>
      <c r="AB47" s="124">
        <f>AA47/$AL$48</f>
        <v>12016.929766701682</v>
      </c>
      <c r="AC47" s="44">
        <f>SUM(AC12:AC41)</f>
        <v>0</v>
      </c>
      <c r="AD47" s="138">
        <f>SUM(AD12:AD41)</f>
        <v>0</v>
      </c>
      <c r="AE47" s="44">
        <f>SUM(AE12:AE42)</f>
        <v>2450</v>
      </c>
      <c r="AF47" s="44">
        <f>SUM(AF12:AF42)</f>
        <v>108</v>
      </c>
      <c r="AG47" s="216">
        <f>SUM(AG12:AG42)</f>
        <v>2558</v>
      </c>
      <c r="AH47" s="146">
        <f>SUM(AH12:AH43)</f>
        <v>32891500</v>
      </c>
      <c r="AI47" s="147">
        <f>AH47/$AL$48</f>
        <v>2534.777425249054</v>
      </c>
      <c r="AJ47" s="215">
        <f>SUM(AJ12:AJ43)</f>
        <v>8554.4200000000201</v>
      </c>
      <c r="AK47" s="144">
        <f>SUM(AK12:AK43)</f>
        <v>85544200.000000224</v>
      </c>
      <c r="AL47" s="145">
        <f>AK47/AL48</f>
        <v>6592.4481103321741</v>
      </c>
      <c r="AM47" s="26"/>
    </row>
    <row r="48" spans="1:39" s="1" customFormat="1" x14ac:dyDescent="0.3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3"/>
      <c r="N48" s="67"/>
      <c r="O48" s="10"/>
      <c r="P48" s="67"/>
      <c r="Q48" s="10"/>
      <c r="R48" s="114"/>
      <c r="S48" s="14"/>
      <c r="T48" s="81" t="s">
        <v>29</v>
      </c>
      <c r="U48" s="153" t="e">
        <f>U47/S47</f>
        <v>#REF!</v>
      </c>
      <c r="V48" s="195" t="s">
        <v>53</v>
      </c>
      <c r="W48" s="11"/>
      <c r="X48" s="11"/>
      <c r="Y48" s="139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88"/>
      <c r="AK48" s="11"/>
      <c r="AL48" s="148">
        <v>12976.09</v>
      </c>
      <c r="AM48" s="26"/>
    </row>
    <row r="49" spans="1:39" s="1" customFormat="1" x14ac:dyDescent="0.35">
      <c r="A49" s="26"/>
      <c r="B49" s="26"/>
      <c r="C49" s="5"/>
      <c r="D49" s="11"/>
      <c r="E49" s="5"/>
      <c r="F49" s="5"/>
      <c r="G49" s="11"/>
      <c r="H49" s="5"/>
      <c r="I49" s="9"/>
      <c r="J49" s="9"/>
      <c r="K49" s="9"/>
      <c r="L49" s="17"/>
      <c r="M49" s="63"/>
      <c r="N49" s="67"/>
      <c r="O49" s="10"/>
      <c r="P49" s="67"/>
      <c r="Q49" s="10"/>
      <c r="R49" s="114"/>
      <c r="S49" s="14"/>
      <c r="T49" s="81"/>
      <c r="U49" s="153"/>
      <c r="V49" s="195"/>
      <c r="W49" s="11"/>
      <c r="X49" s="220"/>
      <c r="Y49" s="139"/>
      <c r="Z49" s="220"/>
      <c r="AA49" s="11"/>
      <c r="AB49" s="11"/>
      <c r="AC49" s="16"/>
      <c r="AD49" s="7"/>
      <c r="AE49" s="16"/>
      <c r="AF49" s="16"/>
      <c r="AG49" s="7"/>
      <c r="AH49" s="5"/>
      <c r="AI49" s="11"/>
      <c r="AJ49" s="88"/>
      <c r="AK49" s="11"/>
      <c r="AL49" s="148"/>
      <c r="AM49" s="26"/>
    </row>
    <row r="50" spans="1:39" s="1" customFormat="1" x14ac:dyDescent="0.35">
      <c r="A50" s="26"/>
      <c r="B50" s="26"/>
      <c r="C50" s="5"/>
      <c r="D50" s="11"/>
      <c r="E50" s="5"/>
      <c r="F50" s="5"/>
      <c r="G50" s="11"/>
      <c r="H50" s="5"/>
      <c r="I50" s="9"/>
      <c r="J50" s="9"/>
      <c r="K50" s="9"/>
      <c r="L50" s="17"/>
      <c r="M50" s="63"/>
      <c r="N50" s="67"/>
      <c r="O50" s="10"/>
      <c r="P50" s="67"/>
      <c r="Q50" s="10"/>
      <c r="R50" s="114"/>
      <c r="S50" s="14"/>
      <c r="T50" s="81"/>
      <c r="U50" s="153"/>
      <c r="V50" s="195"/>
      <c r="W50" s="11"/>
      <c r="X50" s="11"/>
      <c r="Y50" s="139"/>
      <c r="Z50" s="11"/>
      <c r="AA50" s="11"/>
      <c r="AB50" s="11"/>
      <c r="AC50" s="16"/>
      <c r="AD50" s="7"/>
      <c r="AE50" s="16"/>
      <c r="AF50" s="16"/>
      <c r="AG50" s="7"/>
      <c r="AH50" s="221"/>
      <c r="AI50" s="11"/>
      <c r="AJ50" s="88"/>
      <c r="AK50" s="11"/>
      <c r="AL50" s="148"/>
      <c r="AM50" s="26"/>
    </row>
    <row r="51" spans="1:39" s="198" customFormat="1" x14ac:dyDescent="0.35">
      <c r="A51" s="196"/>
      <c r="B51" s="196"/>
      <c r="C51" s="197"/>
      <c r="E51" s="197"/>
      <c r="F51" s="197"/>
      <c r="H51" s="197"/>
      <c r="L51" s="197"/>
      <c r="M51" s="199"/>
      <c r="N51" s="200"/>
      <c r="P51" s="200"/>
      <c r="R51" s="201"/>
      <c r="T51" s="219"/>
      <c r="AD51" s="197"/>
      <c r="AH51" s="197"/>
      <c r="AJ51" s="201"/>
      <c r="AL51" s="202"/>
      <c r="AM51" s="196"/>
    </row>
    <row r="52" spans="1:39" s="198" customFormat="1" x14ac:dyDescent="0.35">
      <c r="A52" s="196"/>
      <c r="B52" s="196"/>
      <c r="C52" s="197"/>
      <c r="E52" s="197"/>
      <c r="F52" s="197"/>
      <c r="H52" s="197"/>
      <c r="L52" s="197"/>
      <c r="M52" s="199"/>
      <c r="N52" s="200"/>
      <c r="P52" s="200"/>
      <c r="R52" s="201"/>
      <c r="W52" s="222">
        <f>W47/V47</f>
        <v>0.1783694987775061</v>
      </c>
      <c r="AD52" s="197"/>
      <c r="AH52" s="197"/>
      <c r="AJ52" s="201"/>
      <c r="AL52" s="202"/>
      <c r="AM52" s="196"/>
    </row>
    <row r="53" spans="1:39" s="198" customFormat="1" x14ac:dyDescent="0.35">
      <c r="A53" s="196"/>
      <c r="B53" s="196"/>
      <c r="C53" s="197"/>
      <c r="E53" s="197"/>
      <c r="F53" s="197"/>
      <c r="H53" s="197"/>
      <c r="L53" s="197"/>
      <c r="M53" s="199"/>
      <c r="N53" s="200"/>
      <c r="P53" s="200"/>
      <c r="R53" s="201"/>
      <c r="AD53" s="197"/>
      <c r="AH53" s="197"/>
      <c r="AJ53" s="201"/>
      <c r="AL53" s="202"/>
      <c r="AM53" s="196"/>
    </row>
    <row r="54" spans="1:39" s="198" customFormat="1" x14ac:dyDescent="0.35">
      <c r="A54" s="196"/>
      <c r="B54" s="196"/>
      <c r="C54" s="197"/>
      <c r="E54" s="197"/>
      <c r="F54" s="197"/>
      <c r="H54" s="197"/>
      <c r="L54" s="197"/>
      <c r="M54" s="199"/>
      <c r="N54" s="200"/>
      <c r="P54" s="200"/>
      <c r="R54" s="201"/>
      <c r="AD54" s="197"/>
      <c r="AH54" s="197"/>
      <c r="AJ54" s="201"/>
      <c r="AL54" s="202"/>
      <c r="AM54" s="196"/>
    </row>
    <row r="55" spans="1:39" s="198" customFormat="1" x14ac:dyDescent="0.35">
      <c r="A55" s="196"/>
      <c r="B55" s="196"/>
      <c r="C55" s="197"/>
      <c r="E55" s="197"/>
      <c r="F55" s="197"/>
      <c r="H55" s="197"/>
      <c r="L55" s="197"/>
      <c r="M55" s="199"/>
      <c r="N55" s="200"/>
      <c r="P55" s="200"/>
      <c r="R55" s="201"/>
      <c r="AD55" s="197"/>
      <c r="AH55" s="197"/>
      <c r="AJ55" s="201"/>
      <c r="AL55" s="202"/>
      <c r="AM55" s="196"/>
    </row>
    <row r="56" spans="1:39" s="198" customFormat="1" x14ac:dyDescent="0.35">
      <c r="A56" s="196"/>
      <c r="B56" s="196"/>
      <c r="C56" s="197"/>
      <c r="E56" s="197"/>
      <c r="F56" s="197"/>
      <c r="H56" s="197"/>
      <c r="L56" s="197"/>
      <c r="M56" s="199"/>
      <c r="N56" s="200"/>
      <c r="P56" s="200"/>
      <c r="R56" s="201"/>
      <c r="AD56" s="197"/>
      <c r="AH56" s="197"/>
      <c r="AJ56" s="201"/>
      <c r="AL56" s="202"/>
      <c r="AM56" s="196"/>
    </row>
    <row r="57" spans="1:39" s="198" customFormat="1" x14ac:dyDescent="0.35">
      <c r="A57" s="196"/>
      <c r="B57" s="196"/>
      <c r="C57" s="197"/>
      <c r="E57" s="197"/>
      <c r="F57" s="197"/>
      <c r="H57" s="197"/>
      <c r="L57" s="197"/>
      <c r="M57" s="199"/>
      <c r="N57" s="200"/>
      <c r="P57" s="200"/>
      <c r="R57" s="201"/>
      <c r="AD57" s="197"/>
      <c r="AH57" s="197"/>
      <c r="AJ57" s="201"/>
      <c r="AL57" s="202"/>
      <c r="AM57" s="196"/>
    </row>
    <row r="58" spans="1:39" s="198" customFormat="1" x14ac:dyDescent="0.35">
      <c r="A58" s="196"/>
      <c r="B58" s="196"/>
      <c r="C58" s="197"/>
      <c r="E58" s="197"/>
      <c r="F58" s="197"/>
      <c r="H58" s="197"/>
      <c r="L58" s="197"/>
      <c r="M58" s="199"/>
      <c r="N58" s="200"/>
      <c r="P58" s="200"/>
      <c r="R58" s="201"/>
      <c r="AD58" s="197"/>
      <c r="AH58" s="197"/>
      <c r="AJ58" s="201"/>
      <c r="AL58" s="202"/>
      <c r="AM58" s="196"/>
    </row>
    <row r="59" spans="1:39" s="198" customFormat="1" x14ac:dyDescent="0.35">
      <c r="A59" s="196"/>
      <c r="B59" s="196"/>
      <c r="C59" s="197"/>
      <c r="E59" s="197"/>
      <c r="F59" s="197"/>
      <c r="H59" s="197"/>
      <c r="L59" s="197"/>
      <c r="M59" s="199"/>
      <c r="N59" s="200"/>
      <c r="P59" s="200"/>
      <c r="R59" s="201"/>
      <c r="AD59" s="197"/>
      <c r="AH59" s="197"/>
      <c r="AJ59" s="201"/>
      <c r="AL59" s="202"/>
      <c r="AM59" s="196"/>
    </row>
    <row r="60" spans="1:39" s="198" customFormat="1" x14ac:dyDescent="0.35">
      <c r="A60" s="196"/>
      <c r="B60" s="196"/>
      <c r="C60" s="197"/>
      <c r="E60" s="197"/>
      <c r="F60" s="197"/>
      <c r="H60" s="197"/>
      <c r="L60" s="197"/>
      <c r="M60" s="199"/>
      <c r="N60" s="200"/>
      <c r="P60" s="200"/>
      <c r="R60" s="201"/>
      <c r="AD60" s="197"/>
      <c r="AH60" s="197"/>
      <c r="AJ60" s="201"/>
      <c r="AL60" s="202"/>
      <c r="AM60" s="196"/>
    </row>
    <row r="61" spans="1:39" s="198" customFormat="1" x14ac:dyDescent="0.35">
      <c r="A61" s="196"/>
      <c r="B61" s="196"/>
      <c r="C61" s="197"/>
      <c r="E61" s="197"/>
      <c r="F61" s="197"/>
      <c r="H61" s="197"/>
      <c r="L61" s="197"/>
      <c r="M61" s="199"/>
      <c r="N61" s="200"/>
      <c r="P61" s="200"/>
      <c r="R61" s="201"/>
      <c r="AD61" s="197"/>
      <c r="AH61" s="197"/>
      <c r="AJ61" s="201"/>
      <c r="AL61" s="202"/>
      <c r="AM61" s="196"/>
    </row>
    <row r="62" spans="1:39" s="198" customFormat="1" x14ac:dyDescent="0.35">
      <c r="A62" s="196"/>
      <c r="B62" s="196"/>
      <c r="C62" s="197"/>
      <c r="E62" s="197"/>
      <c r="F62" s="197"/>
      <c r="H62" s="197"/>
      <c r="L62" s="197"/>
      <c r="M62" s="199"/>
      <c r="N62" s="200"/>
      <c r="P62" s="200"/>
      <c r="R62" s="201"/>
      <c r="AD62" s="197"/>
      <c r="AH62" s="197"/>
      <c r="AJ62" s="201"/>
      <c r="AL62" s="202"/>
      <c r="AM62" s="196"/>
    </row>
    <row r="63" spans="1:39" s="198" customFormat="1" x14ac:dyDescent="0.35">
      <c r="A63" s="196"/>
      <c r="B63" s="196"/>
      <c r="C63" s="197"/>
      <c r="E63" s="197"/>
      <c r="F63" s="197"/>
      <c r="H63" s="197"/>
      <c r="L63" s="197"/>
      <c r="M63" s="199"/>
      <c r="N63" s="200"/>
      <c r="P63" s="200"/>
      <c r="R63" s="201"/>
      <c r="AD63" s="197"/>
      <c r="AH63" s="197"/>
      <c r="AJ63" s="201"/>
      <c r="AL63" s="202"/>
      <c r="AM63" s="196"/>
    </row>
    <row r="64" spans="1:39" s="198" customFormat="1" x14ac:dyDescent="0.35">
      <c r="A64" s="196"/>
      <c r="B64" s="196"/>
      <c r="C64" s="197"/>
      <c r="E64" s="197"/>
      <c r="F64" s="197"/>
      <c r="H64" s="197"/>
      <c r="L64" s="197"/>
      <c r="M64" s="199"/>
      <c r="N64" s="200"/>
      <c r="P64" s="200"/>
      <c r="R64" s="201"/>
      <c r="AD64" s="197"/>
      <c r="AH64" s="197"/>
      <c r="AJ64" s="201"/>
      <c r="AL64" s="202"/>
      <c r="AM64" s="196"/>
    </row>
    <row r="65" spans="1:39" s="198" customFormat="1" x14ac:dyDescent="0.35">
      <c r="A65" s="196"/>
      <c r="B65" s="196"/>
      <c r="C65" s="197"/>
      <c r="E65" s="197"/>
      <c r="F65" s="197"/>
      <c r="H65" s="197"/>
      <c r="L65" s="197"/>
      <c r="M65" s="199"/>
      <c r="N65" s="200"/>
      <c r="P65" s="200"/>
      <c r="R65" s="201"/>
      <c r="AD65" s="197"/>
      <c r="AH65" s="197"/>
      <c r="AJ65" s="201"/>
      <c r="AL65" s="202"/>
      <c r="AM65" s="196"/>
    </row>
    <row r="66" spans="1:39" s="198" customFormat="1" x14ac:dyDescent="0.35">
      <c r="A66" s="196"/>
      <c r="B66" s="196"/>
      <c r="C66" s="197"/>
      <c r="E66" s="197"/>
      <c r="F66" s="197"/>
      <c r="H66" s="197"/>
      <c r="L66" s="197"/>
      <c r="M66" s="199"/>
      <c r="N66" s="200"/>
      <c r="P66" s="200"/>
      <c r="R66" s="201"/>
      <c r="AD66" s="197"/>
      <c r="AH66" s="197"/>
      <c r="AJ66" s="201"/>
      <c r="AL66" s="202"/>
      <c r="AM66" s="196"/>
    </row>
    <row r="67" spans="1:39" s="198" customFormat="1" x14ac:dyDescent="0.35">
      <c r="A67" s="196"/>
      <c r="B67" s="196"/>
      <c r="C67" s="197"/>
      <c r="E67" s="197"/>
      <c r="F67" s="197"/>
      <c r="H67" s="197"/>
      <c r="L67" s="197"/>
      <c r="M67" s="199"/>
      <c r="N67" s="200"/>
      <c r="P67" s="200"/>
      <c r="R67" s="201"/>
      <c r="AD67" s="197"/>
      <c r="AH67" s="197"/>
      <c r="AJ67" s="201"/>
      <c r="AL67" s="202"/>
      <c r="AM67" s="196"/>
    </row>
    <row r="68" spans="1:39" s="198" customFormat="1" x14ac:dyDescent="0.35">
      <c r="A68" s="196"/>
      <c r="B68" s="196"/>
      <c r="C68" s="197"/>
      <c r="E68" s="197"/>
      <c r="F68" s="197"/>
      <c r="H68" s="197"/>
      <c r="L68" s="197"/>
      <c r="M68" s="199"/>
      <c r="N68" s="200"/>
      <c r="P68" s="200"/>
      <c r="R68" s="201"/>
      <c r="AD68" s="197"/>
      <c r="AH68" s="197"/>
      <c r="AJ68" s="201"/>
      <c r="AL68" s="202"/>
      <c r="AM68" s="196"/>
    </row>
    <row r="69" spans="1:39" s="198" customFormat="1" x14ac:dyDescent="0.35">
      <c r="A69" s="196"/>
      <c r="B69" s="196"/>
      <c r="C69" s="197"/>
      <c r="E69" s="197"/>
      <c r="F69" s="197"/>
      <c r="H69" s="197"/>
      <c r="L69" s="197"/>
      <c r="M69" s="199"/>
      <c r="N69" s="200"/>
      <c r="P69" s="200"/>
      <c r="R69" s="201"/>
      <c r="AD69" s="197"/>
      <c r="AH69" s="197"/>
      <c r="AJ69" s="201"/>
      <c r="AL69" s="202"/>
      <c r="AM69" s="196"/>
    </row>
    <row r="70" spans="1:39" s="198" customFormat="1" x14ac:dyDescent="0.35">
      <c r="A70" s="196"/>
      <c r="B70" s="196"/>
      <c r="C70" s="197"/>
      <c r="E70" s="197"/>
      <c r="F70" s="197"/>
      <c r="H70" s="197"/>
      <c r="L70" s="197"/>
      <c r="M70" s="199"/>
      <c r="N70" s="200"/>
      <c r="P70" s="200"/>
      <c r="R70" s="201"/>
      <c r="AD70" s="197"/>
      <c r="AH70" s="197"/>
      <c r="AJ70" s="201"/>
      <c r="AL70" s="202"/>
      <c r="AM70" s="196"/>
    </row>
  </sheetData>
  <mergeCells count="18"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  <mergeCell ref="R9:R10"/>
    <mergeCell ref="S9:S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15" sqref="G15"/>
    </sheetView>
  </sheetViews>
  <sheetFormatPr defaultRowHeight="14.5" x14ac:dyDescent="0.35"/>
  <cols>
    <col min="1" max="1" width="9.54296875" bestFit="1" customWidth="1"/>
    <col min="2" max="2" width="9.26953125" bestFit="1" customWidth="1"/>
    <col min="3" max="3" width="9.54296875" bestFit="1" customWidth="1"/>
  </cols>
  <sheetData>
    <row r="1" spans="1:3" ht="18.5" x14ac:dyDescent="0.45">
      <c r="A1" s="27" t="s">
        <v>28</v>
      </c>
    </row>
    <row r="2" spans="1:3" ht="18.5" x14ac:dyDescent="0.45">
      <c r="A2" s="262">
        <v>44378</v>
      </c>
      <c r="B2" s="263"/>
      <c r="C2" s="263"/>
    </row>
    <row r="3" spans="1:3" x14ac:dyDescent="0.35">
      <c r="A3" s="265" t="s">
        <v>1</v>
      </c>
      <c r="B3" s="264" t="s">
        <v>2</v>
      </c>
      <c r="C3" s="264" t="s">
        <v>3</v>
      </c>
    </row>
    <row r="4" spans="1:3" x14ac:dyDescent="0.35">
      <c r="A4" s="265"/>
      <c r="B4" s="264"/>
      <c r="C4" s="264"/>
    </row>
    <row r="5" spans="1:3" x14ac:dyDescent="0.35">
      <c r="A5" s="265"/>
      <c r="B5" s="264"/>
      <c r="C5" s="264"/>
    </row>
    <row r="6" spans="1:3" x14ac:dyDescent="0.35">
      <c r="A6" s="2">
        <v>1</v>
      </c>
      <c r="B6" s="2">
        <v>4</v>
      </c>
      <c r="C6" s="2">
        <v>84</v>
      </c>
    </row>
    <row r="7" spans="1:3" x14ac:dyDescent="0.35">
      <c r="A7" s="2">
        <v>2</v>
      </c>
      <c r="B7" s="2">
        <v>6</v>
      </c>
      <c r="C7" s="2">
        <v>102</v>
      </c>
    </row>
    <row r="8" spans="1:3" x14ac:dyDescent="0.35">
      <c r="A8" s="2">
        <f>A7+1</f>
        <v>3</v>
      </c>
      <c r="B8" s="2">
        <v>8</v>
      </c>
      <c r="C8" s="2">
        <v>102</v>
      </c>
    </row>
    <row r="9" spans="1:3" x14ac:dyDescent="0.35">
      <c r="A9" s="2">
        <f>A8+1</f>
        <v>4</v>
      </c>
      <c r="B9" s="2">
        <v>6</v>
      </c>
      <c r="C9" s="2">
        <v>83</v>
      </c>
    </row>
    <row r="10" spans="1:3" x14ac:dyDescent="0.35">
      <c r="A10" s="2">
        <f t="shared" ref="A10:A35" si="0">A9+1</f>
        <v>5</v>
      </c>
      <c r="B10" s="2">
        <v>5</v>
      </c>
      <c r="C10" s="2">
        <v>50</v>
      </c>
    </row>
    <row r="11" spans="1:3" x14ac:dyDescent="0.35">
      <c r="A11" s="2">
        <f t="shared" si="0"/>
        <v>6</v>
      </c>
      <c r="B11" s="2">
        <v>7</v>
      </c>
      <c r="C11" s="2">
        <v>63</v>
      </c>
    </row>
    <row r="12" spans="1:3" x14ac:dyDescent="0.35">
      <c r="A12" s="2">
        <f t="shared" si="0"/>
        <v>7</v>
      </c>
      <c r="B12" s="2">
        <v>7</v>
      </c>
      <c r="C12" s="2">
        <v>52</v>
      </c>
    </row>
    <row r="13" spans="1:3" x14ac:dyDescent="0.35">
      <c r="A13" s="2">
        <f t="shared" si="0"/>
        <v>8</v>
      </c>
      <c r="B13" s="2">
        <v>5</v>
      </c>
      <c r="C13" s="2">
        <v>47</v>
      </c>
    </row>
    <row r="14" spans="1:3" x14ac:dyDescent="0.35">
      <c r="A14" s="2">
        <f t="shared" si="0"/>
        <v>9</v>
      </c>
      <c r="B14" s="2">
        <v>5</v>
      </c>
      <c r="C14" s="2">
        <v>47</v>
      </c>
    </row>
    <row r="15" spans="1:3" x14ac:dyDescent="0.35">
      <c r="A15" s="2">
        <f t="shared" si="0"/>
        <v>10</v>
      </c>
      <c r="B15" s="2">
        <v>3</v>
      </c>
      <c r="C15" s="2">
        <v>34</v>
      </c>
    </row>
    <row r="16" spans="1:3" x14ac:dyDescent="0.35">
      <c r="A16" s="2">
        <f t="shared" si="0"/>
        <v>11</v>
      </c>
      <c r="B16" s="2">
        <v>3</v>
      </c>
      <c r="C16" s="2">
        <v>39</v>
      </c>
    </row>
    <row r="17" spans="1:3" x14ac:dyDescent="0.35">
      <c r="A17" s="2">
        <f t="shared" si="0"/>
        <v>12</v>
      </c>
      <c r="B17" s="2">
        <v>3</v>
      </c>
      <c r="C17" s="2">
        <v>39</v>
      </c>
    </row>
    <row r="18" spans="1:3" x14ac:dyDescent="0.35">
      <c r="A18" s="2">
        <f t="shared" si="0"/>
        <v>13</v>
      </c>
      <c r="B18" s="2">
        <v>2</v>
      </c>
      <c r="C18" s="2">
        <v>29</v>
      </c>
    </row>
    <row r="19" spans="1:3" x14ac:dyDescent="0.35">
      <c r="A19" s="2">
        <f t="shared" si="0"/>
        <v>14</v>
      </c>
      <c r="B19" s="2">
        <v>3</v>
      </c>
      <c r="C19" s="2">
        <v>20</v>
      </c>
    </row>
    <row r="20" spans="1:3" x14ac:dyDescent="0.35">
      <c r="A20" s="2">
        <f t="shared" si="0"/>
        <v>15</v>
      </c>
      <c r="B20" s="2">
        <v>3</v>
      </c>
      <c r="C20" s="2">
        <v>22</v>
      </c>
    </row>
    <row r="21" spans="1:3" x14ac:dyDescent="0.35">
      <c r="A21" s="2">
        <f t="shared" si="0"/>
        <v>16</v>
      </c>
      <c r="B21" s="2">
        <v>5</v>
      </c>
      <c r="C21" s="2">
        <v>28</v>
      </c>
    </row>
    <row r="22" spans="1:3" x14ac:dyDescent="0.35">
      <c r="A22" s="2">
        <f t="shared" si="0"/>
        <v>17</v>
      </c>
      <c r="B22" s="2">
        <v>6</v>
      </c>
      <c r="C22" s="2">
        <v>38</v>
      </c>
    </row>
    <row r="23" spans="1:3" x14ac:dyDescent="0.35">
      <c r="A23" s="2">
        <f t="shared" si="0"/>
        <v>18</v>
      </c>
      <c r="B23" s="2">
        <v>5</v>
      </c>
      <c r="C23" s="2">
        <v>46</v>
      </c>
    </row>
    <row r="24" spans="1:3" x14ac:dyDescent="0.35">
      <c r="A24" s="2">
        <f t="shared" si="0"/>
        <v>19</v>
      </c>
      <c r="B24" s="2">
        <v>2</v>
      </c>
      <c r="C24" s="2">
        <v>22</v>
      </c>
    </row>
    <row r="25" spans="1:3" x14ac:dyDescent="0.35">
      <c r="A25" s="2">
        <f t="shared" si="0"/>
        <v>20</v>
      </c>
      <c r="B25" s="2">
        <v>1</v>
      </c>
      <c r="C25" s="2">
        <v>10</v>
      </c>
    </row>
    <row r="26" spans="1:3" x14ac:dyDescent="0.35">
      <c r="A26" s="2">
        <f t="shared" si="0"/>
        <v>21</v>
      </c>
      <c r="B26" s="2">
        <v>0</v>
      </c>
      <c r="C26" s="2">
        <v>4</v>
      </c>
    </row>
    <row r="27" spans="1:3" x14ac:dyDescent="0.35">
      <c r="A27" s="2">
        <f t="shared" si="0"/>
        <v>22</v>
      </c>
      <c r="B27" s="2">
        <v>1</v>
      </c>
      <c r="C27" s="2">
        <v>8</v>
      </c>
    </row>
    <row r="28" spans="1:3" x14ac:dyDescent="0.35">
      <c r="A28" s="2">
        <f t="shared" si="0"/>
        <v>23</v>
      </c>
      <c r="B28" s="2">
        <v>2</v>
      </c>
      <c r="C28" s="2">
        <v>18</v>
      </c>
    </row>
    <row r="29" spans="1:3" x14ac:dyDescent="0.35">
      <c r="A29" s="2">
        <f t="shared" si="0"/>
        <v>24</v>
      </c>
      <c r="B29" s="2">
        <v>2</v>
      </c>
      <c r="C29" s="2">
        <v>21</v>
      </c>
    </row>
    <row r="30" spans="1:3" x14ac:dyDescent="0.35">
      <c r="A30" s="2">
        <f t="shared" si="0"/>
        <v>25</v>
      </c>
      <c r="B30" s="2">
        <v>3</v>
      </c>
      <c r="C30" s="2">
        <v>17</v>
      </c>
    </row>
    <row r="31" spans="1:3" x14ac:dyDescent="0.35">
      <c r="A31" s="2">
        <f t="shared" si="0"/>
        <v>26</v>
      </c>
      <c r="B31" s="2">
        <v>3</v>
      </c>
      <c r="C31" s="2">
        <v>34</v>
      </c>
    </row>
    <row r="32" spans="1:3" x14ac:dyDescent="0.35">
      <c r="A32" s="2">
        <f t="shared" si="0"/>
        <v>27</v>
      </c>
      <c r="B32" s="2">
        <v>3</v>
      </c>
      <c r="C32" s="2">
        <v>55</v>
      </c>
    </row>
    <row r="33" spans="1:3" x14ac:dyDescent="0.35">
      <c r="A33" s="2">
        <f t="shared" si="0"/>
        <v>28</v>
      </c>
      <c r="B33" s="2">
        <v>3</v>
      </c>
      <c r="C33" s="2">
        <v>50</v>
      </c>
    </row>
    <row r="34" spans="1:3" x14ac:dyDescent="0.35">
      <c r="A34" s="2">
        <f t="shared" si="0"/>
        <v>29</v>
      </c>
      <c r="B34" s="2">
        <v>3</v>
      </c>
      <c r="C34" s="2">
        <v>55</v>
      </c>
    </row>
    <row r="35" spans="1:3" x14ac:dyDescent="0.35">
      <c r="A35" s="2">
        <f t="shared" si="0"/>
        <v>30</v>
      </c>
      <c r="B35" s="2">
        <v>5</v>
      </c>
      <c r="C35" s="2">
        <v>74</v>
      </c>
    </row>
    <row r="36" spans="1:3" x14ac:dyDescent="0.35">
      <c r="A36" s="2">
        <v>31</v>
      </c>
      <c r="B36" s="2">
        <v>6</v>
      </c>
      <c r="C36" s="2">
        <v>81</v>
      </c>
    </row>
    <row r="38" spans="1:3" x14ac:dyDescent="0.35">
      <c r="B38" s="6">
        <f>SUM(B6:B36)</f>
        <v>120</v>
      </c>
      <c r="C38" s="6">
        <f>SUM(C6:C36)</f>
        <v>1374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2435AC6-BF2D-437B-A8BA-0FADB66708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July 2021</vt:lpstr>
      <vt:lpstr>RNs &amp; Covers July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ASUS</cp:lastModifiedBy>
  <cp:lastPrinted>2020-11-17T04:34:44Z</cp:lastPrinted>
  <dcterms:created xsi:type="dcterms:W3CDTF">2020-09-16T08:52:25Z</dcterms:created>
  <dcterms:modified xsi:type="dcterms:W3CDTF">2022-04-11T13:31:16Z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