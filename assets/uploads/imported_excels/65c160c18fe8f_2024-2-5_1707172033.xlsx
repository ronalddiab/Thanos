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 codeName="ThisWorkbook"/>
  <xr:revisionPtr revIDLastSave="0" documentId="8_{AC9EEFD3-E100-47F8-88D4-4CF93D2420E7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Sheet2" sheetId="631" r:id="rId1"/>
    <sheet name="Sheet1" sheetId="630" r:id="rId2"/>
    <sheet name="Daily Meter" sheetId="460" r:id="rId3"/>
    <sheet name="1" sheetId="582" r:id="rId4"/>
    <sheet name="2" sheetId="584" r:id="rId5"/>
    <sheet name="3" sheetId="583" r:id="rId6"/>
    <sheet name="4" sheetId="585" r:id="rId7"/>
    <sheet name="5" sheetId="586" r:id="rId8"/>
    <sheet name="6" sheetId="587" r:id="rId9"/>
    <sheet name="7" sheetId="588" r:id="rId10"/>
    <sheet name="8" sheetId="589" r:id="rId11"/>
    <sheet name="9" sheetId="590" r:id="rId12"/>
    <sheet name="10" sheetId="591" r:id="rId13"/>
    <sheet name="11" sheetId="592" r:id="rId14"/>
    <sheet name="12" sheetId="593" r:id="rId15"/>
    <sheet name="13" sheetId="594" r:id="rId16"/>
    <sheet name="14" sheetId="595" r:id="rId17"/>
    <sheet name="15" sheetId="596" r:id="rId18"/>
    <sheet name="16" sheetId="597" r:id="rId19"/>
    <sheet name="17" sheetId="598" r:id="rId20"/>
    <sheet name="18" sheetId="599" r:id="rId21"/>
    <sheet name="19" sheetId="600" r:id="rId22"/>
    <sheet name="20" sheetId="601" r:id="rId23"/>
    <sheet name="21" sheetId="602" r:id="rId24"/>
    <sheet name="22" sheetId="603" r:id="rId25"/>
    <sheet name="23" sheetId="604" r:id="rId26"/>
    <sheet name="24" sheetId="605" r:id="rId27"/>
    <sheet name="25" sheetId="606" r:id="rId28"/>
    <sheet name="26" sheetId="607" r:id="rId29"/>
    <sheet name="27" sheetId="608" r:id="rId30"/>
    <sheet name="28" sheetId="609" r:id="rId31"/>
    <sheet name="29" sheetId="610" r:id="rId32"/>
    <sheet name="30" sheetId="611" r:id="rId33"/>
    <sheet name="31" sheetId="612" r:id="rId34"/>
    <sheet name="jan. 23 to feb. 21" sheetId="613" r:id="rId35"/>
    <sheet name="feb. 1 to 28" sheetId="614" r:id="rId36"/>
    <sheet name="board 1 - 31" sheetId="619" r:id="rId37"/>
    <sheet name="DAILY PRINTING" sheetId="628" r:id="rId38"/>
    <sheet name="DAILY PRINTING (2)" sheetId="629" r:id="rId39"/>
  </sheets>
  <definedNames>
    <definedName name="_xlnm.Print_Area" localSheetId="36">'board 1 - 31'!$L$3:$L$20</definedName>
    <definedName name="_xlnm.Print_Area" localSheetId="37">'DAILY PRINTING'!$A$1:$A$5</definedName>
    <definedName name="_xlnm.Print_Area" localSheetId="38">'DAILY PRINTING (2)'!$F$2:$G$6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31" l="1"/>
  <c r="M4" i="631"/>
  <c r="M5" i="631"/>
  <c r="M6" i="631"/>
  <c r="M7" i="631"/>
  <c r="M8" i="631"/>
  <c r="M9" i="631"/>
  <c r="M10" i="631"/>
  <c r="M11" i="631"/>
  <c r="M12" i="631"/>
  <c r="M13" i="631"/>
  <c r="M14" i="631"/>
  <c r="M15" i="631"/>
  <c r="M16" i="631"/>
  <c r="M17" i="631"/>
  <c r="M18" i="631"/>
  <c r="M19" i="631"/>
  <c r="M20" i="631"/>
  <c r="M21" i="631"/>
  <c r="M22" i="631"/>
  <c r="M23" i="631"/>
  <c r="M24" i="631"/>
  <c r="M25" i="631"/>
  <c r="M26" i="631"/>
  <c r="M27" i="631"/>
  <c r="M28" i="631"/>
  <c r="M29" i="631"/>
  <c r="M30" i="631"/>
  <c r="M2" i="631"/>
  <c r="K3" i="631"/>
  <c r="K4" i="631"/>
  <c r="K5" i="631"/>
  <c r="K6" i="631"/>
  <c r="K7" i="631"/>
  <c r="K8" i="631"/>
  <c r="K9" i="631"/>
  <c r="K10" i="631"/>
  <c r="K11" i="631"/>
  <c r="K12" i="631"/>
  <c r="K13" i="631"/>
  <c r="K14" i="631"/>
  <c r="K15" i="631"/>
  <c r="K16" i="631"/>
  <c r="K17" i="631"/>
  <c r="K18" i="631"/>
  <c r="K19" i="631"/>
  <c r="K20" i="631"/>
  <c r="K21" i="631"/>
  <c r="K22" i="631"/>
  <c r="K23" i="631"/>
  <c r="K24" i="631"/>
  <c r="K25" i="631"/>
  <c r="K26" i="631"/>
  <c r="K27" i="631"/>
  <c r="K28" i="631"/>
  <c r="K29" i="631"/>
  <c r="K30" i="631"/>
  <c r="K2" i="631"/>
  <c r="I3" i="631"/>
  <c r="I4" i="631"/>
  <c r="I5" i="631"/>
  <c r="I6" i="631"/>
  <c r="I7" i="631"/>
  <c r="I8" i="631"/>
  <c r="I9" i="631"/>
  <c r="I10" i="631"/>
  <c r="I11" i="631"/>
  <c r="I12" i="631"/>
  <c r="I13" i="631"/>
  <c r="I14" i="631"/>
  <c r="I15" i="631"/>
  <c r="I16" i="631"/>
  <c r="I17" i="631"/>
  <c r="I18" i="631"/>
  <c r="I19" i="631"/>
  <c r="I20" i="631"/>
  <c r="I21" i="631"/>
  <c r="I22" i="631"/>
  <c r="I23" i="631"/>
  <c r="I24" i="631"/>
  <c r="I25" i="631"/>
  <c r="I26" i="631"/>
  <c r="I27" i="631"/>
  <c r="I28" i="631"/>
  <c r="I29" i="631"/>
  <c r="I30" i="631"/>
  <c r="I2" i="631"/>
  <c r="G3" i="631"/>
  <c r="G4" i="631"/>
  <c r="G5" i="631"/>
  <c r="G6" i="631"/>
  <c r="G7" i="631"/>
  <c r="G8" i="631"/>
  <c r="G9" i="631"/>
  <c r="G10" i="631"/>
  <c r="G11" i="631"/>
  <c r="G12" i="631"/>
  <c r="G13" i="631"/>
  <c r="G14" i="631"/>
  <c r="G15" i="631"/>
  <c r="G16" i="631"/>
  <c r="G17" i="631"/>
  <c r="G18" i="631"/>
  <c r="G19" i="631"/>
  <c r="G20" i="631"/>
  <c r="G21" i="631"/>
  <c r="G22" i="631"/>
  <c r="G23" i="631"/>
  <c r="G24" i="631"/>
  <c r="G25" i="631"/>
  <c r="G26" i="631"/>
  <c r="G27" i="631"/>
  <c r="G28" i="631"/>
  <c r="G29" i="631"/>
  <c r="G30" i="631"/>
  <c r="G2" i="631"/>
  <c r="E3" i="631"/>
  <c r="E4" i="631"/>
  <c r="E5" i="631"/>
  <c r="E6" i="631"/>
  <c r="E7" i="631"/>
  <c r="E8" i="631"/>
  <c r="E9" i="631"/>
  <c r="E10" i="631"/>
  <c r="E11" i="631"/>
  <c r="E12" i="631"/>
  <c r="E13" i="631"/>
  <c r="E14" i="631"/>
  <c r="E15" i="631"/>
  <c r="E16" i="631"/>
  <c r="E17" i="631"/>
  <c r="E18" i="631"/>
  <c r="E19" i="631"/>
  <c r="E20" i="631"/>
  <c r="E21" i="631"/>
  <c r="E22" i="631"/>
  <c r="E23" i="631"/>
  <c r="E24" i="631"/>
  <c r="E25" i="631"/>
  <c r="E26" i="631"/>
  <c r="E27" i="631"/>
  <c r="E28" i="631"/>
  <c r="E29" i="631"/>
  <c r="E30" i="631"/>
  <c r="E2" i="631"/>
  <c r="L30" i="631"/>
  <c r="L29" i="631"/>
  <c r="L28" i="631"/>
  <c r="L27" i="631"/>
  <c r="L26" i="631"/>
  <c r="L25" i="631"/>
  <c r="L24" i="631"/>
  <c r="L23" i="631"/>
  <c r="L22" i="631"/>
  <c r="L21" i="631"/>
  <c r="L20" i="631"/>
  <c r="L19" i="631"/>
  <c r="L18" i="631"/>
  <c r="L17" i="631"/>
  <c r="L16" i="631"/>
  <c r="L15" i="631"/>
  <c r="L14" i="631"/>
  <c r="L13" i="631"/>
  <c r="L12" i="631"/>
  <c r="L11" i="631"/>
  <c r="L10" i="631"/>
  <c r="L9" i="631"/>
  <c r="L8" i="631"/>
  <c r="L7" i="631"/>
  <c r="L6" i="631"/>
  <c r="L5" i="631"/>
  <c r="L4" i="631"/>
  <c r="L3" i="631"/>
  <c r="B3" i="631"/>
  <c r="B4" i="631" s="1"/>
  <c r="B5" i="631" s="1"/>
  <c r="B6" i="631" s="1"/>
  <c r="B7" i="631" s="1"/>
  <c r="B8" i="631" s="1"/>
  <c r="B9" i="631" s="1"/>
  <c r="B10" i="631" s="1"/>
  <c r="B11" i="631" s="1"/>
  <c r="B12" i="631" s="1"/>
  <c r="B13" i="631" s="1"/>
  <c r="B14" i="631" s="1"/>
  <c r="B15" i="631" s="1"/>
  <c r="B16" i="631" s="1"/>
  <c r="B17" i="631" s="1"/>
  <c r="B18" i="631" s="1"/>
  <c r="B19" i="631" s="1"/>
  <c r="B20" i="631" s="1"/>
  <c r="B21" i="631" s="1"/>
  <c r="B22" i="631" s="1"/>
  <c r="B23" i="631" s="1"/>
  <c r="B24" i="631" s="1"/>
  <c r="B25" i="631" s="1"/>
  <c r="B26" i="631" s="1"/>
  <c r="B27" i="631" s="1"/>
  <c r="B28" i="631" s="1"/>
  <c r="B29" i="631" s="1"/>
  <c r="B30" i="631" s="1"/>
  <c r="L2" i="631"/>
  <c r="N3" i="630"/>
  <c r="N4" i="630"/>
  <c r="N5" i="630"/>
  <c r="N6" i="630"/>
  <c r="N7" i="630"/>
  <c r="N8" i="630"/>
  <c r="N9" i="630"/>
  <c r="N10" i="630"/>
  <c r="N11" i="630"/>
  <c r="N12" i="630"/>
  <c r="N13" i="630"/>
  <c r="N14" i="630"/>
  <c r="N15" i="630"/>
  <c r="N16" i="630"/>
  <c r="N17" i="630"/>
  <c r="N18" i="630"/>
  <c r="N19" i="630"/>
  <c r="N20" i="630"/>
  <c r="N21" i="630"/>
  <c r="N22" i="630"/>
  <c r="N23" i="630"/>
  <c r="N24" i="630"/>
  <c r="N25" i="630"/>
  <c r="N26" i="630"/>
  <c r="N27" i="630"/>
  <c r="N28" i="630"/>
  <c r="N29" i="630"/>
  <c r="N2" i="630"/>
  <c r="M4" i="630"/>
  <c r="M5" i="630"/>
  <c r="M6" i="630"/>
  <c r="M7" i="630"/>
  <c r="M8" i="630"/>
  <c r="M9" i="630"/>
  <c r="M10" i="630"/>
  <c r="M11" i="630"/>
  <c r="M12" i="630"/>
  <c r="M13" i="630"/>
  <c r="M14" i="630"/>
  <c r="M15" i="630"/>
  <c r="M16" i="630"/>
  <c r="M17" i="630"/>
  <c r="M18" i="630"/>
  <c r="M19" i="630"/>
  <c r="M20" i="630"/>
  <c r="M21" i="630"/>
  <c r="M22" i="630"/>
  <c r="M23" i="630"/>
  <c r="M24" i="630"/>
  <c r="M25" i="630"/>
  <c r="M26" i="630"/>
  <c r="M27" i="630"/>
  <c r="M28" i="630"/>
  <c r="M29" i="630"/>
  <c r="M3" i="630"/>
  <c r="M2" i="630"/>
  <c r="L4" i="630"/>
  <c r="L5" i="630"/>
  <c r="L6" i="630"/>
  <c r="L7" i="630"/>
  <c r="L8" i="630"/>
  <c r="L9" i="630"/>
  <c r="L10" i="630"/>
  <c r="L11" i="630"/>
  <c r="L12" i="630"/>
  <c r="L13" i="630"/>
  <c r="L14" i="630"/>
  <c r="L15" i="630"/>
  <c r="L16" i="630"/>
  <c r="L17" i="630"/>
  <c r="L18" i="630"/>
  <c r="L19" i="630"/>
  <c r="L20" i="630"/>
  <c r="L21" i="630"/>
  <c r="L22" i="630"/>
  <c r="L23" i="630"/>
  <c r="L24" i="630"/>
  <c r="L25" i="630"/>
  <c r="L26" i="630"/>
  <c r="L27" i="630"/>
  <c r="L28" i="630"/>
  <c r="L29" i="630"/>
  <c r="L3" i="630"/>
  <c r="L2" i="630"/>
  <c r="K4" i="630"/>
  <c r="K5" i="630"/>
  <c r="K6" i="630"/>
  <c r="K7" i="630"/>
  <c r="K8" i="630"/>
  <c r="K9" i="630"/>
  <c r="K10" i="630"/>
  <c r="K11" i="630"/>
  <c r="K12" i="630"/>
  <c r="K13" i="630"/>
  <c r="K14" i="630"/>
  <c r="K15" i="630"/>
  <c r="K16" i="630"/>
  <c r="K17" i="630"/>
  <c r="K18" i="630"/>
  <c r="K19" i="630"/>
  <c r="K20" i="630"/>
  <c r="K21" i="630"/>
  <c r="K22" i="630"/>
  <c r="K23" i="630"/>
  <c r="K24" i="630"/>
  <c r="K25" i="630"/>
  <c r="K26" i="630"/>
  <c r="K27" i="630"/>
  <c r="K28" i="630"/>
  <c r="K29" i="630"/>
  <c r="K3" i="630"/>
  <c r="K2" i="630"/>
  <c r="J3" i="630"/>
  <c r="J4" i="630"/>
  <c r="J5" i="630"/>
  <c r="J6" i="630"/>
  <c r="J7" i="630"/>
  <c r="J8" i="630"/>
  <c r="J9" i="630"/>
  <c r="J10" i="630"/>
  <c r="J11" i="630"/>
  <c r="J12" i="630"/>
  <c r="J13" i="630"/>
  <c r="J14" i="630"/>
  <c r="J15" i="630"/>
  <c r="J16" i="630"/>
  <c r="J17" i="630"/>
  <c r="J18" i="630"/>
  <c r="J19" i="630"/>
  <c r="J20" i="630"/>
  <c r="J21" i="630"/>
  <c r="J22" i="630"/>
  <c r="J23" i="630"/>
  <c r="J24" i="630"/>
  <c r="J25" i="630"/>
  <c r="J26" i="630"/>
  <c r="J27" i="630"/>
  <c r="J28" i="630"/>
  <c r="J29" i="630"/>
  <c r="I4" i="630"/>
  <c r="I5" i="630"/>
  <c r="I6" i="630"/>
  <c r="I7" i="630"/>
  <c r="I8" i="630"/>
  <c r="I9" i="630"/>
  <c r="I10" i="630"/>
  <c r="I11" i="630"/>
  <c r="I12" i="630"/>
  <c r="I13" i="630"/>
  <c r="I14" i="630"/>
  <c r="I15" i="630"/>
  <c r="I16" i="630"/>
  <c r="I17" i="630"/>
  <c r="I18" i="630"/>
  <c r="I19" i="630"/>
  <c r="I20" i="630"/>
  <c r="I21" i="630"/>
  <c r="I22" i="630"/>
  <c r="I23" i="630"/>
  <c r="I24" i="630"/>
  <c r="I25" i="630"/>
  <c r="I26" i="630"/>
  <c r="I27" i="630"/>
  <c r="I28" i="630"/>
  <c r="I29" i="630"/>
  <c r="I3" i="630"/>
  <c r="H4" i="630"/>
  <c r="H5" i="630"/>
  <c r="H6" i="630"/>
  <c r="H7" i="630"/>
  <c r="H8" i="630"/>
  <c r="H9" i="630"/>
  <c r="H10" i="630"/>
  <c r="H11" i="630"/>
  <c r="H12" i="630"/>
  <c r="H13" i="630"/>
  <c r="H14" i="630"/>
  <c r="H15" i="630"/>
  <c r="H16" i="630"/>
  <c r="H17" i="630"/>
  <c r="H18" i="630"/>
  <c r="H19" i="630"/>
  <c r="H20" i="630"/>
  <c r="H21" i="630"/>
  <c r="H22" i="630"/>
  <c r="H23" i="630"/>
  <c r="H24" i="630"/>
  <c r="H25" i="630"/>
  <c r="H26" i="630"/>
  <c r="H27" i="630"/>
  <c r="H28" i="630"/>
  <c r="H29" i="630"/>
  <c r="H3" i="630"/>
  <c r="G3" i="630"/>
  <c r="G4" i="630"/>
  <c r="G5" i="630"/>
  <c r="G6" i="630"/>
  <c r="G7" i="630"/>
  <c r="G8" i="630"/>
  <c r="G9" i="630"/>
  <c r="G10" i="630"/>
  <c r="G11" i="630"/>
  <c r="G12" i="630"/>
  <c r="G13" i="630"/>
  <c r="G14" i="630"/>
  <c r="G15" i="630"/>
  <c r="G16" i="630"/>
  <c r="G17" i="630"/>
  <c r="G18" i="630"/>
  <c r="G19" i="630"/>
  <c r="G20" i="630"/>
  <c r="G21" i="630"/>
  <c r="G22" i="630"/>
  <c r="G23" i="630"/>
  <c r="G24" i="630"/>
  <c r="G25" i="630"/>
  <c r="G26" i="630"/>
  <c r="G27" i="630"/>
  <c r="G28" i="630"/>
  <c r="G29" i="630"/>
  <c r="F3" i="630"/>
  <c r="F4" i="630"/>
  <c r="F5" i="630"/>
  <c r="F6" i="630"/>
  <c r="F7" i="630"/>
  <c r="F8" i="630"/>
  <c r="F9" i="630"/>
  <c r="F10" i="630"/>
  <c r="F11" i="630"/>
  <c r="F12" i="630"/>
  <c r="F13" i="630"/>
  <c r="F14" i="630"/>
  <c r="F15" i="630"/>
  <c r="F16" i="630"/>
  <c r="F17" i="630"/>
  <c r="F18" i="630"/>
  <c r="F19" i="630"/>
  <c r="F20" i="630"/>
  <c r="F21" i="630"/>
  <c r="F22" i="630"/>
  <c r="F23" i="630"/>
  <c r="F24" i="630"/>
  <c r="F25" i="630"/>
  <c r="F26" i="630"/>
  <c r="F27" i="630"/>
  <c r="F28" i="630"/>
  <c r="F29" i="630"/>
  <c r="E4" i="630"/>
  <c r="E5" i="630"/>
  <c r="E6" i="630"/>
  <c r="E7" i="630"/>
  <c r="E8" i="630"/>
  <c r="E9" i="630"/>
  <c r="E10" i="630"/>
  <c r="E11" i="630"/>
  <c r="E12" i="630"/>
  <c r="E13" i="630"/>
  <c r="E14" i="630"/>
  <c r="E15" i="630"/>
  <c r="E16" i="630"/>
  <c r="E17" i="630"/>
  <c r="E18" i="630"/>
  <c r="E19" i="630"/>
  <c r="E20" i="630"/>
  <c r="E21" i="630"/>
  <c r="E22" i="630"/>
  <c r="E23" i="630"/>
  <c r="E24" i="630"/>
  <c r="E25" i="630"/>
  <c r="E26" i="630"/>
  <c r="E27" i="630"/>
  <c r="E28" i="630"/>
  <c r="E29" i="630"/>
  <c r="E3" i="630"/>
  <c r="E2" i="630"/>
  <c r="B3" i="630"/>
  <c r="B4" i="630" s="1"/>
  <c r="B5" i="630" s="1"/>
  <c r="B6" i="630" s="1"/>
  <c r="B7" i="630" s="1"/>
  <c r="B8" i="630" s="1"/>
  <c r="B9" i="630" s="1"/>
  <c r="B10" i="630" s="1"/>
  <c r="B11" i="630" s="1"/>
  <c r="B12" i="630" s="1"/>
  <c r="B13" i="630" s="1"/>
  <c r="B14" i="630" s="1"/>
  <c r="B15" i="630" s="1"/>
  <c r="B16" i="630" s="1"/>
  <c r="B17" i="630" s="1"/>
  <c r="B18" i="630" s="1"/>
  <c r="B19" i="630" s="1"/>
  <c r="B20" i="630" s="1"/>
  <c r="B21" i="630" s="1"/>
  <c r="B22" i="630" s="1"/>
  <c r="B23" i="630" s="1"/>
  <c r="B24" i="630" s="1"/>
  <c r="B25" i="630" s="1"/>
  <c r="B26" i="630" s="1"/>
  <c r="B27" i="630" s="1"/>
  <c r="B28" i="630" s="1"/>
  <c r="B29" i="630" s="1"/>
  <c r="F13" i="613" l="1"/>
  <c r="F13" i="614" l="1"/>
  <c r="G14" i="614" l="1"/>
  <c r="G14" i="613"/>
  <c r="AF12" i="619" l="1"/>
  <c r="AE12" i="619"/>
  <c r="AD12" i="619"/>
  <c r="AC12" i="619"/>
  <c r="AB12" i="619"/>
  <c r="AA12" i="619"/>
  <c r="Z12" i="619"/>
  <c r="Y12" i="619"/>
  <c r="X12" i="619"/>
  <c r="W12" i="619"/>
  <c r="V12" i="619"/>
  <c r="U12" i="619"/>
  <c r="T12" i="619"/>
  <c r="S12" i="619"/>
  <c r="R12" i="619"/>
  <c r="Q12" i="619"/>
  <c r="P12" i="619"/>
  <c r="O12" i="619"/>
  <c r="N12" i="619"/>
  <c r="M12" i="619"/>
  <c r="L12" i="619"/>
  <c r="K12" i="619"/>
  <c r="J12" i="619"/>
  <c r="I12" i="619"/>
  <c r="H12" i="619"/>
  <c r="G12" i="619"/>
  <c r="F12" i="619"/>
  <c r="E12" i="619"/>
  <c r="D12" i="619"/>
  <c r="C12" i="619"/>
  <c r="B12" i="619"/>
  <c r="F40" i="614" l="1"/>
  <c r="F30" i="614"/>
  <c r="F29" i="614"/>
  <c r="F28" i="614"/>
  <c r="F27" i="614"/>
  <c r="F26" i="614"/>
  <c r="F25" i="614"/>
  <c r="F16" i="614"/>
  <c r="F17" i="614" s="1"/>
  <c r="F8" i="614"/>
  <c r="F9" i="614" s="1"/>
  <c r="F11" i="614" s="1"/>
  <c r="M27" i="614" l="1"/>
  <c r="H27" i="614"/>
  <c r="M25" i="614" s="1"/>
  <c r="M28" i="614" s="1"/>
  <c r="O27" i="614"/>
  <c r="H29" i="614"/>
  <c r="O25" i="614" s="1"/>
  <c r="H30" i="614"/>
  <c r="P25" i="614" s="1"/>
  <c r="P27" i="614"/>
  <c r="D49" i="614"/>
  <c r="F41" i="614"/>
  <c r="F42" i="614" s="1"/>
  <c r="H25" i="614"/>
  <c r="K25" i="614" s="1"/>
  <c r="K27" i="614"/>
  <c r="L27" i="614"/>
  <c r="H26" i="614"/>
  <c r="L25" i="614" s="1"/>
  <c r="L28" i="614" s="1"/>
  <c r="H28" i="614"/>
  <c r="N25" i="614" s="1"/>
  <c r="N27" i="614"/>
  <c r="F31" i="614"/>
  <c r="F36" i="614" s="1"/>
  <c r="E49" i="614"/>
  <c r="F10" i="614"/>
  <c r="D46" i="614"/>
  <c r="F22" i="614"/>
  <c r="F21" i="614"/>
  <c r="F20" i="614"/>
  <c r="D47" i="614"/>
  <c r="P28" i="614" l="1"/>
  <c r="D48" i="614"/>
  <c r="N28" i="614"/>
  <c r="F35" i="614"/>
  <c r="K28" i="614"/>
  <c r="O28" i="614"/>
  <c r="F37" i="614"/>
  <c r="E48" i="614" s="1"/>
  <c r="F12" i="614"/>
  <c r="F14" i="614" s="1"/>
  <c r="F23" i="614"/>
  <c r="E47" i="614" s="1"/>
  <c r="E46" i="614" l="1"/>
  <c r="E50" i="614" s="1"/>
  <c r="B4" i="612" l="1"/>
  <c r="F40" i="613" l="1"/>
  <c r="F30" i="613"/>
  <c r="F29" i="613"/>
  <c r="F28" i="613"/>
  <c r="F27" i="613"/>
  <c r="F26" i="613"/>
  <c r="F25" i="613"/>
  <c r="F16" i="613"/>
  <c r="F17" i="613" s="1"/>
  <c r="F20" i="613" s="1"/>
  <c r="F8" i="613"/>
  <c r="F9" i="613" s="1"/>
  <c r="F11" i="613" s="1"/>
  <c r="D49" i="613" l="1"/>
  <c r="F41" i="613"/>
  <c r="F42" i="613" s="1"/>
  <c r="F21" i="613"/>
  <c r="F22" i="613"/>
  <c r="E49" i="613"/>
  <c r="F31" i="613"/>
  <c r="D47" i="613"/>
  <c r="F10" i="613"/>
  <c r="D46" i="613"/>
  <c r="F23" i="613" l="1"/>
  <c r="E47" i="613" s="1"/>
  <c r="F36" i="613"/>
  <c r="F35" i="613"/>
  <c r="D48" i="613"/>
  <c r="F12" i="613"/>
  <c r="F14" i="613" s="1"/>
  <c r="E46" i="613" l="1"/>
  <c r="F37" i="613"/>
  <c r="E48" i="613" s="1"/>
  <c r="E50" i="613" l="1"/>
  <c r="F17" i="582"/>
  <c r="F17" i="598" l="1"/>
  <c r="E17" i="598"/>
  <c r="F23" i="598" l="1"/>
  <c r="E23" i="598"/>
  <c r="F19" i="598"/>
  <c r="E19" i="598"/>
  <c r="F18" i="598"/>
  <c r="E18" i="598"/>
  <c r="F15" i="598"/>
  <c r="E15" i="598"/>
  <c r="F14" i="598"/>
  <c r="E14" i="598"/>
  <c r="F11" i="598"/>
  <c r="E11" i="598"/>
  <c r="E8" i="598"/>
  <c r="F8" i="598"/>
  <c r="F23" i="612" l="1"/>
  <c r="E23" i="612"/>
  <c r="F19" i="612"/>
  <c r="E19" i="612"/>
  <c r="F18" i="612"/>
  <c r="E18" i="612"/>
  <c r="F17" i="612"/>
  <c r="E17" i="612"/>
  <c r="F16" i="612"/>
  <c r="E16" i="612"/>
  <c r="F15" i="612"/>
  <c r="E15" i="612"/>
  <c r="F14" i="612"/>
  <c r="E14" i="612"/>
  <c r="F11" i="612"/>
  <c r="E11" i="612"/>
  <c r="F8" i="612"/>
  <c r="E8" i="612"/>
  <c r="F23" i="611"/>
  <c r="E23" i="611"/>
  <c r="F19" i="611"/>
  <c r="E19" i="611"/>
  <c r="F18" i="611"/>
  <c r="D18" i="612" s="1"/>
  <c r="E18" i="611"/>
  <c r="F17" i="611"/>
  <c r="D17" i="612" s="1"/>
  <c r="E17" i="611"/>
  <c r="F16" i="611"/>
  <c r="D16" i="612" s="1"/>
  <c r="E16" i="611"/>
  <c r="F15" i="611"/>
  <c r="E15" i="611"/>
  <c r="F14" i="611"/>
  <c r="D14" i="612" s="1"/>
  <c r="E14" i="611"/>
  <c r="F11" i="611"/>
  <c r="D11" i="612" s="1"/>
  <c r="E11" i="611"/>
  <c r="F8" i="611"/>
  <c r="D8" i="612" s="1"/>
  <c r="E8" i="611"/>
  <c r="B4" i="611"/>
  <c r="F23" i="610"/>
  <c r="D23" i="611" s="1"/>
  <c r="E23" i="610"/>
  <c r="F19" i="610"/>
  <c r="D19" i="611" s="1"/>
  <c r="E19" i="610"/>
  <c r="F18" i="610"/>
  <c r="D18" i="611" s="1"/>
  <c r="E18" i="610"/>
  <c r="F17" i="610"/>
  <c r="E17" i="610"/>
  <c r="F16" i="610"/>
  <c r="E16" i="610"/>
  <c r="F15" i="610"/>
  <c r="D15" i="611" s="1"/>
  <c r="E15" i="610"/>
  <c r="F14" i="610"/>
  <c r="D14" i="611" s="1"/>
  <c r="E14" i="610"/>
  <c r="F11" i="610"/>
  <c r="D11" i="611" s="1"/>
  <c r="E11" i="610"/>
  <c r="F8" i="610"/>
  <c r="D8" i="611" s="1"/>
  <c r="E8" i="610"/>
  <c r="B4" i="610"/>
  <c r="B4" i="609"/>
  <c r="B4" i="608"/>
  <c r="B4" i="607"/>
  <c r="B4" i="606"/>
  <c r="B4" i="605"/>
  <c r="B4" i="604"/>
  <c r="B4" i="603"/>
  <c r="B4" i="597"/>
  <c r="F23" i="609"/>
  <c r="D23" i="610" s="1"/>
  <c r="E23" i="609"/>
  <c r="F19" i="609"/>
  <c r="D19" i="610" s="1"/>
  <c r="E19" i="609"/>
  <c r="F18" i="609"/>
  <c r="E18" i="609"/>
  <c r="F17" i="609"/>
  <c r="D17" i="610" s="1"/>
  <c r="E17" i="609"/>
  <c r="F16" i="609"/>
  <c r="D16" i="610" s="1"/>
  <c r="E16" i="609"/>
  <c r="F15" i="609"/>
  <c r="D15" i="610" s="1"/>
  <c r="E15" i="609"/>
  <c r="F14" i="609"/>
  <c r="D14" i="610" s="1"/>
  <c r="E14" i="609"/>
  <c r="F11" i="609"/>
  <c r="D11" i="610" s="1"/>
  <c r="E11" i="609"/>
  <c r="F8" i="609"/>
  <c r="D8" i="610" s="1"/>
  <c r="E8" i="609"/>
  <c r="F23" i="608"/>
  <c r="D23" i="609" s="1"/>
  <c r="E23" i="608"/>
  <c r="F19" i="608"/>
  <c r="E19" i="608"/>
  <c r="F18" i="608"/>
  <c r="D18" i="609" s="1"/>
  <c r="E18" i="608"/>
  <c r="F17" i="608"/>
  <c r="D17" i="609" s="1"/>
  <c r="E17" i="608"/>
  <c r="F16" i="608"/>
  <c r="E16" i="608"/>
  <c r="F15" i="608"/>
  <c r="E15" i="608"/>
  <c r="F14" i="608"/>
  <c r="D14" i="609" s="1"/>
  <c r="E14" i="608"/>
  <c r="F11" i="608"/>
  <c r="E11" i="608"/>
  <c r="F8" i="608"/>
  <c r="D8" i="609" s="1"/>
  <c r="E8" i="608"/>
  <c r="F23" i="607"/>
  <c r="D23" i="608" s="1"/>
  <c r="E23" i="607"/>
  <c r="F19" i="607"/>
  <c r="D19" i="608" s="1"/>
  <c r="E19" i="607"/>
  <c r="F18" i="607"/>
  <c r="D18" i="608" s="1"/>
  <c r="E18" i="607"/>
  <c r="F17" i="607"/>
  <c r="D17" i="608" s="1"/>
  <c r="E17" i="607"/>
  <c r="F16" i="607"/>
  <c r="D16" i="608" s="1"/>
  <c r="E16" i="607"/>
  <c r="F15" i="607"/>
  <c r="D15" i="608" s="1"/>
  <c r="E15" i="607"/>
  <c r="F14" i="607"/>
  <c r="D14" i="608" s="1"/>
  <c r="E14" i="607"/>
  <c r="F11" i="607"/>
  <c r="D11" i="608" s="1"/>
  <c r="E11" i="607"/>
  <c r="F8" i="607"/>
  <c r="D8" i="608" s="1"/>
  <c r="E8" i="607"/>
  <c r="F23" i="606"/>
  <c r="D23" i="607" s="1"/>
  <c r="E23" i="606"/>
  <c r="F19" i="606"/>
  <c r="D19" i="607" s="1"/>
  <c r="E19" i="606"/>
  <c r="F18" i="606"/>
  <c r="D18" i="607" s="1"/>
  <c r="E18" i="606"/>
  <c r="F17" i="606"/>
  <c r="D17" i="607" s="1"/>
  <c r="E17" i="606"/>
  <c r="F16" i="606"/>
  <c r="D16" i="607" s="1"/>
  <c r="E16" i="606"/>
  <c r="F15" i="606"/>
  <c r="D15" i="607" s="1"/>
  <c r="E15" i="606"/>
  <c r="F14" i="606"/>
  <c r="E14" i="606"/>
  <c r="F11" i="606"/>
  <c r="D11" i="607" s="1"/>
  <c r="E11" i="606"/>
  <c r="F8" i="606"/>
  <c r="D8" i="607" s="1"/>
  <c r="E8" i="606"/>
  <c r="F23" i="605"/>
  <c r="E23" i="605"/>
  <c r="F19" i="605"/>
  <c r="D19" i="606" s="1"/>
  <c r="E19" i="605"/>
  <c r="F18" i="605"/>
  <c r="D18" i="606" s="1"/>
  <c r="E18" i="605"/>
  <c r="F17" i="605"/>
  <c r="D17" i="606" s="1"/>
  <c r="E17" i="605"/>
  <c r="F16" i="605"/>
  <c r="D16" i="606" s="1"/>
  <c r="E16" i="605"/>
  <c r="F15" i="605"/>
  <c r="D15" i="606" s="1"/>
  <c r="E15" i="605"/>
  <c r="F14" i="605"/>
  <c r="E14" i="605"/>
  <c r="F11" i="605"/>
  <c r="D11" i="606" s="1"/>
  <c r="E11" i="605"/>
  <c r="F8" i="605"/>
  <c r="D8" i="606" s="1"/>
  <c r="E8" i="605"/>
  <c r="F23" i="604"/>
  <c r="D23" i="605" s="1"/>
  <c r="E23" i="604"/>
  <c r="F19" i="604"/>
  <c r="D19" i="605" s="1"/>
  <c r="E19" i="604"/>
  <c r="F18" i="604"/>
  <c r="D18" i="605" s="1"/>
  <c r="E18" i="604"/>
  <c r="F17" i="604"/>
  <c r="D17" i="605" s="1"/>
  <c r="E17" i="604"/>
  <c r="F16" i="604"/>
  <c r="D16" i="605" s="1"/>
  <c r="E16" i="604"/>
  <c r="F15" i="604"/>
  <c r="D15" i="605" s="1"/>
  <c r="E15" i="604"/>
  <c r="F14" i="604"/>
  <c r="D14" i="605" s="1"/>
  <c r="E14" i="604"/>
  <c r="F11" i="604"/>
  <c r="D11" i="605" s="1"/>
  <c r="E11" i="604"/>
  <c r="F8" i="604"/>
  <c r="D8" i="605" s="1"/>
  <c r="E8" i="604"/>
  <c r="H19" i="610" l="1"/>
  <c r="H8" i="612"/>
  <c r="H9" i="612" s="1"/>
  <c r="I9" i="612" s="1"/>
  <c r="G29" i="612" s="1"/>
  <c r="H23" i="607"/>
  <c r="G11" i="610"/>
  <c r="G12" i="610" s="1"/>
  <c r="H19" i="607"/>
  <c r="H16" i="608"/>
  <c r="G16" i="610"/>
  <c r="H15" i="610"/>
  <c r="H19" i="606"/>
  <c r="G16" i="608"/>
  <c r="H23" i="608"/>
  <c r="G15" i="609"/>
  <c r="H16" i="612"/>
  <c r="G16" i="612"/>
  <c r="G23" i="611"/>
  <c r="H14" i="611"/>
  <c r="H15" i="611"/>
  <c r="G15" i="610"/>
  <c r="H14" i="608"/>
  <c r="G15" i="607"/>
  <c r="H15" i="608"/>
  <c r="H11" i="608"/>
  <c r="H12" i="608" s="1"/>
  <c r="F30" i="608" s="1"/>
  <c r="H17" i="610"/>
  <c r="H14" i="612"/>
  <c r="H14" i="605"/>
  <c r="H23" i="605"/>
  <c r="H24" i="605" s="1"/>
  <c r="I24" i="605" s="1"/>
  <c r="H16" i="607"/>
  <c r="G11" i="608"/>
  <c r="G12" i="608" s="1"/>
  <c r="D15" i="612"/>
  <c r="H15" i="612" s="1"/>
  <c r="H19" i="611"/>
  <c r="H19" i="608"/>
  <c r="H15" i="605"/>
  <c r="G19" i="606"/>
  <c r="H18" i="609"/>
  <c r="D18" i="610"/>
  <c r="H18" i="610" s="1"/>
  <c r="D14" i="606"/>
  <c r="H14" i="606" s="1"/>
  <c r="D19" i="612"/>
  <c r="H19" i="612" s="1"/>
  <c r="D11" i="609"/>
  <c r="H11" i="609" s="1"/>
  <c r="H12" i="609" s="1"/>
  <c r="D16" i="611"/>
  <c r="H16" i="611" s="1"/>
  <c r="D23" i="612"/>
  <c r="H23" i="612" s="1"/>
  <c r="H17" i="612"/>
  <c r="D17" i="611"/>
  <c r="H17" i="611" s="1"/>
  <c r="H11" i="607"/>
  <c r="H12" i="607" s="1"/>
  <c r="I12" i="607" s="1"/>
  <c r="G30" i="607" s="1"/>
  <c r="D15" i="609"/>
  <c r="H15" i="609" s="1"/>
  <c r="D14" i="607"/>
  <c r="H14" i="607" s="1"/>
  <c r="D16" i="609"/>
  <c r="H16" i="609" s="1"/>
  <c r="H16" i="610"/>
  <c r="H11" i="612"/>
  <c r="H12" i="612" s="1"/>
  <c r="F30" i="612" s="1"/>
  <c r="H11" i="605"/>
  <c r="H12" i="605" s="1"/>
  <c r="F30" i="605" s="1"/>
  <c r="D23" i="606"/>
  <c r="H23" i="606" s="1"/>
  <c r="H15" i="607"/>
  <c r="H8" i="608"/>
  <c r="H9" i="608" s="1"/>
  <c r="F29" i="608" s="1"/>
  <c r="D19" i="609"/>
  <c r="H19" i="609" s="1"/>
  <c r="H8" i="611"/>
  <c r="H9" i="611" s="1"/>
  <c r="I9" i="611" s="1"/>
  <c r="G29" i="611" s="1"/>
  <c r="G15" i="612"/>
  <c r="G11" i="612"/>
  <c r="G12" i="612" s="1"/>
  <c r="H18" i="612"/>
  <c r="G14" i="612"/>
  <c r="G19" i="612"/>
  <c r="G8" i="612"/>
  <c r="G9" i="612" s="1"/>
  <c r="G18" i="612"/>
  <c r="G17" i="612"/>
  <c r="G23" i="612"/>
  <c r="G14" i="611"/>
  <c r="H18" i="611"/>
  <c r="G18" i="611"/>
  <c r="G17" i="611"/>
  <c r="G15" i="611"/>
  <c r="G8" i="611"/>
  <c r="G9" i="611" s="1"/>
  <c r="H23" i="611"/>
  <c r="H24" i="611" s="1"/>
  <c r="I24" i="611" s="1"/>
  <c r="H11" i="611"/>
  <c r="H12" i="611" s="1"/>
  <c r="I12" i="611" s="1"/>
  <c r="G30" i="611" s="1"/>
  <c r="G11" i="611"/>
  <c r="G12" i="611" s="1"/>
  <c r="G16" i="611"/>
  <c r="G19" i="611"/>
  <c r="G14" i="610"/>
  <c r="H11" i="610"/>
  <c r="H12" i="610" s="1"/>
  <c r="F30" i="610" s="1"/>
  <c r="H23" i="610"/>
  <c r="H24" i="610" s="1"/>
  <c r="I24" i="610" s="1"/>
  <c r="H8" i="610"/>
  <c r="H9" i="610" s="1"/>
  <c r="F29" i="610" s="1"/>
  <c r="B4" i="586"/>
  <c r="B4" i="592"/>
  <c r="B4" i="598"/>
  <c r="B4" i="587"/>
  <c r="B4" i="593"/>
  <c r="B4" i="599"/>
  <c r="B4" i="588"/>
  <c r="B4" i="594"/>
  <c r="B4" i="600"/>
  <c r="B4" i="584"/>
  <c r="B4" i="589"/>
  <c r="B4" i="595"/>
  <c r="B4" i="601"/>
  <c r="B4" i="583"/>
  <c r="B4" i="590"/>
  <c r="B4" i="596"/>
  <c r="B4" i="602"/>
  <c r="B4" i="585"/>
  <c r="C5" i="591"/>
  <c r="H14" i="610"/>
  <c r="G19" i="610"/>
  <c r="G8" i="610"/>
  <c r="G9" i="610" s="1"/>
  <c r="G18" i="610"/>
  <c r="G17" i="610"/>
  <c r="G23" i="610"/>
  <c r="G16" i="609"/>
  <c r="G11" i="609"/>
  <c r="G12" i="609" s="1"/>
  <c r="H23" i="609"/>
  <c r="H24" i="609" s="1"/>
  <c r="I24" i="609" s="1"/>
  <c r="H17" i="609"/>
  <c r="H14" i="609"/>
  <c r="H8" i="609"/>
  <c r="H9" i="609" s="1"/>
  <c r="F29" i="609" s="1"/>
  <c r="G14" i="609"/>
  <c r="G19" i="609"/>
  <c r="G8" i="609"/>
  <c r="G9" i="609" s="1"/>
  <c r="G18" i="609"/>
  <c r="G17" i="609"/>
  <c r="G23" i="609"/>
  <c r="G15" i="608"/>
  <c r="H18" i="608"/>
  <c r="H17" i="608"/>
  <c r="G14" i="608"/>
  <c r="G19" i="608"/>
  <c r="G8" i="608"/>
  <c r="G9" i="608" s="1"/>
  <c r="G18" i="608"/>
  <c r="G17" i="608"/>
  <c r="G23" i="608"/>
  <c r="G19" i="607"/>
  <c r="G18" i="607"/>
  <c r="G14" i="607"/>
  <c r="H17" i="607"/>
  <c r="H8" i="607"/>
  <c r="H9" i="607" s="1"/>
  <c r="F29" i="607" s="1"/>
  <c r="G8" i="607"/>
  <c r="G9" i="607" s="1"/>
  <c r="G17" i="607"/>
  <c r="H18" i="607"/>
  <c r="G23" i="607"/>
  <c r="G11" i="607"/>
  <c r="G12" i="607" s="1"/>
  <c r="G16" i="607"/>
  <c r="G23" i="606"/>
  <c r="G17" i="606"/>
  <c r="G14" i="606"/>
  <c r="G11" i="606"/>
  <c r="G12" i="606" s="1"/>
  <c r="G8" i="606"/>
  <c r="G9" i="606" s="1"/>
  <c r="H18" i="606"/>
  <c r="H16" i="606"/>
  <c r="H15" i="606"/>
  <c r="H8" i="606"/>
  <c r="H9" i="606" s="1"/>
  <c r="G16" i="606"/>
  <c r="H17" i="606"/>
  <c r="H11" i="606"/>
  <c r="H12" i="606" s="1"/>
  <c r="G15" i="606"/>
  <c r="G18" i="606"/>
  <c r="H16" i="605"/>
  <c r="G16" i="605"/>
  <c r="G15" i="605"/>
  <c r="G11" i="605"/>
  <c r="G12" i="605" s="1"/>
  <c r="H19" i="605"/>
  <c r="H18" i="605"/>
  <c r="H17" i="605"/>
  <c r="H8" i="605"/>
  <c r="H9" i="605" s="1"/>
  <c r="F29" i="605" s="1"/>
  <c r="G14" i="605"/>
  <c r="G19" i="605"/>
  <c r="G8" i="605"/>
  <c r="G9" i="605" s="1"/>
  <c r="G18" i="605"/>
  <c r="G17" i="605"/>
  <c r="G23" i="605"/>
  <c r="G16" i="604"/>
  <c r="G15" i="604"/>
  <c r="G11" i="604"/>
  <c r="G12" i="604" s="1"/>
  <c r="F23" i="603"/>
  <c r="D23" i="604" s="1"/>
  <c r="H23" i="604" s="1"/>
  <c r="E23" i="603"/>
  <c r="F19" i="603"/>
  <c r="D19" i="604" s="1"/>
  <c r="H19" i="604" s="1"/>
  <c r="E19" i="603"/>
  <c r="F18" i="603"/>
  <c r="D18" i="604" s="1"/>
  <c r="H18" i="604" s="1"/>
  <c r="E18" i="603"/>
  <c r="F17" i="603"/>
  <c r="E17" i="603"/>
  <c r="F16" i="603"/>
  <c r="D16" i="604" s="1"/>
  <c r="H16" i="604" s="1"/>
  <c r="E16" i="603"/>
  <c r="F15" i="603"/>
  <c r="E15" i="603"/>
  <c r="F14" i="603"/>
  <c r="E14" i="603"/>
  <c r="F11" i="603"/>
  <c r="D11" i="604" s="1"/>
  <c r="H11" i="604" s="1"/>
  <c r="H12" i="604" s="1"/>
  <c r="E11" i="603"/>
  <c r="F8" i="603"/>
  <c r="E8" i="603"/>
  <c r="F23" i="602"/>
  <c r="D23" i="603" s="1"/>
  <c r="E23" i="602"/>
  <c r="F19" i="602"/>
  <c r="D19" i="603" s="1"/>
  <c r="E19" i="602"/>
  <c r="F18" i="602"/>
  <c r="D18" i="603" s="1"/>
  <c r="E18" i="602"/>
  <c r="F17" i="602"/>
  <c r="E17" i="602"/>
  <c r="F16" i="602"/>
  <c r="D16" i="603" s="1"/>
  <c r="E16" i="602"/>
  <c r="F15" i="602"/>
  <c r="D15" i="603" s="1"/>
  <c r="E15" i="602"/>
  <c r="F14" i="602"/>
  <c r="D14" i="603" s="1"/>
  <c r="E14" i="602"/>
  <c r="F11" i="602"/>
  <c r="D11" i="603" s="1"/>
  <c r="E11" i="602"/>
  <c r="F8" i="602"/>
  <c r="E8" i="602"/>
  <c r="F23" i="601"/>
  <c r="D23" i="602" s="1"/>
  <c r="E23" i="601"/>
  <c r="F19" i="601"/>
  <c r="D19" i="602" s="1"/>
  <c r="E19" i="601"/>
  <c r="F18" i="601"/>
  <c r="D18" i="602" s="1"/>
  <c r="E18" i="601"/>
  <c r="F17" i="601"/>
  <c r="D17" i="602" s="1"/>
  <c r="E17" i="601"/>
  <c r="F16" i="601"/>
  <c r="D16" i="602" s="1"/>
  <c r="E16" i="601"/>
  <c r="F15" i="601"/>
  <c r="E15" i="601"/>
  <c r="F14" i="601"/>
  <c r="E14" i="601"/>
  <c r="F11" i="601"/>
  <c r="E11" i="601"/>
  <c r="F8" i="601"/>
  <c r="D8" i="602" s="1"/>
  <c r="E8" i="601"/>
  <c r="F23" i="600"/>
  <c r="D23" i="601" s="1"/>
  <c r="E23" i="600"/>
  <c r="F19" i="600"/>
  <c r="D19" i="601" s="1"/>
  <c r="E19" i="600"/>
  <c r="F18" i="600"/>
  <c r="D18" i="601" s="1"/>
  <c r="E18" i="600"/>
  <c r="F17" i="600"/>
  <c r="D17" i="601" s="1"/>
  <c r="E17" i="600"/>
  <c r="F16" i="600"/>
  <c r="D16" i="601" s="1"/>
  <c r="E16" i="600"/>
  <c r="F15" i="600"/>
  <c r="D15" i="601" s="1"/>
  <c r="E15" i="600"/>
  <c r="F14" i="600"/>
  <c r="E14" i="600"/>
  <c r="F11" i="600"/>
  <c r="D11" i="601" s="1"/>
  <c r="E11" i="600"/>
  <c r="F8" i="600"/>
  <c r="D8" i="601" s="1"/>
  <c r="E8" i="600"/>
  <c r="F23" i="599"/>
  <c r="D23" i="600" s="1"/>
  <c r="E23" i="599"/>
  <c r="F19" i="599"/>
  <c r="D19" i="600" s="1"/>
  <c r="E19" i="599"/>
  <c r="F18" i="599"/>
  <c r="E18" i="599"/>
  <c r="F17" i="599"/>
  <c r="D17" i="600" s="1"/>
  <c r="E17" i="599"/>
  <c r="F16" i="599"/>
  <c r="D16" i="600" s="1"/>
  <c r="E16" i="599"/>
  <c r="F15" i="599"/>
  <c r="D15" i="600" s="1"/>
  <c r="E15" i="599"/>
  <c r="F14" i="599"/>
  <c r="E14" i="599"/>
  <c r="F11" i="599"/>
  <c r="E11" i="599"/>
  <c r="F8" i="599"/>
  <c r="D8" i="600" s="1"/>
  <c r="E8" i="599"/>
  <c r="H24" i="604" l="1"/>
  <c r="I24" i="604" s="1"/>
  <c r="G32" i="604" s="1"/>
  <c r="H24" i="608"/>
  <c r="I24" i="608" s="1"/>
  <c r="G32" i="608" s="1"/>
  <c r="H24" i="612"/>
  <c r="I24" i="612" s="1"/>
  <c r="G32" i="612" s="1"/>
  <c r="H24" i="607"/>
  <c r="I24" i="607" s="1"/>
  <c r="G32" i="607" s="1"/>
  <c r="H24" i="606"/>
  <c r="I24" i="606" s="1"/>
  <c r="G32" i="606" s="1"/>
  <c r="F29" i="612"/>
  <c r="F32" i="607"/>
  <c r="F32" i="608"/>
  <c r="H17" i="600"/>
  <c r="G23" i="602"/>
  <c r="I12" i="608"/>
  <c r="G30" i="608" s="1"/>
  <c r="G14" i="602"/>
  <c r="G11" i="601"/>
  <c r="G12" i="601" s="1"/>
  <c r="H20" i="608"/>
  <c r="F31" i="608" s="1"/>
  <c r="H8" i="601"/>
  <c r="H9" i="601" s="1"/>
  <c r="F29" i="601" s="1"/>
  <c r="G15" i="600"/>
  <c r="I9" i="608"/>
  <c r="G29" i="608" s="1"/>
  <c r="F30" i="611"/>
  <c r="F32" i="611"/>
  <c r="G32" i="611"/>
  <c r="G32" i="610"/>
  <c r="F29" i="611"/>
  <c r="H20" i="610"/>
  <c r="F31" i="610" s="1"/>
  <c r="F32" i="610"/>
  <c r="G32" i="609"/>
  <c r="F30" i="607"/>
  <c r="F32" i="605"/>
  <c r="G32" i="605"/>
  <c r="I12" i="605"/>
  <c r="G30" i="605" s="1"/>
  <c r="H16" i="603"/>
  <c r="G17" i="602"/>
  <c r="H16" i="601"/>
  <c r="H15" i="600"/>
  <c r="H11" i="601"/>
  <c r="H12" i="601" s="1"/>
  <c r="F30" i="601" s="1"/>
  <c r="F32" i="612"/>
  <c r="F30" i="609"/>
  <c r="I12" i="609"/>
  <c r="G30" i="609" s="1"/>
  <c r="H20" i="611"/>
  <c r="I20" i="611" s="1"/>
  <c r="G31" i="611" s="1"/>
  <c r="D17" i="603"/>
  <c r="H17" i="603" s="1"/>
  <c r="D11" i="600"/>
  <c r="H11" i="600" s="1"/>
  <c r="H12" i="600" s="1"/>
  <c r="D14" i="601"/>
  <c r="H14" i="601" s="1"/>
  <c r="D14" i="600"/>
  <c r="H14" i="600" s="1"/>
  <c r="H8" i="602"/>
  <c r="H9" i="602" s="1"/>
  <c r="I9" i="602" s="1"/>
  <c r="G29" i="602" s="1"/>
  <c r="H18" i="602"/>
  <c r="I12" i="612"/>
  <c r="G30" i="612" s="1"/>
  <c r="H15" i="603"/>
  <c r="D15" i="604"/>
  <c r="H15" i="604" s="1"/>
  <c r="G15" i="599"/>
  <c r="H15" i="601"/>
  <c r="D17" i="604"/>
  <c r="H17" i="604" s="1"/>
  <c r="D18" i="600"/>
  <c r="H18" i="600" s="1"/>
  <c r="D14" i="602"/>
  <c r="H14" i="602" s="1"/>
  <c r="H23" i="602"/>
  <c r="H24" i="602" s="1"/>
  <c r="I24" i="602" s="1"/>
  <c r="H8" i="600"/>
  <c r="H9" i="600" s="1"/>
  <c r="I9" i="600" s="1"/>
  <c r="G29" i="600" s="1"/>
  <c r="D15" i="602"/>
  <c r="H15" i="602" s="1"/>
  <c r="D8" i="603"/>
  <c r="H8" i="603" s="1"/>
  <c r="H9" i="603" s="1"/>
  <c r="H19" i="602"/>
  <c r="D11" i="602"/>
  <c r="H11" i="602" s="1"/>
  <c r="H12" i="602" s="1"/>
  <c r="I12" i="602" s="1"/>
  <c r="G30" i="602" s="1"/>
  <c r="D8" i="604"/>
  <c r="H8" i="604" s="1"/>
  <c r="H9" i="604" s="1"/>
  <c r="F29" i="604" s="1"/>
  <c r="H18" i="601"/>
  <c r="H14" i="603"/>
  <c r="D14" i="604"/>
  <c r="H14" i="604" s="1"/>
  <c r="H20" i="612"/>
  <c r="I20" i="612" s="1"/>
  <c r="G31" i="612" s="1"/>
  <c r="G20" i="612"/>
  <c r="G20" i="611"/>
  <c r="I12" i="610"/>
  <c r="G30" i="610" s="1"/>
  <c r="G20" i="610"/>
  <c r="I9" i="610"/>
  <c r="G29" i="610" s="1"/>
  <c r="F32" i="609"/>
  <c r="I9" i="609"/>
  <c r="G29" i="609" s="1"/>
  <c r="H20" i="609"/>
  <c r="I20" i="609" s="1"/>
  <c r="G31" i="609" s="1"/>
  <c r="G20" i="609"/>
  <c r="G20" i="608"/>
  <c r="G20" i="607"/>
  <c r="I9" i="607"/>
  <c r="G29" i="607" s="1"/>
  <c r="H20" i="607"/>
  <c r="F31" i="607" s="1"/>
  <c r="H20" i="606"/>
  <c r="I20" i="606" s="1"/>
  <c r="G31" i="606" s="1"/>
  <c r="G20" i="606"/>
  <c r="F29" i="606"/>
  <c r="I9" i="606"/>
  <c r="G29" i="606" s="1"/>
  <c r="F30" i="606"/>
  <c r="I12" i="606"/>
  <c r="G30" i="606" s="1"/>
  <c r="F32" i="606"/>
  <c r="I9" i="605"/>
  <c r="G29" i="605" s="1"/>
  <c r="H20" i="605"/>
  <c r="F31" i="605" s="1"/>
  <c r="G20" i="605"/>
  <c r="F30" i="604"/>
  <c r="I12" i="604"/>
  <c r="G30" i="604" s="1"/>
  <c r="F32" i="604"/>
  <c r="G14" i="604"/>
  <c r="G19" i="604"/>
  <c r="G8" i="604"/>
  <c r="G9" i="604" s="1"/>
  <c r="G18" i="604"/>
  <c r="G17" i="604"/>
  <c r="G23" i="604"/>
  <c r="G16" i="603"/>
  <c r="G15" i="603"/>
  <c r="H11" i="603"/>
  <c r="H12" i="603" s="1"/>
  <c r="F30" i="603" s="1"/>
  <c r="G11" i="603"/>
  <c r="G12" i="603" s="1"/>
  <c r="H23" i="603"/>
  <c r="H24" i="603" s="1"/>
  <c r="I24" i="603" s="1"/>
  <c r="H19" i="603"/>
  <c r="H18" i="603"/>
  <c r="G14" i="603"/>
  <c r="G19" i="603"/>
  <c r="G8" i="603"/>
  <c r="G9" i="603" s="1"/>
  <c r="G18" i="603"/>
  <c r="G17" i="603"/>
  <c r="G23" i="603"/>
  <c r="G18" i="602"/>
  <c r="H17" i="602"/>
  <c r="G8" i="602"/>
  <c r="G9" i="602" s="1"/>
  <c r="H16" i="602"/>
  <c r="G11" i="602"/>
  <c r="G12" i="602" s="1"/>
  <c r="G16" i="602"/>
  <c r="G15" i="602"/>
  <c r="G19" i="602"/>
  <c r="G16" i="601"/>
  <c r="G15" i="601"/>
  <c r="H23" i="601"/>
  <c r="H24" i="601" s="1"/>
  <c r="I24" i="601" s="1"/>
  <c r="H19" i="601"/>
  <c r="H17" i="601"/>
  <c r="G14" i="601"/>
  <c r="G19" i="601"/>
  <c r="G8" i="601"/>
  <c r="G9" i="601" s="1"/>
  <c r="G18" i="601"/>
  <c r="G17" i="601"/>
  <c r="G23" i="601"/>
  <c r="H23" i="600"/>
  <c r="H24" i="600" s="1"/>
  <c r="I24" i="600" s="1"/>
  <c r="H19" i="600"/>
  <c r="H16" i="600"/>
  <c r="G16" i="600"/>
  <c r="G11" i="600"/>
  <c r="G12" i="600" s="1"/>
  <c r="G14" i="600"/>
  <c r="G19" i="600"/>
  <c r="G8" i="600"/>
  <c r="G9" i="600" s="1"/>
  <c r="G18" i="600"/>
  <c r="G17" i="600"/>
  <c r="G23" i="600"/>
  <c r="G16" i="599"/>
  <c r="G11" i="599"/>
  <c r="G12" i="599" s="1"/>
  <c r="G14" i="599"/>
  <c r="G19" i="599"/>
  <c r="G8" i="599"/>
  <c r="G9" i="599" s="1"/>
  <c r="G18" i="599"/>
  <c r="G17" i="599"/>
  <c r="G23" i="599"/>
  <c r="I9" i="601" l="1"/>
  <c r="G29" i="601" s="1"/>
  <c r="F31" i="612"/>
  <c r="I20" i="608"/>
  <c r="G31" i="608" s="1"/>
  <c r="G33" i="608" s="1"/>
  <c r="I20" i="610"/>
  <c r="G31" i="610" s="1"/>
  <c r="G33" i="610" s="1"/>
  <c r="I12" i="601"/>
  <c r="G30" i="601" s="1"/>
  <c r="F29" i="602"/>
  <c r="H20" i="600"/>
  <c r="F31" i="600" s="1"/>
  <c r="G33" i="609"/>
  <c r="H20" i="602"/>
  <c r="F31" i="602" s="1"/>
  <c r="G33" i="612"/>
  <c r="G33" i="611"/>
  <c r="F31" i="611"/>
  <c r="F31" i="606"/>
  <c r="H20" i="604"/>
  <c r="F31" i="604" s="1"/>
  <c r="F32" i="603"/>
  <c r="G32" i="603"/>
  <c r="H20" i="603"/>
  <c r="F31" i="603" s="1"/>
  <c r="I12" i="603"/>
  <c r="G30" i="603" s="1"/>
  <c r="F32" i="602"/>
  <c r="G32" i="602"/>
  <c r="F32" i="601"/>
  <c r="G32" i="601"/>
  <c r="F32" i="600"/>
  <c r="G32" i="600"/>
  <c r="F29" i="600"/>
  <c r="F30" i="600"/>
  <c r="I12" i="600"/>
  <c r="G30" i="600" s="1"/>
  <c r="I9" i="603"/>
  <c r="G29" i="603" s="1"/>
  <c r="F29" i="603"/>
  <c r="I9" i="604"/>
  <c r="G29" i="604" s="1"/>
  <c r="F31" i="609"/>
  <c r="I20" i="607"/>
  <c r="G31" i="607" s="1"/>
  <c r="G33" i="607" s="1"/>
  <c r="G33" i="606"/>
  <c r="I20" i="605"/>
  <c r="G31" i="605" s="1"/>
  <c r="G33" i="605" s="1"/>
  <c r="G20" i="604"/>
  <c r="G20" i="603"/>
  <c r="G20" i="602"/>
  <c r="F30" i="602"/>
  <c r="H20" i="601"/>
  <c r="F31" i="601" s="1"/>
  <c r="G20" i="601"/>
  <c r="G20" i="600"/>
  <c r="G20" i="599"/>
  <c r="I20" i="604" l="1"/>
  <c r="G31" i="604" s="1"/>
  <c r="G33" i="604" s="1"/>
  <c r="I20" i="602"/>
  <c r="G31" i="602" s="1"/>
  <c r="G33" i="602" s="1"/>
  <c r="I20" i="600"/>
  <c r="G31" i="600" s="1"/>
  <c r="G33" i="600" s="1"/>
  <c r="I20" i="603"/>
  <c r="G31" i="603" s="1"/>
  <c r="G33" i="603" s="1"/>
  <c r="I20" i="601"/>
  <c r="G31" i="601" s="1"/>
  <c r="G33" i="601" s="1"/>
  <c r="D17" i="599"/>
  <c r="H17" i="599" s="1"/>
  <c r="F16" i="598"/>
  <c r="E16" i="598"/>
  <c r="D14" i="599"/>
  <c r="H14" i="599" s="1"/>
  <c r="D11" i="599"/>
  <c r="H11" i="599" s="1"/>
  <c r="H12" i="599" s="1"/>
  <c r="D8" i="599"/>
  <c r="H8" i="599" s="1"/>
  <c r="H9" i="599" s="1"/>
  <c r="G17" i="598" l="1"/>
  <c r="G14" i="598"/>
  <c r="G19" i="598"/>
  <c r="D19" i="599"/>
  <c r="H19" i="599" s="1"/>
  <c r="D18" i="599"/>
  <c r="H18" i="599" s="1"/>
  <c r="D15" i="599"/>
  <c r="H15" i="599" s="1"/>
  <c r="G8" i="598"/>
  <c r="G9" i="598" s="1"/>
  <c r="G16" i="598"/>
  <c r="D16" i="599"/>
  <c r="H16" i="599" s="1"/>
  <c r="G23" i="598"/>
  <c r="D23" i="599"/>
  <c r="H23" i="599" s="1"/>
  <c r="I12" i="599"/>
  <c r="G30" i="599" s="1"/>
  <c r="F30" i="599"/>
  <c r="F29" i="599"/>
  <c r="I9" i="599"/>
  <c r="G29" i="599" s="1"/>
  <c r="G11" i="598"/>
  <c r="G12" i="598" s="1"/>
  <c r="G15" i="598"/>
  <c r="G18" i="598"/>
  <c r="F23" i="597"/>
  <c r="D23" i="598" s="1"/>
  <c r="H23" i="598" s="1"/>
  <c r="E23" i="597"/>
  <c r="F19" i="597"/>
  <c r="D19" i="598" s="1"/>
  <c r="E19" i="597"/>
  <c r="F18" i="597"/>
  <c r="E18" i="597"/>
  <c r="F17" i="597"/>
  <c r="E17" i="597"/>
  <c r="F16" i="597"/>
  <c r="E16" i="597"/>
  <c r="F14" i="597"/>
  <c r="D14" i="598" s="1"/>
  <c r="H14" i="598" s="1"/>
  <c r="F15" i="597"/>
  <c r="E15" i="597"/>
  <c r="E14" i="597"/>
  <c r="F11" i="597"/>
  <c r="D11" i="598" s="1"/>
  <c r="H11" i="598" s="1"/>
  <c r="H12" i="598" s="1"/>
  <c r="F30" i="598" s="1"/>
  <c r="E11" i="597"/>
  <c r="F8" i="597"/>
  <c r="D8" i="598" s="1"/>
  <c r="E8" i="597"/>
  <c r="F23" i="596"/>
  <c r="E23" i="596"/>
  <c r="F19" i="596"/>
  <c r="D19" i="597" s="1"/>
  <c r="E19" i="596"/>
  <c r="F18" i="596"/>
  <c r="E18" i="596"/>
  <c r="F17" i="596"/>
  <c r="E17" i="596"/>
  <c r="F16" i="596"/>
  <c r="E16" i="596"/>
  <c r="F15" i="596"/>
  <c r="E15" i="596"/>
  <c r="F14" i="596"/>
  <c r="D14" i="597" s="1"/>
  <c r="E14" i="596"/>
  <c r="F11" i="596"/>
  <c r="E11" i="596"/>
  <c r="F8" i="596"/>
  <c r="E8" i="596"/>
  <c r="F23" i="595"/>
  <c r="D23" i="596" s="1"/>
  <c r="E23" i="595"/>
  <c r="F19" i="595"/>
  <c r="D19" i="596" s="1"/>
  <c r="E19" i="595"/>
  <c r="F18" i="595"/>
  <c r="E18" i="595"/>
  <c r="F17" i="595"/>
  <c r="D17" i="596" s="1"/>
  <c r="E17" i="595"/>
  <c r="F16" i="595"/>
  <c r="D16" i="596" s="1"/>
  <c r="E16" i="595"/>
  <c r="F15" i="595"/>
  <c r="E15" i="595"/>
  <c r="F14" i="595"/>
  <c r="E14" i="595"/>
  <c r="F11" i="595"/>
  <c r="E11" i="595"/>
  <c r="F8" i="595"/>
  <c r="E8" i="595"/>
  <c r="F23" i="594"/>
  <c r="E23" i="594"/>
  <c r="F19" i="594"/>
  <c r="E19" i="594"/>
  <c r="F18" i="594"/>
  <c r="E18" i="594"/>
  <c r="F17" i="594"/>
  <c r="E17" i="594"/>
  <c r="F16" i="594"/>
  <c r="D16" i="595" s="1"/>
  <c r="E16" i="594"/>
  <c r="F15" i="594"/>
  <c r="E15" i="594"/>
  <c r="F14" i="594"/>
  <c r="E14" i="594"/>
  <c r="F11" i="594"/>
  <c r="D11" i="595" s="1"/>
  <c r="E11" i="594"/>
  <c r="F8" i="594"/>
  <c r="E8" i="594"/>
  <c r="F23" i="593"/>
  <c r="E23" i="593"/>
  <c r="F19" i="593"/>
  <c r="E19" i="593"/>
  <c r="F18" i="593"/>
  <c r="E18" i="593"/>
  <c r="F17" i="593"/>
  <c r="D17" i="594" s="1"/>
  <c r="E17" i="593"/>
  <c r="F16" i="593"/>
  <c r="D16" i="594" s="1"/>
  <c r="E16" i="593"/>
  <c r="F15" i="593"/>
  <c r="D15" i="594" s="1"/>
  <c r="E15" i="593"/>
  <c r="F14" i="593"/>
  <c r="D14" i="594" s="1"/>
  <c r="E14" i="593"/>
  <c r="F11" i="593"/>
  <c r="E11" i="593"/>
  <c r="F8" i="593"/>
  <c r="E8" i="593"/>
  <c r="F23" i="592"/>
  <c r="D23" i="593" s="1"/>
  <c r="E23" i="592"/>
  <c r="F19" i="592"/>
  <c r="E19" i="592"/>
  <c r="F18" i="592"/>
  <c r="E18" i="592"/>
  <c r="F17" i="592"/>
  <c r="E17" i="592"/>
  <c r="F16" i="592"/>
  <c r="D16" i="593" s="1"/>
  <c r="E16" i="592"/>
  <c r="F15" i="592"/>
  <c r="D15" i="593" s="1"/>
  <c r="E15" i="592"/>
  <c r="F14" i="592"/>
  <c r="E14" i="592"/>
  <c r="F11" i="592"/>
  <c r="E11" i="592"/>
  <c r="F8" i="592"/>
  <c r="E8" i="592"/>
  <c r="F23" i="591"/>
  <c r="D23" i="592" s="1"/>
  <c r="E23" i="591"/>
  <c r="F19" i="591"/>
  <c r="D19" i="592" s="1"/>
  <c r="E19" i="591"/>
  <c r="F18" i="591"/>
  <c r="D18" i="592" s="1"/>
  <c r="E18" i="591"/>
  <c r="F17" i="591"/>
  <c r="D17" i="592" s="1"/>
  <c r="E17" i="591"/>
  <c r="F16" i="591"/>
  <c r="D16" i="592" s="1"/>
  <c r="E16" i="591"/>
  <c r="F15" i="591"/>
  <c r="E15" i="591"/>
  <c r="F14" i="591"/>
  <c r="E14" i="591"/>
  <c r="F11" i="591"/>
  <c r="E11" i="591"/>
  <c r="F8" i="591"/>
  <c r="D8" i="592" s="1"/>
  <c r="E8" i="591"/>
  <c r="F23" i="590"/>
  <c r="D23" i="591" s="1"/>
  <c r="E23" i="590"/>
  <c r="F19" i="590"/>
  <c r="D19" i="591" s="1"/>
  <c r="E19" i="590"/>
  <c r="F18" i="590"/>
  <c r="E18" i="590"/>
  <c r="F17" i="590"/>
  <c r="D17" i="591" s="1"/>
  <c r="E17" i="590"/>
  <c r="F16" i="590"/>
  <c r="E16" i="590"/>
  <c r="F15" i="590"/>
  <c r="E15" i="590"/>
  <c r="F14" i="590"/>
  <c r="D14" i="591" s="1"/>
  <c r="E14" i="590"/>
  <c r="F11" i="590"/>
  <c r="E11" i="590"/>
  <c r="F8" i="590"/>
  <c r="E8" i="590"/>
  <c r="F23" i="589"/>
  <c r="D23" i="590" s="1"/>
  <c r="E23" i="589"/>
  <c r="F19" i="589"/>
  <c r="D19" i="590" s="1"/>
  <c r="E19" i="589"/>
  <c r="F18" i="589"/>
  <c r="D18" i="590" s="1"/>
  <c r="E18" i="589"/>
  <c r="F17" i="589"/>
  <c r="D17" i="590" s="1"/>
  <c r="E17" i="589"/>
  <c r="F16" i="589"/>
  <c r="E16" i="589"/>
  <c r="F15" i="589"/>
  <c r="D15" i="590" s="1"/>
  <c r="E15" i="589"/>
  <c r="F14" i="589"/>
  <c r="D14" i="590" s="1"/>
  <c r="E14" i="589"/>
  <c r="F11" i="589"/>
  <c r="D11" i="590" s="1"/>
  <c r="E11" i="589"/>
  <c r="F8" i="589"/>
  <c r="D8" i="590" s="1"/>
  <c r="E8" i="589"/>
  <c r="F23" i="588"/>
  <c r="E23" i="588"/>
  <c r="F19" i="588"/>
  <c r="D19" i="589" s="1"/>
  <c r="E19" i="588"/>
  <c r="F18" i="588"/>
  <c r="E18" i="588"/>
  <c r="F17" i="588"/>
  <c r="E17" i="588"/>
  <c r="F15" i="588"/>
  <c r="D15" i="589" s="1"/>
  <c r="F16" i="588"/>
  <c r="D16" i="589" s="1"/>
  <c r="E16" i="588"/>
  <c r="E15" i="588"/>
  <c r="F14" i="588"/>
  <c r="E14" i="588"/>
  <c r="F11" i="588"/>
  <c r="E11" i="588"/>
  <c r="F8" i="588"/>
  <c r="E8" i="588"/>
  <c r="F23" i="587"/>
  <c r="D23" i="588" s="1"/>
  <c r="E23" i="587"/>
  <c r="F19" i="587"/>
  <c r="E19" i="587"/>
  <c r="F18" i="587"/>
  <c r="E18" i="587"/>
  <c r="F17" i="587"/>
  <c r="E17" i="587"/>
  <c r="F16" i="587"/>
  <c r="E16" i="587"/>
  <c r="F15" i="587"/>
  <c r="E15" i="587"/>
  <c r="F14" i="587"/>
  <c r="D14" i="588" s="1"/>
  <c r="E14" i="587"/>
  <c r="F11" i="587"/>
  <c r="E11" i="587"/>
  <c r="F8" i="587"/>
  <c r="E8" i="587"/>
  <c r="F23" i="586"/>
  <c r="D23" i="587" s="1"/>
  <c r="E23" i="586"/>
  <c r="F19" i="586"/>
  <c r="D19" i="587" s="1"/>
  <c r="E19" i="586"/>
  <c r="F18" i="586"/>
  <c r="D18" i="587" s="1"/>
  <c r="E18" i="586"/>
  <c r="F17" i="586"/>
  <c r="D17" i="587" s="1"/>
  <c r="E17" i="586"/>
  <c r="F16" i="586"/>
  <c r="D16" i="587" s="1"/>
  <c r="E16" i="586"/>
  <c r="F15" i="586"/>
  <c r="D15" i="587" s="1"/>
  <c r="E15" i="586"/>
  <c r="F14" i="586"/>
  <c r="D14" i="587" s="1"/>
  <c r="E14" i="586"/>
  <c r="F11" i="586"/>
  <c r="D11" i="587" s="1"/>
  <c r="E11" i="586"/>
  <c r="F8" i="586"/>
  <c r="D8" i="587" s="1"/>
  <c r="E8" i="586"/>
  <c r="F23" i="585"/>
  <c r="D23" i="586" s="1"/>
  <c r="E23" i="585"/>
  <c r="F19" i="585"/>
  <c r="D19" i="586" s="1"/>
  <c r="E19" i="585"/>
  <c r="F18" i="585"/>
  <c r="D18" i="586" s="1"/>
  <c r="E18" i="585"/>
  <c r="F17" i="585"/>
  <c r="D17" i="586" s="1"/>
  <c r="E17" i="585"/>
  <c r="F16" i="585"/>
  <c r="E16" i="585"/>
  <c r="F15" i="585"/>
  <c r="D15" i="586" s="1"/>
  <c r="E15" i="585"/>
  <c r="F14" i="585"/>
  <c r="D14" i="586" s="1"/>
  <c r="E14" i="585"/>
  <c r="F11" i="585"/>
  <c r="D11" i="586" s="1"/>
  <c r="E11" i="585"/>
  <c r="F8" i="585"/>
  <c r="D8" i="586" s="1"/>
  <c r="E8" i="585"/>
  <c r="E23" i="583"/>
  <c r="F23" i="583"/>
  <c r="D23" i="585" s="1"/>
  <c r="F19" i="583"/>
  <c r="D19" i="585" s="1"/>
  <c r="F18" i="583"/>
  <c r="D18" i="585" s="1"/>
  <c r="F17" i="583"/>
  <c r="D17" i="585" s="1"/>
  <c r="F16" i="583"/>
  <c r="D16" i="585" s="1"/>
  <c r="F15" i="583"/>
  <c r="D15" i="585" s="1"/>
  <c r="F14" i="583"/>
  <c r="D14" i="585" s="1"/>
  <c r="E19" i="583"/>
  <c r="E18" i="583"/>
  <c r="E17" i="583"/>
  <c r="E16" i="583"/>
  <c r="E15" i="583"/>
  <c r="E14" i="583"/>
  <c r="F11" i="583"/>
  <c r="D11" i="585" s="1"/>
  <c r="E11" i="583"/>
  <c r="F8" i="583"/>
  <c r="D8" i="585" s="1"/>
  <c r="E8" i="583"/>
  <c r="F23" i="584"/>
  <c r="D23" i="583" s="1"/>
  <c r="E23" i="584"/>
  <c r="F19" i="584"/>
  <c r="D19" i="583" s="1"/>
  <c r="F18" i="584"/>
  <c r="D18" i="583" s="1"/>
  <c r="F17" i="584"/>
  <c r="D17" i="583" s="1"/>
  <c r="F16" i="584"/>
  <c r="D16" i="583" s="1"/>
  <c r="F15" i="584"/>
  <c r="D15" i="583" s="1"/>
  <c r="F14" i="584"/>
  <c r="D14" i="583" s="1"/>
  <c r="E19" i="584"/>
  <c r="E18" i="584"/>
  <c r="E17" i="584"/>
  <c r="E16" i="584"/>
  <c r="E15" i="584"/>
  <c r="E14" i="584"/>
  <c r="F11" i="584"/>
  <c r="D11" i="583" s="1"/>
  <c r="E11" i="584"/>
  <c r="F8" i="584"/>
  <c r="D8" i="583" s="1"/>
  <c r="E8" i="584"/>
  <c r="F19" i="582"/>
  <c r="D19" i="584" s="1"/>
  <c r="D17" i="584"/>
  <c r="F16" i="582"/>
  <c r="D16" i="584" s="1"/>
  <c r="F15" i="582"/>
  <c r="D15" i="584" s="1"/>
  <c r="F14" i="582"/>
  <c r="D14" i="584" s="1"/>
  <c r="F11" i="582"/>
  <c r="D11" i="584" s="1"/>
  <c r="F8" i="582"/>
  <c r="D8" i="584" s="1"/>
  <c r="F23" i="582"/>
  <c r="D23" i="584" s="1"/>
  <c r="E23" i="582"/>
  <c r="E19" i="582"/>
  <c r="E18" i="582"/>
  <c r="E17" i="582"/>
  <c r="E16" i="582"/>
  <c r="E15" i="582"/>
  <c r="E14" i="582"/>
  <c r="E11" i="582"/>
  <c r="E8" i="582"/>
  <c r="G32" i="599" l="1"/>
  <c r="H24" i="599"/>
  <c r="I24" i="599" s="1"/>
  <c r="H24" i="598"/>
  <c r="I24" i="598" s="1"/>
  <c r="G32" i="598" s="1"/>
  <c r="H17" i="591"/>
  <c r="H19" i="590"/>
  <c r="H16" i="593"/>
  <c r="H19" i="596"/>
  <c r="G17" i="586"/>
  <c r="H17" i="586"/>
  <c r="H16" i="585"/>
  <c r="D16" i="586"/>
  <c r="H16" i="586" s="1"/>
  <c r="H15" i="586"/>
  <c r="H15" i="585"/>
  <c r="H14" i="586"/>
  <c r="H8" i="586"/>
  <c r="H9" i="586" s="1"/>
  <c r="H23" i="586"/>
  <c r="H18" i="586"/>
  <c r="H19" i="585"/>
  <c r="H19" i="586"/>
  <c r="H11" i="585"/>
  <c r="H12" i="585" s="1"/>
  <c r="H11" i="586"/>
  <c r="H12" i="586" s="1"/>
  <c r="H23" i="585"/>
  <c r="H17" i="585"/>
  <c r="H14" i="585"/>
  <c r="H8" i="585"/>
  <c r="H9" i="585" s="1"/>
  <c r="H14" i="590"/>
  <c r="G15" i="586"/>
  <c r="H14" i="587"/>
  <c r="H19" i="591"/>
  <c r="H23" i="587"/>
  <c r="H24" i="587" s="1"/>
  <c r="I24" i="587" s="1"/>
  <c r="H23" i="591"/>
  <c r="H16" i="592"/>
  <c r="G23" i="590"/>
  <c r="H20" i="599"/>
  <c r="F31" i="599" s="1"/>
  <c r="G20" i="598"/>
  <c r="H17" i="590"/>
  <c r="H19" i="589"/>
  <c r="F32" i="598"/>
  <c r="D16" i="591"/>
  <c r="H16" i="591" s="1"/>
  <c r="H16" i="589"/>
  <c r="D16" i="590"/>
  <c r="H16" i="590" s="1"/>
  <c r="G17" i="590"/>
  <c r="H23" i="593"/>
  <c r="H24" i="593" s="1"/>
  <c r="I24" i="593" s="1"/>
  <c r="D23" i="594"/>
  <c r="H23" i="594" s="1"/>
  <c r="D8" i="597"/>
  <c r="H8" i="597" s="1"/>
  <c r="H9" i="597" s="1"/>
  <c r="I9" i="597" s="1"/>
  <c r="G29" i="597" s="1"/>
  <c r="D18" i="597"/>
  <c r="H18" i="597" s="1"/>
  <c r="D11" i="594"/>
  <c r="H11" i="594" s="1"/>
  <c r="H12" i="594" s="1"/>
  <c r="F30" i="594" s="1"/>
  <c r="H18" i="592"/>
  <c r="D18" i="593"/>
  <c r="H18" i="593" s="1"/>
  <c r="H17" i="587"/>
  <c r="D17" i="588"/>
  <c r="H17" i="588" s="1"/>
  <c r="D11" i="593"/>
  <c r="H11" i="593" s="1"/>
  <c r="H12" i="593" s="1"/>
  <c r="H19" i="592"/>
  <c r="D19" i="593"/>
  <c r="H19" i="593" s="1"/>
  <c r="H17" i="594"/>
  <c r="D17" i="595"/>
  <c r="H17" i="595" s="1"/>
  <c r="D8" i="596"/>
  <c r="H8" i="596" s="1"/>
  <c r="H9" i="596" s="1"/>
  <c r="D18" i="596"/>
  <c r="H18" i="596" s="1"/>
  <c r="G15" i="589"/>
  <c r="D11" i="597"/>
  <c r="H11" i="597" s="1"/>
  <c r="H12" i="597" s="1"/>
  <c r="D15" i="598"/>
  <c r="H15" i="598" s="1"/>
  <c r="D19" i="594"/>
  <c r="H19" i="594" s="1"/>
  <c r="H8" i="587"/>
  <c r="H9" i="587" s="1"/>
  <c r="D8" i="588"/>
  <c r="H8" i="588" s="1"/>
  <c r="H9" i="588" s="1"/>
  <c r="H18" i="587"/>
  <c r="D18" i="588"/>
  <c r="H18" i="588" s="1"/>
  <c r="H8" i="590"/>
  <c r="H9" i="590" s="1"/>
  <c r="D8" i="591"/>
  <c r="H8" i="591" s="1"/>
  <c r="H9" i="591" s="1"/>
  <c r="H18" i="590"/>
  <c r="D18" i="591"/>
  <c r="H18" i="591" s="1"/>
  <c r="D14" i="593"/>
  <c r="H14" i="593" s="1"/>
  <c r="D8" i="595"/>
  <c r="H8" i="595" s="1"/>
  <c r="H9" i="595" s="1"/>
  <c r="D18" i="595"/>
  <c r="H18" i="595" s="1"/>
  <c r="H11" i="595"/>
  <c r="H12" i="595" s="1"/>
  <c r="F30" i="595" s="1"/>
  <c r="D11" i="596"/>
  <c r="H11" i="596" s="1"/>
  <c r="H12" i="596" s="1"/>
  <c r="G11" i="590"/>
  <c r="G12" i="590" s="1"/>
  <c r="D11" i="592"/>
  <c r="H11" i="592" s="1"/>
  <c r="H12" i="592" s="1"/>
  <c r="F30" i="592" s="1"/>
  <c r="G15" i="592"/>
  <c r="G23" i="596"/>
  <c r="D23" i="597"/>
  <c r="H23" i="597" s="1"/>
  <c r="H16" i="587"/>
  <c r="D16" i="588"/>
  <c r="H16" i="588" s="1"/>
  <c r="H19" i="597"/>
  <c r="H19" i="598"/>
  <c r="H11" i="587"/>
  <c r="H12" i="587" s="1"/>
  <c r="D11" i="588"/>
  <c r="H11" i="588" s="1"/>
  <c r="H12" i="588" s="1"/>
  <c r="H19" i="587"/>
  <c r="D19" i="588"/>
  <c r="H19" i="588" s="1"/>
  <c r="H11" i="590"/>
  <c r="H12" i="590" s="1"/>
  <c r="D11" i="591"/>
  <c r="H11" i="591" s="1"/>
  <c r="H12" i="591" s="1"/>
  <c r="F30" i="591" s="1"/>
  <c r="D19" i="595"/>
  <c r="H19" i="595" s="1"/>
  <c r="D14" i="596"/>
  <c r="H14" i="596" s="1"/>
  <c r="H14" i="591"/>
  <c r="D14" i="592"/>
  <c r="H14" i="592" s="1"/>
  <c r="G11" i="596"/>
  <c r="G12" i="596" s="1"/>
  <c r="D15" i="597"/>
  <c r="H15" i="597" s="1"/>
  <c r="H14" i="597"/>
  <c r="I12" i="598"/>
  <c r="G30" i="598" s="1"/>
  <c r="H17" i="596"/>
  <c r="D17" i="597"/>
  <c r="H17" i="597" s="1"/>
  <c r="H14" i="594"/>
  <c r="D14" i="595"/>
  <c r="H14" i="595" s="1"/>
  <c r="D23" i="595"/>
  <c r="H23" i="595" s="1"/>
  <c r="H24" i="595" s="1"/>
  <c r="I24" i="595" s="1"/>
  <c r="D15" i="596"/>
  <c r="H15" i="596" s="1"/>
  <c r="G14" i="596"/>
  <c r="D17" i="598"/>
  <c r="H17" i="598" s="1"/>
  <c r="H8" i="592"/>
  <c r="H9" i="592" s="1"/>
  <c r="F29" i="592" s="1"/>
  <c r="D8" i="593"/>
  <c r="H8" i="593" s="1"/>
  <c r="H9" i="593" s="1"/>
  <c r="D15" i="592"/>
  <c r="H15" i="592" s="1"/>
  <c r="D8" i="594"/>
  <c r="H8" i="594" s="1"/>
  <c r="H9" i="594" s="1"/>
  <c r="D18" i="594"/>
  <c r="H18" i="594" s="1"/>
  <c r="G17" i="595"/>
  <c r="H16" i="596"/>
  <c r="D16" i="597"/>
  <c r="H15" i="587"/>
  <c r="D15" i="588"/>
  <c r="H15" i="588" s="1"/>
  <c r="H15" i="590"/>
  <c r="D15" i="591"/>
  <c r="H15" i="591" s="1"/>
  <c r="H23" i="592"/>
  <c r="H24" i="592" s="1"/>
  <c r="I24" i="592" s="1"/>
  <c r="H17" i="592"/>
  <c r="D17" i="593"/>
  <c r="H17" i="593" s="1"/>
  <c r="H15" i="594"/>
  <c r="D15" i="595"/>
  <c r="H15" i="595" s="1"/>
  <c r="G19" i="596"/>
  <c r="H8" i="598"/>
  <c r="H9" i="598" s="1"/>
  <c r="D18" i="598"/>
  <c r="H18" i="598" s="1"/>
  <c r="F32" i="599"/>
  <c r="H23" i="588"/>
  <c r="D23" i="589"/>
  <c r="H23" i="589" s="1"/>
  <c r="H24" i="589" s="1"/>
  <c r="I24" i="589" s="1"/>
  <c r="D18" i="589"/>
  <c r="H18" i="589" s="1"/>
  <c r="D17" i="589"/>
  <c r="H17" i="589" s="1"/>
  <c r="H15" i="589"/>
  <c r="H14" i="588"/>
  <c r="D14" i="589"/>
  <c r="H14" i="589" s="1"/>
  <c r="D11" i="589"/>
  <c r="H11" i="589" s="1"/>
  <c r="H12" i="589" s="1"/>
  <c r="F30" i="589" s="1"/>
  <c r="D8" i="589"/>
  <c r="H8" i="589" s="1"/>
  <c r="H9" i="589" s="1"/>
  <c r="G18" i="597"/>
  <c r="G23" i="597"/>
  <c r="G15" i="597"/>
  <c r="G8" i="597"/>
  <c r="G9" i="597" s="1"/>
  <c r="G11" i="597"/>
  <c r="G12" i="597" s="1"/>
  <c r="G14" i="597"/>
  <c r="G17" i="597"/>
  <c r="G16" i="597"/>
  <c r="G19" i="597"/>
  <c r="G8" i="596"/>
  <c r="G9" i="596" s="1"/>
  <c r="H23" i="596"/>
  <c r="G17" i="596"/>
  <c r="G16" i="596"/>
  <c r="G15" i="596"/>
  <c r="G18" i="596"/>
  <c r="G8" i="595"/>
  <c r="G9" i="595" s="1"/>
  <c r="G16" i="595"/>
  <c r="G14" i="595"/>
  <c r="G11" i="595"/>
  <c r="G12" i="595" s="1"/>
  <c r="G19" i="595"/>
  <c r="G23" i="595"/>
  <c r="H16" i="595"/>
  <c r="G15" i="595"/>
  <c r="G18" i="595"/>
  <c r="G18" i="594"/>
  <c r="G16" i="594"/>
  <c r="G15" i="594"/>
  <c r="G8" i="594"/>
  <c r="G9" i="594" s="1"/>
  <c r="G11" i="594"/>
  <c r="G12" i="594" s="1"/>
  <c r="G14" i="594"/>
  <c r="G17" i="594"/>
  <c r="G19" i="594"/>
  <c r="G23" i="594"/>
  <c r="H16" i="594"/>
  <c r="G15" i="593"/>
  <c r="H15" i="593"/>
  <c r="G18" i="593"/>
  <c r="G8" i="593"/>
  <c r="G9" i="593" s="1"/>
  <c r="G11" i="593"/>
  <c r="G12" i="593" s="1"/>
  <c r="G14" i="593"/>
  <c r="G17" i="593"/>
  <c r="G16" i="593"/>
  <c r="G19" i="593"/>
  <c r="G23" i="593"/>
  <c r="G18" i="592"/>
  <c r="G8" i="592"/>
  <c r="G9" i="592" s="1"/>
  <c r="G11" i="592"/>
  <c r="G12" i="592" s="1"/>
  <c r="G14" i="592"/>
  <c r="G17" i="592"/>
  <c r="G16" i="592"/>
  <c r="G19" i="592"/>
  <c r="G23" i="592"/>
  <c r="G18" i="591"/>
  <c r="G15" i="591"/>
  <c r="G8" i="591"/>
  <c r="G9" i="591" s="1"/>
  <c r="G11" i="591"/>
  <c r="G12" i="591" s="1"/>
  <c r="G14" i="591"/>
  <c r="G17" i="591"/>
  <c r="G16" i="591"/>
  <c r="G19" i="591"/>
  <c r="G23" i="591"/>
  <c r="G8" i="590"/>
  <c r="G9" i="590" s="1"/>
  <c r="G14" i="590"/>
  <c r="G16" i="590"/>
  <c r="G19" i="590"/>
  <c r="H23" i="590"/>
  <c r="G15" i="590"/>
  <c r="G18" i="590"/>
  <c r="G18" i="589"/>
  <c r="G8" i="589"/>
  <c r="G9" i="589" s="1"/>
  <c r="G11" i="589"/>
  <c r="G12" i="589" s="1"/>
  <c r="G14" i="589"/>
  <c r="G17" i="589"/>
  <c r="G16" i="589"/>
  <c r="G19" i="589"/>
  <c r="G23" i="589"/>
  <c r="G18" i="588"/>
  <c r="G15" i="588"/>
  <c r="G8" i="588"/>
  <c r="G9" i="588" s="1"/>
  <c r="G11" i="588"/>
  <c r="G12" i="588" s="1"/>
  <c r="G14" i="588"/>
  <c r="G17" i="588"/>
  <c r="G16" i="588"/>
  <c r="G19" i="588"/>
  <c r="G23" i="588"/>
  <c r="G18" i="587"/>
  <c r="G15" i="587"/>
  <c r="G8" i="587"/>
  <c r="G9" i="587" s="1"/>
  <c r="G11" i="587"/>
  <c r="G12" i="587" s="1"/>
  <c r="G14" i="587"/>
  <c r="G17" i="587"/>
  <c r="G16" i="587"/>
  <c r="G19" i="587"/>
  <c r="G23" i="587"/>
  <c r="G18" i="586"/>
  <c r="G14" i="586"/>
  <c r="G11" i="586"/>
  <c r="G12" i="586" s="1"/>
  <c r="G8" i="586"/>
  <c r="G9" i="586" s="1"/>
  <c r="G16" i="586"/>
  <c r="G19" i="586"/>
  <c r="G23" i="586"/>
  <c r="G18" i="585"/>
  <c r="H18" i="585"/>
  <c r="G15" i="585"/>
  <c r="H23" i="584"/>
  <c r="H24" i="584" s="1"/>
  <c r="I24" i="584" s="1"/>
  <c r="H17" i="584"/>
  <c r="G8" i="585"/>
  <c r="G9" i="585" s="1"/>
  <c r="G11" i="585"/>
  <c r="G12" i="585" s="1"/>
  <c r="G14" i="585"/>
  <c r="G17" i="585"/>
  <c r="G16" i="585"/>
  <c r="G19" i="585"/>
  <c r="G23" i="585"/>
  <c r="H19" i="584"/>
  <c r="H16" i="584"/>
  <c r="H14" i="584"/>
  <c r="H11" i="584"/>
  <c r="H12" i="584" s="1"/>
  <c r="H8" i="584"/>
  <c r="H9" i="584" s="1"/>
  <c r="G15" i="584"/>
  <c r="H15" i="584"/>
  <c r="G18" i="584"/>
  <c r="G8" i="584"/>
  <c r="G9" i="584" s="1"/>
  <c r="G11" i="584"/>
  <c r="G12" i="584" s="1"/>
  <c r="G14" i="584"/>
  <c r="G17" i="584"/>
  <c r="G16" i="584"/>
  <c r="G19" i="584"/>
  <c r="G23" i="584"/>
  <c r="H11" i="583"/>
  <c r="H14" i="583"/>
  <c r="H17" i="583"/>
  <c r="H18" i="583"/>
  <c r="H23" i="583"/>
  <c r="H24" i="583" s="1"/>
  <c r="I24" i="583" s="1"/>
  <c r="G16" i="583"/>
  <c r="H19" i="583"/>
  <c r="G19" i="583"/>
  <c r="H16" i="583"/>
  <c r="H15" i="583"/>
  <c r="H8" i="583"/>
  <c r="H9" i="583" s="1"/>
  <c r="H24" i="585" l="1"/>
  <c r="I24" i="585" s="1"/>
  <c r="G32" i="585" s="1"/>
  <c r="G32" i="590"/>
  <c r="H24" i="590"/>
  <c r="I24" i="590" s="1"/>
  <c r="H24" i="588"/>
  <c r="I24" i="588" s="1"/>
  <c r="G32" i="588" s="1"/>
  <c r="H24" i="597"/>
  <c r="I24" i="597" s="1"/>
  <c r="G32" i="597" s="1"/>
  <c r="H24" i="594"/>
  <c r="I24" i="594" s="1"/>
  <c r="G32" i="594" s="1"/>
  <c r="H24" i="591"/>
  <c r="I24" i="591" s="1"/>
  <c r="G32" i="591" s="1"/>
  <c r="F32" i="586"/>
  <c r="H24" i="586"/>
  <c r="I24" i="586" s="1"/>
  <c r="G32" i="586" s="1"/>
  <c r="G32" i="596"/>
  <c r="H24" i="596"/>
  <c r="I24" i="596" s="1"/>
  <c r="F29" i="586"/>
  <c r="G29" i="586" s="1"/>
  <c r="I9" i="586"/>
  <c r="F29" i="584"/>
  <c r="G29" i="584" s="1"/>
  <c r="I9" i="584"/>
  <c r="F29" i="587"/>
  <c r="G29" i="587" s="1"/>
  <c r="I9" i="587"/>
  <c r="F30" i="587"/>
  <c r="G30" i="587" s="1"/>
  <c r="I12" i="587"/>
  <c r="F29" i="585"/>
  <c r="G29" i="585" s="1"/>
  <c r="I9" i="585"/>
  <c r="F30" i="584"/>
  <c r="G30" i="584" s="1"/>
  <c r="I12" i="584"/>
  <c r="F30" i="586"/>
  <c r="G30" i="586" s="1"/>
  <c r="I12" i="586"/>
  <c r="F30" i="585"/>
  <c r="G30" i="585" s="1"/>
  <c r="I12" i="585"/>
  <c r="F29" i="583"/>
  <c r="G29" i="583" s="1"/>
  <c r="I9" i="583"/>
  <c r="H20" i="585"/>
  <c r="H20" i="586"/>
  <c r="F32" i="585"/>
  <c r="F32" i="591"/>
  <c r="F32" i="584"/>
  <c r="G32" i="584"/>
  <c r="F32" i="587"/>
  <c r="G32" i="587"/>
  <c r="F32" i="583"/>
  <c r="G32" i="583"/>
  <c r="H16" i="597"/>
  <c r="H20" i="597" s="1"/>
  <c r="F31" i="597" s="1"/>
  <c r="D16" i="598"/>
  <c r="H16" i="598" s="1"/>
  <c r="H20" i="598" s="1"/>
  <c r="F31" i="598" s="1"/>
  <c r="H20" i="587"/>
  <c r="I20" i="599"/>
  <c r="G31" i="599" s="1"/>
  <c r="G33" i="599" s="1"/>
  <c r="I12" i="594"/>
  <c r="G30" i="594" s="1"/>
  <c r="F29" i="597"/>
  <c r="F30" i="596"/>
  <c r="I12" i="596"/>
  <c r="G30" i="596" s="1"/>
  <c r="F32" i="595"/>
  <c r="G32" i="595"/>
  <c r="H20" i="596"/>
  <c r="F31" i="596" s="1"/>
  <c r="I12" i="595"/>
  <c r="G30" i="595" s="1"/>
  <c r="G32" i="593"/>
  <c r="H20" i="593"/>
  <c r="I20" i="593" s="1"/>
  <c r="G31" i="593" s="1"/>
  <c r="F29" i="593"/>
  <c r="I9" i="593"/>
  <c r="G29" i="593" s="1"/>
  <c r="F32" i="592"/>
  <c r="G32" i="592"/>
  <c r="F32" i="593"/>
  <c r="I9" i="592"/>
  <c r="G29" i="592" s="1"/>
  <c r="H20" i="592"/>
  <c r="I20" i="592" s="1"/>
  <c r="G31" i="592" s="1"/>
  <c r="H20" i="591"/>
  <c r="F31" i="591" s="1"/>
  <c r="F32" i="589"/>
  <c r="G32" i="589"/>
  <c r="H20" i="590"/>
  <c r="F31" i="590" s="1"/>
  <c r="F32" i="594"/>
  <c r="F29" i="596"/>
  <c r="I9" i="596"/>
  <c r="G29" i="596" s="1"/>
  <c r="F30" i="593"/>
  <c r="I12" i="593"/>
  <c r="G30" i="593" s="1"/>
  <c r="F29" i="595"/>
  <c r="I9" i="595"/>
  <c r="G29" i="595" s="1"/>
  <c r="F30" i="597"/>
  <c r="I12" i="597"/>
  <c r="G30" i="597" s="1"/>
  <c r="F29" i="594"/>
  <c r="I9" i="594"/>
  <c r="G29" i="594" s="1"/>
  <c r="F29" i="591"/>
  <c r="I9" i="591"/>
  <c r="G29" i="591" s="1"/>
  <c r="H20" i="588"/>
  <c r="F31" i="588" s="1"/>
  <c r="F30" i="590"/>
  <c r="I12" i="590"/>
  <c r="G30" i="590" s="1"/>
  <c r="F32" i="590"/>
  <c r="I12" i="592"/>
  <c r="G30" i="592" s="1"/>
  <c r="F29" i="590"/>
  <c r="I9" i="590"/>
  <c r="G29" i="590" s="1"/>
  <c r="H20" i="594"/>
  <c r="F31" i="594" s="1"/>
  <c r="H20" i="595"/>
  <c r="F31" i="595" s="1"/>
  <c r="G20" i="586"/>
  <c r="F29" i="598"/>
  <c r="I9" i="598"/>
  <c r="G29" i="598" s="1"/>
  <c r="I12" i="591"/>
  <c r="G30" i="591" s="1"/>
  <c r="F32" i="588"/>
  <c r="H20" i="589"/>
  <c r="I20" i="589" s="1"/>
  <c r="G31" i="589" s="1"/>
  <c r="I12" i="589"/>
  <c r="G30" i="589" s="1"/>
  <c r="F30" i="588"/>
  <c r="I12" i="588"/>
  <c r="G30" i="588" s="1"/>
  <c r="F29" i="589"/>
  <c r="I9" i="589"/>
  <c r="G29" i="589" s="1"/>
  <c r="F29" i="588"/>
  <c r="I9" i="588"/>
  <c r="G29" i="588" s="1"/>
  <c r="F32" i="597"/>
  <c r="F32" i="596"/>
  <c r="G20" i="597"/>
  <c r="G20" i="596"/>
  <c r="G20" i="595"/>
  <c r="G20" i="594"/>
  <c r="G20" i="593"/>
  <c r="G20" i="592"/>
  <c r="G20" i="591"/>
  <c r="G20" i="590"/>
  <c r="G20" i="589"/>
  <c r="G20" i="588"/>
  <c r="G20" i="587"/>
  <c r="G20" i="585"/>
  <c r="H12" i="583"/>
  <c r="G20" i="584"/>
  <c r="G15" i="583"/>
  <c r="G18" i="583"/>
  <c r="G23" i="583"/>
  <c r="H20" i="583"/>
  <c r="G8" i="583"/>
  <c r="G9" i="583" s="1"/>
  <c r="G11" i="583"/>
  <c r="G12" i="583" s="1"/>
  <c r="G14" i="583"/>
  <c r="G17" i="583"/>
  <c r="F18" i="582"/>
  <c r="D18" i="584" s="1"/>
  <c r="H18" i="584" s="1"/>
  <c r="H20" i="584" s="1"/>
  <c r="F31" i="586" l="1"/>
  <c r="G31" i="586" s="1"/>
  <c r="G33" i="586" s="1"/>
  <c r="I20" i="586"/>
  <c r="F31" i="587"/>
  <c r="G31" i="587" s="1"/>
  <c r="G33" i="587" s="1"/>
  <c r="I20" i="587"/>
  <c r="F31" i="585"/>
  <c r="G31" i="585" s="1"/>
  <c r="G33" i="585" s="1"/>
  <c r="I20" i="585"/>
  <c r="F31" i="584"/>
  <c r="G31" i="584" s="1"/>
  <c r="G33" i="584" s="1"/>
  <c r="I20" i="584"/>
  <c r="F31" i="583"/>
  <c r="G31" i="583" s="1"/>
  <c r="I20" i="583"/>
  <c r="F30" i="583"/>
  <c r="G30" i="583" s="1"/>
  <c r="I12" i="583"/>
  <c r="I20" i="588"/>
  <c r="G31" i="588" s="1"/>
  <c r="G33" i="588" s="1"/>
  <c r="I20" i="594"/>
  <c r="G31" i="594" s="1"/>
  <c r="G33" i="594" s="1"/>
  <c r="I20" i="598"/>
  <c r="G31" i="598" s="1"/>
  <c r="G33" i="598" s="1"/>
  <c r="F31" i="593"/>
  <c r="F31" i="592"/>
  <c r="I20" i="591"/>
  <c r="G31" i="591" s="1"/>
  <c r="G33" i="591" s="1"/>
  <c r="I20" i="597"/>
  <c r="G31" i="597" s="1"/>
  <c r="G33" i="597" s="1"/>
  <c r="I20" i="595"/>
  <c r="G31" i="595" s="1"/>
  <c r="G33" i="595" s="1"/>
  <c r="I20" i="596"/>
  <c r="G31" i="596" s="1"/>
  <c r="G33" i="596" s="1"/>
  <c r="I20" i="590"/>
  <c r="G31" i="590" s="1"/>
  <c r="G33" i="590" s="1"/>
  <c r="G33" i="592"/>
  <c r="G33" i="593"/>
  <c r="F31" i="589"/>
  <c r="G33" i="589"/>
  <c r="G20" i="583"/>
  <c r="H23" i="582"/>
  <c r="H24" i="582" s="1"/>
  <c r="I24" i="582" s="1"/>
  <c r="H19" i="582"/>
  <c r="G18" i="582"/>
  <c r="H17" i="582"/>
  <c r="H16" i="582"/>
  <c r="H15" i="582"/>
  <c r="H14" i="582"/>
  <c r="H11" i="582"/>
  <c r="G8" i="582"/>
  <c r="G9" i="582" s="1"/>
  <c r="G33" i="583" l="1"/>
  <c r="F32" i="582"/>
  <c r="G32" i="582"/>
  <c r="H12" i="582"/>
  <c r="G15" i="582"/>
  <c r="H18" i="582"/>
  <c r="H20" i="582" s="1"/>
  <c r="G11" i="582"/>
  <c r="G12" i="582" s="1"/>
  <c r="G14" i="582"/>
  <c r="G17" i="582"/>
  <c r="H8" i="582"/>
  <c r="H9" i="582" s="1"/>
  <c r="G16" i="582"/>
  <c r="G19" i="582"/>
  <c r="G23" i="582"/>
  <c r="F29" i="582" l="1"/>
  <c r="G29" i="582" s="1"/>
  <c r="I9" i="582"/>
  <c r="F31" i="582"/>
  <c r="G31" i="582" s="1"/>
  <c r="I20" i="582"/>
  <c r="F30" i="582"/>
  <c r="G30" i="582" s="1"/>
  <c r="I12" i="582"/>
  <c r="G20" i="582"/>
  <c r="G33" i="582" l="1"/>
</calcChain>
</file>

<file path=xl/sharedStrings.xml><?xml version="1.0" encoding="utf-8"?>
<sst xmlns="http://schemas.openxmlformats.org/spreadsheetml/2006/main" count="2313" uniqueCount="173">
  <si>
    <t>ENGINEERING DEPARTMENT</t>
  </si>
  <si>
    <t>SR.NO</t>
  </si>
  <si>
    <t>ITEM MEASURED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</si>
  <si>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</si>
  <si>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</si>
  <si>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</si>
  <si>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</si>
  <si>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</si>
  <si>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</si>
  <si>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</si>
  <si>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</si>
  <si>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imp. Gallon</t>
  </si>
  <si>
    <t>IV</t>
  </si>
  <si>
    <t>ELECTRICAL METERS</t>
  </si>
  <si>
    <t>TOTAL ELECTRICAL CONS.(kWh)</t>
  </si>
  <si>
    <t>V</t>
  </si>
  <si>
    <t>GAS CONSUMPTION</t>
  </si>
  <si>
    <t>MAIN LPG METER</t>
  </si>
  <si>
    <t>M3</t>
  </si>
  <si>
    <t xml:space="preserve"> 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</si>
  <si>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</si>
  <si>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</si>
  <si>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</si>
  <si>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</si>
  <si>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</si>
  <si>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</si>
  <si>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</si>
  <si>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Electricity</t>
  </si>
  <si>
    <t xml:space="preserve">Gas </t>
  </si>
  <si>
    <t>Total cost</t>
  </si>
  <si>
    <t>Meter 1</t>
  </si>
  <si>
    <t>Meter 2</t>
  </si>
  <si>
    <t>Meter 3</t>
  </si>
  <si>
    <t>Previous Reading</t>
  </si>
  <si>
    <t>UTILITY CONSUMPTION  SHEET</t>
  </si>
  <si>
    <t>kW x 480</t>
  </si>
  <si>
    <t>2nd Reading (5pm)</t>
  </si>
  <si>
    <t>m3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</si>
  <si>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</si>
  <si>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</si>
  <si>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</si>
  <si>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</si>
  <si>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</si>
  <si>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</si>
  <si>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18E0300032</t>
  </si>
  <si>
    <t>18E0300060</t>
  </si>
  <si>
    <t>18E0300057</t>
  </si>
  <si>
    <t>Date</t>
  </si>
  <si>
    <t>5pm</t>
  </si>
  <si>
    <t xml:space="preserve"> 24hrs CONSUMPTION</t>
  </si>
  <si>
    <t>BTU Meter</t>
  </si>
  <si>
    <t>kwh</t>
  </si>
  <si>
    <t>77092321/2019</t>
  </si>
  <si>
    <t>P103FF043BC</t>
  </si>
  <si>
    <t>Water</t>
  </si>
  <si>
    <t>Meter 4</t>
  </si>
  <si>
    <t>Meter 6</t>
  </si>
  <si>
    <t>Meter 7</t>
  </si>
  <si>
    <t>Gas</t>
  </si>
  <si>
    <t>Electric</t>
  </si>
  <si>
    <t>IG</t>
  </si>
  <si>
    <r>
      <t>Imperial Gallon =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x 219.969</t>
    </r>
  </si>
  <si>
    <t>NOVEMBER</t>
  </si>
  <si>
    <t>L = m³ x 2.71</t>
  </si>
  <si>
    <t>L</t>
  </si>
  <si>
    <r>
      <t>m</t>
    </r>
    <r>
      <rPr>
        <sz val="11"/>
        <rFont val="Calibri"/>
        <family val="2"/>
      </rPr>
      <t>ᶟ</t>
    </r>
  </si>
  <si>
    <t>5AM</t>
  </si>
  <si>
    <t>1st Reading (5am)</t>
  </si>
  <si>
    <t>12hrs CONSUMPTION</t>
  </si>
  <si>
    <t>RTH (MWH X 284.35)</t>
  </si>
  <si>
    <t>Cost (Consumption Charges: 0.568 aed)</t>
  </si>
  <si>
    <t>Total Cost</t>
  </si>
  <si>
    <t>TOTAL ELECTRICAL CONS. (kWh)</t>
  </si>
  <si>
    <t>m³</t>
  </si>
  <si>
    <t>AED (w/o VAT)</t>
  </si>
  <si>
    <t>Imperial Gallon</t>
  </si>
  <si>
    <t>kWh</t>
  </si>
  <si>
    <t>Total Cost:</t>
  </si>
  <si>
    <t>9am</t>
  </si>
  <si>
    <t>Cost (Fuel Charges: 0.006 aed)</t>
  </si>
  <si>
    <t>Cost (Sewerage Fee: 0.005 aed)</t>
  </si>
  <si>
    <t>Cost (first 10,000: .0350 aed)</t>
  </si>
  <si>
    <t>Cost (second 10,000: .040 aed)</t>
  </si>
  <si>
    <t>Cost (above 20,000: .046 aed)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</si>
  <si>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</si>
  <si>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</si>
  <si>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</si>
  <si>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</si>
  <si>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</si>
  <si>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plus contracted load (aed 3,200 per mo.)</t>
  </si>
  <si>
    <t>1st</t>
  </si>
  <si>
    <t>ELECTRICITY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</si>
  <si>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</si>
  <si>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</si>
  <si>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</si>
  <si>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</si>
  <si>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</si>
  <si>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</si>
  <si>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% OCCUPANCY</t>
  </si>
  <si>
    <t>WATER</t>
  </si>
  <si>
    <t>EMPOWER</t>
  </si>
  <si>
    <t>LPG</t>
  </si>
  <si>
    <t>METER: 18E0300032</t>
  </si>
  <si>
    <t>RTH</t>
  </si>
  <si>
    <t>LITRES</t>
  </si>
  <si>
    <t>daily reading</t>
  </si>
  <si>
    <t>%</t>
  </si>
  <si>
    <t>OCC.</t>
  </si>
  <si>
    <t>DAILY</t>
  </si>
  <si>
    <t>Cost (Fuel Charges: 0.075 aed)</t>
  </si>
  <si>
    <t>JANUARY</t>
  </si>
  <si>
    <t xml:space="preserve">Total Occ. Rooms: </t>
  </si>
  <si>
    <t>BTU METER: P103FF043BC</t>
  </si>
  <si>
    <t>METER: 77192321/2019</t>
  </si>
  <si>
    <t>total electricty: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</si>
  <si>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</si>
  <si>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</si>
  <si>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</si>
  <si>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</si>
  <si>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</si>
  <si>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</si>
  <si>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WATER (IG):</t>
  </si>
  <si>
    <t>ELECTRICITY (kWh):</t>
  </si>
  <si>
    <t>COOLING (RTH):</t>
  </si>
  <si>
    <t>LPG (LITRES:)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</si>
  <si>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</si>
  <si>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</si>
  <si>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</si>
  <si>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</si>
  <si>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</si>
  <si>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</si>
  <si>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</si>
  <si>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</si>
  <si>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</si>
  <si>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</si>
  <si>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</si>
  <si>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Imperial Gallon (M: m3 x 219.969)</t>
  </si>
  <si>
    <t>Date: FEB. 1 - 28, 2023</t>
  </si>
  <si>
    <t>%Occupancy:</t>
  </si>
  <si>
    <t xml:space="preserve">Previous Reading </t>
  </si>
  <si>
    <t>Current Month Reading</t>
  </si>
  <si>
    <t>Jan. 23, 2023</t>
  </si>
  <si>
    <t>TOTAL CONSUMPTION</t>
  </si>
  <si>
    <t>Jan. 31</t>
  </si>
  <si>
    <t>Feb. 28</t>
  </si>
  <si>
    <t>vs. MONTHLY TARGET</t>
  </si>
  <si>
    <t>FEBRUARY 2023</t>
  </si>
  <si>
    <t>FEBRUARY 2023 UTILITY READING</t>
  </si>
  <si>
    <t>JAN. 31</t>
  </si>
  <si>
    <t>engr123.</t>
  </si>
  <si>
    <t>Date: Jan. 23 to Feb. 21, 2023</t>
  </si>
  <si>
    <t>Rooms:</t>
  </si>
  <si>
    <t>Feb. 21, 2023</t>
  </si>
  <si>
    <t>82.74</t>
  </si>
  <si>
    <r>
      <t>Liters (m</t>
    </r>
    <r>
      <rPr>
        <sz val="10"/>
        <rFont val="Calibri"/>
        <family val="2"/>
      </rPr>
      <t>³</t>
    </r>
    <r>
      <rPr>
        <sz val="10"/>
        <rFont val="Arial Rounded MT Bold"/>
        <family val="2"/>
      </rPr>
      <t xml:space="preserve"> X 3.70)</t>
    </r>
  </si>
  <si>
    <t>Cost (Consumption Charges: 2.18 aed)</t>
  </si>
  <si>
    <t>Imperial Gallon (M: m3 X 219.969)</t>
  </si>
  <si>
    <t>Site Name</t>
  </si>
  <si>
    <t>Day</t>
  </si>
  <si>
    <t>Month</t>
  </si>
  <si>
    <t>Year</t>
  </si>
  <si>
    <t>District Cooling</t>
  </si>
  <si>
    <t xml:space="preserve">Room Nights </t>
  </si>
  <si>
    <t xml:space="preserve">Total Guests </t>
  </si>
  <si>
    <t>25hours Dubai One Central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</si>
  <si>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</si>
  <si>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</si>
  <si>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</si>
  <si>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</si>
  <si>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</si>
  <si>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</si>
  <si>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>District Energy Cooling RTH</t>
  </si>
  <si>
    <t>District Energy Cooling $/RTH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</si>
</sst>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0.0"/>
    <numFmt numFmtId="167" formatCode="[$AED]\ #,##0.00_);\([$AED]\ #,##0.00\)"/>
    <numFmt numFmtId="168" formatCode="0.000E+00"/>
    <numFmt numFmtId="169" formatCode="&quot;AED&quot;#,##0.00"/>
    <numFmt numFmtId="170" formatCode="#,##0.0"/>
    <numFmt numFmtId="171" formatCode="0.0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3"/>
      <name val="Arial"/>
      <family val="2"/>
    </font>
    <font>
      <b/>
      <sz val="9"/>
      <name val="Arial"/>
      <family val="2"/>
    </font>
    <font>
      <i/>
      <sz val="11"/>
      <name val="Arial"/>
      <family val="2"/>
    </font>
    <font>
      <sz val="1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u/>
      <sz val="20"/>
      <color theme="10"/>
      <name val="Trade Gothic LT Std Cn"/>
      <family val="3"/>
    </font>
    <font>
      <b/>
      <sz val="20"/>
      <color theme="1"/>
      <name val="Trade Gothic LT Std Cn"/>
      <family val="3"/>
    </font>
    <font>
      <b/>
      <u/>
      <sz val="20"/>
      <color theme="1"/>
      <name val="Trade Gothic LT Std Cn"/>
      <family val="3"/>
    </font>
    <font>
      <b/>
      <sz val="40"/>
      <color theme="1"/>
      <name val="Trade Gothic LT Std Cn"/>
      <family val="3"/>
    </font>
    <font>
      <b/>
      <u/>
      <sz val="30"/>
      <color theme="1"/>
      <name val="Trade Gothic LT Std Cn"/>
      <family val="3"/>
    </font>
    <font>
      <b/>
      <u/>
      <sz val="28"/>
      <color theme="1"/>
      <name val="Trade Gothic LT Std Cn"/>
      <family val="3"/>
    </font>
    <font>
      <b/>
      <sz val="28"/>
      <color theme="1"/>
      <name val="Trade Gothic LT Std Cn"/>
      <family val="3"/>
    </font>
    <font>
      <b/>
      <u/>
      <sz val="35"/>
      <color theme="1"/>
      <name val="Trade Gothic LT Std Cn"/>
      <family val="3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74">
    <xf numFmtId="0" fontId="0" fillId="0" borderId="0" xfId="0"/>
    <xf numFmtId="43" fontId="6" fillId="2" borderId="3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43" fontId="0" fillId="2" borderId="0" xfId="0" applyNumberFormat="1" applyFill="1"/>
    <xf numFmtId="1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/>
    </xf>
    <xf numFmtId="43" fontId="2" fillId="2" borderId="4" xfId="0" applyNumberFormat="1" applyFont="1" applyFill="1" applyBorder="1" applyAlignment="1">
      <alignment horizontal="center"/>
    </xf>
    <xf numFmtId="43" fontId="2" fillId="2" borderId="4" xfId="1" applyFont="1" applyFill="1" applyBorder="1" applyAlignment="1">
      <alignment horizontal="center"/>
    </xf>
    <xf numFmtId="43" fontId="15" fillId="2" borderId="0" xfId="0" applyNumberFormat="1" applyFont="1" applyFill="1" applyAlignment="1">
      <alignment vertical="center"/>
    </xf>
    <xf numFmtId="43" fontId="2" fillId="2" borderId="0" xfId="1" applyFont="1" applyFill="1" applyBorder="1" applyAlignment="1">
      <alignment horizontal="center"/>
    </xf>
    <xf numFmtId="43" fontId="16" fillId="2" borderId="0" xfId="0" applyNumberFormat="1" applyFont="1" applyFill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4" xfId="0" applyFont="1" applyFill="1" applyBorder="1"/>
    <xf numFmtId="43" fontId="2" fillId="2" borderId="4" xfId="0" applyNumberFormat="1" applyFont="1" applyFill="1" applyBorder="1"/>
    <xf numFmtId="43" fontId="6" fillId="2" borderId="3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21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3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43" fontId="2" fillId="2" borderId="4" xfId="0" applyNumberFormat="1" applyFont="1" applyFill="1" applyBorder="1" applyAlignment="1">
      <alignment vertical="center"/>
    </xf>
    <xf numFmtId="43" fontId="16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7" fontId="2" fillId="2" borderId="4" xfId="1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5" fillId="2" borderId="4" xfId="0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 wrapText="1"/>
    </xf>
    <xf numFmtId="0" fontId="5" fillId="2" borderId="4" xfId="0" applyFont="1" applyFill="1" applyBorder="1"/>
    <xf numFmtId="43" fontId="6" fillId="2" borderId="4" xfId="1" applyFont="1" applyFill="1" applyBorder="1" applyAlignment="1">
      <alignment horizontal="center"/>
    </xf>
    <xf numFmtId="0" fontId="7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43" fontId="8" fillId="2" borderId="4" xfId="1" applyFont="1" applyFill="1" applyBorder="1"/>
    <xf numFmtId="43" fontId="17" fillId="2" borderId="4" xfId="1" applyFont="1" applyFill="1" applyBorder="1"/>
    <xf numFmtId="43" fontId="9" fillId="2" borderId="4" xfId="1" applyFont="1" applyFill="1" applyBorder="1" applyAlignment="1">
      <alignment horizontal="center" vertical="center"/>
    </xf>
    <xf numFmtId="43" fontId="9" fillId="2" borderId="4" xfId="1" applyFont="1" applyFill="1" applyBorder="1"/>
    <xf numFmtId="0" fontId="9" fillId="2" borderId="4" xfId="0" applyFont="1" applyFill="1" applyBorder="1" applyAlignment="1">
      <alignment horizontal="center"/>
    </xf>
    <xf numFmtId="43" fontId="20" fillId="2" borderId="4" xfId="1" applyFont="1" applyFill="1" applyBorder="1" applyAlignment="1">
      <alignment vertical="center"/>
    </xf>
    <xf numFmtId="167" fontId="6" fillId="2" borderId="4" xfId="1" applyNumberFormat="1" applyFont="1" applyFill="1" applyBorder="1"/>
    <xf numFmtId="43" fontId="10" fillId="0" borderId="4" xfId="1" applyFont="1" applyFill="1" applyBorder="1"/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43" fontId="10" fillId="2" borderId="4" xfId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4" fontId="9" fillId="2" borderId="4" xfId="1" applyNumberFormat="1" applyFont="1" applyFill="1" applyBorder="1" applyAlignment="1">
      <alignment horizontal="center" vertical="center"/>
    </xf>
    <xf numFmtId="4" fontId="9" fillId="2" borderId="4" xfId="1" applyNumberFormat="1" applyFont="1" applyFill="1" applyBorder="1" applyAlignment="1">
      <alignment vertical="center"/>
    </xf>
    <xf numFmtId="4" fontId="19" fillId="0" borderId="4" xfId="1" applyNumberFormat="1" applyFont="1" applyFill="1" applyBorder="1" applyAlignment="1">
      <alignment vertical="center"/>
    </xf>
    <xf numFmtId="167" fontId="18" fillId="2" borderId="4" xfId="1" applyNumberFormat="1" applyFont="1" applyFill="1" applyBorder="1" applyAlignment="1">
      <alignment horizontal="center" vertical="center"/>
    </xf>
    <xf numFmtId="43" fontId="8" fillId="0" borderId="4" xfId="1" applyFont="1" applyFill="1" applyBorder="1"/>
    <xf numFmtId="43" fontId="17" fillId="0" borderId="4" xfId="1" applyFont="1" applyFill="1" applyBorder="1"/>
    <xf numFmtId="43" fontId="9" fillId="0" borderId="4" xfId="1" applyFont="1" applyFill="1" applyBorder="1"/>
    <xf numFmtId="0" fontId="12" fillId="2" borderId="4" xfId="0" applyFont="1" applyFill="1" applyBorder="1"/>
    <xf numFmtId="43" fontId="6" fillId="0" borderId="4" xfId="1" applyFont="1" applyFill="1" applyBorder="1"/>
    <xf numFmtId="43" fontId="13" fillId="2" borderId="4" xfId="1" applyFont="1" applyFill="1" applyBorder="1" applyAlignment="1">
      <alignment horizontal="center" vertical="center"/>
    </xf>
    <xf numFmtId="43" fontId="11" fillId="0" borderId="4" xfId="1" applyFont="1" applyFill="1" applyBorder="1"/>
    <xf numFmtId="43" fontId="10" fillId="2" borderId="4" xfId="1" applyFont="1" applyFill="1" applyBorder="1"/>
    <xf numFmtId="165" fontId="9" fillId="2" borderId="4" xfId="1" applyNumberFormat="1" applyFont="1" applyFill="1" applyBorder="1" applyAlignment="1">
      <alignment horizontal="center" vertical="center"/>
    </xf>
    <xf numFmtId="0" fontId="14" fillId="2" borderId="4" xfId="0" applyFont="1" applyFill="1" applyBorder="1"/>
    <xf numFmtId="0" fontId="14" fillId="2" borderId="4" xfId="0" applyFont="1" applyFill="1" applyBorder="1" applyAlignment="1">
      <alignment horizontal="center"/>
    </xf>
    <xf numFmtId="39" fontId="6" fillId="2" borderId="4" xfId="1" applyNumberFormat="1" applyFont="1" applyFill="1" applyBorder="1"/>
    <xf numFmtId="167" fontId="18" fillId="2" borderId="4" xfId="1" applyNumberFormat="1" applyFont="1" applyFill="1" applyBorder="1"/>
    <xf numFmtId="43" fontId="6" fillId="2" borderId="4" xfId="1" applyFont="1" applyFill="1" applyBorder="1"/>
    <xf numFmtId="43" fontId="18" fillId="2" borderId="4" xfId="1" applyFont="1" applyFill="1" applyBorder="1"/>
    <xf numFmtId="43" fontId="6" fillId="2" borderId="4" xfId="0" applyNumberFormat="1" applyFont="1" applyFill="1" applyBorder="1"/>
    <xf numFmtId="0" fontId="7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167" fontId="18" fillId="2" borderId="4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6" fillId="2" borderId="4" xfId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43" fontId="6" fillId="2" borderId="11" xfId="1" applyFont="1" applyFill="1" applyBorder="1" applyAlignment="1">
      <alignment horizontal="center" vertical="center"/>
    </xf>
    <xf numFmtId="43" fontId="6" fillId="2" borderId="27" xfId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43" fontId="8" fillId="2" borderId="4" xfId="1" applyFont="1" applyFill="1" applyBorder="1" applyAlignment="1">
      <alignment vertical="center"/>
    </xf>
    <xf numFmtId="43" fontId="17" fillId="2" borderId="4" xfId="1" applyFont="1" applyFill="1" applyBorder="1" applyAlignment="1">
      <alignment vertical="center"/>
    </xf>
    <xf numFmtId="43" fontId="9" fillId="2" borderId="4" xfId="1" applyFont="1" applyFill="1" applyBorder="1" applyAlignment="1">
      <alignment vertical="center"/>
    </xf>
    <xf numFmtId="4" fontId="20" fillId="2" borderId="4" xfId="1" applyNumberFormat="1" applyFont="1" applyFill="1" applyBorder="1" applyAlignment="1">
      <alignment vertical="center"/>
    </xf>
    <xf numFmtId="4" fontId="10" fillId="0" borderId="4" xfId="1" applyNumberFormat="1" applyFont="1" applyFill="1" applyBorder="1" applyAlignment="1">
      <alignment vertical="center"/>
    </xf>
    <xf numFmtId="4" fontId="8" fillId="0" borderId="4" xfId="1" applyNumberFormat="1" applyFont="1" applyFill="1" applyBorder="1" applyAlignment="1">
      <alignment vertical="center"/>
    </xf>
    <xf numFmtId="4" fontId="17" fillId="0" borderId="4" xfId="1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4" fontId="6" fillId="0" borderId="4" xfId="1" applyNumberFormat="1" applyFont="1" applyFill="1" applyBorder="1" applyAlignment="1">
      <alignment vertical="center"/>
    </xf>
    <xf numFmtId="4" fontId="13" fillId="2" borderId="4" xfId="1" applyNumberFormat="1" applyFont="1" applyFill="1" applyBorder="1" applyAlignment="1">
      <alignment horizontal="center" vertical="center"/>
    </xf>
    <xf numFmtId="4" fontId="11" fillId="0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4" fontId="6" fillId="2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43" fontId="10" fillId="0" borderId="4" xfId="1" applyFont="1" applyFill="1" applyBorder="1" applyAlignment="1">
      <alignment vertical="center"/>
    </xf>
    <xf numFmtId="43" fontId="6" fillId="2" borderId="4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43" fontId="6" fillId="0" borderId="4" xfId="1" applyFont="1" applyFill="1" applyBorder="1" applyAlignment="1">
      <alignment horizontal="center" vertical="center"/>
    </xf>
    <xf numFmtId="43" fontId="8" fillId="0" borderId="4" xfId="1" applyFont="1" applyFill="1" applyBorder="1" applyAlignment="1">
      <alignment vertical="center"/>
    </xf>
    <xf numFmtId="43" fontId="17" fillId="0" borderId="4" xfId="1" applyFont="1" applyFill="1" applyBorder="1" applyAlignment="1">
      <alignment vertical="center"/>
    </xf>
    <xf numFmtId="43" fontId="6" fillId="0" borderId="4" xfId="1" applyFont="1" applyFill="1" applyBorder="1" applyAlignment="1">
      <alignment vertical="center"/>
    </xf>
    <xf numFmtId="43" fontId="11" fillId="0" borderId="4" xfId="1" applyFont="1" applyFill="1" applyBorder="1" applyAlignment="1">
      <alignment vertical="center"/>
    </xf>
    <xf numFmtId="39" fontId="6" fillId="2" borderId="4" xfId="1" applyNumberFormat="1" applyFont="1" applyFill="1" applyBorder="1" applyAlignment="1">
      <alignment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1" fontId="0" fillId="0" borderId="31" xfId="0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43" fontId="17" fillId="2" borderId="9" xfId="1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43" fontId="9" fillId="2" borderId="9" xfId="1" applyFont="1" applyFill="1" applyBorder="1" applyAlignment="1">
      <alignment vertical="center"/>
    </xf>
    <xf numFmtId="43" fontId="23" fillId="2" borderId="4" xfId="1" applyFont="1" applyFill="1" applyBorder="1" applyAlignment="1">
      <alignment vertical="center"/>
    </xf>
    <xf numFmtId="43" fontId="6" fillId="2" borderId="9" xfId="1" applyFont="1" applyFill="1" applyBorder="1" applyAlignment="1">
      <alignment vertical="center"/>
    </xf>
    <xf numFmtId="0" fontId="17" fillId="8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/>
    </xf>
    <xf numFmtId="43" fontId="23" fillId="8" borderId="4" xfId="1" applyFont="1" applyFill="1" applyBorder="1" applyAlignment="1">
      <alignment vertical="center"/>
    </xf>
    <xf numFmtId="167" fontId="6" fillId="8" borderId="9" xfId="1" applyNumberFormat="1" applyFont="1" applyFill="1" applyBorder="1" applyAlignment="1">
      <alignment vertical="center"/>
    </xf>
    <xf numFmtId="0" fontId="17" fillId="9" borderId="4" xfId="0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/>
    </xf>
    <xf numFmtId="43" fontId="23" fillId="9" borderId="4" xfId="1" applyFont="1" applyFill="1" applyBorder="1" applyAlignment="1">
      <alignment vertical="center"/>
    </xf>
    <xf numFmtId="167" fontId="6" fillId="9" borderId="9" xfId="1" applyNumberFormat="1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43" fontId="10" fillId="0" borderId="9" xfId="1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43" fontId="18" fillId="0" borderId="9" xfId="1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 wrapText="1"/>
    </xf>
    <xf numFmtId="43" fontId="6" fillId="8" borderId="4" xfId="1" applyFont="1" applyFill="1" applyBorder="1" applyAlignment="1">
      <alignment horizontal="center" vertical="center"/>
    </xf>
    <xf numFmtId="167" fontId="18" fillId="8" borderId="9" xfId="1" applyNumberFormat="1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 wrapText="1"/>
    </xf>
    <xf numFmtId="43" fontId="6" fillId="9" borderId="4" xfId="1" applyFont="1" applyFill="1" applyBorder="1" applyAlignment="1">
      <alignment horizontal="center" vertical="center"/>
    </xf>
    <xf numFmtId="167" fontId="18" fillId="9" borderId="9" xfId="1" applyNumberFormat="1" applyFont="1" applyFill="1" applyBorder="1" applyAlignment="1">
      <alignment vertical="center"/>
    </xf>
    <xf numFmtId="43" fontId="17" fillId="0" borderId="9" xfId="1" applyFont="1" applyFill="1" applyBorder="1" applyAlignment="1">
      <alignment vertical="center"/>
    </xf>
    <xf numFmtId="43" fontId="6" fillId="0" borderId="9" xfId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43" fontId="13" fillId="8" borderId="4" xfId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43" fontId="13" fillId="9" borderId="4" xfId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1" fillId="5" borderId="4" xfId="0" applyFont="1" applyFill="1" applyBorder="1"/>
    <xf numFmtId="167" fontId="21" fillId="5" borderId="4" xfId="0" applyNumberFormat="1" applyFont="1" applyFill="1" applyBorder="1" applyAlignment="1">
      <alignment horizontal="center" vertical="center"/>
    </xf>
    <xf numFmtId="169" fontId="6" fillId="10" borderId="9" xfId="1" applyNumberFormat="1" applyFont="1" applyFill="1" applyBorder="1" applyAlignment="1">
      <alignment vertical="center"/>
    </xf>
    <xf numFmtId="0" fontId="27" fillId="0" borderId="0" xfId="2" applyAlignment="1">
      <alignment horizontal="center" vertical="center"/>
    </xf>
    <xf numFmtId="0" fontId="0" fillId="0" borderId="19" xfId="0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70" fontId="0" fillId="0" borderId="21" xfId="0" applyNumberFormat="1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5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29" fillId="0" borderId="0" xfId="2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31" fillId="0" borderId="4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3" fontId="30" fillId="0" borderId="4" xfId="0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4" fontId="30" fillId="0" borderId="4" xfId="0" applyNumberFormat="1" applyFont="1" applyBorder="1" applyAlignment="1">
      <alignment vertical="center"/>
    </xf>
    <xf numFmtId="4" fontId="30" fillId="0" borderId="4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1" fillId="11" borderId="0" xfId="0" applyFont="1" applyFill="1" applyAlignment="1">
      <alignment vertical="center"/>
    </xf>
    <xf numFmtId="0" fontId="31" fillId="11" borderId="0" xfId="0" applyFont="1" applyFill="1" applyAlignment="1">
      <alignment horizontal="right" vertical="center"/>
    </xf>
    <xf numFmtId="3" fontId="31" fillId="11" borderId="0" xfId="0" applyNumberFormat="1" applyFont="1" applyFill="1" applyAlignment="1">
      <alignment vertical="center"/>
    </xf>
    <xf numFmtId="10" fontId="32" fillId="0" borderId="3" xfId="0" applyNumberFormat="1" applyFont="1" applyBorder="1" applyAlignment="1">
      <alignment horizontal="center" vertical="center"/>
    </xf>
    <xf numFmtId="4" fontId="32" fillId="0" borderId="3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3" fontId="32" fillId="0" borderId="3" xfId="0" applyNumberFormat="1" applyFont="1" applyBorder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4" fontId="32" fillId="0" borderId="35" xfId="0" applyNumberFormat="1" applyFont="1" applyBorder="1" applyAlignment="1">
      <alignment horizontal="center" vertical="center"/>
    </xf>
    <xf numFmtId="4" fontId="32" fillId="0" borderId="27" xfId="0" applyNumberFormat="1" applyFont="1" applyBorder="1" applyAlignment="1">
      <alignment horizontal="center" vertical="center"/>
    </xf>
    <xf numFmtId="3" fontId="32" fillId="0" borderId="27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left" vertical="center" wrapText="1"/>
    </xf>
    <xf numFmtId="0" fontId="33" fillId="0" borderId="4" xfId="0" applyFont="1" applyBorder="1" applyAlignment="1">
      <alignment vertical="center" wrapText="1"/>
    </xf>
    <xf numFmtId="0" fontId="33" fillId="0" borderId="2" xfId="0" applyFont="1" applyBorder="1" applyAlignment="1">
      <alignment horizontal="left" vertical="center" wrapText="1"/>
    </xf>
    <xf numFmtId="0" fontId="32" fillId="0" borderId="36" xfId="0" applyFont="1" applyBorder="1" applyAlignment="1">
      <alignment vertical="center"/>
    </xf>
    <xf numFmtId="0" fontId="34" fillId="0" borderId="2" xfId="0" applyFont="1" applyBorder="1" applyAlignment="1">
      <alignment horizontal="left" vertical="center" wrapText="1"/>
    </xf>
    <xf numFmtId="0" fontId="35" fillId="0" borderId="2" xfId="0" applyFont="1" applyBorder="1" applyAlignment="1">
      <alignment vertical="center"/>
    </xf>
    <xf numFmtId="0" fontId="35" fillId="0" borderId="2" xfId="0" applyFont="1" applyBorder="1" applyAlignment="1">
      <alignment vertical="center" wrapText="1"/>
    </xf>
    <xf numFmtId="0" fontId="36" fillId="0" borderId="4" xfId="0" applyFont="1" applyBorder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167" fontId="6" fillId="8" borderId="4" xfId="1" applyNumberFormat="1" applyFont="1" applyFill="1" applyBorder="1" applyAlignment="1">
      <alignment vertical="center"/>
    </xf>
    <xf numFmtId="167" fontId="6" fillId="9" borderId="4" xfId="1" applyNumberFormat="1" applyFont="1" applyFill="1" applyBorder="1" applyAlignment="1">
      <alignment vertical="center"/>
    </xf>
    <xf numFmtId="167" fontId="6" fillId="10" borderId="4" xfId="1" applyNumberFormat="1" applyFont="1" applyFill="1" applyBorder="1" applyAlignment="1">
      <alignment vertical="center"/>
    </xf>
    <xf numFmtId="43" fontId="18" fillId="0" borderId="4" xfId="1" applyFont="1" applyFill="1" applyBorder="1" applyAlignment="1">
      <alignment vertical="center"/>
    </xf>
    <xf numFmtId="167" fontId="18" fillId="8" borderId="4" xfId="1" applyNumberFormat="1" applyFont="1" applyFill="1" applyBorder="1" applyAlignment="1">
      <alignment vertical="center"/>
    </xf>
    <xf numFmtId="167" fontId="18" fillId="9" borderId="4" xfId="1" applyNumberFormat="1" applyFont="1" applyFill="1" applyBorder="1" applyAlignment="1">
      <alignment vertical="center"/>
    </xf>
    <xf numFmtId="167" fontId="6" fillId="0" borderId="4" xfId="1" applyNumberFormat="1" applyFont="1" applyFill="1" applyBorder="1" applyAlignment="1">
      <alignment vertical="center"/>
    </xf>
    <xf numFmtId="167" fontId="18" fillId="0" borderId="4" xfId="1" applyNumberFormat="1" applyFont="1" applyFill="1" applyBorder="1" applyAlignment="1">
      <alignment vertical="center"/>
    </xf>
    <xf numFmtId="167" fontId="6" fillId="5" borderId="4" xfId="1" applyNumberFormat="1" applyFont="1" applyFill="1" applyBorder="1" applyAlignment="1">
      <alignment vertical="center"/>
    </xf>
    <xf numFmtId="167" fontId="18" fillId="5" borderId="4" xfId="1" applyNumberFormat="1" applyFont="1" applyFill="1" applyBorder="1" applyAlignment="1">
      <alignment vertical="center"/>
    </xf>
    <xf numFmtId="0" fontId="5" fillId="2" borderId="23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vertical="center"/>
    </xf>
    <xf numFmtId="0" fontId="21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31" fillId="0" borderId="0" xfId="0" applyNumberFormat="1" applyFont="1" applyAlignment="1">
      <alignment vertical="center" wrapText="1"/>
    </xf>
    <xf numFmtId="0" fontId="0" fillId="13" borderId="18" xfId="0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10" fontId="4" fillId="4" borderId="39" xfId="0" applyNumberFormat="1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right" vertical="center"/>
    </xf>
    <xf numFmtId="3" fontId="4" fillId="4" borderId="36" xfId="0" applyNumberFormat="1" applyFont="1" applyFill="1" applyBorder="1" applyAlignment="1">
      <alignment horizontal="center" vertical="center"/>
    </xf>
    <xf numFmtId="3" fontId="4" fillId="4" borderId="39" xfId="0" applyNumberFormat="1" applyFont="1" applyFill="1" applyBorder="1" applyAlignment="1">
      <alignment vertical="center"/>
    </xf>
    <xf numFmtId="0" fontId="4" fillId="4" borderId="17" xfId="0" applyFont="1" applyFill="1" applyBorder="1" applyAlignment="1">
      <alignment horizontal="center" vertical="center"/>
    </xf>
    <xf numFmtId="43" fontId="17" fillId="2" borderId="18" xfId="1" applyFont="1" applyFill="1" applyBorder="1" applyAlignment="1">
      <alignment vertical="center"/>
    </xf>
    <xf numFmtId="43" fontId="9" fillId="2" borderId="18" xfId="1" applyFont="1" applyFill="1" applyBorder="1" applyAlignment="1">
      <alignment vertical="center"/>
    </xf>
    <xf numFmtId="43" fontId="6" fillId="2" borderId="18" xfId="1" applyFont="1" applyFill="1" applyBorder="1" applyAlignment="1">
      <alignment vertical="center"/>
    </xf>
    <xf numFmtId="167" fontId="6" fillId="0" borderId="18" xfId="1" applyNumberFormat="1" applyFont="1" applyFill="1" applyBorder="1" applyAlignment="1">
      <alignment vertical="center"/>
    </xf>
    <xf numFmtId="167" fontId="6" fillId="5" borderId="18" xfId="1" applyNumberFormat="1" applyFont="1" applyFill="1" applyBorder="1" applyAlignment="1">
      <alignment vertical="center"/>
    </xf>
    <xf numFmtId="43" fontId="10" fillId="0" borderId="18" xfId="1" applyFont="1" applyFill="1" applyBorder="1" applyAlignment="1">
      <alignment vertical="center"/>
    </xf>
    <xf numFmtId="43" fontId="18" fillId="0" borderId="18" xfId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167" fontId="18" fillId="5" borderId="18" xfId="1" applyNumberFormat="1" applyFont="1" applyFill="1" applyBorder="1" applyAlignment="1">
      <alignment vertical="center"/>
    </xf>
    <xf numFmtId="43" fontId="17" fillId="0" borderId="18" xfId="1" applyFont="1" applyFill="1" applyBorder="1" applyAlignment="1">
      <alignment vertical="center"/>
    </xf>
    <xf numFmtId="43" fontId="6" fillId="0" borderId="18" xfId="1" applyFont="1" applyFill="1" applyBorder="1" applyAlignment="1">
      <alignment vertical="center"/>
    </xf>
    <xf numFmtId="167" fontId="6" fillId="5" borderId="19" xfId="1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6" fillId="2" borderId="23" xfId="1" applyFont="1" applyFill="1" applyBorder="1" applyAlignment="1">
      <alignment horizontal="center" vertical="center" wrapText="1"/>
    </xf>
    <xf numFmtId="43" fontId="6" fillId="2" borderId="4" xfId="1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43" fontId="6" fillId="2" borderId="18" xfId="1" applyFont="1" applyFill="1" applyBorder="1" applyAlignment="1">
      <alignment horizontal="center" vertical="center" wrapText="1"/>
    </xf>
    <xf numFmtId="43" fontId="6" fillId="2" borderId="37" xfId="1" applyFont="1" applyFill="1" applyBorder="1" applyAlignment="1">
      <alignment horizontal="center" vertical="center" wrapText="1"/>
    </xf>
    <xf numFmtId="43" fontId="6" fillId="2" borderId="22" xfId="1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21" fillId="6" borderId="0" xfId="0" applyFont="1" applyFill="1" applyAlignment="1">
      <alignment horizontal="center" vertical="center" wrapText="1"/>
    </xf>
    <xf numFmtId="0" fontId="0" fillId="12" borderId="3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31" fillId="11" borderId="0" xfId="0" applyFont="1" applyFill="1" applyAlignment="1">
      <alignment horizontal="center" vertical="center"/>
    </xf>
    <xf numFmtId="4" fontId="32" fillId="0" borderId="2" xfId="0" applyNumberFormat="1" applyFont="1" applyBorder="1" applyAlignment="1">
      <alignment horizontal="center" vertical="center"/>
    </xf>
    <xf numFmtId="4" fontId="32" fillId="0" borderId="36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49" fontId="32" fillId="0" borderId="36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1" fontId="37" fillId="0" borderId="0" xfId="0" applyNumberFormat="1" applyFont="1" applyAlignment="1">
      <alignment horizontal="center" wrapText="1"/>
    </xf>
    <xf numFmtId="0" fontId="37" fillId="0" borderId="0" xfId="0" applyFont="1"/>
    <xf numFmtId="0" fontId="4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1" fillId="0" borderId="0" xfId="0" applyFont="1" applyAlignment="1">
      <alignment horizontal="center"/>
    </xf>
    <xf numFmtId="0" fontId="37" fillId="0" borderId="46" xfId="0" applyFont="1" applyBorder="1" applyAlignment="1">
      <alignment horizontal="center" vertical="center"/>
    </xf>
    <xf numFmtId="0" fontId="38" fillId="0" borderId="46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 wrapText="1"/>
    </xf>
    <xf numFmtId="0" fontId="39" fillId="0" borderId="46" xfId="0" applyFont="1" applyBorder="1" applyAlignment="1">
      <alignment horizontal="center" vertical="center" wrapText="1"/>
    </xf>
    <xf numFmtId="171" fontId="39" fillId="0" borderId="46" xfId="0" applyNumberFormat="1" applyFont="1" applyBorder="1" applyAlignment="1">
      <alignment horizontal="center" vertical="center" wrapText="1"/>
    </xf>
    <xf numFmtId="1" fontId="42" fillId="0" borderId="46" xfId="0" applyNumberFormat="1" applyFont="1" applyBorder="1" applyAlignment="1">
      <alignment horizontal="center" vertical="center" wrapText="1"/>
    </xf>
    <xf numFmtId="1" fontId="37" fillId="0" borderId="46" xfId="0" applyNumberFormat="1" applyFont="1" applyBorder="1" applyAlignment="1">
      <alignment horizontal="center" vertical="center" wrapText="1"/>
    </xf>
    <xf numFmtId="171" fontId="41" fillId="0" borderId="0" xfId="0" applyNumberFormat="1" applyFont="1" applyAlignment="1">
      <alignment horizontal="center"/>
    </xf>
    <xf numFmtId="2" fontId="41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44467" cy="542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44467" cy="542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4D-D225-4BB1-A7D6-E42FF5281C5C}">
  <dimension ref="A1:O30"/>
  <sheetViews>
    <sheetView tabSelected="1" topLeftCell="B1" workbookViewId="0">
      <selection activeCell="M2" sqref="M2:M30"/>
    </sheetView>
  </sheetViews>
  <sheetFormatPr defaultColWidth="11.59765625" defaultRowHeight="14.25"/>
  <cols>
    <col min="1" max="1" width="23" style="28" customWidth="1"/>
    <col min="2" max="2" width="11.59765625" style="28"/>
    <col min="3" max="3" width="11.59765625" style="361"/>
    <col min="4" max="4" width="13.3984375" style="28" customWidth="1"/>
    <col min="5" max="5" width="12.59765625" style="28" customWidth="1"/>
    <col min="6" max="6" width="12.59765625" style="363" customWidth="1"/>
    <col min="7" max="7" width="11.59765625" style="28"/>
    <col min="8" max="8" width="11.59765625" style="363"/>
    <col min="9" max="9" width="11.59765625" style="28"/>
    <col min="10" max="10" width="11.59765625" style="371"/>
    <col min="11" max="11" width="11.59765625" style="373"/>
    <col min="12" max="12" width="11.59765625" style="371"/>
    <col min="13" max="13" width="11.59765625" style="362"/>
    <col min="14" max="16384" width="11.59765625" style="28"/>
  </cols>
  <sheetData>
    <row r="1" spans="1:15" s="355" customFormat="1" ht="57.4" thickBot="1">
      <c r="A1" s="364" t="s">
        <v>157</v>
      </c>
      <c r="B1" s="364" t="s">
        <v>158</v>
      </c>
      <c r="C1" s="365" t="s">
        <v>159</v>
      </c>
      <c r="D1" s="364" t="s">
        <v>160</v>
      </c>
      <c r="E1" s="366" t="s">
        <v>165</v>
      </c>
      <c r="F1" s="367" t="s">
        <v>166</v>
      </c>
      <c r="G1" s="366" t="s">
        <v>167</v>
      </c>
      <c r="H1" s="367" t="s">
        <v>168</v>
      </c>
      <c r="I1" s="366" t="s">
        <v>169</v>
      </c>
      <c r="J1" s="368" t="s">
        <v>170</v>
      </c>
      <c r="K1" s="369" t="s">
        <v>171</v>
      </c>
      <c r="L1" s="368" t="s">
        <v>172</v>
      </c>
      <c r="M1" s="370" t="s">
        <v>162</v>
      </c>
      <c r="N1" s="366" t="s">
        <v>163</v>
      </c>
    </row>
    <row r="2" spans="1:15" ht="14.65" thickTop="1">
      <c r="A2" s="28" t="s">
        <v>164</v>
      </c>
      <c r="B2" s="28">
        <v>1</v>
      </c>
      <c r="C2" s="361">
        <v>2</v>
      </c>
      <c r="D2" s="28">
        <v>2023</v>
      </c>
      <c r="E2" s="362">
        <f>Sheet1!E2+Sheet1!F2+Sheet1!G2+Sheet1!H2+Sheet1!I2+Sheet1!J2</f>
        <v>11376.000000000022</v>
      </c>
      <c r="F2" s="371">
        <v>0.44</v>
      </c>
      <c r="G2" s="362">
        <f>Sheet1!M2</f>
        <v>430.3100000000108</v>
      </c>
      <c r="H2" s="372">
        <v>2.5</v>
      </c>
      <c r="I2" s="362">
        <f>Sheet1!L2</f>
        <v>49053.087</v>
      </c>
      <c r="J2" s="371">
        <v>0.06</v>
      </c>
      <c r="K2" s="373">
        <f>Sheet1!K2</f>
        <v>3582.6839999995859</v>
      </c>
      <c r="L2" s="371">
        <f>0.568+0.075</f>
        <v>0.6429999999999999</v>
      </c>
      <c r="M2" s="362">
        <f>Sheet1!N2</f>
        <v>422.02159999999998</v>
      </c>
      <c r="N2" s="28" t="s">
        <v>19</v>
      </c>
      <c r="O2" s="355"/>
    </row>
    <row r="3" spans="1:15">
      <c r="A3" s="28" t="s">
        <v>164</v>
      </c>
      <c r="B3" s="28">
        <f t="shared" ref="B3:B30" si="0">B2+1</f>
        <v>2</v>
      </c>
      <c r="C3" s="361">
        <v>2</v>
      </c>
      <c r="D3" s="28">
        <v>2023</v>
      </c>
      <c r="E3" s="362">
        <f>Sheet1!E3+Sheet1!F3+Sheet1!G3+Sheet1!H3+Sheet1!I3+Sheet1!J3</f>
        <v>12767.999999999956</v>
      </c>
      <c r="F3" s="371">
        <v>0.44</v>
      </c>
      <c r="G3" s="362">
        <f>Sheet1!M3</f>
        <v>519.10999999998387</v>
      </c>
      <c r="H3" s="372">
        <v>2.5</v>
      </c>
      <c r="I3" s="362">
        <f>Sheet1!L3</f>
        <v>67750.452000000005</v>
      </c>
      <c r="J3" s="371">
        <v>0.06</v>
      </c>
      <c r="K3" s="373">
        <f>Sheet1!K3</f>
        <v>5146.5540000016545</v>
      </c>
      <c r="L3" s="371">
        <f t="shared" ref="L3:L30" si="1">0.568+0.075</f>
        <v>0.6429999999999999</v>
      </c>
      <c r="M3" s="362">
        <f>Sheet1!N3</f>
        <v>343.98840000000001</v>
      </c>
      <c r="N3" s="28" t="s">
        <v>19</v>
      </c>
      <c r="O3" s="355"/>
    </row>
    <row r="4" spans="1:15">
      <c r="A4" s="28" t="s">
        <v>164</v>
      </c>
      <c r="B4" s="28">
        <f t="shared" si="0"/>
        <v>3</v>
      </c>
      <c r="C4" s="361">
        <v>2</v>
      </c>
      <c r="D4" s="28">
        <v>2023</v>
      </c>
      <c r="E4" s="362">
        <f>Sheet1!E4+Sheet1!F4+Sheet1!G4+Sheet1!H4+Sheet1!I4+Sheet1!J4</f>
        <v>18864.000000000087</v>
      </c>
      <c r="F4" s="371">
        <v>0.44</v>
      </c>
      <c r="G4" s="362">
        <f>Sheet1!M4</f>
        <v>510.6</v>
      </c>
      <c r="H4" s="372">
        <v>2.5</v>
      </c>
      <c r="I4" s="362">
        <f>Sheet1!L4</f>
        <v>65770.731</v>
      </c>
      <c r="J4" s="371">
        <v>0.06</v>
      </c>
      <c r="K4" s="373">
        <f>Sheet1!K4</f>
        <v>6710.4239999995852</v>
      </c>
      <c r="L4" s="371">
        <f t="shared" si="1"/>
        <v>0.6429999999999999</v>
      </c>
      <c r="M4" s="362">
        <f>Sheet1!N4</f>
        <v>287.00419999999997</v>
      </c>
      <c r="N4" s="28" t="s">
        <v>19</v>
      </c>
      <c r="O4" s="355"/>
    </row>
    <row r="5" spans="1:15">
      <c r="A5" s="28" t="s">
        <v>164</v>
      </c>
      <c r="B5" s="28">
        <f t="shared" si="0"/>
        <v>4</v>
      </c>
      <c r="C5" s="361">
        <v>2</v>
      </c>
      <c r="D5" s="28">
        <v>2023</v>
      </c>
      <c r="E5" s="362">
        <f>Sheet1!E5+Sheet1!F5+Sheet1!G5+Sheet1!H5+Sheet1!I5+Sheet1!J5</f>
        <v>13632.000000000044</v>
      </c>
      <c r="F5" s="371">
        <v>0.44</v>
      </c>
      <c r="G5" s="362">
        <f>Sheet1!M5</f>
        <v>458.43000000000541</v>
      </c>
      <c r="H5" s="372">
        <v>2.5</v>
      </c>
      <c r="I5" s="362">
        <f>Sheet1!L5</f>
        <v>71709.894</v>
      </c>
      <c r="J5" s="371">
        <v>0.06</v>
      </c>
      <c r="K5" s="373">
        <f>Sheet1!K5</f>
        <v>4691.6099999999997</v>
      </c>
      <c r="L5" s="371">
        <f t="shared" si="1"/>
        <v>0.6429999999999999</v>
      </c>
      <c r="M5" s="362">
        <f>Sheet1!N5</f>
        <v>294.03500000000003</v>
      </c>
      <c r="N5" s="28" t="s">
        <v>19</v>
      </c>
      <c r="O5" s="355"/>
    </row>
    <row r="6" spans="1:15">
      <c r="A6" s="28" t="s">
        <v>164</v>
      </c>
      <c r="B6" s="28">
        <f t="shared" si="0"/>
        <v>5</v>
      </c>
      <c r="C6" s="361">
        <v>2</v>
      </c>
      <c r="D6" s="28">
        <v>2023</v>
      </c>
      <c r="E6" s="362">
        <f>Sheet1!E6+Sheet1!F6+Sheet1!G6+Sheet1!H6+Sheet1!I6+Sheet1!J6</f>
        <v>17088.000000000175</v>
      </c>
      <c r="F6" s="371">
        <v>0.44</v>
      </c>
      <c r="G6" s="362">
        <f>Sheet1!M6</f>
        <v>499.1300000000054</v>
      </c>
      <c r="H6" s="372">
        <v>2.5</v>
      </c>
      <c r="I6" s="362">
        <f>Sheet1!L6</f>
        <v>45313.614000000001</v>
      </c>
      <c r="J6" s="371">
        <v>0.06</v>
      </c>
      <c r="K6" s="373">
        <f>Sheet1!K6</f>
        <v>5174.9879999991717</v>
      </c>
      <c r="L6" s="371">
        <f t="shared" si="1"/>
        <v>0.6429999999999999</v>
      </c>
      <c r="M6" s="362">
        <f>Sheet1!N6</f>
        <v>307.01159999999999</v>
      </c>
      <c r="N6" s="28" t="s">
        <v>19</v>
      </c>
      <c r="O6" s="355"/>
    </row>
    <row r="7" spans="1:15">
      <c r="A7" s="28" t="s">
        <v>164</v>
      </c>
      <c r="B7" s="28">
        <f t="shared" si="0"/>
        <v>6</v>
      </c>
      <c r="C7" s="361">
        <v>2</v>
      </c>
      <c r="D7" s="28">
        <v>2023</v>
      </c>
      <c r="E7" s="362">
        <f>Sheet1!E7+Sheet1!F7+Sheet1!G7+Sheet1!H7+Sheet1!I7+Sheet1!J7</f>
        <v>21216.000000000022</v>
      </c>
      <c r="F7" s="371">
        <v>0.44</v>
      </c>
      <c r="G7" s="362">
        <f>Sheet1!M7</f>
        <v>600.51000000001079</v>
      </c>
      <c r="H7" s="372">
        <v>2.5</v>
      </c>
      <c r="I7" s="362">
        <f>Sheet1!L7</f>
        <v>65770.731</v>
      </c>
      <c r="J7" s="371">
        <v>0.06</v>
      </c>
      <c r="K7" s="373">
        <f>Sheet1!K7</f>
        <v>6994.7639999995854</v>
      </c>
      <c r="L7" s="371">
        <f t="shared" si="1"/>
        <v>0.6429999999999999</v>
      </c>
      <c r="M7" s="362">
        <f>Sheet1!N7</f>
        <v>383.005</v>
      </c>
      <c r="N7" s="28" t="s">
        <v>19</v>
      </c>
    </row>
    <row r="8" spans="1:15">
      <c r="A8" s="28" t="s">
        <v>164</v>
      </c>
      <c r="B8" s="28">
        <f t="shared" si="0"/>
        <v>7</v>
      </c>
      <c r="C8" s="361">
        <v>2</v>
      </c>
      <c r="D8" s="28">
        <v>2023</v>
      </c>
      <c r="E8" s="362">
        <f>Sheet1!E8+Sheet1!F8+Sheet1!G8+Sheet1!H8+Sheet1!I8+Sheet1!J8</f>
        <v>12096.000000000349</v>
      </c>
      <c r="F8" s="371">
        <v>0.44</v>
      </c>
      <c r="G8" s="362">
        <f>Sheet1!M8</f>
        <v>372.58999999998923</v>
      </c>
      <c r="H8" s="372">
        <v>2.5</v>
      </c>
      <c r="I8" s="362">
        <f>Sheet1!L8</f>
        <v>56312.063999999998</v>
      </c>
      <c r="J8" s="371">
        <v>0.06</v>
      </c>
      <c r="K8" s="373">
        <f>Sheet1!K8</f>
        <v>4321.9680000012413</v>
      </c>
      <c r="L8" s="371">
        <f t="shared" si="1"/>
        <v>0.6429999999999999</v>
      </c>
      <c r="M8" s="362">
        <f>Sheet1!N8</f>
        <v>418.98360000000002</v>
      </c>
      <c r="N8" s="28" t="s">
        <v>19</v>
      </c>
    </row>
    <row r="9" spans="1:15">
      <c r="A9" s="28" t="s">
        <v>164</v>
      </c>
      <c r="B9" s="28">
        <f t="shared" si="0"/>
        <v>8</v>
      </c>
      <c r="C9" s="361">
        <v>2</v>
      </c>
      <c r="D9" s="28">
        <v>2023</v>
      </c>
      <c r="E9" s="362">
        <f>Sheet1!E9+Sheet1!F9+Sheet1!G9+Sheet1!H9+Sheet1!I9+Sheet1!J9</f>
        <v>16751.999999999716</v>
      </c>
      <c r="F9" s="371">
        <v>0.44</v>
      </c>
      <c r="G9" s="362">
        <f>Sheet1!M9</f>
        <v>507.63999999998924</v>
      </c>
      <c r="H9" s="372">
        <v>2.5</v>
      </c>
      <c r="I9" s="362">
        <f>Sheet1!L9</f>
        <v>50152.932000000001</v>
      </c>
      <c r="J9" s="371">
        <v>0.06</v>
      </c>
      <c r="K9" s="373">
        <f>Sheet1!K9</f>
        <v>6539.82</v>
      </c>
      <c r="L9" s="371">
        <f t="shared" si="1"/>
        <v>0.6429999999999999</v>
      </c>
      <c r="M9" s="362">
        <f>Sheet1!N9</f>
        <v>424.01800000000003</v>
      </c>
      <c r="N9" s="28" t="s">
        <v>19</v>
      </c>
    </row>
    <row r="10" spans="1:15">
      <c r="A10" s="28" t="s">
        <v>164</v>
      </c>
      <c r="B10" s="28">
        <f t="shared" si="0"/>
        <v>9</v>
      </c>
      <c r="C10" s="361">
        <v>2</v>
      </c>
      <c r="D10" s="28">
        <v>2023</v>
      </c>
      <c r="E10" s="362">
        <f>Sheet1!E10+Sheet1!F10+Sheet1!G10+Sheet1!H10+Sheet1!I10+Sheet1!J10</f>
        <v>16224.000000000087</v>
      </c>
      <c r="F10" s="371">
        <v>0.44</v>
      </c>
      <c r="G10" s="362">
        <f>Sheet1!M10</f>
        <v>501.72000000002157</v>
      </c>
      <c r="H10" s="372">
        <v>2.5</v>
      </c>
      <c r="I10" s="362">
        <f>Sheet1!L10</f>
        <v>78968.870999999999</v>
      </c>
      <c r="J10" s="371">
        <v>0.06</v>
      </c>
      <c r="K10" s="373">
        <f>Sheet1!K10</f>
        <v>5914.2719999987585</v>
      </c>
      <c r="L10" s="371">
        <f t="shared" si="1"/>
        <v>0.6429999999999999</v>
      </c>
      <c r="M10" s="362">
        <f>Sheet1!N10</f>
        <v>366.99040000000002</v>
      </c>
      <c r="N10" s="28" t="s">
        <v>19</v>
      </c>
    </row>
    <row r="11" spans="1:15">
      <c r="A11" s="28" t="s">
        <v>164</v>
      </c>
      <c r="B11" s="28">
        <f t="shared" si="0"/>
        <v>10</v>
      </c>
      <c r="C11" s="361">
        <v>2</v>
      </c>
      <c r="D11" s="28">
        <v>2023</v>
      </c>
      <c r="E11" s="362">
        <f>Sheet1!E11+Sheet1!F11+Sheet1!G11+Sheet1!H11+Sheet1!I11+Sheet1!J11</f>
        <v>17759.999999999673</v>
      </c>
      <c r="F11" s="371">
        <v>0.44</v>
      </c>
      <c r="G11" s="362">
        <f>Sheet1!M11</f>
        <v>535.75999999998385</v>
      </c>
      <c r="H11" s="372">
        <v>2.5</v>
      </c>
      <c r="I11" s="362">
        <f>Sheet1!L11</f>
        <v>78748.902000000002</v>
      </c>
      <c r="J11" s="371">
        <v>0.06</v>
      </c>
      <c r="K11" s="373">
        <f>Sheet1!K11</f>
        <v>5459.328000001241</v>
      </c>
      <c r="L11" s="371">
        <f t="shared" si="1"/>
        <v>0.6429999999999999</v>
      </c>
      <c r="M11" s="362">
        <f>Sheet1!N11</f>
        <v>352.01739999999995</v>
      </c>
      <c r="N11" s="28" t="s">
        <v>19</v>
      </c>
    </row>
    <row r="12" spans="1:15">
      <c r="A12" s="28" t="s">
        <v>164</v>
      </c>
      <c r="B12" s="28">
        <f t="shared" si="0"/>
        <v>11</v>
      </c>
      <c r="C12" s="361">
        <v>2</v>
      </c>
      <c r="D12" s="28">
        <v>2023</v>
      </c>
      <c r="E12" s="362">
        <f>Sheet1!E12+Sheet1!F12+Sheet1!G12+Sheet1!H12+Sheet1!I12+Sheet1!J12</f>
        <v>18096.00000000024</v>
      </c>
      <c r="F12" s="371">
        <v>0.44</v>
      </c>
      <c r="G12" s="362">
        <f>Sheet1!M12</f>
        <v>533.16999999999462</v>
      </c>
      <c r="H12" s="372">
        <v>2.5</v>
      </c>
      <c r="I12" s="362">
        <f>Sheet1!L12</f>
        <v>46193.49</v>
      </c>
      <c r="J12" s="371">
        <v>0.06</v>
      </c>
      <c r="K12" s="373">
        <f>Sheet1!K12</f>
        <v>5459.3279999991719</v>
      </c>
      <c r="L12" s="371">
        <f t="shared" si="1"/>
        <v>0.6429999999999999</v>
      </c>
      <c r="M12" s="362">
        <f>Sheet1!N12</f>
        <v>300.97899999999998</v>
      </c>
      <c r="N12" s="28" t="s">
        <v>19</v>
      </c>
    </row>
    <row r="13" spans="1:15">
      <c r="A13" s="28" t="s">
        <v>164</v>
      </c>
      <c r="B13" s="28">
        <f t="shared" si="0"/>
        <v>12</v>
      </c>
      <c r="C13" s="361">
        <v>2</v>
      </c>
      <c r="D13" s="28">
        <v>2023</v>
      </c>
      <c r="E13" s="362">
        <f>Sheet1!E13+Sheet1!F13+Sheet1!G13+Sheet1!H13+Sheet1!I13+Sheet1!J13</f>
        <v>16079.999999999891</v>
      </c>
      <c r="F13" s="371">
        <v>0.44</v>
      </c>
      <c r="G13" s="362">
        <f>Sheet1!M13</f>
        <v>445.11000000001081</v>
      </c>
      <c r="H13" s="372">
        <v>2.5</v>
      </c>
      <c r="I13" s="362">
        <f>Sheet1!L13</f>
        <v>69510.203999999998</v>
      </c>
      <c r="J13" s="371">
        <v>0.06</v>
      </c>
      <c r="K13" s="373">
        <f>Sheet1!K13</f>
        <v>5032.8180000012408</v>
      </c>
      <c r="L13" s="371">
        <f t="shared" si="1"/>
        <v>0.6429999999999999</v>
      </c>
      <c r="M13" s="362">
        <f>Sheet1!N13</f>
        <v>312.00260000000003</v>
      </c>
      <c r="N13" s="28" t="s">
        <v>19</v>
      </c>
    </row>
    <row r="14" spans="1:15">
      <c r="A14" s="28" t="s">
        <v>164</v>
      </c>
      <c r="B14" s="28">
        <f t="shared" si="0"/>
        <v>13</v>
      </c>
      <c r="C14" s="361">
        <v>2</v>
      </c>
      <c r="D14" s="28">
        <v>2023</v>
      </c>
      <c r="E14" s="362">
        <f>Sheet1!E14+Sheet1!F14+Sheet1!G14+Sheet1!H14+Sheet1!I14+Sheet1!J14</f>
        <v>20111.99999999928</v>
      </c>
      <c r="F14" s="371">
        <v>0.44</v>
      </c>
      <c r="G14" s="362">
        <f>Sheet1!M14</f>
        <v>483.58999999998923</v>
      </c>
      <c r="H14" s="372">
        <v>2.5</v>
      </c>
      <c r="I14" s="362">
        <f>Sheet1!L14</f>
        <v>51032.807999999997</v>
      </c>
      <c r="J14" s="371">
        <v>0.06</v>
      </c>
      <c r="K14" s="373">
        <f>Sheet1!K14</f>
        <v>6767.291999998758</v>
      </c>
      <c r="L14" s="371">
        <f t="shared" si="1"/>
        <v>0.6429999999999999</v>
      </c>
      <c r="M14" s="362">
        <f>Sheet1!N14</f>
        <v>316.99360000000001</v>
      </c>
      <c r="N14" s="28" t="s">
        <v>19</v>
      </c>
    </row>
    <row r="15" spans="1:15">
      <c r="A15" s="28" t="s">
        <v>164</v>
      </c>
      <c r="B15" s="28">
        <f t="shared" si="0"/>
        <v>14</v>
      </c>
      <c r="C15" s="361">
        <v>2</v>
      </c>
      <c r="D15" s="28">
        <v>2023</v>
      </c>
      <c r="E15" s="362">
        <f>Sheet1!E15+Sheet1!F15+Sheet1!G15+Sheet1!H15+Sheet1!I15+Sheet1!J15</f>
        <v>13008.000000000939</v>
      </c>
      <c r="F15" s="371">
        <v>0.44</v>
      </c>
      <c r="G15" s="362">
        <f>Sheet1!M15</f>
        <v>469.53000000000543</v>
      </c>
      <c r="H15" s="372">
        <v>2.5</v>
      </c>
      <c r="I15" s="362">
        <f>Sheet1!L15</f>
        <v>68630.327999999994</v>
      </c>
      <c r="J15" s="371">
        <v>0.06</v>
      </c>
      <c r="K15" s="373">
        <f>Sheet1!K15</f>
        <v>6568.2539999995861</v>
      </c>
      <c r="L15" s="371">
        <f t="shared" si="1"/>
        <v>0.6429999999999999</v>
      </c>
      <c r="M15" s="362">
        <f>Sheet1!N15</f>
        <v>324.97919999999999</v>
      </c>
      <c r="N15" s="28" t="s">
        <v>19</v>
      </c>
    </row>
    <row r="16" spans="1:15">
      <c r="A16" s="28" t="s">
        <v>164</v>
      </c>
      <c r="B16" s="28">
        <f t="shared" si="0"/>
        <v>15</v>
      </c>
      <c r="C16" s="361">
        <v>2</v>
      </c>
      <c r="D16" s="28">
        <v>2023</v>
      </c>
      <c r="E16" s="362">
        <f>Sheet1!E16+Sheet1!F16+Sheet1!G16+Sheet1!H16+Sheet1!I16+Sheet1!J16</f>
        <v>21023.999999999214</v>
      </c>
      <c r="F16" s="371">
        <v>0.44</v>
      </c>
      <c r="G16" s="362">
        <f>Sheet1!M16</f>
        <v>485.4400000000162</v>
      </c>
      <c r="H16" s="372">
        <v>2.5</v>
      </c>
      <c r="I16" s="362">
        <f>Sheet1!L16</f>
        <v>49273.055999999997</v>
      </c>
      <c r="J16" s="371">
        <v>0.06</v>
      </c>
      <c r="K16" s="373">
        <f>Sheet1!K16</f>
        <v>7250.6699999999992</v>
      </c>
      <c r="L16" s="371">
        <f t="shared" si="1"/>
        <v>0.6429999999999999</v>
      </c>
      <c r="M16" s="362">
        <f>Sheet1!N16</f>
        <v>322.9828</v>
      </c>
      <c r="N16" s="28" t="s">
        <v>19</v>
      </c>
    </row>
    <row r="17" spans="1:14">
      <c r="A17" s="28" t="s">
        <v>164</v>
      </c>
      <c r="B17" s="28">
        <f t="shared" si="0"/>
        <v>16</v>
      </c>
      <c r="C17" s="361">
        <v>2</v>
      </c>
      <c r="D17" s="28">
        <v>2023</v>
      </c>
      <c r="E17" s="362">
        <f>Sheet1!E17+Sheet1!F17+Sheet1!G17+Sheet1!H17+Sheet1!I17+Sheet1!J17</f>
        <v>16128.000000000175</v>
      </c>
      <c r="F17" s="371">
        <v>0.44</v>
      </c>
      <c r="G17" s="362">
        <f>Sheet1!M17</f>
        <v>440.66999999999462</v>
      </c>
      <c r="H17" s="372">
        <v>2.5</v>
      </c>
      <c r="I17" s="362">
        <f>Sheet1!L17</f>
        <v>79188.84</v>
      </c>
      <c r="J17" s="371">
        <v>0.06</v>
      </c>
      <c r="K17" s="373">
        <f>Sheet1!K17</f>
        <v>6511.3860000004133</v>
      </c>
      <c r="L17" s="371">
        <f t="shared" si="1"/>
        <v>0.6429999999999999</v>
      </c>
      <c r="M17" s="362">
        <f>Sheet1!N17</f>
        <v>336.00279999999998</v>
      </c>
      <c r="N17" s="28" t="s">
        <v>19</v>
      </c>
    </row>
    <row r="18" spans="1:14">
      <c r="A18" s="28" t="s">
        <v>164</v>
      </c>
      <c r="B18" s="28">
        <f t="shared" si="0"/>
        <v>17</v>
      </c>
      <c r="C18" s="361">
        <v>2</v>
      </c>
      <c r="D18" s="28">
        <v>2023</v>
      </c>
      <c r="E18" s="362">
        <f>Sheet1!E18+Sheet1!F18+Sheet1!G18+Sheet1!H18+Sheet1!I18+Sheet1!J18</f>
        <v>16752.000000000153</v>
      </c>
      <c r="F18" s="371">
        <v>0.44</v>
      </c>
      <c r="G18" s="362">
        <f>Sheet1!M18</f>
        <v>416.25</v>
      </c>
      <c r="H18" s="372">
        <v>2.5</v>
      </c>
      <c r="I18" s="362">
        <f>Sheet1!L18</f>
        <v>69730.172999999995</v>
      </c>
      <c r="J18" s="371">
        <v>0.06</v>
      </c>
      <c r="K18" s="373">
        <f>Sheet1!K18</f>
        <v>6141.7439999995859</v>
      </c>
      <c r="L18" s="371">
        <f t="shared" si="1"/>
        <v>0.6429999999999999</v>
      </c>
      <c r="M18" s="362">
        <f>Sheet1!N18</f>
        <v>342.99020000000002</v>
      </c>
      <c r="N18" s="28" t="s">
        <v>19</v>
      </c>
    </row>
    <row r="19" spans="1:14">
      <c r="A19" s="28" t="s">
        <v>164</v>
      </c>
      <c r="B19" s="28">
        <f t="shared" si="0"/>
        <v>18</v>
      </c>
      <c r="C19" s="361">
        <v>2</v>
      </c>
      <c r="D19" s="28">
        <v>2023</v>
      </c>
      <c r="E19" s="362">
        <f>Sheet1!E19+Sheet1!F19+Sheet1!G19+Sheet1!H19+Sheet1!I19+Sheet1!J19</f>
        <v>17040.000000000327</v>
      </c>
      <c r="F19" s="371">
        <v>0.44</v>
      </c>
      <c r="G19" s="362">
        <f>Sheet1!M19</f>
        <v>453.25</v>
      </c>
      <c r="H19" s="372">
        <v>2.5</v>
      </c>
      <c r="I19" s="362">
        <f>Sheet1!L19</f>
        <v>72149.831999999995</v>
      </c>
      <c r="J19" s="371">
        <v>0.06</v>
      </c>
      <c r="K19" s="373">
        <f>Sheet1!K19</f>
        <v>7222.2360000004128</v>
      </c>
      <c r="L19" s="371">
        <f t="shared" si="1"/>
        <v>0.6429999999999999</v>
      </c>
      <c r="M19" s="362">
        <f>Sheet1!N19</f>
        <v>275.98060000000004</v>
      </c>
      <c r="N19" s="28" t="s">
        <v>19</v>
      </c>
    </row>
    <row r="20" spans="1:14">
      <c r="A20" s="28" t="s">
        <v>164</v>
      </c>
      <c r="B20" s="28">
        <f t="shared" si="0"/>
        <v>19</v>
      </c>
      <c r="C20" s="361">
        <v>2</v>
      </c>
      <c r="D20" s="28">
        <v>2023</v>
      </c>
      <c r="E20" s="362">
        <f>Sheet1!E20+Sheet1!F20+Sheet1!G20+Sheet1!H20+Sheet1!I20+Sheet1!J20</f>
        <v>16751.999999999825</v>
      </c>
      <c r="F20" s="371">
        <v>0.44</v>
      </c>
      <c r="G20" s="362">
        <f>Sheet1!M20</f>
        <v>456.20999999998389</v>
      </c>
      <c r="H20" s="372">
        <v>2.5</v>
      </c>
      <c r="I20" s="362">
        <f>Sheet1!L20</f>
        <v>55872.125999999997</v>
      </c>
      <c r="J20" s="371">
        <v>0.06</v>
      </c>
      <c r="K20" s="373">
        <f>Sheet1!K20</f>
        <v>6454.5180000012406</v>
      </c>
      <c r="L20" s="371">
        <f t="shared" si="1"/>
        <v>0.6429999999999999</v>
      </c>
      <c r="M20" s="362">
        <f>Sheet1!N20</f>
        <v>351.01919999999996</v>
      </c>
      <c r="N20" s="28" t="s">
        <v>19</v>
      </c>
    </row>
    <row r="21" spans="1:14">
      <c r="A21" s="28" t="s">
        <v>164</v>
      </c>
      <c r="B21" s="28">
        <f t="shared" si="0"/>
        <v>20</v>
      </c>
      <c r="C21" s="361">
        <v>2</v>
      </c>
      <c r="D21" s="28">
        <v>2023</v>
      </c>
      <c r="E21" s="362">
        <f>Sheet1!E21+Sheet1!F21+Sheet1!G21+Sheet1!H21+Sheet1!I21+Sheet1!J21</f>
        <v>20496.000000000022</v>
      </c>
      <c r="F21" s="371">
        <v>0.44</v>
      </c>
      <c r="G21" s="362">
        <f>Sheet1!M21</f>
        <v>489.14000000001619</v>
      </c>
      <c r="H21" s="372">
        <v>2.5</v>
      </c>
      <c r="I21" s="362">
        <f>Sheet1!L21</f>
        <v>55872.125999999997</v>
      </c>
      <c r="J21" s="371">
        <v>0.06</v>
      </c>
      <c r="K21" s="373">
        <f>Sheet1!K21</f>
        <v>7193.8019999987582</v>
      </c>
      <c r="L21" s="371">
        <f t="shared" si="1"/>
        <v>0.6429999999999999</v>
      </c>
      <c r="M21" s="362">
        <f>Sheet1!N21</f>
        <v>416.98720000000003</v>
      </c>
      <c r="N21" s="28" t="s">
        <v>19</v>
      </c>
    </row>
    <row r="22" spans="1:14">
      <c r="A22" s="28" t="s">
        <v>164</v>
      </c>
      <c r="B22" s="28">
        <f t="shared" si="0"/>
        <v>21</v>
      </c>
      <c r="C22" s="361">
        <v>2</v>
      </c>
      <c r="D22" s="28">
        <v>2023</v>
      </c>
      <c r="E22" s="362">
        <f>Sheet1!E22+Sheet1!F22+Sheet1!G22+Sheet1!H22+Sheet1!I22+Sheet1!J22</f>
        <v>14400.000000000327</v>
      </c>
      <c r="F22" s="371">
        <v>0.44</v>
      </c>
      <c r="G22" s="362">
        <f>Sheet1!M22</f>
        <v>417.35999999998387</v>
      </c>
      <c r="H22" s="372">
        <v>2.5</v>
      </c>
      <c r="I22" s="362">
        <f>Sheet1!L22</f>
        <v>57411.909</v>
      </c>
      <c r="J22" s="371">
        <v>0.06</v>
      </c>
      <c r="K22" s="373">
        <f>Sheet1!K22</f>
        <v>4833.78</v>
      </c>
      <c r="L22" s="371">
        <f t="shared" si="1"/>
        <v>0.6429999999999999</v>
      </c>
      <c r="M22" s="362">
        <f>Sheet1!N22</f>
        <v>434</v>
      </c>
      <c r="N22" s="28" t="s">
        <v>19</v>
      </c>
    </row>
    <row r="23" spans="1:14">
      <c r="A23" s="28" t="s">
        <v>164</v>
      </c>
      <c r="B23" s="28">
        <f t="shared" si="0"/>
        <v>22</v>
      </c>
      <c r="C23" s="361">
        <v>2</v>
      </c>
      <c r="D23" s="28">
        <v>2023</v>
      </c>
      <c r="E23" s="362">
        <f>Sheet1!E23+Sheet1!F23+Sheet1!G23+Sheet1!H23+Sheet1!I23+Sheet1!J23</f>
        <v>17519.999999999891</v>
      </c>
      <c r="F23" s="371">
        <v>0.44</v>
      </c>
      <c r="G23" s="362">
        <f>Sheet1!M23</f>
        <v>508.75</v>
      </c>
      <c r="H23" s="372">
        <v>2.5</v>
      </c>
      <c r="I23" s="362">
        <f>Sheet1!L23</f>
        <v>47733.273000000001</v>
      </c>
      <c r="J23" s="371">
        <v>0.06</v>
      </c>
      <c r="K23" s="373">
        <f>Sheet1!K23</f>
        <v>6028.0080000012404</v>
      </c>
      <c r="L23" s="371">
        <f t="shared" si="1"/>
        <v>0.6429999999999999</v>
      </c>
      <c r="M23" s="362">
        <f>Sheet1!N23</f>
        <v>434</v>
      </c>
      <c r="N23" s="28" t="s">
        <v>19</v>
      </c>
    </row>
    <row r="24" spans="1:14">
      <c r="A24" s="28" t="s">
        <v>164</v>
      </c>
      <c r="B24" s="28">
        <f t="shared" si="0"/>
        <v>23</v>
      </c>
      <c r="C24" s="361">
        <v>2</v>
      </c>
      <c r="D24" s="28">
        <v>2023</v>
      </c>
      <c r="E24" s="362">
        <f>Sheet1!E24+Sheet1!F24+Sheet1!G24+Sheet1!H24+Sheet1!I24+Sheet1!J24</f>
        <v>17375.999999999585</v>
      </c>
      <c r="F24" s="371">
        <v>0.44</v>
      </c>
      <c r="G24" s="362">
        <f>Sheet1!M24</f>
        <v>521.33000000000538</v>
      </c>
      <c r="H24" s="372">
        <v>2.5</v>
      </c>
      <c r="I24" s="362">
        <f>Sheet1!L24</f>
        <v>81388.53</v>
      </c>
      <c r="J24" s="371">
        <v>0.06</v>
      </c>
      <c r="K24" s="373">
        <f>Sheet1!K24</f>
        <v>6113.3099999999995</v>
      </c>
      <c r="L24" s="371">
        <f t="shared" si="1"/>
        <v>0.6429999999999999</v>
      </c>
      <c r="M24" s="362">
        <f>Sheet1!N24</f>
        <v>430.00720000000001</v>
      </c>
      <c r="N24" s="28" t="s">
        <v>19</v>
      </c>
    </row>
    <row r="25" spans="1:14">
      <c r="A25" s="28" t="s">
        <v>164</v>
      </c>
      <c r="B25" s="28">
        <f t="shared" si="0"/>
        <v>24</v>
      </c>
      <c r="C25" s="361">
        <v>2</v>
      </c>
      <c r="D25" s="28">
        <v>2023</v>
      </c>
      <c r="E25" s="362">
        <f>Sheet1!E25+Sheet1!F25+Sheet1!G25+Sheet1!H25+Sheet1!I25+Sheet1!J25</f>
        <v>17904.000000000196</v>
      </c>
      <c r="F25" s="371">
        <v>0.44</v>
      </c>
      <c r="G25" s="362">
        <f>Sheet1!M25</f>
        <v>712.99000000001615</v>
      </c>
      <c r="H25" s="372">
        <v>2.5</v>
      </c>
      <c r="I25" s="362">
        <f>Sheet1!L25</f>
        <v>70390.080000000002</v>
      </c>
      <c r="J25" s="371">
        <v>0.06</v>
      </c>
      <c r="K25" s="373">
        <f>Sheet1!K25</f>
        <v>6767.291999998758</v>
      </c>
      <c r="L25" s="371">
        <f t="shared" si="1"/>
        <v>0.6429999999999999</v>
      </c>
      <c r="M25" s="362">
        <f>Sheet1!N25</f>
        <v>405.31260000000003</v>
      </c>
      <c r="N25" s="28" t="s">
        <v>19</v>
      </c>
    </row>
    <row r="26" spans="1:14">
      <c r="A26" s="28" t="s">
        <v>164</v>
      </c>
      <c r="B26" s="28">
        <f t="shared" si="0"/>
        <v>25</v>
      </c>
      <c r="C26" s="361">
        <v>2</v>
      </c>
      <c r="D26" s="28">
        <v>2023</v>
      </c>
      <c r="E26" s="362">
        <f>Sheet1!E26+Sheet1!F26+Sheet1!G26+Sheet1!H26+Sheet1!I26+Sheet1!J26</f>
        <v>18960.000000000764</v>
      </c>
      <c r="F26" s="371">
        <v>0.44</v>
      </c>
      <c r="G26" s="362">
        <f>Sheet1!M26</f>
        <v>432.90000000000003</v>
      </c>
      <c r="H26" s="372">
        <v>2.5</v>
      </c>
      <c r="I26" s="362">
        <f>Sheet1!L26</f>
        <v>52352.621999999996</v>
      </c>
      <c r="J26" s="371">
        <v>0.06</v>
      </c>
      <c r="K26" s="373">
        <f>Sheet1!K26</f>
        <v>8188.9920000008269</v>
      </c>
      <c r="L26" s="371">
        <f t="shared" si="1"/>
        <v>0.6429999999999999</v>
      </c>
      <c r="M26" s="362">
        <f>Sheet1!N26</f>
        <v>403.01239999999996</v>
      </c>
      <c r="N26" s="28" t="s">
        <v>19</v>
      </c>
    </row>
    <row r="27" spans="1:14">
      <c r="A27" s="28" t="s">
        <v>164</v>
      </c>
      <c r="B27" s="28">
        <f t="shared" si="0"/>
        <v>26</v>
      </c>
      <c r="C27" s="361">
        <v>2</v>
      </c>
      <c r="D27" s="28">
        <v>2023</v>
      </c>
      <c r="E27" s="362">
        <f>Sheet1!E27+Sheet1!F27+Sheet1!G27+Sheet1!H27+Sheet1!I27+Sheet1!J27</f>
        <v>18575.999999998712</v>
      </c>
      <c r="F27" s="371">
        <v>0.44</v>
      </c>
      <c r="G27" s="362">
        <f>Sheet1!M27</f>
        <v>598.28999999998928</v>
      </c>
      <c r="H27" s="372">
        <v>2.5</v>
      </c>
      <c r="I27" s="362">
        <f>Sheet1!L27</f>
        <v>48833.118000000002</v>
      </c>
      <c r="J27" s="371">
        <v>0.06</v>
      </c>
      <c r="K27" s="373">
        <f>Sheet1!K27</f>
        <v>8985.1439999995855</v>
      </c>
      <c r="L27" s="371">
        <f t="shared" si="1"/>
        <v>0.6429999999999999</v>
      </c>
      <c r="M27" s="362">
        <f>Sheet1!N27</f>
        <v>294.9898</v>
      </c>
      <c r="N27" s="28" t="s">
        <v>19</v>
      </c>
    </row>
    <row r="28" spans="1:14">
      <c r="A28" s="28" t="s">
        <v>164</v>
      </c>
      <c r="B28" s="28">
        <f t="shared" si="0"/>
        <v>27</v>
      </c>
      <c r="C28" s="361">
        <v>2</v>
      </c>
      <c r="D28" s="28">
        <v>2023</v>
      </c>
      <c r="E28" s="362">
        <f>Sheet1!E28+Sheet1!F28+Sheet1!G28+Sheet1!H28+Sheet1!I28+Sheet1!J28</f>
        <v>19824.00000000096</v>
      </c>
      <c r="F28" s="371">
        <v>0.44</v>
      </c>
      <c r="G28" s="362">
        <f>Sheet1!M28</f>
        <v>438.81999999999465</v>
      </c>
      <c r="H28" s="372">
        <v>2.5</v>
      </c>
      <c r="I28" s="362">
        <f>Sheet1!L28</f>
        <v>39814.388999999996</v>
      </c>
      <c r="J28" s="371">
        <v>0.06</v>
      </c>
      <c r="K28" s="373">
        <f>Sheet1!K28</f>
        <v>7591.8779999991721</v>
      </c>
      <c r="L28" s="371">
        <f t="shared" si="1"/>
        <v>0.6429999999999999</v>
      </c>
      <c r="M28" s="362">
        <f>Sheet1!N28</f>
        <v>348.97939999999994</v>
      </c>
      <c r="N28" s="28" t="s">
        <v>19</v>
      </c>
    </row>
    <row r="29" spans="1:14">
      <c r="A29" s="28" t="s">
        <v>164</v>
      </c>
      <c r="B29" s="28">
        <f t="shared" si="0"/>
        <v>28</v>
      </c>
      <c r="C29" s="361">
        <v>2</v>
      </c>
      <c r="D29" s="28">
        <v>2023</v>
      </c>
      <c r="E29" s="362">
        <f>Sheet1!E29+Sheet1!F29+Sheet1!G29+Sheet1!H29+Sheet1!I29+Sheet1!J29</f>
        <v>14783.999999999432</v>
      </c>
      <c r="F29" s="371">
        <v>0.44</v>
      </c>
      <c r="G29" s="362">
        <f>Sheet1!M29</f>
        <v>586.45000000000005</v>
      </c>
      <c r="H29" s="372">
        <v>2.5</v>
      </c>
      <c r="I29" s="362">
        <f>Sheet1!L29</f>
        <v>40034.358</v>
      </c>
      <c r="J29" s="371">
        <v>0.06</v>
      </c>
      <c r="K29" s="373">
        <f>Sheet1!K29</f>
        <v>8985.1440000016537</v>
      </c>
      <c r="L29" s="371">
        <f t="shared" si="1"/>
        <v>0.6429999999999999</v>
      </c>
      <c r="M29" s="362">
        <f>Sheet1!N29</f>
        <v>408.00340000000006</v>
      </c>
      <c r="N29" s="28" t="s">
        <v>19</v>
      </c>
    </row>
    <row r="30" spans="1:14">
      <c r="A30" s="28" t="s">
        <v>164</v>
      </c>
      <c r="B30" s="28">
        <f t="shared" si="0"/>
        <v>29</v>
      </c>
      <c r="C30" s="361">
        <v>2</v>
      </c>
      <c r="D30" s="28">
        <v>2023</v>
      </c>
      <c r="E30" s="362">
        <f>Sheet1!E30+Sheet1!F30+Sheet1!G30+Sheet1!H30+Sheet1!I30+Sheet1!J30</f>
        <v>0</v>
      </c>
      <c r="F30" s="371">
        <v>0.44</v>
      </c>
      <c r="G30" s="362">
        <f>Sheet1!M30</f>
        <v>0</v>
      </c>
      <c r="H30" s="372">
        <v>2.5</v>
      </c>
      <c r="I30" s="362">
        <f>Sheet1!L30</f>
        <v>0</v>
      </c>
      <c r="J30" s="371">
        <v>0.06</v>
      </c>
      <c r="K30" s="373">
        <f>Sheet1!K30</f>
        <v>0</v>
      </c>
      <c r="L30" s="371">
        <f t="shared" si="1"/>
        <v>0.6429999999999999</v>
      </c>
      <c r="M30" s="362">
        <f>Sheet1!N30</f>
        <v>0</v>
      </c>
      <c r="N30" s="2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D641-B32D-46E9-942B-3410CF2487C7}">
  <dimension ref="A1:O29"/>
  <sheetViews>
    <sheetView topLeftCell="H1" workbookViewId="0">
      <selection activeCell="N2" sqref="N2:N29"/>
    </sheetView>
  </sheetViews>
  <sheetFormatPr defaultColWidth="11.59765625" defaultRowHeight="14.25"/>
  <cols>
    <col min="1" max="1" width="23" style="28" customWidth="1"/>
    <col min="2" max="2" width="11.59765625" style="28"/>
    <col min="3" max="3" width="11.59765625" style="361"/>
    <col min="4" max="4" width="13.3984375" style="28" customWidth="1"/>
    <col min="5" max="5" width="12.59765625" style="28" customWidth="1"/>
    <col min="6" max="6" width="12.59765625" style="363" customWidth="1"/>
    <col min="7" max="8" width="11.59765625" style="28"/>
    <col min="9" max="9" width="11.59765625" style="363"/>
    <col min="10" max="13" width="11.59765625" style="28"/>
    <col min="14" max="14" width="11.59765625" style="362"/>
    <col min="15" max="15" width="11.59765625" style="28"/>
  </cols>
  <sheetData>
    <row r="1" spans="1:15" s="360" customFormat="1" ht="28.5">
      <c r="A1" s="355" t="s">
        <v>157</v>
      </c>
      <c r="B1" s="355" t="s">
        <v>158</v>
      </c>
      <c r="C1" s="356" t="s">
        <v>159</v>
      </c>
      <c r="D1" s="355" t="s">
        <v>160</v>
      </c>
      <c r="E1" s="357" t="s">
        <v>38</v>
      </c>
      <c r="F1" s="358" t="s">
        <v>39</v>
      </c>
      <c r="G1" s="357" t="s">
        <v>40</v>
      </c>
      <c r="H1" s="357" t="s">
        <v>41</v>
      </c>
      <c r="I1" s="358" t="s">
        <v>42</v>
      </c>
      <c r="J1" s="357" t="s">
        <v>43</v>
      </c>
      <c r="K1" s="359" t="s">
        <v>161</v>
      </c>
      <c r="L1" s="357" t="s">
        <v>54</v>
      </c>
      <c r="M1" s="357" t="s">
        <v>58</v>
      </c>
      <c r="N1" s="359" t="s">
        <v>162</v>
      </c>
      <c r="O1" s="357" t="s">
        <v>163</v>
      </c>
    </row>
    <row r="2" spans="1:15">
      <c r="A2" s="28" t="s">
        <v>164</v>
      </c>
      <c r="B2" s="28">
        <v>1</v>
      </c>
      <c r="C2" s="361">
        <v>2</v>
      </c>
      <c r="D2" s="28">
        <v>2023</v>
      </c>
      <c r="E2" s="362">
        <f>'1'!G14</f>
        <v>2351.9999999998254</v>
      </c>
      <c r="F2" s="362">
        <v>1440</v>
      </c>
      <c r="G2" s="362">
        <v>1584.0000000000873</v>
      </c>
      <c r="H2" s="362">
        <v>911.99999999993452</v>
      </c>
      <c r="I2" s="362">
        <v>1631.9999999998254</v>
      </c>
      <c r="J2" s="362">
        <v>3456.0000000003492</v>
      </c>
      <c r="K2" s="362">
        <f>'1'!H9</f>
        <v>3582.6839999995859</v>
      </c>
      <c r="L2" s="362">
        <f>'1'!H12</f>
        <v>49053.087</v>
      </c>
      <c r="M2" s="362">
        <f>'1'!H24</f>
        <v>430.3100000000108</v>
      </c>
      <c r="N2" s="362">
        <f>'Daily Meter'!X6*434/100</f>
        <v>422.02159999999998</v>
      </c>
      <c r="O2" s="28" t="s">
        <v>19</v>
      </c>
    </row>
    <row r="3" spans="1:15">
      <c r="A3" s="28" t="s">
        <v>164</v>
      </c>
      <c r="B3" s="28">
        <f t="shared" ref="B3:B29" si="0">B2+1</f>
        <v>2</v>
      </c>
      <c r="C3" s="361">
        <v>2</v>
      </c>
      <c r="D3" s="28">
        <v>2023</v>
      </c>
      <c r="E3" s="362">
        <f>('Daily Meter'!K7-'Daily Meter'!K6)*480</f>
        <v>2448.0000000001746</v>
      </c>
      <c r="F3" s="362">
        <f>('Daily Meter'!M7-'Daily Meter'!M6)*480</f>
        <v>1487.9999999999563</v>
      </c>
      <c r="G3" s="362">
        <f>('Daily Meter'!O7-'Daily Meter'!O6)*480</f>
        <v>1775.9999999999127</v>
      </c>
      <c r="H3" s="362">
        <f>('Daily Meter'!Q7-'Daily Meter'!Q6)*480</f>
        <v>960</v>
      </c>
      <c r="I3" s="362">
        <f>('Daily Meter'!S7-'Daily Meter'!S6)*480</f>
        <v>1824.0000000000873</v>
      </c>
      <c r="J3" s="362">
        <f>('Daily Meter'!U7-'Daily Meter'!U6)*480</f>
        <v>4271.9999999998254</v>
      </c>
      <c r="K3" s="362">
        <f>('Daily Meter'!C7-'Daily Meter'!C6)*284.34</f>
        <v>5146.5540000016545</v>
      </c>
      <c r="L3" s="362">
        <f>('Daily Meter'!E7-'Daily Meter'!E6)*219.969</f>
        <v>67750.452000000005</v>
      </c>
      <c r="M3" s="362">
        <f>('Daily Meter'!W7-'Daily Meter'!W6)*3.7</f>
        <v>519.10999999998387</v>
      </c>
      <c r="N3" s="362">
        <f>'Daily Meter'!X7*434/100</f>
        <v>343.98840000000001</v>
      </c>
      <c r="O3" s="28" t="s">
        <v>19</v>
      </c>
    </row>
    <row r="4" spans="1:15">
      <c r="A4" s="28" t="s">
        <v>164</v>
      </c>
      <c r="B4" s="28">
        <f t="shared" si="0"/>
        <v>3</v>
      </c>
      <c r="C4" s="361">
        <v>2</v>
      </c>
      <c r="D4" s="28">
        <v>2023</v>
      </c>
      <c r="E4" s="362">
        <f>('Daily Meter'!K8-'Daily Meter'!K7)*480</f>
        <v>3887.9999999997381</v>
      </c>
      <c r="F4" s="362">
        <f>('Daily Meter'!M8-'Daily Meter'!M7)*480</f>
        <v>2160</v>
      </c>
      <c r="G4" s="362">
        <f>('Daily Meter'!O8-'Daily Meter'!O7)*480</f>
        <v>2592.0000000000437</v>
      </c>
      <c r="H4" s="362">
        <f>('Daily Meter'!Q8-'Daily Meter'!Q7)*480</f>
        <v>1632.0000000000437</v>
      </c>
      <c r="I4" s="362">
        <f>('Daily Meter'!S8-'Daily Meter'!S7)*480</f>
        <v>2544.0000000000873</v>
      </c>
      <c r="J4" s="362">
        <f>('Daily Meter'!U8-'Daily Meter'!U7)*480</f>
        <v>6048.0000000001746</v>
      </c>
      <c r="K4" s="362">
        <f>('Daily Meter'!C8-'Daily Meter'!C7)*284.34</f>
        <v>6710.4239999995852</v>
      </c>
      <c r="L4" s="362">
        <f>('Daily Meter'!E8-'Daily Meter'!E7)*219.969</f>
        <v>65770.731</v>
      </c>
      <c r="M4" s="362">
        <f>('Daily Meter'!W8-'Daily Meter'!W7)*3.7</f>
        <v>510.6</v>
      </c>
      <c r="N4" s="362">
        <f>'Daily Meter'!X8*434/100</f>
        <v>287.00419999999997</v>
      </c>
      <c r="O4" s="28" t="s">
        <v>19</v>
      </c>
    </row>
    <row r="5" spans="1:15">
      <c r="A5" s="28" t="s">
        <v>164</v>
      </c>
      <c r="B5" s="28">
        <f t="shared" si="0"/>
        <v>4</v>
      </c>
      <c r="C5" s="361">
        <v>2</v>
      </c>
      <c r="D5" s="28">
        <v>2023</v>
      </c>
      <c r="E5" s="362">
        <f>('Daily Meter'!K9-'Daily Meter'!K8)*480</f>
        <v>2640</v>
      </c>
      <c r="F5" s="362">
        <f>('Daily Meter'!M9-'Daily Meter'!M8)*480</f>
        <v>1488.0000000001746</v>
      </c>
      <c r="G5" s="362">
        <f>('Daily Meter'!O9-'Daily Meter'!O8)*480</f>
        <v>1920</v>
      </c>
      <c r="H5" s="362">
        <f>('Daily Meter'!Q9-'Daily Meter'!Q8)*480</f>
        <v>1200</v>
      </c>
      <c r="I5" s="362">
        <f>('Daily Meter'!S9-'Daily Meter'!S8)*480</f>
        <v>1823.999999999869</v>
      </c>
      <c r="J5" s="362">
        <f>('Daily Meter'!U9-'Daily Meter'!U8)*480</f>
        <v>4560</v>
      </c>
      <c r="K5" s="362">
        <f>('Daily Meter'!C9-'Daily Meter'!C8)*284.34</f>
        <v>4691.6099999999997</v>
      </c>
      <c r="L5" s="362">
        <f>('Daily Meter'!E9-'Daily Meter'!E8)*219.969</f>
        <v>71709.894</v>
      </c>
      <c r="M5" s="362">
        <f>('Daily Meter'!W9-'Daily Meter'!W8)*3.7</f>
        <v>458.43000000000541</v>
      </c>
      <c r="N5" s="362">
        <f>'Daily Meter'!X9*434/100</f>
        <v>294.03500000000003</v>
      </c>
      <c r="O5" s="28" t="s">
        <v>19</v>
      </c>
    </row>
    <row r="6" spans="1:15">
      <c r="A6" s="28" t="s">
        <v>164</v>
      </c>
      <c r="B6" s="28">
        <f t="shared" si="0"/>
        <v>5</v>
      </c>
      <c r="C6" s="361">
        <v>2</v>
      </c>
      <c r="D6" s="28">
        <v>2023</v>
      </c>
      <c r="E6" s="362">
        <f>('Daily Meter'!K10-'Daily Meter'!K9)*480</f>
        <v>3360</v>
      </c>
      <c r="F6" s="362">
        <f>('Daily Meter'!M10-'Daily Meter'!M9)*480</f>
        <v>1775.9999999999127</v>
      </c>
      <c r="G6" s="362">
        <f>('Daily Meter'!O10-'Daily Meter'!O9)*480</f>
        <v>2495.9999999999127</v>
      </c>
      <c r="H6" s="362">
        <f>('Daily Meter'!Q10-'Daily Meter'!Q9)*480</f>
        <v>1487.9999999999563</v>
      </c>
      <c r="I6" s="362">
        <f>('Daily Meter'!S10-'Daily Meter'!S9)*480</f>
        <v>2352.0000000000437</v>
      </c>
      <c r="J6" s="362">
        <f>('Daily Meter'!U10-'Daily Meter'!U9)*480</f>
        <v>5616.0000000003492</v>
      </c>
      <c r="K6" s="362">
        <f>('Daily Meter'!C10-'Daily Meter'!C9)*284.34</f>
        <v>5174.9879999991717</v>
      </c>
      <c r="L6" s="362">
        <f>('Daily Meter'!E10-'Daily Meter'!E9)*219.969</f>
        <v>45313.614000000001</v>
      </c>
      <c r="M6" s="362">
        <f>('Daily Meter'!W10-'Daily Meter'!W9)*3.7</f>
        <v>499.1300000000054</v>
      </c>
      <c r="N6" s="362">
        <f>'Daily Meter'!X10*434/100</f>
        <v>307.01159999999999</v>
      </c>
      <c r="O6" s="28" t="s">
        <v>19</v>
      </c>
    </row>
    <row r="7" spans="1:15">
      <c r="A7" s="28" t="s">
        <v>164</v>
      </c>
      <c r="B7" s="28">
        <f t="shared" si="0"/>
        <v>6</v>
      </c>
      <c r="C7" s="361">
        <v>2</v>
      </c>
      <c r="D7" s="28">
        <v>2023</v>
      </c>
      <c r="E7" s="362">
        <f>('Daily Meter'!K11-'Daily Meter'!K10)*480</f>
        <v>4080</v>
      </c>
      <c r="F7" s="362">
        <f>('Daily Meter'!M11-'Daily Meter'!M10)*480</f>
        <v>2640</v>
      </c>
      <c r="G7" s="362">
        <f>('Daily Meter'!O11-'Daily Meter'!O10)*480</f>
        <v>2976.000000000131</v>
      </c>
      <c r="H7" s="362">
        <f>('Daily Meter'!Q11-'Daily Meter'!Q10)*480</f>
        <v>1728.0000000000655</v>
      </c>
      <c r="I7" s="362">
        <f>('Daily Meter'!S11-'Daily Meter'!S10)*480</f>
        <v>2880</v>
      </c>
      <c r="J7" s="362">
        <f>('Daily Meter'!U11-'Daily Meter'!U10)*480</f>
        <v>6911.9999999998254</v>
      </c>
      <c r="K7" s="362">
        <f>('Daily Meter'!C11-'Daily Meter'!C10)*284.34</f>
        <v>6994.7639999995854</v>
      </c>
      <c r="L7" s="362">
        <f>('Daily Meter'!E11-'Daily Meter'!E10)*219.969</f>
        <v>65770.731</v>
      </c>
      <c r="M7" s="362">
        <f>('Daily Meter'!W11-'Daily Meter'!W10)*3.7</f>
        <v>600.51000000001079</v>
      </c>
      <c r="N7" s="362">
        <f>'Daily Meter'!X11*434/100</f>
        <v>383.005</v>
      </c>
      <c r="O7" s="28" t="s">
        <v>19</v>
      </c>
    </row>
    <row r="8" spans="1:15">
      <c r="A8" s="28" t="s">
        <v>164</v>
      </c>
      <c r="B8" s="28">
        <f t="shared" si="0"/>
        <v>7</v>
      </c>
      <c r="C8" s="361">
        <v>2</v>
      </c>
      <c r="D8" s="28">
        <v>2023</v>
      </c>
      <c r="E8" s="362">
        <f>('Daily Meter'!K12-'Daily Meter'!K11)*480</f>
        <v>2304.0000000000873</v>
      </c>
      <c r="F8" s="362">
        <f>('Daily Meter'!M12-'Daily Meter'!M11)*480</f>
        <v>1344.0000000000873</v>
      </c>
      <c r="G8" s="362">
        <f>('Daily Meter'!O12-'Daily Meter'!O11)*480</f>
        <v>1680</v>
      </c>
      <c r="H8" s="362">
        <f>('Daily Meter'!Q12-'Daily Meter'!Q11)*480</f>
        <v>960</v>
      </c>
      <c r="I8" s="362">
        <f>('Daily Meter'!S12-'Daily Meter'!S11)*480</f>
        <v>1680</v>
      </c>
      <c r="J8" s="362">
        <f>('Daily Meter'!U12-'Daily Meter'!U11)*480</f>
        <v>4128.0000000001746</v>
      </c>
      <c r="K8" s="362">
        <f>('Daily Meter'!C12-'Daily Meter'!C11)*284.34</f>
        <v>4321.9680000012413</v>
      </c>
      <c r="L8" s="362">
        <f>('Daily Meter'!E12-'Daily Meter'!E11)*219.969</f>
        <v>56312.063999999998</v>
      </c>
      <c r="M8" s="362">
        <f>('Daily Meter'!W12-'Daily Meter'!W11)*3.7</f>
        <v>372.58999999998923</v>
      </c>
      <c r="N8" s="362">
        <f>'Daily Meter'!X12*434/100</f>
        <v>418.98360000000002</v>
      </c>
      <c r="O8" s="28" t="s">
        <v>19</v>
      </c>
    </row>
    <row r="9" spans="1:15">
      <c r="A9" s="28" t="s">
        <v>164</v>
      </c>
      <c r="B9" s="28">
        <f t="shared" si="0"/>
        <v>8</v>
      </c>
      <c r="C9" s="361">
        <v>2</v>
      </c>
      <c r="D9" s="28">
        <v>2023</v>
      </c>
      <c r="E9" s="362">
        <f>('Daily Meter'!K13-'Daily Meter'!K12)*480</f>
        <v>3215.9999999999127</v>
      </c>
      <c r="F9" s="362">
        <f>('Daily Meter'!M13-'Daily Meter'!M12)*480</f>
        <v>1920</v>
      </c>
      <c r="G9" s="362">
        <f>('Daily Meter'!O13-'Daily Meter'!O12)*480</f>
        <v>2303.999999999869</v>
      </c>
      <c r="H9" s="362">
        <f>('Daily Meter'!Q13-'Daily Meter'!Q12)*480</f>
        <v>1296.0000000000218</v>
      </c>
      <c r="I9" s="362">
        <f>('Daily Meter'!S13-'Daily Meter'!S12)*480</f>
        <v>2304.0000000000873</v>
      </c>
      <c r="J9" s="362">
        <f>('Daily Meter'!U13-'Daily Meter'!U12)*480</f>
        <v>5711.9999999998254</v>
      </c>
      <c r="K9" s="362">
        <f>('Daily Meter'!C13-'Daily Meter'!C12)*284.34</f>
        <v>6539.82</v>
      </c>
      <c r="L9" s="362">
        <f>('Daily Meter'!E13-'Daily Meter'!E12)*219.969</f>
        <v>50152.932000000001</v>
      </c>
      <c r="M9" s="362">
        <f>('Daily Meter'!W13-'Daily Meter'!W12)*3.7</f>
        <v>507.63999999998924</v>
      </c>
      <c r="N9" s="362">
        <f>'Daily Meter'!X13*434/100</f>
        <v>424.01800000000003</v>
      </c>
      <c r="O9" s="28" t="s">
        <v>19</v>
      </c>
    </row>
    <row r="10" spans="1:15">
      <c r="A10" s="28" t="s">
        <v>164</v>
      </c>
      <c r="B10" s="28">
        <f t="shared" si="0"/>
        <v>9</v>
      </c>
      <c r="C10" s="361">
        <v>2</v>
      </c>
      <c r="D10" s="28">
        <v>2023</v>
      </c>
      <c r="E10" s="362">
        <f>('Daily Meter'!K14-'Daily Meter'!K13)*480</f>
        <v>3072.0000000002619</v>
      </c>
      <c r="F10" s="362">
        <f>('Daily Meter'!M14-'Daily Meter'!M13)*480</f>
        <v>1871.9999999998254</v>
      </c>
      <c r="G10" s="362">
        <f>('Daily Meter'!O14-'Daily Meter'!O13)*480</f>
        <v>2304.0000000000873</v>
      </c>
      <c r="H10" s="362">
        <f>('Daily Meter'!Q14-'Daily Meter'!Q13)*480</f>
        <v>1247.9999999999563</v>
      </c>
      <c r="I10" s="362">
        <f>('Daily Meter'!S14-'Daily Meter'!S13)*480</f>
        <v>2207.9999999999563</v>
      </c>
      <c r="J10" s="362">
        <f>('Daily Meter'!U14-'Daily Meter'!U13)*480</f>
        <v>5520</v>
      </c>
      <c r="K10" s="362">
        <f>('Daily Meter'!C14-'Daily Meter'!C13)*284.34</f>
        <v>5914.2719999987585</v>
      </c>
      <c r="L10" s="362">
        <f>('Daily Meter'!E14-'Daily Meter'!E13)*219.969</f>
        <v>78968.870999999999</v>
      </c>
      <c r="M10" s="362">
        <f>('Daily Meter'!W14-'Daily Meter'!W13)*3.7</f>
        <v>501.72000000002157</v>
      </c>
      <c r="N10" s="362">
        <f>'Daily Meter'!X14*434/100</f>
        <v>366.99040000000002</v>
      </c>
      <c r="O10" s="28" t="s">
        <v>19</v>
      </c>
    </row>
    <row r="11" spans="1:15">
      <c r="A11" s="28" t="s">
        <v>164</v>
      </c>
      <c r="B11" s="28">
        <f t="shared" si="0"/>
        <v>10</v>
      </c>
      <c r="C11" s="361">
        <v>2</v>
      </c>
      <c r="D11" s="28">
        <v>2023</v>
      </c>
      <c r="E11" s="362">
        <f>('Daily Meter'!K15-'Daily Meter'!K14)*480</f>
        <v>3503.9999999996508</v>
      </c>
      <c r="F11" s="362">
        <f>('Daily Meter'!M15-'Daily Meter'!M14)*480</f>
        <v>1968.0000000001746</v>
      </c>
      <c r="G11" s="362">
        <f>('Daily Meter'!O15-'Daily Meter'!O14)*480</f>
        <v>2783.999999999869</v>
      </c>
      <c r="H11" s="362">
        <f>('Daily Meter'!Q15-'Daily Meter'!Q14)*480</f>
        <v>1343.9999999999782</v>
      </c>
      <c r="I11" s="362">
        <f>('Daily Meter'!S15-'Daily Meter'!S14)*480</f>
        <v>2400</v>
      </c>
      <c r="J11" s="362">
        <f>('Daily Meter'!U15-'Daily Meter'!U14)*480</f>
        <v>5760</v>
      </c>
      <c r="K11" s="362">
        <f>('Daily Meter'!C15-'Daily Meter'!C14)*284.34</f>
        <v>5459.328000001241</v>
      </c>
      <c r="L11" s="362">
        <f>('Daily Meter'!E15-'Daily Meter'!E14)*219.969</f>
        <v>78748.902000000002</v>
      </c>
      <c r="M11" s="362">
        <f>('Daily Meter'!W15-'Daily Meter'!W14)*3.7</f>
        <v>535.75999999998385</v>
      </c>
      <c r="N11" s="362">
        <f>'Daily Meter'!X15*434/100</f>
        <v>352.01739999999995</v>
      </c>
      <c r="O11" s="28" t="s">
        <v>19</v>
      </c>
    </row>
    <row r="12" spans="1:15">
      <c r="A12" s="28" t="s">
        <v>164</v>
      </c>
      <c r="B12" s="28">
        <f t="shared" si="0"/>
        <v>11</v>
      </c>
      <c r="C12" s="361">
        <v>2</v>
      </c>
      <c r="D12" s="28">
        <v>2023</v>
      </c>
      <c r="E12" s="362">
        <f>('Daily Meter'!K16-'Daily Meter'!K15)*480</f>
        <v>3552.0000000002619</v>
      </c>
      <c r="F12" s="362">
        <f>('Daily Meter'!M16-'Daily Meter'!M15)*480</f>
        <v>2063.999999999869</v>
      </c>
      <c r="G12" s="362">
        <f>('Daily Meter'!O16-'Daily Meter'!O15)*480</f>
        <v>2640</v>
      </c>
      <c r="H12" s="362">
        <f>('Daily Meter'!Q16-'Daily Meter'!Q15)*480</f>
        <v>1536.0000000000218</v>
      </c>
      <c r="I12" s="362">
        <f>('Daily Meter'!S16-'Daily Meter'!S15)*480</f>
        <v>2495.9999999999127</v>
      </c>
      <c r="J12" s="362">
        <f>('Daily Meter'!U16-'Daily Meter'!U15)*480</f>
        <v>5808.0000000001746</v>
      </c>
      <c r="K12" s="362">
        <f>('Daily Meter'!C16-'Daily Meter'!C15)*284.34</f>
        <v>5459.3279999991719</v>
      </c>
      <c r="L12" s="362">
        <f>('Daily Meter'!E16-'Daily Meter'!E15)*219.969</f>
        <v>46193.49</v>
      </c>
      <c r="M12" s="362">
        <f>('Daily Meter'!W16-'Daily Meter'!W15)*3.7</f>
        <v>533.16999999999462</v>
      </c>
      <c r="N12" s="362">
        <f>'Daily Meter'!X16*434/100</f>
        <v>300.97899999999998</v>
      </c>
      <c r="O12" s="28" t="s">
        <v>19</v>
      </c>
    </row>
    <row r="13" spans="1:15">
      <c r="A13" s="28" t="s">
        <v>164</v>
      </c>
      <c r="B13" s="28">
        <f t="shared" si="0"/>
        <v>12</v>
      </c>
      <c r="C13" s="361">
        <v>2</v>
      </c>
      <c r="D13" s="28">
        <v>2023</v>
      </c>
      <c r="E13" s="362">
        <f>('Daily Meter'!K17-'Daily Meter'!K16)*480</f>
        <v>3071.9999999998254</v>
      </c>
      <c r="F13" s="362">
        <f>('Daily Meter'!M17-'Daily Meter'!M16)*480</f>
        <v>1776.000000000131</v>
      </c>
      <c r="G13" s="362">
        <f>('Daily Meter'!O17-'Daily Meter'!O16)*480</f>
        <v>2256.000000000131</v>
      </c>
      <c r="H13" s="362">
        <f>('Daily Meter'!Q17-'Daily Meter'!Q16)*480</f>
        <v>1296.0000000000218</v>
      </c>
      <c r="I13" s="362">
        <f>('Daily Meter'!S17-'Daily Meter'!S16)*480</f>
        <v>2256.000000000131</v>
      </c>
      <c r="J13" s="362">
        <f>('Daily Meter'!U17-'Daily Meter'!U16)*480</f>
        <v>5423.9999999996508</v>
      </c>
      <c r="K13" s="362">
        <f>('Daily Meter'!C17-'Daily Meter'!C16)*284.34</f>
        <v>5032.8180000012408</v>
      </c>
      <c r="L13" s="362">
        <f>('Daily Meter'!E17-'Daily Meter'!E16)*219.969</f>
        <v>69510.203999999998</v>
      </c>
      <c r="M13" s="362">
        <f>('Daily Meter'!W17-'Daily Meter'!W16)*3.7</f>
        <v>445.11000000001081</v>
      </c>
      <c r="N13" s="362">
        <f>'Daily Meter'!X17*434/100</f>
        <v>312.00260000000003</v>
      </c>
      <c r="O13" s="28" t="s">
        <v>19</v>
      </c>
    </row>
    <row r="14" spans="1:15">
      <c r="A14" s="28" t="s">
        <v>164</v>
      </c>
      <c r="B14" s="28">
        <f t="shared" si="0"/>
        <v>13</v>
      </c>
      <c r="C14" s="361">
        <v>2</v>
      </c>
      <c r="D14" s="28">
        <v>2023</v>
      </c>
      <c r="E14" s="362">
        <f>('Daily Meter'!K18-'Daily Meter'!K17)*480</f>
        <v>3935.9999999999127</v>
      </c>
      <c r="F14" s="362">
        <f>('Daily Meter'!M18-'Daily Meter'!M17)*480</f>
        <v>2207.9999999999563</v>
      </c>
      <c r="G14" s="362">
        <f>('Daily Meter'!O18-'Daily Meter'!O17)*480</f>
        <v>2735.9999999999127</v>
      </c>
      <c r="H14" s="362">
        <f>('Daily Meter'!Q18-'Daily Meter'!Q17)*480</f>
        <v>1631.9999999999345</v>
      </c>
      <c r="I14" s="362">
        <f>('Daily Meter'!S18-'Daily Meter'!S17)*480</f>
        <v>2735.9999999999127</v>
      </c>
      <c r="J14" s="362">
        <f>('Daily Meter'!U18-'Daily Meter'!U17)*480</f>
        <v>6863.9999999996508</v>
      </c>
      <c r="K14" s="362">
        <f>('Daily Meter'!C18-'Daily Meter'!C17)*284.34</f>
        <v>6767.291999998758</v>
      </c>
      <c r="L14" s="362">
        <f>('Daily Meter'!E18-'Daily Meter'!E17)*219.969</f>
        <v>51032.807999999997</v>
      </c>
      <c r="M14" s="362">
        <f>('Daily Meter'!W18-'Daily Meter'!W17)*3.7</f>
        <v>483.58999999998923</v>
      </c>
      <c r="N14" s="362">
        <f>'Daily Meter'!X18*434/100</f>
        <v>316.99360000000001</v>
      </c>
      <c r="O14" s="28" t="s">
        <v>19</v>
      </c>
    </row>
    <row r="15" spans="1:15">
      <c r="A15" s="28" t="s">
        <v>164</v>
      </c>
      <c r="B15" s="28">
        <f t="shared" si="0"/>
        <v>14</v>
      </c>
      <c r="C15" s="361">
        <v>2</v>
      </c>
      <c r="D15" s="28">
        <v>2023</v>
      </c>
      <c r="E15" s="362">
        <f>('Daily Meter'!K19-'Daily Meter'!K18)*480</f>
        <v>2352.0000000002619</v>
      </c>
      <c r="F15" s="362">
        <f>('Daily Meter'!M19-'Daily Meter'!M18)*480</f>
        <v>1343.999999999869</v>
      </c>
      <c r="G15" s="362">
        <f>('Daily Meter'!O19-'Daily Meter'!O18)*480</f>
        <v>1776.000000000131</v>
      </c>
      <c r="H15" s="362">
        <f>('Daily Meter'!Q19-'Daily Meter'!Q18)*480</f>
        <v>1008.0000000000655</v>
      </c>
      <c r="I15" s="362">
        <f>('Daily Meter'!S19-'Daily Meter'!S18)*480</f>
        <v>1775.9999999999127</v>
      </c>
      <c r="J15" s="362">
        <f>('Daily Meter'!U19-'Daily Meter'!U18)*480</f>
        <v>4752.0000000006985</v>
      </c>
      <c r="K15" s="362">
        <f>('Daily Meter'!C19-'Daily Meter'!C18)*284.34</f>
        <v>6568.2539999995861</v>
      </c>
      <c r="L15" s="362">
        <f>('Daily Meter'!E19-'Daily Meter'!E18)*219.969</f>
        <v>68630.327999999994</v>
      </c>
      <c r="M15" s="362">
        <f>('Daily Meter'!W19-'Daily Meter'!W18)*3.7</f>
        <v>469.53000000000543</v>
      </c>
      <c r="N15" s="362">
        <f>'Daily Meter'!X19*434/100</f>
        <v>324.97919999999999</v>
      </c>
      <c r="O15" s="28" t="s">
        <v>19</v>
      </c>
    </row>
    <row r="16" spans="1:15">
      <c r="A16" s="28" t="s">
        <v>164</v>
      </c>
      <c r="B16" s="28">
        <f t="shared" si="0"/>
        <v>15</v>
      </c>
      <c r="C16" s="361">
        <v>2</v>
      </c>
      <c r="D16" s="28">
        <v>2023</v>
      </c>
      <c r="E16" s="362">
        <f>('Daily Meter'!K20-'Daily Meter'!K19)*480</f>
        <v>4127.9999999997381</v>
      </c>
      <c r="F16" s="362">
        <f>('Daily Meter'!M20-'Daily Meter'!M19)*480</f>
        <v>2304.0000000000873</v>
      </c>
      <c r="G16" s="362">
        <f>('Daily Meter'!O20-'Daily Meter'!O19)*480</f>
        <v>2735.9999999999127</v>
      </c>
      <c r="H16" s="362">
        <f>('Daily Meter'!Q20-'Daily Meter'!Q19)*480</f>
        <v>1680</v>
      </c>
      <c r="I16" s="362">
        <f>('Daily Meter'!S20-'Daily Meter'!S19)*480</f>
        <v>2688.0000000001746</v>
      </c>
      <c r="J16" s="362">
        <f>('Daily Meter'!U20-'Daily Meter'!U19)*480</f>
        <v>7487.9999999993015</v>
      </c>
      <c r="K16" s="362">
        <f>('Daily Meter'!C20-'Daily Meter'!C19)*284.34</f>
        <v>7250.6699999999992</v>
      </c>
      <c r="L16" s="362">
        <f>('Daily Meter'!E20-'Daily Meter'!E19)*219.969</f>
        <v>49273.055999999997</v>
      </c>
      <c r="M16" s="362">
        <f>('Daily Meter'!W20-'Daily Meter'!W19)*3.7</f>
        <v>485.4400000000162</v>
      </c>
      <c r="N16" s="362">
        <f>'Daily Meter'!X20*434/100</f>
        <v>322.9828</v>
      </c>
      <c r="O16" s="28" t="s">
        <v>19</v>
      </c>
    </row>
    <row r="17" spans="1:15">
      <c r="A17" s="28" t="s">
        <v>164</v>
      </c>
      <c r="B17" s="28">
        <f t="shared" si="0"/>
        <v>16</v>
      </c>
      <c r="C17" s="361">
        <v>2</v>
      </c>
      <c r="D17" s="28">
        <v>2023</v>
      </c>
      <c r="E17" s="362">
        <f>('Daily Meter'!K21-'Daily Meter'!K20)*480</f>
        <v>3024.0000000000873</v>
      </c>
      <c r="F17" s="362">
        <f>('Daily Meter'!M21-'Daily Meter'!M20)*480</f>
        <v>1727.9999999999563</v>
      </c>
      <c r="G17" s="362">
        <f>('Daily Meter'!O21-'Daily Meter'!O20)*480</f>
        <v>2160</v>
      </c>
      <c r="H17" s="362">
        <f>('Daily Meter'!Q21-'Daily Meter'!Q20)*480</f>
        <v>1247.9999999999563</v>
      </c>
      <c r="I17" s="362">
        <f>('Daily Meter'!S21-'Daily Meter'!S20)*480</f>
        <v>2111.9999999998254</v>
      </c>
      <c r="J17" s="362">
        <f>('Daily Meter'!U21-'Daily Meter'!U20)*480</f>
        <v>5856.0000000003492</v>
      </c>
      <c r="K17" s="362">
        <f>('Daily Meter'!C21-'Daily Meter'!C20)*284.34</f>
        <v>6511.3860000004133</v>
      </c>
      <c r="L17" s="362">
        <f>('Daily Meter'!E21-'Daily Meter'!E20)*219.969</f>
        <v>79188.84</v>
      </c>
      <c r="M17" s="362">
        <f>('Daily Meter'!W21-'Daily Meter'!W20)*3.7</f>
        <v>440.66999999999462</v>
      </c>
      <c r="N17" s="362">
        <f>'Daily Meter'!X21*434/100</f>
        <v>336.00279999999998</v>
      </c>
      <c r="O17" s="28" t="s">
        <v>19</v>
      </c>
    </row>
    <row r="18" spans="1:15">
      <c r="A18" s="28" t="s">
        <v>164</v>
      </c>
      <c r="B18" s="28">
        <f t="shared" si="0"/>
        <v>17</v>
      </c>
      <c r="C18" s="361">
        <v>2</v>
      </c>
      <c r="D18" s="28">
        <v>2023</v>
      </c>
      <c r="E18" s="362">
        <f>('Daily Meter'!K22-'Daily Meter'!K21)*480</f>
        <v>3312.0000000002619</v>
      </c>
      <c r="F18" s="362">
        <f>('Daily Meter'!M22-'Daily Meter'!M21)*480</f>
        <v>1824.0000000000873</v>
      </c>
      <c r="G18" s="362">
        <f>('Daily Meter'!O22-'Daily Meter'!O21)*480</f>
        <v>2255.9999999999127</v>
      </c>
      <c r="H18" s="362">
        <f>('Daily Meter'!Q22-'Daily Meter'!Q21)*480</f>
        <v>1248.0000000000655</v>
      </c>
      <c r="I18" s="362">
        <f>('Daily Meter'!S22-'Daily Meter'!S21)*480</f>
        <v>2160</v>
      </c>
      <c r="J18" s="362">
        <f>('Daily Meter'!U22-'Daily Meter'!U21)*480</f>
        <v>5951.9999999998254</v>
      </c>
      <c r="K18" s="362">
        <f>('Daily Meter'!C22-'Daily Meter'!C21)*284.34</f>
        <v>6141.7439999995859</v>
      </c>
      <c r="L18" s="362">
        <f>('Daily Meter'!E22-'Daily Meter'!E21)*219.969</f>
        <v>69730.172999999995</v>
      </c>
      <c r="M18" s="362">
        <f>('Daily Meter'!W22-'Daily Meter'!W21)*3.7</f>
        <v>416.25</v>
      </c>
      <c r="N18" s="362">
        <f>'Daily Meter'!X22*434/100</f>
        <v>342.99020000000002</v>
      </c>
      <c r="O18" s="28" t="s">
        <v>19</v>
      </c>
    </row>
    <row r="19" spans="1:15">
      <c r="A19" s="28" t="s">
        <v>164</v>
      </c>
      <c r="B19" s="28">
        <f t="shared" si="0"/>
        <v>18</v>
      </c>
      <c r="C19" s="361">
        <v>2</v>
      </c>
      <c r="D19" s="28">
        <v>2023</v>
      </c>
      <c r="E19" s="362">
        <f>('Daily Meter'!K23-'Daily Meter'!K22)*480</f>
        <v>3215.9999999999127</v>
      </c>
      <c r="F19" s="362">
        <f>('Daily Meter'!M23-'Daily Meter'!M22)*480</f>
        <v>1823.999999999869</v>
      </c>
      <c r="G19" s="362">
        <f>('Daily Meter'!O23-'Daily Meter'!O22)*480</f>
        <v>2304.0000000000873</v>
      </c>
      <c r="H19" s="362">
        <f>('Daily Meter'!Q23-'Daily Meter'!Q22)*480</f>
        <v>1391.9999999999345</v>
      </c>
      <c r="I19" s="362">
        <f>('Daily Meter'!S23-'Daily Meter'!S22)*480</f>
        <v>2208.0000000001746</v>
      </c>
      <c r="J19" s="362">
        <f>('Daily Meter'!U23-'Daily Meter'!U22)*480</f>
        <v>6096.0000000003492</v>
      </c>
      <c r="K19" s="362">
        <f>('Daily Meter'!C23-'Daily Meter'!C22)*284.34</f>
        <v>7222.2360000004128</v>
      </c>
      <c r="L19" s="362">
        <f>('Daily Meter'!E23-'Daily Meter'!E22)*219.969</f>
        <v>72149.831999999995</v>
      </c>
      <c r="M19" s="362">
        <f>('Daily Meter'!W23-'Daily Meter'!W22)*3.7</f>
        <v>453.25</v>
      </c>
      <c r="N19" s="362">
        <f>'Daily Meter'!X23*434/100</f>
        <v>275.98060000000004</v>
      </c>
      <c r="O19" s="28" t="s">
        <v>19</v>
      </c>
    </row>
    <row r="20" spans="1:15">
      <c r="A20" s="28" t="s">
        <v>164</v>
      </c>
      <c r="B20" s="28">
        <f t="shared" si="0"/>
        <v>19</v>
      </c>
      <c r="C20" s="361">
        <v>2</v>
      </c>
      <c r="D20" s="28">
        <v>2023</v>
      </c>
      <c r="E20" s="362">
        <f>('Daily Meter'!K24-'Daily Meter'!K23)*480</f>
        <v>3167.9999999997381</v>
      </c>
      <c r="F20" s="362">
        <f>('Daily Meter'!M24-'Daily Meter'!M23)*480</f>
        <v>1728.0000000001746</v>
      </c>
      <c r="G20" s="362">
        <f>('Daily Meter'!O24-'Daily Meter'!O23)*480</f>
        <v>2304.0000000000873</v>
      </c>
      <c r="H20" s="362">
        <f>('Daily Meter'!Q24-'Daily Meter'!Q23)*480</f>
        <v>1200</v>
      </c>
      <c r="I20" s="362">
        <f>('Daily Meter'!S24-'Daily Meter'!S23)*480</f>
        <v>2111.9999999998254</v>
      </c>
      <c r="J20" s="362">
        <f>('Daily Meter'!U24-'Daily Meter'!U23)*480</f>
        <v>6240</v>
      </c>
      <c r="K20" s="362">
        <f>('Daily Meter'!C24-'Daily Meter'!C23)*284.34</f>
        <v>6454.5180000012406</v>
      </c>
      <c r="L20" s="362">
        <f>('Daily Meter'!E24-'Daily Meter'!E23)*219.969</f>
        <v>55872.125999999997</v>
      </c>
      <c r="M20" s="362">
        <f>('Daily Meter'!W24-'Daily Meter'!W23)*3.7</f>
        <v>456.20999999998389</v>
      </c>
      <c r="N20" s="362">
        <f>'Daily Meter'!X24*434/100</f>
        <v>351.01919999999996</v>
      </c>
      <c r="O20" s="28" t="s">
        <v>19</v>
      </c>
    </row>
    <row r="21" spans="1:15">
      <c r="A21" s="28" t="s">
        <v>164</v>
      </c>
      <c r="B21" s="28">
        <f t="shared" si="0"/>
        <v>20</v>
      </c>
      <c r="C21" s="361">
        <v>2</v>
      </c>
      <c r="D21" s="28">
        <v>2023</v>
      </c>
      <c r="E21" s="362">
        <f>('Daily Meter'!K25-'Daily Meter'!K24)*480</f>
        <v>3936.0000000003492</v>
      </c>
      <c r="F21" s="362">
        <f>('Daily Meter'!M25-'Daily Meter'!M24)*480</f>
        <v>2160</v>
      </c>
      <c r="G21" s="362">
        <f>('Daily Meter'!O25-'Daily Meter'!O24)*480</f>
        <v>2927.9999999999563</v>
      </c>
      <c r="H21" s="362">
        <f>('Daily Meter'!Q25-'Daily Meter'!Q24)*480</f>
        <v>1583.9999999999782</v>
      </c>
      <c r="I21" s="362">
        <f>('Daily Meter'!S25-'Daily Meter'!S24)*480</f>
        <v>2592.0000000002619</v>
      </c>
      <c r="J21" s="362">
        <f>('Daily Meter'!U25-'Daily Meter'!U24)*480</f>
        <v>7295.9999999994761</v>
      </c>
      <c r="K21" s="362">
        <f>('Daily Meter'!C25-'Daily Meter'!C24)*284.34</f>
        <v>7193.8019999987582</v>
      </c>
      <c r="L21" s="362">
        <f>('Daily Meter'!E25-'Daily Meter'!E24)*219.969</f>
        <v>55872.125999999997</v>
      </c>
      <c r="M21" s="362">
        <f>('Daily Meter'!W25-'Daily Meter'!W24)*3.7</f>
        <v>489.14000000001619</v>
      </c>
      <c r="N21" s="362">
        <f>'Daily Meter'!X25*434/100</f>
        <v>416.98720000000003</v>
      </c>
      <c r="O21" s="28" t="s">
        <v>19</v>
      </c>
    </row>
    <row r="22" spans="1:15">
      <c r="A22" s="28" t="s">
        <v>164</v>
      </c>
      <c r="B22" s="28">
        <f t="shared" si="0"/>
        <v>21</v>
      </c>
      <c r="C22" s="361">
        <v>2</v>
      </c>
      <c r="D22" s="28">
        <v>2023</v>
      </c>
      <c r="E22" s="362">
        <f>('Daily Meter'!K26-'Daily Meter'!K25)*480</f>
        <v>2735.9999999999127</v>
      </c>
      <c r="F22" s="362">
        <f>('Daily Meter'!M26-'Daily Meter'!M25)*480</f>
        <v>1583.999999999869</v>
      </c>
      <c r="G22" s="362">
        <f>('Daily Meter'!O26-'Daily Meter'!O25)*480</f>
        <v>1967.9999999999563</v>
      </c>
      <c r="H22" s="362">
        <f>('Daily Meter'!Q26-'Daily Meter'!Q25)*480</f>
        <v>1008.0000000000655</v>
      </c>
      <c r="I22" s="362">
        <f>('Daily Meter'!S26-'Daily Meter'!S25)*480</f>
        <v>1871.9999999998254</v>
      </c>
      <c r="J22" s="362">
        <f>('Daily Meter'!U26-'Daily Meter'!U25)*480</f>
        <v>5232.0000000006985</v>
      </c>
      <c r="K22" s="362">
        <f>('Daily Meter'!C26-'Daily Meter'!C25)*284.34</f>
        <v>4833.78</v>
      </c>
      <c r="L22" s="362">
        <f>('Daily Meter'!E26-'Daily Meter'!E25)*219.969</f>
        <v>57411.909</v>
      </c>
      <c r="M22" s="362">
        <f>('Daily Meter'!W26-'Daily Meter'!W25)*3.7</f>
        <v>417.35999999998387</v>
      </c>
      <c r="N22" s="362">
        <f>'Daily Meter'!X26*434/100</f>
        <v>434</v>
      </c>
      <c r="O22" s="28" t="s">
        <v>19</v>
      </c>
    </row>
    <row r="23" spans="1:15">
      <c r="A23" s="28" t="s">
        <v>164</v>
      </c>
      <c r="B23" s="28">
        <f t="shared" si="0"/>
        <v>22</v>
      </c>
      <c r="C23" s="361">
        <v>2</v>
      </c>
      <c r="D23" s="28">
        <v>2023</v>
      </c>
      <c r="E23" s="362">
        <f>('Daily Meter'!K27-'Daily Meter'!K26)*480</f>
        <v>3407.9999999997381</v>
      </c>
      <c r="F23" s="362">
        <f>('Daily Meter'!M27-'Daily Meter'!M26)*480</f>
        <v>2064.0000000000873</v>
      </c>
      <c r="G23" s="362">
        <f>('Daily Meter'!O27-'Daily Meter'!O26)*480</f>
        <v>2352.0000000000437</v>
      </c>
      <c r="H23" s="362">
        <f>('Daily Meter'!Q27-'Daily Meter'!Q26)*480</f>
        <v>1391.9999999999345</v>
      </c>
      <c r="I23" s="362">
        <f>('Daily Meter'!S27-'Daily Meter'!S26)*480</f>
        <v>2304.0000000000873</v>
      </c>
      <c r="J23" s="362">
        <f>('Daily Meter'!U27-'Daily Meter'!U26)*480</f>
        <v>6000</v>
      </c>
      <c r="K23" s="362">
        <f>('Daily Meter'!C27-'Daily Meter'!C26)*284.34</f>
        <v>6028.0080000012404</v>
      </c>
      <c r="L23" s="362">
        <f>('Daily Meter'!E27-'Daily Meter'!E26)*219.969</f>
        <v>47733.273000000001</v>
      </c>
      <c r="M23" s="362">
        <f>('Daily Meter'!W27-'Daily Meter'!W26)*3.7</f>
        <v>508.75</v>
      </c>
      <c r="N23" s="362">
        <f>'Daily Meter'!X27*434/100</f>
        <v>434</v>
      </c>
      <c r="O23" s="28" t="s">
        <v>19</v>
      </c>
    </row>
    <row r="24" spans="1:15">
      <c r="A24" s="28" t="s">
        <v>164</v>
      </c>
      <c r="B24" s="28">
        <f t="shared" si="0"/>
        <v>23</v>
      </c>
      <c r="C24" s="361">
        <v>2</v>
      </c>
      <c r="D24" s="28">
        <v>2023</v>
      </c>
      <c r="E24" s="362">
        <f>('Daily Meter'!K28-'Daily Meter'!K27)*480</f>
        <v>3264.0000000000873</v>
      </c>
      <c r="F24" s="362">
        <f>('Daily Meter'!M28-'Daily Meter'!M27)*480</f>
        <v>1920</v>
      </c>
      <c r="G24" s="362">
        <f>('Daily Meter'!O28-'Daily Meter'!O27)*480</f>
        <v>2303.999999999869</v>
      </c>
      <c r="H24" s="362">
        <f>('Daily Meter'!Q28-'Daily Meter'!Q27)*480</f>
        <v>1248.0000000000655</v>
      </c>
      <c r="I24" s="362">
        <f>('Daily Meter'!S28-'Daily Meter'!S27)*480</f>
        <v>2207.9999999997381</v>
      </c>
      <c r="J24" s="362">
        <f>('Daily Meter'!U28-'Daily Meter'!U27)*480</f>
        <v>6431.9999999998254</v>
      </c>
      <c r="K24" s="362">
        <f>('Daily Meter'!C28-'Daily Meter'!C27)*284.34</f>
        <v>6113.3099999999995</v>
      </c>
      <c r="L24" s="362">
        <f>('Daily Meter'!E28-'Daily Meter'!E27)*219.969</f>
        <v>81388.53</v>
      </c>
      <c r="M24" s="362">
        <f>('Daily Meter'!W28-'Daily Meter'!W27)*3.7</f>
        <v>521.33000000000538</v>
      </c>
      <c r="N24" s="362">
        <f>'Daily Meter'!X28*434/100</f>
        <v>430.00720000000001</v>
      </c>
      <c r="O24" s="28" t="s">
        <v>19</v>
      </c>
    </row>
    <row r="25" spans="1:15">
      <c r="A25" s="28" t="s">
        <v>164</v>
      </c>
      <c r="B25" s="28">
        <f t="shared" si="0"/>
        <v>24</v>
      </c>
      <c r="C25" s="361">
        <v>2</v>
      </c>
      <c r="D25" s="28">
        <v>2023</v>
      </c>
      <c r="E25" s="362">
        <f>('Daily Meter'!K29-'Daily Meter'!K28)*480</f>
        <v>3455.9999999999127</v>
      </c>
      <c r="F25" s="362">
        <f>('Daily Meter'!M29-'Daily Meter'!M28)*480</f>
        <v>1967.9999999999563</v>
      </c>
      <c r="G25" s="362">
        <f>('Daily Meter'!O29-'Daily Meter'!O28)*480</f>
        <v>2352.0000000000437</v>
      </c>
      <c r="H25" s="362">
        <f>('Daily Meter'!Q29-'Daily Meter'!Q28)*480</f>
        <v>1296.0000000000218</v>
      </c>
      <c r="I25" s="362">
        <f>('Daily Meter'!S29-'Daily Meter'!S28)*480</f>
        <v>2304.0000000000873</v>
      </c>
      <c r="J25" s="362">
        <f>('Daily Meter'!U29-'Daily Meter'!U28)*480</f>
        <v>6528.0000000001746</v>
      </c>
      <c r="K25" s="362">
        <f>('Daily Meter'!C29-'Daily Meter'!C28)*284.34</f>
        <v>6767.291999998758</v>
      </c>
      <c r="L25" s="362">
        <f>('Daily Meter'!E29-'Daily Meter'!E28)*219.969</f>
        <v>70390.080000000002</v>
      </c>
      <c r="M25" s="362">
        <f>('Daily Meter'!W29-'Daily Meter'!W28)*3.7</f>
        <v>712.99000000001615</v>
      </c>
      <c r="N25" s="362">
        <f>'Daily Meter'!X29*434/100</f>
        <v>405.31260000000003</v>
      </c>
      <c r="O25" s="28" t="s">
        <v>19</v>
      </c>
    </row>
    <row r="26" spans="1:15">
      <c r="A26" s="28" t="s">
        <v>164</v>
      </c>
      <c r="B26" s="28">
        <f t="shared" si="0"/>
        <v>25</v>
      </c>
      <c r="C26" s="361">
        <v>2</v>
      </c>
      <c r="D26" s="28">
        <v>2023</v>
      </c>
      <c r="E26" s="362">
        <f>('Daily Meter'!K30-'Daily Meter'!K29)*480</f>
        <v>3696.0000000003492</v>
      </c>
      <c r="F26" s="362">
        <f>('Daily Meter'!M30-'Daily Meter'!M29)*480</f>
        <v>2112.0000000000437</v>
      </c>
      <c r="G26" s="362">
        <f>('Daily Meter'!O30-'Daily Meter'!O29)*480</f>
        <v>2496.000000000131</v>
      </c>
      <c r="H26" s="362">
        <f>('Daily Meter'!Q30-'Daily Meter'!Q29)*480</f>
        <v>1583.9999999999782</v>
      </c>
      <c r="I26" s="362">
        <f>('Daily Meter'!S30-'Daily Meter'!S29)*480</f>
        <v>2352.0000000002619</v>
      </c>
      <c r="J26" s="362">
        <f>('Daily Meter'!U30-'Daily Meter'!U29)*480</f>
        <v>6720</v>
      </c>
      <c r="K26" s="362">
        <f>('Daily Meter'!C30-'Daily Meter'!C29)*284.34</f>
        <v>8188.9920000008269</v>
      </c>
      <c r="L26" s="362">
        <f>('Daily Meter'!E30-'Daily Meter'!E29)*219.969</f>
        <v>52352.621999999996</v>
      </c>
      <c r="M26" s="362">
        <f>('Daily Meter'!W30-'Daily Meter'!W29)*3.7</f>
        <v>432.90000000000003</v>
      </c>
      <c r="N26" s="362">
        <f>'Daily Meter'!X30*434/100</f>
        <v>403.01239999999996</v>
      </c>
      <c r="O26" s="28" t="s">
        <v>19</v>
      </c>
    </row>
    <row r="27" spans="1:15">
      <c r="A27" s="28" t="s">
        <v>164</v>
      </c>
      <c r="B27" s="28">
        <f t="shared" si="0"/>
        <v>26</v>
      </c>
      <c r="C27" s="361">
        <v>2</v>
      </c>
      <c r="D27" s="28">
        <v>2023</v>
      </c>
      <c r="E27" s="362">
        <f>('Daily Meter'!K31-'Daily Meter'!K30)*480</f>
        <v>3647.9999999997381</v>
      </c>
      <c r="F27" s="362">
        <f>('Daily Meter'!M31-'Daily Meter'!M30)*480</f>
        <v>2063.999999999869</v>
      </c>
      <c r="G27" s="362">
        <f>('Daily Meter'!O31-'Daily Meter'!O30)*480</f>
        <v>2447.9999999999563</v>
      </c>
      <c r="H27" s="362">
        <f>('Daily Meter'!Q31-'Daily Meter'!Q30)*480</f>
        <v>1536.0000000000218</v>
      </c>
      <c r="I27" s="362">
        <f>('Daily Meter'!S31-'Daily Meter'!S30)*480</f>
        <v>2303.9999999996508</v>
      </c>
      <c r="J27" s="362">
        <f>('Daily Meter'!U31-'Daily Meter'!U30)*480</f>
        <v>6575.9999999994761</v>
      </c>
      <c r="K27" s="362">
        <f>('Daily Meter'!C31-'Daily Meter'!C30)*284.34</f>
        <v>8985.1439999995855</v>
      </c>
      <c r="L27" s="362">
        <f>('Daily Meter'!E31-'Daily Meter'!E30)*219.969</f>
        <v>48833.118000000002</v>
      </c>
      <c r="M27" s="362">
        <f>('Daily Meter'!W31-'Daily Meter'!W30)*3.7</f>
        <v>598.28999999998928</v>
      </c>
      <c r="N27" s="362">
        <f>'Daily Meter'!X31*434/100</f>
        <v>294.9898</v>
      </c>
      <c r="O27" s="28" t="s">
        <v>19</v>
      </c>
    </row>
    <row r="28" spans="1:15">
      <c r="A28" s="28" t="s">
        <v>164</v>
      </c>
      <c r="B28" s="28">
        <f t="shared" si="0"/>
        <v>27</v>
      </c>
      <c r="C28" s="361">
        <v>2</v>
      </c>
      <c r="D28" s="28">
        <v>2023</v>
      </c>
      <c r="E28" s="362">
        <f>('Daily Meter'!K32-'Daily Meter'!K31)*480</f>
        <v>3888.0000000001746</v>
      </c>
      <c r="F28" s="362">
        <f>('Daily Meter'!M32-'Daily Meter'!M31)*480</f>
        <v>2256.000000000131</v>
      </c>
      <c r="G28" s="362">
        <f>('Daily Meter'!O32-'Daily Meter'!O31)*480</f>
        <v>2543.999999999869</v>
      </c>
      <c r="H28" s="362">
        <f>('Daily Meter'!Q32-'Daily Meter'!Q31)*480</f>
        <v>1535.9999999999127</v>
      </c>
      <c r="I28" s="362">
        <f>('Daily Meter'!S32-'Daily Meter'!S31)*480</f>
        <v>2496.0000000003492</v>
      </c>
      <c r="J28" s="362">
        <f>('Daily Meter'!U32-'Daily Meter'!U31)*480</f>
        <v>7104.0000000005239</v>
      </c>
      <c r="K28" s="362">
        <f>('Daily Meter'!C32-'Daily Meter'!C31)*284.34</f>
        <v>7591.8779999991721</v>
      </c>
      <c r="L28" s="362">
        <f>('Daily Meter'!E32-'Daily Meter'!E31)*219.969</f>
        <v>39814.388999999996</v>
      </c>
      <c r="M28" s="362">
        <f>('Daily Meter'!W32-'Daily Meter'!W31)*3.7</f>
        <v>438.81999999999465</v>
      </c>
      <c r="N28" s="362">
        <f>'Daily Meter'!X32*434/100</f>
        <v>348.97939999999994</v>
      </c>
      <c r="O28" s="28" t="s">
        <v>19</v>
      </c>
    </row>
    <row r="29" spans="1:15">
      <c r="A29" s="28" t="s">
        <v>164</v>
      </c>
      <c r="B29" s="28">
        <f t="shared" si="0"/>
        <v>28</v>
      </c>
      <c r="C29" s="361">
        <v>2</v>
      </c>
      <c r="D29" s="28">
        <v>2023</v>
      </c>
      <c r="E29" s="362">
        <f>('Daily Meter'!K33-'Daily Meter'!K32)*480</f>
        <v>2784.0000000000873</v>
      </c>
      <c r="F29" s="362">
        <f>('Daily Meter'!M33-'Daily Meter'!M32)*480</f>
        <v>1680</v>
      </c>
      <c r="G29" s="362">
        <f>('Daily Meter'!O33-'Daily Meter'!O32)*480</f>
        <v>1920</v>
      </c>
      <c r="H29" s="362">
        <f>('Daily Meter'!Q33-'Daily Meter'!Q32)*480</f>
        <v>1152.0000000000437</v>
      </c>
      <c r="I29" s="362">
        <f>('Daily Meter'!S33-'Daily Meter'!S32)*480</f>
        <v>1871.9999999998254</v>
      </c>
      <c r="J29" s="362">
        <f>('Daily Meter'!U33-'Daily Meter'!U32)*480</f>
        <v>5375.9999999994761</v>
      </c>
      <c r="K29" s="362">
        <f>('Daily Meter'!C33-'Daily Meter'!C32)*284.34</f>
        <v>8985.1440000016537</v>
      </c>
      <c r="L29" s="362">
        <f>('Daily Meter'!E33-'Daily Meter'!E32)*219.969</f>
        <v>40034.358</v>
      </c>
      <c r="M29" s="362">
        <f>('Daily Meter'!W33-'Daily Meter'!W32)*3.7</f>
        <v>586.45000000000005</v>
      </c>
      <c r="N29" s="362">
        <f>'Daily Meter'!X33*434/100</f>
        <v>408.00340000000006</v>
      </c>
      <c r="O29" s="2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7"/>
  <sheetViews>
    <sheetView zoomScaleNormal="100" workbookViewId="0">
      <pane xSplit="1" ySplit="4" topLeftCell="K5" activePane="bottomRight" state="frozen"/>
      <selection pane="topRight" activeCell="B1" sqref="B1"/>
      <selection pane="bottomLeft" activeCell="A4" sqref="A4"/>
      <selection pane="bottomRight" activeCell="X34" sqref="X34"/>
    </sheetView>
  </sheetViews>
  <sheetFormatPr defaultRowHeight="14.25"/>
  <cols>
    <col min="1" max="1" width="9.1328125" style="15"/>
    <col min="2" max="3" width="10.59765625" style="15" bestFit="1" customWidth="1"/>
    <col min="4" max="4" width="10.1328125" style="100" customWidth="1"/>
    <col min="5" max="5" width="8.86328125" style="100" customWidth="1"/>
    <col min="6" max="8" width="8.73046875" style="15" hidden="1" customWidth="1"/>
    <col min="9" max="9" width="0.3984375" style="15" hidden="1" customWidth="1"/>
    <col min="12" max="12" width="9.59765625" bestFit="1" customWidth="1"/>
    <col min="14" max="16" width="9.59765625" bestFit="1" customWidth="1"/>
    <col min="18" max="21" width="9.59765625" bestFit="1" customWidth="1"/>
    <col min="22" max="23" width="8.73046875" style="28" customWidth="1"/>
    <col min="24" max="24" width="9.1328125" style="28"/>
  </cols>
  <sheetData>
    <row r="1" spans="1:26" ht="25.5" customHeight="1" thickBot="1">
      <c r="A1" s="322" t="s">
        <v>147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Z1" s="185" t="s">
        <v>90</v>
      </c>
    </row>
    <row r="2" spans="1:26" ht="14.65" thickBot="1">
      <c r="A2" s="21"/>
      <c r="B2" s="337" t="s">
        <v>5</v>
      </c>
      <c r="C2" s="338"/>
      <c r="D2" s="340" t="s">
        <v>54</v>
      </c>
      <c r="E2" s="341"/>
      <c r="F2" s="341"/>
      <c r="G2" s="341"/>
      <c r="H2" s="341"/>
      <c r="I2" s="342"/>
      <c r="J2" s="343" t="s">
        <v>59</v>
      </c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5"/>
      <c r="V2" s="346" t="s">
        <v>58</v>
      </c>
      <c r="W2" s="347"/>
      <c r="X2" s="323" t="s">
        <v>107</v>
      </c>
    </row>
    <row r="3" spans="1:26">
      <c r="A3" s="325" t="s">
        <v>47</v>
      </c>
      <c r="B3" s="330" t="s">
        <v>50</v>
      </c>
      <c r="C3" s="331"/>
      <c r="D3" s="327" t="s">
        <v>30</v>
      </c>
      <c r="E3" s="300"/>
      <c r="F3" s="300" t="s">
        <v>31</v>
      </c>
      <c r="G3" s="300"/>
      <c r="H3" s="300" t="s">
        <v>32</v>
      </c>
      <c r="I3" s="335"/>
      <c r="J3" s="332" t="s">
        <v>30</v>
      </c>
      <c r="K3" s="334"/>
      <c r="L3" s="332" t="s">
        <v>31</v>
      </c>
      <c r="M3" s="333"/>
      <c r="N3" s="332" t="s">
        <v>32</v>
      </c>
      <c r="O3" s="334"/>
      <c r="P3" s="332" t="s">
        <v>55</v>
      </c>
      <c r="Q3" s="334"/>
      <c r="R3" s="332" t="s">
        <v>56</v>
      </c>
      <c r="S3" s="334"/>
      <c r="T3" s="332" t="s">
        <v>57</v>
      </c>
      <c r="U3" s="334"/>
      <c r="V3" s="327" t="s">
        <v>58</v>
      </c>
      <c r="W3" s="339"/>
      <c r="X3" s="324"/>
    </row>
    <row r="4" spans="1:26">
      <c r="A4" s="325"/>
      <c r="B4" s="330" t="s">
        <v>53</v>
      </c>
      <c r="C4" s="331"/>
      <c r="D4" s="328" t="s">
        <v>44</v>
      </c>
      <c r="E4" s="329"/>
      <c r="F4" s="329" t="s">
        <v>45</v>
      </c>
      <c r="G4" s="329"/>
      <c r="H4" s="329" t="s">
        <v>46</v>
      </c>
      <c r="I4" s="336"/>
      <c r="J4" s="327">
        <v>6065253</v>
      </c>
      <c r="K4" s="335"/>
      <c r="L4" s="327">
        <v>6065255</v>
      </c>
      <c r="M4" s="339"/>
      <c r="N4" s="327">
        <v>6065259</v>
      </c>
      <c r="O4" s="335"/>
      <c r="P4" s="327">
        <v>6065262</v>
      </c>
      <c r="Q4" s="335"/>
      <c r="R4" s="327">
        <v>6065269</v>
      </c>
      <c r="S4" s="335"/>
      <c r="T4" s="327">
        <v>6065283</v>
      </c>
      <c r="U4" s="335"/>
      <c r="V4" s="327" t="s">
        <v>52</v>
      </c>
      <c r="W4" s="339"/>
      <c r="X4" s="22" t="s">
        <v>106</v>
      </c>
    </row>
    <row r="5" spans="1:26" ht="14.65" thickBot="1">
      <c r="A5" s="326"/>
      <c r="B5" s="25" t="s">
        <v>78</v>
      </c>
      <c r="C5" s="26" t="s">
        <v>48</v>
      </c>
      <c r="D5" s="25" t="s">
        <v>78</v>
      </c>
      <c r="E5" s="101" t="s">
        <v>48</v>
      </c>
      <c r="F5" s="27" t="s">
        <v>66</v>
      </c>
      <c r="G5" s="27" t="s">
        <v>48</v>
      </c>
      <c r="H5" s="27" t="s">
        <v>66</v>
      </c>
      <c r="I5" s="26" t="s">
        <v>48</v>
      </c>
      <c r="J5" s="25" t="s">
        <v>78</v>
      </c>
      <c r="K5" s="26" t="s">
        <v>48</v>
      </c>
      <c r="L5" s="25" t="s">
        <v>78</v>
      </c>
      <c r="M5" s="144" t="s">
        <v>48</v>
      </c>
      <c r="N5" s="25" t="s">
        <v>78</v>
      </c>
      <c r="O5" s="26" t="s">
        <v>48</v>
      </c>
      <c r="P5" s="25" t="s">
        <v>78</v>
      </c>
      <c r="Q5" s="26" t="s">
        <v>48</v>
      </c>
      <c r="R5" s="25" t="s">
        <v>78</v>
      </c>
      <c r="S5" s="26" t="s">
        <v>48</v>
      </c>
      <c r="T5" s="25" t="s">
        <v>78</v>
      </c>
      <c r="U5" s="26" t="s">
        <v>48</v>
      </c>
      <c r="V5" s="25" t="s">
        <v>78</v>
      </c>
      <c r="W5" s="144" t="s">
        <v>48</v>
      </c>
      <c r="X5" s="186" t="s">
        <v>108</v>
      </c>
    </row>
    <row r="6" spans="1:26">
      <c r="A6" s="24">
        <v>1</v>
      </c>
      <c r="B6" s="29">
        <v>36593.199999999997</v>
      </c>
      <c r="C6" s="30">
        <v>36600.699999999997</v>
      </c>
      <c r="D6" s="190">
        <v>122980</v>
      </c>
      <c r="E6" s="191">
        <v>123104</v>
      </c>
      <c r="F6" s="31"/>
      <c r="G6" s="31"/>
      <c r="H6" s="31"/>
      <c r="I6" s="30"/>
      <c r="J6" s="29">
        <v>4237.1000000000004</v>
      </c>
      <c r="K6" s="30">
        <v>4242</v>
      </c>
      <c r="L6" s="29">
        <v>2545.1</v>
      </c>
      <c r="M6" s="145">
        <v>2548.1</v>
      </c>
      <c r="N6" s="32">
        <v>2729</v>
      </c>
      <c r="O6" s="33">
        <v>2732.3</v>
      </c>
      <c r="P6" s="29">
        <v>1367.7</v>
      </c>
      <c r="Q6" s="30">
        <v>1369.6</v>
      </c>
      <c r="R6" s="29">
        <v>4004.8</v>
      </c>
      <c r="S6" s="30">
        <v>4008.2</v>
      </c>
      <c r="T6" s="29">
        <v>10591.3</v>
      </c>
      <c r="U6" s="30">
        <v>10598.5</v>
      </c>
      <c r="V6" s="29">
        <v>51866.5</v>
      </c>
      <c r="W6" s="145">
        <v>51936.4</v>
      </c>
      <c r="X6" s="197">
        <v>97.24</v>
      </c>
    </row>
    <row r="7" spans="1:26">
      <c r="A7" s="22">
        <v>2</v>
      </c>
      <c r="B7" s="32">
        <v>36611.1</v>
      </c>
      <c r="C7" s="33">
        <v>36618.800000000003</v>
      </c>
      <c r="D7" s="192">
        <v>123350</v>
      </c>
      <c r="E7" s="193">
        <v>123412</v>
      </c>
      <c r="F7" s="34"/>
      <c r="G7" s="34"/>
      <c r="H7" s="34"/>
      <c r="I7" s="33"/>
      <c r="J7" s="32">
        <v>4244.1000000000004</v>
      </c>
      <c r="K7" s="33">
        <v>4247.1000000000004</v>
      </c>
      <c r="L7" s="32">
        <v>2549.1999999999998</v>
      </c>
      <c r="M7" s="146">
        <v>2551.1999999999998</v>
      </c>
      <c r="N7" s="32">
        <v>2734</v>
      </c>
      <c r="O7" s="33">
        <v>2736</v>
      </c>
      <c r="P7" s="32">
        <v>1370.5</v>
      </c>
      <c r="Q7" s="33">
        <v>1371.6</v>
      </c>
      <c r="R7" s="32">
        <v>4009.8</v>
      </c>
      <c r="S7" s="33">
        <v>4012</v>
      </c>
      <c r="T7" s="32">
        <v>10602.2</v>
      </c>
      <c r="U7" s="33">
        <v>10607.4</v>
      </c>
      <c r="V7" s="32">
        <v>52012.3</v>
      </c>
      <c r="W7" s="146">
        <v>52076.7</v>
      </c>
      <c r="X7" s="198">
        <v>79.260000000000005</v>
      </c>
    </row>
    <row r="8" spans="1:26">
      <c r="A8" s="22">
        <v>3</v>
      </c>
      <c r="B8" s="32">
        <v>36630.1</v>
      </c>
      <c r="C8" s="33">
        <v>36642.400000000001</v>
      </c>
      <c r="D8" s="192">
        <v>123701</v>
      </c>
      <c r="E8" s="193">
        <v>123711</v>
      </c>
      <c r="F8" s="34"/>
      <c r="G8" s="34"/>
      <c r="H8" s="34"/>
      <c r="I8" s="33"/>
      <c r="J8" s="32">
        <v>4250.8</v>
      </c>
      <c r="K8" s="33">
        <v>4255.2</v>
      </c>
      <c r="L8" s="32">
        <v>2553.1</v>
      </c>
      <c r="M8" s="146">
        <v>2555.6999999999998</v>
      </c>
      <c r="N8" s="32">
        <v>2738.7</v>
      </c>
      <c r="O8" s="33">
        <v>2741.4</v>
      </c>
      <c r="P8" s="32">
        <v>1373.3</v>
      </c>
      <c r="Q8" s="33">
        <v>1375</v>
      </c>
      <c r="R8" s="32">
        <v>4014.5</v>
      </c>
      <c r="S8" s="33">
        <v>4017.3</v>
      </c>
      <c r="T8" s="32">
        <v>10613.1</v>
      </c>
      <c r="U8" s="33">
        <v>10620</v>
      </c>
      <c r="V8" s="32">
        <v>52150.400000000001</v>
      </c>
      <c r="W8" s="146">
        <v>52214.7</v>
      </c>
      <c r="X8" s="198">
        <v>66.13</v>
      </c>
    </row>
    <row r="9" spans="1:26">
      <c r="A9" s="22">
        <v>4</v>
      </c>
      <c r="B9" s="32">
        <v>36651</v>
      </c>
      <c r="C9" s="33">
        <v>36658.9</v>
      </c>
      <c r="D9" s="192">
        <v>123886</v>
      </c>
      <c r="E9" s="193">
        <v>124037</v>
      </c>
      <c r="F9" s="34"/>
      <c r="G9" s="34"/>
      <c r="H9" s="34"/>
      <c r="I9" s="33"/>
      <c r="J9" s="32">
        <v>4257.8</v>
      </c>
      <c r="K9" s="33">
        <v>4260.7</v>
      </c>
      <c r="L9" s="32">
        <v>2557.1</v>
      </c>
      <c r="M9" s="146">
        <v>2558.8000000000002</v>
      </c>
      <c r="N9" s="32">
        <v>2743.5</v>
      </c>
      <c r="O9" s="33">
        <v>2745.4</v>
      </c>
      <c r="P9" s="32">
        <v>1376.4</v>
      </c>
      <c r="Q9" s="33">
        <v>1377.5</v>
      </c>
      <c r="R9" s="32">
        <v>4019.2</v>
      </c>
      <c r="S9" s="33">
        <v>4021.1</v>
      </c>
      <c r="T9" s="32">
        <v>10624.6</v>
      </c>
      <c r="U9" s="102">
        <v>10629.5</v>
      </c>
      <c r="V9" s="32">
        <v>52285.9</v>
      </c>
      <c r="W9" s="146">
        <v>52338.6</v>
      </c>
      <c r="X9" s="198">
        <v>67.75</v>
      </c>
    </row>
    <row r="10" spans="1:26">
      <c r="A10" s="22">
        <v>5</v>
      </c>
      <c r="B10" s="32">
        <v>36669.300000000003</v>
      </c>
      <c r="C10" s="33">
        <v>36677.1</v>
      </c>
      <c r="D10" s="192">
        <v>124232</v>
      </c>
      <c r="E10" s="193">
        <v>124243</v>
      </c>
      <c r="F10" s="34"/>
      <c r="G10" s="34"/>
      <c r="H10" s="34"/>
      <c r="I10" s="33"/>
      <c r="J10" s="32">
        <v>4264.5</v>
      </c>
      <c r="K10" s="33">
        <v>4267.7</v>
      </c>
      <c r="L10" s="32">
        <v>2560.9</v>
      </c>
      <c r="M10" s="146">
        <v>2562.5</v>
      </c>
      <c r="N10" s="32">
        <v>2748.4</v>
      </c>
      <c r="O10" s="33">
        <v>2750.6</v>
      </c>
      <c r="P10" s="32">
        <v>1379.3</v>
      </c>
      <c r="Q10" s="33">
        <v>1380.6</v>
      </c>
      <c r="R10" s="32">
        <v>4023.8</v>
      </c>
      <c r="S10" s="33">
        <v>4026</v>
      </c>
      <c r="T10" s="32">
        <v>10635.8</v>
      </c>
      <c r="U10" s="33">
        <v>10641.2</v>
      </c>
      <c r="V10" s="32">
        <v>52416.9</v>
      </c>
      <c r="W10" s="146">
        <v>52473.5</v>
      </c>
      <c r="X10" s="198">
        <v>70.739999999999995</v>
      </c>
    </row>
    <row r="11" spans="1:26">
      <c r="A11" s="22">
        <v>6</v>
      </c>
      <c r="B11" s="32">
        <v>36688.300000000003</v>
      </c>
      <c r="C11" s="33">
        <v>36701.699999999997</v>
      </c>
      <c r="D11" s="192">
        <v>124397</v>
      </c>
      <c r="E11" s="193">
        <v>124542</v>
      </c>
      <c r="F11" s="34"/>
      <c r="G11" s="34"/>
      <c r="H11" s="34"/>
      <c r="I11" s="33"/>
      <c r="J11" s="32">
        <v>4271.5</v>
      </c>
      <c r="K11" s="33">
        <v>4276.2</v>
      </c>
      <c r="L11" s="32">
        <v>2565</v>
      </c>
      <c r="M11" s="146">
        <v>2568</v>
      </c>
      <c r="N11" s="32">
        <v>2753.7</v>
      </c>
      <c r="O11" s="33">
        <v>2756.8</v>
      </c>
      <c r="P11" s="32">
        <v>1382.3</v>
      </c>
      <c r="Q11" s="33">
        <v>1384.2</v>
      </c>
      <c r="R11" s="32">
        <v>4028.8</v>
      </c>
      <c r="S11" s="33">
        <v>4032</v>
      </c>
      <c r="T11" s="32">
        <v>10647.9</v>
      </c>
      <c r="U11" s="33">
        <v>10655.6</v>
      </c>
      <c r="V11" s="32">
        <v>52547.4</v>
      </c>
      <c r="W11" s="146">
        <v>52635.8</v>
      </c>
      <c r="X11" s="198">
        <v>88.25</v>
      </c>
    </row>
    <row r="12" spans="1:26">
      <c r="A12" s="22">
        <v>7</v>
      </c>
      <c r="B12" s="32">
        <v>36705.1</v>
      </c>
      <c r="C12" s="33">
        <v>36716.9</v>
      </c>
      <c r="D12" s="192">
        <v>124738</v>
      </c>
      <c r="E12" s="193">
        <v>124798</v>
      </c>
      <c r="F12" s="34"/>
      <c r="G12" s="34"/>
      <c r="H12" s="34"/>
      <c r="I12" s="33"/>
      <c r="J12" s="32">
        <v>4277.2</v>
      </c>
      <c r="K12" s="33">
        <v>4281</v>
      </c>
      <c r="L12" s="32">
        <v>2568.5</v>
      </c>
      <c r="M12" s="146">
        <v>2570.8000000000002</v>
      </c>
      <c r="N12" s="32">
        <v>2757.8</v>
      </c>
      <c r="O12" s="33">
        <v>2760.3</v>
      </c>
      <c r="P12" s="32">
        <v>1384.7</v>
      </c>
      <c r="Q12" s="33">
        <v>1386.2</v>
      </c>
      <c r="R12" s="32">
        <v>4032.8</v>
      </c>
      <c r="S12" s="33">
        <v>4035.5</v>
      </c>
      <c r="T12" s="32">
        <v>10657.6</v>
      </c>
      <c r="U12" s="33">
        <v>10664.2</v>
      </c>
      <c r="V12" s="32">
        <v>52660.2</v>
      </c>
      <c r="W12" s="146">
        <v>52736.5</v>
      </c>
      <c r="X12" s="198">
        <v>96.54</v>
      </c>
    </row>
    <row r="13" spans="1:26">
      <c r="A13" s="22">
        <v>8</v>
      </c>
      <c r="B13" s="32">
        <v>36730.300000000003</v>
      </c>
      <c r="C13" s="33">
        <v>36739.9</v>
      </c>
      <c r="D13" s="192">
        <v>124957</v>
      </c>
      <c r="E13" s="193">
        <v>125026</v>
      </c>
      <c r="F13" s="34"/>
      <c r="G13" s="34"/>
      <c r="H13" s="34"/>
      <c r="I13" s="33"/>
      <c r="J13" s="32">
        <v>4285.1000000000004</v>
      </c>
      <c r="K13" s="33">
        <v>4287.7</v>
      </c>
      <c r="L13" s="32">
        <v>2573</v>
      </c>
      <c r="M13" s="146">
        <v>2574.8000000000002</v>
      </c>
      <c r="N13" s="32">
        <v>2763.4</v>
      </c>
      <c r="O13" s="33">
        <v>2765.1</v>
      </c>
      <c r="P13" s="32">
        <v>1387.9</v>
      </c>
      <c r="Q13" s="33">
        <v>1388.9</v>
      </c>
      <c r="R13" s="32">
        <v>4038.4</v>
      </c>
      <c r="S13" s="33">
        <v>4040.3</v>
      </c>
      <c r="T13" s="32">
        <v>10671.5</v>
      </c>
      <c r="U13" s="33">
        <v>10676.1</v>
      </c>
      <c r="V13" s="32">
        <v>52814.8</v>
      </c>
      <c r="W13" s="146">
        <v>52873.7</v>
      </c>
      <c r="X13" s="198">
        <v>97.7</v>
      </c>
    </row>
    <row r="14" spans="1:26">
      <c r="A14" s="22">
        <v>9</v>
      </c>
      <c r="B14" s="32">
        <v>36753</v>
      </c>
      <c r="C14" s="33">
        <v>36760.699999999997</v>
      </c>
      <c r="D14" s="192">
        <v>125304</v>
      </c>
      <c r="E14" s="193">
        <v>125385</v>
      </c>
      <c r="F14" s="34"/>
      <c r="G14" s="34"/>
      <c r="H14" s="34"/>
      <c r="I14" s="33"/>
      <c r="J14" s="32">
        <v>4291.7</v>
      </c>
      <c r="K14" s="33">
        <v>4294.1000000000004</v>
      </c>
      <c r="L14" s="32">
        <v>2577</v>
      </c>
      <c r="M14" s="146">
        <v>2578.6999999999998</v>
      </c>
      <c r="N14" s="32">
        <v>2768.3</v>
      </c>
      <c r="O14" s="33">
        <v>2769.9</v>
      </c>
      <c r="P14" s="32">
        <v>1390.6</v>
      </c>
      <c r="Q14" s="33">
        <v>1391.5</v>
      </c>
      <c r="R14" s="32">
        <v>4043.2</v>
      </c>
      <c r="S14" s="33">
        <v>4044.9</v>
      </c>
      <c r="T14" s="32">
        <v>10683.2</v>
      </c>
      <c r="U14" s="33">
        <v>10687.6</v>
      </c>
      <c r="V14" s="32">
        <v>52951.8</v>
      </c>
      <c r="W14" s="146">
        <v>53009.3</v>
      </c>
      <c r="X14" s="198">
        <v>84.56</v>
      </c>
    </row>
    <row r="15" spans="1:26">
      <c r="A15" s="22">
        <v>10</v>
      </c>
      <c r="B15" s="32">
        <v>36772.199999999997</v>
      </c>
      <c r="C15" s="33">
        <v>36779.9</v>
      </c>
      <c r="D15" s="192">
        <v>125680</v>
      </c>
      <c r="E15" s="193">
        <v>125743</v>
      </c>
      <c r="F15" s="34"/>
      <c r="G15" s="34"/>
      <c r="H15" s="34"/>
      <c r="I15" s="33"/>
      <c r="J15" s="32">
        <v>4298.6000000000004</v>
      </c>
      <c r="K15" s="33">
        <v>4301.3999999999996</v>
      </c>
      <c r="L15" s="32">
        <v>2581</v>
      </c>
      <c r="M15" s="146">
        <v>2582.8000000000002</v>
      </c>
      <c r="N15" s="32">
        <v>2773.6</v>
      </c>
      <c r="O15" s="33">
        <v>2775.7</v>
      </c>
      <c r="P15" s="32">
        <v>1393.3</v>
      </c>
      <c r="Q15" s="33">
        <v>1394.3</v>
      </c>
      <c r="R15" s="32">
        <v>4048</v>
      </c>
      <c r="S15" s="33">
        <v>4049.9</v>
      </c>
      <c r="T15" s="32">
        <v>10694.9</v>
      </c>
      <c r="U15" s="33">
        <v>10699.6</v>
      </c>
      <c r="V15" s="32">
        <v>53090.8</v>
      </c>
      <c r="W15" s="146">
        <v>53154.1</v>
      </c>
      <c r="X15" s="198">
        <v>81.11</v>
      </c>
    </row>
    <row r="16" spans="1:26">
      <c r="A16" s="22">
        <v>11</v>
      </c>
      <c r="B16" s="32">
        <v>36790.5</v>
      </c>
      <c r="C16" s="33">
        <v>36799.1</v>
      </c>
      <c r="D16" s="192">
        <v>125890</v>
      </c>
      <c r="E16" s="193">
        <v>125953</v>
      </c>
      <c r="F16" s="34"/>
      <c r="G16" s="34"/>
      <c r="H16" s="34"/>
      <c r="I16" s="33"/>
      <c r="J16" s="32">
        <v>4305.6000000000004</v>
      </c>
      <c r="K16" s="33">
        <v>4308.8</v>
      </c>
      <c r="L16" s="32">
        <v>2585.1</v>
      </c>
      <c r="M16" s="146">
        <v>2587.1</v>
      </c>
      <c r="N16" s="32">
        <v>2779.2</v>
      </c>
      <c r="O16" s="33">
        <v>2781.2</v>
      </c>
      <c r="P16" s="32">
        <v>1396.3</v>
      </c>
      <c r="Q16" s="33">
        <v>1397.5</v>
      </c>
      <c r="R16" s="32">
        <v>4052.8</v>
      </c>
      <c r="S16" s="33">
        <v>4055.1</v>
      </c>
      <c r="T16" s="32">
        <v>10706.6</v>
      </c>
      <c r="U16" s="33">
        <v>10711.7</v>
      </c>
      <c r="V16" s="32">
        <v>53234.7</v>
      </c>
      <c r="W16" s="146">
        <v>53298.2</v>
      </c>
      <c r="X16" s="198">
        <v>69.349999999999994</v>
      </c>
    </row>
    <row r="17" spans="1:26">
      <c r="A17" s="22">
        <v>12</v>
      </c>
      <c r="B17" s="32">
        <v>36808.699999999997</v>
      </c>
      <c r="C17" s="33">
        <v>36816.800000000003</v>
      </c>
      <c r="D17" s="192">
        <v>126261</v>
      </c>
      <c r="E17" s="193">
        <v>126269</v>
      </c>
      <c r="F17" s="34"/>
      <c r="G17" s="34"/>
      <c r="H17" s="34"/>
      <c r="I17" s="33"/>
      <c r="J17" s="32">
        <v>4312.3</v>
      </c>
      <c r="K17" s="33">
        <v>4315.2</v>
      </c>
      <c r="L17" s="32">
        <v>2589</v>
      </c>
      <c r="M17" s="146">
        <v>2590.8000000000002</v>
      </c>
      <c r="N17" s="32">
        <v>2784.1</v>
      </c>
      <c r="O17" s="33">
        <v>2785.9</v>
      </c>
      <c r="P17" s="32">
        <v>1399.2</v>
      </c>
      <c r="Q17" s="33">
        <v>1400.2</v>
      </c>
      <c r="R17" s="32">
        <v>4057.7</v>
      </c>
      <c r="S17" s="33">
        <v>4059.8</v>
      </c>
      <c r="T17" s="32">
        <v>10717.9</v>
      </c>
      <c r="U17" s="33">
        <v>10723</v>
      </c>
      <c r="V17" s="32">
        <v>53365.7</v>
      </c>
      <c r="W17" s="146">
        <v>53418.5</v>
      </c>
      <c r="X17" s="198">
        <v>71.89</v>
      </c>
    </row>
    <row r="18" spans="1:26">
      <c r="A18" s="22">
        <v>13</v>
      </c>
      <c r="B18" s="32">
        <v>36828.300000000003</v>
      </c>
      <c r="C18" s="33">
        <v>36840.6</v>
      </c>
      <c r="D18" s="192">
        <v>126469</v>
      </c>
      <c r="E18" s="193">
        <v>126501</v>
      </c>
      <c r="F18" s="34"/>
      <c r="G18" s="34"/>
      <c r="H18" s="34"/>
      <c r="I18" s="33"/>
      <c r="J18" s="32">
        <v>4318.8999999999996</v>
      </c>
      <c r="K18" s="33">
        <v>4323.3999999999996</v>
      </c>
      <c r="L18" s="32">
        <v>2592.6999999999998</v>
      </c>
      <c r="M18" s="146">
        <v>2595.4</v>
      </c>
      <c r="N18" s="32">
        <v>2788.9</v>
      </c>
      <c r="O18" s="33">
        <v>2791.6</v>
      </c>
      <c r="P18" s="32">
        <v>1401.8</v>
      </c>
      <c r="Q18" s="33">
        <v>1403.6</v>
      </c>
      <c r="R18" s="32">
        <v>4062.4</v>
      </c>
      <c r="S18" s="33">
        <v>4065.5</v>
      </c>
      <c r="T18" s="32">
        <v>10729.6</v>
      </c>
      <c r="U18" s="33">
        <v>10737.3</v>
      </c>
      <c r="V18" s="32">
        <v>53488.4</v>
      </c>
      <c r="W18" s="146">
        <v>53549.2</v>
      </c>
      <c r="X18" s="198">
        <v>73.040000000000006</v>
      </c>
    </row>
    <row r="19" spans="1:26">
      <c r="A19" s="22">
        <v>14</v>
      </c>
      <c r="B19" s="32">
        <v>36848.6</v>
      </c>
      <c r="C19" s="33">
        <v>36863.699999999997</v>
      </c>
      <c r="D19" s="192">
        <v>126810</v>
      </c>
      <c r="E19" s="194">
        <v>126813</v>
      </c>
      <c r="F19" s="34"/>
      <c r="G19" s="34"/>
      <c r="H19" s="34"/>
      <c r="I19" s="33"/>
      <c r="J19" s="32">
        <v>4325.5</v>
      </c>
      <c r="K19" s="33">
        <v>4328.3</v>
      </c>
      <c r="L19" s="32">
        <v>2596.4</v>
      </c>
      <c r="M19" s="146">
        <v>2598.1999999999998</v>
      </c>
      <c r="N19" s="32">
        <v>2793.5</v>
      </c>
      <c r="O19" s="33">
        <v>2795.3</v>
      </c>
      <c r="P19" s="32">
        <v>1404.6</v>
      </c>
      <c r="Q19" s="33">
        <v>1405.7</v>
      </c>
      <c r="R19" s="32">
        <v>4067.2</v>
      </c>
      <c r="S19" s="33">
        <v>4069.2</v>
      </c>
      <c r="T19" s="32">
        <v>10741.9</v>
      </c>
      <c r="U19" s="33">
        <v>10747.2</v>
      </c>
      <c r="V19" s="32">
        <v>53596.1</v>
      </c>
      <c r="W19" s="146">
        <v>53676.1</v>
      </c>
      <c r="X19" s="198">
        <v>74.88</v>
      </c>
    </row>
    <row r="20" spans="1:26">
      <c r="A20" s="22">
        <v>15</v>
      </c>
      <c r="B20" s="32">
        <v>36872.1</v>
      </c>
      <c r="C20" s="33">
        <v>36889.199999999997</v>
      </c>
      <c r="D20" s="192">
        <v>127003</v>
      </c>
      <c r="E20" s="194">
        <v>127037</v>
      </c>
      <c r="F20" s="34"/>
      <c r="G20" s="34"/>
      <c r="H20" s="34"/>
      <c r="I20" s="33"/>
      <c r="J20" s="32">
        <v>4332.5</v>
      </c>
      <c r="K20" s="33">
        <v>4336.8999999999996</v>
      </c>
      <c r="L20" s="32">
        <v>2600.3000000000002</v>
      </c>
      <c r="M20" s="146">
        <v>2603</v>
      </c>
      <c r="N20" s="32">
        <v>2798.3</v>
      </c>
      <c r="O20" s="33">
        <v>2801</v>
      </c>
      <c r="P20" s="32">
        <v>1407.6</v>
      </c>
      <c r="Q20" s="33">
        <v>1409.2</v>
      </c>
      <c r="R20" s="32">
        <v>4072</v>
      </c>
      <c r="S20" s="33">
        <v>4074.8</v>
      </c>
      <c r="T20" s="32">
        <v>10754.8</v>
      </c>
      <c r="U20" s="33">
        <v>10762.8</v>
      </c>
      <c r="V20" s="32">
        <v>53717.3</v>
      </c>
      <c r="W20" s="146">
        <v>53807.3</v>
      </c>
      <c r="X20" s="198">
        <v>74.42</v>
      </c>
    </row>
    <row r="21" spans="1:26">
      <c r="A21" s="22">
        <v>16</v>
      </c>
      <c r="B21" s="32">
        <v>36897.1</v>
      </c>
      <c r="C21" s="33">
        <v>36912.1</v>
      </c>
      <c r="D21" s="192">
        <v>127347</v>
      </c>
      <c r="E21" s="194">
        <v>127397</v>
      </c>
      <c r="F21" s="34"/>
      <c r="G21" s="34"/>
      <c r="H21" s="34"/>
      <c r="I21" s="33"/>
      <c r="J21" s="32">
        <v>4339.3</v>
      </c>
      <c r="K21" s="33">
        <v>4343.2</v>
      </c>
      <c r="L21" s="32">
        <v>2604.3000000000002</v>
      </c>
      <c r="M21" s="146">
        <v>2606.6</v>
      </c>
      <c r="N21" s="32">
        <v>2803.3</v>
      </c>
      <c r="O21" s="33">
        <v>2805.5</v>
      </c>
      <c r="P21" s="32">
        <v>1410.3</v>
      </c>
      <c r="Q21" s="33">
        <v>1411.8</v>
      </c>
      <c r="R21" s="32">
        <v>4076.6</v>
      </c>
      <c r="S21" s="33">
        <v>4079.2</v>
      </c>
      <c r="T21" s="32">
        <v>10767.8</v>
      </c>
      <c r="U21" s="33">
        <v>10775</v>
      </c>
      <c r="V21" s="32">
        <v>53852.1</v>
      </c>
      <c r="W21" s="146">
        <v>53926.400000000001</v>
      </c>
      <c r="X21" s="198">
        <v>77.42</v>
      </c>
    </row>
    <row r="22" spans="1:26">
      <c r="A22" s="22">
        <v>17</v>
      </c>
      <c r="B22" s="32">
        <v>36922.5</v>
      </c>
      <c r="C22" s="33">
        <v>36933.699999999997</v>
      </c>
      <c r="D22" s="192">
        <v>127707</v>
      </c>
      <c r="E22" s="194">
        <v>127714</v>
      </c>
      <c r="F22" s="34"/>
      <c r="G22" s="34"/>
      <c r="H22" s="34"/>
      <c r="I22" s="33"/>
      <c r="J22" s="32">
        <v>4346.2</v>
      </c>
      <c r="K22" s="33">
        <v>4350.1000000000004</v>
      </c>
      <c r="L22" s="32">
        <v>2608.1</v>
      </c>
      <c r="M22" s="146">
        <v>2610.4</v>
      </c>
      <c r="N22" s="32">
        <v>2807.8</v>
      </c>
      <c r="O22" s="33">
        <v>2810.2</v>
      </c>
      <c r="P22" s="32">
        <v>1413</v>
      </c>
      <c r="Q22" s="33">
        <v>1414.4</v>
      </c>
      <c r="R22" s="32">
        <v>4081.3</v>
      </c>
      <c r="S22" s="33">
        <v>4083.7</v>
      </c>
      <c r="T22" s="32">
        <v>10780.5</v>
      </c>
      <c r="U22" s="33">
        <v>10787.4</v>
      </c>
      <c r="V22" s="32">
        <v>53979</v>
      </c>
      <c r="W22" s="146">
        <v>54038.9</v>
      </c>
      <c r="X22" s="198">
        <v>79.03</v>
      </c>
    </row>
    <row r="23" spans="1:26">
      <c r="A23" s="22">
        <v>18</v>
      </c>
      <c r="B23" s="32">
        <v>36951</v>
      </c>
      <c r="C23" s="33">
        <v>36959.1</v>
      </c>
      <c r="D23" s="192">
        <v>127921</v>
      </c>
      <c r="E23" s="194">
        <v>128042</v>
      </c>
      <c r="F23" s="34"/>
      <c r="G23" s="34"/>
      <c r="H23" s="34"/>
      <c r="I23" s="33"/>
      <c r="J23" s="32">
        <v>4353.7</v>
      </c>
      <c r="K23" s="33">
        <v>4356.8</v>
      </c>
      <c r="L23" s="32">
        <v>2612.4</v>
      </c>
      <c r="M23" s="146">
        <v>2614.1999999999998</v>
      </c>
      <c r="N23" s="32">
        <v>2813.1</v>
      </c>
      <c r="O23" s="33">
        <v>2815</v>
      </c>
      <c r="P23" s="32">
        <v>1416</v>
      </c>
      <c r="Q23" s="33">
        <v>1417.3</v>
      </c>
      <c r="R23" s="32">
        <v>4086.2</v>
      </c>
      <c r="S23" s="33">
        <v>4088.3</v>
      </c>
      <c r="T23" s="32">
        <v>10794.3</v>
      </c>
      <c r="U23" s="33">
        <v>10800.1</v>
      </c>
      <c r="V23" s="32">
        <v>54119</v>
      </c>
      <c r="W23" s="146">
        <v>54161.4</v>
      </c>
      <c r="X23" s="198">
        <v>63.59</v>
      </c>
      <c r="Y23" s="187"/>
      <c r="Z23" s="187"/>
    </row>
    <row r="24" spans="1:26">
      <c r="A24" s="22">
        <v>19</v>
      </c>
      <c r="B24" s="32">
        <v>36972.699999999997</v>
      </c>
      <c r="C24" s="33">
        <v>36981.800000000003</v>
      </c>
      <c r="D24" s="192">
        <v>128287</v>
      </c>
      <c r="E24" s="194">
        <v>128296</v>
      </c>
      <c r="F24" s="34"/>
      <c r="G24" s="34"/>
      <c r="H24" s="34"/>
      <c r="I24" s="33"/>
      <c r="J24" s="32">
        <v>4360.5</v>
      </c>
      <c r="K24" s="33">
        <v>4363.3999999999996</v>
      </c>
      <c r="L24" s="32">
        <v>2616.1</v>
      </c>
      <c r="M24" s="146">
        <v>2617.8000000000002</v>
      </c>
      <c r="N24" s="32">
        <v>2817.8</v>
      </c>
      <c r="O24" s="33">
        <v>2819.8</v>
      </c>
      <c r="P24" s="32">
        <v>1418.8</v>
      </c>
      <c r="Q24" s="33">
        <v>1419.8</v>
      </c>
      <c r="R24" s="32">
        <v>4090.8</v>
      </c>
      <c r="S24" s="33">
        <v>4092.7</v>
      </c>
      <c r="T24" s="32">
        <v>10807.3</v>
      </c>
      <c r="U24" s="33">
        <v>10813.1</v>
      </c>
      <c r="V24" s="32">
        <v>54228</v>
      </c>
      <c r="W24" s="146">
        <v>54284.7</v>
      </c>
      <c r="X24" s="198">
        <v>80.88</v>
      </c>
    </row>
    <row r="25" spans="1:26">
      <c r="A25" s="22">
        <v>20</v>
      </c>
      <c r="B25" s="32">
        <v>36995.800000000003</v>
      </c>
      <c r="C25" s="33">
        <v>37007.1</v>
      </c>
      <c r="D25" s="192">
        <v>128458</v>
      </c>
      <c r="E25" s="194">
        <v>128550</v>
      </c>
      <c r="F25" s="34"/>
      <c r="G25" s="34"/>
      <c r="H25" s="34"/>
      <c r="I25" s="33"/>
      <c r="J25" s="32">
        <v>4367.8</v>
      </c>
      <c r="K25" s="33">
        <v>4371.6000000000004</v>
      </c>
      <c r="L25" s="32">
        <v>2620.6</v>
      </c>
      <c r="M25" s="146">
        <v>2622.3</v>
      </c>
      <c r="N25" s="32">
        <v>2823.4</v>
      </c>
      <c r="O25" s="33">
        <v>2825.9</v>
      </c>
      <c r="P25" s="32">
        <v>1421.5</v>
      </c>
      <c r="Q25" s="33">
        <v>1423.1</v>
      </c>
      <c r="R25" s="32">
        <v>4095.6</v>
      </c>
      <c r="S25" s="33">
        <v>4098.1000000000004</v>
      </c>
      <c r="T25" s="32">
        <v>10821.3</v>
      </c>
      <c r="U25" s="33">
        <v>10828.3</v>
      </c>
      <c r="V25" s="32">
        <v>54339.5</v>
      </c>
      <c r="W25" s="146">
        <v>54416.9</v>
      </c>
      <c r="X25" s="198">
        <v>96.08</v>
      </c>
    </row>
    <row r="26" spans="1:26">
      <c r="A26" s="22">
        <v>21</v>
      </c>
      <c r="B26" s="32">
        <v>37015</v>
      </c>
      <c r="C26" s="33">
        <v>37024.1</v>
      </c>
      <c r="D26" s="192">
        <v>128750</v>
      </c>
      <c r="E26" s="194">
        <v>128811</v>
      </c>
      <c r="F26" s="34"/>
      <c r="G26" s="34"/>
      <c r="H26" s="34"/>
      <c r="I26" s="33"/>
      <c r="J26" s="32">
        <v>4374.2</v>
      </c>
      <c r="K26" s="33">
        <v>4377.3</v>
      </c>
      <c r="L26" s="32">
        <v>2623.6</v>
      </c>
      <c r="M26" s="146">
        <v>2625.6</v>
      </c>
      <c r="N26" s="32">
        <v>2827.9</v>
      </c>
      <c r="O26" s="33">
        <v>2830</v>
      </c>
      <c r="P26" s="32">
        <v>1424.2</v>
      </c>
      <c r="Q26" s="33">
        <v>1425.2</v>
      </c>
      <c r="R26" s="32">
        <v>4099.8999999999996</v>
      </c>
      <c r="S26" s="33">
        <v>4102</v>
      </c>
      <c r="T26" s="32">
        <v>10833.3</v>
      </c>
      <c r="U26" s="33">
        <v>10839.2</v>
      </c>
      <c r="V26" s="32">
        <v>54468</v>
      </c>
      <c r="W26" s="146">
        <v>54529.7</v>
      </c>
      <c r="X26" s="198">
        <v>100</v>
      </c>
    </row>
    <row r="27" spans="1:26">
      <c r="A27" s="22">
        <v>22</v>
      </c>
      <c r="B27" s="32">
        <v>37034.5</v>
      </c>
      <c r="C27" s="33">
        <v>37045.300000000003</v>
      </c>
      <c r="D27" s="192">
        <v>128967</v>
      </c>
      <c r="E27" s="194">
        <v>129028</v>
      </c>
      <c r="F27" s="34"/>
      <c r="G27" s="34"/>
      <c r="H27" s="34"/>
      <c r="I27" s="33"/>
      <c r="J27" s="32">
        <v>4381.5</v>
      </c>
      <c r="K27" s="33">
        <v>4384.3999999999996</v>
      </c>
      <c r="L27" s="32">
        <v>2627.9</v>
      </c>
      <c r="M27" s="146">
        <v>2629.9</v>
      </c>
      <c r="N27" s="32">
        <v>2833.1</v>
      </c>
      <c r="O27" s="33">
        <v>2834.9</v>
      </c>
      <c r="P27" s="32">
        <v>1426.9</v>
      </c>
      <c r="Q27" s="33">
        <v>1428.1</v>
      </c>
      <c r="R27" s="32">
        <v>4104.7</v>
      </c>
      <c r="S27" s="33">
        <v>4106.8</v>
      </c>
      <c r="T27" s="32">
        <v>10846.7</v>
      </c>
      <c r="U27" s="33">
        <v>10851.7</v>
      </c>
      <c r="V27" s="32">
        <v>54595.4</v>
      </c>
      <c r="W27" s="146">
        <v>54667.199999999997</v>
      </c>
      <c r="X27" s="198">
        <v>100</v>
      </c>
    </row>
    <row r="28" spans="1:26">
      <c r="A28" s="22">
        <v>23</v>
      </c>
      <c r="B28" s="32">
        <v>37057.1</v>
      </c>
      <c r="C28" s="33">
        <v>37066.800000000003</v>
      </c>
      <c r="D28" s="192">
        <v>129335</v>
      </c>
      <c r="E28" s="194">
        <v>129398</v>
      </c>
      <c r="F28" s="34"/>
      <c r="G28" s="34"/>
      <c r="H28" s="34"/>
      <c r="I28" s="33"/>
      <c r="J28" s="32">
        <v>4388.2</v>
      </c>
      <c r="K28" s="33">
        <v>4391.2</v>
      </c>
      <c r="L28" s="32">
        <v>2632</v>
      </c>
      <c r="M28" s="146">
        <v>2633.9</v>
      </c>
      <c r="N28" s="32">
        <v>2837.6</v>
      </c>
      <c r="O28" s="33">
        <v>2839.7</v>
      </c>
      <c r="P28" s="32">
        <v>1429.6</v>
      </c>
      <c r="Q28" s="33">
        <v>1430.7</v>
      </c>
      <c r="R28" s="32">
        <v>4109.3</v>
      </c>
      <c r="S28" s="33">
        <v>4111.3999999999996</v>
      </c>
      <c r="T28" s="32">
        <v>10859</v>
      </c>
      <c r="U28" s="33">
        <v>10865.1</v>
      </c>
      <c r="V28" s="32">
        <v>54738.7</v>
      </c>
      <c r="W28" s="146">
        <v>54808.1</v>
      </c>
      <c r="X28" s="198">
        <v>99.08</v>
      </c>
    </row>
    <row r="29" spans="1:26">
      <c r="A29" s="22">
        <v>24</v>
      </c>
      <c r="B29" s="32">
        <v>37080.300000000003</v>
      </c>
      <c r="C29" s="33">
        <v>37090.6</v>
      </c>
      <c r="D29" s="192">
        <v>129708</v>
      </c>
      <c r="E29" s="194">
        <v>129718</v>
      </c>
      <c r="F29" s="34"/>
      <c r="G29" s="34"/>
      <c r="H29" s="34"/>
      <c r="I29" s="33"/>
      <c r="J29" s="32">
        <v>4395.5</v>
      </c>
      <c r="K29" s="33">
        <v>4398.3999999999996</v>
      </c>
      <c r="L29" s="32">
        <v>2636.2</v>
      </c>
      <c r="M29" s="146">
        <v>2638</v>
      </c>
      <c r="N29" s="32">
        <v>2842.7</v>
      </c>
      <c r="O29" s="33">
        <v>2844.6</v>
      </c>
      <c r="P29" s="32">
        <v>1435.5</v>
      </c>
      <c r="Q29" s="33">
        <v>1433.4</v>
      </c>
      <c r="R29" s="32">
        <v>4114.3</v>
      </c>
      <c r="S29" s="33">
        <v>4116.2</v>
      </c>
      <c r="T29" s="32">
        <v>10873.1</v>
      </c>
      <c r="U29" s="33">
        <v>10878.7</v>
      </c>
      <c r="V29" s="32">
        <v>54898.8</v>
      </c>
      <c r="W29" s="146">
        <v>55000.800000000003</v>
      </c>
      <c r="X29" s="198">
        <v>93.39</v>
      </c>
    </row>
    <row r="30" spans="1:26">
      <c r="A30" s="22">
        <v>25</v>
      </c>
      <c r="B30" s="32">
        <v>37106.800000000003</v>
      </c>
      <c r="C30" s="33">
        <v>37119.4</v>
      </c>
      <c r="D30" s="192">
        <v>129947</v>
      </c>
      <c r="E30" s="194">
        <v>129956</v>
      </c>
      <c r="F30" s="34"/>
      <c r="G30" s="34"/>
      <c r="H30" s="34"/>
      <c r="I30" s="33"/>
      <c r="J30" s="32">
        <v>4403.1000000000004</v>
      </c>
      <c r="K30" s="33">
        <v>4406.1000000000004</v>
      </c>
      <c r="L30" s="32">
        <v>2640.5</v>
      </c>
      <c r="M30" s="146">
        <v>2642.4</v>
      </c>
      <c r="N30" s="32">
        <v>2848</v>
      </c>
      <c r="O30" s="33">
        <v>2849.8</v>
      </c>
      <c r="P30" s="32">
        <v>1435.6</v>
      </c>
      <c r="Q30" s="33">
        <v>1436.7</v>
      </c>
      <c r="R30" s="32">
        <v>4119.2</v>
      </c>
      <c r="S30" s="33">
        <v>4121.1000000000004</v>
      </c>
      <c r="T30" s="32">
        <v>10887.2</v>
      </c>
      <c r="U30" s="33">
        <v>10892.7</v>
      </c>
      <c r="V30" s="32">
        <v>55057.5</v>
      </c>
      <c r="W30" s="146">
        <v>55117.8</v>
      </c>
      <c r="X30" s="198">
        <v>92.86</v>
      </c>
    </row>
    <row r="31" spans="1:26">
      <c r="A31" s="255">
        <v>26</v>
      </c>
      <c r="B31" s="32">
        <v>37137</v>
      </c>
      <c r="C31" s="33">
        <v>37151</v>
      </c>
      <c r="D31" s="192">
        <v>130171</v>
      </c>
      <c r="E31" s="194">
        <v>130178</v>
      </c>
      <c r="F31" s="34"/>
      <c r="G31" s="34"/>
      <c r="H31" s="34"/>
      <c r="I31" s="33"/>
      <c r="J31" s="32">
        <v>4410.3999999999996</v>
      </c>
      <c r="K31" s="33">
        <v>4413.7</v>
      </c>
      <c r="L31" s="32">
        <v>2644.8</v>
      </c>
      <c r="M31" s="146">
        <v>2646.7</v>
      </c>
      <c r="N31" s="32">
        <v>2852.9</v>
      </c>
      <c r="O31" s="33">
        <v>2854.9</v>
      </c>
      <c r="P31" s="32">
        <v>1438.8</v>
      </c>
      <c r="Q31" s="33">
        <v>1439.9</v>
      </c>
      <c r="R31" s="32">
        <v>4124</v>
      </c>
      <c r="S31" s="33">
        <v>4125.8999999999996</v>
      </c>
      <c r="T31" s="32">
        <v>10900.5</v>
      </c>
      <c r="U31" s="33">
        <v>10906.4</v>
      </c>
      <c r="V31" s="32">
        <v>55207.199999999997</v>
      </c>
      <c r="W31" s="146">
        <v>55279.5</v>
      </c>
      <c r="X31" s="198">
        <v>67.97</v>
      </c>
    </row>
    <row r="32" spans="1:26">
      <c r="A32" s="22">
        <v>27</v>
      </c>
      <c r="B32" s="32">
        <v>37165.599999999999</v>
      </c>
      <c r="C32" s="33">
        <v>37177.699999999997</v>
      </c>
      <c r="D32" s="192">
        <v>130356</v>
      </c>
      <c r="E32" s="194">
        <v>130359</v>
      </c>
      <c r="F32" s="34"/>
      <c r="G32" s="34"/>
      <c r="H32" s="34"/>
      <c r="I32" s="33"/>
      <c r="J32" s="32">
        <v>4416.8999999999996</v>
      </c>
      <c r="K32" s="33">
        <v>4421.8</v>
      </c>
      <c r="L32" s="32">
        <v>2648.3</v>
      </c>
      <c r="M32" s="146">
        <v>2651.4</v>
      </c>
      <c r="N32" s="32">
        <v>2857.1</v>
      </c>
      <c r="O32" s="33">
        <v>2860.2</v>
      </c>
      <c r="P32" s="32">
        <v>1441.2</v>
      </c>
      <c r="Q32" s="33">
        <v>1443.1</v>
      </c>
      <c r="R32" s="32">
        <v>4128</v>
      </c>
      <c r="S32" s="33">
        <v>4131.1000000000004</v>
      </c>
      <c r="T32" s="32">
        <v>10912.2</v>
      </c>
      <c r="U32" s="33">
        <v>10921.2</v>
      </c>
      <c r="V32" s="32">
        <v>55337.2</v>
      </c>
      <c r="W32" s="146">
        <v>55398.1</v>
      </c>
      <c r="X32" s="198">
        <v>80.41</v>
      </c>
    </row>
    <row r="33" spans="1:26">
      <c r="A33" s="22">
        <v>28</v>
      </c>
      <c r="B33" s="32">
        <v>37192.400000000001</v>
      </c>
      <c r="C33" s="33">
        <v>37209.300000000003</v>
      </c>
      <c r="D33" s="192">
        <v>130538</v>
      </c>
      <c r="E33" s="194">
        <v>130541</v>
      </c>
      <c r="F33" s="34"/>
      <c r="G33" s="34"/>
      <c r="H33" s="34"/>
      <c r="I33" s="33"/>
      <c r="J33" s="32">
        <v>4423.6000000000004</v>
      </c>
      <c r="K33" s="33">
        <v>4427.6000000000004</v>
      </c>
      <c r="L33" s="32">
        <v>2652.4</v>
      </c>
      <c r="M33" s="146">
        <v>2654.9</v>
      </c>
      <c r="N33" s="32">
        <v>2861.7</v>
      </c>
      <c r="O33" s="33">
        <v>2864.2</v>
      </c>
      <c r="P33" s="32">
        <v>1443.9</v>
      </c>
      <c r="Q33" s="33">
        <v>1445.5</v>
      </c>
      <c r="R33" s="32">
        <v>4132.3</v>
      </c>
      <c r="S33" s="33">
        <v>4135</v>
      </c>
      <c r="T33" s="32">
        <v>10924.7</v>
      </c>
      <c r="U33" s="33">
        <v>10932.4</v>
      </c>
      <c r="V33" s="32">
        <v>55467.3</v>
      </c>
      <c r="W33" s="146">
        <v>55556.6</v>
      </c>
      <c r="X33" s="198">
        <v>94.01</v>
      </c>
    </row>
    <row r="34" spans="1:26">
      <c r="A34" s="22"/>
      <c r="B34" s="32"/>
      <c r="C34" s="33"/>
      <c r="D34" s="192"/>
      <c r="E34" s="194"/>
      <c r="F34" s="34"/>
      <c r="G34" s="34"/>
      <c r="H34" s="34"/>
      <c r="I34" s="33"/>
      <c r="J34" s="32"/>
      <c r="K34" s="33"/>
      <c r="L34" s="32"/>
      <c r="M34" s="146"/>
      <c r="N34" s="32"/>
      <c r="O34" s="33"/>
      <c r="P34" s="32"/>
      <c r="Q34" s="33"/>
      <c r="R34" s="32"/>
      <c r="S34" s="33"/>
      <c r="T34" s="32"/>
      <c r="U34" s="33"/>
      <c r="V34" s="32"/>
      <c r="W34" s="146"/>
      <c r="X34" s="198"/>
    </row>
    <row r="35" spans="1:26" ht="14.65" thickBot="1">
      <c r="A35" s="188"/>
      <c r="B35" s="32"/>
      <c r="C35" s="33"/>
      <c r="D35" s="192"/>
      <c r="E35" s="194"/>
      <c r="F35" s="189"/>
      <c r="G35" s="189"/>
      <c r="H35" s="189"/>
      <c r="I35" s="143"/>
      <c r="J35" s="32"/>
      <c r="K35" s="33"/>
      <c r="L35" s="32"/>
      <c r="M35" s="146"/>
      <c r="N35" s="32"/>
      <c r="O35" s="33"/>
      <c r="P35" s="32"/>
      <c r="Q35" s="33"/>
      <c r="R35" s="32"/>
      <c r="S35" s="33"/>
      <c r="T35" s="32"/>
      <c r="U35" s="33"/>
      <c r="V35" s="32"/>
      <c r="W35" s="146"/>
      <c r="X35" s="198"/>
    </row>
    <row r="36" spans="1:26" ht="15.75" customHeight="1" thickBot="1">
      <c r="A36" s="23"/>
      <c r="B36" s="142"/>
      <c r="C36" s="143"/>
      <c r="D36" s="195"/>
      <c r="E36" s="196"/>
      <c r="F36" s="31"/>
      <c r="G36" s="31"/>
      <c r="H36" s="31"/>
      <c r="I36" s="30"/>
      <c r="J36" s="142"/>
      <c r="K36" s="143"/>
      <c r="L36" s="142"/>
      <c r="M36" s="147"/>
      <c r="N36" s="142"/>
      <c r="O36" s="143"/>
      <c r="P36" s="142"/>
      <c r="Q36" s="143"/>
      <c r="R36" s="142"/>
      <c r="S36" s="143"/>
      <c r="T36" s="142"/>
      <c r="U36" s="143"/>
      <c r="V36" s="142"/>
      <c r="W36" s="147"/>
      <c r="X36" s="199"/>
    </row>
    <row r="37" spans="1:26">
      <c r="Z37" t="s">
        <v>149</v>
      </c>
    </row>
  </sheetData>
  <mergeCells count="29">
    <mergeCell ref="V3:W3"/>
    <mergeCell ref="D2:I2"/>
    <mergeCell ref="J3:K3"/>
    <mergeCell ref="T4:U4"/>
    <mergeCell ref="V4:W4"/>
    <mergeCell ref="J2:U2"/>
    <mergeCell ref="V2:W2"/>
    <mergeCell ref="R3:S3"/>
    <mergeCell ref="J4:K4"/>
    <mergeCell ref="L4:M4"/>
    <mergeCell ref="N4:O4"/>
    <mergeCell ref="P4:Q4"/>
    <mergeCell ref="R4:S4"/>
    <mergeCell ref="A1:X1"/>
    <mergeCell ref="X2:X3"/>
    <mergeCell ref="A3:A5"/>
    <mergeCell ref="D3:E3"/>
    <mergeCell ref="D4:E4"/>
    <mergeCell ref="F3:G3"/>
    <mergeCell ref="F4:G4"/>
    <mergeCell ref="B3:C3"/>
    <mergeCell ref="L3:M3"/>
    <mergeCell ref="N3:O3"/>
    <mergeCell ref="P3:Q3"/>
    <mergeCell ref="H3:I3"/>
    <mergeCell ref="H4:I4"/>
    <mergeCell ref="B2:C2"/>
    <mergeCell ref="B4:C4"/>
    <mergeCell ref="T3:U3"/>
  </mergeCells>
  <hyperlinks>
    <hyperlink ref="Z1" location="'1'!A1" display="1st" xr:uid="{CF64F929-591D-467E-A648-18EA8D5C1FF6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opLeftCell="A7" zoomScaleNormal="100" workbookViewId="0">
      <selection activeCell="H24" sqref="H24"/>
    </sheetView>
  </sheetViews>
  <sheetFormatPr defaultColWidth="9.1328125" defaultRowHeight="14.25"/>
  <cols>
    <col min="1" max="1" width="5.59765625" style="36" bestFit="1" customWidth="1"/>
    <col min="2" max="2" width="27.86328125" style="36" bestFit="1" customWidth="1"/>
    <col min="3" max="3" width="11.73046875" style="36" bestFit="1" customWidth="1"/>
    <col min="4" max="5" width="22.265625" style="36" bestFit="1" customWidth="1"/>
    <col min="6" max="6" width="22.265625" style="36" customWidth="1"/>
    <col min="7" max="7" width="20.73046875" style="36" customWidth="1"/>
    <col min="8" max="8" width="20.73046875" style="47" customWidth="1"/>
    <col min="9" max="9" width="20.73046875" style="36" customWidth="1"/>
    <col min="10" max="10" width="20.59765625" style="36" bestFit="1" customWidth="1"/>
    <col min="11" max="11" width="16.3984375" style="36" bestFit="1" customWidth="1"/>
    <col min="12" max="12" width="22.86328125" style="36" bestFit="1" customWidth="1"/>
    <col min="13" max="13" width="22.265625" style="36" bestFit="1" customWidth="1"/>
    <col min="14" max="16384" width="9.1328125" style="36"/>
  </cols>
  <sheetData>
    <row r="1" spans="1:10" ht="1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185" t="s">
        <v>105</v>
      </c>
    </row>
    <row r="2" spans="1:10" ht="15.75" customHeight="1">
      <c r="A2" s="276"/>
      <c r="B2" s="276"/>
      <c r="C2" s="276"/>
      <c r="D2" s="276"/>
      <c r="E2" s="276"/>
      <c r="F2" s="276"/>
      <c r="G2" s="276"/>
      <c r="H2" s="276"/>
      <c r="I2" s="276"/>
    </row>
    <row r="3" spans="1:10" ht="17.649999999999999">
      <c r="A3" s="277" t="s">
        <v>34</v>
      </c>
      <c r="B3" s="277"/>
      <c r="C3" s="277"/>
      <c r="D3" s="277"/>
      <c r="E3" s="277"/>
      <c r="F3" s="277"/>
      <c r="G3" s="277"/>
      <c r="H3" s="277"/>
      <c r="I3" s="277"/>
    </row>
    <row r="4" spans="1:10" ht="17.649999999999999">
      <c r="A4" s="52"/>
      <c r="B4" s="253" t="s">
        <v>146</v>
      </c>
      <c r="C4" s="52">
        <v>1</v>
      </c>
      <c r="D4" s="52"/>
      <c r="E4" s="52"/>
      <c r="F4" s="52"/>
      <c r="G4" s="52"/>
      <c r="H4" s="52"/>
      <c r="I4" s="52"/>
    </row>
    <row r="5" spans="1:10" ht="30" customHeight="1">
      <c r="A5" s="107" t="s">
        <v>1</v>
      </c>
      <c r="B5" s="108" t="s">
        <v>2</v>
      </c>
      <c r="C5" s="109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107"/>
      <c r="B6" s="107"/>
      <c r="C6" s="109"/>
      <c r="D6" s="55" t="s">
        <v>148</v>
      </c>
      <c r="E6" s="99"/>
      <c r="F6" s="99"/>
      <c r="G6" s="99"/>
      <c r="H6" s="55"/>
      <c r="I6" s="55"/>
    </row>
    <row r="7" spans="1:10">
      <c r="A7" s="110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>
      <c r="A8" s="112"/>
      <c r="B8" s="113" t="s">
        <v>5</v>
      </c>
      <c r="C8" s="112" t="s">
        <v>6</v>
      </c>
      <c r="D8" s="74">
        <v>36588.1</v>
      </c>
      <c r="E8" s="74">
        <f>'Daily Meter'!B6</f>
        <v>36593.199999999997</v>
      </c>
      <c r="F8" s="74">
        <f>'Daily Meter'!C6</f>
        <v>36600.699999999997</v>
      </c>
      <c r="G8" s="75">
        <f>F8-E8</f>
        <v>7.5</v>
      </c>
      <c r="H8" s="75">
        <f>F8-D8</f>
        <v>12.599999999998545</v>
      </c>
      <c r="I8" s="116"/>
    </row>
    <row r="9" spans="1:10" ht="15">
      <c r="A9" s="112"/>
      <c r="B9" s="113"/>
      <c r="C9" s="95" t="s">
        <v>7</v>
      </c>
      <c r="D9" s="117"/>
      <c r="E9" s="117"/>
      <c r="F9" s="117"/>
      <c r="G9" s="75">
        <f>G8*284.34</f>
        <v>2132.5499999999997</v>
      </c>
      <c r="H9" s="75">
        <f>H8*284.34</f>
        <v>3582.6839999995859</v>
      </c>
      <c r="I9" s="68">
        <f>H9*0.63</f>
        <v>2257.0909199997391</v>
      </c>
    </row>
    <row r="10" spans="1:10">
      <c r="A10" s="110" t="s">
        <v>8</v>
      </c>
      <c r="B10" s="111" t="s">
        <v>9</v>
      </c>
      <c r="C10" s="112"/>
      <c r="D10" s="74"/>
      <c r="E10" s="74"/>
      <c r="F10" s="74"/>
      <c r="G10" s="118"/>
      <c r="H10" s="118"/>
      <c r="I10" s="62"/>
    </row>
    <row r="11" spans="1:10">
      <c r="A11" s="95"/>
      <c r="B11" s="70" t="s">
        <v>10</v>
      </c>
      <c r="C11" s="71" t="s">
        <v>65</v>
      </c>
      <c r="D11" s="74">
        <v>122881</v>
      </c>
      <c r="E11" s="74">
        <f>'Daily Meter'!D6</f>
        <v>122980</v>
      </c>
      <c r="F11" s="74">
        <f>'Daily Meter'!E6</f>
        <v>123104</v>
      </c>
      <c r="G11" s="75">
        <f>F11-E11</f>
        <v>124</v>
      </c>
      <c r="H11" s="75">
        <f>F11-D11</f>
        <v>223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27276.155999999999</v>
      </c>
      <c r="H12" s="76">
        <f>H11*219.969</f>
        <v>49053.087</v>
      </c>
      <c r="I12" s="96">
        <f>H12*0.06</f>
        <v>2943.1852199999998</v>
      </c>
    </row>
    <row r="13" spans="1:10">
      <c r="A13" s="110" t="s">
        <v>12</v>
      </c>
      <c r="B13" s="111" t="s">
        <v>13</v>
      </c>
      <c r="C13" s="112"/>
      <c r="D13" s="74"/>
      <c r="E13" s="74"/>
      <c r="F13" s="74"/>
      <c r="G13" s="119"/>
      <c r="H13" s="120"/>
      <c r="I13" s="62"/>
    </row>
    <row r="14" spans="1:10">
      <c r="A14" s="112">
        <v>1</v>
      </c>
      <c r="B14" s="113" t="s">
        <v>38</v>
      </c>
      <c r="C14" s="112" t="s">
        <v>35</v>
      </c>
      <c r="D14" s="74">
        <v>4235.1000000000004</v>
      </c>
      <c r="E14" s="74">
        <f>'Daily Meter'!J6</f>
        <v>4237.1000000000004</v>
      </c>
      <c r="F14" s="74">
        <f>'Daily Meter'!K6</f>
        <v>4242</v>
      </c>
      <c r="G14" s="121">
        <f t="shared" ref="G14:G19" si="0">(F14-E14)*480</f>
        <v>2351.9999999998254</v>
      </c>
      <c r="H14" s="75">
        <f t="shared" ref="H14:H19" si="1">(F14-D14)*480</f>
        <v>3311.9999999998254</v>
      </c>
      <c r="I14" s="65"/>
    </row>
    <row r="15" spans="1:10">
      <c r="A15" s="112">
        <v>2</v>
      </c>
      <c r="B15" s="113" t="s">
        <v>39</v>
      </c>
      <c r="C15" s="112" t="s">
        <v>35</v>
      </c>
      <c r="D15" s="74">
        <v>2544</v>
      </c>
      <c r="E15" s="74">
        <f>'Daily Meter'!L6</f>
        <v>2545.1</v>
      </c>
      <c r="F15" s="74">
        <f>'Daily Meter'!M6</f>
        <v>2548.1</v>
      </c>
      <c r="G15" s="121">
        <f t="shared" si="0"/>
        <v>1440</v>
      </c>
      <c r="H15" s="75">
        <f t="shared" si="1"/>
        <v>1967.9999999999563</v>
      </c>
      <c r="I15" s="65"/>
    </row>
    <row r="16" spans="1:10">
      <c r="A16" s="112">
        <v>3</v>
      </c>
      <c r="B16" s="113" t="s">
        <v>40</v>
      </c>
      <c r="C16" s="112" t="s">
        <v>35</v>
      </c>
      <c r="D16" s="74">
        <v>2727.4</v>
      </c>
      <c r="E16" s="74">
        <f>'Daily Meter'!N6</f>
        <v>2729</v>
      </c>
      <c r="F16" s="74">
        <f>'Daily Meter'!O6</f>
        <v>2732.3</v>
      </c>
      <c r="G16" s="121">
        <f t="shared" si="0"/>
        <v>1584.0000000000873</v>
      </c>
      <c r="H16" s="75">
        <f t="shared" si="1"/>
        <v>2352.0000000000437</v>
      </c>
      <c r="I16" s="65"/>
    </row>
    <row r="17" spans="1:13">
      <c r="A17" s="112">
        <v>4</v>
      </c>
      <c r="B17" s="113" t="s">
        <v>41</v>
      </c>
      <c r="C17" s="112" t="s">
        <v>35</v>
      </c>
      <c r="D17" s="74">
        <v>1366.8</v>
      </c>
      <c r="E17" s="74">
        <f>'Daily Meter'!P6</f>
        <v>1367.7</v>
      </c>
      <c r="F17" s="74">
        <f>'Daily Meter'!Q6</f>
        <v>1369.6</v>
      </c>
      <c r="G17" s="121">
        <f t="shared" si="0"/>
        <v>911.99999999993452</v>
      </c>
      <c r="H17" s="75">
        <f t="shared" si="1"/>
        <v>1343.9999999999782</v>
      </c>
      <c r="I17" s="65"/>
    </row>
    <row r="18" spans="1:13">
      <c r="A18" s="112">
        <v>5</v>
      </c>
      <c r="B18" s="113" t="s">
        <v>42</v>
      </c>
      <c r="C18" s="112" t="s">
        <v>35</v>
      </c>
      <c r="D18" s="74">
        <v>4003.3</v>
      </c>
      <c r="E18" s="74">
        <f>'Daily Meter'!R6</f>
        <v>4004.8</v>
      </c>
      <c r="F18" s="74">
        <f>'Daily Meter'!S$6</f>
        <v>4008.2</v>
      </c>
      <c r="G18" s="121">
        <f t="shared" si="0"/>
        <v>1631.9999999998254</v>
      </c>
      <c r="H18" s="75">
        <f t="shared" si="1"/>
        <v>2351.9999999998254</v>
      </c>
      <c r="I18" s="65"/>
    </row>
    <row r="19" spans="1:13">
      <c r="A19" s="112">
        <v>6</v>
      </c>
      <c r="B19" s="113" t="s">
        <v>43</v>
      </c>
      <c r="C19" s="112" t="s">
        <v>35</v>
      </c>
      <c r="D19" s="74">
        <v>10588.2</v>
      </c>
      <c r="E19" s="74">
        <f>'Daily Meter'!T6</f>
        <v>10591.3</v>
      </c>
      <c r="F19" s="74">
        <f>'Daily Meter'!U6</f>
        <v>10598.5</v>
      </c>
      <c r="G19" s="121">
        <f t="shared" si="0"/>
        <v>3456.0000000003492</v>
      </c>
      <c r="H19" s="75">
        <f t="shared" si="1"/>
        <v>4943.9999999996508</v>
      </c>
      <c r="I19" s="65"/>
    </row>
    <row r="20" spans="1:13">
      <c r="A20" s="112"/>
      <c r="B20" s="122" t="s">
        <v>14</v>
      </c>
      <c r="C20" s="112"/>
      <c r="D20" s="74"/>
      <c r="E20" s="74"/>
      <c r="F20" s="74"/>
      <c r="G20" s="121">
        <f>SUM(G14:G19)</f>
        <v>11376.000000000022</v>
      </c>
      <c r="H20" s="123">
        <f>SUM(H14:H19)</f>
        <v>16271.99999999928</v>
      </c>
      <c r="I20" s="68">
        <f>H20*0.43</f>
        <v>6996.9599999996899</v>
      </c>
    </row>
    <row r="21" spans="1:13">
      <c r="A21" s="113"/>
      <c r="B21" s="113"/>
      <c r="C21" s="112"/>
      <c r="D21" s="124"/>
      <c r="E21" s="124"/>
      <c r="F21" s="124"/>
      <c r="G21" s="125"/>
      <c r="H21" s="125"/>
      <c r="I21" s="85"/>
    </row>
    <row r="22" spans="1:13">
      <c r="A22" s="110" t="s">
        <v>15</v>
      </c>
      <c r="B22" s="111" t="s">
        <v>16</v>
      </c>
      <c r="C22" s="112"/>
      <c r="D22" s="74"/>
      <c r="E22" s="74"/>
      <c r="F22" s="74"/>
      <c r="G22" s="119"/>
      <c r="H22" s="120"/>
      <c r="I22" s="62"/>
    </row>
    <row r="23" spans="1:13">
      <c r="A23" s="112">
        <v>1</v>
      </c>
      <c r="B23" s="126" t="s">
        <v>17</v>
      </c>
      <c r="C23" s="71" t="s">
        <v>65</v>
      </c>
      <c r="D23" s="74">
        <v>51820.1</v>
      </c>
      <c r="E23" s="74">
        <f>'Daily Meter'!V6</f>
        <v>51866.5</v>
      </c>
      <c r="F23" s="74">
        <f>'Daily Meter'!W6</f>
        <v>51936.4</v>
      </c>
      <c r="G23" s="121">
        <f>F23-E23</f>
        <v>69.900000000001455</v>
      </c>
      <c r="H23" s="127">
        <f>F23-D23</f>
        <v>116.30000000000291</v>
      </c>
      <c r="I23" s="85"/>
    </row>
    <row r="24" spans="1:13">
      <c r="A24" s="112"/>
      <c r="B24" s="126"/>
      <c r="C24" s="50" t="s">
        <v>64</v>
      </c>
      <c r="D24" s="64"/>
      <c r="E24" s="64"/>
      <c r="F24" s="64"/>
      <c r="G24" s="80"/>
      <c r="H24" s="91">
        <f>H23*3.7</f>
        <v>430.3100000000108</v>
      </c>
      <c r="I24" s="92">
        <f>H24*2.18</f>
        <v>938.07580000002361</v>
      </c>
    </row>
    <row r="25" spans="1:13">
      <c r="A25" s="112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40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3582.6839999995859</v>
      </c>
      <c r="G29" s="11">
        <f>F29*0.63</f>
        <v>2257.0909199997391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49053.087</v>
      </c>
      <c r="G30" s="11">
        <f>F30*0.06</f>
        <v>2943.1852199999998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16271.99999999928</v>
      </c>
      <c r="G31" s="11">
        <f>F31*0.43</f>
        <v>6996.9599999996899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116.30000000000291</v>
      </c>
      <c r="G32" s="11">
        <f>I24</f>
        <v>938.07580000002361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13135.311939999454</v>
      </c>
      <c r="H33" s="46"/>
      <c r="J33" s="37"/>
      <c r="K33" s="37"/>
      <c r="L33" s="37"/>
      <c r="M33" s="37"/>
    </row>
  </sheetData>
  <mergeCells count="3">
    <mergeCell ref="A1:I2"/>
    <mergeCell ref="A3:I3"/>
    <mergeCell ref="D27:G27"/>
  </mergeCells>
  <hyperlinks>
    <hyperlink ref="J1" location="'Daily Meter'!A1" display="daily reading" xr:uid="{FE4A0B73-7E5B-4B48-ABED-BBA1AEB8320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zoomScaleNormal="100" workbookViewId="0">
      <selection activeCell="H24" sqref="H24:I24"/>
    </sheetView>
  </sheetViews>
  <sheetFormatPr defaultColWidth="9.1328125" defaultRowHeight="14.25"/>
  <cols>
    <col min="1" max="1" width="5.59765625" style="36" bestFit="1" customWidth="1"/>
    <col min="2" max="2" width="27.86328125" style="36" bestFit="1" customWidth="1"/>
    <col min="3" max="3" width="11.73046875" style="36" bestFit="1" customWidth="1"/>
    <col min="4" max="5" width="22.265625" style="36" bestFit="1" customWidth="1"/>
    <col min="6" max="6" width="22.265625" style="36" customWidth="1"/>
    <col min="7" max="7" width="20.73046875" style="36" customWidth="1"/>
    <col min="8" max="8" width="20.73046875" style="47" customWidth="1"/>
    <col min="9" max="9" width="20.73046875" style="36" customWidth="1"/>
    <col min="10" max="10" width="20.59765625" style="36" bestFit="1" customWidth="1"/>
    <col min="11" max="11" width="16.3984375" style="36" bestFit="1" customWidth="1"/>
    <col min="12" max="12" width="22.86328125" style="36" bestFit="1" customWidth="1"/>
    <col min="13" max="13" width="22.265625" style="36" bestFit="1" customWidth="1"/>
    <col min="14" max="16384" width="9.1328125" style="36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8" thickBot="1">
      <c r="A3" s="286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ht="18" thickBot="1">
      <c r="A4" s="97"/>
      <c r="B4" s="51" t="str">
        <f>'1'!B4</f>
        <v>FEBRUARY 2023</v>
      </c>
      <c r="C4" s="52">
        <v>2</v>
      </c>
      <c r="D4" s="52"/>
      <c r="E4" s="52"/>
      <c r="F4" s="52"/>
      <c r="G4" s="52"/>
      <c r="H4" s="52"/>
      <c r="I4" s="52"/>
    </row>
    <row r="5" spans="1:10" ht="30" customHeight="1" thickBot="1">
      <c r="A5" s="131" t="s">
        <v>1</v>
      </c>
      <c r="B5" s="108" t="s">
        <v>2</v>
      </c>
      <c r="C5" s="109"/>
      <c r="D5" s="136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 thickBot="1">
      <c r="A6" s="131"/>
      <c r="B6" s="107"/>
      <c r="C6" s="109"/>
      <c r="D6" s="289"/>
      <c r="E6" s="289"/>
      <c r="F6" s="289"/>
      <c r="G6" s="289"/>
      <c r="H6" s="55"/>
      <c r="I6" s="55"/>
    </row>
    <row r="7" spans="1:10" ht="14.65" thickBot="1">
      <c r="A7" s="132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 ht="14.65" thickBot="1">
      <c r="A8" s="133"/>
      <c r="B8" s="113" t="s">
        <v>5</v>
      </c>
      <c r="C8" s="112" t="s">
        <v>6</v>
      </c>
      <c r="D8" s="64">
        <f>'1'!F8</f>
        <v>36600.699999999997</v>
      </c>
      <c r="E8" s="64">
        <f>'Daily Meter'!B7</f>
        <v>36611.1</v>
      </c>
      <c r="F8" s="64">
        <f>'Daily Meter'!C7</f>
        <v>36618.800000000003</v>
      </c>
      <c r="G8" s="116">
        <f>F8-E8</f>
        <v>7.7000000000043656</v>
      </c>
      <c r="H8" s="116">
        <f>F8-D8</f>
        <v>18.100000000005821</v>
      </c>
      <c r="I8" s="116"/>
    </row>
    <row r="9" spans="1:10" ht="15.4" thickBot="1">
      <c r="A9" s="133"/>
      <c r="B9" s="113"/>
      <c r="C9" s="95" t="s">
        <v>7</v>
      </c>
      <c r="D9" s="67"/>
      <c r="E9" s="67"/>
      <c r="F9" s="67"/>
      <c r="G9" s="116">
        <f>G8*284.34</f>
        <v>2189.4180000012411</v>
      </c>
      <c r="H9" s="116">
        <f>H8*284.34</f>
        <v>5146.5540000016545</v>
      </c>
      <c r="I9" s="68">
        <f>H9*0.63</f>
        <v>3242.3290200010424</v>
      </c>
    </row>
    <row r="10" spans="1:10" ht="14.65" thickBot="1">
      <c r="A10" s="132" t="s">
        <v>8</v>
      </c>
      <c r="B10" s="111" t="s">
        <v>9</v>
      </c>
      <c r="C10" s="112"/>
      <c r="D10" s="64"/>
      <c r="E10" s="64"/>
      <c r="F10" s="64"/>
      <c r="G10" s="129"/>
      <c r="H10" s="129"/>
      <c r="I10" s="62"/>
    </row>
    <row r="11" spans="1:10" ht="14.65" thickBot="1">
      <c r="A11" s="134"/>
      <c r="B11" s="70" t="s">
        <v>10</v>
      </c>
      <c r="C11" s="71" t="s">
        <v>65</v>
      </c>
      <c r="D11" s="64">
        <f>'1'!F11</f>
        <v>123104</v>
      </c>
      <c r="E11" s="64">
        <f>'Daily Meter'!D7</f>
        <v>123350</v>
      </c>
      <c r="F11" s="64">
        <f>'Daily Meter'!E7</f>
        <v>123412</v>
      </c>
      <c r="G11" s="116">
        <f>F11-E11</f>
        <v>62</v>
      </c>
      <c r="H11" s="116">
        <f>F11-D11</f>
        <v>308</v>
      </c>
      <c r="I11" s="72"/>
    </row>
    <row r="12" spans="1:10" ht="14.65" thickBot="1">
      <c r="A12" s="134"/>
      <c r="B12" s="73" t="s">
        <v>61</v>
      </c>
      <c r="C12" s="71" t="s">
        <v>60</v>
      </c>
      <c r="D12" s="74"/>
      <c r="E12" s="74"/>
      <c r="F12" s="74"/>
      <c r="G12" s="75">
        <f>G11*219.969</f>
        <v>13638.078</v>
      </c>
      <c r="H12" s="76">
        <f>H11*219.969</f>
        <v>67750.452000000005</v>
      </c>
      <c r="I12" s="96">
        <f>H12*0.06</f>
        <v>4065.0271200000002</v>
      </c>
    </row>
    <row r="13" spans="1:10" ht="14.65" thickBot="1">
      <c r="A13" s="132" t="s">
        <v>12</v>
      </c>
      <c r="B13" s="111" t="s">
        <v>13</v>
      </c>
      <c r="C13" s="112"/>
      <c r="D13" s="64"/>
      <c r="E13" s="64"/>
      <c r="F13" s="64"/>
      <c r="G13" s="137"/>
      <c r="H13" s="138"/>
      <c r="I13" s="62"/>
    </row>
    <row r="14" spans="1:10" ht="14.65" thickBot="1">
      <c r="A14" s="133">
        <v>1</v>
      </c>
      <c r="B14" s="113" t="s">
        <v>38</v>
      </c>
      <c r="C14" s="112" t="s">
        <v>35</v>
      </c>
      <c r="D14" s="64">
        <f>'1'!F14</f>
        <v>4242</v>
      </c>
      <c r="E14" s="64">
        <f>'Daily Meter'!J7</f>
        <v>4244.1000000000004</v>
      </c>
      <c r="F14" s="64">
        <f>'Daily Meter'!K7</f>
        <v>4247.1000000000004</v>
      </c>
      <c r="G14" s="98">
        <f t="shared" ref="G14:G19" si="0">(F14-E14)*480</f>
        <v>1440</v>
      </c>
      <c r="H14" s="116">
        <f t="shared" ref="H14:H19" si="1">(F14-D14)*480</f>
        <v>2448.0000000001746</v>
      </c>
      <c r="I14" s="65"/>
    </row>
    <row r="15" spans="1:10" ht="14.65" thickBot="1">
      <c r="A15" s="133">
        <v>2</v>
      </c>
      <c r="B15" s="113" t="s">
        <v>39</v>
      </c>
      <c r="C15" s="112" t="s">
        <v>35</v>
      </c>
      <c r="D15" s="64">
        <f>'1'!F15</f>
        <v>2548.1</v>
      </c>
      <c r="E15" s="64">
        <f>'Daily Meter'!L7</f>
        <v>2549.1999999999998</v>
      </c>
      <c r="F15" s="64">
        <f>'Daily Meter'!M7</f>
        <v>2551.1999999999998</v>
      </c>
      <c r="G15" s="98">
        <f t="shared" si="0"/>
        <v>960</v>
      </c>
      <c r="H15" s="116">
        <f t="shared" si="1"/>
        <v>1487.9999999999563</v>
      </c>
      <c r="I15" s="65"/>
    </row>
    <row r="16" spans="1:10" ht="14.65" thickBot="1">
      <c r="A16" s="133">
        <v>3</v>
      </c>
      <c r="B16" s="113" t="s">
        <v>40</v>
      </c>
      <c r="C16" s="112" t="s">
        <v>35</v>
      </c>
      <c r="D16" s="64">
        <f>'1'!F16</f>
        <v>2732.3</v>
      </c>
      <c r="E16" s="64">
        <f>'Daily Meter'!N7</f>
        <v>2734</v>
      </c>
      <c r="F16" s="64">
        <f>'Daily Meter'!O7</f>
        <v>2736</v>
      </c>
      <c r="G16" s="98">
        <f t="shared" si="0"/>
        <v>960</v>
      </c>
      <c r="H16" s="116">
        <f t="shared" si="1"/>
        <v>1775.9999999999127</v>
      </c>
      <c r="I16" s="65"/>
    </row>
    <row r="17" spans="1:13" ht="14.65" thickBot="1">
      <c r="A17" s="133">
        <v>4</v>
      </c>
      <c r="B17" s="113" t="s">
        <v>41</v>
      </c>
      <c r="C17" s="112" t="s">
        <v>35</v>
      </c>
      <c r="D17" s="64">
        <f>'1'!F17</f>
        <v>1369.6</v>
      </c>
      <c r="E17" s="64">
        <f>'Daily Meter'!P7</f>
        <v>1370.5</v>
      </c>
      <c r="F17" s="64">
        <f>'Daily Meter'!Q7</f>
        <v>1371.6</v>
      </c>
      <c r="G17" s="98">
        <f t="shared" si="0"/>
        <v>527.99999999995634</v>
      </c>
      <c r="H17" s="116">
        <f t="shared" si="1"/>
        <v>960</v>
      </c>
      <c r="I17" s="65"/>
    </row>
    <row r="18" spans="1:13" ht="14.65" thickBot="1">
      <c r="A18" s="133">
        <v>5</v>
      </c>
      <c r="B18" s="113" t="s">
        <v>42</v>
      </c>
      <c r="C18" s="112" t="s">
        <v>35</v>
      </c>
      <c r="D18" s="64">
        <f>'1'!F18</f>
        <v>4008.2</v>
      </c>
      <c r="E18" s="64">
        <f>'Daily Meter'!R7</f>
        <v>4009.8</v>
      </c>
      <c r="F18" s="64">
        <f>'Daily Meter'!S7</f>
        <v>4012</v>
      </c>
      <c r="G18" s="98">
        <f t="shared" si="0"/>
        <v>1055.9999999999127</v>
      </c>
      <c r="H18" s="116">
        <f t="shared" si="1"/>
        <v>1824.0000000000873</v>
      </c>
      <c r="I18" s="65"/>
    </row>
    <row r="19" spans="1:13" ht="14.65" thickBot="1">
      <c r="A19" s="133">
        <v>6</v>
      </c>
      <c r="B19" s="113" t="s">
        <v>43</v>
      </c>
      <c r="C19" s="112" t="s">
        <v>35</v>
      </c>
      <c r="D19" s="64">
        <f>'1'!F19</f>
        <v>10598.5</v>
      </c>
      <c r="E19" s="64">
        <f>'Daily Meter'!T7</f>
        <v>10602.2</v>
      </c>
      <c r="F19" s="64">
        <f>'Daily Meter'!U7</f>
        <v>10607.4</v>
      </c>
      <c r="G19" s="98">
        <f t="shared" si="0"/>
        <v>2495.9999999994761</v>
      </c>
      <c r="H19" s="116">
        <f t="shared" si="1"/>
        <v>4271.9999999998254</v>
      </c>
      <c r="I19" s="65"/>
    </row>
    <row r="20" spans="1:13" ht="14.65" thickBot="1">
      <c r="A20" s="133"/>
      <c r="B20" s="122" t="s">
        <v>14</v>
      </c>
      <c r="C20" s="112"/>
      <c r="D20" s="64"/>
      <c r="E20" s="64"/>
      <c r="F20" s="64"/>
      <c r="G20" s="98">
        <f>SUM(G14:G19)</f>
        <v>7439.9999999993452</v>
      </c>
      <c r="H20" s="139">
        <f>SUM(H14:H19)</f>
        <v>12767.999999999956</v>
      </c>
      <c r="I20" s="68">
        <f>H20*0.43</f>
        <v>5490.2399999999816</v>
      </c>
    </row>
    <row r="21" spans="1:13" ht="14.65" thickBot="1">
      <c r="A21" s="135"/>
      <c r="B21" s="113"/>
      <c r="C21" s="112"/>
      <c r="D21" s="83"/>
      <c r="E21" s="83"/>
      <c r="F21" s="83"/>
      <c r="G21" s="140"/>
      <c r="H21" s="140"/>
      <c r="I21" s="85"/>
    </row>
    <row r="22" spans="1:13" ht="14.65" thickBot="1">
      <c r="A22" s="132" t="s">
        <v>15</v>
      </c>
      <c r="B22" s="111" t="s">
        <v>16</v>
      </c>
      <c r="C22" s="112"/>
      <c r="D22" s="86"/>
      <c r="E22" s="86"/>
      <c r="F22" s="86"/>
      <c r="G22" s="137"/>
      <c r="H22" s="138"/>
      <c r="I22" s="62"/>
    </row>
    <row r="23" spans="1:13" ht="14.65" thickBot="1">
      <c r="A23" s="133">
        <v>1</v>
      </c>
      <c r="B23" s="126" t="s">
        <v>17</v>
      </c>
      <c r="C23" s="71" t="s">
        <v>65</v>
      </c>
      <c r="D23" s="64">
        <f>'1'!F23</f>
        <v>51936.4</v>
      </c>
      <c r="E23" s="64">
        <f>'Daily Meter'!V7</f>
        <v>52012.3</v>
      </c>
      <c r="F23" s="64">
        <f>'Daily Meter'!W7</f>
        <v>52076.7</v>
      </c>
      <c r="G23" s="98">
        <f>F23-E23</f>
        <v>64.399999999994179</v>
      </c>
      <c r="H23" s="141">
        <f>F23-D23</f>
        <v>140.29999999999563</v>
      </c>
      <c r="I23" s="85"/>
    </row>
    <row r="24" spans="1:13" ht="14.65" thickBot="1">
      <c r="A24" s="133"/>
      <c r="B24" s="126"/>
      <c r="C24" s="50" t="s">
        <v>64</v>
      </c>
      <c r="D24" s="64"/>
      <c r="E24" s="64"/>
      <c r="F24" s="64"/>
      <c r="G24" s="98"/>
      <c r="H24" s="91">
        <f>H23*3.7</f>
        <v>519.10999999998387</v>
      </c>
      <c r="I24" s="92">
        <f>H24*2.18</f>
        <v>1131.6597999999649</v>
      </c>
    </row>
    <row r="25" spans="1:13" ht="14.65" thickBot="1">
      <c r="A25" s="133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40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5146.5540000016545</v>
      </c>
      <c r="G29" s="11">
        <f>F29*0.63</f>
        <v>3242.3290200010424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67750.452000000005</v>
      </c>
      <c r="G30" s="11">
        <f>F30*0.06</f>
        <v>4065.0271200000002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12767.999999999956</v>
      </c>
      <c r="G31" s="11">
        <f>F31*0.43</f>
        <v>5490.2399999999816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140.29999999999563</v>
      </c>
      <c r="G32" s="11">
        <f>I24</f>
        <v>1131.6597999999649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13929.255940000989</v>
      </c>
      <c r="H33" s="46"/>
      <c r="J33" s="37"/>
      <c r="K33" s="37"/>
      <c r="L33" s="37"/>
      <c r="M33" s="37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7B49B68-6A3B-46B7-B274-CE2B8680B75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185" t="s">
        <v>105</v>
      </c>
    </row>
    <row r="2" spans="1:10" ht="15.75" customHeight="1">
      <c r="A2" s="276"/>
      <c r="B2" s="276"/>
      <c r="C2" s="276"/>
      <c r="D2" s="276"/>
      <c r="E2" s="276"/>
      <c r="F2" s="276"/>
      <c r="G2" s="276"/>
      <c r="H2" s="276"/>
      <c r="I2" s="276"/>
    </row>
    <row r="3" spans="1:10" ht="17.649999999999999">
      <c r="A3" s="277" t="s">
        <v>34</v>
      </c>
      <c r="B3" s="277"/>
      <c r="C3" s="277"/>
      <c r="D3" s="277"/>
      <c r="E3" s="277"/>
      <c r="F3" s="277"/>
      <c r="G3" s="277"/>
      <c r="H3" s="277"/>
      <c r="I3" s="277"/>
    </row>
    <row r="4" spans="1:10" s="36" customFormat="1" ht="17.649999999999999">
      <c r="A4" s="52"/>
      <c r="B4" s="51" t="str">
        <f>'1'!B4</f>
        <v>FEBRUARY 2023</v>
      </c>
      <c r="C4" s="52">
        <v>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'2'!F8</f>
        <v>36618.800000000003</v>
      </c>
      <c r="E8" s="64">
        <f>'Daily Meter'!B8</f>
        <v>36630.1</v>
      </c>
      <c r="F8" s="64">
        <f>'Daily Meter'!C8</f>
        <v>36642.400000000001</v>
      </c>
      <c r="G8" s="65">
        <f>F8-E8</f>
        <v>12.30000000000291</v>
      </c>
      <c r="H8" s="65">
        <f>F8-D8</f>
        <v>23.599999999998545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3497.3820000008272</v>
      </c>
      <c r="H9" s="65">
        <f>H8*284.34</f>
        <v>6710.4239999995852</v>
      </c>
      <c r="I9" s="68">
        <f>H9*0.63</f>
        <v>4227.5671199997387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'2'!F11</f>
        <v>123412</v>
      </c>
      <c r="E11" s="64">
        <f>'Daily Meter'!D8</f>
        <v>123701</v>
      </c>
      <c r="F11" s="64">
        <f>'Daily Meter'!E8</f>
        <v>123711</v>
      </c>
      <c r="G11" s="65">
        <f>F11-E11</f>
        <v>10</v>
      </c>
      <c r="H11" s="65">
        <f>F11-D11</f>
        <v>299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2199.69</v>
      </c>
      <c r="H12" s="76">
        <f>H11*219.969</f>
        <v>65770.731</v>
      </c>
      <c r="I12" s="96">
        <f>H12*0.06</f>
        <v>3946.24386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'2'!F14</f>
        <v>4247.1000000000004</v>
      </c>
      <c r="E14" s="64">
        <f>'Daily Meter'!J8</f>
        <v>4250.8</v>
      </c>
      <c r="F14" s="64">
        <f>'Daily Meter'!K8</f>
        <v>4255.2</v>
      </c>
      <c r="G14" s="80">
        <f t="shared" ref="G14:G19" si="0">(F14-E14)*480</f>
        <v>2111.9999999998254</v>
      </c>
      <c r="H14" s="65">
        <f t="shared" ref="H14:H19" si="1">(F14-D14)*480</f>
        <v>3887.9999999997381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'2'!F15</f>
        <v>2551.1999999999998</v>
      </c>
      <c r="E15" s="64">
        <f>'Daily Meter'!L8</f>
        <v>2553.1</v>
      </c>
      <c r="F15" s="64">
        <f>'Daily Meter'!M8</f>
        <v>2555.6999999999998</v>
      </c>
      <c r="G15" s="80">
        <f t="shared" si="0"/>
        <v>1247.9999999999563</v>
      </c>
      <c r="H15" s="65">
        <f t="shared" si="1"/>
        <v>2160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'2'!F16</f>
        <v>2736</v>
      </c>
      <c r="E16" s="64">
        <f>'Daily Meter'!N8</f>
        <v>2738.7</v>
      </c>
      <c r="F16" s="64">
        <f>'Daily Meter'!O8</f>
        <v>2741.4</v>
      </c>
      <c r="G16" s="80">
        <f t="shared" si="0"/>
        <v>1296.000000000131</v>
      </c>
      <c r="H16" s="65">
        <f t="shared" si="1"/>
        <v>2592.0000000000437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'2'!F17</f>
        <v>1371.6</v>
      </c>
      <c r="E17" s="64">
        <f>'Daily Meter'!P8</f>
        <v>1373.3</v>
      </c>
      <c r="F17" s="64">
        <f>'Daily Meter'!Q8</f>
        <v>1375</v>
      </c>
      <c r="G17" s="80">
        <f t="shared" si="0"/>
        <v>816.00000000002183</v>
      </c>
      <c r="H17" s="65">
        <f t="shared" si="1"/>
        <v>1632.0000000000437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'2'!F18</f>
        <v>4012</v>
      </c>
      <c r="E18" s="64">
        <f>'Daily Meter'!R8</f>
        <v>4014.5</v>
      </c>
      <c r="F18" s="64">
        <f>'Daily Meter'!S8</f>
        <v>4017.3</v>
      </c>
      <c r="G18" s="80">
        <f t="shared" si="0"/>
        <v>1344.0000000000873</v>
      </c>
      <c r="H18" s="65">
        <f t="shared" si="1"/>
        <v>2544.0000000000873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'2'!F19</f>
        <v>10607.4</v>
      </c>
      <c r="E19" s="64">
        <f>'Daily Meter'!T8</f>
        <v>10613.1</v>
      </c>
      <c r="F19" s="64">
        <f>'Daily Meter'!U8</f>
        <v>10620</v>
      </c>
      <c r="G19" s="80">
        <f t="shared" si="0"/>
        <v>3311.9999999998254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10127.999999999847</v>
      </c>
      <c r="H20" s="82">
        <f>SUM(H14:H19)</f>
        <v>18864.000000000087</v>
      </c>
      <c r="I20" s="68">
        <f>H20*0.43</f>
        <v>8111.5200000000377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'2'!F23</f>
        <v>52076.7</v>
      </c>
      <c r="E23" s="64">
        <f>'Daily Meter'!V8</f>
        <v>52150.400000000001</v>
      </c>
      <c r="F23" s="64">
        <f>'Daily Meter'!W8</f>
        <v>52214.7</v>
      </c>
      <c r="G23" s="80">
        <f>F23-E23</f>
        <v>64.299999999995634</v>
      </c>
      <c r="H23" s="89">
        <f>F23-D23</f>
        <v>138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510.6</v>
      </c>
      <c r="I24" s="92">
        <f>H24*2.18</f>
        <v>1113.1080000000002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6710.4239999995852</v>
      </c>
      <c r="G29" s="11">
        <f>F29*0.63</f>
        <v>4227.5671199997387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65770.731</v>
      </c>
      <c r="G30" s="11">
        <f>F30*0.06</f>
        <v>3946.24386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18864.000000000087</v>
      </c>
      <c r="G31" s="11">
        <f>F31*0.43</f>
        <v>8111.5200000000377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138</v>
      </c>
      <c r="G32" s="11">
        <f>I24</f>
        <v>1113.1080000000002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17398.438979999777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707D512-A295-4C2B-A80D-F780C269318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'3'!F8</f>
        <v>36642.400000000001</v>
      </c>
      <c r="E8" s="64">
        <f>'Daily Meter'!B9</f>
        <v>36651</v>
      </c>
      <c r="F8" s="64">
        <f>'Daily Meter'!C9</f>
        <v>36658.9</v>
      </c>
      <c r="G8" s="65">
        <f>F8-E8</f>
        <v>7.9000000000014552</v>
      </c>
      <c r="H8" s="65">
        <f>F8-D8</f>
        <v>16.5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2246.2860000004134</v>
      </c>
      <c r="H9" s="65">
        <f>H8*284.34</f>
        <v>4691.6099999999997</v>
      </c>
      <c r="I9" s="68">
        <f>H9*0.63</f>
        <v>2955.7142999999996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'3'!F11</f>
        <v>123711</v>
      </c>
      <c r="E11" s="64">
        <f>'Daily Meter'!D9</f>
        <v>123886</v>
      </c>
      <c r="F11" s="64">
        <f>'Daily Meter'!E9</f>
        <v>124037</v>
      </c>
      <c r="G11" s="65">
        <f>F11-E11</f>
        <v>151</v>
      </c>
      <c r="H11" s="65">
        <f>F11-D11</f>
        <v>326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33215.318999999996</v>
      </c>
      <c r="H12" s="76">
        <f>H11*219.969</f>
        <v>71709.894</v>
      </c>
      <c r="I12" s="96">
        <f>H12*0.06</f>
        <v>4302.5936400000001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'3'!F14</f>
        <v>4255.2</v>
      </c>
      <c r="E14" s="64">
        <f>'Daily Meter'!J9</f>
        <v>4257.8</v>
      </c>
      <c r="F14" s="64">
        <f>'Daily Meter'!K9</f>
        <v>4260.7</v>
      </c>
      <c r="G14" s="80">
        <f t="shared" ref="G14:G19" si="0">(F14-E14)*480</f>
        <v>1391.9999999998254</v>
      </c>
      <c r="H14" s="65">
        <f t="shared" ref="H14:H19" si="1">(F14-D14)*480</f>
        <v>2640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'3'!F15</f>
        <v>2555.6999999999998</v>
      </c>
      <c r="E15" s="64">
        <f>'Daily Meter'!L9</f>
        <v>2557.1</v>
      </c>
      <c r="F15" s="64">
        <f>'Daily Meter'!M9</f>
        <v>2558.8000000000002</v>
      </c>
      <c r="G15" s="80">
        <f t="shared" si="0"/>
        <v>816.00000000013097</v>
      </c>
      <c r="H15" s="65">
        <f t="shared" si="1"/>
        <v>1488.0000000001746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'3'!F16</f>
        <v>2741.4</v>
      </c>
      <c r="E16" s="64">
        <f>'Daily Meter'!N9</f>
        <v>2743.5</v>
      </c>
      <c r="F16" s="64">
        <f>'Daily Meter'!O9</f>
        <v>2745.4</v>
      </c>
      <c r="G16" s="80">
        <f t="shared" si="0"/>
        <v>912.00000000004366</v>
      </c>
      <c r="H16" s="65">
        <f t="shared" si="1"/>
        <v>1920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'3'!F17</f>
        <v>1375</v>
      </c>
      <c r="E17" s="64">
        <f>'Daily Meter'!P9</f>
        <v>1376.4</v>
      </c>
      <c r="F17" s="64">
        <f>'Daily Meter'!Q9</f>
        <v>1377.5</v>
      </c>
      <c r="G17" s="80">
        <f t="shared" si="0"/>
        <v>527.99999999995634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'3'!F18</f>
        <v>4017.3</v>
      </c>
      <c r="E18" s="64">
        <f>'Daily Meter'!R9</f>
        <v>4019.2</v>
      </c>
      <c r="F18" s="64">
        <f>'Daily Meter'!S9</f>
        <v>4021.1</v>
      </c>
      <c r="G18" s="80">
        <f t="shared" si="0"/>
        <v>912.00000000004366</v>
      </c>
      <c r="H18" s="65">
        <f t="shared" si="1"/>
        <v>1823.999999999869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'3'!F19</f>
        <v>10620</v>
      </c>
      <c r="E19" s="64">
        <f>'Daily Meter'!T9</f>
        <v>10624.6</v>
      </c>
      <c r="F19" s="64">
        <f>'Daily Meter'!U9</f>
        <v>10629.5</v>
      </c>
      <c r="G19" s="80">
        <f t="shared" si="0"/>
        <v>2351.9999999998254</v>
      </c>
      <c r="H19" s="65">
        <f t="shared" si="1"/>
        <v>4560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6911.9999999998254</v>
      </c>
      <c r="H20" s="82">
        <f>SUM(H14:H19)</f>
        <v>13632.000000000044</v>
      </c>
      <c r="I20" s="68">
        <f>H20*0.43</f>
        <v>5861.7600000000184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'3'!F23</f>
        <v>52214.7</v>
      </c>
      <c r="E23" s="64">
        <f>'Daily Meter'!V9</f>
        <v>52285.9</v>
      </c>
      <c r="F23" s="64">
        <f>'Daily Meter'!W9</f>
        <v>52338.6</v>
      </c>
      <c r="G23" s="80">
        <f>F23-E23</f>
        <v>52.69999999999709</v>
      </c>
      <c r="H23" s="89">
        <f>F23-D23</f>
        <v>123.90000000000146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458.43000000000541</v>
      </c>
      <c r="I24" s="92">
        <f>H24*2.18</f>
        <v>999.3774000000119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4691.6099999999997</v>
      </c>
      <c r="G29" s="11">
        <f>F29*0.63</f>
        <v>2955.7142999999996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71709.894</v>
      </c>
      <c r="G30" s="11">
        <f>F30*0.06</f>
        <v>4302.5936400000001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13632.000000000044</v>
      </c>
      <c r="G31" s="11">
        <f>F31*0.43</f>
        <v>5861.7600000000184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123.90000000000146</v>
      </c>
      <c r="G32" s="11">
        <f>I24</f>
        <v>999.3774000000119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14119.445340000031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F4474C49-5ACD-4D03-BB73-6F27445BB2F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185" t="s">
        <v>105</v>
      </c>
    </row>
    <row r="2" spans="1:10" ht="15.75" customHeight="1">
      <c r="A2" s="276"/>
      <c r="B2" s="276"/>
      <c r="C2" s="276"/>
      <c r="D2" s="276"/>
      <c r="E2" s="276"/>
      <c r="F2" s="276"/>
      <c r="G2" s="276"/>
      <c r="H2" s="276"/>
      <c r="I2" s="276"/>
    </row>
    <row r="3" spans="1:10" ht="17.649999999999999">
      <c r="A3" s="277" t="s">
        <v>34</v>
      </c>
      <c r="B3" s="277"/>
      <c r="C3" s="277"/>
      <c r="D3" s="277"/>
      <c r="E3" s="277"/>
      <c r="F3" s="277"/>
      <c r="G3" s="277"/>
      <c r="H3" s="277"/>
      <c r="I3" s="277"/>
    </row>
    <row r="4" spans="1:10" s="36" customFormat="1" ht="17.649999999999999">
      <c r="A4" s="52"/>
      <c r="B4" s="51" t="str">
        <f>'1'!B4</f>
        <v>FEBRUARY 2023</v>
      </c>
      <c r="C4" s="52">
        <v>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'4'!F8</f>
        <v>36658.9</v>
      </c>
      <c r="E8" s="64">
        <f>'Daily Meter'!B10</f>
        <v>36669.300000000003</v>
      </c>
      <c r="F8" s="64">
        <f>'Daily Meter'!C10</f>
        <v>36677.1</v>
      </c>
      <c r="G8" s="65">
        <f>F8-E8</f>
        <v>7.7999999999956344</v>
      </c>
      <c r="H8" s="65">
        <f>F8-D8</f>
        <v>18.19999999999709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2217.8519999987584</v>
      </c>
      <c r="H9" s="65">
        <f>H8*284.34</f>
        <v>5174.9879999991717</v>
      </c>
      <c r="I9" s="68">
        <f>H9*0.63</f>
        <v>3260.2424399994784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'4'!F11</f>
        <v>124037</v>
      </c>
      <c r="E11" s="64">
        <f>'Daily Meter'!D10</f>
        <v>124232</v>
      </c>
      <c r="F11" s="64">
        <f>'Daily Meter'!E10</f>
        <v>124243</v>
      </c>
      <c r="G11" s="65">
        <f>F11-E11</f>
        <v>11</v>
      </c>
      <c r="H11" s="65">
        <f>F11-D11</f>
        <v>206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2419.6590000000001</v>
      </c>
      <c r="H12" s="76">
        <f>H11*219.969</f>
        <v>45313.614000000001</v>
      </c>
      <c r="I12" s="96">
        <f>H12*0.06</f>
        <v>2718.81684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'4'!F14</f>
        <v>4260.7</v>
      </c>
      <c r="E14" s="64">
        <f>'Daily Meter'!J10</f>
        <v>4264.5</v>
      </c>
      <c r="F14" s="64">
        <f>'Daily Meter'!K10</f>
        <v>4267.7</v>
      </c>
      <c r="G14" s="80">
        <f t="shared" ref="G14:G19" si="0">(F14-E14)*480</f>
        <v>1535.9999999999127</v>
      </c>
      <c r="H14" s="65">
        <f t="shared" ref="H14:H19" si="1">(F14-D14)*480</f>
        <v>3360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'4'!F15</f>
        <v>2558.8000000000002</v>
      </c>
      <c r="E15" s="64">
        <f>'Daily Meter'!L10</f>
        <v>2560.9</v>
      </c>
      <c r="F15" s="64">
        <f>'Daily Meter'!M10</f>
        <v>2562.5</v>
      </c>
      <c r="G15" s="80">
        <f t="shared" si="0"/>
        <v>767.99999999995634</v>
      </c>
      <c r="H15" s="65">
        <f t="shared" si="1"/>
        <v>1775.9999999999127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'4'!F16</f>
        <v>2745.4</v>
      </c>
      <c r="E16" s="64">
        <f>'Daily Meter'!N10</f>
        <v>2748.4</v>
      </c>
      <c r="F16" s="64">
        <f>'Daily Meter'!O10</f>
        <v>2750.6</v>
      </c>
      <c r="G16" s="80">
        <f t="shared" si="0"/>
        <v>1055.9999999999127</v>
      </c>
      <c r="H16" s="65">
        <f t="shared" si="1"/>
        <v>2495.9999999999127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'4'!F17</f>
        <v>1377.5</v>
      </c>
      <c r="E17" s="64">
        <f>'Daily Meter'!P10</f>
        <v>1379.3</v>
      </c>
      <c r="F17" s="64">
        <f>'Daily Meter'!Q10</f>
        <v>1380.6</v>
      </c>
      <c r="G17" s="80">
        <f t="shared" si="0"/>
        <v>623.99999999997817</v>
      </c>
      <c r="H17" s="65">
        <f t="shared" si="1"/>
        <v>1487.9999999999563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'4'!F18</f>
        <v>4021.1</v>
      </c>
      <c r="E18" s="64">
        <f>'Daily Meter'!R10</f>
        <v>4023.8</v>
      </c>
      <c r="F18" s="64">
        <f>'Daily Meter'!S10</f>
        <v>4026</v>
      </c>
      <c r="G18" s="80">
        <f t="shared" si="0"/>
        <v>1055.9999999999127</v>
      </c>
      <c r="H18" s="65">
        <f t="shared" si="1"/>
        <v>2352.0000000000437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'4'!F19</f>
        <v>10629.5</v>
      </c>
      <c r="E19" s="64">
        <f>'Daily Meter'!T10</f>
        <v>10635.8</v>
      </c>
      <c r="F19" s="64">
        <f>'Daily Meter'!U10</f>
        <v>10641.2</v>
      </c>
      <c r="G19" s="80">
        <f t="shared" si="0"/>
        <v>2592.0000000006985</v>
      </c>
      <c r="H19" s="65">
        <f t="shared" si="1"/>
        <v>5616.0000000003492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7632.0000000003711</v>
      </c>
      <c r="H20" s="82">
        <f>SUM(H14:H19)</f>
        <v>17088.000000000175</v>
      </c>
      <c r="I20" s="68">
        <f>H20*0.43</f>
        <v>7347.8400000000747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'4'!F23</f>
        <v>52338.6</v>
      </c>
      <c r="E23" s="64">
        <f>'Daily Meter'!V10</f>
        <v>52416.9</v>
      </c>
      <c r="F23" s="64">
        <f>'Daily Meter'!W10</f>
        <v>52473.5</v>
      </c>
      <c r="G23" s="80">
        <f>F23-E23</f>
        <v>56.599999999998545</v>
      </c>
      <c r="H23" s="89">
        <f>F23-D23</f>
        <v>134.90000000000146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499.1300000000054</v>
      </c>
      <c r="I24" s="92">
        <f>H24*2.18</f>
        <v>1088.1034000000118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5174.9879999991717</v>
      </c>
      <c r="G29" s="11">
        <f>F29*0.63</f>
        <v>3260.2424399994784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45313.614000000001</v>
      </c>
      <c r="G30" s="11">
        <f>F30*0.06</f>
        <v>2718.81684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17088.000000000175</v>
      </c>
      <c r="G31" s="11">
        <f>F31*0.43</f>
        <v>7347.8400000000747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134.90000000000146</v>
      </c>
      <c r="G32" s="11">
        <f>I24</f>
        <v>1088.1034000000118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14415.002679999565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D06C35B-F59A-4AB4-8DB8-A0817F1B66C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185" t="s">
        <v>105</v>
      </c>
    </row>
    <row r="2" spans="1:10" ht="15.75" customHeight="1">
      <c r="A2" s="276"/>
      <c r="B2" s="276"/>
      <c r="C2" s="276"/>
      <c r="D2" s="276"/>
      <c r="E2" s="276"/>
      <c r="F2" s="276"/>
      <c r="G2" s="276"/>
      <c r="H2" s="276"/>
      <c r="I2" s="276"/>
    </row>
    <row r="3" spans="1:10" ht="17.649999999999999">
      <c r="A3" s="277" t="s">
        <v>34</v>
      </c>
      <c r="B3" s="277"/>
      <c r="C3" s="277"/>
      <c r="D3" s="277"/>
      <c r="E3" s="277"/>
      <c r="F3" s="277"/>
      <c r="G3" s="277"/>
      <c r="H3" s="277"/>
      <c r="I3" s="277"/>
    </row>
    <row r="4" spans="1:10" s="36" customFormat="1" ht="17.649999999999999">
      <c r="A4" s="52"/>
      <c r="B4" s="51" t="str">
        <f>'1'!B4</f>
        <v>FEBRUARY 2023</v>
      </c>
      <c r="C4" s="52">
        <v>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'5'!F8</f>
        <v>36677.1</v>
      </c>
      <c r="E8" s="64">
        <f>'Daily Meter'!B11</f>
        <v>36688.300000000003</v>
      </c>
      <c r="F8" s="64">
        <f>'Daily Meter'!C11</f>
        <v>36701.699999999997</v>
      </c>
      <c r="G8" s="65">
        <f>F8-E8</f>
        <v>13.399999999994179</v>
      </c>
      <c r="H8" s="65">
        <f>F8-D8</f>
        <v>24.599999999998545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3810.1559999983447</v>
      </c>
      <c r="H9" s="65">
        <f>H8*284.34</f>
        <v>6994.7639999995854</v>
      </c>
      <c r="I9" s="68">
        <f>H9*0.63</f>
        <v>4406.7013199997391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'5'!F11</f>
        <v>124243</v>
      </c>
      <c r="E11" s="64">
        <f>'Daily Meter'!D11</f>
        <v>124397</v>
      </c>
      <c r="F11" s="64">
        <f>'Daily Meter'!E11</f>
        <v>124542</v>
      </c>
      <c r="G11" s="65">
        <f>F11-E11</f>
        <v>145</v>
      </c>
      <c r="H11" s="65">
        <f>F11-D11</f>
        <v>299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31895.504999999997</v>
      </c>
      <c r="H12" s="76">
        <f>H11*219.969</f>
        <v>65770.731</v>
      </c>
      <c r="I12" s="96">
        <f>H12*0.06</f>
        <v>3946.24386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'5'!F14</f>
        <v>4267.7</v>
      </c>
      <c r="E14" s="64">
        <f>'Daily Meter'!J11</f>
        <v>4271.5</v>
      </c>
      <c r="F14" s="64">
        <f>'Daily Meter'!K11</f>
        <v>4276.2</v>
      </c>
      <c r="G14" s="80">
        <f t="shared" ref="G14:G19" si="0">(F14-E14)*480</f>
        <v>2255.9999999999127</v>
      </c>
      <c r="H14" s="65">
        <f t="shared" ref="H14:H19" si="1">(F14-D14)*480</f>
        <v>4080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'5'!F15</f>
        <v>2562.5</v>
      </c>
      <c r="E15" s="64">
        <f>'Daily Meter'!L11</f>
        <v>2565</v>
      </c>
      <c r="F15" s="64">
        <f>'Daily Meter'!M11</f>
        <v>2568</v>
      </c>
      <c r="G15" s="80">
        <f t="shared" si="0"/>
        <v>1440</v>
      </c>
      <c r="H15" s="65">
        <f t="shared" si="1"/>
        <v>2640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'5'!F16</f>
        <v>2750.6</v>
      </c>
      <c r="E16" s="64">
        <f>'Daily Meter'!N11</f>
        <v>2753.7</v>
      </c>
      <c r="F16" s="64">
        <f>'Daily Meter'!O11</f>
        <v>2756.8</v>
      </c>
      <c r="G16" s="80">
        <f t="shared" si="0"/>
        <v>1488.0000000001746</v>
      </c>
      <c r="H16" s="65">
        <f t="shared" si="1"/>
        <v>2976.000000000131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'5'!F17</f>
        <v>1380.6</v>
      </c>
      <c r="E17" s="64">
        <f>'Daily Meter'!P11</f>
        <v>1382.3</v>
      </c>
      <c r="F17" s="64">
        <f>'Daily Meter'!Q11</f>
        <v>1384.2</v>
      </c>
      <c r="G17" s="80">
        <f t="shared" si="0"/>
        <v>912.00000000004366</v>
      </c>
      <c r="H17" s="65">
        <f t="shared" si="1"/>
        <v>1728.0000000000655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'5'!F18</f>
        <v>4026</v>
      </c>
      <c r="E18" s="64">
        <f>'Daily Meter'!R11</f>
        <v>4028.8</v>
      </c>
      <c r="F18" s="64">
        <f>'Daily Meter'!S11</f>
        <v>4032</v>
      </c>
      <c r="G18" s="80">
        <f t="shared" si="0"/>
        <v>1535.9999999999127</v>
      </c>
      <c r="H18" s="65">
        <f t="shared" si="1"/>
        <v>2880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'5'!F19</f>
        <v>10641.2</v>
      </c>
      <c r="E19" s="64">
        <f>'Daily Meter'!T11</f>
        <v>10647.9</v>
      </c>
      <c r="F19" s="64">
        <f>'Daily Meter'!U11</f>
        <v>10655.6</v>
      </c>
      <c r="G19" s="80">
        <f t="shared" si="0"/>
        <v>3696.0000000003492</v>
      </c>
      <c r="H19" s="65">
        <f t="shared" si="1"/>
        <v>6911.9999999998254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11328.000000000393</v>
      </c>
      <c r="H20" s="82">
        <f>SUM(H14:H19)</f>
        <v>21216.000000000022</v>
      </c>
      <c r="I20" s="68">
        <f>H20*0.43</f>
        <v>9122.8800000000101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'5'!F23</f>
        <v>52473.5</v>
      </c>
      <c r="E23" s="64">
        <f>'Daily Meter'!V11</f>
        <v>52547.4</v>
      </c>
      <c r="F23" s="64">
        <f>'Daily Meter'!W11</f>
        <v>52635.8</v>
      </c>
      <c r="G23" s="80">
        <f>F23-E23</f>
        <v>88.400000000001455</v>
      </c>
      <c r="H23" s="89">
        <f>F23-D23</f>
        <v>162.30000000000291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600.51000000001079</v>
      </c>
      <c r="I24" s="92">
        <f>H24*2.18</f>
        <v>1309.1118000000235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6994.7639999995854</v>
      </c>
      <c r="G29" s="11">
        <f>F29*0.63</f>
        <v>4406.7013199997391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65770.731</v>
      </c>
      <c r="G30" s="11">
        <f>F30*0.06</f>
        <v>3946.24386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21216.000000000022</v>
      </c>
      <c r="G31" s="11">
        <f>F31*0.43</f>
        <v>9122.8800000000101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162.30000000000291</v>
      </c>
      <c r="G32" s="11">
        <f>I24</f>
        <v>1309.1118000000235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18784.936979999773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6252F2-1003-4144-8240-FAC5053605F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zoomScaleNormal="100" workbookViewId="0">
      <selection activeCell="I24" sqref="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8" thickBot="1">
      <c r="A4" s="52"/>
      <c r="B4" s="51" t="str">
        <f>'1'!B4</f>
        <v>FEBRUARY 2023</v>
      </c>
      <c r="C4" s="52">
        <v>7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'6'!F8</f>
        <v>36701.699999999997</v>
      </c>
      <c r="E8" s="64">
        <f>'Daily Meter'!B12</f>
        <v>36705.1</v>
      </c>
      <c r="F8" s="64">
        <f>'Daily Meter'!C12</f>
        <v>36716.9</v>
      </c>
      <c r="G8" s="65">
        <f>F8-E8</f>
        <v>11.80000000000291</v>
      </c>
      <c r="H8" s="65">
        <f>F8-D8</f>
        <v>15.200000000004366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3355.2120000008272</v>
      </c>
      <c r="H9" s="65">
        <f>H8*284.34</f>
        <v>4321.9680000012413</v>
      </c>
      <c r="I9" s="68">
        <f>H9*0.63</f>
        <v>2722.8398400007823</v>
      </c>
    </row>
    <row r="10" spans="1:10" ht="14.65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65" thickBot="1">
      <c r="A11" s="95"/>
      <c r="B11" s="70" t="s">
        <v>10</v>
      </c>
      <c r="C11" s="2" t="s">
        <v>65</v>
      </c>
      <c r="D11" s="64">
        <f>'6'!F11</f>
        <v>124542</v>
      </c>
      <c r="E11" s="64">
        <f>'Daily Meter'!D12</f>
        <v>124738</v>
      </c>
      <c r="F11" s="64">
        <f>'Daily Meter'!E12</f>
        <v>124798</v>
      </c>
      <c r="G11" s="65">
        <f>F11-E11</f>
        <v>60</v>
      </c>
      <c r="H11" s="65">
        <f>F11-D11</f>
        <v>256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13198.14</v>
      </c>
      <c r="H12" s="76">
        <f>H11*219.969</f>
        <v>56312.063999999998</v>
      </c>
      <c r="I12" s="77">
        <f>H12*0.06</f>
        <v>3378.7238399999997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'6'!F14</f>
        <v>4276.2</v>
      </c>
      <c r="E14" s="64">
        <f>'Daily Meter'!J12</f>
        <v>4277.2</v>
      </c>
      <c r="F14" s="64">
        <f>'Daily Meter'!K12</f>
        <v>4281</v>
      </c>
      <c r="G14" s="80">
        <f t="shared" ref="G14:G19" si="0">(F14-E14)*480</f>
        <v>1824.0000000000873</v>
      </c>
      <c r="H14" s="65">
        <f t="shared" ref="H14:H19" si="1">(F14-D14)*480</f>
        <v>2304.0000000000873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'6'!F15</f>
        <v>2568</v>
      </c>
      <c r="E15" s="64">
        <f>'Daily Meter'!L12</f>
        <v>2568.5</v>
      </c>
      <c r="F15" s="64">
        <f>'Daily Meter'!M12</f>
        <v>2570.8000000000002</v>
      </c>
      <c r="G15" s="80">
        <f t="shared" si="0"/>
        <v>1104.0000000000873</v>
      </c>
      <c r="H15" s="65">
        <f t="shared" si="1"/>
        <v>1344.0000000000873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'6'!F16</f>
        <v>2756.8</v>
      </c>
      <c r="E16" s="64">
        <f>'Daily Meter'!N12</f>
        <v>2757.8</v>
      </c>
      <c r="F16" s="64">
        <f>'Daily Meter'!O12</f>
        <v>2760.3</v>
      </c>
      <c r="G16" s="80">
        <f t="shared" si="0"/>
        <v>1200</v>
      </c>
      <c r="H16" s="65">
        <f t="shared" si="1"/>
        <v>1680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'6'!F17</f>
        <v>1384.2</v>
      </c>
      <c r="E17" s="64">
        <f>'Daily Meter'!P12</f>
        <v>1384.7</v>
      </c>
      <c r="F17" s="64">
        <f>'Daily Meter'!Q12</f>
        <v>1386.2</v>
      </c>
      <c r="G17" s="80">
        <f t="shared" si="0"/>
        <v>720</v>
      </c>
      <c r="H17" s="65">
        <f t="shared" si="1"/>
        <v>960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'6'!F18</f>
        <v>4032</v>
      </c>
      <c r="E18" s="64">
        <f>'Daily Meter'!R12</f>
        <v>4032.8</v>
      </c>
      <c r="F18" s="64">
        <f>'Daily Meter'!S12</f>
        <v>4035.5</v>
      </c>
      <c r="G18" s="80">
        <f t="shared" si="0"/>
        <v>1295.9999999999127</v>
      </c>
      <c r="H18" s="65">
        <f t="shared" si="1"/>
        <v>1680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'6'!F19</f>
        <v>10655.6</v>
      </c>
      <c r="E19" s="64">
        <f>'Daily Meter'!T12</f>
        <v>10657.6</v>
      </c>
      <c r="F19" s="64">
        <f>'Daily Meter'!U12</f>
        <v>10664.2</v>
      </c>
      <c r="G19" s="80">
        <f t="shared" si="0"/>
        <v>3168.0000000001746</v>
      </c>
      <c r="H19" s="65">
        <f t="shared" si="1"/>
        <v>4128.0000000001746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9312.0000000002619</v>
      </c>
      <c r="H20" s="82">
        <f>SUM(H14:H19)</f>
        <v>12096.000000000349</v>
      </c>
      <c r="I20" s="68">
        <f>H20*0.43</f>
        <v>5201.2800000001498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65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65" thickBot="1">
      <c r="A23" s="60">
        <v>1</v>
      </c>
      <c r="B23" s="87" t="s">
        <v>17</v>
      </c>
      <c r="C23" s="2" t="s">
        <v>65</v>
      </c>
      <c r="D23" s="64">
        <f>'6'!F23</f>
        <v>52635.8</v>
      </c>
      <c r="E23" s="64">
        <f>'Daily Meter'!V12</f>
        <v>52660.2</v>
      </c>
      <c r="F23" s="64">
        <f>'Daily Meter'!W12</f>
        <v>52736.5</v>
      </c>
      <c r="G23" s="80">
        <f>F23-E23</f>
        <v>76.30000000000291</v>
      </c>
      <c r="H23" s="89">
        <f>F23-D23</f>
        <v>100.69999999999709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372.58999999998923</v>
      </c>
      <c r="I24" s="92">
        <f>H24*2.18</f>
        <v>812.24619999997662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4321.9680000012413</v>
      </c>
      <c r="G29" s="48">
        <f>I9</f>
        <v>2722.8398400007823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56312.063999999998</v>
      </c>
      <c r="G30" s="48">
        <f>I12</f>
        <v>3378.7238399999997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12096.000000000349</v>
      </c>
      <c r="G31" s="48">
        <f>I20</f>
        <v>5201.2800000001498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100.69999999999709</v>
      </c>
      <c r="G32" s="48">
        <f>I24</f>
        <v>812.24619999997662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12115.089880000907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3A615E-7079-482E-861F-0C6BDF816BD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8</v>
      </c>
      <c r="D4" s="52"/>
      <c r="E4" s="105"/>
      <c r="F4" s="105"/>
      <c r="G4" s="105"/>
      <c r="H4" s="52"/>
      <c r="I4" s="52"/>
    </row>
    <row r="5" spans="1:10" ht="30" customHeight="1">
      <c r="A5" s="57" t="s">
        <v>1</v>
      </c>
      <c r="B5" s="53" t="s">
        <v>2</v>
      </c>
      <c r="C5" s="54"/>
      <c r="D5" s="103" t="s">
        <v>33</v>
      </c>
      <c r="E5" s="55" t="s">
        <v>67</v>
      </c>
      <c r="F5" s="55" t="s">
        <v>36</v>
      </c>
      <c r="G5" s="56" t="s">
        <v>68</v>
      </c>
      <c r="H5" s="104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2"/>
      <c r="F6" s="292"/>
      <c r="G6" s="292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'7'!F8</f>
        <v>36716.9</v>
      </c>
      <c r="E8" s="64">
        <f>'Daily Meter'!B13</f>
        <v>36730.300000000003</v>
      </c>
      <c r="F8" s="64">
        <f>'Daily Meter'!C13</f>
        <v>36739.9</v>
      </c>
      <c r="G8" s="65">
        <f>F8-E8</f>
        <v>9.5999999999985448</v>
      </c>
      <c r="H8" s="65">
        <f>F8-D8</f>
        <v>23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2729.6639999995859</v>
      </c>
      <c r="H9" s="65">
        <f>H8*284.34</f>
        <v>6539.82</v>
      </c>
      <c r="I9" s="68">
        <f>H9*0.63</f>
        <v>4120.0865999999996</v>
      </c>
    </row>
    <row r="10" spans="1:10" ht="14.65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65" thickBot="1">
      <c r="A11" s="95"/>
      <c r="B11" s="70" t="s">
        <v>10</v>
      </c>
      <c r="C11" s="2" t="s">
        <v>65</v>
      </c>
      <c r="D11" s="64">
        <f>'7'!F11</f>
        <v>124798</v>
      </c>
      <c r="E11" s="64">
        <f>'Daily Meter'!D13</f>
        <v>124957</v>
      </c>
      <c r="F11" s="64">
        <f>'Daily Meter'!E13</f>
        <v>125026</v>
      </c>
      <c r="G11" s="65">
        <f>F11-E11</f>
        <v>69</v>
      </c>
      <c r="H11" s="65">
        <f>F11-D11</f>
        <v>228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15177.860999999999</v>
      </c>
      <c r="H12" s="76">
        <f>H11*219.969</f>
        <v>50152.932000000001</v>
      </c>
      <c r="I12" s="96">
        <f>H12*0.06</f>
        <v>3009.1759200000001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'7'!F14</f>
        <v>4281</v>
      </c>
      <c r="E14" s="64">
        <f>'Daily Meter'!J13</f>
        <v>4285.1000000000004</v>
      </c>
      <c r="F14" s="64">
        <f>'Daily Meter'!K13</f>
        <v>4287.7</v>
      </c>
      <c r="G14" s="80">
        <f t="shared" ref="G14:G19" si="0">(F14-E14)*480</f>
        <v>1247.9999999997381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'7'!F15</f>
        <v>2570.8000000000002</v>
      </c>
      <c r="E15" s="64">
        <f>'Daily Meter'!L13</f>
        <v>2573</v>
      </c>
      <c r="F15" s="64">
        <f>'Daily Meter'!M13</f>
        <v>2574.8000000000002</v>
      </c>
      <c r="G15" s="80">
        <f t="shared" si="0"/>
        <v>864.00000000008731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'7'!F16</f>
        <v>2760.3</v>
      </c>
      <c r="E16" s="64">
        <f>'Daily Meter'!N13</f>
        <v>2763.4</v>
      </c>
      <c r="F16" s="64">
        <f>'Daily Meter'!O13</f>
        <v>2765.1</v>
      </c>
      <c r="G16" s="80">
        <f t="shared" si="0"/>
        <v>815.99999999991269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'7'!F17</f>
        <v>1386.2</v>
      </c>
      <c r="E17" s="64">
        <f>'Daily Meter'!P13</f>
        <v>1387.9</v>
      </c>
      <c r="F17" s="64">
        <f>'Daily Meter'!Q13</f>
        <v>1388.9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'7'!F18</f>
        <v>4035.5</v>
      </c>
      <c r="E18" s="64">
        <f>'Daily Meter'!R13</f>
        <v>4038.4</v>
      </c>
      <c r="F18" s="64">
        <f>'Daily Meter'!S13</f>
        <v>4040.3</v>
      </c>
      <c r="G18" s="80">
        <f t="shared" si="0"/>
        <v>912.00000000004366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'7'!F19</f>
        <v>10664.2</v>
      </c>
      <c r="E19" s="64">
        <f>'Daily Meter'!T13</f>
        <v>10671.5</v>
      </c>
      <c r="F19" s="64">
        <f>'Daily Meter'!U13</f>
        <v>10676.1</v>
      </c>
      <c r="G19" s="80">
        <f t="shared" si="0"/>
        <v>2208.0000000001746</v>
      </c>
      <c r="H19" s="65">
        <f t="shared" si="1"/>
        <v>5711.9999999998254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6527.9999999999563</v>
      </c>
      <c r="H20" s="82">
        <f>SUM(H14:H19)</f>
        <v>16751.999999999716</v>
      </c>
      <c r="I20" s="68">
        <f>H20*0.43</f>
        <v>7203.3599999998778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65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65" thickBot="1">
      <c r="A23" s="60">
        <v>1</v>
      </c>
      <c r="B23" s="87" t="s">
        <v>17</v>
      </c>
      <c r="C23" s="2" t="s">
        <v>65</v>
      </c>
      <c r="D23" s="64">
        <f>'7'!F23</f>
        <v>52736.5</v>
      </c>
      <c r="E23" s="64">
        <f>'Daily Meter'!V13</f>
        <v>52814.8</v>
      </c>
      <c r="F23" s="64">
        <f>'Daily Meter'!W13</f>
        <v>52873.7</v>
      </c>
      <c r="G23" s="80">
        <f>F23-E23</f>
        <v>58.899999999994179</v>
      </c>
      <c r="H23" s="89">
        <f>F23-D23</f>
        <v>137.19999999999709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507.63999999998924</v>
      </c>
      <c r="I24" s="92">
        <f>H24*2.18</f>
        <v>1106.6551999999767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6539.82</v>
      </c>
      <c r="G29" s="48">
        <f>I9</f>
        <v>4120.0865999999996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50152.932000000001</v>
      </c>
      <c r="G30" s="48">
        <f>I12</f>
        <v>3009.1759200000001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16751.999999999716</v>
      </c>
      <c r="G31" s="48">
        <f>I20</f>
        <v>7203.3599999998778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137.19999999999709</v>
      </c>
      <c r="G32" s="48">
        <f>I24</f>
        <v>1106.6551999999767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68">
        <f>SUM(G29:G32)</f>
        <v>15439.277719999855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2ACCE1-2FDF-4806-97AE-11E7681C0DA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2"/>
      <c r="E6" s="292"/>
      <c r="F6" s="292"/>
      <c r="G6" s="292"/>
      <c r="H6" s="106"/>
      <c r="I6" s="106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'8'!F8</f>
        <v>36739.9</v>
      </c>
      <c r="E8" s="64">
        <f>'Daily Meter'!B14</f>
        <v>36753</v>
      </c>
      <c r="F8" s="64">
        <f>'Daily Meter'!C14</f>
        <v>36760.699999999997</v>
      </c>
      <c r="G8" s="65">
        <f>F8-E8</f>
        <v>7.6999999999970896</v>
      </c>
      <c r="H8" s="65">
        <f>F8-D8</f>
        <v>20.799999999995634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2189.4179999991725</v>
      </c>
      <c r="H9" s="65">
        <f>H8*284.34</f>
        <v>5914.2719999987585</v>
      </c>
      <c r="I9" s="68">
        <f>H9*0.63</f>
        <v>3725.9913599992178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'8'!F11</f>
        <v>125026</v>
      </c>
      <c r="E11" s="64">
        <f>'Daily Meter'!D14</f>
        <v>125304</v>
      </c>
      <c r="F11" s="64">
        <f>'Daily Meter'!E14</f>
        <v>125385</v>
      </c>
      <c r="G11" s="65">
        <f>F11-E11</f>
        <v>81</v>
      </c>
      <c r="H11" s="65">
        <f>F11-D11</f>
        <v>359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17817.488999999998</v>
      </c>
      <c r="H12" s="76">
        <f>H11*219.969</f>
        <v>78968.870999999999</v>
      </c>
      <c r="I12" s="96">
        <f>H12*0.06</f>
        <v>4738.1322599999994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'8'!F14</f>
        <v>4287.7</v>
      </c>
      <c r="E14" s="64">
        <f>'Daily Meter'!J14</f>
        <v>4291.7</v>
      </c>
      <c r="F14" s="64">
        <f>'Daily Meter'!K14</f>
        <v>4294.1000000000004</v>
      </c>
      <c r="G14" s="80">
        <f t="shared" ref="G14:G19" si="0">(F14-E14)*480</f>
        <v>1152.0000000002619</v>
      </c>
      <c r="H14" s="65">
        <f t="shared" ref="H14:H19" si="1">(F14-D14)*480</f>
        <v>3072.0000000002619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'8'!F15</f>
        <v>2574.8000000000002</v>
      </c>
      <c r="E15" s="64">
        <f>'Daily Meter'!L14</f>
        <v>2577</v>
      </c>
      <c r="F15" s="64">
        <f>'Daily Meter'!M14</f>
        <v>2578.6999999999998</v>
      </c>
      <c r="G15" s="80">
        <f t="shared" si="0"/>
        <v>815.99999999991269</v>
      </c>
      <c r="H15" s="65">
        <f t="shared" si="1"/>
        <v>1871.9999999998254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'8'!F16</f>
        <v>2765.1</v>
      </c>
      <c r="E16" s="64">
        <f>'Daily Meter'!N14</f>
        <v>2768.3</v>
      </c>
      <c r="F16" s="64">
        <f>'Daily Meter'!O14</f>
        <v>2769.9</v>
      </c>
      <c r="G16" s="80">
        <f t="shared" si="0"/>
        <v>767.99999999995634</v>
      </c>
      <c r="H16" s="65">
        <f t="shared" si="1"/>
        <v>2304.0000000000873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'8'!F17</f>
        <v>1388.9</v>
      </c>
      <c r="E17" s="64">
        <f>'Daily Meter'!P14</f>
        <v>1390.6</v>
      </c>
      <c r="F17" s="64">
        <f>'Daily Meter'!Q14</f>
        <v>1391.5</v>
      </c>
      <c r="G17" s="80">
        <f t="shared" si="0"/>
        <v>432.00000000004366</v>
      </c>
      <c r="H17" s="65">
        <f t="shared" si="1"/>
        <v>1247.9999999999563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'8'!F18</f>
        <v>4040.3</v>
      </c>
      <c r="E18" s="64">
        <f>'Daily Meter'!R14</f>
        <v>4043.2</v>
      </c>
      <c r="F18" s="64">
        <f>'Daily Meter'!S14</f>
        <v>4044.9</v>
      </c>
      <c r="G18" s="80">
        <f t="shared" si="0"/>
        <v>816.00000000013097</v>
      </c>
      <c r="H18" s="65">
        <f t="shared" si="1"/>
        <v>2207.9999999999563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'8'!F19</f>
        <v>10676.1</v>
      </c>
      <c r="E19" s="64">
        <f>'Daily Meter'!T14</f>
        <v>10683.2</v>
      </c>
      <c r="F19" s="64">
        <f>'Daily Meter'!U14</f>
        <v>10687.6</v>
      </c>
      <c r="G19" s="80">
        <f t="shared" si="0"/>
        <v>2111.9999999998254</v>
      </c>
      <c r="H19" s="65">
        <f t="shared" si="1"/>
        <v>5520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6096.000000000131</v>
      </c>
      <c r="H20" s="82">
        <f>SUM(H14:H19)</f>
        <v>16224.000000000087</v>
      </c>
      <c r="I20" s="68">
        <f>H20*0.43</f>
        <v>6976.320000000037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'8'!F23</f>
        <v>52873.7</v>
      </c>
      <c r="E23" s="64">
        <f>'Daily Meter'!V14</f>
        <v>52951.8</v>
      </c>
      <c r="F23" s="64">
        <f>'Daily Meter'!W14</f>
        <v>53009.3</v>
      </c>
      <c r="G23" s="80">
        <f>F23-E23</f>
        <v>57.5</v>
      </c>
      <c r="H23" s="89">
        <f>F23-D23</f>
        <v>135.60000000000582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501.72000000002157</v>
      </c>
      <c r="I24" s="92">
        <f>H24*2.18</f>
        <v>1093.7496000000472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5914.2719999987585</v>
      </c>
      <c r="G29" s="48">
        <f>I9</f>
        <v>3725.9913599992178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78968.870999999999</v>
      </c>
      <c r="G30" s="48">
        <f>I12</f>
        <v>4738.1322599999994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16224.000000000087</v>
      </c>
      <c r="G31" s="48">
        <f>I20</f>
        <v>6976.320000000037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135.60000000000582</v>
      </c>
      <c r="G32" s="48">
        <f>I24</f>
        <v>1093.7496000000472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16534.193219999299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C97A040-D5F4-4FB6-AFC9-C2FCB2E70DAD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8" thickBot="1">
      <c r="A4" s="52"/>
      <c r="B4" s="51" t="s">
        <v>62</v>
      </c>
      <c r="C4" s="52">
        <v>10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 t="str">
        <f>'1'!B4</f>
        <v>FEBRUARY 2023</v>
      </c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'9'!F8</f>
        <v>36760.699999999997</v>
      </c>
      <c r="E8" s="64">
        <f>'Daily Meter'!B15</f>
        <v>36772.199999999997</v>
      </c>
      <c r="F8" s="64">
        <f>'Daily Meter'!C15</f>
        <v>36779.9</v>
      </c>
      <c r="G8" s="65">
        <f>F8-E8</f>
        <v>7.7000000000043656</v>
      </c>
      <c r="H8" s="65">
        <f>F8-D8</f>
        <v>19.200000000004366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2189.4180000012411</v>
      </c>
      <c r="H9" s="65">
        <f>H8*284.34</f>
        <v>5459.328000001241</v>
      </c>
      <c r="I9" s="68">
        <f>H9*0.63</f>
        <v>3439.3766400007817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'9'!F11</f>
        <v>125385</v>
      </c>
      <c r="E11" s="64">
        <f>'Daily Meter'!D15</f>
        <v>125680</v>
      </c>
      <c r="F11" s="64">
        <f>'Daily Meter'!E15</f>
        <v>125743</v>
      </c>
      <c r="G11" s="65">
        <f>F11-E11</f>
        <v>63</v>
      </c>
      <c r="H11" s="65">
        <f>F11-D11</f>
        <v>358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78748.902000000002</v>
      </c>
      <c r="I12" s="96">
        <f>H12*0.06</f>
        <v>4724.9341199999999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'9'!F14</f>
        <v>4294.1000000000004</v>
      </c>
      <c r="E14" s="64">
        <f>'Daily Meter'!J15</f>
        <v>4298.6000000000004</v>
      </c>
      <c r="F14" s="64">
        <f>'Daily Meter'!K15</f>
        <v>4301.3999999999996</v>
      </c>
      <c r="G14" s="80">
        <f t="shared" ref="G14:G19" si="0">(F14-E14)*480</f>
        <v>1343.9999999996508</v>
      </c>
      <c r="H14" s="65">
        <f t="shared" ref="H14:H19" si="1">(F14-D14)*480</f>
        <v>3503.9999999996508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'9'!F15</f>
        <v>2578.6999999999998</v>
      </c>
      <c r="E15" s="64">
        <f>'Daily Meter'!L15</f>
        <v>2581</v>
      </c>
      <c r="F15" s="64">
        <f>'Daily Meter'!M15</f>
        <v>2582.8000000000002</v>
      </c>
      <c r="G15" s="80">
        <f t="shared" si="0"/>
        <v>864.00000000008731</v>
      </c>
      <c r="H15" s="65">
        <f t="shared" si="1"/>
        <v>1968.0000000001746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'9'!F16</f>
        <v>2769.9</v>
      </c>
      <c r="E16" s="64">
        <f>'Daily Meter'!N15</f>
        <v>2773.6</v>
      </c>
      <c r="F16" s="64">
        <f>'Daily Meter'!O15</f>
        <v>2775.7</v>
      </c>
      <c r="G16" s="80">
        <f t="shared" si="0"/>
        <v>1007.9999999999563</v>
      </c>
      <c r="H16" s="65">
        <f t="shared" si="1"/>
        <v>2783.999999999869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'9'!F17</f>
        <v>1391.5</v>
      </c>
      <c r="E17" s="64">
        <f>'Daily Meter'!P15</f>
        <v>1393.3</v>
      </c>
      <c r="F17" s="64">
        <f>'Daily Meter'!Q15</f>
        <v>1394.3</v>
      </c>
      <c r="G17" s="80">
        <f t="shared" si="0"/>
        <v>480</v>
      </c>
      <c r="H17" s="65">
        <f t="shared" si="1"/>
        <v>1343.9999999999782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'9'!F18</f>
        <v>4044.9</v>
      </c>
      <c r="E18" s="64">
        <f>'Daily Meter'!R15</f>
        <v>4048</v>
      </c>
      <c r="F18" s="64">
        <f>'Daily Meter'!S15</f>
        <v>4049.9</v>
      </c>
      <c r="G18" s="80">
        <f t="shared" si="0"/>
        <v>912.00000000004366</v>
      </c>
      <c r="H18" s="65">
        <f t="shared" si="1"/>
        <v>2400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'9'!F19</f>
        <v>10687.6</v>
      </c>
      <c r="E19" s="64">
        <f>'Daily Meter'!T15</f>
        <v>10694.9</v>
      </c>
      <c r="F19" s="64">
        <f>'Daily Meter'!U15</f>
        <v>10699.6</v>
      </c>
      <c r="G19" s="80">
        <f t="shared" si="0"/>
        <v>2256.0000000003492</v>
      </c>
      <c r="H19" s="65">
        <f t="shared" si="1"/>
        <v>5760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6864.0000000000873</v>
      </c>
      <c r="H20" s="82">
        <f>SUM(H14:H19)</f>
        <v>17759.999999999673</v>
      </c>
      <c r="I20" s="68">
        <f>H20*0.43</f>
        <v>7636.7999999998592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'9'!F23</f>
        <v>53009.3</v>
      </c>
      <c r="E23" s="64">
        <f>'Daily Meter'!V15</f>
        <v>53090.8</v>
      </c>
      <c r="F23" s="64">
        <f>'Daily Meter'!W15</f>
        <v>53154.1</v>
      </c>
      <c r="G23" s="80">
        <f>F23-E23</f>
        <v>63.299999999995634</v>
      </c>
      <c r="H23" s="89">
        <f>F23-D23</f>
        <v>144.79999999999563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535.75999999998385</v>
      </c>
      <c r="I24" s="92">
        <f>H24*2.18</f>
        <v>1167.9567999999649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5459.328000001241</v>
      </c>
      <c r="G29" s="48">
        <f>I9</f>
        <v>3439.3766400007817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78748.902000000002</v>
      </c>
      <c r="G30" s="48">
        <f>I12</f>
        <v>4724.9341199999999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17759.999999999673</v>
      </c>
      <c r="G31" s="48">
        <f>I20</f>
        <v>7636.7999999998592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144.79999999999563</v>
      </c>
      <c r="G32" s="48">
        <f>I24</f>
        <v>1167.9567999999649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16969.067560000603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17FD67E-746E-4247-B237-AEFF54ED45F0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14.265625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1" ht="15" customHeight="1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K1" s="185" t="s">
        <v>105</v>
      </c>
    </row>
    <row r="2" spans="1:11" ht="15.75" customHeight="1">
      <c r="A2" s="276"/>
      <c r="B2" s="276"/>
      <c r="C2" s="276"/>
      <c r="D2" s="276"/>
      <c r="E2" s="276"/>
      <c r="F2" s="276"/>
      <c r="G2" s="276"/>
      <c r="H2" s="276"/>
      <c r="I2" s="276"/>
    </row>
    <row r="3" spans="1:11" ht="17.649999999999999">
      <c r="A3" s="277" t="s">
        <v>34</v>
      </c>
      <c r="B3" s="277"/>
      <c r="C3" s="277"/>
      <c r="D3" s="277"/>
      <c r="E3" s="277"/>
      <c r="F3" s="277"/>
      <c r="G3" s="277"/>
      <c r="H3" s="277"/>
      <c r="I3" s="277"/>
    </row>
    <row r="4" spans="1:11" s="36" customFormat="1" ht="17.649999999999999">
      <c r="A4" s="52"/>
      <c r="B4" s="51" t="str">
        <f>'1'!B4</f>
        <v>FEBRUARY 2023</v>
      </c>
      <c r="C4" s="52">
        <v>11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292"/>
      <c r="E6" s="292"/>
      <c r="F6" s="292"/>
      <c r="G6" s="292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'10'!F8</f>
        <v>36779.9</v>
      </c>
      <c r="E8" s="64">
        <f>'Daily Meter'!B16</f>
        <v>36790.5</v>
      </c>
      <c r="F8" s="64">
        <f>'Daily Meter'!C16</f>
        <v>36799.1</v>
      </c>
      <c r="G8" s="65">
        <f>F8-E8</f>
        <v>8.5999999999985448</v>
      </c>
      <c r="H8" s="65">
        <f>F8-D8</f>
        <v>19.19999999999709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2445.3239999995858</v>
      </c>
      <c r="H9" s="65">
        <f>H8*284.34</f>
        <v>5459.3279999991719</v>
      </c>
      <c r="I9" s="68">
        <f>H9*0.63</f>
        <v>3439.3766399994784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'10'!F11</f>
        <v>125743</v>
      </c>
      <c r="E11" s="64">
        <f>'Daily Meter'!D16</f>
        <v>125890</v>
      </c>
      <c r="F11" s="64">
        <f>'Daily Meter'!E16</f>
        <v>125953</v>
      </c>
      <c r="G11" s="65">
        <f>F11-E11</f>
        <v>63</v>
      </c>
      <c r="H11" s="65">
        <f>F11-D11</f>
        <v>210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46193.49</v>
      </c>
      <c r="I12" s="96">
        <f>H12*0.06</f>
        <v>2771.6093999999998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'10'!F14</f>
        <v>4301.3999999999996</v>
      </c>
      <c r="E14" s="64">
        <f>'Daily Meter'!J16</f>
        <v>4305.6000000000004</v>
      </c>
      <c r="F14" s="64">
        <f>'Daily Meter'!K16</f>
        <v>4308.8</v>
      </c>
      <c r="G14" s="80">
        <f t="shared" ref="G14:G19" si="0">(F14-E14)*480</f>
        <v>1535.9999999999127</v>
      </c>
      <c r="H14" s="65">
        <f t="shared" ref="H14:H19" si="1">(F14-D14)*480</f>
        <v>3552.0000000002619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'10'!F15</f>
        <v>2582.8000000000002</v>
      </c>
      <c r="E15" s="64">
        <f>'Daily Meter'!L16</f>
        <v>2585.1</v>
      </c>
      <c r="F15" s="64">
        <f>'Daily Meter'!M16</f>
        <v>2587.1</v>
      </c>
      <c r="G15" s="80">
        <f t="shared" si="0"/>
        <v>960</v>
      </c>
      <c r="H15" s="65">
        <f t="shared" si="1"/>
        <v>2063.999999999869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'10'!F16</f>
        <v>2775.7</v>
      </c>
      <c r="E16" s="64">
        <f>'Daily Meter'!N16</f>
        <v>2779.2</v>
      </c>
      <c r="F16" s="64">
        <f>'Daily Meter'!O16</f>
        <v>2781.2</v>
      </c>
      <c r="G16" s="80">
        <f t="shared" si="0"/>
        <v>960</v>
      </c>
      <c r="H16" s="65">
        <f t="shared" si="1"/>
        <v>2640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'10'!F17</f>
        <v>1394.3</v>
      </c>
      <c r="E17" s="64">
        <f>'Daily Meter'!P16</f>
        <v>1396.3</v>
      </c>
      <c r="F17" s="64">
        <f>'Daily Meter'!Q16</f>
        <v>1397.5</v>
      </c>
      <c r="G17" s="80">
        <f t="shared" si="0"/>
        <v>576.00000000002183</v>
      </c>
      <c r="H17" s="65">
        <f t="shared" si="1"/>
        <v>1536.0000000000218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'10'!F18</f>
        <v>4049.9</v>
      </c>
      <c r="E18" s="64">
        <f>'Daily Meter'!R16</f>
        <v>4052.8</v>
      </c>
      <c r="F18" s="64">
        <f>'Daily Meter'!S16</f>
        <v>4055.1</v>
      </c>
      <c r="G18" s="80">
        <f t="shared" si="0"/>
        <v>1103.999999999869</v>
      </c>
      <c r="H18" s="65">
        <f t="shared" si="1"/>
        <v>2495.9999999999127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'10'!F19</f>
        <v>10699.6</v>
      </c>
      <c r="E19" s="64">
        <f>'Daily Meter'!T16</f>
        <v>10706.6</v>
      </c>
      <c r="F19" s="64">
        <f>'Daily Meter'!U16</f>
        <v>10711.7</v>
      </c>
      <c r="G19" s="80">
        <f t="shared" si="0"/>
        <v>2448.0000000001746</v>
      </c>
      <c r="H19" s="65">
        <f t="shared" si="1"/>
        <v>5808.0000000001746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7583.9999999999782</v>
      </c>
      <c r="H20" s="82">
        <f>SUM(H14:H19)</f>
        <v>18096.00000000024</v>
      </c>
      <c r="I20" s="68">
        <f>H20*0.43</f>
        <v>7781.2800000001034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'10'!F23</f>
        <v>53154.1</v>
      </c>
      <c r="E23" s="64">
        <f>'Daily Meter'!V16</f>
        <v>53234.7</v>
      </c>
      <c r="F23" s="64">
        <f>'Daily Meter'!W16</f>
        <v>53298.2</v>
      </c>
      <c r="G23" s="80">
        <f>F23-E23</f>
        <v>63.5</v>
      </c>
      <c r="H23" s="89">
        <f>F23-D23</f>
        <v>144.09999999999854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533.16999999999462</v>
      </c>
      <c r="I24" s="92">
        <f>H24*2.18</f>
        <v>1162.3105999999884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5459.3279999991719</v>
      </c>
      <c r="G29" s="48">
        <f>I9</f>
        <v>3439.3766399994784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46193.49</v>
      </c>
      <c r="G30" s="48">
        <f>I12</f>
        <v>2771.6093999999998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18096.00000000024</v>
      </c>
      <c r="G31" s="48">
        <f>I20</f>
        <v>7781.2800000001034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144.09999999999854</v>
      </c>
      <c r="G32" s="48">
        <f>I24</f>
        <v>1162.3105999999884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15154.576639999568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3444FA31-0D34-4750-B8A7-2C717642B99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1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K1" s="185" t="s">
        <v>105</v>
      </c>
    </row>
    <row r="2" spans="1:11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1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1" s="36" customFormat="1" ht="17.649999999999999">
      <c r="A4" s="52"/>
      <c r="B4" s="51" t="str">
        <f>'1'!B4</f>
        <v>FEBRUARY 2023</v>
      </c>
      <c r="C4" s="52">
        <v>12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292"/>
      <c r="E6" s="292"/>
      <c r="F6" s="292"/>
      <c r="G6" s="292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'11'!F8</f>
        <v>36799.1</v>
      </c>
      <c r="E8" s="64">
        <f>'Daily Meter'!B17</f>
        <v>36808.699999999997</v>
      </c>
      <c r="F8" s="64">
        <f>'Daily Meter'!C17</f>
        <v>36816.800000000003</v>
      </c>
      <c r="G8" s="65">
        <f>F8-E8</f>
        <v>8.1000000000058208</v>
      </c>
      <c r="H8" s="65">
        <f>F8-D8</f>
        <v>17.700000000004366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2303.1540000016548</v>
      </c>
      <c r="H9" s="65">
        <f>H8*284.34</f>
        <v>5032.8180000012408</v>
      </c>
      <c r="I9" s="68">
        <f>H9*0.63</f>
        <v>3170.6753400007815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'11'!F11</f>
        <v>125953</v>
      </c>
      <c r="E11" s="64">
        <f>'Daily Meter'!D17</f>
        <v>126261</v>
      </c>
      <c r="F11" s="64">
        <f>'Daily Meter'!E17</f>
        <v>126269</v>
      </c>
      <c r="G11" s="65">
        <f>F11-E11</f>
        <v>8</v>
      </c>
      <c r="H11" s="65">
        <f>F11-D11</f>
        <v>316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1759.752</v>
      </c>
      <c r="H12" s="76">
        <f>H11*219.969</f>
        <v>69510.203999999998</v>
      </c>
      <c r="I12" s="96">
        <f>H12*0.06</f>
        <v>4170.6122399999995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'11'!F14</f>
        <v>4308.8</v>
      </c>
      <c r="E14" s="64">
        <f>'Daily Meter'!J17</f>
        <v>4312.3</v>
      </c>
      <c r="F14" s="64">
        <f>'Daily Meter'!K17</f>
        <v>4315.2</v>
      </c>
      <c r="G14" s="80">
        <f t="shared" ref="G14:G19" si="0">(F14-E14)*480</f>
        <v>1391.9999999998254</v>
      </c>
      <c r="H14" s="65">
        <f t="shared" ref="H14:H19" si="1">(F14-D14)*480</f>
        <v>3071.9999999998254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'11'!F15</f>
        <v>2587.1</v>
      </c>
      <c r="E15" s="64">
        <f>'Daily Meter'!L17</f>
        <v>2589</v>
      </c>
      <c r="F15" s="64">
        <f>'Daily Meter'!M17</f>
        <v>2590.8000000000002</v>
      </c>
      <c r="G15" s="80">
        <f t="shared" si="0"/>
        <v>864.00000000008731</v>
      </c>
      <c r="H15" s="65">
        <f t="shared" si="1"/>
        <v>1776.000000000131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'11'!F16</f>
        <v>2781.2</v>
      </c>
      <c r="E16" s="64">
        <f>'Daily Meter'!N17</f>
        <v>2784.1</v>
      </c>
      <c r="F16" s="64">
        <f>'Daily Meter'!O17</f>
        <v>2785.9</v>
      </c>
      <c r="G16" s="80">
        <f t="shared" si="0"/>
        <v>864.00000000008731</v>
      </c>
      <c r="H16" s="65">
        <f t="shared" si="1"/>
        <v>2256.000000000131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'11'!F17</f>
        <v>1397.5</v>
      </c>
      <c r="E17" s="64">
        <f>'Daily Meter'!P17</f>
        <v>1399.2</v>
      </c>
      <c r="F17" s="64">
        <f>'Daily Meter'!Q17</f>
        <v>1400.2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'11'!F18</f>
        <v>4055.1</v>
      </c>
      <c r="E18" s="64">
        <f>'Daily Meter'!R17</f>
        <v>4057.7</v>
      </c>
      <c r="F18" s="64">
        <f>'Daily Meter'!S17</f>
        <v>4059.8</v>
      </c>
      <c r="G18" s="80">
        <f t="shared" si="0"/>
        <v>1008.0000000001746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'11'!F19</f>
        <v>10711.7</v>
      </c>
      <c r="E19" s="64">
        <f>'Daily Meter'!T17</f>
        <v>10717.9</v>
      </c>
      <c r="F19" s="64">
        <f>'Daily Meter'!U17</f>
        <v>10723</v>
      </c>
      <c r="G19" s="80">
        <f t="shared" si="0"/>
        <v>2448.0000000001746</v>
      </c>
      <c r="H19" s="65">
        <f t="shared" si="1"/>
        <v>5423.9999999996508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7056.0000000003492</v>
      </c>
      <c r="H20" s="82">
        <f>SUM(H14:H19)</f>
        <v>16079.999999999891</v>
      </c>
      <c r="I20" s="68">
        <f>H20*0.43</f>
        <v>6914.3999999999533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'11'!F23</f>
        <v>53298.2</v>
      </c>
      <c r="E23" s="64">
        <f>'Daily Meter'!V17</f>
        <v>53365.7</v>
      </c>
      <c r="F23" s="64">
        <f>'Daily Meter'!W17</f>
        <v>53418.5</v>
      </c>
      <c r="G23" s="80">
        <f>F23-E23</f>
        <v>52.80000000000291</v>
      </c>
      <c r="H23" s="89">
        <f>F23-D23</f>
        <v>120.30000000000291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445.11000000001081</v>
      </c>
      <c r="I24" s="92">
        <f>H24*2.18</f>
        <v>970.33980000002362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5032.8180000012408</v>
      </c>
      <c r="G29" s="48">
        <f>I9</f>
        <v>3170.6753400007815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69510.203999999998</v>
      </c>
      <c r="G30" s="48">
        <f>I12</f>
        <v>4170.6122399999995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16079.999999999891</v>
      </c>
      <c r="G31" s="48">
        <f>I20</f>
        <v>6914.3999999999533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120.30000000000291</v>
      </c>
      <c r="G32" s="48">
        <f>I24</f>
        <v>970.33980000002362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15226.027380000756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E1B09D7D-F550-44FD-84F9-884BAA6B156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1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K1" s="185" t="s">
        <v>105</v>
      </c>
    </row>
    <row r="2" spans="1:11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1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1" s="36" customFormat="1" ht="18" thickBot="1">
      <c r="A4" s="52"/>
      <c r="B4" s="51" t="str">
        <f>'1'!B4</f>
        <v>FEBRUARY 2023</v>
      </c>
      <c r="C4" s="52">
        <v>13</v>
      </c>
      <c r="D4" s="52"/>
      <c r="E4" s="52"/>
      <c r="F4" s="52"/>
      <c r="G4" s="52"/>
      <c r="H4" s="52"/>
      <c r="I4" s="52"/>
    </row>
    <row r="5" spans="1:11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'12'!F8</f>
        <v>36816.800000000003</v>
      </c>
      <c r="E8" s="64">
        <f>'Daily Meter'!B18</f>
        <v>36828.300000000003</v>
      </c>
      <c r="F8" s="64">
        <f>'Daily Meter'!C18</f>
        <v>36840.6</v>
      </c>
      <c r="G8" s="65">
        <f>F8-E8</f>
        <v>12.299999999995634</v>
      </c>
      <c r="H8" s="65">
        <f>F8-D8</f>
        <v>23.799999999995634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3497.3819999987586</v>
      </c>
      <c r="H9" s="65">
        <f>H8*284.34</f>
        <v>6767.291999998758</v>
      </c>
      <c r="I9" s="68">
        <f>H9*0.63</f>
        <v>4263.3939599992173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'12'!F11</f>
        <v>126269</v>
      </c>
      <c r="E11" s="64">
        <f>'Daily Meter'!D18</f>
        <v>126469</v>
      </c>
      <c r="F11" s="64">
        <f>'Daily Meter'!E18</f>
        <v>126501</v>
      </c>
      <c r="G11" s="65">
        <f>F11-E11</f>
        <v>32</v>
      </c>
      <c r="H11" s="65">
        <f>F11-D11</f>
        <v>232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7039.0079999999998</v>
      </c>
      <c r="H12" s="76">
        <f>H11*219.969</f>
        <v>51032.807999999997</v>
      </c>
      <c r="I12" s="96">
        <f>H12*0.06</f>
        <v>3061.9684799999995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'12'!F14</f>
        <v>4315.2</v>
      </c>
      <c r="E14" s="64">
        <f>'Daily Meter'!J18</f>
        <v>4318.8999999999996</v>
      </c>
      <c r="F14" s="64">
        <f>'Daily Meter'!K18</f>
        <v>4323.3999999999996</v>
      </c>
      <c r="G14" s="80">
        <f t="shared" ref="G14:G19" si="0">(F14-E14)*480</f>
        <v>2160</v>
      </c>
      <c r="H14" s="65">
        <f t="shared" ref="H14:H19" si="1">(F14-D14)*480</f>
        <v>3935.9999999999127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'12'!F15</f>
        <v>2590.8000000000002</v>
      </c>
      <c r="E15" s="64">
        <f>'Daily Meter'!L18</f>
        <v>2592.6999999999998</v>
      </c>
      <c r="F15" s="64">
        <f>'Daily Meter'!M18</f>
        <v>2595.4</v>
      </c>
      <c r="G15" s="80">
        <f t="shared" si="0"/>
        <v>1296.000000000131</v>
      </c>
      <c r="H15" s="65">
        <f t="shared" si="1"/>
        <v>2207.9999999999563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'12'!F16</f>
        <v>2785.9</v>
      </c>
      <c r="E16" s="64">
        <f>'Daily Meter'!N18</f>
        <v>2788.9</v>
      </c>
      <c r="F16" s="64">
        <f>'Daily Meter'!O18</f>
        <v>2791.6</v>
      </c>
      <c r="G16" s="80">
        <f t="shared" si="0"/>
        <v>1295.9999999999127</v>
      </c>
      <c r="H16" s="65">
        <f t="shared" si="1"/>
        <v>2735.9999999999127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'12'!F17</f>
        <v>1400.2</v>
      </c>
      <c r="E17" s="64">
        <f>'Daily Meter'!P18</f>
        <v>1401.8</v>
      </c>
      <c r="F17" s="64">
        <f>'Daily Meter'!Q18</f>
        <v>1403.6</v>
      </c>
      <c r="G17" s="80">
        <f t="shared" si="0"/>
        <v>863.99999999997817</v>
      </c>
      <c r="H17" s="65">
        <f t="shared" si="1"/>
        <v>1631.9999999999345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'12'!F18</f>
        <v>4059.8</v>
      </c>
      <c r="E18" s="64">
        <f>'Daily Meter'!R18</f>
        <v>4062.4</v>
      </c>
      <c r="F18" s="64">
        <f>'Daily Meter'!S18</f>
        <v>4065.5</v>
      </c>
      <c r="G18" s="80">
        <f t="shared" si="0"/>
        <v>1487.9999999999563</v>
      </c>
      <c r="H18" s="65">
        <f t="shared" si="1"/>
        <v>2735.9999999999127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'12'!F19</f>
        <v>10723</v>
      </c>
      <c r="E19" s="64">
        <f>'Daily Meter'!T18</f>
        <v>10729.6</v>
      </c>
      <c r="F19" s="64">
        <f>'Daily Meter'!U18</f>
        <v>10737.3</v>
      </c>
      <c r="G19" s="80">
        <f t="shared" si="0"/>
        <v>3695.9999999994761</v>
      </c>
      <c r="H19" s="65">
        <f t="shared" si="1"/>
        <v>6863.9999999996508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10799.999999999454</v>
      </c>
      <c r="H20" s="82">
        <f>SUM(H14:H19)</f>
        <v>20111.99999999928</v>
      </c>
      <c r="I20" s="68">
        <f>H20*0.43</f>
        <v>8648.1599999996906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'12'!F23</f>
        <v>53418.5</v>
      </c>
      <c r="E23" s="64">
        <f>'Daily Meter'!V18</f>
        <v>53488.4</v>
      </c>
      <c r="F23" s="64">
        <f>'Daily Meter'!W18</f>
        <v>53549.2</v>
      </c>
      <c r="G23" s="80">
        <f>F23-E23</f>
        <v>60.799999999995634</v>
      </c>
      <c r="H23" s="89">
        <f>F23-D23</f>
        <v>130.69999999999709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483.58999999998923</v>
      </c>
      <c r="I24" s="92">
        <f>H24*2.18</f>
        <v>1054.2261999999766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6767.291999998758</v>
      </c>
      <c r="G29" s="48">
        <f>I9</f>
        <v>4263.3939599992173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51032.807999999997</v>
      </c>
      <c r="G30" s="48">
        <f>I12</f>
        <v>3061.9684799999995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20111.99999999928</v>
      </c>
      <c r="G31" s="48">
        <f>I20</f>
        <v>8648.1599999996906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130.69999999999709</v>
      </c>
      <c r="G32" s="48">
        <f>I24</f>
        <v>1054.2261999999766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17027.748639998885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76FEDAC9-5BC8-4108-A003-88BF6BA41DB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8" thickBot="1">
      <c r="A4" s="52"/>
      <c r="B4" s="51" t="str">
        <f>'1'!B4</f>
        <v>FEBRUARY 2023</v>
      </c>
      <c r="C4" s="52">
        <v>14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'13'!F8</f>
        <v>36840.6</v>
      </c>
      <c r="E8" s="64">
        <f>'Daily Meter'!B19</f>
        <v>36848.6</v>
      </c>
      <c r="F8" s="64">
        <f>'Daily Meter'!C19</f>
        <v>36863.699999999997</v>
      </c>
      <c r="G8" s="65">
        <f>F8-E8</f>
        <v>15.099999999998545</v>
      </c>
      <c r="H8" s="65">
        <f>F8-D8</f>
        <v>23.099999999998545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4293.5339999995858</v>
      </c>
      <c r="H9" s="65">
        <f>H8*284.34</f>
        <v>6568.2539999995861</v>
      </c>
      <c r="I9" s="68">
        <f>H9*0.63</f>
        <v>4138.0000199997394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'13'!F11</f>
        <v>126501</v>
      </c>
      <c r="E11" s="64">
        <f>'Daily Meter'!D19</f>
        <v>126810</v>
      </c>
      <c r="F11" s="64">
        <f>'Daily Meter'!E19</f>
        <v>126813</v>
      </c>
      <c r="G11" s="65">
        <f>F11-E11</f>
        <v>3</v>
      </c>
      <c r="H11" s="65">
        <f>F11-D11</f>
        <v>312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68630.327999999994</v>
      </c>
      <c r="I12" s="96">
        <f>H12*0.06</f>
        <v>4117.8196799999996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'13'!F14</f>
        <v>4323.3999999999996</v>
      </c>
      <c r="E14" s="64">
        <f>'Daily Meter'!J19</f>
        <v>4325.5</v>
      </c>
      <c r="F14" s="64">
        <f>'Daily Meter'!K19</f>
        <v>4328.3</v>
      </c>
      <c r="G14" s="80">
        <f t="shared" ref="G14:G19" si="0">(F14-E14)*480</f>
        <v>1344.0000000000873</v>
      </c>
      <c r="H14" s="65">
        <f t="shared" ref="H14:H19" si="1">(F14-D14)*480</f>
        <v>2352.0000000002619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'13'!F15</f>
        <v>2595.4</v>
      </c>
      <c r="E15" s="64">
        <f>'Daily Meter'!L19</f>
        <v>2596.4</v>
      </c>
      <c r="F15" s="64">
        <f>'Daily Meter'!M19</f>
        <v>2598.1999999999998</v>
      </c>
      <c r="G15" s="80">
        <f t="shared" si="0"/>
        <v>863.99999999986903</v>
      </c>
      <c r="H15" s="65">
        <f t="shared" si="1"/>
        <v>1343.999999999869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'13'!F16</f>
        <v>2791.6</v>
      </c>
      <c r="E16" s="64">
        <f>'Daily Meter'!N19</f>
        <v>2793.5</v>
      </c>
      <c r="F16" s="64">
        <f>'Daily Meter'!O19</f>
        <v>2795.3</v>
      </c>
      <c r="G16" s="80">
        <f t="shared" si="0"/>
        <v>864.00000000008731</v>
      </c>
      <c r="H16" s="65">
        <f t="shared" si="1"/>
        <v>1776.000000000131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'13'!F17</f>
        <v>1403.6</v>
      </c>
      <c r="E17" s="64">
        <f>'Daily Meter'!P19</f>
        <v>1404.6</v>
      </c>
      <c r="F17" s="64">
        <f>'Daily Meter'!Q19</f>
        <v>1405.7</v>
      </c>
      <c r="G17" s="80">
        <f t="shared" si="0"/>
        <v>528.00000000006548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'13'!F18</f>
        <v>4065.5</v>
      </c>
      <c r="E18" s="64">
        <f>'Daily Meter'!R19</f>
        <v>4067.2</v>
      </c>
      <c r="F18" s="64">
        <f>'Daily Meter'!S19</f>
        <v>4069.2</v>
      </c>
      <c r="G18" s="80">
        <f t="shared" si="0"/>
        <v>960</v>
      </c>
      <c r="H18" s="65">
        <f t="shared" si="1"/>
        <v>1775.9999999999127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'13'!F19</f>
        <v>10737.3</v>
      </c>
      <c r="E19" s="64">
        <f>'Daily Meter'!T19</f>
        <v>10741.9</v>
      </c>
      <c r="F19" s="64">
        <f>'Daily Meter'!U19</f>
        <v>10747.2</v>
      </c>
      <c r="G19" s="80">
        <f t="shared" si="0"/>
        <v>2544.0000000005239</v>
      </c>
      <c r="H19" s="65">
        <f t="shared" si="1"/>
        <v>4752.0000000006985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7104.000000000633</v>
      </c>
      <c r="H20" s="82">
        <f>SUM(H14:H19)</f>
        <v>13008.000000000939</v>
      </c>
      <c r="I20" s="68">
        <f>H20*0.43</f>
        <v>5593.4400000004034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'13'!F23</f>
        <v>53549.2</v>
      </c>
      <c r="E23" s="64">
        <f>'Daily Meter'!V19</f>
        <v>53596.1</v>
      </c>
      <c r="F23" s="64">
        <f>'Daily Meter'!W19</f>
        <v>53676.1</v>
      </c>
      <c r="G23" s="80">
        <f>F23-E23</f>
        <v>80</v>
      </c>
      <c r="H23" s="89">
        <f>F23-D23</f>
        <v>126.90000000000146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469.53000000000543</v>
      </c>
      <c r="I24" s="92">
        <f>H24*2.18</f>
        <v>1023.5754000000119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6568.2539999995861</v>
      </c>
      <c r="G29" s="48">
        <f>I9</f>
        <v>4138.0000199997394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68630.327999999994</v>
      </c>
      <c r="G30" s="48">
        <f>I12</f>
        <v>4117.8196799999996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13008.000000000939</v>
      </c>
      <c r="G31" s="48">
        <f>I20</f>
        <v>5593.4400000004034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126.90000000000146</v>
      </c>
      <c r="G32" s="48">
        <f>I24</f>
        <v>1023.5754000000119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14872.835100000153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1126DA32-2314-43D3-80F3-F8C3C8BC155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15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'14'!F8</f>
        <v>36863.699999999997</v>
      </c>
      <c r="E8" s="64">
        <f>'Daily Meter'!B20</f>
        <v>36872.1</v>
      </c>
      <c r="F8" s="64">
        <f>'Daily Meter'!C20</f>
        <v>36889.199999999997</v>
      </c>
      <c r="G8" s="65">
        <f>F8-E8</f>
        <v>17.099999999998545</v>
      </c>
      <c r="H8" s="65">
        <f>F8-D8</f>
        <v>25.5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4862.2139999995861</v>
      </c>
      <c r="H9" s="65">
        <f>H8*284.34</f>
        <v>7250.6699999999992</v>
      </c>
      <c r="I9" s="68">
        <f>H9*0.63</f>
        <v>4567.9220999999998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'14'!F11</f>
        <v>126813</v>
      </c>
      <c r="E11" s="64">
        <f>'Daily Meter'!D20</f>
        <v>127003</v>
      </c>
      <c r="F11" s="64">
        <f>'Daily Meter'!E20</f>
        <v>127037</v>
      </c>
      <c r="G11" s="65">
        <f>F11-E11</f>
        <v>34</v>
      </c>
      <c r="H11" s="65">
        <f>F11-D11</f>
        <v>224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7478.9459999999999</v>
      </c>
      <c r="H12" s="76">
        <f>H11*219.969</f>
        <v>49273.055999999997</v>
      </c>
      <c r="I12" s="96">
        <f>H12*0.06</f>
        <v>2956.3833599999998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'14'!F14</f>
        <v>4328.3</v>
      </c>
      <c r="E14" s="64">
        <f>'Daily Meter'!J20</f>
        <v>4332.5</v>
      </c>
      <c r="F14" s="64">
        <f>'Daily Meter'!K20</f>
        <v>4336.8999999999996</v>
      </c>
      <c r="G14" s="80">
        <f t="shared" ref="G14:G19" si="0">(F14-E14)*480</f>
        <v>2111.9999999998254</v>
      </c>
      <c r="H14" s="65">
        <f t="shared" ref="H14:H19" si="1">(F14-D14)*480</f>
        <v>4127.9999999997381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'14'!F15</f>
        <v>2598.1999999999998</v>
      </c>
      <c r="E15" s="64">
        <f>'Daily Meter'!L20</f>
        <v>2600.3000000000002</v>
      </c>
      <c r="F15" s="64">
        <f>'Daily Meter'!M20</f>
        <v>2603</v>
      </c>
      <c r="G15" s="80">
        <f t="shared" si="0"/>
        <v>1295.9999999999127</v>
      </c>
      <c r="H15" s="65">
        <f t="shared" si="1"/>
        <v>2304.0000000000873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'14'!F16</f>
        <v>2795.3</v>
      </c>
      <c r="E16" s="64">
        <f>'Daily Meter'!N20</f>
        <v>2798.3</v>
      </c>
      <c r="F16" s="64">
        <f>'Daily Meter'!O20</f>
        <v>2801</v>
      </c>
      <c r="G16" s="80">
        <f t="shared" si="0"/>
        <v>1295.9999999999127</v>
      </c>
      <c r="H16" s="65">
        <f t="shared" si="1"/>
        <v>2735.9999999999127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'14'!F17</f>
        <v>1405.7</v>
      </c>
      <c r="E17" s="64">
        <f>'Daily Meter'!P20</f>
        <v>1407.6</v>
      </c>
      <c r="F17" s="64">
        <f>'Daily Meter'!Q20</f>
        <v>1409.2</v>
      </c>
      <c r="G17" s="80">
        <f t="shared" si="0"/>
        <v>768.00000000006548</v>
      </c>
      <c r="H17" s="65">
        <f t="shared" si="1"/>
        <v>1680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'14'!F18</f>
        <v>4069.2</v>
      </c>
      <c r="E18" s="64">
        <f>'Daily Meter'!R20</f>
        <v>4072</v>
      </c>
      <c r="F18" s="64">
        <f>'Daily Meter'!S20</f>
        <v>4074.8</v>
      </c>
      <c r="G18" s="80">
        <f t="shared" si="0"/>
        <v>1344.0000000000873</v>
      </c>
      <c r="H18" s="65">
        <f t="shared" si="1"/>
        <v>2688.0000000001746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'14'!F19</f>
        <v>10747.2</v>
      </c>
      <c r="E19" s="64">
        <f>'Daily Meter'!T20</f>
        <v>10754.8</v>
      </c>
      <c r="F19" s="64">
        <f>'Daily Meter'!U20</f>
        <v>10762.8</v>
      </c>
      <c r="G19" s="80">
        <f t="shared" si="0"/>
        <v>3840</v>
      </c>
      <c r="H19" s="65">
        <f t="shared" si="1"/>
        <v>7487.9999999993015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10655.999999999804</v>
      </c>
      <c r="H20" s="82">
        <f>SUM(H14:H19)</f>
        <v>21023.999999999214</v>
      </c>
      <c r="I20" s="68">
        <f>H20*0.43</f>
        <v>9040.3199999996614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6.5" customHeight="1">
      <c r="A23" s="60">
        <v>1</v>
      </c>
      <c r="B23" s="87" t="s">
        <v>17</v>
      </c>
      <c r="C23" s="88" t="s">
        <v>18</v>
      </c>
      <c r="D23" s="64">
        <f>'14'!F23</f>
        <v>53676.1</v>
      </c>
      <c r="E23" s="64">
        <f>'Daily Meter'!V20</f>
        <v>53717.3</v>
      </c>
      <c r="F23" s="64">
        <f>'Daily Meter'!W20</f>
        <v>53807.3</v>
      </c>
      <c r="G23" s="80">
        <f>F23-E23</f>
        <v>90</v>
      </c>
      <c r="H23" s="89">
        <f>F23-D23</f>
        <v>131.20000000000437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485.4400000000162</v>
      </c>
      <c r="I24" s="92">
        <f>H24*2.18</f>
        <v>1058.2592000000354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7250.6699999999992</v>
      </c>
      <c r="G29" s="48">
        <f>I9</f>
        <v>4567.9220999999998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49273.055999999997</v>
      </c>
      <c r="G30" s="48">
        <f>I12</f>
        <v>2956.3833599999998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21023.999999999214</v>
      </c>
      <c r="G31" s="48">
        <f>I20</f>
        <v>9040.3199999996614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131.20000000000437</v>
      </c>
      <c r="G32" s="48">
        <f>I24</f>
        <v>1058.2592000000354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17622.884659999698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BB3E902-88CA-4455-9DFE-9B247E8EBD9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16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'15'!F8</f>
        <v>36889.199999999997</v>
      </c>
      <c r="E8" s="64">
        <f>'Daily Meter'!B21</f>
        <v>36897.1</v>
      </c>
      <c r="F8" s="64">
        <f>'Daily Meter'!C21</f>
        <v>36912.1</v>
      </c>
      <c r="G8" s="65">
        <f>F8-E8</f>
        <v>15</v>
      </c>
      <c r="H8" s="65">
        <f>F8-D8</f>
        <v>22.900000000001455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4265.0999999999995</v>
      </c>
      <c r="H9" s="65">
        <f>H8*284.34</f>
        <v>6511.3860000004133</v>
      </c>
      <c r="I9" s="68">
        <f>H9*0.63</f>
        <v>4102.1731800002608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'15'!F11</f>
        <v>127037</v>
      </c>
      <c r="E11" s="64">
        <f>'Daily Meter'!D21</f>
        <v>127347</v>
      </c>
      <c r="F11" s="64">
        <f>'Daily Meter'!E21</f>
        <v>127397</v>
      </c>
      <c r="G11" s="65">
        <f>F11-E11</f>
        <v>50</v>
      </c>
      <c r="H11" s="65">
        <f>F11-D11</f>
        <v>360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10998.449999999999</v>
      </c>
      <c r="H12" s="76">
        <f>H11*219.969</f>
        <v>79188.84</v>
      </c>
      <c r="I12" s="96">
        <f>H12*0.06</f>
        <v>4751.3303999999998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'15'!F14</f>
        <v>4336.8999999999996</v>
      </c>
      <c r="E14" s="64">
        <f>'Daily Meter'!J21</f>
        <v>4339.3</v>
      </c>
      <c r="F14" s="64">
        <f>'Daily Meter'!K21</f>
        <v>4343.2</v>
      </c>
      <c r="G14" s="80">
        <f t="shared" ref="G14:G19" si="0">(F14-E14)*480</f>
        <v>1871.9999999998254</v>
      </c>
      <c r="H14" s="65">
        <f t="shared" ref="H14:H19" si="1">(F14-D14)*480</f>
        <v>3024.0000000000873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'15'!F15</f>
        <v>2603</v>
      </c>
      <c r="E15" s="64">
        <f>'Daily Meter'!L21</f>
        <v>2604.3000000000002</v>
      </c>
      <c r="F15" s="64">
        <f>'Daily Meter'!M21</f>
        <v>2606.6</v>
      </c>
      <c r="G15" s="80">
        <f t="shared" si="0"/>
        <v>1103.999999999869</v>
      </c>
      <c r="H15" s="65">
        <f t="shared" si="1"/>
        <v>1727.9999999999563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'15'!F16</f>
        <v>2801</v>
      </c>
      <c r="E16" s="64">
        <f>'Daily Meter'!N21</f>
        <v>2803.3</v>
      </c>
      <c r="F16" s="64">
        <f>'Daily Meter'!O21</f>
        <v>2805.5</v>
      </c>
      <c r="G16" s="80">
        <f t="shared" si="0"/>
        <v>1055.9999999999127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'15'!F17</f>
        <v>1409.2</v>
      </c>
      <c r="E17" s="64">
        <f>'Daily Meter'!P21</f>
        <v>1410.3</v>
      </c>
      <c r="F17" s="64">
        <f>'Daily Meter'!Q21</f>
        <v>1411.8</v>
      </c>
      <c r="G17" s="80">
        <f t="shared" si="0"/>
        <v>720</v>
      </c>
      <c r="H17" s="65">
        <f t="shared" si="1"/>
        <v>1247.9999999999563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'15'!F18</f>
        <v>4074.8</v>
      </c>
      <c r="E18" s="64">
        <f>'Daily Meter'!R21</f>
        <v>4076.6</v>
      </c>
      <c r="F18" s="64">
        <f>'Daily Meter'!S21</f>
        <v>4079.2</v>
      </c>
      <c r="G18" s="80">
        <f t="shared" si="0"/>
        <v>1247.9999999999563</v>
      </c>
      <c r="H18" s="65">
        <f t="shared" si="1"/>
        <v>2111.9999999998254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'15'!F19</f>
        <v>10762.8</v>
      </c>
      <c r="E19" s="64">
        <f>'Daily Meter'!T21</f>
        <v>10767.8</v>
      </c>
      <c r="F19" s="64">
        <f>'Daily Meter'!U21</f>
        <v>10775</v>
      </c>
      <c r="G19" s="80">
        <f t="shared" si="0"/>
        <v>3456.0000000003492</v>
      </c>
      <c r="H19" s="65">
        <f t="shared" si="1"/>
        <v>5856.0000000003492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9455.9999999999127</v>
      </c>
      <c r="H20" s="82">
        <f>SUM(H14:H19)</f>
        <v>16128.000000000175</v>
      </c>
      <c r="I20" s="68">
        <f>H20*0.43</f>
        <v>6935.0400000000745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'15'!F23</f>
        <v>53807.3</v>
      </c>
      <c r="E23" s="64">
        <f>'Daily Meter'!V21</f>
        <v>53852.1</v>
      </c>
      <c r="F23" s="64">
        <f>'Daily Meter'!W21</f>
        <v>53926.400000000001</v>
      </c>
      <c r="G23" s="80">
        <f>F23-E23</f>
        <v>74.30000000000291</v>
      </c>
      <c r="H23" s="89">
        <f>F23-D23</f>
        <v>119.09999999999854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440.66999999999462</v>
      </c>
      <c r="I24" s="92">
        <f>H24*2.18</f>
        <v>960.66059999998834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6511.3860000004133</v>
      </c>
      <c r="G29" s="48">
        <f>I9</f>
        <v>4102.1731800002608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79188.84</v>
      </c>
      <c r="G30" s="48">
        <f>I12</f>
        <v>4751.3303999999998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16128.000000000175</v>
      </c>
      <c r="G31" s="48">
        <f>I20</f>
        <v>6935.0400000000745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119.09999999999854</v>
      </c>
      <c r="G32" s="48">
        <f>I24</f>
        <v>960.66059999998834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16749.204180000324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8F7F84C2-C784-42AF-A349-AFA747A030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17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'16'!F8</f>
        <v>36912.1</v>
      </c>
      <c r="E8" s="64">
        <f>'Daily Meter'!B22</f>
        <v>36922.5</v>
      </c>
      <c r="F8" s="64">
        <f>'Daily Meter'!C22</f>
        <v>36933.699999999997</v>
      </c>
      <c r="G8" s="65">
        <f>F8-E8</f>
        <v>11.19999999999709</v>
      </c>
      <c r="H8" s="65">
        <f>F8-D8</f>
        <v>21.599999999998545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3184.6079999991721</v>
      </c>
      <c r="H9" s="65">
        <f>H8*284.34</f>
        <v>6141.7439999995859</v>
      </c>
      <c r="I9" s="68">
        <f>H9*0.63</f>
        <v>3869.2987199997392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'16'!F11</f>
        <v>127397</v>
      </c>
      <c r="E11" s="64">
        <f>'Daily Meter'!D22</f>
        <v>127707</v>
      </c>
      <c r="F11" s="64">
        <f>'Daily Meter'!E22</f>
        <v>127714</v>
      </c>
      <c r="G11" s="65">
        <f>F11-E11</f>
        <v>7</v>
      </c>
      <c r="H11" s="65">
        <f>F11-D11</f>
        <v>317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1539.7829999999999</v>
      </c>
      <c r="H12" s="76">
        <f>H11*219.969</f>
        <v>69730.172999999995</v>
      </c>
      <c r="I12" s="96">
        <f>H12*0.06</f>
        <v>4183.8103799999999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'16'!F14</f>
        <v>4343.2</v>
      </c>
      <c r="E14" s="64">
        <f>'Daily Meter'!J22</f>
        <v>4346.2</v>
      </c>
      <c r="F14" s="64">
        <f>'Daily Meter'!K22</f>
        <v>4350.1000000000004</v>
      </c>
      <c r="G14" s="80">
        <f t="shared" ref="G14:G19" si="0">(F14-E14)*480</f>
        <v>1872.0000000002619</v>
      </c>
      <c r="H14" s="65">
        <f t="shared" ref="H14:H19" si="1">(F14-D14)*480</f>
        <v>3312.0000000002619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'16'!F15</f>
        <v>2606.6</v>
      </c>
      <c r="E15" s="64">
        <f>'Daily Meter'!L22</f>
        <v>2608.1</v>
      </c>
      <c r="F15" s="64">
        <f>'Daily Meter'!M22</f>
        <v>2610.4</v>
      </c>
      <c r="G15" s="80">
        <f t="shared" si="0"/>
        <v>1104.0000000000873</v>
      </c>
      <c r="H15" s="65">
        <f t="shared" si="1"/>
        <v>1824.0000000000873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'16'!D16</f>
        <v>2801</v>
      </c>
      <c r="E16" s="64">
        <f>'Daily Meter'!N21</f>
        <v>2803.3</v>
      </c>
      <c r="F16" s="64">
        <f>'Daily Meter'!O21</f>
        <v>2805.5</v>
      </c>
      <c r="G16" s="80">
        <f t="shared" si="0"/>
        <v>1055.9999999999127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'16'!F17</f>
        <v>1411.8</v>
      </c>
      <c r="E17" s="64">
        <f>'Daily Meter'!P22</f>
        <v>1413</v>
      </c>
      <c r="F17" s="64">
        <f>'Daily Meter'!Q22</f>
        <v>1414.4</v>
      </c>
      <c r="G17" s="80">
        <f t="shared" si="0"/>
        <v>672.00000000004366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'16'!F18</f>
        <v>4079.2</v>
      </c>
      <c r="E18" s="64">
        <f>'Daily Meter'!R22</f>
        <v>4081.3</v>
      </c>
      <c r="F18" s="64">
        <f>'Daily Meter'!S22</f>
        <v>4083.7</v>
      </c>
      <c r="G18" s="80">
        <f t="shared" si="0"/>
        <v>1151.9999999998254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'16'!F19</f>
        <v>10775</v>
      </c>
      <c r="E19" s="64">
        <f>'Daily Meter'!T22</f>
        <v>10780.5</v>
      </c>
      <c r="F19" s="64">
        <f>'Daily Meter'!U22</f>
        <v>10787.4</v>
      </c>
      <c r="G19" s="80">
        <f t="shared" si="0"/>
        <v>3311.9999999998254</v>
      </c>
      <c r="H19" s="65">
        <f t="shared" si="1"/>
        <v>5951.9999999998254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9167.9999999999563</v>
      </c>
      <c r="H20" s="82">
        <f>SUM(H14:H19)</f>
        <v>16656.00000000024</v>
      </c>
      <c r="I20" s="68">
        <f>H20*0.43</f>
        <v>7162.0800000001027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'16'!F23</f>
        <v>53926.400000000001</v>
      </c>
      <c r="E23" s="64">
        <f>'Daily Meter'!V22</f>
        <v>53979</v>
      </c>
      <c r="F23" s="64">
        <f>'Daily Meter'!W22</f>
        <v>54038.9</v>
      </c>
      <c r="G23" s="80">
        <f>F23-E23</f>
        <v>59.900000000001455</v>
      </c>
      <c r="H23" s="89">
        <f>F23-D23</f>
        <v>112.5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416.25</v>
      </c>
      <c r="I24" s="92">
        <f>H24*2.18</f>
        <v>907.42500000000007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6141.7439999995859</v>
      </c>
      <c r="G29" s="48">
        <f>I9</f>
        <v>3869.2987199997392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69730.172999999995</v>
      </c>
      <c r="G30" s="48">
        <f>I12</f>
        <v>4183.8103799999999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16656.00000000024</v>
      </c>
      <c r="G31" s="48">
        <f>I20</f>
        <v>7162.0800000001027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112.5</v>
      </c>
      <c r="G32" s="48">
        <f>I24</f>
        <v>907.42500000000007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16122.614099999842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E45ED6-0306-46F5-9396-F0724717571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18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'17'!F8</f>
        <v>36933.699999999997</v>
      </c>
      <c r="E8" s="64">
        <f>'Daily Meter'!B23</f>
        <v>36951</v>
      </c>
      <c r="F8" s="64">
        <f>'Daily Meter'!C23</f>
        <v>36959.1</v>
      </c>
      <c r="G8" s="65">
        <f>F8-E8</f>
        <v>8.0999999999985448</v>
      </c>
      <c r="H8" s="65">
        <f>F8-D8</f>
        <v>25.400000000001455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2303.1539999995862</v>
      </c>
      <c r="H9" s="65">
        <f>H8*284.34</f>
        <v>7222.2360000004128</v>
      </c>
      <c r="I9" s="68">
        <f>H9*0.63</f>
        <v>4550.00868000026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'17'!F11</f>
        <v>127714</v>
      </c>
      <c r="E11" s="64">
        <f>'Daily Meter'!D23</f>
        <v>127921</v>
      </c>
      <c r="F11" s="64">
        <f>'Daily Meter'!E23</f>
        <v>128042</v>
      </c>
      <c r="G11" s="65">
        <f>F11-E11</f>
        <v>121</v>
      </c>
      <c r="H11" s="65">
        <f>F11-D11</f>
        <v>328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26616.249</v>
      </c>
      <c r="H12" s="76">
        <f>H11*219.969</f>
        <v>72149.831999999995</v>
      </c>
      <c r="I12" s="96">
        <f>H12*0.06</f>
        <v>4328.98992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'17'!F14</f>
        <v>4350.1000000000004</v>
      </c>
      <c r="E14" s="64">
        <f>'Daily Meter'!J23</f>
        <v>4353.7</v>
      </c>
      <c r="F14" s="64">
        <f>'Daily Meter'!K23</f>
        <v>4356.8</v>
      </c>
      <c r="G14" s="80">
        <f t="shared" ref="G14:G19" si="0">(F14-E14)*480</f>
        <v>1488.0000000001746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'17'!F15</f>
        <v>2610.4</v>
      </c>
      <c r="E15" s="64">
        <f>'Daily Meter'!L23</f>
        <v>2612.4</v>
      </c>
      <c r="F15" s="64">
        <f>'Daily Meter'!M23</f>
        <v>2614.1999999999998</v>
      </c>
      <c r="G15" s="80">
        <f t="shared" si="0"/>
        <v>863.99999999986903</v>
      </c>
      <c r="H15" s="65">
        <f t="shared" si="1"/>
        <v>1823.999999999869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'17'!F16</f>
        <v>2805.5</v>
      </c>
      <c r="E16" s="64">
        <f>'Daily Meter'!N23</f>
        <v>2813.1</v>
      </c>
      <c r="F16" s="64">
        <f>'Daily Meter'!O23</f>
        <v>2815</v>
      </c>
      <c r="G16" s="80">
        <f t="shared" si="0"/>
        <v>912.00000000004366</v>
      </c>
      <c r="H16" s="65">
        <f t="shared" si="1"/>
        <v>4560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'17'!F17</f>
        <v>1414.4</v>
      </c>
      <c r="E17" s="64">
        <f>'Daily Meter'!P23</f>
        <v>1416</v>
      </c>
      <c r="F17" s="64">
        <f>'Daily Meter'!Q23</f>
        <v>1417.3</v>
      </c>
      <c r="G17" s="80">
        <f t="shared" si="0"/>
        <v>623.99999999997817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'17'!F18</f>
        <v>4083.7</v>
      </c>
      <c r="E18" s="64">
        <f>'Daily Meter'!R23</f>
        <v>4086.2</v>
      </c>
      <c r="F18" s="64">
        <f>'Daily Meter'!S23</f>
        <v>4088.3</v>
      </c>
      <c r="G18" s="80">
        <f t="shared" si="0"/>
        <v>1008.0000000001746</v>
      </c>
      <c r="H18" s="65">
        <f t="shared" si="1"/>
        <v>2208.0000000001746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'17'!F19</f>
        <v>10787.4</v>
      </c>
      <c r="E19" s="64">
        <f>'Daily Meter'!T23</f>
        <v>10794.3</v>
      </c>
      <c r="F19" s="64">
        <f>'Daily Meter'!U23</f>
        <v>10800.1</v>
      </c>
      <c r="G19" s="80">
        <f t="shared" si="0"/>
        <v>2784.0000000005239</v>
      </c>
      <c r="H19" s="65">
        <f t="shared" si="1"/>
        <v>6096.0000000003492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7680.000000000764</v>
      </c>
      <c r="H20" s="82">
        <f>SUM(H14:H19)</f>
        <v>19296.00000000024</v>
      </c>
      <c r="I20" s="68">
        <f>H20*0.43</f>
        <v>8297.2800000001025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'17'!F23</f>
        <v>54038.9</v>
      </c>
      <c r="E23" s="64">
        <f>'Daily Meter'!V23</f>
        <v>54119</v>
      </c>
      <c r="F23" s="64">
        <f>'Daily Meter'!W23</f>
        <v>54161.4</v>
      </c>
      <c r="G23" s="80">
        <f>F23-E23</f>
        <v>42.400000000001455</v>
      </c>
      <c r="H23" s="89">
        <f>F23-D23</f>
        <v>122.5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453.25</v>
      </c>
      <c r="I24" s="92">
        <f>H24*2.18</f>
        <v>988.08500000000004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7222.2360000004128</v>
      </c>
      <c r="G29" s="48">
        <f>I9</f>
        <v>4550.00868000026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72149.831999999995</v>
      </c>
      <c r="G30" s="48">
        <f>I12</f>
        <v>4328.98992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19296.00000000024</v>
      </c>
      <c r="G31" s="48">
        <f>I20</f>
        <v>8297.2800000001025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122.5</v>
      </c>
      <c r="G32" s="48">
        <f>I24</f>
        <v>988.08500000000004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18164.363600000361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8CCA8CA-065D-412C-ADFE-85ABAFC9709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19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'18'!F8</f>
        <v>36959.1</v>
      </c>
      <c r="E8" s="64">
        <f>'Daily Meter'!B24</f>
        <v>36972.699999999997</v>
      </c>
      <c r="F8" s="64">
        <f>'Daily Meter'!C24</f>
        <v>36981.800000000003</v>
      </c>
      <c r="G8" s="65">
        <f>F8-E8</f>
        <v>9.1000000000058208</v>
      </c>
      <c r="H8" s="65">
        <f>F8-D8</f>
        <v>22.700000000004366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2587.494000001655</v>
      </c>
      <c r="H9" s="65">
        <f>H8*284.34</f>
        <v>6454.5180000012406</v>
      </c>
      <c r="I9" s="68">
        <f>H9*0.63</f>
        <v>4066.3463400007818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'18'!F11</f>
        <v>128042</v>
      </c>
      <c r="E11" s="64">
        <f>'Daily Meter'!D24</f>
        <v>128287</v>
      </c>
      <c r="F11" s="64">
        <f>'Daily Meter'!E24</f>
        <v>128296</v>
      </c>
      <c r="G11" s="65">
        <f>F11-E11</f>
        <v>9</v>
      </c>
      <c r="H11" s="65">
        <f>F11-D11</f>
        <v>254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1979.721</v>
      </c>
      <c r="H12" s="76">
        <f>H11*219.969</f>
        <v>55872.125999999997</v>
      </c>
      <c r="I12" s="96">
        <f>H12*0.06</f>
        <v>3352.3275599999997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'18'!F14</f>
        <v>4356.8</v>
      </c>
      <c r="E14" s="64">
        <f>'Daily Meter'!J24</f>
        <v>4360.5</v>
      </c>
      <c r="F14" s="64">
        <f>'Daily Meter'!K24</f>
        <v>4363.3999999999996</v>
      </c>
      <c r="G14" s="80">
        <f t="shared" ref="G14:G19" si="0">(F14-E14)*480</f>
        <v>1391.9999999998254</v>
      </c>
      <c r="H14" s="65">
        <f t="shared" ref="H14:H19" si="1">(F14-D14)*480</f>
        <v>3167.9999999997381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'18'!F15</f>
        <v>2614.1999999999998</v>
      </c>
      <c r="E15" s="64">
        <f>'Daily Meter'!L24</f>
        <v>2616.1</v>
      </c>
      <c r="F15" s="64">
        <f>'Daily Meter'!M24</f>
        <v>2617.8000000000002</v>
      </c>
      <c r="G15" s="80">
        <f t="shared" si="0"/>
        <v>816.00000000013097</v>
      </c>
      <c r="H15" s="65">
        <f t="shared" si="1"/>
        <v>1728.0000000001746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'18'!F16</f>
        <v>2815</v>
      </c>
      <c r="E16" s="64">
        <f>'Daily Meter'!N24</f>
        <v>2817.8</v>
      </c>
      <c r="F16" s="64">
        <f>'Daily Meter'!O24</f>
        <v>2819.8</v>
      </c>
      <c r="G16" s="80">
        <f t="shared" si="0"/>
        <v>960</v>
      </c>
      <c r="H16" s="65">
        <f t="shared" si="1"/>
        <v>2304.0000000000873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'18'!F17</f>
        <v>1417.3</v>
      </c>
      <c r="E17" s="64">
        <f>'Daily Meter'!P24</f>
        <v>1418.8</v>
      </c>
      <c r="F17" s="64">
        <f>'Daily Meter'!Q24</f>
        <v>1419.8</v>
      </c>
      <c r="G17" s="80">
        <f t="shared" si="0"/>
        <v>480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'18'!F18</f>
        <v>4088.3</v>
      </c>
      <c r="E18" s="64">
        <f>'Daily Meter'!R24</f>
        <v>4090.8</v>
      </c>
      <c r="F18" s="64">
        <f>'Daily Meter'!S24</f>
        <v>4092.7</v>
      </c>
      <c r="G18" s="80">
        <f t="shared" si="0"/>
        <v>911.99999999982538</v>
      </c>
      <c r="H18" s="65">
        <f t="shared" si="1"/>
        <v>2111.9999999998254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'18'!F19</f>
        <v>10800.1</v>
      </c>
      <c r="E19" s="64">
        <f>'Daily Meter'!T24</f>
        <v>10807.3</v>
      </c>
      <c r="F19" s="64">
        <f>'Daily Meter'!U24</f>
        <v>10813.1</v>
      </c>
      <c r="G19" s="80">
        <f t="shared" si="0"/>
        <v>2784.0000000005239</v>
      </c>
      <c r="H19" s="65">
        <f t="shared" si="1"/>
        <v>6240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7344.0000000003056</v>
      </c>
      <c r="H20" s="82">
        <f>SUM(H14:H19)</f>
        <v>16751.999999999825</v>
      </c>
      <c r="I20" s="68">
        <f>H20*0.43</f>
        <v>7203.3599999999251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'18'!F23</f>
        <v>54161.4</v>
      </c>
      <c r="E23" s="64">
        <f>'Daily Meter'!V24</f>
        <v>54228</v>
      </c>
      <c r="F23" s="64">
        <f>'Daily Meter'!W24</f>
        <v>54284.7</v>
      </c>
      <c r="G23" s="80">
        <f>F23-E23</f>
        <v>56.69999999999709</v>
      </c>
      <c r="H23" s="89">
        <f>F23-D23</f>
        <v>123.29999999999563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456.20999999998389</v>
      </c>
      <c r="I24" s="92">
        <f>H24*2.18</f>
        <v>994.53779999996493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6454.5180000012406</v>
      </c>
      <c r="G29" s="48">
        <f>I9</f>
        <v>4066.3463400007818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55872.125999999997</v>
      </c>
      <c r="G30" s="48">
        <f>I12</f>
        <v>3352.3275599999997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16751.999999999825</v>
      </c>
      <c r="G31" s="48">
        <f>I20</f>
        <v>7203.3599999999251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123.29999999999563</v>
      </c>
      <c r="G32" s="48">
        <f>I24</f>
        <v>994.53779999996493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15616.571700000673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5F2A594-4F7E-4076-A92E-6F7714A8336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20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'19'!F8</f>
        <v>36981.800000000003</v>
      </c>
      <c r="E8" s="64">
        <f>'Daily Meter'!B25</f>
        <v>36995.800000000003</v>
      </c>
      <c r="F8" s="64">
        <f>'Daily Meter'!C25</f>
        <v>37007.1</v>
      </c>
      <c r="G8" s="65">
        <f>F8-E8</f>
        <v>11.299999999995634</v>
      </c>
      <c r="H8" s="65">
        <f>F8-D8</f>
        <v>25.299999999995634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3213.0419999987585</v>
      </c>
      <c r="H9" s="65">
        <f>H8*284.34</f>
        <v>7193.8019999987582</v>
      </c>
      <c r="I9" s="68">
        <f>H9*0.63</f>
        <v>4532.0952599992179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'19'!F11</f>
        <v>128296</v>
      </c>
      <c r="E11" s="64">
        <f>'Daily Meter'!D25</f>
        <v>128458</v>
      </c>
      <c r="F11" s="64">
        <f>'Daily Meter'!E25</f>
        <v>128550</v>
      </c>
      <c r="G11" s="65">
        <f>F11-E11</f>
        <v>92</v>
      </c>
      <c r="H11" s="65">
        <f>F11-D11</f>
        <v>254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20237.148000000001</v>
      </c>
      <c r="H12" s="76">
        <f>H11*219.969</f>
        <v>55872.125999999997</v>
      </c>
      <c r="I12" s="96">
        <f>H12*0.06</f>
        <v>3352.3275599999997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'19'!F14</f>
        <v>4363.3999999999996</v>
      </c>
      <c r="E14" s="64">
        <f>'Daily Meter'!J25</f>
        <v>4367.8</v>
      </c>
      <c r="F14" s="64">
        <f>'Daily Meter'!K25</f>
        <v>4371.6000000000004</v>
      </c>
      <c r="G14" s="80">
        <f t="shared" ref="G14:G19" si="0">(F14-E14)*480</f>
        <v>1824.0000000000873</v>
      </c>
      <c r="H14" s="65">
        <f t="shared" ref="H14:H19" si="1">(F14-D14)*480</f>
        <v>3936.0000000003492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'19'!F15</f>
        <v>2617.8000000000002</v>
      </c>
      <c r="E15" s="64">
        <f>'Daily Meter'!L25</f>
        <v>2620.6</v>
      </c>
      <c r="F15" s="64">
        <f>'Daily Meter'!M25</f>
        <v>2622.3</v>
      </c>
      <c r="G15" s="80">
        <f t="shared" si="0"/>
        <v>816.00000000013097</v>
      </c>
      <c r="H15" s="65">
        <f t="shared" si="1"/>
        <v>2160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'19'!F16</f>
        <v>2819.8</v>
      </c>
      <c r="E16" s="64">
        <f>'Daily Meter'!N25</f>
        <v>2823.4</v>
      </c>
      <c r="F16" s="64">
        <f>'Daily Meter'!O25</f>
        <v>2825.9</v>
      </c>
      <c r="G16" s="80">
        <f t="shared" si="0"/>
        <v>1200</v>
      </c>
      <c r="H16" s="65">
        <f t="shared" si="1"/>
        <v>2927.9999999999563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'19'!F17</f>
        <v>1419.8</v>
      </c>
      <c r="E17" s="64">
        <f>'Daily Meter'!P25</f>
        <v>1421.5</v>
      </c>
      <c r="F17" s="64">
        <f>'Daily Meter'!Q25</f>
        <v>1423.1</v>
      </c>
      <c r="G17" s="80">
        <f t="shared" si="0"/>
        <v>767.99999999995634</v>
      </c>
      <c r="H17" s="65">
        <f t="shared" si="1"/>
        <v>1583.9999999999782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'19'!F18</f>
        <v>4092.7</v>
      </c>
      <c r="E18" s="64">
        <f>'Daily Meter'!R25</f>
        <v>4095.6</v>
      </c>
      <c r="F18" s="64">
        <f>'Daily Meter'!S25</f>
        <v>4098.1000000000004</v>
      </c>
      <c r="G18" s="80">
        <f t="shared" si="0"/>
        <v>1200.0000000002183</v>
      </c>
      <c r="H18" s="65">
        <f t="shared" si="1"/>
        <v>2592.0000000002619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'19'!F19</f>
        <v>10813.1</v>
      </c>
      <c r="E19" s="64">
        <f>'Daily Meter'!T25</f>
        <v>10821.3</v>
      </c>
      <c r="F19" s="64">
        <f>'Daily Meter'!U25</f>
        <v>10828.3</v>
      </c>
      <c r="G19" s="80">
        <f t="shared" si="0"/>
        <v>3360</v>
      </c>
      <c r="H19" s="65">
        <f t="shared" si="1"/>
        <v>7295.9999999994761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9168.0000000003929</v>
      </c>
      <c r="H20" s="82">
        <f>SUM(H14:H19)</f>
        <v>20496.000000000022</v>
      </c>
      <c r="I20" s="68">
        <f>H20*0.43</f>
        <v>8813.2800000000097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'19'!F23</f>
        <v>54284.7</v>
      </c>
      <c r="E23" s="64">
        <f>'Daily Meter'!V25</f>
        <v>54339.5</v>
      </c>
      <c r="F23" s="64">
        <f>'Daily Meter'!W25</f>
        <v>54416.9</v>
      </c>
      <c r="G23" s="80">
        <f>F23-E23</f>
        <v>77.400000000001455</v>
      </c>
      <c r="H23" s="89">
        <f>F23-D23</f>
        <v>132.20000000000437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489.14000000001619</v>
      </c>
      <c r="I24" s="92">
        <f>H24*2.18</f>
        <v>1066.3252000000355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7193.8019999987582</v>
      </c>
      <c r="G29" s="48">
        <f>I9</f>
        <v>4532.0952599992179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55872.125999999997</v>
      </c>
      <c r="G30" s="48">
        <f>I12</f>
        <v>3352.3275599999997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20496.000000000022</v>
      </c>
      <c r="G31" s="48">
        <f>I20</f>
        <v>8813.2800000000097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132.20000000000437</v>
      </c>
      <c r="G32" s="48">
        <f>I24</f>
        <v>1066.3252000000355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17764.028019999263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7D73004-3069-4184-8E7A-CC7DD0886E5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21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'20'!F8</f>
        <v>37007.1</v>
      </c>
      <c r="E8" s="64">
        <f>'Daily Meter'!B26</f>
        <v>37015</v>
      </c>
      <c r="F8" s="64">
        <f>'Daily Meter'!C26</f>
        <v>37024.1</v>
      </c>
      <c r="G8" s="65">
        <f>F8-E8</f>
        <v>9.0999999999985448</v>
      </c>
      <c r="H8" s="65">
        <f>F8-D8</f>
        <v>17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2587.4939999995859</v>
      </c>
      <c r="H9" s="65">
        <f>H8*284.34</f>
        <v>4833.78</v>
      </c>
      <c r="I9" s="68">
        <f>H9*0.63</f>
        <v>3045.2813999999998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'20'!F11</f>
        <v>128550</v>
      </c>
      <c r="E11" s="64">
        <f>'Daily Meter'!D26</f>
        <v>128750</v>
      </c>
      <c r="F11" s="64">
        <f>'Daily Meter'!E26</f>
        <v>128811</v>
      </c>
      <c r="G11" s="65">
        <f>F11-E11</f>
        <v>61</v>
      </c>
      <c r="H11" s="65">
        <f>F11-D11</f>
        <v>261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13418.109</v>
      </c>
      <c r="H12" s="76">
        <f>H11*219.969</f>
        <v>57411.909</v>
      </c>
      <c r="I12" s="96">
        <f>H12*0.06</f>
        <v>3444.7145399999999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'20'!F14</f>
        <v>4371.6000000000004</v>
      </c>
      <c r="E14" s="64">
        <f>'Daily Meter'!J26</f>
        <v>4374.2</v>
      </c>
      <c r="F14" s="64">
        <f>'Daily Meter'!K26</f>
        <v>4377.3</v>
      </c>
      <c r="G14" s="80">
        <f t="shared" ref="G14:G19" si="0">(F14-E14)*480</f>
        <v>1488.0000000001746</v>
      </c>
      <c r="H14" s="65">
        <f t="shared" ref="H14:H19" si="1">(F14-D14)*480</f>
        <v>2735.9999999999127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'20'!F15</f>
        <v>2622.3</v>
      </c>
      <c r="E15" s="64">
        <f>'Daily Meter'!L26</f>
        <v>2623.6</v>
      </c>
      <c r="F15" s="64">
        <f>'Daily Meter'!M26</f>
        <v>2625.6</v>
      </c>
      <c r="G15" s="80">
        <f t="shared" si="0"/>
        <v>960</v>
      </c>
      <c r="H15" s="65">
        <f t="shared" si="1"/>
        <v>1583.999999999869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'20'!F16</f>
        <v>2825.9</v>
      </c>
      <c r="E16" s="64">
        <f>'Daily Meter'!N26</f>
        <v>2827.9</v>
      </c>
      <c r="F16" s="64">
        <f>'Daily Meter'!O26</f>
        <v>2830</v>
      </c>
      <c r="G16" s="80">
        <f t="shared" si="0"/>
        <v>1007.9999999999563</v>
      </c>
      <c r="H16" s="65">
        <f t="shared" si="1"/>
        <v>1967.9999999999563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'20'!F17</f>
        <v>1423.1</v>
      </c>
      <c r="E17" s="64">
        <f>'Daily Meter'!P26</f>
        <v>1424.2</v>
      </c>
      <c r="F17" s="64">
        <f>'Daily Meter'!Q26</f>
        <v>1425.2</v>
      </c>
      <c r="G17" s="80">
        <f t="shared" si="0"/>
        <v>480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'20'!F18</f>
        <v>4098.1000000000004</v>
      </c>
      <c r="E18" s="64">
        <f>'Daily Meter'!R26</f>
        <v>4099.8999999999996</v>
      </c>
      <c r="F18" s="64">
        <f>'Daily Meter'!S26</f>
        <v>4102</v>
      </c>
      <c r="G18" s="80">
        <f t="shared" si="0"/>
        <v>1008.0000000001746</v>
      </c>
      <c r="H18" s="65">
        <f t="shared" si="1"/>
        <v>1871.9999999998254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'20'!F19</f>
        <v>10828.3</v>
      </c>
      <c r="E19" s="64">
        <f>'Daily Meter'!T26</f>
        <v>10833.3</v>
      </c>
      <c r="F19" s="64">
        <f>'Daily Meter'!U26</f>
        <v>10839.2</v>
      </c>
      <c r="G19" s="80">
        <f t="shared" si="0"/>
        <v>2832.0000000006985</v>
      </c>
      <c r="H19" s="65">
        <f t="shared" si="1"/>
        <v>5232.0000000006985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7776.0000000010041</v>
      </c>
      <c r="H20" s="82">
        <f>SUM(H14:H19)</f>
        <v>14400.000000000327</v>
      </c>
      <c r="I20" s="68">
        <f>H20*0.43</f>
        <v>6192.000000000141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'20'!F23</f>
        <v>54416.9</v>
      </c>
      <c r="E23" s="64">
        <f>'Daily Meter'!V26</f>
        <v>54468</v>
      </c>
      <c r="F23" s="64">
        <f>'Daily Meter'!W26</f>
        <v>54529.7</v>
      </c>
      <c r="G23" s="80">
        <f>F23-E23</f>
        <v>61.69999999999709</v>
      </c>
      <c r="H23" s="89">
        <f>F23-D23</f>
        <v>112.79999999999563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417.35999999998387</v>
      </c>
      <c r="I24" s="92">
        <f>H24*2.18</f>
        <v>909.84479999996495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4833.78</v>
      </c>
      <c r="G29" s="48">
        <f>I9</f>
        <v>3045.2813999999998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57411.909</v>
      </c>
      <c r="G30" s="48">
        <f>I12</f>
        <v>3444.7145399999999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14400.000000000327</v>
      </c>
      <c r="G31" s="48">
        <f>I20</f>
        <v>6192.000000000141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112.79999999999563</v>
      </c>
      <c r="G32" s="48">
        <f>I24</f>
        <v>909.84479999996495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13591.840740000105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0F5399A1-63CA-4BDA-979B-43AEC0DB3DC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22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'21'!F8</f>
        <v>37024.1</v>
      </c>
      <c r="E8" s="64">
        <f>'Daily Meter'!B27</f>
        <v>37034.5</v>
      </c>
      <c r="F8" s="64">
        <f>'Daily Meter'!C27</f>
        <v>37045.300000000003</v>
      </c>
      <c r="G8" s="65">
        <f>F8-E8</f>
        <v>10.80000000000291</v>
      </c>
      <c r="H8" s="65">
        <f>F8-D8</f>
        <v>21.200000000004366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3070.8720000008275</v>
      </c>
      <c r="H9" s="65">
        <f>H8*284.34</f>
        <v>6028.0080000012404</v>
      </c>
      <c r="I9" s="68">
        <f>H9*0.63</f>
        <v>3797.6450400007816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'21'!F11</f>
        <v>128811</v>
      </c>
      <c r="E11" s="64">
        <f>'Daily Meter'!D27</f>
        <v>128967</v>
      </c>
      <c r="F11" s="64">
        <f>'Daily Meter'!E27</f>
        <v>129028</v>
      </c>
      <c r="G11" s="65">
        <f>F11-E11</f>
        <v>61</v>
      </c>
      <c r="H11" s="65">
        <f>F11-D11</f>
        <v>217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13418.109</v>
      </c>
      <c r="H12" s="76">
        <f>H11*219.969</f>
        <v>47733.273000000001</v>
      </c>
      <c r="I12" s="96">
        <f>H12*0.06</f>
        <v>2863.99638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'21'!F14</f>
        <v>4377.3</v>
      </c>
      <c r="E14" s="64">
        <f>'Daily Meter'!J27</f>
        <v>4381.5</v>
      </c>
      <c r="F14" s="64">
        <f>'Daily Meter'!K27</f>
        <v>4384.3999999999996</v>
      </c>
      <c r="G14" s="80">
        <f t="shared" ref="G14:G19" si="0">(F14-E14)*480</f>
        <v>1391.9999999998254</v>
      </c>
      <c r="H14" s="65">
        <f t="shared" ref="H14:H19" si="1">(F14-D14)*480</f>
        <v>3407.9999999997381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'21'!F15</f>
        <v>2625.6</v>
      </c>
      <c r="E15" s="64">
        <f>'Daily Meter'!L27</f>
        <v>2627.9</v>
      </c>
      <c r="F15" s="64">
        <f>'Daily Meter'!M27</f>
        <v>2629.9</v>
      </c>
      <c r="G15" s="80">
        <f t="shared" si="0"/>
        <v>960</v>
      </c>
      <c r="H15" s="65">
        <f t="shared" si="1"/>
        <v>2064.0000000000873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'21'!F16</f>
        <v>2830</v>
      </c>
      <c r="E16" s="64">
        <f>'Daily Meter'!N27</f>
        <v>2833.1</v>
      </c>
      <c r="F16" s="64">
        <f>'Daily Meter'!O27</f>
        <v>2834.9</v>
      </c>
      <c r="G16" s="80">
        <f t="shared" si="0"/>
        <v>864.00000000008731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'21'!F17</f>
        <v>1425.2</v>
      </c>
      <c r="E17" s="64">
        <f>'Daily Meter'!P27</f>
        <v>1426.9</v>
      </c>
      <c r="F17" s="64">
        <f>'Daily Meter'!Q27</f>
        <v>1428.1</v>
      </c>
      <c r="G17" s="80">
        <f t="shared" si="0"/>
        <v>575.99999999991269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'21'!F18</f>
        <v>4102</v>
      </c>
      <c r="E18" s="64">
        <f>'Daily Meter'!R27</f>
        <v>4104.7</v>
      </c>
      <c r="F18" s="64">
        <f>'Daily Meter'!S27</f>
        <v>4106.8</v>
      </c>
      <c r="G18" s="80">
        <f t="shared" si="0"/>
        <v>1008.0000000001746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'21'!F19</f>
        <v>10839.2</v>
      </c>
      <c r="E19" s="64">
        <f>'Daily Meter'!T27</f>
        <v>10846.7</v>
      </c>
      <c r="F19" s="64">
        <f>'Daily Meter'!U27</f>
        <v>10851.7</v>
      </c>
      <c r="G19" s="80">
        <f t="shared" si="0"/>
        <v>2400</v>
      </c>
      <c r="H19" s="65">
        <f t="shared" si="1"/>
        <v>6000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7200</v>
      </c>
      <c r="H20" s="82">
        <f>SUM(H14:H19)</f>
        <v>17519.999999999891</v>
      </c>
      <c r="I20" s="68">
        <f>H20*0.43</f>
        <v>7533.5999999999531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'21'!F23</f>
        <v>54529.7</v>
      </c>
      <c r="E23" s="64">
        <f>'Daily Meter'!V27</f>
        <v>54595.4</v>
      </c>
      <c r="F23" s="64">
        <f>'Daily Meter'!W27</f>
        <v>54667.199999999997</v>
      </c>
      <c r="G23" s="80">
        <f>F23-E23</f>
        <v>71.799999999995634</v>
      </c>
      <c r="H23" s="89">
        <f>F23-D23</f>
        <v>137.5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508.75</v>
      </c>
      <c r="I24" s="92">
        <f>H24*2.18</f>
        <v>1109.075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6028.0080000012404</v>
      </c>
      <c r="G29" s="48">
        <f>I9</f>
        <v>3797.6450400007816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47733.273000000001</v>
      </c>
      <c r="G30" s="48">
        <f>I12</f>
        <v>2863.99638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17519.999999999891</v>
      </c>
      <c r="G31" s="48">
        <f>I20</f>
        <v>7533.5999999999531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137.5</v>
      </c>
      <c r="G32" s="48">
        <f>I24</f>
        <v>1109.075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15304.316420000736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44DED04-07CC-49EB-9D6A-FD2C21D81D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23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'22'!F8</f>
        <v>37045.300000000003</v>
      </c>
      <c r="E8" s="64">
        <f>'Daily Meter'!B28</f>
        <v>37057.1</v>
      </c>
      <c r="F8" s="64">
        <f>'Daily Meter'!C28</f>
        <v>37066.800000000003</v>
      </c>
      <c r="G8" s="65">
        <f>F8-E8</f>
        <v>9.7000000000043656</v>
      </c>
      <c r="H8" s="65">
        <f>F8-D8</f>
        <v>21.5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2758.098000001241</v>
      </c>
      <c r="H9" s="65">
        <f>H8*284.34</f>
        <v>6113.3099999999995</v>
      </c>
      <c r="I9" s="68">
        <f>H9*0.63</f>
        <v>3851.3852999999999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'22'!F11</f>
        <v>129028</v>
      </c>
      <c r="E11" s="64">
        <f>'Daily Meter'!D28</f>
        <v>129335</v>
      </c>
      <c r="F11" s="64">
        <f>'Daily Meter'!E28</f>
        <v>129398</v>
      </c>
      <c r="G11" s="65">
        <f>F11-E11</f>
        <v>63</v>
      </c>
      <c r="H11" s="65">
        <f>F11-D11</f>
        <v>370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81388.53</v>
      </c>
      <c r="I12" s="96">
        <f>H12*0.06</f>
        <v>4883.3117999999995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'22'!F14</f>
        <v>4384.3999999999996</v>
      </c>
      <c r="E14" s="64">
        <f>'Daily Meter'!J28</f>
        <v>4388.2</v>
      </c>
      <c r="F14" s="64">
        <f>'Daily Meter'!K28</f>
        <v>4391.2</v>
      </c>
      <c r="G14" s="80">
        <f t="shared" ref="G14:G19" si="0">(F14-E14)*480</f>
        <v>1440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'22'!F15</f>
        <v>2629.9</v>
      </c>
      <c r="E15" s="64">
        <f>'Daily Meter'!L28</f>
        <v>2632</v>
      </c>
      <c r="F15" s="64">
        <f>'Daily Meter'!M28</f>
        <v>2633.9</v>
      </c>
      <c r="G15" s="80">
        <f t="shared" si="0"/>
        <v>912.00000000004366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'22'!F16</f>
        <v>2834.9</v>
      </c>
      <c r="E16" s="64">
        <f>'Daily Meter'!N28</f>
        <v>2837.6</v>
      </c>
      <c r="F16" s="64">
        <f>'Daily Meter'!O28</f>
        <v>2839.7</v>
      </c>
      <c r="G16" s="80">
        <f t="shared" si="0"/>
        <v>1007.9999999999563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'22'!F17</f>
        <v>1428.1</v>
      </c>
      <c r="E17" s="64">
        <f>'Daily Meter'!P28</f>
        <v>1429.6</v>
      </c>
      <c r="F17" s="64">
        <f>'Daily Meter'!Q28</f>
        <v>1430.7</v>
      </c>
      <c r="G17" s="80">
        <f t="shared" si="0"/>
        <v>528.00000000006548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'22'!F18</f>
        <v>4106.8</v>
      </c>
      <c r="E18" s="64">
        <f>'Daily Meter'!R28</f>
        <v>4109.3</v>
      </c>
      <c r="F18" s="64">
        <f>'Daily Meter'!S28</f>
        <v>4111.3999999999996</v>
      </c>
      <c r="G18" s="80">
        <f t="shared" si="0"/>
        <v>1007.9999999997381</v>
      </c>
      <c r="H18" s="65">
        <f t="shared" si="1"/>
        <v>2207.9999999997381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'22'!F19</f>
        <v>10851.7</v>
      </c>
      <c r="E19" s="64">
        <f>'Daily Meter'!T28</f>
        <v>10859</v>
      </c>
      <c r="F19" s="64">
        <f>'Daily Meter'!U28</f>
        <v>10865.1</v>
      </c>
      <c r="G19" s="80">
        <f t="shared" si="0"/>
        <v>2928.0000000001746</v>
      </c>
      <c r="H19" s="65">
        <f t="shared" si="1"/>
        <v>6431.9999999998254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7823.9999999999782</v>
      </c>
      <c r="H20" s="82">
        <f>SUM(H14:H19)</f>
        <v>17375.999999999585</v>
      </c>
      <c r="I20" s="68">
        <f>H20*0.43</f>
        <v>7471.6799999998211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'22'!F23</f>
        <v>54667.199999999997</v>
      </c>
      <c r="E23" s="64">
        <f>'Daily Meter'!V28</f>
        <v>54738.7</v>
      </c>
      <c r="F23" s="64">
        <f>'Daily Meter'!W28</f>
        <v>54808.1</v>
      </c>
      <c r="G23" s="80">
        <f>F23-E23</f>
        <v>69.400000000001455</v>
      </c>
      <c r="H23" s="89">
        <f>F23-D23</f>
        <v>140.90000000000146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521.33000000000538</v>
      </c>
      <c r="I24" s="92">
        <f>H24*2.18</f>
        <v>1136.4994000000117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6113.3099999999995</v>
      </c>
      <c r="G29" s="48">
        <f>I9</f>
        <v>3851.3852999999999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81388.53</v>
      </c>
      <c r="G30" s="48">
        <f>I12</f>
        <v>4883.3117999999995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17375.999999999585</v>
      </c>
      <c r="G31" s="48">
        <f>I20</f>
        <v>7471.6799999998211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140.90000000000146</v>
      </c>
      <c r="G32" s="48">
        <f>I24</f>
        <v>1136.4994000000117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17342.876499999831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6012C7A-9FA9-483A-9AF4-39BEAFF1F64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24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'23'!F8</f>
        <v>37066.800000000003</v>
      </c>
      <c r="E8" s="64">
        <f>'Daily Meter'!B29</f>
        <v>37080.300000000003</v>
      </c>
      <c r="F8" s="64">
        <f>'Daily Meter'!C29</f>
        <v>37090.6</v>
      </c>
      <c r="G8" s="65">
        <f>F8-E8</f>
        <v>10.299999999995634</v>
      </c>
      <c r="H8" s="65">
        <f>F8-D8</f>
        <v>23.799999999995634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2928.7019999987583</v>
      </c>
      <c r="H9" s="65">
        <f>H8*284.34</f>
        <v>6767.291999998758</v>
      </c>
      <c r="I9" s="68">
        <f>H9*0.63</f>
        <v>4263.3939599992173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'23'!F11</f>
        <v>129398</v>
      </c>
      <c r="E11" s="64">
        <f>'Daily Meter'!D29</f>
        <v>129708</v>
      </c>
      <c r="F11" s="64">
        <f>'Daily Meter'!E29</f>
        <v>129718</v>
      </c>
      <c r="G11" s="65">
        <f>F11-E11</f>
        <v>10</v>
      </c>
      <c r="H11" s="65">
        <f>F11-D11</f>
        <v>320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2199.69</v>
      </c>
      <c r="H12" s="76">
        <f>H11*219.969</f>
        <v>70390.080000000002</v>
      </c>
      <c r="I12" s="96">
        <f>H12*0.06</f>
        <v>4223.4048000000003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'23'!F14</f>
        <v>4391.2</v>
      </c>
      <c r="E14" s="64">
        <f>'Daily Meter'!J29</f>
        <v>4395.5</v>
      </c>
      <c r="F14" s="64">
        <f>'Daily Meter'!K29</f>
        <v>4398.3999999999996</v>
      </c>
      <c r="G14" s="80">
        <f t="shared" ref="G14:G19" si="0">(F14-E14)*480</f>
        <v>1391.9999999998254</v>
      </c>
      <c r="H14" s="65">
        <f t="shared" ref="H14:H19" si="1">(F14-D14)*480</f>
        <v>3455.9999999999127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'23'!F15</f>
        <v>2633.9</v>
      </c>
      <c r="E15" s="64">
        <f>'Daily Meter'!L29</f>
        <v>2636.2</v>
      </c>
      <c r="F15" s="64">
        <f>'Daily Meter'!M29</f>
        <v>2638</v>
      </c>
      <c r="G15" s="80">
        <f t="shared" si="0"/>
        <v>864.00000000008731</v>
      </c>
      <c r="H15" s="65">
        <f t="shared" si="1"/>
        <v>1967.9999999999563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'23'!F16</f>
        <v>2839.7</v>
      </c>
      <c r="E16" s="64">
        <f>'Daily Meter'!N29</f>
        <v>2842.7</v>
      </c>
      <c r="F16" s="64">
        <f>'Daily Meter'!O29</f>
        <v>2844.6</v>
      </c>
      <c r="G16" s="80">
        <f t="shared" si="0"/>
        <v>912.00000000004366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'23'!F17</f>
        <v>1430.7</v>
      </c>
      <c r="E17" s="64">
        <f>'Daily Meter'!P29</f>
        <v>1435.5</v>
      </c>
      <c r="F17" s="64">
        <f>'Daily Meter'!Q29</f>
        <v>1433.4</v>
      </c>
      <c r="G17" s="80">
        <f t="shared" si="0"/>
        <v>-1007.9999999999563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'23'!F18</f>
        <v>4111.3999999999996</v>
      </c>
      <c r="E18" s="64">
        <f>'Daily Meter'!R29</f>
        <v>4114.3</v>
      </c>
      <c r="F18" s="64">
        <f>'Daily Meter'!S29</f>
        <v>4116.2</v>
      </c>
      <c r="G18" s="80">
        <f t="shared" si="0"/>
        <v>911.99999999982538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'23'!F19</f>
        <v>10865.1</v>
      </c>
      <c r="E19" s="64">
        <f>'Daily Meter'!T29</f>
        <v>10873.1</v>
      </c>
      <c r="F19" s="64">
        <f>'Daily Meter'!U29</f>
        <v>10878.7</v>
      </c>
      <c r="G19" s="80">
        <f t="shared" si="0"/>
        <v>2688.0000000001746</v>
      </c>
      <c r="H19" s="65">
        <f t="shared" si="1"/>
        <v>6528.0000000001746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5760</v>
      </c>
      <c r="H20" s="82">
        <f>SUM(H14:H19)</f>
        <v>17904.000000000196</v>
      </c>
      <c r="I20" s="68">
        <f>H20*0.43</f>
        <v>7698.7200000000839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'23'!F23</f>
        <v>54808.1</v>
      </c>
      <c r="E23" s="64">
        <f>'Daily Meter'!V29</f>
        <v>54898.8</v>
      </c>
      <c r="F23" s="64">
        <f>'Daily Meter'!W29</f>
        <v>55000.800000000003</v>
      </c>
      <c r="G23" s="80">
        <f>F23-E23</f>
        <v>102</v>
      </c>
      <c r="H23" s="89">
        <f>F23-D23</f>
        <v>192.70000000000437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712.99000000001615</v>
      </c>
      <c r="I24" s="92">
        <f>H24*2.18</f>
        <v>1554.3182000000354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6767.291999998758</v>
      </c>
      <c r="G29" s="48">
        <f>I9</f>
        <v>4263.3939599992173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70390.080000000002</v>
      </c>
      <c r="G30" s="48">
        <f>I12</f>
        <v>4223.4048000000003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17904.000000000196</v>
      </c>
      <c r="G31" s="48">
        <f>I20</f>
        <v>7698.7200000000839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192.70000000000437</v>
      </c>
      <c r="G32" s="48">
        <f>I24</f>
        <v>1554.3182000000354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17739.836959999335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5712442-ECE3-4817-8536-CC4E572EA72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25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'24'!F8</f>
        <v>37090.6</v>
      </c>
      <c r="E8" s="64">
        <f>'Daily Meter'!B30</f>
        <v>37106.800000000003</v>
      </c>
      <c r="F8" s="64">
        <f>'Daily Meter'!C30</f>
        <v>37119.4</v>
      </c>
      <c r="G8" s="65">
        <f>F8-E8</f>
        <v>12.599999999998545</v>
      </c>
      <c r="H8" s="65">
        <f>F8-D8</f>
        <v>28.80000000000291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3582.6839999995859</v>
      </c>
      <c r="H9" s="65">
        <f>H8*284.34</f>
        <v>8188.9920000008269</v>
      </c>
      <c r="I9" s="68">
        <f>H9*0.63</f>
        <v>5159.0649600005208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'24'!F11</f>
        <v>129718</v>
      </c>
      <c r="E11" s="64">
        <f>'Daily Meter'!D30</f>
        <v>129947</v>
      </c>
      <c r="F11" s="64">
        <f>'Daily Meter'!E30</f>
        <v>129956</v>
      </c>
      <c r="G11" s="65">
        <f>F11-E11</f>
        <v>9</v>
      </c>
      <c r="H11" s="65">
        <f>F11-D11</f>
        <v>238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1979.721</v>
      </c>
      <c r="H12" s="76">
        <f>H11*219.969</f>
        <v>52352.621999999996</v>
      </c>
      <c r="I12" s="96">
        <f>H12*0.06</f>
        <v>3141.1573199999998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'24'!F14</f>
        <v>4398.3999999999996</v>
      </c>
      <c r="E14" s="64">
        <f>'Daily Meter'!J30</f>
        <v>4403.1000000000004</v>
      </c>
      <c r="F14" s="64">
        <f>'Daily Meter'!K30</f>
        <v>4406.1000000000004</v>
      </c>
      <c r="G14" s="80">
        <f t="shared" ref="G14:G19" si="0">(F14-E14)*480</f>
        <v>1440</v>
      </c>
      <c r="H14" s="65">
        <f t="shared" ref="H14:H19" si="1">(F14-D14)*480</f>
        <v>3696.0000000003492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'24'!F15</f>
        <v>2638</v>
      </c>
      <c r="E15" s="64">
        <f>'Daily Meter'!L30</f>
        <v>2640.5</v>
      </c>
      <c r="F15" s="64">
        <f>'Daily Meter'!M30</f>
        <v>2642.4</v>
      </c>
      <c r="G15" s="80">
        <f t="shared" si="0"/>
        <v>912.00000000004366</v>
      </c>
      <c r="H15" s="65">
        <f t="shared" si="1"/>
        <v>2112.0000000000437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'24'!F16</f>
        <v>2844.6</v>
      </c>
      <c r="E16" s="64">
        <f>'Daily Meter'!N30</f>
        <v>2848</v>
      </c>
      <c r="F16" s="64">
        <f>'Daily Meter'!O30</f>
        <v>2849.8</v>
      </c>
      <c r="G16" s="80">
        <f t="shared" si="0"/>
        <v>864.00000000008731</v>
      </c>
      <c r="H16" s="65">
        <f t="shared" si="1"/>
        <v>2496.000000000131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'24'!F17</f>
        <v>1433.4</v>
      </c>
      <c r="E17" s="64">
        <f>'Daily Meter'!P30</f>
        <v>1435.6</v>
      </c>
      <c r="F17" s="64">
        <f>'Daily Meter'!Q30</f>
        <v>1436.7</v>
      </c>
      <c r="G17" s="80">
        <f t="shared" si="0"/>
        <v>528.00000000006548</v>
      </c>
      <c r="H17" s="65">
        <f t="shared" si="1"/>
        <v>1583.9999999999782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'24'!F18</f>
        <v>4116.2</v>
      </c>
      <c r="E18" s="64">
        <f>'Daily Meter'!R30</f>
        <v>4119.2</v>
      </c>
      <c r="F18" s="64">
        <f>'Daily Meter'!S30</f>
        <v>4121.1000000000004</v>
      </c>
      <c r="G18" s="80">
        <f t="shared" si="0"/>
        <v>912.00000000026193</v>
      </c>
      <c r="H18" s="65">
        <f t="shared" si="1"/>
        <v>2352.0000000002619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'24'!F19</f>
        <v>10878.7</v>
      </c>
      <c r="E19" s="64">
        <f>'Daily Meter'!T30</f>
        <v>10887.2</v>
      </c>
      <c r="F19" s="64">
        <f>'Daily Meter'!U30</f>
        <v>10892.7</v>
      </c>
      <c r="G19" s="80">
        <f t="shared" si="0"/>
        <v>2640</v>
      </c>
      <c r="H19" s="65">
        <f t="shared" si="1"/>
        <v>6720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7296.0000000004584</v>
      </c>
      <c r="H20" s="82">
        <f>SUM(H14:H19)</f>
        <v>18960.000000000764</v>
      </c>
      <c r="I20" s="68">
        <f>H20*0.43</f>
        <v>8152.8000000003285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'24'!F23</f>
        <v>55000.800000000003</v>
      </c>
      <c r="E23" s="64">
        <f>'Daily Meter'!V30</f>
        <v>55057.5</v>
      </c>
      <c r="F23" s="64">
        <f>'Daily Meter'!W30</f>
        <v>55117.8</v>
      </c>
      <c r="G23" s="80">
        <f>F23-E23</f>
        <v>60.30000000000291</v>
      </c>
      <c r="H23" s="89">
        <f>F23-D23</f>
        <v>117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432.90000000000003</v>
      </c>
      <c r="I24" s="92">
        <f>H24*2.18</f>
        <v>943.72200000000009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8188.9920000008269</v>
      </c>
      <c r="G29" s="48">
        <f>I9</f>
        <v>5159.0649600005208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52352.621999999996</v>
      </c>
      <c r="G30" s="48">
        <f>I12</f>
        <v>3141.1573199999998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18960.000000000764</v>
      </c>
      <c r="G31" s="48">
        <f>I20</f>
        <v>8152.8000000003285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117</v>
      </c>
      <c r="G32" s="48">
        <f>I24</f>
        <v>943.72200000000009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17396.74428000085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94A6CAAD-64F9-411B-AFAB-F560DC1B93F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26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'25'!F8</f>
        <v>37119.4</v>
      </c>
      <c r="E8" s="64">
        <f>'Daily Meter'!B31</f>
        <v>37137</v>
      </c>
      <c r="F8" s="64">
        <f>'Daily Meter'!C31</f>
        <v>37151</v>
      </c>
      <c r="G8" s="65">
        <f>F8-E8</f>
        <v>14</v>
      </c>
      <c r="H8" s="65">
        <f>F8-D8</f>
        <v>31.599999999998545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3980.7599999999998</v>
      </c>
      <c r="H9" s="65">
        <f>H8*284.34</f>
        <v>8985.1439999995855</v>
      </c>
      <c r="I9" s="68">
        <f>H9*0.63</f>
        <v>5660.6407199997393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'25'!F11</f>
        <v>129956</v>
      </c>
      <c r="E11" s="64">
        <f>'Daily Meter'!D31</f>
        <v>130171</v>
      </c>
      <c r="F11" s="64">
        <f>'Daily Meter'!E31</f>
        <v>130178</v>
      </c>
      <c r="G11" s="65">
        <f>F11-E11</f>
        <v>7</v>
      </c>
      <c r="H11" s="65">
        <f>F11-D11</f>
        <v>222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1539.7829999999999</v>
      </c>
      <c r="H12" s="76">
        <f>H11*219.969</f>
        <v>48833.118000000002</v>
      </c>
      <c r="I12" s="96">
        <f>H12*0.06</f>
        <v>2929.9870799999999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'25'!F14</f>
        <v>4406.1000000000004</v>
      </c>
      <c r="E14" s="64">
        <f>'Daily Meter'!J31</f>
        <v>4410.3999999999996</v>
      </c>
      <c r="F14" s="64">
        <f>'Daily Meter'!K31</f>
        <v>4413.7</v>
      </c>
      <c r="G14" s="80">
        <f t="shared" ref="G14:G19" si="0">(F14-E14)*480</f>
        <v>1584.0000000000873</v>
      </c>
      <c r="H14" s="65">
        <f t="shared" ref="H14:H19" si="1">(F14-D14)*480</f>
        <v>3647.9999999997381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'25'!F15</f>
        <v>2642.4</v>
      </c>
      <c r="E15" s="64">
        <f>'Daily Meter'!L31</f>
        <v>2644.8</v>
      </c>
      <c r="F15" s="64">
        <f>'Daily Meter'!M31</f>
        <v>2646.7</v>
      </c>
      <c r="G15" s="80">
        <f t="shared" si="0"/>
        <v>911.99999999982538</v>
      </c>
      <c r="H15" s="65">
        <f t="shared" si="1"/>
        <v>2063.999999999869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'25'!F16</f>
        <v>2849.8</v>
      </c>
      <c r="E16" s="64">
        <f>'Daily Meter'!N31</f>
        <v>2852.9</v>
      </c>
      <c r="F16" s="64">
        <f>'Daily Meter'!O31</f>
        <v>2854.9</v>
      </c>
      <c r="G16" s="80">
        <f t="shared" si="0"/>
        <v>960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'25'!F17</f>
        <v>1436.7</v>
      </c>
      <c r="E17" s="64">
        <f>'Daily Meter'!P31</f>
        <v>1438.8</v>
      </c>
      <c r="F17" s="64">
        <f>'Daily Meter'!Q31</f>
        <v>1439.9</v>
      </c>
      <c r="G17" s="80">
        <f t="shared" si="0"/>
        <v>528.00000000006548</v>
      </c>
      <c r="H17" s="65">
        <f t="shared" si="1"/>
        <v>1536.0000000000218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'25'!F18</f>
        <v>4121.1000000000004</v>
      </c>
      <c r="E18" s="64">
        <f>'Daily Meter'!R31</f>
        <v>4124</v>
      </c>
      <c r="F18" s="64">
        <f>'Daily Meter'!S31</f>
        <v>4125.8999999999996</v>
      </c>
      <c r="G18" s="80">
        <f t="shared" si="0"/>
        <v>911.99999999982538</v>
      </c>
      <c r="H18" s="65">
        <f t="shared" si="1"/>
        <v>2303.9999999996508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'25'!F19</f>
        <v>10892.7</v>
      </c>
      <c r="E19" s="64">
        <f>'Daily Meter'!T31</f>
        <v>10900.5</v>
      </c>
      <c r="F19" s="64">
        <f>'Daily Meter'!U31</f>
        <v>10906.4</v>
      </c>
      <c r="G19" s="80">
        <f t="shared" si="0"/>
        <v>2831.9999999998254</v>
      </c>
      <c r="H19" s="65">
        <f t="shared" si="1"/>
        <v>6575.9999999994761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7727.9999999996289</v>
      </c>
      <c r="H20" s="82">
        <f>SUM(H14:H19)</f>
        <v>18575.999999998712</v>
      </c>
      <c r="I20" s="68">
        <f>H20*0.43</f>
        <v>7987.6799999994464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'25'!F23</f>
        <v>55117.8</v>
      </c>
      <c r="E23" s="64">
        <f>'Daily Meter'!V31</f>
        <v>55207.199999999997</v>
      </c>
      <c r="F23" s="64">
        <f>'Daily Meter'!W31</f>
        <v>55279.5</v>
      </c>
      <c r="G23" s="80">
        <f>F23-E23</f>
        <v>72.30000000000291</v>
      </c>
      <c r="H23" s="89">
        <f>F23-D23</f>
        <v>161.69999999999709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598.28999999998928</v>
      </c>
      <c r="I24" s="92">
        <f>H24*2.18</f>
        <v>1304.2721999999767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8985.1439999995855</v>
      </c>
      <c r="G29" s="48">
        <f>I9</f>
        <v>5660.6407199997393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48833.118000000002</v>
      </c>
      <c r="G30" s="48">
        <f>I12</f>
        <v>2929.9870799999999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18575.999999998712</v>
      </c>
      <c r="G31" s="48">
        <f>I20</f>
        <v>7987.6799999994464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161.69999999999709</v>
      </c>
      <c r="G32" s="48">
        <f>I24</f>
        <v>1304.2721999999767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17882.579999999165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6B4A910-537E-4FE7-B563-FD50DF8CBB6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105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</row>
    <row r="4" spans="1:10" s="36" customFormat="1" ht="17.649999999999999">
      <c r="A4" s="52"/>
      <c r="B4" s="51" t="str">
        <f>'1'!B4</f>
        <v>FEBRUARY 2023</v>
      </c>
      <c r="C4" s="52">
        <v>27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'26'!F8</f>
        <v>37151</v>
      </c>
      <c r="E8" s="64">
        <f>'Daily Meter'!B32</f>
        <v>37165.599999999999</v>
      </c>
      <c r="F8" s="64">
        <f>'Daily Meter'!C32</f>
        <v>37177.699999999997</v>
      </c>
      <c r="G8" s="65">
        <f>F8-E8</f>
        <v>12.099999999998545</v>
      </c>
      <c r="H8" s="65">
        <f>F8-D8</f>
        <v>26.69999999999709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3440.5139999995858</v>
      </c>
      <c r="H9" s="65">
        <f>H8*284.34</f>
        <v>7591.8779999991721</v>
      </c>
      <c r="I9" s="68">
        <f>H9*0.63</f>
        <v>4782.8831399994788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'26'!F11</f>
        <v>130178</v>
      </c>
      <c r="E11" s="64">
        <f>'Daily Meter'!D32</f>
        <v>130356</v>
      </c>
      <c r="F11" s="64">
        <f>'Daily Meter'!E32</f>
        <v>130359</v>
      </c>
      <c r="G11" s="65">
        <f>F11-E11</f>
        <v>3</v>
      </c>
      <c r="H11" s="65">
        <f>F11-D11</f>
        <v>181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39814.388999999996</v>
      </c>
      <c r="I12" s="96">
        <f>H12*0.06</f>
        <v>2388.8633399999994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'26'!F14</f>
        <v>4413.7</v>
      </c>
      <c r="E14" s="64">
        <f>'Daily Meter'!J32</f>
        <v>4416.8999999999996</v>
      </c>
      <c r="F14" s="64">
        <f>'Daily Meter'!K32</f>
        <v>4421.8</v>
      </c>
      <c r="G14" s="80">
        <f t="shared" ref="G14:G19" si="0">(F14-E14)*480</f>
        <v>2352.0000000002619</v>
      </c>
      <c r="H14" s="65">
        <f t="shared" ref="H14:H19" si="1">(F14-D14)*480</f>
        <v>3888.0000000001746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'26'!F15</f>
        <v>2646.7</v>
      </c>
      <c r="E15" s="64">
        <f>'Daily Meter'!L32</f>
        <v>2648.3</v>
      </c>
      <c r="F15" s="64">
        <f>'Daily Meter'!M32</f>
        <v>2651.4</v>
      </c>
      <c r="G15" s="80">
        <f t="shared" si="0"/>
        <v>1487.9999999999563</v>
      </c>
      <c r="H15" s="65">
        <f t="shared" si="1"/>
        <v>2256.000000000131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'26'!F16</f>
        <v>2854.9</v>
      </c>
      <c r="E16" s="64">
        <f>'Daily Meter'!N32</f>
        <v>2857.1</v>
      </c>
      <c r="F16" s="64">
        <f>'Daily Meter'!O32</f>
        <v>2860.2</v>
      </c>
      <c r="G16" s="80">
        <f t="shared" si="0"/>
        <v>1487.9999999999563</v>
      </c>
      <c r="H16" s="65">
        <f t="shared" si="1"/>
        <v>2543.999999999869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'26'!F17</f>
        <v>1439.9</v>
      </c>
      <c r="E17" s="64">
        <f>'Daily Meter'!P32</f>
        <v>1441.2</v>
      </c>
      <c r="F17" s="64">
        <f>'Daily Meter'!Q32</f>
        <v>1443.1</v>
      </c>
      <c r="G17" s="80">
        <f t="shared" si="0"/>
        <v>911.99999999993452</v>
      </c>
      <c r="H17" s="65">
        <f t="shared" si="1"/>
        <v>1535.9999999999127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'26'!F18</f>
        <v>4125.8999999999996</v>
      </c>
      <c r="E18" s="64">
        <f>'Daily Meter'!R32</f>
        <v>4128</v>
      </c>
      <c r="F18" s="64">
        <f>'Daily Meter'!S32</f>
        <v>4131.1000000000004</v>
      </c>
      <c r="G18" s="80">
        <f t="shared" si="0"/>
        <v>1488.0000000001746</v>
      </c>
      <c r="H18" s="65">
        <f t="shared" si="1"/>
        <v>2496.0000000003492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'26'!F19</f>
        <v>10906.4</v>
      </c>
      <c r="E19" s="64">
        <f>'Daily Meter'!T32</f>
        <v>10912.2</v>
      </c>
      <c r="F19" s="64">
        <f>'Daily Meter'!U32</f>
        <v>10921.2</v>
      </c>
      <c r="G19" s="80">
        <f t="shared" si="0"/>
        <v>4320</v>
      </c>
      <c r="H19" s="65">
        <f t="shared" si="1"/>
        <v>7104.0000000005239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12048.000000000284</v>
      </c>
      <c r="H20" s="82">
        <f>SUM(H14:H19)</f>
        <v>19824.00000000096</v>
      </c>
      <c r="I20" s="68">
        <f>H20*0.43</f>
        <v>8524.3200000004126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'26'!F23</f>
        <v>55279.5</v>
      </c>
      <c r="E23" s="64">
        <f>'Daily Meter'!V32</f>
        <v>55337.2</v>
      </c>
      <c r="F23" s="64">
        <f>'Daily Meter'!W32</f>
        <v>55398.1</v>
      </c>
      <c r="G23" s="80">
        <f>F23-E23</f>
        <v>60.900000000001455</v>
      </c>
      <c r="H23" s="89">
        <f>F23-D23</f>
        <v>118.59999999999854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438.81999999999465</v>
      </c>
      <c r="I24" s="92">
        <f>H24*2.18</f>
        <v>956.62759999998843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7591.8779999991721</v>
      </c>
      <c r="G29" s="48">
        <f>I9</f>
        <v>4782.8831399994788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39814.388999999996</v>
      </c>
      <c r="G30" s="48">
        <f>I12</f>
        <v>2388.8633399999994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19824.00000000096</v>
      </c>
      <c r="G31" s="48">
        <f>I20</f>
        <v>8524.3200000004126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118.59999999999854</v>
      </c>
      <c r="G32" s="48">
        <f>I24</f>
        <v>956.62759999998843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16652.694079999877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837777D-DA32-46F9-8FC9-D8BBAE5DFE86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90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  <c r="J3" s="185" t="s">
        <v>105</v>
      </c>
    </row>
    <row r="4" spans="1:10" s="36" customFormat="1" ht="17.649999999999999">
      <c r="A4" s="52"/>
      <c r="B4" s="51" t="str">
        <f>'1'!B4</f>
        <v>FEBRUARY 2023</v>
      </c>
      <c r="C4" s="52">
        <v>28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'27'!F8</f>
        <v>37177.699999999997</v>
      </c>
      <c r="E8" s="64">
        <f>'Daily Meter'!B33</f>
        <v>37192.400000000001</v>
      </c>
      <c r="F8" s="64">
        <f>'Daily Meter'!C33</f>
        <v>37209.300000000003</v>
      </c>
      <c r="G8" s="65">
        <f>F8-E8</f>
        <v>16.900000000001455</v>
      </c>
      <c r="H8" s="65">
        <f>F8-D8</f>
        <v>31.600000000005821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4805.3460000004134</v>
      </c>
      <c r="H9" s="65">
        <f>H8*284.34</f>
        <v>8985.1440000016537</v>
      </c>
      <c r="I9" s="68">
        <f>H9*0.63</f>
        <v>5660.6407200010417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'27'!F11</f>
        <v>130359</v>
      </c>
      <c r="E11" s="64">
        <f>'Daily Meter'!D33</f>
        <v>130538</v>
      </c>
      <c r="F11" s="64">
        <f>'Daily Meter'!E33</f>
        <v>130541</v>
      </c>
      <c r="G11" s="65">
        <f>F11-E11</f>
        <v>3</v>
      </c>
      <c r="H11" s="65">
        <f>F11-D11</f>
        <v>182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40034.358</v>
      </c>
      <c r="I12" s="96">
        <f>H12*0.06</f>
        <v>2402.0614799999998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'27'!F14</f>
        <v>4421.8</v>
      </c>
      <c r="E14" s="64">
        <f>'Daily Meter'!J33</f>
        <v>4423.6000000000004</v>
      </c>
      <c r="F14" s="64">
        <f>'Daily Meter'!K33</f>
        <v>4427.6000000000004</v>
      </c>
      <c r="G14" s="80">
        <f t="shared" ref="G14:G19" si="0">(F14-E14)*480</f>
        <v>1920</v>
      </c>
      <c r="H14" s="65">
        <f t="shared" ref="H14:H19" si="1">(F14-D14)*480</f>
        <v>2784.0000000000873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'27'!F15</f>
        <v>2651.4</v>
      </c>
      <c r="E15" s="64">
        <f>'Daily Meter'!L33</f>
        <v>2652.4</v>
      </c>
      <c r="F15" s="64">
        <f>'Daily Meter'!M33</f>
        <v>2654.9</v>
      </c>
      <c r="G15" s="80">
        <f t="shared" si="0"/>
        <v>1200</v>
      </c>
      <c r="H15" s="65">
        <f t="shared" si="1"/>
        <v>1680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'27'!F16</f>
        <v>2860.2</v>
      </c>
      <c r="E16" s="64">
        <f>'Daily Meter'!N33</f>
        <v>2861.7</v>
      </c>
      <c r="F16" s="64">
        <f>'Daily Meter'!O33</f>
        <v>2864.2</v>
      </c>
      <c r="G16" s="80">
        <f t="shared" si="0"/>
        <v>1200</v>
      </c>
      <c r="H16" s="65">
        <f t="shared" si="1"/>
        <v>1920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'27'!F17</f>
        <v>1443.1</v>
      </c>
      <c r="E17" s="64">
        <f>'Daily Meter'!P33</f>
        <v>1443.9</v>
      </c>
      <c r="F17" s="64">
        <f>'Daily Meter'!Q33</f>
        <v>1445.5</v>
      </c>
      <c r="G17" s="80">
        <f t="shared" si="0"/>
        <v>767.99999999995634</v>
      </c>
      <c r="H17" s="65">
        <f t="shared" si="1"/>
        <v>1152.0000000000437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'27'!F18</f>
        <v>4131.1000000000004</v>
      </c>
      <c r="E18" s="64">
        <f>'Daily Meter'!R33</f>
        <v>4132.3</v>
      </c>
      <c r="F18" s="64">
        <f>'Daily Meter'!S33</f>
        <v>4135</v>
      </c>
      <c r="G18" s="80">
        <f t="shared" si="0"/>
        <v>1295.9999999999127</v>
      </c>
      <c r="H18" s="65">
        <f t="shared" si="1"/>
        <v>1871.9999999998254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'27'!F19</f>
        <v>10921.2</v>
      </c>
      <c r="E19" s="64">
        <f>'Daily Meter'!T33</f>
        <v>10924.7</v>
      </c>
      <c r="F19" s="64">
        <f>'Daily Meter'!U33</f>
        <v>10932.4</v>
      </c>
      <c r="G19" s="80">
        <f t="shared" si="0"/>
        <v>3695.9999999994761</v>
      </c>
      <c r="H19" s="65">
        <f t="shared" si="1"/>
        <v>5375.9999999994761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10079.999999999345</v>
      </c>
      <c r="H20" s="82">
        <f>SUM(H14:H19)</f>
        <v>14783.999999999432</v>
      </c>
      <c r="I20" s="68">
        <f>H20*0.43</f>
        <v>6357.1199999997561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'27'!F23</f>
        <v>55398.1</v>
      </c>
      <c r="E23" s="64">
        <f>'Daily Meter'!V33</f>
        <v>55467.3</v>
      </c>
      <c r="F23" s="64">
        <f>'Daily Meter'!W33</f>
        <v>55556.6</v>
      </c>
      <c r="G23" s="80">
        <f>F23-E23</f>
        <v>89.299999999995634</v>
      </c>
      <c r="H23" s="89">
        <f>F23-D23</f>
        <v>158.5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586.45000000000005</v>
      </c>
      <c r="I24" s="92">
        <f>H24*2.18</f>
        <v>1278.4610000000002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8985.1440000016537</v>
      </c>
      <c r="G29" s="48">
        <f>I9</f>
        <v>5660.6407200010417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40034.358</v>
      </c>
      <c r="G30" s="48">
        <f>I12</f>
        <v>2402.0614799999998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14783.999999999432</v>
      </c>
      <c r="G31" s="48">
        <f>I20</f>
        <v>6357.1199999997561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158.5</v>
      </c>
      <c r="G32" s="48">
        <f>I24</f>
        <v>1278.4610000000002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15698.283200000798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DE0F4135-B3BC-442E-8104-322208415A55}"/>
    <hyperlink ref="J3" location="'Daily Meter'!A1" display="daily reading" xr:uid="{799B136C-5B34-4EF0-9DED-4EE1F37DFE4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90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  <c r="J3" s="185" t="s">
        <v>105</v>
      </c>
    </row>
    <row r="4" spans="1:10" s="36" customFormat="1" ht="17.649999999999999">
      <c r="A4" s="52"/>
      <c r="B4" s="51" t="str">
        <f>'1'!B4</f>
        <v>FEBRUARY 2023</v>
      </c>
      <c r="C4" s="52">
        <v>29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'28'!F8</f>
        <v>37209.300000000003</v>
      </c>
      <c r="E8" s="64">
        <f>'Daily Meter'!B34</f>
        <v>0</v>
      </c>
      <c r="F8" s="64">
        <f>'Daily Meter'!C34</f>
        <v>0</v>
      </c>
      <c r="G8" s="65">
        <f>F8-E8</f>
        <v>0</v>
      </c>
      <c r="H8" s="65">
        <f>F8-D8</f>
        <v>-37209.300000000003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-10580092.362</v>
      </c>
      <c r="I9" s="68">
        <f>H9*0.63</f>
        <v>-6665458.1880599996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'28'!F11</f>
        <v>130541</v>
      </c>
      <c r="E11" s="64">
        <f>'Daily Meter'!D34</f>
        <v>0</v>
      </c>
      <c r="F11" s="64">
        <f>'Daily Meter'!E34</f>
        <v>0</v>
      </c>
      <c r="G11" s="65">
        <f>F11-E11</f>
        <v>0</v>
      </c>
      <c r="H11" s="65">
        <f>F11-D11</f>
        <v>-130541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-28714973.228999998</v>
      </c>
      <c r="I12" s="96">
        <f>H12*0.06</f>
        <v>-1722898.3937399997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'28'!F14</f>
        <v>4427.6000000000004</v>
      </c>
      <c r="E14" s="64">
        <f>'Daily Meter'!J34</f>
        <v>0</v>
      </c>
      <c r="F14" s="64">
        <f>'Daily Meter'!K34</f>
        <v>0</v>
      </c>
      <c r="G14" s="80">
        <f t="shared" ref="G14:G19" si="0">(F14-E14)*480</f>
        <v>0</v>
      </c>
      <c r="H14" s="65">
        <f t="shared" ref="H14:H19" si="1">(F14-D14)*480</f>
        <v>-2125248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'28'!F15</f>
        <v>2654.9</v>
      </c>
      <c r="E15" s="64">
        <f>'Daily Meter'!L34</f>
        <v>0</v>
      </c>
      <c r="F15" s="64">
        <f>'Daily Meter'!M34</f>
        <v>0</v>
      </c>
      <c r="G15" s="80">
        <f t="shared" si="0"/>
        <v>0</v>
      </c>
      <c r="H15" s="65">
        <f t="shared" si="1"/>
        <v>-1274352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'28'!F16</f>
        <v>2864.2</v>
      </c>
      <c r="E16" s="64">
        <f>'Daily Meter'!N34</f>
        <v>0</v>
      </c>
      <c r="F16" s="64">
        <f>'Daily Meter'!O34</f>
        <v>0</v>
      </c>
      <c r="G16" s="80">
        <f t="shared" si="0"/>
        <v>0</v>
      </c>
      <c r="H16" s="65">
        <f t="shared" si="1"/>
        <v>-1374816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'28'!F17</f>
        <v>1445.5</v>
      </c>
      <c r="E17" s="64">
        <f>'Daily Meter'!P34</f>
        <v>0</v>
      </c>
      <c r="F17" s="64">
        <f>'Daily Meter'!Q34</f>
        <v>0</v>
      </c>
      <c r="G17" s="80">
        <f t="shared" si="0"/>
        <v>0</v>
      </c>
      <c r="H17" s="65">
        <f t="shared" si="1"/>
        <v>-693840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'28'!F18</f>
        <v>4135</v>
      </c>
      <c r="E18" s="64">
        <f>'Daily Meter'!R34</f>
        <v>0</v>
      </c>
      <c r="F18" s="64">
        <f>'Daily Meter'!S34</f>
        <v>0</v>
      </c>
      <c r="G18" s="80">
        <f t="shared" si="0"/>
        <v>0</v>
      </c>
      <c r="H18" s="65">
        <f t="shared" si="1"/>
        <v>-1984800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'28'!F19</f>
        <v>10932.4</v>
      </c>
      <c r="E19" s="64">
        <f>'Daily Meter'!T34</f>
        <v>0</v>
      </c>
      <c r="F19" s="64">
        <f>'Daily Meter'!U34</f>
        <v>0</v>
      </c>
      <c r="G19" s="80">
        <f t="shared" si="0"/>
        <v>0</v>
      </c>
      <c r="H19" s="65">
        <f t="shared" si="1"/>
        <v>-5247552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-12700608</v>
      </c>
      <c r="I20" s="68">
        <f>H20*0.43</f>
        <v>-5461261.4399999995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'28'!F23</f>
        <v>55556.6</v>
      </c>
      <c r="E23" s="64">
        <f>'Daily Meter'!V34</f>
        <v>0</v>
      </c>
      <c r="F23" s="64">
        <f>'Daily Meter'!W34</f>
        <v>0</v>
      </c>
      <c r="G23" s="80">
        <f>F23-E23</f>
        <v>0</v>
      </c>
      <c r="H23" s="89">
        <f>F23-D23</f>
        <v>-55556.6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-205559.42</v>
      </c>
      <c r="I24" s="92">
        <f>H24*2.18</f>
        <v>-448119.53560000006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-10580092.362</v>
      </c>
      <c r="G29" s="48">
        <f>I9</f>
        <v>-6665458.1880599996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-28714973.228999998</v>
      </c>
      <c r="G30" s="48">
        <f>I12</f>
        <v>-1722898.3937399997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-12700608</v>
      </c>
      <c r="G31" s="48">
        <f>I20</f>
        <v>-5461261.4399999995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-55556.6</v>
      </c>
      <c r="G32" s="48">
        <f>I24</f>
        <v>-448119.53560000006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-14297737.557399999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FBC87B9B-F5AC-4782-BFBD-17C86D5D8320}"/>
    <hyperlink ref="J3" location="'Daily Meter'!A1" display="daily reading" xr:uid="{59932128-7EC4-43C3-84B5-78F16E247D0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90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  <c r="J3" s="185" t="s">
        <v>105</v>
      </c>
    </row>
    <row r="4" spans="1:10" s="36" customFormat="1" ht="17.649999999999999">
      <c r="A4" s="52"/>
      <c r="B4" s="51" t="str">
        <f>'1'!B4</f>
        <v>FEBRUARY 2023</v>
      </c>
      <c r="C4" s="52">
        <v>30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'29'!F8</f>
        <v>0</v>
      </c>
      <c r="E8" s="64">
        <f>'Daily Meter'!B35</f>
        <v>0</v>
      </c>
      <c r="F8" s="64">
        <f>'Daily Meter'!C35</f>
        <v>0</v>
      </c>
      <c r="G8" s="65">
        <f>F8-E8</f>
        <v>0</v>
      </c>
      <c r="H8" s="65">
        <f>F8-D8</f>
        <v>0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0</v>
      </c>
      <c r="I9" s="68">
        <f>H9*0.63</f>
        <v>0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'29'!F11</f>
        <v>0</v>
      </c>
      <c r="E11" s="64">
        <f>'Daily Meter'!D35</f>
        <v>0</v>
      </c>
      <c r="F11" s="64">
        <f>'Daily Meter'!E35</f>
        <v>0</v>
      </c>
      <c r="G11" s="65">
        <f>F11-E11</f>
        <v>0</v>
      </c>
      <c r="H11" s="65">
        <f>F11-D11</f>
        <v>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0</v>
      </c>
      <c r="I12" s="96">
        <f>H12*0.06</f>
        <v>0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'29'!F14</f>
        <v>0</v>
      </c>
      <c r="E14" s="64">
        <f>'Daily Meter'!J35</f>
        <v>0</v>
      </c>
      <c r="F14" s="64">
        <f>'Daily Meter'!K35</f>
        <v>0</v>
      </c>
      <c r="G14" s="80">
        <f t="shared" ref="G14:G19" si="0">(F14-E14)*480</f>
        <v>0</v>
      </c>
      <c r="H14" s="65">
        <f t="shared" ref="H14:H19" si="1">(F14-D14)*480</f>
        <v>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'29'!F15</f>
        <v>0</v>
      </c>
      <c r="E15" s="64">
        <f>'Daily Meter'!L35</f>
        <v>0</v>
      </c>
      <c r="F15" s="64">
        <f>'Daily Meter'!M35</f>
        <v>0</v>
      </c>
      <c r="G15" s="80">
        <f t="shared" si="0"/>
        <v>0</v>
      </c>
      <c r="H15" s="65">
        <f t="shared" si="1"/>
        <v>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'29'!F16</f>
        <v>0</v>
      </c>
      <c r="E16" s="64">
        <f>'Daily Meter'!N35</f>
        <v>0</v>
      </c>
      <c r="F16" s="64">
        <f>'Daily Meter'!O35</f>
        <v>0</v>
      </c>
      <c r="G16" s="80">
        <f t="shared" si="0"/>
        <v>0</v>
      </c>
      <c r="H16" s="65">
        <f t="shared" si="1"/>
        <v>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'29'!F17</f>
        <v>0</v>
      </c>
      <c r="E17" s="64">
        <f>'Daily Meter'!P35</f>
        <v>0</v>
      </c>
      <c r="F17" s="64">
        <f>'Daily Meter'!Q35</f>
        <v>0</v>
      </c>
      <c r="G17" s="80">
        <f t="shared" si="0"/>
        <v>0</v>
      </c>
      <c r="H17" s="65">
        <f t="shared" si="1"/>
        <v>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'29'!F18</f>
        <v>0</v>
      </c>
      <c r="E18" s="64">
        <f>'Daily Meter'!R35</f>
        <v>0</v>
      </c>
      <c r="F18" s="64">
        <f>'Daily Meter'!S35</f>
        <v>0</v>
      </c>
      <c r="G18" s="80">
        <f t="shared" si="0"/>
        <v>0</v>
      </c>
      <c r="H18" s="65">
        <f t="shared" si="1"/>
        <v>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'29'!F19</f>
        <v>0</v>
      </c>
      <c r="E19" s="64">
        <f>'Daily Meter'!T35</f>
        <v>0</v>
      </c>
      <c r="F19" s="64">
        <f>'Daily Meter'!U35</f>
        <v>0</v>
      </c>
      <c r="G19" s="80">
        <f t="shared" si="0"/>
        <v>0</v>
      </c>
      <c r="H19" s="65">
        <f t="shared" si="1"/>
        <v>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0</v>
      </c>
      <c r="I20" s="68">
        <f>H20*0.43</f>
        <v>0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'29'!F23</f>
        <v>0</v>
      </c>
      <c r="E23" s="64">
        <f>'Daily Meter'!V35</f>
        <v>0</v>
      </c>
      <c r="F23" s="64">
        <f>'Daily Meter'!W35</f>
        <v>0</v>
      </c>
      <c r="G23" s="80">
        <f>F23-E23</f>
        <v>0</v>
      </c>
      <c r="H23" s="89">
        <f>F23-D23</f>
        <v>0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0</v>
      </c>
      <c r="I24" s="92">
        <f>H24*2.18</f>
        <v>0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0</v>
      </c>
      <c r="G29" s="48">
        <f>I9</f>
        <v>0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0</v>
      </c>
      <c r="G30" s="48">
        <f>I12</f>
        <v>0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0</v>
      </c>
      <c r="G31" s="48">
        <f>I20</f>
        <v>0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0</v>
      </c>
      <c r="G32" s="48">
        <f>I24</f>
        <v>0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0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E39159D0-0F4D-4DCA-B66B-1494AAABB393}"/>
    <hyperlink ref="J3" location="'Daily Meter'!A1" display="daily reading" xr:uid="{EB7A3B35-ACDD-462C-B5C6-0C06D910A2A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3"/>
  <sheetViews>
    <sheetView zoomScaleNormal="100" workbookViewId="0">
      <selection activeCell="J1" sqref="J1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279" t="s">
        <v>0</v>
      </c>
      <c r="B1" s="280"/>
      <c r="C1" s="280"/>
      <c r="D1" s="280"/>
      <c r="E1" s="280"/>
      <c r="F1" s="280"/>
      <c r="G1" s="280"/>
      <c r="H1" s="281"/>
      <c r="I1" s="282"/>
      <c r="J1" s="185" t="s">
        <v>90</v>
      </c>
    </row>
    <row r="2" spans="1:10" ht="15.75" customHeight="1">
      <c r="A2" s="283"/>
      <c r="B2" s="276"/>
      <c r="C2" s="276"/>
      <c r="D2" s="276"/>
      <c r="E2" s="276"/>
      <c r="F2" s="276"/>
      <c r="G2" s="276"/>
      <c r="H2" s="284"/>
      <c r="I2" s="285"/>
    </row>
    <row r="3" spans="1:10" ht="17.649999999999999">
      <c r="A3" s="291" t="s">
        <v>34</v>
      </c>
      <c r="B3" s="287"/>
      <c r="C3" s="287"/>
      <c r="D3" s="287"/>
      <c r="E3" s="287"/>
      <c r="F3" s="287"/>
      <c r="G3" s="287"/>
      <c r="H3" s="287"/>
      <c r="I3" s="288"/>
      <c r="J3" s="185" t="s">
        <v>105</v>
      </c>
    </row>
    <row r="4" spans="1:10" s="36" customFormat="1" ht="17.649999999999999">
      <c r="A4" s="52"/>
      <c r="B4" s="51" t="str">
        <f>'1'!B4</f>
        <v>FEBRUARY 2023</v>
      </c>
      <c r="C4" s="52"/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90"/>
      <c r="E6" s="290"/>
      <c r="F6" s="290"/>
      <c r="G6" s="290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'30'!F8</f>
        <v>0</v>
      </c>
      <c r="E8" s="64">
        <f>'Daily Meter'!B36</f>
        <v>0</v>
      </c>
      <c r="F8" s="64">
        <f>'Daily Meter'!C36</f>
        <v>0</v>
      </c>
      <c r="G8" s="65">
        <f>F8-E8</f>
        <v>0</v>
      </c>
      <c r="H8" s="65">
        <f>F8-D8</f>
        <v>0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0</v>
      </c>
      <c r="I9" s="68">
        <f>H9*0.63</f>
        <v>0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'30'!F11</f>
        <v>0</v>
      </c>
      <c r="E11" s="64">
        <f>'Daily Meter'!D36</f>
        <v>0</v>
      </c>
      <c r="F11" s="64">
        <f>'Daily Meter'!E36</f>
        <v>0</v>
      </c>
      <c r="G11" s="65">
        <f>F11-E11</f>
        <v>0</v>
      </c>
      <c r="H11" s="65">
        <f>F11-D11</f>
        <v>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0</v>
      </c>
      <c r="I12" s="96">
        <f>H12*0.06</f>
        <v>0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'30'!F14</f>
        <v>0</v>
      </c>
      <c r="E14" s="64">
        <f>'Daily Meter'!J36</f>
        <v>0</v>
      </c>
      <c r="F14" s="64">
        <f>'Daily Meter'!K36</f>
        <v>0</v>
      </c>
      <c r="G14" s="80">
        <f t="shared" ref="G14:G19" si="0">(F14-E14)*480</f>
        <v>0</v>
      </c>
      <c r="H14" s="65">
        <f t="shared" ref="H14:H19" si="1">(F14-D14)*480</f>
        <v>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'30'!F15</f>
        <v>0</v>
      </c>
      <c r="E15" s="64">
        <f>'Daily Meter'!L36</f>
        <v>0</v>
      </c>
      <c r="F15" s="64">
        <f>'Daily Meter'!M36</f>
        <v>0</v>
      </c>
      <c r="G15" s="80">
        <f t="shared" si="0"/>
        <v>0</v>
      </c>
      <c r="H15" s="65">
        <f t="shared" si="1"/>
        <v>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'30'!F16</f>
        <v>0</v>
      </c>
      <c r="E16" s="64">
        <f>'Daily Meter'!N36</f>
        <v>0</v>
      </c>
      <c r="F16" s="64">
        <f>'Daily Meter'!O36</f>
        <v>0</v>
      </c>
      <c r="G16" s="80">
        <f t="shared" si="0"/>
        <v>0</v>
      </c>
      <c r="H16" s="65">
        <f t="shared" si="1"/>
        <v>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'30'!F17</f>
        <v>0</v>
      </c>
      <c r="E17" s="64">
        <f>'Daily Meter'!P36</f>
        <v>0</v>
      </c>
      <c r="F17" s="64">
        <f>'Daily Meter'!Q36</f>
        <v>0</v>
      </c>
      <c r="G17" s="80">
        <f t="shared" si="0"/>
        <v>0</v>
      </c>
      <c r="H17" s="65">
        <f t="shared" si="1"/>
        <v>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'30'!F18</f>
        <v>0</v>
      </c>
      <c r="E18" s="64">
        <f>'Daily Meter'!R36</f>
        <v>0</v>
      </c>
      <c r="F18" s="64">
        <f>'Daily Meter'!S36</f>
        <v>0</v>
      </c>
      <c r="G18" s="80">
        <f t="shared" si="0"/>
        <v>0</v>
      </c>
      <c r="H18" s="65">
        <f t="shared" si="1"/>
        <v>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'30'!F19</f>
        <v>0</v>
      </c>
      <c r="E19" s="64">
        <f>'Daily Meter'!T36</f>
        <v>0</v>
      </c>
      <c r="F19" s="64">
        <f>'Daily Meter'!U36</f>
        <v>0</v>
      </c>
      <c r="G19" s="80">
        <f t="shared" si="0"/>
        <v>0</v>
      </c>
      <c r="H19" s="65">
        <f t="shared" si="1"/>
        <v>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0</v>
      </c>
      <c r="I20" s="68">
        <f>H20*0.43</f>
        <v>0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'30'!F23</f>
        <v>0</v>
      </c>
      <c r="E23" s="64">
        <f>'Daily Meter'!V36</f>
        <v>0</v>
      </c>
      <c r="F23" s="64">
        <f>'Daily Meter'!W36</f>
        <v>0</v>
      </c>
      <c r="G23" s="80">
        <f>F23-E23</f>
        <v>0</v>
      </c>
      <c r="H23" s="89">
        <f>F23-D23</f>
        <v>0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0</v>
      </c>
      <c r="I24" s="92">
        <f>H24*2.18</f>
        <v>0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278" t="s">
        <v>20</v>
      </c>
      <c r="E27" s="278"/>
      <c r="F27" s="278"/>
      <c r="G27" s="278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0</v>
      </c>
      <c r="G29" s="48">
        <f>I9</f>
        <v>0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0</v>
      </c>
      <c r="G30" s="48">
        <f>I12</f>
        <v>0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0</v>
      </c>
      <c r="G31" s="48">
        <f>I20</f>
        <v>0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0</v>
      </c>
      <c r="G32" s="48">
        <f>I24</f>
        <v>0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0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6F9E5D93-7BDE-4FA4-8308-937DFFD5DD29}"/>
    <hyperlink ref="J3" location="'Daily Meter'!A1" display="daily reading" xr:uid="{5F4713BC-84C6-4FE0-99FF-32C41750EC0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134-FFF9-4638-B2D3-16F2CBD2D8C4}">
  <sheetPr>
    <tabColor theme="9" tint="-0.249977111117893"/>
  </sheetPr>
  <dimension ref="A1:O50"/>
  <sheetViews>
    <sheetView zoomScaleNormal="100" workbookViewId="0">
      <selection activeCell="O1" sqref="O1"/>
    </sheetView>
  </sheetViews>
  <sheetFormatPr defaultColWidth="9.1328125" defaultRowHeight="14.25"/>
  <cols>
    <col min="1" max="1" width="5.59765625" style="36" bestFit="1" customWidth="1"/>
    <col min="2" max="2" width="37.59765625" style="36" customWidth="1"/>
    <col min="3" max="3" width="21.59765625" style="36" bestFit="1" customWidth="1"/>
    <col min="4" max="4" width="21.1328125" style="36" customWidth="1"/>
    <col min="5" max="5" width="21.59765625" style="36" customWidth="1"/>
    <col min="6" max="6" width="20.86328125" style="47" customWidth="1"/>
    <col min="7" max="7" width="20" style="47" customWidth="1"/>
    <col min="8" max="11" width="9.1328125" style="36"/>
    <col min="12" max="12" width="9.1328125" style="36" customWidth="1"/>
    <col min="13" max="16384" width="9.1328125" style="36"/>
  </cols>
  <sheetData>
    <row r="1" spans="1:15" ht="15" customHeight="1">
      <c r="A1" s="277" t="s">
        <v>0</v>
      </c>
      <c r="B1" s="277"/>
      <c r="C1" s="277"/>
      <c r="D1" s="277"/>
      <c r="E1" s="277"/>
      <c r="F1" s="277"/>
      <c r="G1" s="277"/>
      <c r="O1" s="185" t="s">
        <v>90</v>
      </c>
    </row>
    <row r="2" spans="1:15" ht="12" customHeight="1">
      <c r="A2" s="277"/>
      <c r="B2" s="277"/>
      <c r="C2" s="277"/>
      <c r="D2" s="277"/>
      <c r="E2" s="277"/>
      <c r="F2" s="277"/>
      <c r="G2" s="277"/>
    </row>
    <row r="3" spans="1:15" ht="18" thickBot="1">
      <c r="A3" s="307" t="s">
        <v>34</v>
      </c>
      <c r="B3" s="307"/>
      <c r="C3" s="307"/>
      <c r="D3" s="307"/>
      <c r="E3" s="307"/>
      <c r="F3" s="307"/>
      <c r="G3" s="307"/>
      <c r="O3" s="185" t="s">
        <v>105</v>
      </c>
    </row>
    <row r="4" spans="1:15" ht="18" thickBot="1">
      <c r="A4" s="308" t="s">
        <v>150</v>
      </c>
      <c r="B4" s="309"/>
      <c r="C4" s="310"/>
      <c r="D4" s="256" t="s">
        <v>138</v>
      </c>
      <c r="E4" s="257">
        <v>0.82740000000000002</v>
      </c>
      <c r="F4" s="258" t="s">
        <v>151</v>
      </c>
      <c r="G4" s="259">
        <v>10054</v>
      </c>
    </row>
    <row r="5" spans="1:15" ht="27.75">
      <c r="A5" s="305" t="s">
        <v>1</v>
      </c>
      <c r="B5" s="303" t="s">
        <v>2</v>
      </c>
      <c r="C5" s="246"/>
      <c r="D5" s="247" t="s">
        <v>139</v>
      </c>
      <c r="E5" s="247" t="s">
        <v>140</v>
      </c>
      <c r="F5" s="301" t="s">
        <v>142</v>
      </c>
      <c r="G5" s="301" t="s">
        <v>145</v>
      </c>
    </row>
    <row r="6" spans="1:15" ht="24" customHeight="1">
      <c r="A6" s="306"/>
      <c r="B6" s="304"/>
      <c r="C6" s="109"/>
      <c r="D6" s="56" t="s">
        <v>141</v>
      </c>
      <c r="E6" s="56" t="s">
        <v>152</v>
      </c>
      <c r="F6" s="302"/>
      <c r="G6" s="302"/>
    </row>
    <row r="7" spans="1:15">
      <c r="A7" s="110">
        <v>1</v>
      </c>
      <c r="B7" s="111" t="s">
        <v>4</v>
      </c>
      <c r="C7" s="112"/>
      <c r="D7" s="113"/>
      <c r="E7" s="113"/>
      <c r="F7" s="115"/>
      <c r="G7" s="115"/>
    </row>
    <row r="8" spans="1:15">
      <c r="A8" s="112"/>
      <c r="B8" s="113" t="s">
        <v>5</v>
      </c>
      <c r="C8" s="112" t="s">
        <v>6</v>
      </c>
      <c r="D8" s="64">
        <v>36466.800000000003</v>
      </c>
      <c r="E8" s="64">
        <v>37024.1</v>
      </c>
      <c r="F8" s="116">
        <f>E8-D8</f>
        <v>557.29999999999563</v>
      </c>
      <c r="G8" s="116"/>
    </row>
    <row r="9" spans="1:15" ht="15">
      <c r="A9" s="112"/>
      <c r="B9" s="113"/>
      <c r="C9" s="95" t="s">
        <v>69</v>
      </c>
      <c r="D9" s="153"/>
      <c r="E9" s="153"/>
      <c r="F9" s="99">
        <f>F8*284.35</f>
        <v>158468.25499999878</v>
      </c>
      <c r="G9" s="99"/>
    </row>
    <row r="10" spans="1:15" ht="15.75" customHeight="1">
      <c r="A10" s="112"/>
      <c r="B10" s="155" t="s">
        <v>70</v>
      </c>
      <c r="C10" s="296"/>
      <c r="D10" s="296"/>
      <c r="E10" s="296"/>
      <c r="F10" s="236">
        <f>F9*0.568</f>
        <v>90009.968839999303</v>
      </c>
      <c r="G10" s="242"/>
    </row>
    <row r="11" spans="1:15">
      <c r="A11" s="112"/>
      <c r="B11" s="155" t="s">
        <v>109</v>
      </c>
      <c r="C11" s="296"/>
      <c r="D11" s="296"/>
      <c r="E11" s="296"/>
      <c r="F11" s="236">
        <f>F9*0.075</f>
        <v>11885.119124999908</v>
      </c>
      <c r="G11" s="242"/>
    </row>
    <row r="12" spans="1:15" ht="15.75" customHeight="1">
      <c r="A12" s="112"/>
      <c r="B12" s="159" t="s">
        <v>71</v>
      </c>
      <c r="C12" s="298"/>
      <c r="D12" s="298"/>
      <c r="E12" s="298"/>
      <c r="F12" s="237">
        <f>F10+F11</f>
        <v>101895.08796499921</v>
      </c>
      <c r="G12" s="244">
        <v>95386</v>
      </c>
    </row>
    <row r="13" spans="1:15" ht="15.75" customHeight="1">
      <c r="A13" s="112"/>
      <c r="B13" s="159" t="s">
        <v>89</v>
      </c>
      <c r="C13" s="298"/>
      <c r="D13" s="298"/>
      <c r="E13" s="298"/>
      <c r="F13" s="237">
        <f>(3200*30)</f>
        <v>96000</v>
      </c>
      <c r="G13" s="244">
        <v>86302</v>
      </c>
    </row>
    <row r="14" spans="1:15" ht="15.75" customHeight="1">
      <c r="A14" s="112"/>
      <c r="B14" s="299"/>
      <c r="C14" s="299"/>
      <c r="D14" s="299"/>
      <c r="E14" s="299"/>
      <c r="F14" s="238">
        <f>SUM(F12+F13)</f>
        <v>197895.0879649992</v>
      </c>
      <c r="G14" s="244">
        <f>SUM(G12:G13)</f>
        <v>181688</v>
      </c>
    </row>
    <row r="15" spans="1:15">
      <c r="A15" s="110" t="s">
        <v>8</v>
      </c>
      <c r="B15" s="111" t="s">
        <v>9</v>
      </c>
      <c r="C15" s="295"/>
      <c r="D15" s="295"/>
      <c r="E15" s="295"/>
      <c r="F15" s="129"/>
      <c r="G15" s="129"/>
    </row>
    <row r="16" spans="1:15">
      <c r="A16" s="95"/>
      <c r="B16" s="70" t="s">
        <v>10</v>
      </c>
      <c r="C16" s="71" t="s">
        <v>37</v>
      </c>
      <c r="D16" s="64">
        <v>120707</v>
      </c>
      <c r="E16" s="64">
        <v>128811</v>
      </c>
      <c r="F16" s="116">
        <f>E16-D16</f>
        <v>8104</v>
      </c>
      <c r="G16" s="116"/>
    </row>
    <row r="17" spans="1:7" ht="27">
      <c r="A17" s="95"/>
      <c r="B17" s="70"/>
      <c r="C17" s="71" t="s">
        <v>136</v>
      </c>
      <c r="D17" s="64"/>
      <c r="E17" s="64"/>
      <c r="F17" s="239">
        <f>F16*219.969</f>
        <v>1782628.7759999998</v>
      </c>
      <c r="G17" s="239"/>
    </row>
    <row r="18" spans="1:7">
      <c r="A18" s="95"/>
      <c r="B18" s="155" t="s">
        <v>81</v>
      </c>
      <c r="C18" s="296"/>
      <c r="D18" s="296"/>
      <c r="E18" s="296"/>
      <c r="F18" s="240">
        <v>350</v>
      </c>
      <c r="G18" s="243"/>
    </row>
    <row r="19" spans="1:7">
      <c r="A19" s="95"/>
      <c r="B19" s="155" t="s">
        <v>82</v>
      </c>
      <c r="C19" s="296"/>
      <c r="D19" s="296"/>
      <c r="E19" s="296"/>
      <c r="F19" s="240">
        <v>400</v>
      </c>
      <c r="G19" s="243"/>
    </row>
    <row r="20" spans="1:7">
      <c r="A20" s="95"/>
      <c r="B20" s="155" t="s">
        <v>83</v>
      </c>
      <c r="C20" s="296"/>
      <c r="D20" s="296"/>
      <c r="E20" s="296"/>
      <c r="F20" s="240">
        <f>SUM(F17-20000)*0.046</f>
        <v>81080.923695999998</v>
      </c>
      <c r="G20" s="243"/>
    </row>
    <row r="21" spans="1:7">
      <c r="A21" s="95"/>
      <c r="B21" s="155" t="s">
        <v>79</v>
      </c>
      <c r="C21" s="296"/>
      <c r="D21" s="296"/>
      <c r="E21" s="296"/>
      <c r="F21" s="240">
        <f>F17*0.006</f>
        <v>10695.772655999999</v>
      </c>
      <c r="G21" s="243"/>
    </row>
    <row r="22" spans="1:7">
      <c r="A22" s="95"/>
      <c r="B22" s="155" t="s">
        <v>80</v>
      </c>
      <c r="C22" s="296"/>
      <c r="D22" s="296"/>
      <c r="E22" s="296"/>
      <c r="F22" s="240">
        <f>F17*0.005</f>
        <v>8913.1438799999996</v>
      </c>
      <c r="G22" s="243"/>
    </row>
    <row r="23" spans="1:7">
      <c r="A23" s="95"/>
      <c r="B23" s="159" t="s">
        <v>71</v>
      </c>
      <c r="C23" s="293"/>
      <c r="D23" s="293"/>
      <c r="E23" s="293"/>
      <c r="F23" s="241">
        <f>SUM(F18:F22)</f>
        <v>101439.840232</v>
      </c>
      <c r="G23" s="245">
        <v>63925</v>
      </c>
    </row>
    <row r="24" spans="1:7">
      <c r="A24" s="110" t="s">
        <v>12</v>
      </c>
      <c r="B24" s="111" t="s">
        <v>13</v>
      </c>
      <c r="C24" s="295"/>
      <c r="D24" s="295"/>
      <c r="E24" s="295"/>
      <c r="F24" s="138"/>
      <c r="G24" s="138"/>
    </row>
    <row r="25" spans="1:7">
      <c r="A25" s="112">
        <v>1</v>
      </c>
      <c r="B25" s="113" t="s">
        <v>38</v>
      </c>
      <c r="C25" s="112" t="s">
        <v>35</v>
      </c>
      <c r="D25" s="64">
        <v>4180.2</v>
      </c>
      <c r="E25" s="64">
        <v>4377.3</v>
      </c>
      <c r="F25" s="116">
        <f t="shared" ref="F25:F30" si="0">(E25-D25)*480</f>
        <v>94608.000000000175</v>
      </c>
      <c r="G25" s="116"/>
    </row>
    <row r="26" spans="1:7">
      <c r="A26" s="112">
        <v>2</v>
      </c>
      <c r="B26" s="113" t="s">
        <v>39</v>
      </c>
      <c r="C26" s="112" t="s">
        <v>35</v>
      </c>
      <c r="D26" s="64">
        <v>2511.4</v>
      </c>
      <c r="E26" s="64">
        <v>2625.6</v>
      </c>
      <c r="F26" s="116">
        <f t="shared" si="0"/>
        <v>54815.999999999913</v>
      </c>
      <c r="G26" s="116"/>
    </row>
    <row r="27" spans="1:7">
      <c r="A27" s="112">
        <v>3</v>
      </c>
      <c r="B27" s="113" t="s">
        <v>40</v>
      </c>
      <c r="C27" s="112" t="s">
        <v>35</v>
      </c>
      <c r="D27" s="64">
        <v>2686.5</v>
      </c>
      <c r="E27" s="64">
        <v>2830</v>
      </c>
      <c r="F27" s="116">
        <f t="shared" si="0"/>
        <v>68880</v>
      </c>
      <c r="G27" s="116"/>
    </row>
    <row r="28" spans="1:7">
      <c r="A28" s="112">
        <v>4</v>
      </c>
      <c r="B28" s="113" t="s">
        <v>41</v>
      </c>
      <c r="C28" s="112" t="s">
        <v>35</v>
      </c>
      <c r="D28" s="64">
        <v>1344.3</v>
      </c>
      <c r="E28" s="64">
        <v>1425.2</v>
      </c>
      <c r="F28" s="116">
        <f t="shared" si="0"/>
        <v>38832.000000000044</v>
      </c>
      <c r="G28" s="116"/>
    </row>
    <row r="29" spans="1:7">
      <c r="A29" s="112">
        <v>5</v>
      </c>
      <c r="B29" s="113" t="s">
        <v>42</v>
      </c>
      <c r="C29" s="112" t="s">
        <v>35</v>
      </c>
      <c r="D29" s="64">
        <v>3964.7</v>
      </c>
      <c r="E29" s="64">
        <v>4102</v>
      </c>
      <c r="F29" s="116">
        <f t="shared" si="0"/>
        <v>65904.000000000087</v>
      </c>
      <c r="G29" s="116"/>
    </row>
    <row r="30" spans="1:7">
      <c r="A30" s="112">
        <v>6</v>
      </c>
      <c r="B30" s="113" t="s">
        <v>43</v>
      </c>
      <c r="C30" s="112" t="s">
        <v>35</v>
      </c>
      <c r="D30" s="64">
        <v>10490.2</v>
      </c>
      <c r="E30" s="64">
        <v>10839.2</v>
      </c>
      <c r="F30" s="116">
        <f t="shared" si="0"/>
        <v>167520</v>
      </c>
      <c r="G30" s="116"/>
    </row>
    <row r="31" spans="1:7">
      <c r="A31" s="112"/>
      <c r="B31" s="122" t="s">
        <v>72</v>
      </c>
      <c r="C31" s="295"/>
      <c r="D31" s="295"/>
      <c r="E31" s="295"/>
      <c r="F31" s="139">
        <f>SUM(F25:F30)</f>
        <v>490560.00000000023</v>
      </c>
      <c r="G31" s="139"/>
    </row>
    <row r="32" spans="1:7">
      <c r="A32" s="113"/>
      <c r="B32" s="155" t="s">
        <v>84</v>
      </c>
      <c r="C32" s="296"/>
      <c r="D32" s="296"/>
      <c r="E32" s="296"/>
      <c r="F32" s="236">
        <v>460</v>
      </c>
      <c r="G32" s="242"/>
    </row>
    <row r="33" spans="1:7">
      <c r="A33" s="113"/>
      <c r="B33" s="155" t="s">
        <v>85</v>
      </c>
      <c r="C33" s="296"/>
      <c r="D33" s="296"/>
      <c r="E33" s="296"/>
      <c r="F33" s="236">
        <v>560</v>
      </c>
      <c r="G33" s="242"/>
    </row>
    <row r="34" spans="1:7">
      <c r="A34" s="113"/>
      <c r="B34" s="155" t="s">
        <v>86</v>
      </c>
      <c r="C34" s="296"/>
      <c r="D34" s="296"/>
      <c r="E34" s="296"/>
      <c r="F34" s="236">
        <v>640</v>
      </c>
      <c r="G34" s="242"/>
    </row>
    <row r="35" spans="1:7">
      <c r="A35" s="113"/>
      <c r="B35" s="155" t="s">
        <v>87</v>
      </c>
      <c r="C35" s="296"/>
      <c r="D35" s="296"/>
      <c r="E35" s="296"/>
      <c r="F35" s="236">
        <f>SUM(F31-6000)*0.38</f>
        <v>184132.8000000001</v>
      </c>
      <c r="G35" s="242"/>
    </row>
    <row r="36" spans="1:7">
      <c r="A36" s="113"/>
      <c r="B36" s="155" t="s">
        <v>88</v>
      </c>
      <c r="C36" s="296"/>
      <c r="D36" s="296"/>
      <c r="E36" s="296"/>
      <c r="F36" s="236">
        <f>F31*0.065</f>
        <v>31886.400000000016</v>
      </c>
      <c r="G36" s="242"/>
    </row>
    <row r="37" spans="1:7">
      <c r="A37" s="113"/>
      <c r="B37" s="159" t="s">
        <v>71</v>
      </c>
      <c r="C37" s="294"/>
      <c r="D37" s="294"/>
      <c r="E37" s="294"/>
      <c r="F37" s="237">
        <f>SUM(F32:F36)</f>
        <v>217679.20000000013</v>
      </c>
      <c r="G37" s="244">
        <v>212926</v>
      </c>
    </row>
    <row r="38" spans="1:7">
      <c r="A38" s="110" t="s">
        <v>15</v>
      </c>
      <c r="B38" s="111" t="s">
        <v>16</v>
      </c>
      <c r="C38" s="126"/>
      <c r="D38" s="126"/>
      <c r="E38" s="126"/>
      <c r="F38" s="138"/>
      <c r="G38" s="138"/>
    </row>
    <row r="39" spans="1:7">
      <c r="A39" s="112">
        <v>1</v>
      </c>
      <c r="B39" s="126" t="s">
        <v>17</v>
      </c>
      <c r="C39" s="300"/>
      <c r="D39" s="300"/>
      <c r="E39" s="300"/>
      <c r="F39" s="139"/>
      <c r="G39" s="139"/>
    </row>
    <row r="40" spans="1:7">
      <c r="A40" s="112"/>
      <c r="B40" s="126"/>
      <c r="C40" s="180" t="s">
        <v>73</v>
      </c>
      <c r="D40" s="64">
        <v>50664.1</v>
      </c>
      <c r="E40" s="64">
        <v>54529.7</v>
      </c>
      <c r="F40" s="99">
        <f>E40-D40</f>
        <v>3865.5999999999985</v>
      </c>
      <c r="G40" s="139"/>
    </row>
    <row r="41" spans="1:7">
      <c r="A41" s="112"/>
      <c r="B41" s="126"/>
      <c r="C41" s="128" t="s">
        <v>154</v>
      </c>
      <c r="D41" s="64"/>
      <c r="E41" s="64"/>
      <c r="F41" s="139">
        <f>F40*3.7</f>
        <v>14302.719999999996</v>
      </c>
      <c r="G41" s="139"/>
    </row>
    <row r="42" spans="1:7">
      <c r="A42" s="112"/>
      <c r="B42" s="159" t="s">
        <v>155</v>
      </c>
      <c r="C42" s="294"/>
      <c r="D42" s="294"/>
      <c r="E42" s="294"/>
      <c r="F42" s="237">
        <f>F41*2.18</f>
        <v>31179.929599999992</v>
      </c>
      <c r="G42" s="244"/>
    </row>
    <row r="43" spans="1:7">
      <c r="A43" s="37"/>
      <c r="B43" s="37"/>
      <c r="C43" s="38"/>
      <c r="D43" s="37"/>
      <c r="E43" s="37"/>
      <c r="F43" s="39"/>
      <c r="G43" s="39"/>
    </row>
    <row r="44" spans="1:7" ht="21">
      <c r="A44" s="5"/>
      <c r="B44" s="297" t="s">
        <v>20</v>
      </c>
      <c r="C44" s="297"/>
      <c r="D44" s="297"/>
      <c r="E44" s="297"/>
      <c r="F44" s="6"/>
      <c r="G44" s="6"/>
    </row>
    <row r="45" spans="1:7" ht="21">
      <c r="A45" s="5"/>
      <c r="B45" s="235" t="s">
        <v>21</v>
      </c>
      <c r="C45" s="235" t="s">
        <v>22</v>
      </c>
      <c r="D45" s="235" t="s">
        <v>23</v>
      </c>
      <c r="E45" s="235" t="s">
        <v>74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158468.25499999878</v>
      </c>
      <c r="E46" s="48">
        <f>F12</f>
        <v>101895.08796499921</v>
      </c>
      <c r="F46" s="43"/>
      <c r="G46" s="43"/>
    </row>
    <row r="47" spans="1:7">
      <c r="A47" s="37"/>
      <c r="B47" s="9" t="s">
        <v>26</v>
      </c>
      <c r="C47" s="9" t="s">
        <v>75</v>
      </c>
      <c r="D47" s="10">
        <f>F17</f>
        <v>1782628.7759999998</v>
      </c>
      <c r="E47" s="48">
        <f>F23</f>
        <v>101439.840232</v>
      </c>
      <c r="F47" s="43"/>
      <c r="G47" s="43"/>
    </row>
    <row r="48" spans="1:7">
      <c r="A48" s="37"/>
      <c r="B48" s="9" t="s">
        <v>27</v>
      </c>
      <c r="C48" s="9" t="s">
        <v>76</v>
      </c>
      <c r="D48" s="10">
        <f>F31</f>
        <v>490560.00000000023</v>
      </c>
      <c r="E48" s="48">
        <f>F37</f>
        <v>217679.20000000013</v>
      </c>
      <c r="F48" s="43"/>
      <c r="G48" s="43"/>
    </row>
    <row r="49" spans="1:7">
      <c r="A49" s="37"/>
      <c r="B49" s="9" t="s">
        <v>28</v>
      </c>
      <c r="C49" s="180" t="s">
        <v>73</v>
      </c>
      <c r="D49" s="10">
        <f>F40</f>
        <v>3865.5999999999985</v>
      </c>
      <c r="E49" s="48">
        <f>F42</f>
        <v>31179.929599999992</v>
      </c>
      <c r="F49" s="43"/>
      <c r="G49" s="43"/>
    </row>
    <row r="50" spans="1:7" ht="15.75">
      <c r="A50" s="37"/>
      <c r="B50" s="3"/>
      <c r="C50" s="3"/>
      <c r="D50" s="182" t="s">
        <v>77</v>
      </c>
      <c r="E50" s="183">
        <f>SUM(E46:E49)</f>
        <v>452194.05779699929</v>
      </c>
      <c r="F50" s="46"/>
      <c r="G50" s="46"/>
    </row>
  </sheetData>
  <mergeCells count="30">
    <mergeCell ref="F5:F6"/>
    <mergeCell ref="B5:B6"/>
    <mergeCell ref="A5:A6"/>
    <mergeCell ref="G5:G6"/>
    <mergeCell ref="A1:G2"/>
    <mergeCell ref="A3:G3"/>
    <mergeCell ref="A4:C4"/>
    <mergeCell ref="B44:E44"/>
    <mergeCell ref="C10:E10"/>
    <mergeCell ref="C11:E11"/>
    <mergeCell ref="C12:E12"/>
    <mergeCell ref="C13:E13"/>
    <mergeCell ref="B14:E14"/>
    <mergeCell ref="C18:E18"/>
    <mergeCell ref="C19:E19"/>
    <mergeCell ref="C20:E20"/>
    <mergeCell ref="C21:E21"/>
    <mergeCell ref="C22:E22"/>
    <mergeCell ref="C32:E32"/>
    <mergeCell ref="C33:E33"/>
    <mergeCell ref="C15:E15"/>
    <mergeCell ref="C42:E42"/>
    <mergeCell ref="C39:E39"/>
    <mergeCell ref="C23:E23"/>
    <mergeCell ref="C37:E37"/>
    <mergeCell ref="C24:E24"/>
    <mergeCell ref="C31:E31"/>
    <mergeCell ref="C34:E34"/>
    <mergeCell ref="C35:E35"/>
    <mergeCell ref="C36:E36"/>
  </mergeCells>
  <hyperlinks>
    <hyperlink ref="O1" location="'1'!A1" display="1st" xr:uid="{D7BE4D4D-E30D-49A4-A41B-C343F01FB706}"/>
    <hyperlink ref="O3" location="'Daily Meter'!A1" display="daily reading" xr:uid="{6B2931C3-14A5-4646-A47E-B7F264BB2DFB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4FC-870E-4590-B6D0-BC2DCEDACAEF}">
  <sheetPr>
    <tabColor theme="9" tint="-0.249977111117893"/>
  </sheetPr>
  <dimension ref="A1:P50"/>
  <sheetViews>
    <sheetView topLeftCell="A3" zoomScaleNormal="100" workbookViewId="0">
      <selection activeCell="B12" sqref="B12"/>
    </sheetView>
  </sheetViews>
  <sheetFormatPr defaultColWidth="9.1328125" defaultRowHeight="14.25"/>
  <cols>
    <col min="1" max="1" width="5.59765625" style="36" bestFit="1" customWidth="1"/>
    <col min="2" max="2" width="38.265625" style="36" bestFit="1" customWidth="1"/>
    <col min="3" max="3" width="21.59765625" style="36" bestFit="1" customWidth="1"/>
    <col min="4" max="4" width="20.1328125" style="36" customWidth="1"/>
    <col min="5" max="5" width="20.265625" style="36" customWidth="1"/>
    <col min="6" max="6" width="21.265625" style="47" customWidth="1"/>
    <col min="7" max="7" width="20" style="47" customWidth="1"/>
    <col min="8" max="10" width="9.1328125" style="36"/>
    <col min="11" max="16" width="10.59765625" style="36" bestFit="1" customWidth="1"/>
    <col min="17" max="16384" width="9.1328125" style="36"/>
  </cols>
  <sheetData>
    <row r="1" spans="1:14" ht="15" customHeight="1">
      <c r="A1" s="315" t="s">
        <v>0</v>
      </c>
      <c r="B1" s="316"/>
      <c r="C1" s="316"/>
      <c r="D1" s="316"/>
      <c r="E1" s="316"/>
      <c r="F1" s="316"/>
      <c r="G1" s="317"/>
    </row>
    <row r="2" spans="1:14" ht="10.5" customHeight="1">
      <c r="A2" s="291"/>
      <c r="B2" s="287"/>
      <c r="C2" s="287"/>
      <c r="D2" s="287"/>
      <c r="E2" s="287"/>
      <c r="F2" s="287"/>
      <c r="G2" s="288"/>
    </row>
    <row r="3" spans="1:14" ht="21.75" customHeight="1" thickBot="1">
      <c r="A3" s="286" t="s">
        <v>34</v>
      </c>
      <c r="B3" s="318"/>
      <c r="C3" s="318"/>
      <c r="D3" s="318"/>
      <c r="E3" s="318"/>
      <c r="F3" s="318"/>
      <c r="G3" s="319"/>
    </row>
    <row r="4" spans="1:14" ht="35.65" thickBot="1">
      <c r="A4" s="320" t="s">
        <v>137</v>
      </c>
      <c r="B4" s="321"/>
      <c r="C4" s="248" t="s">
        <v>111</v>
      </c>
      <c r="D4" s="260">
        <v>10054</v>
      </c>
      <c r="E4" s="249" t="s">
        <v>138</v>
      </c>
      <c r="F4" s="257">
        <v>0.82740000000000002</v>
      </c>
      <c r="G4" s="261"/>
    </row>
    <row r="5" spans="1:14" ht="27.75">
      <c r="A5" s="251" t="s">
        <v>1</v>
      </c>
      <c r="B5" s="250" t="s">
        <v>2</v>
      </c>
      <c r="C5" s="246"/>
      <c r="D5" s="247" t="s">
        <v>139</v>
      </c>
      <c r="E5" s="247" t="s">
        <v>140</v>
      </c>
      <c r="F5" s="313" t="s">
        <v>142</v>
      </c>
      <c r="G5" s="312" t="s">
        <v>145</v>
      </c>
      <c r="N5" s="185"/>
    </row>
    <row r="6" spans="1:14" ht="21.75" customHeight="1">
      <c r="A6" s="148"/>
      <c r="B6" s="107"/>
      <c r="C6" s="109"/>
      <c r="D6" s="56" t="s">
        <v>143</v>
      </c>
      <c r="E6" s="56" t="s">
        <v>144</v>
      </c>
      <c r="F6" s="314"/>
      <c r="G6" s="312"/>
    </row>
    <row r="7" spans="1:14">
      <c r="A7" s="149">
        <v>1</v>
      </c>
      <c r="B7" s="111" t="s">
        <v>4</v>
      </c>
      <c r="C7" s="112"/>
      <c r="D7" s="113"/>
      <c r="E7" s="113"/>
      <c r="F7" s="150"/>
      <c r="G7" s="262"/>
      <c r="N7" s="185" t="s">
        <v>90</v>
      </c>
    </row>
    <row r="8" spans="1:14">
      <c r="A8" s="151"/>
      <c r="B8" s="113" t="s">
        <v>5</v>
      </c>
      <c r="C8" s="112" t="s">
        <v>6</v>
      </c>
      <c r="D8" s="64">
        <v>36588.1</v>
      </c>
      <c r="E8" s="64">
        <v>37209.300000000003</v>
      </c>
      <c r="F8" s="152">
        <f>E8-D8</f>
        <v>621.20000000000437</v>
      </c>
      <c r="G8" s="263"/>
    </row>
    <row r="9" spans="1:14" ht="15">
      <c r="A9" s="151"/>
      <c r="B9" s="113"/>
      <c r="C9" s="95" t="s">
        <v>69</v>
      </c>
      <c r="D9" s="153"/>
      <c r="E9" s="153"/>
      <c r="F9" s="154">
        <f>F8*284.35</f>
        <v>176638.22000000125</v>
      </c>
      <c r="G9" s="264"/>
    </row>
    <row r="10" spans="1:14" ht="15">
      <c r="A10" s="151"/>
      <c r="B10" s="155" t="s">
        <v>70</v>
      </c>
      <c r="C10" s="156"/>
      <c r="D10" s="157"/>
      <c r="E10" s="157"/>
      <c r="F10" s="158">
        <f>F9*0.568</f>
        <v>100330.5089600007</v>
      </c>
      <c r="G10" s="265"/>
    </row>
    <row r="11" spans="1:14" ht="15">
      <c r="A11" s="151"/>
      <c r="B11" s="155" t="s">
        <v>109</v>
      </c>
      <c r="C11" s="156"/>
      <c r="D11" s="157"/>
      <c r="E11" s="157"/>
      <c r="F11" s="158">
        <f>F9*0.075</f>
        <v>13247.866500000093</v>
      </c>
      <c r="G11" s="265"/>
    </row>
    <row r="12" spans="1:14" ht="15">
      <c r="A12" s="151"/>
      <c r="B12" s="159" t="s">
        <v>71</v>
      </c>
      <c r="C12" s="160"/>
      <c r="D12" s="161"/>
      <c r="E12" s="161"/>
      <c r="F12" s="162">
        <f>F10+F11</f>
        <v>113578.3754600008</v>
      </c>
      <c r="G12" s="266">
        <v>95386</v>
      </c>
    </row>
    <row r="13" spans="1:14" ht="15">
      <c r="A13" s="151"/>
      <c r="B13" s="159" t="s">
        <v>89</v>
      </c>
      <c r="C13" s="160"/>
      <c r="D13" s="161"/>
      <c r="E13" s="161"/>
      <c r="F13" s="162">
        <f>(3200*28)</f>
        <v>89600</v>
      </c>
      <c r="G13" s="266">
        <v>86302</v>
      </c>
    </row>
    <row r="14" spans="1:14" ht="15">
      <c r="A14" s="151"/>
      <c r="B14" s="163"/>
      <c r="C14" s="95"/>
      <c r="D14" s="153"/>
      <c r="E14" s="153"/>
      <c r="F14" s="184">
        <f>(F12+F13)</f>
        <v>203178.3754600008</v>
      </c>
      <c r="G14" s="266">
        <f>SUM(G12:G13)</f>
        <v>181688</v>
      </c>
    </row>
    <row r="15" spans="1:14">
      <c r="A15" s="149" t="s">
        <v>8</v>
      </c>
      <c r="B15" s="111" t="s">
        <v>9</v>
      </c>
      <c r="C15" s="112"/>
      <c r="D15" s="64"/>
      <c r="E15" s="64"/>
      <c r="F15" s="164"/>
      <c r="G15" s="267"/>
    </row>
    <row r="16" spans="1:14">
      <c r="A16" s="165"/>
      <c r="B16" s="70" t="s">
        <v>10</v>
      </c>
      <c r="C16" s="71" t="s">
        <v>37</v>
      </c>
      <c r="D16" s="64">
        <v>122881</v>
      </c>
      <c r="E16" s="64">
        <v>130541</v>
      </c>
      <c r="F16" s="152">
        <f>E16-D16</f>
        <v>7660</v>
      </c>
      <c r="G16" s="263"/>
    </row>
    <row r="17" spans="1:16" ht="27">
      <c r="A17" s="165"/>
      <c r="B17" s="70"/>
      <c r="C17" s="71" t="s">
        <v>156</v>
      </c>
      <c r="D17" s="64"/>
      <c r="E17" s="64"/>
      <c r="F17" s="166">
        <f>F16*219.969</f>
        <v>1684962.54</v>
      </c>
      <c r="G17" s="268"/>
    </row>
    <row r="18" spans="1:16">
      <c r="A18" s="165"/>
      <c r="B18" s="155" t="s">
        <v>81</v>
      </c>
      <c r="C18" s="167"/>
      <c r="D18" s="168"/>
      <c r="E18" s="168"/>
      <c r="F18" s="169">
        <v>350</v>
      </c>
      <c r="G18" s="269"/>
    </row>
    <row r="19" spans="1:16">
      <c r="A19" s="165"/>
      <c r="B19" s="155" t="s">
        <v>82</v>
      </c>
      <c r="C19" s="167"/>
      <c r="D19" s="168"/>
      <c r="E19" s="168"/>
      <c r="F19" s="169">
        <v>400</v>
      </c>
      <c r="G19" s="269"/>
    </row>
    <row r="20" spans="1:16">
      <c r="A20" s="165"/>
      <c r="B20" s="155" t="s">
        <v>83</v>
      </c>
      <c r="C20" s="167"/>
      <c r="D20" s="168"/>
      <c r="E20" s="168"/>
      <c r="F20" s="169">
        <f>SUM(F17-20000)*0.046</f>
        <v>76588.276840000006</v>
      </c>
      <c r="G20" s="269"/>
    </row>
    <row r="21" spans="1:16">
      <c r="A21" s="165"/>
      <c r="B21" s="155" t="s">
        <v>79</v>
      </c>
      <c r="C21" s="167"/>
      <c r="D21" s="168"/>
      <c r="E21" s="168"/>
      <c r="F21" s="169">
        <f>F17*0.006</f>
        <v>10109.775240000001</v>
      </c>
      <c r="G21" s="269"/>
    </row>
    <row r="22" spans="1:16">
      <c r="A22" s="165"/>
      <c r="B22" s="155" t="s">
        <v>80</v>
      </c>
      <c r="C22" s="167"/>
      <c r="D22" s="168"/>
      <c r="E22" s="168"/>
      <c r="F22" s="169">
        <f>F17*0.005</f>
        <v>8424.8127000000004</v>
      </c>
      <c r="G22" s="269"/>
    </row>
    <row r="23" spans="1:16">
      <c r="A23" s="165"/>
      <c r="B23" s="159" t="s">
        <v>71</v>
      </c>
      <c r="C23" s="170"/>
      <c r="D23" s="171"/>
      <c r="E23" s="171"/>
      <c r="F23" s="172">
        <f>SUM(F18:F22)</f>
        <v>95872.864780000004</v>
      </c>
      <c r="G23" s="270">
        <v>63925</v>
      </c>
    </row>
    <row r="24" spans="1:16">
      <c r="A24" s="149" t="s">
        <v>12</v>
      </c>
      <c r="B24" s="111" t="s">
        <v>13</v>
      </c>
      <c r="C24" s="112"/>
      <c r="D24" s="64"/>
      <c r="E24" s="64"/>
      <c r="F24" s="173"/>
      <c r="G24" s="271"/>
      <c r="K24" s="275">
        <v>1</v>
      </c>
      <c r="L24" s="275">
        <v>2</v>
      </c>
      <c r="M24" s="275">
        <v>3</v>
      </c>
      <c r="N24" s="275">
        <v>4</v>
      </c>
      <c r="O24" s="275">
        <v>6</v>
      </c>
      <c r="P24" s="275">
        <v>7</v>
      </c>
    </row>
    <row r="25" spans="1:16">
      <c r="A25" s="151">
        <v>1</v>
      </c>
      <c r="B25" s="113" t="s">
        <v>38</v>
      </c>
      <c r="C25" s="112" t="s">
        <v>35</v>
      </c>
      <c r="D25" s="64">
        <v>4235.1000000000004</v>
      </c>
      <c r="E25" s="64">
        <v>4427.6000000000004</v>
      </c>
      <c r="F25" s="152">
        <f t="shared" ref="F25:F30" si="0">(E25-D25)*480</f>
        <v>92400</v>
      </c>
      <c r="G25" s="263"/>
      <c r="H25" s="36">
        <f>(F25*0.065)</f>
        <v>6006</v>
      </c>
      <c r="K25" s="36">
        <f>H25</f>
        <v>6006</v>
      </c>
      <c r="L25" s="36">
        <f>H26</f>
        <v>3460.0800000000031</v>
      </c>
      <c r="M25" s="36">
        <f>H27</f>
        <v>4268.1599999999917</v>
      </c>
      <c r="N25" s="36">
        <f>H28</f>
        <v>2455.4400000000014</v>
      </c>
      <c r="O25" s="36">
        <f>H29</f>
        <v>4109.0399999999945</v>
      </c>
      <c r="P25" s="36">
        <f>H30</f>
        <v>10739.039999999966</v>
      </c>
    </row>
    <row r="26" spans="1:16">
      <c r="A26" s="151">
        <v>2</v>
      </c>
      <c r="B26" s="113" t="s">
        <v>39</v>
      </c>
      <c r="C26" s="112" t="s">
        <v>35</v>
      </c>
      <c r="D26" s="64">
        <v>2544</v>
      </c>
      <c r="E26" s="64">
        <v>2654.9</v>
      </c>
      <c r="F26" s="152">
        <f t="shared" si="0"/>
        <v>53232.000000000044</v>
      </c>
      <c r="G26" s="263"/>
      <c r="H26" s="36">
        <f t="shared" ref="H26:H30" si="1">(F26*0.065)</f>
        <v>3460.0800000000031</v>
      </c>
      <c r="K26" s="36">
        <v>1660</v>
      </c>
      <c r="L26" s="36">
        <v>1660</v>
      </c>
      <c r="M26" s="36">
        <v>1660</v>
      </c>
      <c r="N26" s="36">
        <v>1660</v>
      </c>
      <c r="O26" s="36">
        <v>1660</v>
      </c>
      <c r="P26" s="36">
        <v>1660</v>
      </c>
    </row>
    <row r="27" spans="1:16">
      <c r="A27" s="151">
        <v>3</v>
      </c>
      <c r="B27" s="113" t="s">
        <v>40</v>
      </c>
      <c r="C27" s="112" t="s">
        <v>35</v>
      </c>
      <c r="D27" s="64">
        <v>2727.4</v>
      </c>
      <c r="E27" s="64">
        <v>2864.2</v>
      </c>
      <c r="F27" s="152">
        <f t="shared" si="0"/>
        <v>65663.999999999869</v>
      </c>
      <c r="G27" s="263"/>
      <c r="H27" s="36">
        <f t="shared" si="1"/>
        <v>4268.1599999999917</v>
      </c>
      <c r="K27" s="274">
        <f>SUM(F25-6000)*0.38</f>
        <v>32832</v>
      </c>
      <c r="L27" s="274">
        <f>SUM(F26-6000)*0.38</f>
        <v>17948.160000000018</v>
      </c>
      <c r="M27" s="274">
        <f>SUM(F27-6000)*0.38</f>
        <v>22672.319999999949</v>
      </c>
      <c r="N27" s="274">
        <f>SUM(F28-6000)*0.38</f>
        <v>12074.880000000008</v>
      </c>
      <c r="O27" s="274">
        <f>SUM(F29-6000)*0.38</f>
        <v>21742.079999999965</v>
      </c>
      <c r="P27" s="274">
        <f>SUM(F30-6000)*0.38</f>
        <v>60502.079999999798</v>
      </c>
    </row>
    <row r="28" spans="1:16">
      <c r="A28" s="151">
        <v>4</v>
      </c>
      <c r="B28" s="113" t="s">
        <v>41</v>
      </c>
      <c r="C28" s="112" t="s">
        <v>35</v>
      </c>
      <c r="D28" s="64">
        <v>1366.8</v>
      </c>
      <c r="E28" s="64">
        <v>1445.5</v>
      </c>
      <c r="F28" s="152">
        <f t="shared" si="0"/>
        <v>37776.000000000022</v>
      </c>
      <c r="G28" s="263"/>
      <c r="H28" s="36">
        <f t="shared" si="1"/>
        <v>2455.4400000000014</v>
      </c>
      <c r="K28" s="47">
        <f>SUM(K25:K27)</f>
        <v>40498</v>
      </c>
      <c r="L28" s="47">
        <f t="shared" ref="L28:P28" si="2">SUM(L25:L27)</f>
        <v>23068.24000000002</v>
      </c>
      <c r="M28" s="47">
        <f t="shared" si="2"/>
        <v>28600.479999999941</v>
      </c>
      <c r="N28" s="47">
        <f t="shared" si="2"/>
        <v>16190.320000000011</v>
      </c>
      <c r="O28" s="47">
        <f t="shared" si="2"/>
        <v>27511.119999999959</v>
      </c>
      <c r="P28" s="47">
        <f t="shared" si="2"/>
        <v>72901.119999999763</v>
      </c>
    </row>
    <row r="29" spans="1:16">
      <c r="A29" s="151">
        <v>5</v>
      </c>
      <c r="B29" s="113" t="s">
        <v>42</v>
      </c>
      <c r="C29" s="112" t="s">
        <v>35</v>
      </c>
      <c r="D29" s="64">
        <v>4003.3</v>
      </c>
      <c r="E29" s="64">
        <v>4135</v>
      </c>
      <c r="F29" s="152">
        <f t="shared" si="0"/>
        <v>63215.999999999913</v>
      </c>
      <c r="G29" s="263"/>
      <c r="H29" s="36">
        <f t="shared" si="1"/>
        <v>4109.0399999999945</v>
      </c>
    </row>
    <row r="30" spans="1:16">
      <c r="A30" s="151">
        <v>6</v>
      </c>
      <c r="B30" s="113" t="s">
        <v>43</v>
      </c>
      <c r="C30" s="112" t="s">
        <v>35</v>
      </c>
      <c r="D30" s="64">
        <v>10588.2</v>
      </c>
      <c r="E30" s="64">
        <v>10932.4</v>
      </c>
      <c r="F30" s="152">
        <f t="shared" si="0"/>
        <v>165215.99999999948</v>
      </c>
      <c r="G30" s="263"/>
      <c r="H30" s="36">
        <f t="shared" si="1"/>
        <v>10739.039999999966</v>
      </c>
    </row>
    <row r="31" spans="1:16">
      <c r="A31" s="151"/>
      <c r="B31" s="122" t="s">
        <v>72</v>
      </c>
      <c r="C31" s="112"/>
      <c r="D31" s="64"/>
      <c r="E31" s="64"/>
      <c r="F31" s="174">
        <f>SUM(F25:F30)</f>
        <v>477503.99999999936</v>
      </c>
      <c r="G31" s="272"/>
    </row>
    <row r="32" spans="1:16">
      <c r="A32" s="175"/>
      <c r="B32" s="155" t="s">
        <v>84</v>
      </c>
      <c r="C32" s="176"/>
      <c r="D32" s="177"/>
      <c r="E32" s="177"/>
      <c r="F32" s="158">
        <v>460</v>
      </c>
      <c r="G32" s="265"/>
    </row>
    <row r="33" spans="1:7">
      <c r="A33" s="175"/>
      <c r="B33" s="155" t="s">
        <v>85</v>
      </c>
      <c r="C33" s="176"/>
      <c r="D33" s="177"/>
      <c r="E33" s="177"/>
      <c r="F33" s="158">
        <v>560</v>
      </c>
      <c r="G33" s="265"/>
    </row>
    <row r="34" spans="1:7">
      <c r="A34" s="175"/>
      <c r="B34" s="155" t="s">
        <v>86</v>
      </c>
      <c r="C34" s="176"/>
      <c r="D34" s="177"/>
      <c r="E34" s="177"/>
      <c r="F34" s="158">
        <v>640</v>
      </c>
      <c r="G34" s="265"/>
    </row>
    <row r="35" spans="1:7">
      <c r="A35" s="175"/>
      <c r="B35" s="155" t="s">
        <v>87</v>
      </c>
      <c r="C35" s="176"/>
      <c r="D35" s="177"/>
      <c r="E35" s="177"/>
      <c r="F35" s="158">
        <f>SUM(F31-6000)*0.38</f>
        <v>179171.51999999976</v>
      </c>
      <c r="G35" s="265"/>
    </row>
    <row r="36" spans="1:7">
      <c r="A36" s="175"/>
      <c r="B36" s="155" t="s">
        <v>88</v>
      </c>
      <c r="C36" s="176"/>
      <c r="D36" s="177"/>
      <c r="E36" s="177"/>
      <c r="F36" s="158">
        <f>F31*0.065</f>
        <v>31037.759999999958</v>
      </c>
      <c r="G36" s="265"/>
    </row>
    <row r="37" spans="1:7">
      <c r="A37" s="175"/>
      <c r="B37" s="159" t="s">
        <v>71</v>
      </c>
      <c r="C37" s="178"/>
      <c r="D37" s="179"/>
      <c r="E37" s="179"/>
      <c r="F37" s="162">
        <f>SUM(F32:F36)</f>
        <v>211869.27999999971</v>
      </c>
      <c r="G37" s="266">
        <v>212926</v>
      </c>
    </row>
    <row r="38" spans="1:7">
      <c r="A38" s="149" t="s">
        <v>15</v>
      </c>
      <c r="B38" s="111" t="s">
        <v>16</v>
      </c>
      <c r="C38" s="112"/>
      <c r="D38" s="86"/>
      <c r="E38" s="86"/>
      <c r="F38" s="173"/>
      <c r="G38" s="271"/>
    </row>
    <row r="39" spans="1:7">
      <c r="A39" s="151">
        <v>1</v>
      </c>
      <c r="B39" s="126" t="s">
        <v>17</v>
      </c>
      <c r="C39" s="128"/>
      <c r="D39" s="64"/>
      <c r="E39" s="64"/>
      <c r="F39" s="174"/>
      <c r="G39" s="272"/>
    </row>
    <row r="40" spans="1:7">
      <c r="A40" s="151"/>
      <c r="B40" s="126"/>
      <c r="C40" s="180" t="s">
        <v>73</v>
      </c>
      <c r="D40" s="64">
        <v>51820.1</v>
      </c>
      <c r="E40" s="64">
        <v>55556.6</v>
      </c>
      <c r="F40" s="154">
        <f>E40-D40</f>
        <v>3736.5</v>
      </c>
      <c r="G40" s="272"/>
    </row>
    <row r="41" spans="1:7">
      <c r="A41" s="151"/>
      <c r="B41" s="126"/>
      <c r="C41" s="128" t="s">
        <v>154</v>
      </c>
      <c r="D41" s="64"/>
      <c r="E41" s="64"/>
      <c r="F41" s="139">
        <f>F40*3.7</f>
        <v>13825.050000000001</v>
      </c>
      <c r="G41" s="272"/>
    </row>
    <row r="42" spans="1:7" ht="14.65" thickBot="1">
      <c r="A42" s="181"/>
      <c r="B42" s="159" t="s">
        <v>155</v>
      </c>
      <c r="C42" s="294"/>
      <c r="D42" s="294"/>
      <c r="E42" s="294"/>
      <c r="F42" s="237">
        <f>F41*2.18</f>
        <v>30138.609000000004</v>
      </c>
      <c r="G42" s="273"/>
    </row>
    <row r="43" spans="1:7" ht="11.25" customHeight="1">
      <c r="A43" s="37"/>
      <c r="B43" s="37"/>
      <c r="C43" s="38"/>
      <c r="D43" s="37"/>
      <c r="E43" s="37"/>
      <c r="F43" s="39"/>
      <c r="G43" s="39"/>
    </row>
    <row r="44" spans="1:7" ht="18.95" customHeight="1">
      <c r="A44" s="5"/>
      <c r="B44" s="311" t="s">
        <v>20</v>
      </c>
      <c r="C44" s="311"/>
      <c r="D44" s="311"/>
      <c r="E44" s="311"/>
      <c r="F44" s="6"/>
      <c r="G44" s="6"/>
    </row>
    <row r="45" spans="1:7" ht="18.95" customHeight="1">
      <c r="A45" s="5"/>
      <c r="B45" s="252" t="s">
        <v>21</v>
      </c>
      <c r="C45" s="252" t="s">
        <v>22</v>
      </c>
      <c r="D45" s="252" t="s">
        <v>23</v>
      </c>
      <c r="E45" s="252" t="s">
        <v>74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176638.22000000125</v>
      </c>
      <c r="E46" s="48">
        <f>F12</f>
        <v>113578.3754600008</v>
      </c>
      <c r="F46" s="43"/>
      <c r="G46" s="43"/>
    </row>
    <row r="47" spans="1:7">
      <c r="A47" s="37"/>
      <c r="B47" s="9" t="s">
        <v>26</v>
      </c>
      <c r="C47" s="9" t="s">
        <v>75</v>
      </c>
      <c r="D47" s="10">
        <f>F17</f>
        <v>1684962.54</v>
      </c>
      <c r="E47" s="48">
        <f>F23</f>
        <v>95872.864780000004</v>
      </c>
      <c r="F47" s="43"/>
      <c r="G47" s="43"/>
    </row>
    <row r="48" spans="1:7">
      <c r="A48" s="37"/>
      <c r="B48" s="9" t="s">
        <v>27</v>
      </c>
      <c r="C48" s="9" t="s">
        <v>76</v>
      </c>
      <c r="D48" s="10">
        <f>F31</f>
        <v>477503.99999999936</v>
      </c>
      <c r="E48" s="48">
        <f>F37</f>
        <v>211869.27999999971</v>
      </c>
      <c r="F48" s="43"/>
      <c r="G48" s="43"/>
    </row>
    <row r="49" spans="1:7">
      <c r="A49" s="37"/>
      <c r="B49" s="9" t="s">
        <v>28</v>
      </c>
      <c r="C49" s="180" t="s">
        <v>73</v>
      </c>
      <c r="D49" s="10">
        <f>F40</f>
        <v>3736.5</v>
      </c>
      <c r="E49" s="48">
        <f>F42</f>
        <v>30138.609000000004</v>
      </c>
      <c r="F49" s="43"/>
      <c r="G49" s="43"/>
    </row>
    <row r="50" spans="1:7" ht="15.75">
      <c r="A50" s="37"/>
      <c r="B50" s="3"/>
      <c r="C50" s="3"/>
      <c r="D50" s="182" t="s">
        <v>77</v>
      </c>
      <c r="E50" s="183">
        <f>SUM(E46:E49)</f>
        <v>451459.1292400005</v>
      </c>
      <c r="F50" s="46"/>
      <c r="G50" s="46"/>
    </row>
  </sheetData>
  <mergeCells count="7">
    <mergeCell ref="B44:E44"/>
    <mergeCell ref="G5:G6"/>
    <mergeCell ref="F5:F6"/>
    <mergeCell ref="A1:G2"/>
    <mergeCell ref="A3:G3"/>
    <mergeCell ref="A4:B4"/>
    <mergeCell ref="C42:E42"/>
  </mergeCells>
  <hyperlinks>
    <hyperlink ref="N7" location="'1'!A1" display="1st" xr:uid="{C7103A31-84C8-4364-B1CE-C10722934D93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3B43-7A60-438D-8301-71DB2D07CFEF}">
  <dimension ref="A1:AQ20"/>
  <sheetViews>
    <sheetView topLeftCell="N1" workbookViewId="0">
      <pane ySplit="2" topLeftCell="A3" activePane="bottomLeft" state="frozen"/>
      <selection activeCell="B1" sqref="B1"/>
      <selection pane="bottomLeft" activeCell="AC21" sqref="AC21"/>
    </sheetView>
  </sheetViews>
  <sheetFormatPr defaultColWidth="9.1328125" defaultRowHeight="26.25"/>
  <cols>
    <col min="1" max="1" width="39.3984375" style="213" bestFit="1" customWidth="1"/>
    <col min="2" max="32" width="16.73046875" style="202" bestFit="1" customWidth="1"/>
    <col min="33" max="35" width="9.1328125" style="202"/>
    <col min="36" max="36" width="24.73046875" style="202" customWidth="1"/>
    <col min="37" max="16384" width="9.1328125" style="202"/>
  </cols>
  <sheetData>
    <row r="1" spans="1:43">
      <c r="A1" s="200" t="s">
        <v>90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</row>
    <row r="2" spans="1:43">
      <c r="A2" s="254" t="s">
        <v>146</v>
      </c>
      <c r="B2" s="203">
        <v>1</v>
      </c>
      <c r="C2" s="203">
        <v>2</v>
      </c>
      <c r="D2" s="203">
        <v>3</v>
      </c>
      <c r="E2" s="203">
        <v>4</v>
      </c>
      <c r="F2" s="203">
        <v>5</v>
      </c>
      <c r="G2" s="203">
        <v>6</v>
      </c>
      <c r="H2" s="203">
        <v>7</v>
      </c>
      <c r="I2" s="203">
        <v>8</v>
      </c>
      <c r="J2" s="203">
        <v>9</v>
      </c>
      <c r="K2" s="203">
        <v>10</v>
      </c>
      <c r="L2" s="203">
        <v>11</v>
      </c>
      <c r="M2" s="203">
        <v>12</v>
      </c>
      <c r="N2" s="203">
        <v>13</v>
      </c>
      <c r="O2" s="203">
        <v>14</v>
      </c>
      <c r="P2" s="203">
        <v>15</v>
      </c>
      <c r="Q2" s="203">
        <v>16</v>
      </c>
      <c r="R2" s="203">
        <v>17</v>
      </c>
      <c r="S2" s="203">
        <v>18</v>
      </c>
      <c r="T2" s="203">
        <v>19</v>
      </c>
      <c r="U2" s="203">
        <v>20</v>
      </c>
      <c r="V2" s="203">
        <v>21</v>
      </c>
      <c r="W2" s="203">
        <v>22</v>
      </c>
      <c r="X2" s="203">
        <v>23</v>
      </c>
      <c r="Y2" s="203">
        <v>24</v>
      </c>
      <c r="Z2" s="203">
        <v>25</v>
      </c>
      <c r="AA2" s="203">
        <v>26</v>
      </c>
      <c r="AB2" s="203">
        <v>27</v>
      </c>
      <c r="AC2" s="203">
        <v>28</v>
      </c>
      <c r="AD2" s="203"/>
      <c r="AE2" s="203"/>
      <c r="AF2" s="203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</row>
    <row r="3" spans="1:43">
      <c r="A3" s="204" t="s">
        <v>98</v>
      </c>
      <c r="B3" s="205">
        <v>0.97240000000000004</v>
      </c>
      <c r="C3" s="205">
        <v>0.79259999999999997</v>
      </c>
      <c r="D3" s="205">
        <v>0.6613</v>
      </c>
      <c r="E3" s="205">
        <v>0.67749999999999999</v>
      </c>
      <c r="F3" s="205">
        <v>0.70740000000000003</v>
      </c>
      <c r="G3" s="205">
        <v>0.88249999999999995</v>
      </c>
      <c r="H3" s="205">
        <v>0.96540000000000004</v>
      </c>
      <c r="I3" s="205">
        <v>0.97699999999999998</v>
      </c>
      <c r="J3" s="205">
        <v>0.84560000000000002</v>
      </c>
      <c r="K3" s="205">
        <v>0.81110000000000004</v>
      </c>
      <c r="L3" s="205">
        <v>0.69350000000000001</v>
      </c>
      <c r="M3" s="205">
        <v>0.71889999999999998</v>
      </c>
      <c r="N3" s="205">
        <v>0.73040000000000005</v>
      </c>
      <c r="O3" s="205">
        <v>0.74880000000000002</v>
      </c>
      <c r="P3" s="205">
        <v>0.74419999999999997</v>
      </c>
      <c r="Q3" s="205">
        <v>0.7742</v>
      </c>
      <c r="R3" s="205">
        <v>0.7903</v>
      </c>
      <c r="S3" s="205">
        <v>0.63590000000000002</v>
      </c>
      <c r="T3" s="205">
        <v>0.80879999999999996</v>
      </c>
      <c r="U3" s="205">
        <v>0.96079999999999999</v>
      </c>
      <c r="V3" s="205">
        <v>1</v>
      </c>
      <c r="W3" s="205">
        <v>1</v>
      </c>
      <c r="X3" s="205">
        <v>0.99080000000000001</v>
      </c>
      <c r="Y3" s="205">
        <v>0.93389999999999995</v>
      </c>
      <c r="Z3" s="205">
        <v>0.92859999999999998</v>
      </c>
      <c r="AA3" s="205">
        <v>0.67969999999999997</v>
      </c>
      <c r="AB3" s="205">
        <v>0.80410000000000004</v>
      </c>
      <c r="AC3" s="205">
        <v>0.94010000000000005</v>
      </c>
      <c r="AD3" s="205"/>
      <c r="AE3" s="205"/>
      <c r="AF3" s="205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</row>
    <row r="4" spans="1:43">
      <c r="A4" s="348"/>
      <c r="B4" s="348"/>
      <c r="C4" s="348"/>
      <c r="D4" s="348"/>
      <c r="E4" s="348"/>
      <c r="F4" s="348"/>
      <c r="G4" s="348"/>
      <c r="H4" s="348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</row>
    <row r="5" spans="1:43">
      <c r="A5" s="207" t="s">
        <v>91</v>
      </c>
      <c r="B5" s="203" t="s">
        <v>76</v>
      </c>
      <c r="C5" s="203" t="s">
        <v>76</v>
      </c>
      <c r="D5" s="203" t="s">
        <v>76</v>
      </c>
      <c r="E5" s="203" t="s">
        <v>76</v>
      </c>
      <c r="F5" s="203" t="s">
        <v>76</v>
      </c>
      <c r="G5" s="203" t="s">
        <v>76</v>
      </c>
      <c r="H5" s="203" t="s">
        <v>76</v>
      </c>
      <c r="I5" s="203" t="s">
        <v>76</v>
      </c>
      <c r="J5" s="203" t="s">
        <v>76</v>
      </c>
      <c r="K5" s="203" t="s">
        <v>76</v>
      </c>
      <c r="L5" s="203" t="s">
        <v>76</v>
      </c>
      <c r="M5" s="203" t="s">
        <v>76</v>
      </c>
      <c r="N5" s="203" t="s">
        <v>76</v>
      </c>
      <c r="O5" s="203" t="s">
        <v>76</v>
      </c>
      <c r="P5" s="203" t="s">
        <v>76</v>
      </c>
      <c r="Q5" s="203" t="s">
        <v>76</v>
      </c>
      <c r="R5" s="203" t="s">
        <v>76</v>
      </c>
      <c r="S5" s="203" t="s">
        <v>76</v>
      </c>
      <c r="T5" s="203" t="s">
        <v>76</v>
      </c>
      <c r="U5" s="203" t="s">
        <v>76</v>
      </c>
      <c r="V5" s="203" t="s">
        <v>76</v>
      </c>
      <c r="W5" s="203" t="s">
        <v>76</v>
      </c>
      <c r="X5" s="203" t="s">
        <v>76</v>
      </c>
      <c r="Y5" s="203" t="s">
        <v>76</v>
      </c>
      <c r="Z5" s="203" t="s">
        <v>76</v>
      </c>
      <c r="AA5" s="203" t="s">
        <v>76</v>
      </c>
      <c r="AB5" s="203" t="s">
        <v>76</v>
      </c>
      <c r="AC5" s="203" t="s">
        <v>76</v>
      </c>
      <c r="AD5" s="203" t="s">
        <v>76</v>
      </c>
      <c r="AE5" s="203" t="s">
        <v>76</v>
      </c>
      <c r="AF5" s="203" t="s">
        <v>76</v>
      </c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</row>
    <row r="6" spans="1:43">
      <c r="A6" s="208" t="s">
        <v>92</v>
      </c>
      <c r="B6" s="209">
        <v>3312</v>
      </c>
      <c r="C6" s="209">
        <v>2448</v>
      </c>
      <c r="D6" s="209">
        <v>3888</v>
      </c>
      <c r="E6" s="209">
        <v>2640</v>
      </c>
      <c r="F6" s="209">
        <v>3360</v>
      </c>
      <c r="G6" s="209">
        <v>4080</v>
      </c>
      <c r="H6" s="209">
        <v>2304</v>
      </c>
      <c r="I6" s="209">
        <v>3216</v>
      </c>
      <c r="J6" s="209">
        <v>3072</v>
      </c>
      <c r="K6" s="209">
        <v>3504</v>
      </c>
      <c r="L6" s="209">
        <v>3552</v>
      </c>
      <c r="M6" s="209">
        <v>3072</v>
      </c>
      <c r="N6" s="209">
        <v>3936</v>
      </c>
      <c r="O6" s="209">
        <v>2352</v>
      </c>
      <c r="P6" s="209">
        <v>4128</v>
      </c>
      <c r="Q6" s="209">
        <v>3024</v>
      </c>
      <c r="R6" s="209">
        <v>3312</v>
      </c>
      <c r="S6" s="209">
        <v>3216</v>
      </c>
      <c r="T6" s="209">
        <v>3168</v>
      </c>
      <c r="U6" s="209">
        <v>3936</v>
      </c>
      <c r="V6" s="209">
        <v>2736</v>
      </c>
      <c r="W6" s="209">
        <v>3408</v>
      </c>
      <c r="X6" s="209">
        <v>3264</v>
      </c>
      <c r="Y6" s="209">
        <v>3456</v>
      </c>
      <c r="Z6" s="209">
        <v>3696</v>
      </c>
      <c r="AA6" s="209">
        <v>3648</v>
      </c>
      <c r="AB6" s="209">
        <v>3888</v>
      </c>
      <c r="AC6" s="209">
        <v>2784</v>
      </c>
      <c r="AD6" s="209"/>
      <c r="AE6" s="209"/>
      <c r="AF6" s="209"/>
      <c r="AG6" s="210"/>
      <c r="AH6" s="201"/>
    </row>
    <row r="7" spans="1:43">
      <c r="A7" s="208" t="s">
        <v>93</v>
      </c>
      <c r="B7" s="209">
        <v>1968</v>
      </c>
      <c r="C7" s="209">
        <v>1488</v>
      </c>
      <c r="D7" s="209">
        <v>2160</v>
      </c>
      <c r="E7" s="209">
        <v>1488</v>
      </c>
      <c r="F7" s="209">
        <v>1776</v>
      </c>
      <c r="G7" s="209">
        <v>2640</v>
      </c>
      <c r="H7" s="209">
        <v>1344</v>
      </c>
      <c r="I7" s="209">
        <v>1920</v>
      </c>
      <c r="J7" s="209">
        <v>1872</v>
      </c>
      <c r="K7" s="209">
        <v>1968</v>
      </c>
      <c r="L7" s="209">
        <v>2064</v>
      </c>
      <c r="M7" s="209">
        <v>1776</v>
      </c>
      <c r="N7" s="209">
        <v>2208</v>
      </c>
      <c r="O7" s="209">
        <v>1344</v>
      </c>
      <c r="P7" s="209">
        <v>2304</v>
      </c>
      <c r="Q7" s="209">
        <v>1728</v>
      </c>
      <c r="R7" s="209">
        <v>1824</v>
      </c>
      <c r="S7" s="209">
        <v>1824</v>
      </c>
      <c r="T7" s="209">
        <v>1728</v>
      </c>
      <c r="U7" s="209">
        <v>2160</v>
      </c>
      <c r="V7" s="209">
        <v>1584</v>
      </c>
      <c r="W7" s="209">
        <v>2064</v>
      </c>
      <c r="X7" s="209">
        <v>1920</v>
      </c>
      <c r="Y7" s="209">
        <v>1968</v>
      </c>
      <c r="Z7" s="209">
        <v>2112</v>
      </c>
      <c r="AA7" s="209">
        <v>2064</v>
      </c>
      <c r="AB7" s="209">
        <v>2256</v>
      </c>
      <c r="AC7" s="209">
        <v>1680</v>
      </c>
      <c r="AD7" s="209"/>
      <c r="AE7" s="209"/>
      <c r="AF7" s="209"/>
      <c r="AG7" s="210"/>
      <c r="AH7" s="201"/>
    </row>
    <row r="8" spans="1:43">
      <c r="A8" s="208" t="s">
        <v>94</v>
      </c>
      <c r="B8" s="209">
        <v>2352</v>
      </c>
      <c r="C8" s="209">
        <v>1776</v>
      </c>
      <c r="D8" s="209">
        <v>2592</v>
      </c>
      <c r="E8" s="209">
        <v>1920</v>
      </c>
      <c r="F8" s="209">
        <v>2496</v>
      </c>
      <c r="G8" s="209">
        <v>2976</v>
      </c>
      <c r="H8" s="209">
        <v>1680</v>
      </c>
      <c r="I8" s="209">
        <v>2304</v>
      </c>
      <c r="J8" s="209">
        <v>2304</v>
      </c>
      <c r="K8" s="209">
        <v>2784</v>
      </c>
      <c r="L8" s="209">
        <v>2640</v>
      </c>
      <c r="M8" s="209">
        <v>2256</v>
      </c>
      <c r="N8" s="209">
        <v>2736</v>
      </c>
      <c r="O8" s="209">
        <v>1776</v>
      </c>
      <c r="P8" s="209">
        <v>2736</v>
      </c>
      <c r="Q8" s="209">
        <v>2160</v>
      </c>
      <c r="R8" s="209">
        <v>2160</v>
      </c>
      <c r="S8" s="209">
        <v>4560</v>
      </c>
      <c r="T8" s="209">
        <v>2304</v>
      </c>
      <c r="U8" s="209">
        <v>2928</v>
      </c>
      <c r="V8" s="209">
        <v>1968</v>
      </c>
      <c r="W8" s="209">
        <v>2352</v>
      </c>
      <c r="X8" s="209">
        <v>2304</v>
      </c>
      <c r="Y8" s="209">
        <v>2352</v>
      </c>
      <c r="Z8" s="209">
        <v>2496</v>
      </c>
      <c r="AA8" s="209">
        <v>2448</v>
      </c>
      <c r="AB8" s="209">
        <v>2544</v>
      </c>
      <c r="AC8" s="209">
        <v>1920</v>
      </c>
      <c r="AD8" s="209"/>
      <c r="AE8" s="209"/>
      <c r="AF8" s="209"/>
      <c r="AG8" s="210"/>
      <c r="AH8" s="201"/>
    </row>
    <row r="9" spans="1:43">
      <c r="A9" s="208" t="s">
        <v>95</v>
      </c>
      <c r="B9" s="209">
        <v>1344</v>
      </c>
      <c r="C9" s="209">
        <v>960</v>
      </c>
      <c r="D9" s="209">
        <v>1632</v>
      </c>
      <c r="E9" s="209">
        <v>1200</v>
      </c>
      <c r="F9" s="209">
        <v>1488</v>
      </c>
      <c r="G9" s="209">
        <v>1728</v>
      </c>
      <c r="H9" s="209">
        <v>960</v>
      </c>
      <c r="I9" s="209">
        <v>1296</v>
      </c>
      <c r="J9" s="209">
        <v>1248</v>
      </c>
      <c r="K9" s="209">
        <v>1344</v>
      </c>
      <c r="L9" s="209">
        <v>1536</v>
      </c>
      <c r="M9" s="209">
        <v>1296</v>
      </c>
      <c r="N9" s="209">
        <v>1632</v>
      </c>
      <c r="O9" s="209">
        <v>1008</v>
      </c>
      <c r="P9" s="209">
        <v>1680</v>
      </c>
      <c r="Q9" s="209">
        <v>1248</v>
      </c>
      <c r="R9" s="209">
        <v>1248</v>
      </c>
      <c r="S9" s="209">
        <v>1392</v>
      </c>
      <c r="T9" s="209">
        <v>1200</v>
      </c>
      <c r="U9" s="209">
        <v>1584</v>
      </c>
      <c r="V9" s="209">
        <v>1008</v>
      </c>
      <c r="W9" s="209">
        <v>1392</v>
      </c>
      <c r="X9" s="209">
        <v>1248</v>
      </c>
      <c r="Y9" s="209">
        <v>1296</v>
      </c>
      <c r="Z9" s="209">
        <v>1584</v>
      </c>
      <c r="AA9" s="209">
        <v>1536</v>
      </c>
      <c r="AB9" s="209">
        <v>1536</v>
      </c>
      <c r="AC9" s="209">
        <v>1152</v>
      </c>
      <c r="AD9" s="209"/>
      <c r="AE9" s="209"/>
      <c r="AF9" s="209"/>
      <c r="AG9" s="210"/>
      <c r="AH9" s="201"/>
    </row>
    <row r="10" spans="1:43">
      <c r="A10" s="208" t="s">
        <v>96</v>
      </c>
      <c r="B10" s="209">
        <v>2352</v>
      </c>
      <c r="C10" s="209">
        <v>1824</v>
      </c>
      <c r="D10" s="209">
        <v>2544</v>
      </c>
      <c r="E10" s="209">
        <v>1824</v>
      </c>
      <c r="F10" s="209">
        <v>2352</v>
      </c>
      <c r="G10" s="209">
        <v>2880</v>
      </c>
      <c r="H10" s="209">
        <v>1680</v>
      </c>
      <c r="I10" s="209">
        <v>2304</v>
      </c>
      <c r="J10" s="209">
        <v>2208</v>
      </c>
      <c r="K10" s="209">
        <v>2400</v>
      </c>
      <c r="L10" s="209">
        <v>2496</v>
      </c>
      <c r="M10" s="209">
        <v>2256</v>
      </c>
      <c r="N10" s="209">
        <v>2736</v>
      </c>
      <c r="O10" s="209">
        <v>1776</v>
      </c>
      <c r="P10" s="209">
        <v>2688</v>
      </c>
      <c r="Q10" s="209">
        <v>2112</v>
      </c>
      <c r="R10" s="209">
        <v>2160</v>
      </c>
      <c r="S10" s="209">
        <v>2208</v>
      </c>
      <c r="T10" s="209">
        <v>2112</v>
      </c>
      <c r="U10" s="209">
        <v>2592</v>
      </c>
      <c r="V10" s="209">
        <v>1872</v>
      </c>
      <c r="W10" s="209">
        <v>2304</v>
      </c>
      <c r="X10" s="209">
        <v>2208</v>
      </c>
      <c r="Y10" s="209">
        <v>2304</v>
      </c>
      <c r="Z10" s="209">
        <v>2352</v>
      </c>
      <c r="AA10" s="209">
        <v>2304</v>
      </c>
      <c r="AB10" s="209">
        <v>2496</v>
      </c>
      <c r="AC10" s="209">
        <v>1872</v>
      </c>
      <c r="AD10" s="209"/>
      <c r="AE10" s="209"/>
      <c r="AF10" s="209"/>
      <c r="AG10" s="210"/>
      <c r="AH10" s="201"/>
    </row>
    <row r="11" spans="1:43">
      <c r="A11" s="208" t="s">
        <v>97</v>
      </c>
      <c r="B11" s="209">
        <v>4944</v>
      </c>
      <c r="C11" s="209">
        <v>4272</v>
      </c>
      <c r="D11" s="209">
        <v>6048</v>
      </c>
      <c r="E11" s="209">
        <v>4560</v>
      </c>
      <c r="F11" s="209">
        <v>5616</v>
      </c>
      <c r="G11" s="209">
        <v>6912</v>
      </c>
      <c r="H11" s="209">
        <v>4128</v>
      </c>
      <c r="I11" s="209">
        <v>5712</v>
      </c>
      <c r="J11" s="209">
        <v>5520</v>
      </c>
      <c r="K11" s="209">
        <v>5760</v>
      </c>
      <c r="L11" s="209">
        <v>5808</v>
      </c>
      <c r="M11" s="209">
        <v>5424</v>
      </c>
      <c r="N11" s="209">
        <v>6864</v>
      </c>
      <c r="O11" s="209">
        <v>7452</v>
      </c>
      <c r="P11" s="209">
        <v>7488</v>
      </c>
      <c r="Q11" s="209">
        <v>5856</v>
      </c>
      <c r="R11" s="209">
        <v>5952</v>
      </c>
      <c r="S11" s="209">
        <v>6096</v>
      </c>
      <c r="T11" s="209">
        <v>6240</v>
      </c>
      <c r="U11" s="209">
        <v>7296</v>
      </c>
      <c r="V11" s="209">
        <v>5233</v>
      </c>
      <c r="W11" s="209">
        <v>6000</v>
      </c>
      <c r="X11" s="209">
        <v>6432</v>
      </c>
      <c r="Y11" s="209">
        <v>6528</v>
      </c>
      <c r="Z11" s="209">
        <v>6720</v>
      </c>
      <c r="AA11" s="209">
        <v>6576</v>
      </c>
      <c r="AB11" s="209">
        <v>7104</v>
      </c>
      <c r="AC11" s="209">
        <v>5376</v>
      </c>
      <c r="AD11" s="209"/>
      <c r="AE11" s="209"/>
      <c r="AF11" s="209"/>
      <c r="AG11" s="210"/>
      <c r="AH11" s="201"/>
    </row>
    <row r="12" spans="1:43" s="214" customFormat="1">
      <c r="A12" s="215" t="s">
        <v>114</v>
      </c>
      <c r="B12" s="216">
        <f>SUM(B6:B11)</f>
        <v>16272</v>
      </c>
      <c r="C12" s="216">
        <f t="shared" ref="C12:AF12" si="0">SUM(C6:C11)</f>
        <v>12768</v>
      </c>
      <c r="D12" s="216">
        <f t="shared" si="0"/>
        <v>18864</v>
      </c>
      <c r="E12" s="216">
        <f t="shared" si="0"/>
        <v>13632</v>
      </c>
      <c r="F12" s="216">
        <f t="shared" si="0"/>
        <v>17088</v>
      </c>
      <c r="G12" s="216">
        <f t="shared" si="0"/>
        <v>21216</v>
      </c>
      <c r="H12" s="216">
        <f t="shared" si="0"/>
        <v>12096</v>
      </c>
      <c r="I12" s="216">
        <f t="shared" si="0"/>
        <v>16752</v>
      </c>
      <c r="J12" s="216">
        <f t="shared" si="0"/>
        <v>16224</v>
      </c>
      <c r="K12" s="216">
        <f t="shared" si="0"/>
        <v>17760</v>
      </c>
      <c r="L12" s="216">
        <f t="shared" si="0"/>
        <v>18096</v>
      </c>
      <c r="M12" s="216">
        <f t="shared" si="0"/>
        <v>16080</v>
      </c>
      <c r="N12" s="216">
        <f t="shared" si="0"/>
        <v>20112</v>
      </c>
      <c r="O12" s="216">
        <f t="shared" si="0"/>
        <v>15708</v>
      </c>
      <c r="P12" s="216">
        <f t="shared" si="0"/>
        <v>21024</v>
      </c>
      <c r="Q12" s="216">
        <f t="shared" si="0"/>
        <v>16128</v>
      </c>
      <c r="R12" s="216">
        <f t="shared" si="0"/>
        <v>16656</v>
      </c>
      <c r="S12" s="216">
        <f t="shared" si="0"/>
        <v>19296</v>
      </c>
      <c r="T12" s="216">
        <f t="shared" si="0"/>
        <v>16752</v>
      </c>
      <c r="U12" s="216">
        <f t="shared" si="0"/>
        <v>20496</v>
      </c>
      <c r="V12" s="216">
        <f t="shared" si="0"/>
        <v>14401</v>
      </c>
      <c r="W12" s="216">
        <f t="shared" si="0"/>
        <v>17520</v>
      </c>
      <c r="X12" s="216">
        <f t="shared" si="0"/>
        <v>17376</v>
      </c>
      <c r="Y12" s="216">
        <f t="shared" si="0"/>
        <v>17904</v>
      </c>
      <c r="Z12" s="216">
        <f t="shared" si="0"/>
        <v>18960</v>
      </c>
      <c r="AA12" s="216">
        <f t="shared" si="0"/>
        <v>18576</v>
      </c>
      <c r="AB12" s="216">
        <f t="shared" si="0"/>
        <v>19824</v>
      </c>
      <c r="AC12" s="216">
        <f t="shared" si="0"/>
        <v>14784</v>
      </c>
      <c r="AD12" s="216">
        <f t="shared" si="0"/>
        <v>0</v>
      </c>
      <c r="AE12" s="216">
        <f t="shared" si="0"/>
        <v>0</v>
      </c>
      <c r="AF12" s="216">
        <f t="shared" si="0"/>
        <v>0</v>
      </c>
    </row>
    <row r="13" spans="1:43">
      <c r="A13" s="207" t="s">
        <v>99</v>
      </c>
      <c r="B13" s="203" t="s">
        <v>60</v>
      </c>
      <c r="C13" s="203" t="s">
        <v>60</v>
      </c>
      <c r="D13" s="203" t="s">
        <v>60</v>
      </c>
      <c r="E13" s="203" t="s">
        <v>60</v>
      </c>
      <c r="F13" s="203" t="s">
        <v>60</v>
      </c>
      <c r="G13" s="203" t="s">
        <v>60</v>
      </c>
      <c r="H13" s="203" t="s">
        <v>60</v>
      </c>
      <c r="I13" s="203" t="s">
        <v>60</v>
      </c>
      <c r="J13" s="203" t="s">
        <v>60</v>
      </c>
      <c r="K13" s="203" t="s">
        <v>60</v>
      </c>
      <c r="L13" s="203" t="s">
        <v>60</v>
      </c>
      <c r="M13" s="203" t="s">
        <v>60</v>
      </c>
      <c r="N13" s="203" t="s">
        <v>60</v>
      </c>
      <c r="O13" s="203" t="s">
        <v>60</v>
      </c>
      <c r="P13" s="203" t="s">
        <v>60</v>
      </c>
      <c r="Q13" s="203" t="s">
        <v>60</v>
      </c>
      <c r="R13" s="203" t="s">
        <v>60</v>
      </c>
      <c r="S13" s="203" t="s">
        <v>60</v>
      </c>
      <c r="T13" s="203" t="s">
        <v>60</v>
      </c>
      <c r="U13" s="203" t="s">
        <v>60</v>
      </c>
      <c r="V13" s="203" t="s">
        <v>60</v>
      </c>
      <c r="W13" s="203" t="s">
        <v>60</v>
      </c>
      <c r="X13" s="203" t="s">
        <v>60</v>
      </c>
      <c r="Y13" s="203" t="s">
        <v>60</v>
      </c>
      <c r="Z13" s="203" t="s">
        <v>60</v>
      </c>
      <c r="AA13" s="203" t="s">
        <v>60</v>
      </c>
      <c r="AB13" s="203" t="s">
        <v>60</v>
      </c>
      <c r="AC13" s="203" t="s">
        <v>60</v>
      </c>
      <c r="AD13" s="203" t="s">
        <v>60</v>
      </c>
      <c r="AE13" s="203" t="s">
        <v>60</v>
      </c>
      <c r="AF13" s="203" t="s">
        <v>60</v>
      </c>
    </row>
    <row r="14" spans="1:43">
      <c r="A14" s="208" t="s">
        <v>102</v>
      </c>
      <c r="B14" s="211">
        <v>49053.09</v>
      </c>
      <c r="C14" s="211">
        <v>67750.45</v>
      </c>
      <c r="D14" s="211">
        <v>65770.73</v>
      </c>
      <c r="E14" s="211">
        <v>71709.89</v>
      </c>
      <c r="F14" s="211">
        <v>45313.61</v>
      </c>
      <c r="G14" s="211">
        <v>65770.73</v>
      </c>
      <c r="H14" s="211">
        <v>56312.06</v>
      </c>
      <c r="I14" s="211">
        <v>50152.93</v>
      </c>
      <c r="J14" s="211">
        <v>78968.87</v>
      </c>
      <c r="K14" s="211">
        <v>78748.899999999994</v>
      </c>
      <c r="L14" s="211">
        <v>46193.49</v>
      </c>
      <c r="M14" s="211">
        <v>69510.820000000007</v>
      </c>
      <c r="N14" s="211">
        <v>51032.81</v>
      </c>
      <c r="O14" s="211">
        <v>68630.33</v>
      </c>
      <c r="P14" s="211">
        <v>49273.06</v>
      </c>
      <c r="Q14" s="211">
        <v>79188.84</v>
      </c>
      <c r="R14" s="211">
        <v>69730.17</v>
      </c>
      <c r="S14" s="211">
        <v>72149.83</v>
      </c>
      <c r="T14" s="211">
        <v>55872.13</v>
      </c>
      <c r="U14" s="211">
        <v>55872.13</v>
      </c>
      <c r="V14" s="211">
        <v>57411.91</v>
      </c>
      <c r="W14" s="211">
        <v>47733.27</v>
      </c>
      <c r="X14" s="211">
        <v>81388.53</v>
      </c>
      <c r="Y14" s="211">
        <v>70390.080000000002</v>
      </c>
      <c r="Z14" s="211">
        <v>52352.62</v>
      </c>
      <c r="AA14" s="211">
        <v>48833.120000000003</v>
      </c>
      <c r="AB14" s="211">
        <v>39814.39</v>
      </c>
      <c r="AC14" s="211">
        <v>40034.36</v>
      </c>
      <c r="AD14" s="211"/>
      <c r="AE14" s="211"/>
      <c r="AF14" s="211"/>
    </row>
    <row r="15" spans="1:43">
      <c r="A15" s="348"/>
      <c r="B15" s="348"/>
      <c r="C15" s="348"/>
      <c r="D15" s="348"/>
      <c r="E15" s="348"/>
      <c r="F15" s="348"/>
      <c r="G15" s="348"/>
      <c r="H15" s="348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</row>
    <row r="16" spans="1:43">
      <c r="A16" s="207" t="s">
        <v>100</v>
      </c>
      <c r="B16" s="203" t="s">
        <v>103</v>
      </c>
      <c r="C16" s="203" t="s">
        <v>103</v>
      </c>
      <c r="D16" s="203" t="s">
        <v>103</v>
      </c>
      <c r="E16" s="203" t="s">
        <v>103</v>
      </c>
      <c r="F16" s="203" t="s">
        <v>103</v>
      </c>
      <c r="G16" s="203" t="s">
        <v>103</v>
      </c>
      <c r="H16" s="203" t="s">
        <v>103</v>
      </c>
      <c r="I16" s="203" t="s">
        <v>103</v>
      </c>
      <c r="J16" s="203" t="s">
        <v>103</v>
      </c>
      <c r="K16" s="203" t="s">
        <v>103</v>
      </c>
      <c r="L16" s="203" t="s">
        <v>103</v>
      </c>
      <c r="M16" s="203" t="s">
        <v>103</v>
      </c>
      <c r="N16" s="203" t="s">
        <v>103</v>
      </c>
      <c r="O16" s="203" t="s">
        <v>103</v>
      </c>
      <c r="P16" s="203" t="s">
        <v>103</v>
      </c>
      <c r="Q16" s="203" t="s">
        <v>103</v>
      </c>
      <c r="R16" s="203" t="s">
        <v>103</v>
      </c>
      <c r="S16" s="203" t="s">
        <v>103</v>
      </c>
      <c r="T16" s="203" t="s">
        <v>103</v>
      </c>
      <c r="U16" s="203" t="s">
        <v>103</v>
      </c>
      <c r="V16" s="203" t="s">
        <v>103</v>
      </c>
      <c r="W16" s="203" t="s">
        <v>103</v>
      </c>
      <c r="X16" s="203" t="s">
        <v>103</v>
      </c>
      <c r="Y16" s="203" t="s">
        <v>103</v>
      </c>
      <c r="Z16" s="203" t="s">
        <v>103</v>
      </c>
      <c r="AA16" s="203" t="s">
        <v>103</v>
      </c>
      <c r="AB16" s="203" t="s">
        <v>103</v>
      </c>
      <c r="AC16" s="203" t="s">
        <v>103</v>
      </c>
      <c r="AD16" s="203" t="s">
        <v>103</v>
      </c>
      <c r="AE16" s="203" t="s">
        <v>103</v>
      </c>
      <c r="AF16" s="203" t="s">
        <v>103</v>
      </c>
    </row>
    <row r="17" spans="1:43" ht="52.5">
      <c r="A17" s="208" t="s">
        <v>112</v>
      </c>
      <c r="B17" s="212">
        <v>3582.68</v>
      </c>
      <c r="C17" s="212">
        <v>5146.55</v>
      </c>
      <c r="D17" s="212">
        <v>6710.42</v>
      </c>
      <c r="E17" s="212">
        <v>4691.6099999999997</v>
      </c>
      <c r="F17" s="212">
        <v>5174.99</v>
      </c>
      <c r="G17" s="212">
        <v>6994.76</v>
      </c>
      <c r="H17" s="212">
        <v>4321.97</v>
      </c>
      <c r="I17" s="212">
        <v>6539.82</v>
      </c>
      <c r="J17" s="212">
        <v>5914.27</v>
      </c>
      <c r="K17" s="212">
        <v>5459.33</v>
      </c>
      <c r="L17" s="212">
        <v>5459.33</v>
      </c>
      <c r="M17" s="212">
        <v>5032.82</v>
      </c>
      <c r="N17" s="212">
        <v>6767.29</v>
      </c>
      <c r="O17" s="212">
        <v>6568.25</v>
      </c>
      <c r="P17" s="212">
        <v>7250.67</v>
      </c>
      <c r="Q17" s="212">
        <v>6511.39</v>
      </c>
      <c r="R17" s="212">
        <v>6141.74</v>
      </c>
      <c r="S17" s="212">
        <v>7222.24</v>
      </c>
      <c r="T17" s="212">
        <v>6454.52</v>
      </c>
      <c r="U17" s="212">
        <v>7193.8</v>
      </c>
      <c r="V17" s="212">
        <v>4833.78</v>
      </c>
      <c r="W17" s="212">
        <v>6028.01</v>
      </c>
      <c r="X17" s="212">
        <v>6113.31</v>
      </c>
      <c r="Y17" s="212">
        <v>6767.29</v>
      </c>
      <c r="Z17" s="212">
        <v>8188.99</v>
      </c>
      <c r="AA17" s="212">
        <v>8985.14</v>
      </c>
      <c r="AB17" s="212">
        <v>7591.88</v>
      </c>
      <c r="AC17" s="212">
        <v>8985.14</v>
      </c>
      <c r="AD17" s="212"/>
      <c r="AE17" s="212"/>
      <c r="AF17" s="212"/>
    </row>
    <row r="18" spans="1:43">
      <c r="A18" s="348"/>
      <c r="B18" s="348"/>
      <c r="C18" s="348"/>
      <c r="D18" s="348"/>
      <c r="E18" s="348"/>
      <c r="F18" s="348"/>
      <c r="G18" s="348"/>
      <c r="H18" s="348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</row>
    <row r="19" spans="1:43">
      <c r="A19" s="207" t="s">
        <v>101</v>
      </c>
      <c r="B19" s="203" t="s">
        <v>104</v>
      </c>
      <c r="C19" s="203" t="s">
        <v>104</v>
      </c>
      <c r="D19" s="203" t="s">
        <v>104</v>
      </c>
      <c r="E19" s="203" t="s">
        <v>104</v>
      </c>
      <c r="F19" s="203" t="s">
        <v>104</v>
      </c>
      <c r="G19" s="203" t="s">
        <v>104</v>
      </c>
      <c r="H19" s="203" t="s">
        <v>104</v>
      </c>
      <c r="I19" s="203" t="s">
        <v>104</v>
      </c>
      <c r="J19" s="203" t="s">
        <v>104</v>
      </c>
      <c r="K19" s="203" t="s">
        <v>104</v>
      </c>
      <c r="L19" s="203" t="s">
        <v>104</v>
      </c>
      <c r="M19" s="203" t="s">
        <v>104</v>
      </c>
      <c r="N19" s="203" t="s">
        <v>104</v>
      </c>
      <c r="O19" s="203" t="s">
        <v>104</v>
      </c>
      <c r="P19" s="203" t="s">
        <v>104</v>
      </c>
      <c r="Q19" s="203" t="s">
        <v>104</v>
      </c>
      <c r="R19" s="203" t="s">
        <v>104</v>
      </c>
      <c r="S19" s="203" t="s">
        <v>104</v>
      </c>
      <c r="T19" s="203" t="s">
        <v>104</v>
      </c>
      <c r="U19" s="203" t="s">
        <v>104</v>
      </c>
      <c r="V19" s="203" t="s">
        <v>104</v>
      </c>
      <c r="W19" s="203" t="s">
        <v>104</v>
      </c>
      <c r="X19" s="203" t="s">
        <v>104</v>
      </c>
      <c r="Y19" s="203" t="s">
        <v>104</v>
      </c>
      <c r="Z19" s="203" t="s">
        <v>104</v>
      </c>
      <c r="AA19" s="203" t="s">
        <v>104</v>
      </c>
      <c r="AB19" s="203" t="s">
        <v>104</v>
      </c>
      <c r="AC19" s="203" t="s">
        <v>104</v>
      </c>
      <c r="AD19" s="203" t="s">
        <v>104</v>
      </c>
      <c r="AE19" s="203" t="s">
        <v>104</v>
      </c>
      <c r="AF19" s="203" t="s">
        <v>104</v>
      </c>
    </row>
    <row r="20" spans="1:43" ht="52.5">
      <c r="A20" s="208" t="s">
        <v>113</v>
      </c>
      <c r="B20" s="212">
        <v>315.17</v>
      </c>
      <c r="C20" s="212">
        <v>380.21</v>
      </c>
      <c r="D20" s="212">
        <v>373.98</v>
      </c>
      <c r="E20" s="212">
        <v>335.77</v>
      </c>
      <c r="F20" s="212">
        <v>365.58</v>
      </c>
      <c r="G20" s="212">
        <v>439.83</v>
      </c>
      <c r="H20" s="212">
        <v>272.89999999999998</v>
      </c>
      <c r="I20" s="212">
        <v>371.81</v>
      </c>
      <c r="J20" s="212">
        <v>367.48</v>
      </c>
      <c r="K20" s="212">
        <v>392.41</v>
      </c>
      <c r="L20" s="212">
        <v>390.51</v>
      </c>
      <c r="M20" s="212">
        <v>326.01</v>
      </c>
      <c r="N20" s="212">
        <v>354.2</v>
      </c>
      <c r="O20" s="212">
        <v>343.9</v>
      </c>
      <c r="P20" s="212">
        <v>355.55</v>
      </c>
      <c r="Q20" s="212">
        <v>322.76</v>
      </c>
      <c r="R20" s="212">
        <v>304.88</v>
      </c>
      <c r="S20" s="212">
        <v>331.98</v>
      </c>
      <c r="T20" s="212">
        <v>334.14</v>
      </c>
      <c r="U20" s="212">
        <v>358.26</v>
      </c>
      <c r="V20" s="212">
        <v>305.69</v>
      </c>
      <c r="W20" s="212">
        <v>372.63</v>
      </c>
      <c r="X20" s="212">
        <v>381.84</v>
      </c>
      <c r="Y20" s="212">
        <v>522.22</v>
      </c>
      <c r="Z20" s="212">
        <v>317.07</v>
      </c>
      <c r="AA20" s="212">
        <v>438.21</v>
      </c>
      <c r="AB20" s="212">
        <v>321.41000000000003</v>
      </c>
      <c r="AC20" s="212">
        <v>429.54</v>
      </c>
      <c r="AD20" s="212"/>
      <c r="AE20" s="212"/>
      <c r="AF20" s="212"/>
    </row>
  </sheetData>
  <mergeCells count="3">
    <mergeCell ref="A15:H15"/>
    <mergeCell ref="A18:H18"/>
    <mergeCell ref="A4:H4"/>
  </mergeCells>
  <hyperlinks>
    <hyperlink ref="A1" location="'1'!A1" display="1st" xr:uid="{5B080783-7A21-4614-89ED-8981434CD484}"/>
  </hyperlinks>
  <pageMargins left="0" right="0" top="0" bottom="0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7385-A039-479D-A7B9-17197C09E5D8}">
  <dimension ref="A1:N19"/>
  <sheetViews>
    <sheetView workbookViewId="0">
      <pane ySplit="1" topLeftCell="A2" activePane="bottomLeft" state="frozen"/>
      <selection activeCell="B1" sqref="B1"/>
      <selection pane="bottomLeft" activeCell="A6" sqref="A6"/>
    </sheetView>
  </sheetViews>
  <sheetFormatPr defaultColWidth="35.73046875" defaultRowHeight="60" customHeight="1"/>
  <cols>
    <col min="1" max="16384" width="35.73046875" style="220"/>
  </cols>
  <sheetData>
    <row r="1" spans="1:14" ht="60" customHeight="1" thickBot="1">
      <c r="A1" s="217">
        <v>0.94010000000000005</v>
      </c>
      <c r="B1" s="217"/>
      <c r="C1" s="217"/>
      <c r="D1" s="217"/>
      <c r="E1" s="219"/>
      <c r="F1" s="219"/>
      <c r="G1" s="219"/>
      <c r="H1" s="219"/>
      <c r="I1" s="219"/>
      <c r="J1" s="219"/>
      <c r="K1" s="219"/>
      <c r="L1" s="219"/>
      <c r="M1" s="219"/>
      <c r="N1" s="219"/>
    </row>
    <row r="2" spans="1:14" ht="60" customHeight="1" thickBot="1">
      <c r="A2" s="221">
        <v>8985.14</v>
      </c>
      <c r="B2" s="221"/>
      <c r="C2" s="221"/>
      <c r="D2" s="221"/>
      <c r="E2" s="222"/>
    </row>
    <row r="3" spans="1:14" ht="60" customHeight="1" thickBot="1">
      <c r="A3" s="221">
        <v>14784</v>
      </c>
      <c r="B3" s="221"/>
      <c r="C3" s="221"/>
      <c r="D3" s="221"/>
      <c r="E3" s="222"/>
    </row>
    <row r="4" spans="1:14" ht="60" customHeight="1" thickBot="1">
      <c r="A4" s="221">
        <v>40034.36</v>
      </c>
      <c r="B4" s="221"/>
      <c r="C4" s="221"/>
      <c r="D4" s="221"/>
      <c r="E4" s="222"/>
    </row>
    <row r="5" spans="1:14" ht="60" customHeight="1" thickBot="1">
      <c r="A5" s="218">
        <v>429.54</v>
      </c>
      <c r="B5" s="218"/>
      <c r="C5" s="218"/>
      <c r="D5" s="218"/>
      <c r="E5" s="222"/>
    </row>
    <row r="6" spans="1:14" ht="6.75" customHeight="1" thickBot="1">
      <c r="A6" s="218"/>
      <c r="B6" s="218"/>
      <c r="C6" s="234"/>
      <c r="D6" s="234"/>
      <c r="E6" s="222"/>
    </row>
    <row r="7" spans="1:14" ht="60" customHeight="1" thickBot="1">
      <c r="A7" s="217"/>
      <c r="B7" s="217"/>
      <c r="C7" s="234"/>
      <c r="D7" s="234"/>
      <c r="E7" s="222"/>
    </row>
    <row r="8" spans="1:14" ht="60" customHeight="1" thickBot="1">
      <c r="A8" s="221"/>
      <c r="B8" s="221"/>
      <c r="C8" s="234"/>
      <c r="D8" s="234"/>
      <c r="E8" s="222"/>
    </row>
    <row r="9" spans="1:14" ht="60" customHeight="1" thickBot="1">
      <c r="A9" s="221"/>
      <c r="B9" s="221"/>
      <c r="C9" s="234"/>
      <c r="D9" s="234"/>
      <c r="E9" s="222"/>
    </row>
    <row r="10" spans="1:14" ht="60" customHeight="1" thickBot="1">
      <c r="A10" s="221"/>
      <c r="B10" s="221"/>
      <c r="C10" s="234"/>
      <c r="D10" s="234"/>
      <c r="E10" s="222"/>
    </row>
    <row r="11" spans="1:14" ht="60" customHeight="1" thickBot="1">
      <c r="A11" s="218"/>
      <c r="B11" s="218"/>
      <c r="C11" s="234"/>
      <c r="D11" s="234"/>
      <c r="E11" s="222"/>
    </row>
    <row r="13" spans="1:14" ht="65.099999999999994" customHeight="1">
      <c r="A13" s="226" t="s">
        <v>98</v>
      </c>
      <c r="B13" s="226" t="s">
        <v>98</v>
      </c>
      <c r="C13" s="226" t="s">
        <v>98</v>
      </c>
      <c r="D13" s="226" t="s">
        <v>98</v>
      </c>
      <c r="E13" s="226" t="s">
        <v>98</v>
      </c>
      <c r="F13" s="226" t="s">
        <v>98</v>
      </c>
    </row>
    <row r="14" spans="1:14" ht="65.099999999999994" customHeight="1">
      <c r="A14" s="227" t="s">
        <v>115</v>
      </c>
      <c r="B14" s="227" t="s">
        <v>115</v>
      </c>
      <c r="C14" s="227" t="s">
        <v>115</v>
      </c>
      <c r="D14" s="227" t="s">
        <v>115</v>
      </c>
      <c r="E14" s="227" t="s">
        <v>115</v>
      </c>
      <c r="F14" s="227" t="s">
        <v>115</v>
      </c>
    </row>
    <row r="15" spans="1:14" ht="65.099999999999994" customHeight="1">
      <c r="A15" s="227" t="s">
        <v>116</v>
      </c>
      <c r="B15" s="227" t="s">
        <v>116</v>
      </c>
      <c r="C15" s="227" t="s">
        <v>116</v>
      </c>
      <c r="D15" s="227" t="s">
        <v>116</v>
      </c>
      <c r="E15" s="227" t="s">
        <v>116</v>
      </c>
      <c r="F15" s="227" t="s">
        <v>116</v>
      </c>
    </row>
    <row r="16" spans="1:14" ht="65.099999999999994" customHeight="1">
      <c r="A16" s="227" t="s">
        <v>117</v>
      </c>
      <c r="B16" s="227" t="s">
        <v>117</v>
      </c>
      <c r="C16" s="227" t="s">
        <v>117</v>
      </c>
      <c r="D16" s="227" t="s">
        <v>117</v>
      </c>
      <c r="E16" s="227" t="s">
        <v>117</v>
      </c>
      <c r="F16" s="227" t="s">
        <v>117</v>
      </c>
    </row>
    <row r="17" spans="1:6" ht="65.099999999999994" customHeight="1">
      <c r="A17" s="227" t="s">
        <v>118</v>
      </c>
      <c r="B17" s="227" t="s">
        <v>118</v>
      </c>
      <c r="C17" s="227" t="s">
        <v>118</v>
      </c>
      <c r="D17" s="227" t="s">
        <v>118</v>
      </c>
      <c r="E17" s="227" t="s">
        <v>118</v>
      </c>
      <c r="F17" s="227" t="s">
        <v>118</v>
      </c>
    </row>
    <row r="18" spans="1:6" ht="60" customHeight="1" thickBot="1"/>
    <row r="19" spans="1:6" ht="75" customHeight="1" thickBot="1">
      <c r="A19" s="228" t="s">
        <v>119</v>
      </c>
      <c r="B19" s="229"/>
      <c r="C19" s="228" t="s">
        <v>119</v>
      </c>
      <c r="D19" s="229"/>
    </row>
  </sheetData>
  <pageMargins left="0" right="0" top="0.51181102362204722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60B4-F05C-4374-8D9C-C8ED8AE2784E}">
  <dimension ref="A1:L16"/>
  <sheetViews>
    <sheetView workbookViewId="0">
      <pane ySplit="1" topLeftCell="A2" activePane="bottomLeft" state="frozen"/>
      <selection activeCell="B1" sqref="B1"/>
      <selection pane="bottomLeft" activeCell="F7" sqref="F7"/>
    </sheetView>
  </sheetViews>
  <sheetFormatPr defaultColWidth="35.73046875" defaultRowHeight="60" customHeight="1"/>
  <cols>
    <col min="1" max="4" width="35.73046875" style="220"/>
    <col min="5" max="5" width="32.86328125" style="220" customWidth="1"/>
    <col min="6" max="6" width="35.73046875" style="220"/>
    <col min="7" max="7" width="6.73046875" style="220" customWidth="1"/>
    <col min="8" max="16384" width="35.73046875" style="220"/>
  </cols>
  <sheetData>
    <row r="1" spans="1:12" ht="75" customHeight="1" thickBot="1">
      <c r="A1" s="217"/>
      <c r="B1" s="218"/>
      <c r="C1" s="219"/>
      <c r="D1" s="219"/>
      <c r="E1" s="230" t="s">
        <v>119</v>
      </c>
      <c r="F1" s="351"/>
      <c r="G1" s="352"/>
      <c r="H1" s="219"/>
      <c r="I1" s="219"/>
      <c r="J1" s="219"/>
      <c r="K1" s="219"/>
      <c r="L1" s="219"/>
    </row>
    <row r="2" spans="1:12" ht="69.95" customHeight="1" thickBot="1">
      <c r="A2" s="221"/>
      <c r="B2" s="218"/>
      <c r="C2" s="222"/>
      <c r="E2" s="230" t="s">
        <v>120</v>
      </c>
      <c r="F2" s="353" t="s">
        <v>153</v>
      </c>
      <c r="G2" s="354"/>
    </row>
    <row r="3" spans="1:12" ht="69.95" customHeight="1" thickBot="1">
      <c r="A3" s="221"/>
      <c r="B3" s="218"/>
      <c r="C3" s="222"/>
      <c r="E3" s="231" t="s">
        <v>121</v>
      </c>
      <c r="F3" s="349">
        <v>1684962.54</v>
      </c>
      <c r="G3" s="350"/>
    </row>
    <row r="4" spans="1:12" ht="69.95" customHeight="1" thickBot="1">
      <c r="A4" s="221"/>
      <c r="B4" s="223"/>
      <c r="C4" s="222"/>
      <c r="E4" s="232" t="s">
        <v>122</v>
      </c>
      <c r="F4" s="349">
        <v>477504</v>
      </c>
      <c r="G4" s="350"/>
    </row>
    <row r="5" spans="1:12" ht="69.95" customHeight="1" thickBot="1">
      <c r="A5" s="221"/>
      <c r="B5" s="224"/>
      <c r="C5" s="222"/>
      <c r="E5" s="232" t="s">
        <v>123</v>
      </c>
      <c r="F5" s="349">
        <v>176638.22</v>
      </c>
      <c r="G5" s="350"/>
    </row>
    <row r="6" spans="1:12" ht="69.95" customHeight="1" thickBot="1">
      <c r="A6" s="221"/>
      <c r="B6" s="224"/>
      <c r="C6" s="222"/>
      <c r="E6" s="232" t="s">
        <v>124</v>
      </c>
      <c r="F6" s="349">
        <v>14075.02</v>
      </c>
      <c r="G6" s="350"/>
    </row>
    <row r="7" spans="1:12" ht="60" customHeight="1" thickBot="1">
      <c r="A7" s="221"/>
      <c r="B7" s="225"/>
    </row>
    <row r="8" spans="1:12" ht="60" customHeight="1" thickBot="1">
      <c r="A8" s="221"/>
      <c r="B8" s="225"/>
    </row>
    <row r="10" spans="1:12" ht="65.099999999999994" customHeight="1">
      <c r="A10" s="233" t="s">
        <v>110</v>
      </c>
      <c r="B10" s="233" t="s">
        <v>129</v>
      </c>
      <c r="C10" s="233" t="s">
        <v>110</v>
      </c>
      <c r="D10" s="233" t="s">
        <v>129</v>
      </c>
    </row>
    <row r="11" spans="1:12" ht="65.099999999999994" customHeight="1">
      <c r="A11" s="233" t="s">
        <v>125</v>
      </c>
      <c r="B11" s="233" t="s">
        <v>130</v>
      </c>
      <c r="C11" s="233" t="s">
        <v>125</v>
      </c>
      <c r="D11" s="233" t="s">
        <v>130</v>
      </c>
    </row>
    <row r="12" spans="1:12" ht="65.099999999999994" customHeight="1">
      <c r="A12" s="233" t="s">
        <v>126</v>
      </c>
      <c r="B12" s="233" t="s">
        <v>131</v>
      </c>
      <c r="C12" s="233" t="s">
        <v>126</v>
      </c>
      <c r="D12" s="233" t="s">
        <v>131</v>
      </c>
    </row>
    <row r="13" spans="1:12" ht="65.099999999999994" customHeight="1">
      <c r="A13" s="233" t="s">
        <v>127</v>
      </c>
      <c r="B13" s="233" t="s">
        <v>132</v>
      </c>
      <c r="C13" s="233" t="s">
        <v>127</v>
      </c>
      <c r="D13" s="233" t="s">
        <v>132</v>
      </c>
    </row>
    <row r="14" spans="1:12" ht="65.099999999999994" customHeight="1">
      <c r="A14" s="233" t="s">
        <v>128</v>
      </c>
      <c r="B14" s="233" t="s">
        <v>133</v>
      </c>
      <c r="C14" s="233" t="s">
        <v>128</v>
      </c>
      <c r="D14" s="233" t="s">
        <v>133</v>
      </c>
    </row>
    <row r="15" spans="1:12" ht="60" customHeight="1">
      <c r="A15" s="233" t="s">
        <v>134</v>
      </c>
      <c r="B15" s="233" t="s">
        <v>135</v>
      </c>
      <c r="C15" s="233" t="s">
        <v>134</v>
      </c>
      <c r="D15" s="233" t="s">
        <v>135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1102362204722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</vt:i4>
      </vt:variant>
    </vt:vector>
  </HeadingPairs>
  <TitlesOfParts>
    <vt:vector size="42" baseType="lpstr">
      <vt:lpstr>Sheet2</vt:lpstr>
      <vt:lpstr>Sheet1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jan. 23 to feb. 21</vt:lpstr>
      <vt:lpstr>feb. 1 to 28</vt:lpstr>
      <vt:lpstr>board 1 - 31</vt:lpstr>
      <vt:lpstr>DAILY PRINTING</vt:lpstr>
      <vt:lpstr>DAILY PRINTING (2)</vt:lpstr>
      <vt:lpstr>'board 1 - 31'!Print_Area</vt:lpstr>
      <vt:lpstr>'DAILY PRINTING'!Print_Area</vt:lpstr>
      <vt:lpstr>'DAILY PRINTING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2024-02-05T22:10:38Z</dcterms:modified>
</cp:coreProperties>
</file>