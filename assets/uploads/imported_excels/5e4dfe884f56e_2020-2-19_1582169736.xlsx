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<sst xmlns="http://schemas.openxmlformats.org/spreadsheetml/2006/main" count="296" uniqueCount="138">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</sst>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12430.000000000038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13520.00000000004</v>
      </c>
      <c r="F20" s="11">
        <f t="shared" si="1"/>
        <v>0.58765030286592534</v>
      </c>
      <c r="G20" s="12">
        <f>(Submetering!AX20+Submetering!AY20+Submetering!AZ20+Submetering!BA20+Submetering!BB20)</f>
        <v>31.135499999999997</v>
      </c>
      <c r="H20" s="11">
        <f t="shared" si="2"/>
        <v>0.99</v>
      </c>
      <c r="I20" s="12">
        <f>'FS Desroches Daily'!CM22</f>
        <v>124.2</v>
      </c>
      <c r="J20" s="11">
        <f t="shared" si="3"/>
        <v>10.487297712684205</v>
      </c>
      <c r="K20" s="13">
        <f>'FS Desroches Daily'!CN22</f>
        <v>56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 t="e">
        <f>Submetering!E21+Submetering!F21+Submetering!G21+Submetering!H21-Submetering!AV21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4399.9999999999591</v>
      </c>
      <c r="F20" s="36">
        <f>'FS Desroches Daily'!F22</f>
        <v>4399.9999999999591</v>
      </c>
      <c r="G20" s="35">
        <f>'FS Desroches Daily'!H22</f>
        <v>3600.0000000000477</v>
      </c>
      <c r="H20" s="36">
        <f>'FS Desroches Daily'!J22</f>
        <v>1800.0000000000239</v>
      </c>
      <c r="I20" s="35">
        <f>'FS Desroches Daily'!L22</f>
        <v>2799.9999999999136</v>
      </c>
      <c r="J20" s="36">
        <f>'FS Desroches Daily'!N22</f>
        <v>2199.9999999999795</v>
      </c>
      <c r="K20" s="13">
        <f>'FS Desroches Daily'!P22</f>
        <v>19</v>
      </c>
      <c r="L20" s="35">
        <f>'FS Desroches Daily'!R22</f>
        <v>9</v>
      </c>
      <c r="M20" s="35">
        <f>'FS Desroches Daily'!T22</f>
        <v>1587</v>
      </c>
      <c r="N20" s="35">
        <f>'FS Desroches Daily'!V22</f>
        <v>602</v>
      </c>
      <c r="O20" s="35">
        <f>'FS Desroches Daily'!X22</f>
        <v>490.00000000000909</v>
      </c>
      <c r="P20" s="35">
        <f>'FS Desroches Daily'!Z22</f>
        <v>3900.0000000002365</v>
      </c>
      <c r="Q20" s="35">
        <f>'FS Desroches Daily'!AB22</f>
        <v>560.00000000000227</v>
      </c>
      <c r="R20" s="35">
        <f>'FS Desroches Daily'!AD22</f>
        <v>530.00000000002956</v>
      </c>
      <c r="S20" s="35">
        <f>'FS Desroches Daily'!AF22</f>
        <v>970.00000000002728</v>
      </c>
      <c r="T20" s="35">
        <f>'FS Desroches Daily'!AH22</f>
        <v>2.3999999999998636</v>
      </c>
      <c r="U20" s="39">
        <f>'FS Desroches Daily'!AJ22</f>
        <v>1189.9999999999977</v>
      </c>
      <c r="V20" s="39">
        <f>'FS Desroches Daily'!AL22</f>
        <v>0.21999999999999886</v>
      </c>
      <c r="W20" s="39">
        <f>'FS Desroches Daily'!AN22</f>
        <v>0.27000000000001023</v>
      </c>
      <c r="X20" s="39">
        <f>'FS Desroches Daily'!AP22</f>
        <v>0.15000000000000568</v>
      </c>
      <c r="Y20" s="39">
        <f>'FS Desroches Daily'!AR22</f>
        <v>210.00000000000796</v>
      </c>
      <c r="Z20" s="39">
        <f>'FS Desroches Daily'!AT22</f>
        <v>250</v>
      </c>
      <c r="AA20" s="39">
        <f>'FS Desroches Daily'!AT22</f>
        <v>250</v>
      </c>
      <c r="AB20" s="39">
        <f>'FS Desroches Daily'!AV22</f>
        <v>230.00000000001819</v>
      </c>
      <c r="AC20" s="39">
        <f>'FS Desroches Daily'!AZ22</f>
        <v>250</v>
      </c>
      <c r="AD20" s="39">
        <f>'FS Desroches Daily'!BB22</f>
        <v>340.00000000003183</v>
      </c>
      <c r="AE20" s="39">
        <f>'FS Desroches Daily'!BD22</f>
        <v>20.000000000010232</v>
      </c>
      <c r="AF20" s="35">
        <f>'FS Desroches Daily'!BF22</f>
        <v>56</v>
      </c>
      <c r="AG20" s="36">
        <f>'FS Desroches Daily'!BH22</f>
        <v>39.999999999992042</v>
      </c>
      <c r="AH20" s="36">
        <f>'FS Desroches Daily'!BJ22</f>
        <v>60.000000000002274</v>
      </c>
      <c r="AI20" s="36">
        <f>'FS Desroches Daily'!BL22</f>
        <v>50.000000000011369</v>
      </c>
      <c r="AJ20" s="36">
        <f>'FS Desroches Daily'!BN22</f>
        <v>49.999999999982947</v>
      </c>
      <c r="AK20" s="36">
        <f>'FS Desroches Daily'!BP22</f>
        <v>50.000000000011369</v>
      </c>
      <c r="AL20" s="36">
        <f>'FS Desroches Daily'!BR22</f>
        <v>50</v>
      </c>
      <c r="AM20" s="36">
        <f>'FS Desroches Daily'!BT22</f>
        <v>49.999999999982947</v>
      </c>
      <c r="AN20" s="36">
        <f>'FS Desroches Daily'!BV22</f>
        <v>50</v>
      </c>
      <c r="AO20" s="36">
        <f>'FS Desroches Daily'!BX22</f>
        <v>40.000000000020464</v>
      </c>
      <c r="AP20" s="36">
        <f>'FS Desroches Daily'!BZ22</f>
        <v>93</v>
      </c>
      <c r="AQ20" s="35">
        <f>'FS Desroches Daily'!CB22</f>
        <v>42.400000000001455</v>
      </c>
      <c r="AR20" s="35">
        <f>'FS Desroches Daily'!CD22</f>
        <v>12</v>
      </c>
      <c r="AS20" s="35">
        <f>'FS Desroches Daily'!CF22</f>
        <v>1.7000000000007276</v>
      </c>
      <c r="AT20" s="35">
        <f>'FS Desroches Daily'!CH22</f>
        <v>79</v>
      </c>
      <c r="AU20" s="35">
        <f>'FS Desroches Daily'!CJ22</f>
        <v>352</v>
      </c>
      <c r="AV20" s="35">
        <f>'FS Desroches Daily'!CL22</f>
        <v>679.99999999994998</v>
      </c>
      <c r="AW20" s="35">
        <f>'FS Desroches Daily'!CM22</f>
        <v>124.2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56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 t="str">
        <f>'FS Desroches Daily'!D23</f>
        <v>0</v>
      </c>
      <c r="F21" s="36" t="str">
        <f>'FS Desroches Daily'!F23</f>
        <v>0</v>
      </c>
      <c r="G21" s="35" t="str">
        <f>'FS Desroches Daily'!H23</f>
        <v>0</v>
      </c>
      <c r="H21" s="36" t="str">
        <f>'FS Desroches Daily'!J23</f>
        <v>0</v>
      </c>
      <c r="I21" s="35" t="str">
        <f>'FS Desroches Daily'!L23</f>
        <v>0</v>
      </c>
      <c r="J21" s="36" t="str">
        <f>'FS Desroches Daily'!N23</f>
        <v/>
      </c>
      <c r="K21" s="13" t="str">
        <f>'FS Desroches Daily'!P23</f>
        <v/>
      </c>
      <c r="L21" s="35" t="str">
        <f>'FS Desroches Daily'!R23</f>
        <v/>
      </c>
      <c r="M21" s="35" t="str">
        <f>'FS Desroches Daily'!T23</f>
        <v/>
      </c>
      <c r="N21" s="35" t="str">
        <f>'FS Desroches Daily'!V23</f>
        <v/>
      </c>
      <c r="O21" s="35" t="str">
        <f>'FS Desroches Daily'!X23</f>
        <v/>
      </c>
      <c r="P21" s="35" t="str">
        <f>'FS Desroches Daily'!Z23</f>
        <v/>
      </c>
      <c r="Q21" s="35" t="str">
        <f>'FS Desroches Daily'!AB23</f>
        <v/>
      </c>
      <c r="R21" s="35" t="str">
        <f>'FS Desroches Daily'!AD23</f>
        <v/>
      </c>
      <c r="S21" s="35" t="str">
        <f>'FS Desroches Daily'!AF23</f>
        <v/>
      </c>
      <c r="T21" s="35" t="str">
        <f>'FS Desroches Daily'!AH23</f>
        <v/>
      </c>
      <c r="U21" s="39" t="str">
        <f>'FS Desroches Daily'!AJ23</f>
        <v/>
      </c>
      <c r="V21" s="39">
        <f>'FS Desroches Daily'!AL23</f>
        <v>0</v>
      </c>
      <c r="W21" s="39" t="str">
        <f>'FS Desroches Daily'!AN23</f>
        <v/>
      </c>
      <c r="X21" s="39" t="str">
        <f>'FS Desroches Daily'!AP23</f>
        <v/>
      </c>
      <c r="Y21" s="39" t="str">
        <f>'FS Desroches Daily'!AR23</f>
        <v/>
      </c>
      <c r="Z21" s="39" t="str">
        <f>'FS Desroches Daily'!AT23</f>
        <v/>
      </c>
      <c r="AA21" s="39" t="str">
        <f>'FS Desroches Daily'!AT23</f>
        <v/>
      </c>
      <c r="AB21" s="39" t="str">
        <f>'FS Desroches Daily'!AV23</f>
        <v/>
      </c>
      <c r="AC21" s="39" t="str">
        <f>'FS Desroches Daily'!AZ23</f>
        <v/>
      </c>
      <c r="AD21" s="39" t="str">
        <f>'FS Desroches Daily'!BB23</f>
        <v/>
      </c>
      <c r="AE21" s="39" t="str">
        <f>'FS Desroches Daily'!BD23</f>
        <v/>
      </c>
      <c r="AF21" s="35" t="str">
        <f>'FS Desroches Daily'!BF23</f>
        <v/>
      </c>
      <c r="AG21" s="36" t="str">
        <f>'FS Desroches Daily'!BH23</f>
        <v/>
      </c>
      <c r="AH21" s="36" t="str">
        <f>'FS Desroches Daily'!BJ23</f>
        <v/>
      </c>
      <c r="AI21" s="36" t="str">
        <f>'FS Desroches Daily'!BL23</f>
        <v/>
      </c>
      <c r="AJ21" s="36" t="str">
        <f>'FS Desroches Daily'!BN23</f>
        <v/>
      </c>
      <c r="AK21" s="36" t="str">
        <f>'FS Desroches Daily'!BP23</f>
        <v/>
      </c>
      <c r="AL21" s="36" t="str">
        <f>'FS Desroches Daily'!BR23</f>
        <v/>
      </c>
      <c r="AM21" s="36" t="str">
        <f>'FS Desroches Daily'!BT23</f>
        <v/>
      </c>
      <c r="AN21" s="36" t="str">
        <f>'FS Desroches Daily'!BV23</f>
        <v/>
      </c>
      <c r="AO21" s="36" t="str">
        <f>'FS Desroches Daily'!BX23</f>
        <v/>
      </c>
      <c r="AP21" s="36" t="str">
        <f>'FS Desroches Daily'!BZ23</f>
        <v/>
      </c>
      <c r="AQ21" s="35" t="str">
        <f>'FS Desroches Daily'!CB23</f>
        <v/>
      </c>
      <c r="AR21" s="35" t="str">
        <f>'FS Desroches Daily'!CD23</f>
        <v/>
      </c>
      <c r="AS21" s="35" t="str">
        <f>'FS Desroches Daily'!CF23</f>
        <v/>
      </c>
      <c r="AT21" s="35" t="str">
        <f>'FS Desroches Daily'!CH23</f>
        <v/>
      </c>
      <c r="AU21" s="35" t="str">
        <f>'FS Desroches Daily'!CJ23</f>
        <v/>
      </c>
      <c r="AV21" s="35" t="str">
        <f>'FS Desroches Daily'!CL23</f>
        <v/>
      </c>
      <c r="AW21" s="35">
        <f>'FS Desroches Daily'!CM23</f>
        <v>0</v>
      </c>
      <c r="AX21" s="35" t="str">
        <f>IF(LPG!F28-LPG!F27&lt;0,"0",(LPG!F28-LPG!F27)*1.8315)</f>
        <v>0</v>
      </c>
      <c r="AY21" s="35" t="str">
        <f>IF(LPG!H28-LPG!H27&lt;0,"0",(LPG!H28-LPG!H27)*1.8315)</f>
        <v>0</v>
      </c>
      <c r="AZ21" s="35" t="str">
        <f>IF(LPG!J28-LPG!J27&lt;0,"0",(LPG!J28-LPG!J27)*1.8315)</f>
        <v>0</v>
      </c>
      <c r="BA21" s="35" t="str">
        <f>IF(LPG!M28-LPG!M27&lt;0,"0",(LPG!M28-LPG!M27)*1.8315)</f>
        <v>0</v>
      </c>
      <c r="BB21" s="35" t="str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51700.000000000073</v>
      </c>
      <c r="F33" s="17">
        <f t="shared" ref="F33:BC33" si="1">SUM(F2:F32)</f>
        <v>71800.000000000087</v>
      </c>
      <c r="G33" s="17">
        <f t="shared" si="1"/>
        <v>61399.999999999913</v>
      </c>
      <c r="H33" s="17">
        <f t="shared" si="1"/>
        <v>30100.000000000022</v>
      </c>
      <c r="I33" s="17">
        <f t="shared" si="1"/>
        <v>42499.999999999985</v>
      </c>
      <c r="J33" s="17">
        <f t="shared" si="1"/>
        <v>37100.000000000131</v>
      </c>
      <c r="K33" s="17">
        <f t="shared" si="1"/>
        <v>355</v>
      </c>
      <c r="L33" s="17">
        <f t="shared" si="1"/>
        <v>157</v>
      </c>
      <c r="M33" s="17">
        <f t="shared" si="1"/>
        <v>23706</v>
      </c>
      <c r="N33" s="17">
        <f t="shared" si="1"/>
        <v>9092</v>
      </c>
      <c r="O33" s="17">
        <f t="shared" si="1"/>
        <v>8340.0000000000346</v>
      </c>
      <c r="P33" s="17">
        <f t="shared" si="1"/>
        <v>64000.000000000073</v>
      </c>
      <c r="Q33" s="17">
        <f t="shared" si="1"/>
        <v>9560.0000000000018</v>
      </c>
      <c r="R33" s="17">
        <f t="shared" si="1"/>
        <v>8509.9999999999909</v>
      </c>
      <c r="S33" s="17">
        <f t="shared" si="1"/>
        <v>16879.999999999993</v>
      </c>
      <c r="T33" s="17">
        <f t="shared" si="1"/>
        <v>36</v>
      </c>
      <c r="U33" s="39">
        <f t="shared" si="1"/>
        <v>9889.9999999999873</v>
      </c>
      <c r="V33" s="39">
        <f t="shared" si="1"/>
        <v>4.7399999999999949</v>
      </c>
      <c r="W33" s="39">
        <f t="shared" si="1"/>
        <v>4.2800000000000011</v>
      </c>
      <c r="X33" s="39">
        <f t="shared" si="1"/>
        <v>3.6600000000000108</v>
      </c>
      <c r="Y33" s="39">
        <f t="shared" si="1"/>
        <v>3530.0000000000009</v>
      </c>
      <c r="Z33" s="39">
        <f t="shared" si="1"/>
        <v>4642.5800000000436</v>
      </c>
      <c r="AA33" s="39">
        <f t="shared" si="1"/>
        <v>4642.5800000000436</v>
      </c>
      <c r="AB33" s="39">
        <f t="shared" si="1"/>
        <v>3950.0000000000164</v>
      </c>
      <c r="AC33" s="39">
        <f t="shared" si="1"/>
        <v>3180.0000000000068</v>
      </c>
      <c r="AD33" s="39">
        <f t="shared" si="1"/>
        <v>2970.0000000000273</v>
      </c>
      <c r="AE33" s="39">
        <f t="shared" si="1"/>
        <v>219.99999999999886</v>
      </c>
      <c r="AF33" s="17">
        <f t="shared" si="1"/>
        <v>1203</v>
      </c>
      <c r="AG33" s="36">
        <f t="shared" si="1"/>
        <v>610.00000000001364</v>
      </c>
      <c r="AH33" s="36">
        <f t="shared" si="1"/>
        <v>759.99999999999091</v>
      </c>
      <c r="AI33" s="36">
        <f t="shared" si="1"/>
        <v>840.00000000000341</v>
      </c>
      <c r="AJ33" s="36">
        <f t="shared" si="1"/>
        <v>750</v>
      </c>
      <c r="AK33" s="36">
        <f t="shared" si="1"/>
        <v>769.99999999998181</v>
      </c>
      <c r="AL33" s="36">
        <f t="shared" si="1"/>
        <v>742</v>
      </c>
      <c r="AM33" s="36">
        <f t="shared" si="1"/>
        <v>799.99999999998295</v>
      </c>
      <c r="AN33" s="36">
        <f t="shared" si="1"/>
        <v>755</v>
      </c>
      <c r="AO33" s="36">
        <f t="shared" si="1"/>
        <v>740.00000000000909</v>
      </c>
      <c r="AP33" s="36">
        <f t="shared" si="1"/>
        <v>1151</v>
      </c>
      <c r="AQ33" s="17">
        <f t="shared" si="1"/>
        <v>714.90000000000146</v>
      </c>
      <c r="AR33" s="17">
        <f t="shared" si="1"/>
        <v>211.60000000000036</v>
      </c>
      <c r="AS33" s="17">
        <f t="shared" si="1"/>
        <v>173.20000000000073</v>
      </c>
      <c r="AT33" s="17">
        <f t="shared" si="1"/>
        <v>1502.7000000000044</v>
      </c>
      <c r="AU33" s="17">
        <f t="shared" si="1"/>
        <v>5669</v>
      </c>
      <c r="AV33" s="17">
        <f t="shared" si="1"/>
        <v>10909.999999999967</v>
      </c>
      <c r="AW33" s="17">
        <f t="shared" si="1"/>
        <v>1712.4</v>
      </c>
      <c r="AX33" s="17">
        <f t="shared" si="1"/>
        <v>276.55649999999997</v>
      </c>
      <c r="AY33" s="17">
        <f t="shared" si="1"/>
        <v>67.765499999999975</v>
      </c>
      <c r="AZ33" s="17">
        <f t="shared" si="1"/>
        <v>9.1574999999999989</v>
      </c>
      <c r="BA33" s="17">
        <f t="shared" si="1"/>
        <v>82.41749999999999</v>
      </c>
      <c r="BB33" s="17">
        <f t="shared" si="1"/>
        <v>89.743499999999969</v>
      </c>
      <c r="BC33" s="17">
        <f t="shared" si="1"/>
        <v>929</v>
      </c>
    </row>
    <row r="35" spans="5:55" x14ac:dyDescent="0.25">
      <c r="E35" s="42">
        <f>E33/E37</f>
        <v>0.212549026056784</v>
      </c>
      <c r="G35" s="33">
        <f>G33-M36</f>
        <v>28601.999999999913</v>
      </c>
      <c r="AE35" s="39">
        <f>SUM(U33:AE33)</f>
        <v>33037.840000000127</v>
      </c>
      <c r="AG35" s="36">
        <f>SUM(AG33:AP33)</f>
        <v>7917.9999999999818</v>
      </c>
    </row>
    <row r="36" spans="5:55" x14ac:dyDescent="0.25">
      <c r="G36" s="33">
        <f>G35-633*14</f>
        <v>19739.999999999913</v>
      </c>
      <c r="M36" s="33">
        <f>M33+N33</f>
        <v>32798</v>
      </c>
    </row>
    <row r="37" spans="5:55" x14ac:dyDescent="0.25">
      <c r="E37" s="17">
        <f>E33+F33+G33+H33+J33-633*14</f>
        <v>243238.00000000023</v>
      </c>
      <c r="G37" s="41">
        <f>M36/E37</f>
        <v>0.13483912875455303</v>
      </c>
      <c r="M37" s="39">
        <f>AE35</f>
        <v>33037.840000000127</v>
      </c>
    </row>
    <row r="38" spans="5:55" x14ac:dyDescent="0.25">
      <c r="L38" s="31">
        <f>M38/E37</f>
        <v>3.2552479464557242E-2</v>
      </c>
      <c r="M38" s="33">
        <f>AG35</f>
        <v>7917.9999999999818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T1" zoomScale="70" zoomScaleNormal="70" workbookViewId="0">
      <pane ySplit="1" topLeftCell="A12" activePane="bottomLeft" state="frozen"/>
      <selection pane="bottomLeft" activeCell="CO22" sqref="CO22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45">
      <c r="A22" s="70">
        <v>43880</v>
      </c>
      <c r="B22" s="48"/>
      <c r="C22" s="64">
        <v>1.5119</v>
      </c>
      <c r="D22" s="71">
        <f t="shared" si="3"/>
        <v>4399.9999999999591</v>
      </c>
      <c r="E22" s="64">
        <v>2.5076000000000001</v>
      </c>
      <c r="F22" s="71">
        <f t="shared" si="4"/>
        <v>4399.9999999999591</v>
      </c>
      <c r="G22" s="64">
        <v>2.3136000000000001</v>
      </c>
      <c r="H22" s="71">
        <f t="shared" si="5"/>
        <v>3600.0000000000477</v>
      </c>
      <c r="I22" s="64">
        <v>1.0871</v>
      </c>
      <c r="J22" s="71">
        <f t="shared" si="43"/>
        <v>1800.0000000000239</v>
      </c>
      <c r="K22" s="64">
        <v>1.6639999999999999</v>
      </c>
      <c r="L22" s="71">
        <f t="shared" si="0"/>
        <v>2799.9999999999136</v>
      </c>
      <c r="M22" s="64">
        <v>1.0597000000000001</v>
      </c>
      <c r="N22" s="71">
        <f t="shared" si="6"/>
        <v>2199.9999999999795</v>
      </c>
      <c r="O22" s="64">
        <v>11818</v>
      </c>
      <c r="P22" s="72">
        <f t="shared" si="7"/>
        <v>19</v>
      </c>
      <c r="Q22" s="64">
        <v>4740</v>
      </c>
      <c r="R22" s="72">
        <f t="shared" si="8"/>
        <v>9</v>
      </c>
      <c r="S22" s="64">
        <v>767365</v>
      </c>
      <c r="T22" s="72">
        <f t="shared" si="44"/>
        <v>1587</v>
      </c>
      <c r="U22" s="64">
        <v>310746</v>
      </c>
      <c r="V22" s="72">
        <f t="shared" si="10"/>
        <v>602</v>
      </c>
      <c r="W22" s="64">
        <v>302</v>
      </c>
      <c r="X22" s="72">
        <f t="shared" si="23"/>
        <v>490.00000000000909</v>
      </c>
      <c r="Y22" s="64">
        <v>2.2263000000000002</v>
      </c>
      <c r="Z22" s="72">
        <f t="shared" si="24"/>
        <v>3900.0000000002365</v>
      </c>
      <c r="AA22" s="64">
        <v>302.01</v>
      </c>
      <c r="AB22" s="72">
        <f t="shared" si="25"/>
        <v>560.00000000000227</v>
      </c>
      <c r="AC22" s="64">
        <v>272.49</v>
      </c>
      <c r="AD22" s="72">
        <f t="shared" si="26"/>
        <v>530.00000000002956</v>
      </c>
      <c r="AE22" s="64">
        <v>413.48</v>
      </c>
      <c r="AF22" s="72">
        <f t="shared" si="27"/>
        <v>970.00000000002728</v>
      </c>
      <c r="AG22" s="64">
        <v>1082.5999999999999</v>
      </c>
      <c r="AH22" s="72">
        <f t="shared" si="11"/>
        <v>2.3999999999998636</v>
      </c>
      <c r="AI22" s="64">
        <v>375.32</v>
      </c>
      <c r="AJ22" s="72">
        <f t="shared" si="28"/>
        <v>1189.9999999999977</v>
      </c>
      <c r="AK22" s="64">
        <v>130.76</v>
      </c>
      <c r="AL22" s="72">
        <f t="shared" si="12"/>
        <v>0.21999999999999886</v>
      </c>
      <c r="AM22" s="64">
        <v>132.61000000000001</v>
      </c>
      <c r="AN22" s="72">
        <f t="shared" si="13"/>
        <v>0.27000000000001023</v>
      </c>
      <c r="AO22" s="64">
        <v>130.11000000000001</v>
      </c>
      <c r="AP22" s="72">
        <f t="shared" si="14"/>
        <v>0.15000000000000568</v>
      </c>
      <c r="AQ22" s="64">
        <v>203.96</v>
      </c>
      <c r="AR22" s="72">
        <f t="shared" si="29"/>
        <v>210.00000000000796</v>
      </c>
      <c r="AS22" s="64">
        <v>328.16</v>
      </c>
      <c r="AT22" s="72">
        <f t="shared" si="30"/>
        <v>250</v>
      </c>
      <c r="AU22" s="64">
        <v>253.05</v>
      </c>
      <c r="AV22" s="72">
        <f t="shared" si="31"/>
        <v>230.00000000001819</v>
      </c>
      <c r="AW22" s="64">
        <v>281.52999999999997</v>
      </c>
      <c r="AX22" s="72">
        <f t="shared" si="32"/>
        <v>299.99999999995453</v>
      </c>
      <c r="AY22" s="64">
        <v>332.99</v>
      </c>
      <c r="AZ22" s="72">
        <f t="shared" si="33"/>
        <v>250</v>
      </c>
      <c r="BA22" s="64">
        <v>353.55</v>
      </c>
      <c r="BB22" s="72">
        <f t="shared" si="34"/>
        <v>340.00000000003183</v>
      </c>
      <c r="BC22" s="64">
        <v>202.21</v>
      </c>
      <c r="BD22" s="72">
        <f t="shared" si="35"/>
        <v>20.000000000010232</v>
      </c>
      <c r="BE22" s="66">
        <v>25218</v>
      </c>
      <c r="BF22" s="72">
        <f t="shared" si="15"/>
        <v>56</v>
      </c>
      <c r="BG22" s="67">
        <v>221.09</v>
      </c>
      <c r="BH22" s="72">
        <f t="shared" si="36"/>
        <v>39.999999999992042</v>
      </c>
      <c r="BI22" s="67">
        <v>277.98</v>
      </c>
      <c r="BJ22" s="72">
        <f t="shared" si="37"/>
        <v>60.000000000002274</v>
      </c>
      <c r="BK22" s="67">
        <v>226.02</v>
      </c>
      <c r="BL22" s="72">
        <f t="shared" si="38"/>
        <v>50.000000000011369</v>
      </c>
      <c r="BM22" s="67">
        <v>208.73</v>
      </c>
      <c r="BN22" s="72">
        <f t="shared" si="39"/>
        <v>49.999999999982947</v>
      </c>
      <c r="BO22" s="67">
        <v>272.64</v>
      </c>
      <c r="BP22" s="72">
        <f t="shared" si="40"/>
        <v>50.000000000011369</v>
      </c>
      <c r="BQ22" s="67">
        <v>35604</v>
      </c>
      <c r="BR22" s="72">
        <f t="shared" si="16"/>
        <v>50</v>
      </c>
      <c r="BS22" s="67">
        <v>189.98</v>
      </c>
      <c r="BT22" s="72">
        <f t="shared" si="41"/>
        <v>49.999999999982947</v>
      </c>
      <c r="BU22" s="67">
        <v>26494</v>
      </c>
      <c r="BV22" s="72">
        <f t="shared" si="1"/>
        <v>50</v>
      </c>
      <c r="BW22" s="67">
        <v>219.33</v>
      </c>
      <c r="BX22" s="72">
        <f t="shared" si="42"/>
        <v>40.000000000020464</v>
      </c>
      <c r="BY22" s="67">
        <v>43523</v>
      </c>
      <c r="BZ22" s="72">
        <f t="shared" si="17"/>
        <v>93</v>
      </c>
      <c r="CA22" s="67">
        <v>26019</v>
      </c>
      <c r="CB22" s="72">
        <f t="shared" si="18"/>
        <v>42.400000000001455</v>
      </c>
      <c r="CC22" s="67">
        <v>10817.5</v>
      </c>
      <c r="CD22" s="72">
        <f t="shared" si="19"/>
        <v>12</v>
      </c>
      <c r="CE22" s="67">
        <v>5254.1</v>
      </c>
      <c r="CF22" s="72">
        <f t="shared" si="20"/>
        <v>1.7000000000007276</v>
      </c>
      <c r="CG22" s="67">
        <v>39760.800000000003</v>
      </c>
      <c r="CH22" s="72">
        <f t="shared" si="21"/>
        <v>79</v>
      </c>
      <c r="CI22" s="67">
        <v>830060</v>
      </c>
      <c r="CJ22" s="72">
        <f t="shared" si="2"/>
        <v>352</v>
      </c>
      <c r="CK22" s="67">
        <v>518.88</v>
      </c>
      <c r="CL22" s="71">
        <f t="shared" si="22"/>
        <v>679.99999999994998</v>
      </c>
      <c r="CM22" s="72">
        <v>124.2</v>
      </c>
      <c r="CN22" s="69">
        <v>56</v>
      </c>
      <c r="CO22" s="69">
        <v>114</v>
      </c>
    </row>
    <row r="23" spans="1:93" ht="25.5" customHeight="1" thickBot="1" x14ac:dyDescent="0.45">
      <c r="A23" s="70">
        <v>43881</v>
      </c>
      <c r="B23" s="48"/>
      <c r="C23" s="64"/>
      <c r="D23" s="71" t="str">
        <f t="shared" si="3"/>
        <v>0</v>
      </c>
      <c r="E23" s="64"/>
      <c r="F23" s="71" t="str">
        <f t="shared" si="4"/>
        <v>0</v>
      </c>
      <c r="G23" s="64"/>
      <c r="H23" s="71" t="str">
        <f t="shared" si="5"/>
        <v>0</v>
      </c>
      <c r="I23" s="64"/>
      <c r="J23" s="71" t="str">
        <f t="shared" si="43"/>
        <v>0</v>
      </c>
      <c r="K23" s="64"/>
      <c r="L23" s="71" t="str">
        <f t="shared" si="0"/>
        <v>0</v>
      </c>
      <c r="M23" s="64"/>
      <c r="N23" s="71" t="str">
        <f t="shared" si="6"/>
        <v/>
      </c>
      <c r="O23" s="64"/>
      <c r="P23" s="72" t="str">
        <f t="shared" si="7"/>
        <v/>
      </c>
      <c r="Q23" s="64"/>
      <c r="R23" s="72" t="str">
        <f t="shared" si="8"/>
        <v/>
      </c>
      <c r="S23" s="64"/>
      <c r="T23" s="72" t="str">
        <f t="shared" si="44"/>
        <v/>
      </c>
      <c r="U23" s="64"/>
      <c r="V23" s="72" t="str">
        <f t="shared" si="10"/>
        <v/>
      </c>
      <c r="W23" s="64"/>
      <c r="X23" s="72" t="str">
        <f t="shared" si="23"/>
        <v/>
      </c>
      <c r="Y23" s="64"/>
      <c r="Z23" s="72" t="str">
        <f t="shared" si="24"/>
        <v/>
      </c>
      <c r="AA23" s="64"/>
      <c r="AB23" s="72" t="str">
        <f t="shared" si="25"/>
        <v/>
      </c>
      <c r="AC23" s="64"/>
      <c r="AD23" s="72" t="str">
        <f t="shared" si="26"/>
        <v/>
      </c>
      <c r="AE23" s="64"/>
      <c r="AF23" s="72" t="str">
        <f t="shared" si="27"/>
        <v/>
      </c>
      <c r="AG23" s="64"/>
      <c r="AH23" s="72" t="str">
        <f t="shared" si="11"/>
        <v/>
      </c>
      <c r="AI23" s="64"/>
      <c r="AJ23" s="72" t="str">
        <f t="shared" si="28"/>
        <v/>
      </c>
      <c r="AK23" s="64"/>
      <c r="AL23" s="72"/>
      <c r="AM23" s="64"/>
      <c r="AN23" s="72" t="str">
        <f t="shared" si="13"/>
        <v/>
      </c>
      <c r="AO23" s="64"/>
      <c r="AP23" s="72" t="str">
        <f t="shared" si="14"/>
        <v/>
      </c>
      <c r="AQ23" s="64"/>
      <c r="AR23" s="72" t="str">
        <f t="shared" si="29"/>
        <v/>
      </c>
      <c r="AS23" s="64"/>
      <c r="AT23" s="72" t="str">
        <f t="shared" si="30"/>
        <v/>
      </c>
      <c r="AU23" s="64"/>
      <c r="AV23" s="72" t="str">
        <f t="shared" si="31"/>
        <v/>
      </c>
      <c r="AW23" s="64"/>
      <c r="AX23" s="72" t="str">
        <f t="shared" si="32"/>
        <v/>
      </c>
      <c r="AY23" s="64"/>
      <c r="AZ23" s="72" t="str">
        <f t="shared" si="33"/>
        <v/>
      </c>
      <c r="BA23" s="64"/>
      <c r="BB23" s="72" t="str">
        <f t="shared" si="34"/>
        <v/>
      </c>
      <c r="BC23" s="64"/>
      <c r="BD23" s="72" t="str">
        <f t="shared" si="35"/>
        <v/>
      </c>
      <c r="BE23" s="66"/>
      <c r="BF23" s="72" t="str">
        <f t="shared" si="15"/>
        <v/>
      </c>
      <c r="BG23" s="67"/>
      <c r="BH23" s="72" t="str">
        <f t="shared" si="36"/>
        <v/>
      </c>
      <c r="BI23" s="67"/>
      <c r="BJ23" s="72" t="str">
        <f t="shared" si="37"/>
        <v/>
      </c>
      <c r="BK23" s="67"/>
      <c r="BL23" s="72" t="str">
        <f t="shared" si="38"/>
        <v/>
      </c>
      <c r="BM23" s="67"/>
      <c r="BN23" s="72" t="str">
        <f t="shared" si="39"/>
        <v/>
      </c>
      <c r="BO23" s="67"/>
      <c r="BP23" s="72" t="str">
        <f t="shared" si="40"/>
        <v/>
      </c>
      <c r="BQ23" s="67"/>
      <c r="BR23" s="72" t="str">
        <f t="shared" si="16"/>
        <v/>
      </c>
      <c r="BS23" s="67"/>
      <c r="BT23" s="72" t="str">
        <f t="shared" si="41"/>
        <v/>
      </c>
      <c r="BU23" s="67"/>
      <c r="BV23" s="72" t="str">
        <f t="shared" si="1"/>
        <v/>
      </c>
      <c r="BW23" s="67"/>
      <c r="BX23" s="72" t="str">
        <f t="shared" si="42"/>
        <v/>
      </c>
      <c r="BY23" s="67"/>
      <c r="BZ23" s="72" t="str">
        <f t="shared" si="17"/>
        <v/>
      </c>
      <c r="CA23" s="67"/>
      <c r="CB23" s="72" t="str">
        <f t="shared" si="18"/>
        <v/>
      </c>
      <c r="CC23" s="67"/>
      <c r="CD23" s="72" t="str">
        <f t="shared" si="19"/>
        <v/>
      </c>
      <c r="CE23" s="67"/>
      <c r="CF23" s="72" t="str">
        <f t="shared" si="20"/>
        <v/>
      </c>
      <c r="CG23" s="67"/>
      <c r="CH23" s="72" t="str">
        <f t="shared" si="21"/>
        <v/>
      </c>
      <c r="CI23" s="67"/>
      <c r="CJ23" s="72" t="str">
        <f t="shared" si="2"/>
        <v/>
      </c>
      <c r="CK23" s="67"/>
      <c r="CL23" s="71" t="str">
        <f t="shared" si="22"/>
        <v/>
      </c>
      <c r="CM23" s="72"/>
      <c r="CN23" s="69"/>
      <c r="CO23" s="69"/>
    </row>
    <row r="24" spans="1:93" ht="25.5" customHeight="1" thickBot="1" x14ac:dyDescent="0.45">
      <c r="A24" s="70">
        <v>43882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43883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355</v>
      </c>
      <c r="R35" s="76">
        <f>SUM(R4:R33)</f>
        <v>157</v>
      </c>
      <c r="AX35" s="72">
        <f t="shared" si="32"/>
        <v>0</v>
      </c>
      <c r="BF35" s="76">
        <f>SUM(BF4:BF33)</f>
        <v>1203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L32" sqref="L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25">
      <c r="A27" s="27">
        <v>43880</v>
      </c>
      <c r="B27" s="44">
        <v>76</v>
      </c>
      <c r="C27" s="44">
        <v>56</v>
      </c>
      <c r="D27" s="44">
        <v>114</v>
      </c>
      <c r="E27" s="45">
        <v>0</v>
      </c>
      <c r="F27" s="45">
        <v>4518</v>
      </c>
      <c r="G27" s="45">
        <v>45</v>
      </c>
      <c r="H27" s="45">
        <v>1303</v>
      </c>
      <c r="I27" s="45">
        <v>50</v>
      </c>
      <c r="J27" s="45">
        <v>262</v>
      </c>
      <c r="K27" s="46">
        <v>0</v>
      </c>
      <c r="L27" s="46">
        <v>65</v>
      </c>
      <c r="M27" s="46">
        <v>1071</v>
      </c>
      <c r="N27" s="43">
        <v>80</v>
      </c>
      <c r="O27" s="43">
        <v>0</v>
      </c>
      <c r="P27" s="43">
        <v>40</v>
      </c>
      <c r="Q27" s="43">
        <v>2160</v>
      </c>
    </row>
    <row r="28" spans="1:17" x14ac:dyDescent="0.25">
      <c r="A28" s="27">
        <v>43881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43882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2020-02-19T23:45:14Z</dcterms:modified>
</cp:coreProperties>
</file>