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na.Qiu\Desktop\"/>
    </mc:Choice>
  </mc:AlternateContent>
  <bookViews>
    <workbookView xWindow="-105" yWindow="-105" windowWidth="23250" windowHeight="12450" tabRatio="620" activeTab="1"/>
  </bookViews>
  <sheets>
    <sheet name="TOTAL" sheetId="117" r:id="rId1"/>
    <sheet name="Shenzhen Daily" sheetId="119" r:id="rId2"/>
  </sheets>
  <calcPr calcId="152511"/>
  <fileRecoveryPr repairLoad="1"/>
</workbook>
</file>

<file path=xl/calcChain.xml><?xml version="1.0" encoding="utf-8"?>
<calcChain xmlns="http://schemas.openxmlformats.org/spreadsheetml/2006/main">
  <c r="H32" i="119" l="1"/>
  <c r="F32" i="119"/>
  <c r="D32" i="119"/>
  <c r="H31" i="119"/>
  <c r="F31" i="119"/>
  <c r="D31" i="119"/>
  <c r="H30" i="119"/>
  <c r="F30" i="119"/>
  <c r="D30" i="119"/>
  <c r="H29" i="119"/>
  <c r="F29" i="119"/>
  <c r="D29" i="119"/>
  <c r="H28" i="119"/>
  <c r="F28" i="119"/>
  <c r="D28" i="119"/>
  <c r="H27" i="119"/>
  <c r="F27" i="119"/>
  <c r="D27" i="119"/>
  <c r="H26" i="119"/>
  <c r="F26" i="119"/>
  <c r="D26" i="119"/>
  <c r="H25" i="119"/>
  <c r="F25" i="119"/>
  <c r="D25" i="119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K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L32" i="117" l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H35" i="119"/>
  <c r="F35" i="119"/>
  <c r="D35" i="119"/>
  <c r="H34" i="119"/>
  <c r="F34" i="119"/>
  <c r="D34" i="119"/>
  <c r="H33" i="119"/>
  <c r="F33" i="119"/>
  <c r="D33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<sst xmlns="http://schemas.openxmlformats.org/spreadsheetml/2006/main" count="56" uniqueCount="25">
  <si>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</si>
  <si>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</si>
  <si>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</si>
  <si>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</si>
  <si>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</si>
  <si>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</si>
  <si>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</si>
  <si>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</si>
  <si>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</si>
  <si>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</si>
  <si>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</si>
  <si>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</si>
  <si>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</si>
  <si>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</si>
  <si>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</si>
  <si>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</si>
  <si>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</si>
  <si>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</si>
  <si>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</si>
  <si>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</si>
  <si>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</si>
  <si>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</si>
  <si>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</si>
  <si>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Natural Gas (m3)</t>
  </si>
  <si>
    <t>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</si>
</sst>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activeCell="O3" sqref="O3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23</v>
      </c>
      <c r="H1" s="4" t="s">
        <v>22</v>
      </c>
      <c r="I1" s="3" t="s">
        <v>7</v>
      </c>
      <c r="J1" s="5" t="s">
        <v>8</v>
      </c>
      <c r="K1" s="3" t="s">
        <v>9</v>
      </c>
      <c r="L1" s="3" t="s">
        <v>0</v>
      </c>
    </row>
    <row r="2" spans="1:12" ht="15" x14ac:dyDescent="0.25">
      <c r="A2" s="6" t="s">
        <v>24</v>
      </c>
      <c r="B2" s="7">
        <v>1</v>
      </c>
      <c r="C2" s="8">
        <v>1</v>
      </c>
      <c r="D2" s="7">
        <v>2022</v>
      </c>
      <c r="E2" s="9">
        <v>20175.000000000698</v>
      </c>
      <c r="F2" s="35">
        <v>0.93</v>
      </c>
      <c r="G2" s="9">
        <v>1917</v>
      </c>
      <c r="H2" s="35">
        <v>4.3899999999999997</v>
      </c>
      <c r="I2" s="9">
        <v>477</v>
      </c>
      <c r="J2" s="35">
        <v>1.72</v>
      </c>
      <c r="K2" s="9">
        <f>'Shenzhen Daily'!I5</f>
        <v>0</v>
      </c>
      <c r="L2" s="9">
        <f>'Shenzhen Daily'!J5</f>
        <v>0</v>
      </c>
    </row>
    <row r="3" spans="1:12" ht="15" x14ac:dyDescent="0.25">
      <c r="A3" s="6" t="s">
        <v>24</v>
      </c>
      <c r="B3" s="7">
        <f>B2+1</f>
        <v>2</v>
      </c>
      <c r="C3" s="8">
        <v>1</v>
      </c>
      <c r="D3" s="7">
        <v>2022</v>
      </c>
      <c r="E3" s="9">
        <v>18557.999999999331</v>
      </c>
      <c r="F3" s="35">
        <v>0.93</v>
      </c>
      <c r="G3" s="9">
        <v>1705</v>
      </c>
      <c r="H3" s="35">
        <v>4.3899999999999997</v>
      </c>
      <c r="I3" s="9">
        <v>423</v>
      </c>
      <c r="J3" s="35">
        <v>1.72</v>
      </c>
      <c r="K3" s="9">
        <f>'Shenzhen Daily'!I6</f>
        <v>0</v>
      </c>
      <c r="L3" s="9">
        <f>'Shenzhen Daily'!J6</f>
        <v>0</v>
      </c>
    </row>
    <row r="4" spans="1:12" ht="15" x14ac:dyDescent="0.25">
      <c r="A4" s="6" t="s">
        <v>24</v>
      </c>
      <c r="B4" s="7">
        <f t="shared" ref="B4:B32" si="0">B3+1</f>
        <v>3</v>
      </c>
      <c r="C4" s="8">
        <v>1</v>
      </c>
      <c r="D4" s="7">
        <v>2022</v>
      </c>
      <c r="E4" s="9">
        <v>19320.000000000608</v>
      </c>
      <c r="F4" s="35">
        <v>0.93</v>
      </c>
      <c r="G4" s="9">
        <v>1647</v>
      </c>
      <c r="H4" s="35">
        <v>4.3899999999999997</v>
      </c>
      <c r="I4" s="9">
        <v>379</v>
      </c>
      <c r="J4" s="35">
        <v>1.72</v>
      </c>
      <c r="K4" s="9">
        <f>'Shenzhen Daily'!I7</f>
        <v>0</v>
      </c>
      <c r="L4" s="9">
        <f>'Shenzhen Daily'!J7</f>
        <v>0</v>
      </c>
    </row>
    <row r="5" spans="1:12" ht="15" x14ac:dyDescent="0.25">
      <c r="A5" s="6" t="s">
        <v>24</v>
      </c>
      <c r="B5" s="7">
        <f t="shared" si="0"/>
        <v>4</v>
      </c>
      <c r="C5" s="8">
        <v>1</v>
      </c>
      <c r="D5" s="7">
        <v>2022</v>
      </c>
      <c r="E5" s="9">
        <v>17751.999999999407</v>
      </c>
      <c r="F5" s="35">
        <v>0.93</v>
      </c>
      <c r="G5" s="9">
        <v>1465</v>
      </c>
      <c r="H5" s="35">
        <v>4.3899999999999997</v>
      </c>
      <c r="I5" s="9">
        <v>333</v>
      </c>
      <c r="J5" s="35">
        <v>1.72</v>
      </c>
      <c r="K5" s="9">
        <f>'Shenzhen Daily'!I8</f>
        <v>0</v>
      </c>
      <c r="L5" s="9">
        <f>'Shenzhen Daily'!J8</f>
        <v>0</v>
      </c>
    </row>
    <row r="6" spans="1:12" ht="15" x14ac:dyDescent="0.25">
      <c r="A6" s="6" t="s">
        <v>24</v>
      </c>
      <c r="B6" s="7">
        <f t="shared" si="0"/>
        <v>5</v>
      </c>
      <c r="C6" s="8">
        <v>1</v>
      </c>
      <c r="D6" s="7">
        <v>2022</v>
      </c>
      <c r="E6" s="9">
        <v>19630.000000000586</v>
      </c>
      <c r="F6" s="35">
        <v>0.93</v>
      </c>
      <c r="G6" s="9">
        <v>1447</v>
      </c>
      <c r="H6" s="35">
        <v>4.3899999999999997</v>
      </c>
      <c r="I6" s="9">
        <v>305</v>
      </c>
      <c r="J6" s="35">
        <v>1.72</v>
      </c>
      <c r="K6" s="9">
        <f>'Shenzhen Daily'!I9</f>
        <v>0</v>
      </c>
      <c r="L6" s="9">
        <f>'Shenzhen Daily'!J9</f>
        <v>0</v>
      </c>
    </row>
    <row r="7" spans="1:12" ht="15" x14ac:dyDescent="0.25">
      <c r="A7" s="6" t="s">
        <v>24</v>
      </c>
      <c r="B7" s="7">
        <f t="shared" si="0"/>
        <v>6</v>
      </c>
      <c r="C7" s="8">
        <v>1</v>
      </c>
      <c r="D7" s="7">
        <v>2022</v>
      </c>
      <c r="E7" s="9">
        <v>20999.000000000844</v>
      </c>
      <c r="F7" s="35">
        <v>0.93</v>
      </c>
      <c r="G7" s="9">
        <v>1669</v>
      </c>
      <c r="H7" s="35">
        <v>4.3899999999999997</v>
      </c>
      <c r="I7" s="9">
        <v>383</v>
      </c>
      <c r="J7" s="35">
        <v>1.72</v>
      </c>
      <c r="K7" s="9">
        <f>'Shenzhen Daily'!I10</f>
        <v>0</v>
      </c>
      <c r="L7" s="9">
        <f>'Shenzhen Daily'!J10</f>
        <v>0</v>
      </c>
    </row>
    <row r="8" spans="1:12" ht="15" x14ac:dyDescent="0.25">
      <c r="A8" s="6" t="s">
        <v>24</v>
      </c>
      <c r="B8" s="7">
        <f t="shared" si="0"/>
        <v>7</v>
      </c>
      <c r="C8" s="8">
        <v>1</v>
      </c>
      <c r="D8" s="7">
        <v>2022</v>
      </c>
      <c r="E8" s="9">
        <v>19142.999999998719</v>
      </c>
      <c r="F8" s="35">
        <v>0.93</v>
      </c>
      <c r="G8" s="9">
        <v>1789</v>
      </c>
      <c r="H8" s="35">
        <v>4.3899999999999997</v>
      </c>
      <c r="I8" s="9">
        <v>506</v>
      </c>
      <c r="J8" s="35">
        <v>1.72</v>
      </c>
      <c r="K8" s="9">
        <f>'Shenzhen Daily'!I11</f>
        <v>0</v>
      </c>
      <c r="L8" s="9">
        <f>'Shenzhen Daily'!J11</f>
        <v>0</v>
      </c>
    </row>
    <row r="9" spans="1:12" ht="15" x14ac:dyDescent="0.25">
      <c r="A9" s="6" t="s">
        <v>24</v>
      </c>
      <c r="B9" s="7">
        <f t="shared" si="0"/>
        <v>8</v>
      </c>
      <c r="C9" s="8">
        <v>1</v>
      </c>
      <c r="D9" s="7">
        <v>2022</v>
      </c>
      <c r="E9" s="9">
        <v>22336.000000000651</v>
      </c>
      <c r="F9" s="35">
        <v>0.93</v>
      </c>
      <c r="G9" s="9">
        <v>1866</v>
      </c>
      <c r="H9" s="35">
        <v>4.3899999999999997</v>
      </c>
      <c r="I9" s="9">
        <v>411</v>
      </c>
      <c r="J9" s="35">
        <v>1.72</v>
      </c>
      <c r="K9" s="9">
        <f>'Shenzhen Daily'!I12</f>
        <v>0</v>
      </c>
      <c r="L9" s="9">
        <f>'Shenzhen Daily'!J12</f>
        <v>0</v>
      </c>
    </row>
    <row r="10" spans="1:12" ht="15" x14ac:dyDescent="0.25">
      <c r="A10" s="6" t="s">
        <v>24</v>
      </c>
      <c r="B10" s="7">
        <f t="shared" si="0"/>
        <v>9</v>
      </c>
      <c r="C10" s="8">
        <v>1</v>
      </c>
      <c r="D10" s="7">
        <v>2022</v>
      </c>
      <c r="E10" s="9">
        <v>19287.999999999716</v>
      </c>
      <c r="F10" s="35">
        <v>0.93</v>
      </c>
      <c r="G10" s="9">
        <v>1588</v>
      </c>
      <c r="H10" s="35">
        <v>4.3899999999999997</v>
      </c>
      <c r="I10" s="9">
        <v>341</v>
      </c>
      <c r="J10" s="35">
        <v>1.72</v>
      </c>
      <c r="K10" s="9">
        <f>'Shenzhen Daily'!I13</f>
        <v>0</v>
      </c>
      <c r="L10" s="9">
        <f>'Shenzhen Daily'!J13</f>
        <v>0</v>
      </c>
    </row>
    <row r="11" spans="1:12" ht="15" x14ac:dyDescent="0.25">
      <c r="A11" s="6" t="s">
        <v>24</v>
      </c>
      <c r="B11" s="7">
        <f t="shared" si="0"/>
        <v>10</v>
      </c>
      <c r="C11" s="8">
        <v>1</v>
      </c>
      <c r="D11" s="7">
        <v>2022</v>
      </c>
      <c r="E11" s="9">
        <v>15916.000000000669</v>
      </c>
      <c r="F11" s="35">
        <v>0.93</v>
      </c>
      <c r="G11" s="9">
        <v>1422</v>
      </c>
      <c r="H11" s="35">
        <v>4.3899999999999997</v>
      </c>
      <c r="I11" s="9">
        <v>357</v>
      </c>
      <c r="J11" s="35">
        <v>1.72</v>
      </c>
      <c r="K11" s="9">
        <f>'Shenzhen Daily'!I14</f>
        <v>0</v>
      </c>
      <c r="L11" s="9">
        <f>'Shenzhen Daily'!J14</f>
        <v>0</v>
      </c>
    </row>
    <row r="12" spans="1:12" ht="15" x14ac:dyDescent="0.25">
      <c r="A12" s="6" t="s">
        <v>24</v>
      </c>
      <c r="B12" s="7">
        <f t="shared" si="0"/>
        <v>11</v>
      </c>
      <c r="C12" s="8">
        <v>1</v>
      </c>
      <c r="D12" s="7">
        <v>2022</v>
      </c>
      <c r="E12" s="9">
        <v>19049.999999998876</v>
      </c>
      <c r="F12" s="35">
        <v>0.93</v>
      </c>
      <c r="G12" s="9">
        <v>1445</v>
      </c>
      <c r="H12" s="35">
        <v>4.3899999999999997</v>
      </c>
      <c r="I12" s="9">
        <v>314</v>
      </c>
      <c r="J12" s="35">
        <v>1.72</v>
      </c>
      <c r="K12" s="9">
        <f>'Shenzhen Daily'!I15</f>
        <v>0</v>
      </c>
      <c r="L12" s="9">
        <f>'Shenzhen Daily'!J15</f>
        <v>0</v>
      </c>
    </row>
    <row r="13" spans="1:12" ht="15" x14ac:dyDescent="0.25">
      <c r="A13" s="6" t="s">
        <v>24</v>
      </c>
      <c r="B13" s="7">
        <f t="shared" si="0"/>
        <v>12</v>
      </c>
      <c r="C13" s="8">
        <v>1</v>
      </c>
      <c r="D13" s="7">
        <v>2022</v>
      </c>
      <c r="E13" s="9">
        <v>16297.000000000366</v>
      </c>
      <c r="F13" s="35">
        <v>0.93</v>
      </c>
      <c r="G13" s="9">
        <v>1419</v>
      </c>
      <c r="H13" s="35">
        <v>4.3899999999999997</v>
      </c>
      <c r="I13" s="9">
        <v>305</v>
      </c>
      <c r="J13" s="35">
        <v>1.72</v>
      </c>
      <c r="K13" s="9">
        <f>'Shenzhen Daily'!I16</f>
        <v>0</v>
      </c>
      <c r="L13" s="9">
        <f>'Shenzhen Daily'!J16</f>
        <v>0</v>
      </c>
    </row>
    <row r="14" spans="1:12" ht="15" x14ac:dyDescent="0.25">
      <c r="A14" s="6" t="s">
        <v>24</v>
      </c>
      <c r="B14" s="7">
        <f t="shared" si="0"/>
        <v>13</v>
      </c>
      <c r="C14" s="8">
        <v>1</v>
      </c>
      <c r="D14" s="7">
        <v>2022</v>
      </c>
      <c r="E14" s="9">
        <v>17696.000000000207</v>
      </c>
      <c r="F14" s="35">
        <v>0.93</v>
      </c>
      <c r="G14" s="9">
        <v>1516</v>
      </c>
      <c r="H14" s="35">
        <v>4.3899999999999997</v>
      </c>
      <c r="I14" s="9">
        <v>332</v>
      </c>
      <c r="J14" s="35">
        <v>1.72</v>
      </c>
      <c r="K14" s="9">
        <f>'Shenzhen Daily'!I17</f>
        <v>0</v>
      </c>
      <c r="L14" s="9">
        <f>'Shenzhen Daily'!J17</f>
        <v>0</v>
      </c>
    </row>
    <row r="15" spans="1:12" ht="15" x14ac:dyDescent="0.25">
      <c r="A15" s="6" t="s">
        <v>24</v>
      </c>
      <c r="B15" s="7">
        <f t="shared" si="0"/>
        <v>14</v>
      </c>
      <c r="C15" s="8">
        <v>1</v>
      </c>
      <c r="D15" s="7">
        <v>2022</v>
      </c>
      <c r="E15" s="9">
        <v>14856.999999999789</v>
      </c>
      <c r="F15" s="35">
        <v>0.93</v>
      </c>
      <c r="G15" s="9">
        <v>1413</v>
      </c>
      <c r="H15" s="35">
        <v>4.3899999999999997</v>
      </c>
      <c r="I15" s="9">
        <v>306</v>
      </c>
      <c r="J15" s="35">
        <v>1.72</v>
      </c>
      <c r="K15" s="9">
        <f>'Shenzhen Daily'!I18</f>
        <v>0</v>
      </c>
      <c r="L15" s="9">
        <f>'Shenzhen Daily'!J18</f>
        <v>0</v>
      </c>
    </row>
    <row r="16" spans="1:12" ht="15" x14ac:dyDescent="0.25">
      <c r="A16" s="6" t="s">
        <v>24</v>
      </c>
      <c r="B16" s="7">
        <f t="shared" si="0"/>
        <v>15</v>
      </c>
      <c r="C16" s="8">
        <v>1</v>
      </c>
      <c r="D16" s="7">
        <v>2022</v>
      </c>
      <c r="E16" s="9">
        <v>16938.000000000146</v>
      </c>
      <c r="F16" s="35">
        <v>0.93</v>
      </c>
      <c r="G16" s="9">
        <v>1300</v>
      </c>
      <c r="H16" s="35">
        <v>4.3899999999999997</v>
      </c>
      <c r="I16" s="9">
        <v>256</v>
      </c>
      <c r="J16" s="35">
        <v>1.72</v>
      </c>
      <c r="K16" s="9">
        <f>'Shenzhen Daily'!I19</f>
        <v>0</v>
      </c>
      <c r="L16" s="9">
        <f>'Shenzhen Daily'!J19</f>
        <v>0</v>
      </c>
    </row>
    <row r="17" spans="1:12" ht="15" x14ac:dyDescent="0.25">
      <c r="A17" s="6" t="s">
        <v>24</v>
      </c>
      <c r="B17" s="7">
        <f t="shared" si="0"/>
        <v>16</v>
      </c>
      <c r="C17" s="8">
        <v>1</v>
      </c>
      <c r="D17" s="7">
        <v>2022</v>
      </c>
      <c r="E17" s="9">
        <v>16820.999999999629</v>
      </c>
      <c r="F17" s="35">
        <v>0.93</v>
      </c>
      <c r="G17" s="9">
        <v>1395</v>
      </c>
      <c r="H17" s="35">
        <v>4.3899999999999997</v>
      </c>
      <c r="I17" s="9">
        <v>249</v>
      </c>
      <c r="J17" s="35">
        <v>1.72</v>
      </c>
      <c r="K17" s="9">
        <f>'Shenzhen Daily'!I20</f>
        <v>0</v>
      </c>
      <c r="L17" s="9">
        <f>'Shenzhen Daily'!J20</f>
        <v>0</v>
      </c>
    </row>
    <row r="18" spans="1:12" ht="15" x14ac:dyDescent="0.25">
      <c r="A18" s="6" t="s">
        <v>24</v>
      </c>
      <c r="B18" s="7">
        <f t="shared" si="0"/>
        <v>17</v>
      </c>
      <c r="C18" s="8">
        <v>1</v>
      </c>
      <c r="D18" s="7">
        <v>2022</v>
      </c>
      <c r="E18" s="9">
        <v>15656.000000000471</v>
      </c>
      <c r="F18" s="35">
        <v>0.93</v>
      </c>
      <c r="G18" s="9">
        <v>1309</v>
      </c>
      <c r="H18" s="35">
        <v>4.3899999999999997</v>
      </c>
      <c r="I18" s="9">
        <v>298</v>
      </c>
      <c r="J18" s="35">
        <v>1.72</v>
      </c>
      <c r="K18" s="9">
        <f>'Shenzhen Daily'!I21</f>
        <v>0</v>
      </c>
      <c r="L18" s="9">
        <f>'Shenzhen Daily'!J21</f>
        <v>0</v>
      </c>
    </row>
    <row r="19" spans="1:12" ht="15" x14ac:dyDescent="0.25">
      <c r="A19" s="6" t="s">
        <v>24</v>
      </c>
      <c r="B19" s="7">
        <f t="shared" si="0"/>
        <v>18</v>
      </c>
      <c r="C19" s="8">
        <v>1</v>
      </c>
      <c r="D19" s="7">
        <v>2022</v>
      </c>
      <c r="E19" s="9">
        <v>15098.999999999569</v>
      </c>
      <c r="F19" s="35">
        <v>0.93</v>
      </c>
      <c r="G19" s="9">
        <v>1257</v>
      </c>
      <c r="H19" s="35">
        <v>4.3899999999999997</v>
      </c>
      <c r="I19" s="9">
        <v>252</v>
      </c>
      <c r="J19" s="35">
        <v>1.72</v>
      </c>
      <c r="K19" s="9">
        <f>'Shenzhen Daily'!I22</f>
        <v>0</v>
      </c>
      <c r="L19" s="9">
        <f>'Shenzhen Daily'!J22</f>
        <v>0</v>
      </c>
    </row>
    <row r="20" spans="1:12" ht="15" x14ac:dyDescent="0.25">
      <c r="A20" s="6" t="s">
        <v>24</v>
      </c>
      <c r="B20" s="7">
        <f t="shared" si="0"/>
        <v>19</v>
      </c>
      <c r="C20" s="8">
        <v>1</v>
      </c>
      <c r="D20" s="7">
        <v>2022</v>
      </c>
      <c r="E20" s="9">
        <v>15166.999999999996</v>
      </c>
      <c r="F20" s="35">
        <v>0.93</v>
      </c>
      <c r="G20" s="9">
        <v>1331</v>
      </c>
      <c r="H20" s="35">
        <v>4.3899999999999997</v>
      </c>
      <c r="I20" s="9">
        <v>292</v>
      </c>
      <c r="J20" s="35">
        <v>1.72</v>
      </c>
      <c r="K20" s="9">
        <f>'Shenzhen Daily'!I23</f>
        <v>0</v>
      </c>
      <c r="L20" s="9">
        <f>'Shenzhen Daily'!J23</f>
        <v>0</v>
      </c>
    </row>
    <row r="21" spans="1:12" ht="15" x14ac:dyDescent="0.25">
      <c r="A21" s="6" t="s">
        <v>24</v>
      </c>
      <c r="B21" s="7">
        <f t="shared" si="0"/>
        <v>20</v>
      </c>
      <c r="C21" s="8">
        <v>1</v>
      </c>
      <c r="D21" s="7">
        <v>2022</v>
      </c>
      <c r="E21" s="9">
        <v>16138.000000000193</v>
      </c>
      <c r="F21" s="35">
        <v>0.93</v>
      </c>
      <c r="G21" s="9">
        <v>1338</v>
      </c>
      <c r="H21" s="35">
        <v>4.3899999999999997</v>
      </c>
      <c r="I21" s="9">
        <v>255</v>
      </c>
      <c r="J21" s="35">
        <v>1.72</v>
      </c>
      <c r="K21" s="9">
        <f>'Shenzhen Daily'!I24</f>
        <v>0</v>
      </c>
      <c r="L21" s="9">
        <f>'Shenzhen Daily'!J24</f>
        <v>0</v>
      </c>
    </row>
    <row r="22" spans="1:12" ht="15" x14ac:dyDescent="0.25">
      <c r="A22" s="6" t="s">
        <v>24</v>
      </c>
      <c r="B22" s="7">
        <f t="shared" si="0"/>
        <v>21</v>
      </c>
      <c r="C22" s="8">
        <v>1</v>
      </c>
      <c r="D22" s="7">
        <v>2022</v>
      </c>
      <c r="E22" s="9">
        <v>15982.999999999311</v>
      </c>
      <c r="F22" s="35">
        <v>0.93</v>
      </c>
      <c r="G22" s="9">
        <v>1482</v>
      </c>
      <c r="H22" s="35">
        <v>4.3899999999999997</v>
      </c>
      <c r="I22" s="9">
        <v>373</v>
      </c>
      <c r="J22" s="35">
        <v>1.72</v>
      </c>
      <c r="K22" s="9">
        <f>'Shenzhen Daily'!I25</f>
        <v>0</v>
      </c>
      <c r="L22" s="9">
        <f>'Shenzhen Daily'!J25</f>
        <v>0</v>
      </c>
    </row>
    <row r="23" spans="1:12" ht="15" x14ac:dyDescent="0.25">
      <c r="A23" s="6" t="s">
        <v>24</v>
      </c>
      <c r="B23" s="7">
        <f t="shared" si="0"/>
        <v>22</v>
      </c>
      <c r="C23" s="8">
        <v>1</v>
      </c>
      <c r="D23" s="7">
        <v>2022</v>
      </c>
      <c r="E23" s="9">
        <v>16556.000000000335</v>
      </c>
      <c r="F23" s="35">
        <v>0.93</v>
      </c>
      <c r="G23" s="9">
        <v>1396</v>
      </c>
      <c r="H23" s="35">
        <v>4.3899999999999997</v>
      </c>
      <c r="I23" s="9">
        <v>308</v>
      </c>
      <c r="J23" s="35">
        <v>1.72</v>
      </c>
      <c r="K23" s="9">
        <f>'Shenzhen Daily'!I26</f>
        <v>0</v>
      </c>
      <c r="L23" s="9">
        <f>'Shenzhen Daily'!J26</f>
        <v>0</v>
      </c>
    </row>
    <row r="24" spans="1:12" ht="15" x14ac:dyDescent="0.25">
      <c r="A24" s="6" t="s">
        <v>24</v>
      </c>
      <c r="B24" s="7">
        <f t="shared" si="0"/>
        <v>23</v>
      </c>
      <c r="C24" s="8">
        <v>1</v>
      </c>
      <c r="D24" s="7">
        <v>2022</v>
      </c>
      <c r="E24" s="9">
        <v>17444.000000000422</v>
      </c>
      <c r="F24" s="35">
        <v>0.93</v>
      </c>
      <c r="G24" s="9">
        <v>1255</v>
      </c>
      <c r="H24" s="35">
        <v>4.3899999999999997</v>
      </c>
      <c r="I24" s="9">
        <v>260</v>
      </c>
      <c r="J24" s="35">
        <v>1.72</v>
      </c>
      <c r="K24" s="9">
        <f>'Shenzhen Daily'!I27</f>
        <v>0</v>
      </c>
      <c r="L24" s="9">
        <f>'Shenzhen Daily'!J27</f>
        <v>0</v>
      </c>
    </row>
    <row r="25" spans="1:12" ht="15" x14ac:dyDescent="0.25">
      <c r="A25" s="6" t="s">
        <v>24</v>
      </c>
      <c r="B25" s="7">
        <f t="shared" si="0"/>
        <v>24</v>
      </c>
      <c r="C25" s="8">
        <v>1</v>
      </c>
      <c r="D25" s="7">
        <v>2022</v>
      </c>
      <c r="E25" s="9">
        <v>16067.000000000029</v>
      </c>
      <c r="F25" s="35">
        <v>0.93</v>
      </c>
      <c r="G25" s="9">
        <v>1352</v>
      </c>
      <c r="H25" s="35">
        <v>4.3899999999999997</v>
      </c>
      <c r="I25" s="9">
        <v>296</v>
      </c>
      <c r="J25" s="35">
        <v>1.72</v>
      </c>
      <c r="K25" s="9">
        <f>'Shenzhen Daily'!I28</f>
        <v>0</v>
      </c>
      <c r="L25" s="9">
        <f>'Shenzhen Daily'!J28</f>
        <v>0</v>
      </c>
    </row>
    <row r="26" spans="1:12" ht="15" x14ac:dyDescent="0.25">
      <c r="A26" s="6" t="s">
        <v>24</v>
      </c>
      <c r="B26" s="7">
        <f>B25+1</f>
        <v>25</v>
      </c>
      <c r="C26" s="8">
        <v>1</v>
      </c>
      <c r="D26" s="7">
        <v>2022</v>
      </c>
      <c r="E26" s="9">
        <v>15784.000000000469</v>
      </c>
      <c r="F26" s="35">
        <v>0.93</v>
      </c>
      <c r="G26" s="9">
        <v>1272</v>
      </c>
      <c r="H26" s="35">
        <v>4.3899999999999997</v>
      </c>
      <c r="I26" s="9">
        <v>279</v>
      </c>
      <c r="J26" s="35">
        <v>1.72</v>
      </c>
      <c r="K26" s="9">
        <f>'Shenzhen Daily'!I29</f>
        <v>0</v>
      </c>
      <c r="L26" s="9">
        <f>'Shenzhen Daily'!J29</f>
        <v>0</v>
      </c>
    </row>
    <row r="27" spans="1:12" ht="15" x14ac:dyDescent="0.25">
      <c r="A27" s="6" t="s">
        <v>24</v>
      </c>
      <c r="B27" s="7">
        <f t="shared" si="0"/>
        <v>26</v>
      </c>
      <c r="C27" s="8">
        <v>1</v>
      </c>
      <c r="D27" s="7">
        <v>2022</v>
      </c>
      <c r="E27" s="9">
        <v>17072.999999999342</v>
      </c>
      <c r="F27" s="35">
        <v>0.93</v>
      </c>
      <c r="G27" s="9">
        <v>1330</v>
      </c>
      <c r="H27" s="35">
        <v>4.3899999999999997</v>
      </c>
      <c r="I27" s="9">
        <v>293</v>
      </c>
      <c r="J27" s="35">
        <v>1.72</v>
      </c>
      <c r="K27" s="9">
        <f>'Shenzhen Daily'!I30</f>
        <v>0</v>
      </c>
      <c r="L27" s="9">
        <f>'Shenzhen Daily'!J30</f>
        <v>0</v>
      </c>
    </row>
    <row r="28" spans="1:12" ht="15" x14ac:dyDescent="0.25">
      <c r="A28" s="6" t="s">
        <v>24</v>
      </c>
      <c r="B28" s="7">
        <f t="shared" si="0"/>
        <v>27</v>
      </c>
      <c r="C28" s="8">
        <v>1</v>
      </c>
      <c r="D28" s="7">
        <v>2022</v>
      </c>
      <c r="E28" s="9">
        <v>16681.999999999302</v>
      </c>
      <c r="F28" s="35">
        <v>0.93</v>
      </c>
      <c r="G28" s="9">
        <v>1383</v>
      </c>
      <c r="H28" s="35">
        <v>4.3899999999999997</v>
      </c>
      <c r="I28" s="9">
        <v>273</v>
      </c>
      <c r="J28" s="35">
        <v>1.72</v>
      </c>
      <c r="K28" s="9">
        <f>'Shenzhen Daily'!I31</f>
        <v>0</v>
      </c>
      <c r="L28" s="9">
        <f>'Shenzhen Daily'!J31</f>
        <v>0</v>
      </c>
    </row>
    <row r="29" spans="1:12" ht="15" x14ac:dyDescent="0.25">
      <c r="A29" s="6" t="s">
        <v>24</v>
      </c>
      <c r="B29" s="7">
        <f t="shared" si="0"/>
        <v>28</v>
      </c>
      <c r="C29" s="8">
        <v>1</v>
      </c>
      <c r="D29" s="7">
        <v>2022</v>
      </c>
      <c r="E29" s="9">
        <v>14862.000000001695</v>
      </c>
      <c r="F29" s="35">
        <v>0.93</v>
      </c>
      <c r="G29" s="9">
        <v>1388</v>
      </c>
      <c r="H29" s="35">
        <v>4.3899999999999997</v>
      </c>
      <c r="I29" s="9">
        <v>281</v>
      </c>
      <c r="J29" s="35">
        <v>1.72</v>
      </c>
      <c r="K29" s="9">
        <f>'Shenzhen Daily'!I32</f>
        <v>0</v>
      </c>
      <c r="L29" s="9">
        <f>'Shenzhen Daily'!J32</f>
        <v>0</v>
      </c>
    </row>
    <row r="30" spans="1:12" ht="15" x14ac:dyDescent="0.25">
      <c r="A30" s="6" t="s">
        <v>24</v>
      </c>
      <c r="B30" s="7">
        <f t="shared" si="0"/>
        <v>29</v>
      </c>
      <c r="C30" s="8">
        <v>1</v>
      </c>
      <c r="D30" s="7">
        <v>2022</v>
      </c>
      <c r="E30" s="9">
        <v>17701.999999999614</v>
      </c>
      <c r="F30" s="35">
        <v>0.93</v>
      </c>
      <c r="G30" s="9">
        <v>1322</v>
      </c>
      <c r="H30" s="35">
        <v>4.3899999999999997</v>
      </c>
      <c r="I30" s="9">
        <v>247</v>
      </c>
      <c r="J30" s="35">
        <v>1.72</v>
      </c>
      <c r="K30" s="9">
        <f>'Shenzhen Daily'!I33</f>
        <v>0</v>
      </c>
      <c r="L30" s="9">
        <f>'Shenzhen Daily'!J33</f>
        <v>0</v>
      </c>
    </row>
    <row r="31" spans="1:12" ht="15" x14ac:dyDescent="0.25">
      <c r="A31" s="6" t="s">
        <v>24</v>
      </c>
      <c r="B31" s="7">
        <f t="shared" si="0"/>
        <v>30</v>
      </c>
      <c r="C31" s="8">
        <v>1</v>
      </c>
      <c r="D31" s="7">
        <v>2022</v>
      </c>
      <c r="E31" s="9">
        <v>15271.999999999662</v>
      </c>
      <c r="F31" s="35">
        <v>0.93</v>
      </c>
      <c r="G31" s="9">
        <v>1421</v>
      </c>
      <c r="H31" s="35">
        <v>4.3899999999999997</v>
      </c>
      <c r="I31" s="9">
        <v>275</v>
      </c>
      <c r="J31" s="35">
        <v>1.72</v>
      </c>
      <c r="K31" s="9">
        <f>'Shenzhen Daily'!I34</f>
        <v>0</v>
      </c>
      <c r="L31" s="9">
        <f>'Shenzhen Daily'!J34</f>
        <v>0</v>
      </c>
    </row>
    <row r="32" spans="1:12" ht="15" x14ac:dyDescent="0.25">
      <c r="A32" s="6" t="s">
        <v>24</v>
      </c>
      <c r="B32" s="7">
        <f t="shared" si="0"/>
        <v>31</v>
      </c>
      <c r="C32" s="8">
        <v>1</v>
      </c>
      <c r="D32" s="7">
        <v>2022</v>
      </c>
      <c r="E32" s="9">
        <v>112141.00000000045</v>
      </c>
      <c r="F32" s="35">
        <v>0.93</v>
      </c>
      <c r="G32" s="9">
        <v>1511</v>
      </c>
      <c r="H32" s="35">
        <v>4.3899999999999997</v>
      </c>
      <c r="I32" s="9">
        <v>291</v>
      </c>
      <c r="J32" s="35">
        <v>1.72</v>
      </c>
      <c r="K32" s="9">
        <f>'Shenzhen Daily'!I35</f>
        <v>0</v>
      </c>
      <c r="L32" s="9">
        <f>'Shenzhen Daily'!J35</f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tabSelected="1" zoomScale="85" zoomScaleNormal="85" workbookViewId="0">
      <pane xSplit="1" topLeftCell="B1" activePane="topRight" state="frozen"/>
      <selection pane="topRight" activeCell="S12" sqref="S12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36"/>
      <c r="C1" s="10"/>
      <c r="D1" s="11"/>
      <c r="E1" s="10"/>
      <c r="F1" s="10"/>
      <c r="G1" s="37"/>
      <c r="H1" s="37"/>
      <c r="I1" s="12"/>
      <c r="J1" s="12"/>
    </row>
    <row r="2" spans="1:10" ht="35.25" customHeight="1" thickBot="1" x14ac:dyDescent="0.2">
      <c r="A2" s="14" t="s">
        <v>10</v>
      </c>
      <c r="B2" s="36"/>
      <c r="C2" s="38" t="s">
        <v>20</v>
      </c>
      <c r="D2" s="39"/>
      <c r="E2" s="40" t="s">
        <v>21</v>
      </c>
      <c r="F2" s="40"/>
      <c r="G2" s="41" t="s">
        <v>11</v>
      </c>
      <c r="H2" s="42"/>
      <c r="I2" s="15"/>
      <c r="J2" s="15"/>
    </row>
    <row r="3" spans="1:10" ht="44.25" customHeight="1" x14ac:dyDescent="0.1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16</v>
      </c>
      <c r="H3" s="20" t="s">
        <v>17</v>
      </c>
      <c r="I3" s="21" t="s">
        <v>18</v>
      </c>
      <c r="J3" s="21" t="s">
        <v>19</v>
      </c>
    </row>
    <row r="4" spans="1:10" s="26" customFormat="1" ht="35.25" customHeight="1" x14ac:dyDescent="0.15">
      <c r="A4" s="22">
        <v>44561</v>
      </c>
      <c r="B4" s="36"/>
      <c r="C4" s="23">
        <v>24249</v>
      </c>
      <c r="D4" s="24"/>
      <c r="E4" s="23">
        <v>1734</v>
      </c>
      <c r="F4" s="25"/>
      <c r="G4" s="23">
        <v>403</v>
      </c>
      <c r="I4" s="27"/>
      <c r="J4" s="27"/>
    </row>
    <row r="5" spans="1:10" ht="33" customHeight="1" x14ac:dyDescent="0.15">
      <c r="A5" s="28">
        <v>44562</v>
      </c>
      <c r="B5" s="36"/>
      <c r="C5" s="29">
        <v>20175.000000000698</v>
      </c>
      <c r="D5" s="30" t="str">
        <f t="shared" ref="D5:D22" si="0">IF((C5-C4&lt;0), "0",C5-C4)</f>
        <v>0</v>
      </c>
      <c r="E5" s="29">
        <v>1917</v>
      </c>
      <c r="F5" s="30">
        <f>IF((E5-E4&lt;0), "0",E5-E4)</f>
        <v>183</v>
      </c>
      <c r="G5" s="29">
        <v>477</v>
      </c>
      <c r="H5" s="30">
        <f>IF((G5-G4&lt;0), "0",G5-G4)</f>
        <v>74</v>
      </c>
      <c r="I5" s="31"/>
      <c r="J5" s="31"/>
    </row>
    <row r="6" spans="1:10" ht="45" customHeight="1" x14ac:dyDescent="0.15">
      <c r="A6" s="28">
        <v>44563</v>
      </c>
      <c r="B6" s="36"/>
      <c r="C6" s="29">
        <v>18557.999999999331</v>
      </c>
      <c r="D6" s="30" t="str">
        <f t="shared" si="0"/>
        <v>0</v>
      </c>
      <c r="E6" s="29">
        <v>1705</v>
      </c>
      <c r="F6" s="30" t="str">
        <f t="shared" ref="F6:F32" si="1">IF((E6-E5&lt;0), "0",E6-E5)</f>
        <v>0</v>
      </c>
      <c r="G6" s="29">
        <v>423</v>
      </c>
      <c r="H6" s="30" t="str">
        <f t="shared" ref="H6:H32" si="2">IF((G6-G5&lt;0), "0",G6-G5)</f>
        <v>0</v>
      </c>
      <c r="I6" s="12"/>
      <c r="J6" s="12"/>
    </row>
    <row r="7" spans="1:10" ht="45" customHeight="1" x14ac:dyDescent="0.15">
      <c r="A7" s="28">
        <v>44564</v>
      </c>
      <c r="B7" s="36"/>
      <c r="C7" s="29">
        <v>19320.000000000608</v>
      </c>
      <c r="D7" s="30">
        <f t="shared" si="0"/>
        <v>762.00000000127693</v>
      </c>
      <c r="E7" s="29">
        <v>1647</v>
      </c>
      <c r="F7" s="30" t="str">
        <f t="shared" si="1"/>
        <v>0</v>
      </c>
      <c r="G7" s="29">
        <v>379</v>
      </c>
      <c r="H7" s="30" t="str">
        <f t="shared" si="2"/>
        <v>0</v>
      </c>
      <c r="I7" s="12"/>
      <c r="J7" s="12"/>
    </row>
    <row r="8" spans="1:10" ht="45" customHeight="1" x14ac:dyDescent="0.15">
      <c r="A8" s="28">
        <v>44565</v>
      </c>
      <c r="B8" s="36"/>
      <c r="C8" s="29">
        <v>17751.999999999407</v>
      </c>
      <c r="D8" s="30" t="str">
        <f t="shared" si="0"/>
        <v>0</v>
      </c>
      <c r="E8" s="29">
        <v>1465</v>
      </c>
      <c r="F8" s="30" t="str">
        <f t="shared" si="1"/>
        <v>0</v>
      </c>
      <c r="G8" s="29">
        <v>333</v>
      </c>
      <c r="H8" s="30" t="str">
        <f t="shared" si="2"/>
        <v>0</v>
      </c>
      <c r="I8" s="12"/>
      <c r="J8" s="12"/>
    </row>
    <row r="9" spans="1:10" ht="45" customHeight="1" x14ac:dyDescent="0.15">
      <c r="A9" s="28">
        <v>44566</v>
      </c>
      <c r="B9" s="36"/>
      <c r="C9" s="29">
        <v>19630.000000000586</v>
      </c>
      <c r="D9" s="30">
        <f t="shared" si="0"/>
        <v>1878.0000000011787</v>
      </c>
      <c r="E9" s="29">
        <v>1447</v>
      </c>
      <c r="F9" s="30" t="str">
        <f t="shared" si="1"/>
        <v>0</v>
      </c>
      <c r="G9" s="29">
        <v>305</v>
      </c>
      <c r="H9" s="30" t="str">
        <f t="shared" si="2"/>
        <v>0</v>
      </c>
      <c r="I9" s="12"/>
      <c r="J9" s="12"/>
    </row>
    <row r="10" spans="1:10" ht="45" customHeight="1" x14ac:dyDescent="0.15">
      <c r="A10" s="28">
        <v>44567</v>
      </c>
      <c r="B10" s="36"/>
      <c r="C10" s="29">
        <v>20999.000000000844</v>
      </c>
      <c r="D10" s="30">
        <f t="shared" si="0"/>
        <v>1369.0000000002583</v>
      </c>
      <c r="E10" s="29">
        <v>1669</v>
      </c>
      <c r="F10" s="30">
        <f t="shared" si="1"/>
        <v>222</v>
      </c>
      <c r="G10" s="29">
        <v>383</v>
      </c>
      <c r="H10" s="30">
        <f t="shared" si="2"/>
        <v>78</v>
      </c>
      <c r="I10" s="12"/>
      <c r="J10" s="12"/>
    </row>
    <row r="11" spans="1:10" ht="45" customHeight="1" x14ac:dyDescent="0.15">
      <c r="A11" s="28">
        <v>44568</v>
      </c>
      <c r="B11" s="36"/>
      <c r="C11" s="29">
        <v>19142.999999998719</v>
      </c>
      <c r="D11" s="30" t="str">
        <f t="shared" si="0"/>
        <v>0</v>
      </c>
      <c r="E11" s="29">
        <v>1789</v>
      </c>
      <c r="F11" s="30">
        <f t="shared" si="1"/>
        <v>120</v>
      </c>
      <c r="G11" s="29">
        <v>506</v>
      </c>
      <c r="H11" s="30">
        <f t="shared" si="2"/>
        <v>123</v>
      </c>
      <c r="I11" s="12"/>
      <c r="J11" s="12"/>
    </row>
    <row r="12" spans="1:10" ht="45" customHeight="1" x14ac:dyDescent="0.15">
      <c r="A12" s="28">
        <v>44569</v>
      </c>
      <c r="B12" s="36"/>
      <c r="C12" s="29">
        <v>22336.000000000651</v>
      </c>
      <c r="D12" s="30">
        <f t="shared" si="0"/>
        <v>3193.0000000019318</v>
      </c>
      <c r="E12" s="29">
        <v>1866</v>
      </c>
      <c r="F12" s="30">
        <f t="shared" si="1"/>
        <v>77</v>
      </c>
      <c r="G12" s="29">
        <v>411</v>
      </c>
      <c r="H12" s="30" t="str">
        <f t="shared" si="2"/>
        <v>0</v>
      </c>
      <c r="I12" s="12"/>
      <c r="J12" s="12"/>
    </row>
    <row r="13" spans="1:10" ht="45" customHeight="1" x14ac:dyDescent="0.15">
      <c r="A13" s="28">
        <v>44570</v>
      </c>
      <c r="B13" s="36"/>
      <c r="C13" s="29">
        <v>19287.999999999716</v>
      </c>
      <c r="D13" s="30" t="str">
        <f t="shared" si="0"/>
        <v>0</v>
      </c>
      <c r="E13" s="29">
        <v>1588</v>
      </c>
      <c r="F13" s="30" t="str">
        <f t="shared" si="1"/>
        <v>0</v>
      </c>
      <c r="G13" s="29">
        <v>341</v>
      </c>
      <c r="H13" s="30" t="str">
        <f t="shared" si="2"/>
        <v>0</v>
      </c>
      <c r="I13" s="12"/>
      <c r="J13" s="12"/>
    </row>
    <row r="14" spans="1:10" ht="45" customHeight="1" x14ac:dyDescent="0.15">
      <c r="A14" s="28">
        <v>44571</v>
      </c>
      <c r="B14" s="36"/>
      <c r="C14" s="29">
        <v>15916.000000000669</v>
      </c>
      <c r="D14" s="30" t="str">
        <f t="shared" si="0"/>
        <v>0</v>
      </c>
      <c r="E14" s="29">
        <v>1422</v>
      </c>
      <c r="F14" s="30" t="str">
        <f t="shared" si="1"/>
        <v>0</v>
      </c>
      <c r="G14" s="29">
        <v>357</v>
      </c>
      <c r="H14" s="30">
        <f t="shared" si="2"/>
        <v>16</v>
      </c>
      <c r="I14" s="12"/>
      <c r="J14" s="12"/>
    </row>
    <row r="15" spans="1:10" ht="45" customHeight="1" x14ac:dyDescent="0.15">
      <c r="A15" s="28">
        <v>44572</v>
      </c>
      <c r="B15" s="36"/>
      <c r="C15" s="29">
        <v>19049.999999998876</v>
      </c>
      <c r="D15" s="30">
        <f t="shared" si="0"/>
        <v>3133.9999999982065</v>
      </c>
      <c r="E15" s="29">
        <v>1445</v>
      </c>
      <c r="F15" s="30">
        <f t="shared" si="1"/>
        <v>23</v>
      </c>
      <c r="G15" s="29">
        <v>314</v>
      </c>
      <c r="H15" s="30" t="str">
        <f t="shared" si="2"/>
        <v>0</v>
      </c>
      <c r="I15" s="12"/>
      <c r="J15" s="12"/>
    </row>
    <row r="16" spans="1:10" ht="45" customHeight="1" x14ac:dyDescent="0.15">
      <c r="A16" s="28">
        <v>44573</v>
      </c>
      <c r="B16" s="36"/>
      <c r="C16" s="29">
        <v>16297.000000000366</v>
      </c>
      <c r="D16" s="30" t="str">
        <f t="shared" si="0"/>
        <v>0</v>
      </c>
      <c r="E16" s="29">
        <v>1419</v>
      </c>
      <c r="F16" s="30" t="str">
        <f t="shared" si="1"/>
        <v>0</v>
      </c>
      <c r="G16" s="29">
        <v>305</v>
      </c>
      <c r="H16" s="30" t="str">
        <f t="shared" si="2"/>
        <v>0</v>
      </c>
      <c r="I16" s="12"/>
      <c r="J16" s="12"/>
    </row>
    <row r="17" spans="1:10" ht="45" customHeight="1" x14ac:dyDescent="0.15">
      <c r="A17" s="28">
        <v>44574</v>
      </c>
      <c r="B17" s="36"/>
      <c r="C17" s="29">
        <v>17696.000000000207</v>
      </c>
      <c r="D17" s="30">
        <f t="shared" si="0"/>
        <v>1398.9999999998417</v>
      </c>
      <c r="E17" s="29">
        <v>1516</v>
      </c>
      <c r="F17" s="30">
        <f t="shared" si="1"/>
        <v>97</v>
      </c>
      <c r="G17" s="29">
        <v>332</v>
      </c>
      <c r="H17" s="30">
        <f t="shared" si="2"/>
        <v>27</v>
      </c>
      <c r="I17" s="12"/>
      <c r="J17" s="12"/>
    </row>
    <row r="18" spans="1:10" ht="45" customHeight="1" x14ac:dyDescent="0.15">
      <c r="A18" s="28">
        <v>44575</v>
      </c>
      <c r="B18" s="36"/>
      <c r="C18" s="29">
        <v>14856.999999999789</v>
      </c>
      <c r="D18" s="30" t="str">
        <f t="shared" si="0"/>
        <v>0</v>
      </c>
      <c r="E18" s="29">
        <v>1413</v>
      </c>
      <c r="F18" s="30" t="str">
        <f t="shared" si="1"/>
        <v>0</v>
      </c>
      <c r="G18" s="29">
        <v>306</v>
      </c>
      <c r="H18" s="30" t="str">
        <f t="shared" si="2"/>
        <v>0</v>
      </c>
      <c r="I18" s="12"/>
      <c r="J18" s="12"/>
    </row>
    <row r="19" spans="1:10" ht="45" customHeight="1" x14ac:dyDescent="0.15">
      <c r="A19" s="28">
        <v>44576</v>
      </c>
      <c r="B19" s="36"/>
      <c r="C19" s="29">
        <v>16938.000000000146</v>
      </c>
      <c r="D19" s="30">
        <f t="shared" si="0"/>
        <v>2081.0000000003565</v>
      </c>
      <c r="E19" s="29">
        <v>1300</v>
      </c>
      <c r="F19" s="30" t="str">
        <f t="shared" si="1"/>
        <v>0</v>
      </c>
      <c r="G19" s="29">
        <v>256</v>
      </c>
      <c r="H19" s="30" t="str">
        <f t="shared" si="2"/>
        <v>0</v>
      </c>
      <c r="I19" s="12"/>
      <c r="J19" s="12"/>
    </row>
    <row r="20" spans="1:10" ht="45" customHeight="1" x14ac:dyDescent="0.15">
      <c r="A20" s="28">
        <v>44577</v>
      </c>
      <c r="B20" s="36"/>
      <c r="C20" s="29">
        <v>16820.999999999629</v>
      </c>
      <c r="D20" s="30" t="str">
        <f t="shared" si="0"/>
        <v>0</v>
      </c>
      <c r="E20" s="29">
        <v>1395</v>
      </c>
      <c r="F20" s="30">
        <f t="shared" si="1"/>
        <v>95</v>
      </c>
      <c r="G20" s="29">
        <v>249</v>
      </c>
      <c r="H20" s="30" t="str">
        <f t="shared" si="2"/>
        <v>0</v>
      </c>
      <c r="I20" s="12"/>
      <c r="J20" s="12"/>
    </row>
    <row r="21" spans="1:10" ht="45" customHeight="1" x14ac:dyDescent="0.15">
      <c r="A21" s="28">
        <v>44578</v>
      </c>
      <c r="B21" s="36"/>
      <c r="C21" s="29">
        <v>15656.000000000471</v>
      </c>
      <c r="D21" s="30" t="str">
        <f t="shared" si="0"/>
        <v>0</v>
      </c>
      <c r="E21" s="29">
        <v>1309</v>
      </c>
      <c r="F21" s="30" t="str">
        <f t="shared" si="1"/>
        <v>0</v>
      </c>
      <c r="G21" s="29">
        <v>298</v>
      </c>
      <c r="H21" s="30">
        <f t="shared" si="2"/>
        <v>49</v>
      </c>
      <c r="I21" s="12"/>
      <c r="J21" s="12"/>
    </row>
    <row r="22" spans="1:10" ht="45" customHeight="1" x14ac:dyDescent="0.15">
      <c r="A22" s="28">
        <v>44579</v>
      </c>
      <c r="B22" s="36"/>
      <c r="C22" s="29">
        <v>15098.999999999569</v>
      </c>
      <c r="D22" s="30" t="str">
        <f t="shared" si="0"/>
        <v>0</v>
      </c>
      <c r="E22" s="29">
        <v>1257</v>
      </c>
      <c r="F22" s="30" t="str">
        <f t="shared" si="1"/>
        <v>0</v>
      </c>
      <c r="G22" s="29">
        <v>252</v>
      </c>
      <c r="H22" s="30" t="str">
        <f t="shared" si="2"/>
        <v>0</v>
      </c>
      <c r="I22" s="12"/>
      <c r="J22" s="12"/>
    </row>
    <row r="23" spans="1:10" ht="45" customHeight="1" x14ac:dyDescent="0.15">
      <c r="A23" s="28">
        <v>44580</v>
      </c>
      <c r="B23" s="36"/>
      <c r="C23" s="29">
        <v>15166.999999999996</v>
      </c>
      <c r="D23" s="30">
        <f>IF((C23-C22&lt;0), "0",C23-C22)</f>
        <v>68.000000000427463</v>
      </c>
      <c r="E23" s="29">
        <v>1331</v>
      </c>
      <c r="F23" s="30">
        <f t="shared" si="1"/>
        <v>74</v>
      </c>
      <c r="G23" s="29">
        <v>292</v>
      </c>
      <c r="H23" s="30">
        <f t="shared" si="2"/>
        <v>40</v>
      </c>
      <c r="I23" s="12"/>
      <c r="J23" s="12"/>
    </row>
    <row r="24" spans="1:10" ht="45" customHeight="1" x14ac:dyDescent="0.15">
      <c r="A24" s="28">
        <v>44581</v>
      </c>
      <c r="B24" s="36"/>
      <c r="C24" s="29">
        <v>16138.000000000193</v>
      </c>
      <c r="D24" s="30">
        <f t="shared" ref="D24:D32" si="3">IF((C24-C23&lt;0), "0",C24-C23)</f>
        <v>971.00000000019645</v>
      </c>
      <c r="E24" s="29">
        <v>1338</v>
      </c>
      <c r="F24" s="30">
        <f t="shared" si="1"/>
        <v>7</v>
      </c>
      <c r="G24" s="29">
        <v>255</v>
      </c>
      <c r="H24" s="30" t="str">
        <f t="shared" si="2"/>
        <v>0</v>
      </c>
      <c r="I24" s="12"/>
      <c r="J24" s="12"/>
    </row>
    <row r="25" spans="1:10" ht="45" customHeight="1" x14ac:dyDescent="0.15">
      <c r="A25" s="28">
        <v>44582</v>
      </c>
      <c r="B25" s="36"/>
      <c r="C25" s="29">
        <v>15982.999999999311</v>
      </c>
      <c r="D25" s="30" t="str">
        <f t="shared" si="3"/>
        <v>0</v>
      </c>
      <c r="E25" s="29">
        <v>1482</v>
      </c>
      <c r="F25" s="30">
        <f t="shared" si="1"/>
        <v>144</v>
      </c>
      <c r="G25" s="29">
        <v>373</v>
      </c>
      <c r="H25" s="30">
        <f t="shared" si="2"/>
        <v>118</v>
      </c>
      <c r="I25" s="12"/>
      <c r="J25" s="12"/>
    </row>
    <row r="26" spans="1:10" ht="45" customHeight="1" x14ac:dyDescent="0.15">
      <c r="A26" s="28">
        <v>44583</v>
      </c>
      <c r="B26" s="36"/>
      <c r="C26" s="29">
        <v>16556.000000000335</v>
      </c>
      <c r="D26" s="30">
        <f t="shared" si="3"/>
        <v>573.00000000102409</v>
      </c>
      <c r="E26" s="29">
        <v>1396</v>
      </c>
      <c r="F26" s="30" t="str">
        <f t="shared" si="1"/>
        <v>0</v>
      </c>
      <c r="G26" s="29">
        <v>308</v>
      </c>
      <c r="H26" s="30" t="str">
        <f t="shared" si="2"/>
        <v>0</v>
      </c>
      <c r="I26" s="12"/>
      <c r="J26" s="12"/>
    </row>
    <row r="27" spans="1:10" ht="45" customHeight="1" x14ac:dyDescent="0.15">
      <c r="A27" s="28">
        <v>44584</v>
      </c>
      <c r="B27" s="36"/>
      <c r="C27" s="29">
        <v>17444.000000000422</v>
      </c>
      <c r="D27" s="30">
        <f t="shared" si="3"/>
        <v>888.00000000008731</v>
      </c>
      <c r="E27" s="29">
        <v>1255</v>
      </c>
      <c r="F27" s="30" t="str">
        <f t="shared" si="1"/>
        <v>0</v>
      </c>
      <c r="G27" s="29">
        <v>260</v>
      </c>
      <c r="H27" s="30" t="str">
        <f t="shared" si="2"/>
        <v>0</v>
      </c>
      <c r="I27" s="12"/>
      <c r="J27" s="12"/>
    </row>
    <row r="28" spans="1:10" ht="45" customHeight="1" x14ac:dyDescent="0.15">
      <c r="A28" s="28">
        <v>44585</v>
      </c>
      <c r="B28" s="36"/>
      <c r="C28" s="29">
        <v>16067.000000000029</v>
      </c>
      <c r="D28" s="30" t="str">
        <f t="shared" si="3"/>
        <v>0</v>
      </c>
      <c r="E28" s="29">
        <v>1352</v>
      </c>
      <c r="F28" s="30">
        <f t="shared" si="1"/>
        <v>97</v>
      </c>
      <c r="G28" s="29">
        <v>296</v>
      </c>
      <c r="H28" s="30">
        <f t="shared" si="2"/>
        <v>36</v>
      </c>
      <c r="I28" s="12"/>
      <c r="J28" s="12"/>
    </row>
    <row r="29" spans="1:10" ht="45" customHeight="1" x14ac:dyDescent="0.15">
      <c r="A29" s="28">
        <v>44586</v>
      </c>
      <c r="B29" s="36"/>
      <c r="C29" s="29">
        <v>15784.000000000469</v>
      </c>
      <c r="D29" s="30" t="str">
        <f t="shared" si="3"/>
        <v>0</v>
      </c>
      <c r="E29" s="29">
        <v>1272</v>
      </c>
      <c r="F29" s="30" t="str">
        <f t="shared" si="1"/>
        <v>0</v>
      </c>
      <c r="G29" s="29">
        <v>279</v>
      </c>
      <c r="H29" s="30" t="str">
        <f t="shared" si="2"/>
        <v>0</v>
      </c>
      <c r="I29" s="12"/>
      <c r="J29" s="12"/>
    </row>
    <row r="30" spans="1:10" ht="45" customHeight="1" x14ac:dyDescent="0.15">
      <c r="A30" s="28">
        <v>44587</v>
      </c>
      <c r="B30" s="36"/>
      <c r="C30" s="29">
        <v>17072.999999999342</v>
      </c>
      <c r="D30" s="30">
        <f t="shared" si="3"/>
        <v>1288.9999999988722</v>
      </c>
      <c r="E30" s="29">
        <v>1330</v>
      </c>
      <c r="F30" s="30">
        <f t="shared" si="1"/>
        <v>58</v>
      </c>
      <c r="G30" s="29">
        <v>293</v>
      </c>
      <c r="H30" s="30">
        <f t="shared" si="2"/>
        <v>14</v>
      </c>
      <c r="I30" s="12"/>
      <c r="J30" s="12"/>
    </row>
    <row r="31" spans="1:10" ht="45" customHeight="1" x14ac:dyDescent="0.15">
      <c r="A31" s="28">
        <v>44588</v>
      </c>
      <c r="B31" s="36"/>
      <c r="C31" s="29">
        <v>16681.999999999302</v>
      </c>
      <c r="D31" s="30" t="str">
        <f t="shared" si="3"/>
        <v>0</v>
      </c>
      <c r="E31" s="29">
        <v>1383</v>
      </c>
      <c r="F31" s="30">
        <f t="shared" si="1"/>
        <v>53</v>
      </c>
      <c r="G31" s="29">
        <v>273</v>
      </c>
      <c r="H31" s="30" t="str">
        <f t="shared" si="2"/>
        <v>0</v>
      </c>
      <c r="I31" s="12"/>
      <c r="J31" s="12"/>
    </row>
    <row r="32" spans="1:10" ht="45" customHeight="1" x14ac:dyDescent="0.15">
      <c r="A32" s="28">
        <v>44589</v>
      </c>
      <c r="B32" s="36"/>
      <c r="C32" s="29">
        <v>14862.000000001695</v>
      </c>
      <c r="D32" s="30" t="str">
        <f t="shared" si="3"/>
        <v>0</v>
      </c>
      <c r="E32" s="29">
        <v>1388</v>
      </c>
      <c r="F32" s="30">
        <f t="shared" si="1"/>
        <v>5</v>
      </c>
      <c r="G32" s="29">
        <v>281</v>
      </c>
      <c r="H32" s="30">
        <f t="shared" si="2"/>
        <v>8</v>
      </c>
      <c r="I32" s="12"/>
      <c r="J32" s="12"/>
    </row>
    <row r="33" spans="1:10" ht="36" customHeight="1" x14ac:dyDescent="0.15">
      <c r="A33" s="28">
        <v>44194</v>
      </c>
      <c r="C33" s="29">
        <v>0</v>
      </c>
      <c r="D33" s="30" t="str">
        <f t="shared" ref="D24:D35" si="4">IF((C33-C32&lt;0), "0",C33-C32)</f>
        <v>0</v>
      </c>
      <c r="E33" s="29">
        <v>0</v>
      </c>
      <c r="F33" s="30" t="str">
        <f t="shared" ref="F6:F35" si="5">IF((E33-E32&lt;0), "0",E33-E32)</f>
        <v>0</v>
      </c>
      <c r="G33" s="29">
        <v>0</v>
      </c>
      <c r="H33" s="30" t="str">
        <f t="shared" ref="H6:H35" si="6">IF((G33-G32&lt;0), "0",G33-G32)</f>
        <v>0</v>
      </c>
      <c r="I33" s="12"/>
      <c r="J33" s="12"/>
    </row>
    <row r="34" spans="1:10" ht="45.6" customHeight="1" x14ac:dyDescent="0.15">
      <c r="A34" s="28">
        <v>44195</v>
      </c>
      <c r="C34" s="29">
        <v>0</v>
      </c>
      <c r="D34" s="30">
        <f t="shared" si="4"/>
        <v>0</v>
      </c>
      <c r="E34" s="29">
        <v>0</v>
      </c>
      <c r="F34" s="30">
        <f t="shared" si="5"/>
        <v>0</v>
      </c>
      <c r="G34" s="29">
        <v>0</v>
      </c>
      <c r="H34" s="30">
        <f t="shared" si="6"/>
        <v>0</v>
      </c>
      <c r="I34" s="12"/>
      <c r="J34" s="12"/>
    </row>
    <row r="35" spans="1:10" ht="47.45" customHeight="1" x14ac:dyDescent="0.15">
      <c r="A35" s="28">
        <v>44196</v>
      </c>
      <c r="C35" s="29">
        <v>0</v>
      </c>
      <c r="D35" s="30">
        <f t="shared" si="4"/>
        <v>0</v>
      </c>
      <c r="E35" s="29">
        <v>0</v>
      </c>
      <c r="F35" s="30">
        <f t="shared" si="5"/>
        <v>0</v>
      </c>
      <c r="G35" s="29">
        <v>0</v>
      </c>
      <c r="H35" s="30">
        <f t="shared" si="6"/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2023-02-22T07:39:05Z</dcterms:modified>
</cp:coreProperties>
</file>