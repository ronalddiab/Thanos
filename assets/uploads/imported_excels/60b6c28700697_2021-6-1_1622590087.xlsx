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-120" yWindow="-120" windowWidth="29040" windowHeight="15840" tabRatio="598" activeTab="4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2" l="1"/>
  <c r="T6" i="2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4" i="2"/>
  <c r="P5" i="2"/>
  <c r="P6" i="2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4" i="2"/>
  <c r="N5" i="2"/>
  <c r="N6" i="2"/>
  <c r="N7" i="2"/>
  <c r="N8" i="2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4" i="2"/>
  <c r="L5" i="2"/>
  <c r="L6" i="2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4" i="2"/>
  <c r="H5" i="2"/>
  <c r="H6" i="2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4" i="2"/>
  <c r="F5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4" i="2"/>
  <c r="D5" i="2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4" i="2"/>
  <c r="B5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4" i="2"/>
  <c r="U3" i="2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J3" i="3" s="1"/>
  <c r="K3" i="3" s="1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Z3" i="4" s="1"/>
  <c r="AA3" i="4" s="1"/>
  <c r="Q3" i="4"/>
  <c r="O3" i="4"/>
  <c r="X3" i="4" s="1"/>
  <c r="M3" i="4"/>
  <c r="K3" i="4"/>
  <c r="H3" i="4"/>
  <c r="I3" i="4" s="1"/>
  <c r="F3" i="4"/>
  <c r="D3" i="4"/>
  <c r="T3" i="1" l="1"/>
  <c r="U3" i="1" s="1"/>
  <c r="Y3" i="4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S7" i="1"/>
  <c r="S23" i="1"/>
  <c r="R4" i="1"/>
  <c r="S4" i="1" s="1"/>
  <c r="R5" i="1"/>
  <c r="S5" i="1" s="1"/>
  <c r="R6" i="1"/>
  <c r="S6" i="1" s="1"/>
  <c r="R7" i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O33" i="1"/>
  <c r="P33" i="1" s="1"/>
  <c r="O4" i="1"/>
  <c r="P4" i="1" s="1"/>
  <c r="O5" i="1"/>
  <c r="O6" i="1"/>
  <c r="P6" i="1" s="1"/>
  <c r="O7" i="1"/>
  <c r="P7" i="1" s="1"/>
  <c r="O8" i="1"/>
  <c r="O9" i="1"/>
  <c r="O10" i="1"/>
  <c r="P10" i="1" s="1"/>
  <c r="O11" i="1"/>
  <c r="P11" i="1" s="1"/>
  <c r="O12" i="1"/>
  <c r="P12" i="1" s="1"/>
  <c r="O13" i="1"/>
  <c r="O14" i="1"/>
  <c r="P14" i="1" s="1"/>
  <c r="O15" i="1"/>
  <c r="O16" i="1"/>
  <c r="O17" i="1"/>
  <c r="O18" i="1"/>
  <c r="P18" i="1" s="1"/>
  <c r="O19" i="1"/>
  <c r="P19" i="1" s="1"/>
  <c r="O20" i="1"/>
  <c r="P20" i="1" s="1"/>
  <c r="O21" i="1"/>
  <c r="O22" i="1"/>
  <c r="P22" i="1" s="1"/>
  <c r="O23" i="1"/>
  <c r="P23" i="1" s="1"/>
  <c r="O24" i="1"/>
  <c r="O25" i="1"/>
  <c r="O26" i="1"/>
  <c r="P26" i="1" s="1"/>
  <c r="O27" i="1"/>
  <c r="P27" i="1" s="1"/>
  <c r="O28" i="1"/>
  <c r="P28" i="1" s="1"/>
  <c r="O29" i="1"/>
  <c r="P5" i="1"/>
  <c r="P8" i="1"/>
  <c r="P9" i="1"/>
  <c r="P13" i="1"/>
  <c r="P15" i="1"/>
  <c r="P16" i="1"/>
  <c r="P17" i="1"/>
  <c r="P21" i="1"/>
  <c r="P24" i="1"/>
  <c r="P25" i="1"/>
  <c r="P29" i="1"/>
  <c r="P32" i="1"/>
  <c r="L4" i="1"/>
  <c r="M4" i="1" s="1"/>
  <c r="L5" i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L14" i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L22" i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L30" i="1"/>
  <c r="L31" i="1"/>
  <c r="M31" i="1" s="1"/>
  <c r="L32" i="1"/>
  <c r="M32" i="1" s="1"/>
  <c r="L33" i="1"/>
  <c r="M33" i="1" s="1"/>
  <c r="M5" i="1"/>
  <c r="M6" i="1"/>
  <c r="M13" i="1"/>
  <c r="M14" i="1"/>
  <c r="M21" i="1"/>
  <c r="M22" i="1"/>
  <c r="M29" i="1"/>
  <c r="M30" i="1"/>
  <c r="I4" i="1"/>
  <c r="J4" i="1" s="1"/>
  <c r="I5" i="1"/>
  <c r="J5" i="1" s="1"/>
  <c r="I6" i="1"/>
  <c r="J6" i="1" s="1"/>
  <c r="I7" i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I19" i="1"/>
  <c r="J19" i="1" s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J30" i="1" s="1"/>
  <c r="I31" i="1"/>
  <c r="J7" i="1"/>
  <c r="J10" i="1"/>
  <c r="J15" i="1"/>
  <c r="J18" i="1"/>
  <c r="J23" i="1"/>
  <c r="J26" i="1"/>
  <c r="J31" i="1"/>
  <c r="F4" i="1"/>
  <c r="F5" i="1"/>
  <c r="G5" i="1" s="1"/>
  <c r="F6" i="1"/>
  <c r="F7" i="1"/>
  <c r="G7" i="1" s="1"/>
  <c r="F8" i="1"/>
  <c r="G8" i="1" s="1"/>
  <c r="F9" i="1"/>
  <c r="G9" i="1" s="1"/>
  <c r="F10" i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F19" i="1"/>
  <c r="G19" i="1" s="1"/>
  <c r="F20" i="1"/>
  <c r="F21" i="1"/>
  <c r="G21" i="1" s="1"/>
  <c r="F22" i="1"/>
  <c r="F23" i="1"/>
  <c r="G23" i="1" s="1"/>
  <c r="F24" i="1"/>
  <c r="G24" i="1" s="1"/>
  <c r="F25" i="1"/>
  <c r="G25" i="1" s="1"/>
  <c r="F26" i="1"/>
  <c r="F27" i="1"/>
  <c r="G27" i="1" s="1"/>
  <c r="F28" i="1"/>
  <c r="G28" i="1" s="1"/>
  <c r="F29" i="1"/>
  <c r="G29" i="1" s="1"/>
  <c r="F30" i="1"/>
  <c r="G30" i="1" s="1"/>
  <c r="F33" i="1"/>
  <c r="G33" i="1" s="1"/>
  <c r="G6" i="1"/>
  <c r="G10" i="1"/>
  <c r="G18" i="1"/>
  <c r="G20" i="1"/>
  <c r="G22" i="1"/>
  <c r="G26" i="1"/>
  <c r="D7" i="1"/>
  <c r="D16" i="1"/>
  <c r="D23" i="1"/>
  <c r="C5" i="1"/>
  <c r="D5" i="1" s="1"/>
  <c r="C6" i="1"/>
  <c r="D6" i="1" s="1"/>
  <c r="C7" i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<sst xmlns="http://schemas.openxmlformats.org/spreadsheetml/2006/main" count="441" uniqueCount="144">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</sst>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B2" sqref="B2:C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6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74520.160132000005</v>
      </c>
      <c r="F2" s="162">
        <v>1.27</v>
      </c>
      <c r="G2" s="47">
        <f>Gas!C3*0.9147</f>
        <v>1737.9299999999998</v>
      </c>
      <c r="H2" s="163">
        <v>3.65</v>
      </c>
      <c r="I2" s="164">
        <f>Submetering!H2+Submetering!AD2+Submetering!AE2</f>
        <v>1236</v>
      </c>
      <c r="J2" s="165">
        <v>10.029999999999999</v>
      </c>
      <c r="K2" s="47">
        <f>ELECT.!B3</f>
        <v>110</v>
      </c>
    </row>
    <row r="3" spans="1:14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0</v>
      </c>
      <c r="F3" s="162">
        <v>1.27</v>
      </c>
      <c r="G3" s="47">
        <f>Gas!C4*0.9147</f>
        <v>0</v>
      </c>
      <c r="H3" s="163">
        <v>3.65</v>
      </c>
      <c r="I3" s="165">
        <f>Submetering!H3+Submetering!AD3+Submetering!AE3</f>
        <v>-194</v>
      </c>
      <c r="J3" s="165">
        <v>10.029999999999999</v>
      </c>
      <c r="K3" s="47">
        <f>ELECT.!B4</f>
        <v>0</v>
      </c>
    </row>
    <row r="4" spans="1:14" x14ac:dyDescent="0.2">
      <c r="A4" s="58" t="s">
        <v>53</v>
      </c>
      <c r="B4" s="63">
        <f t="shared" ref="B4:B31" si="0">B3+1</f>
        <v>3</v>
      </c>
      <c r="C4" s="63">
        <v>6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0</v>
      </c>
      <c r="F4" s="162">
        <v>1.27</v>
      </c>
      <c r="G4" s="47">
        <f>Gas!C5*0.9147</f>
        <v>0</v>
      </c>
      <c r="H4" s="163">
        <v>3.65</v>
      </c>
      <c r="I4" s="165">
        <f>Submetering!H4+Submetering!AD4+Submetering!AE4</f>
        <v>-194</v>
      </c>
      <c r="J4" s="165">
        <v>10.029999999999999</v>
      </c>
      <c r="K4" s="47">
        <f>ELECT.!B5</f>
        <v>0</v>
      </c>
    </row>
    <row r="5" spans="1:14" x14ac:dyDescent="0.2">
      <c r="A5" s="58" t="s">
        <v>53</v>
      </c>
      <c r="B5" s="63">
        <f t="shared" si="0"/>
        <v>4</v>
      </c>
      <c r="C5" s="63">
        <v>6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62">
        <v>1.27</v>
      </c>
      <c r="G5" s="47">
        <f>Gas!C6*0.9147</f>
        <v>0</v>
      </c>
      <c r="H5" s="163">
        <v>3.65</v>
      </c>
      <c r="I5" s="165">
        <f>Submetering!H5+Submetering!AD5+Submetering!AE5</f>
        <v>-194</v>
      </c>
      <c r="J5" s="165">
        <v>10.029999999999999</v>
      </c>
      <c r="K5" s="47">
        <f>ELECT.!B6</f>
        <v>0</v>
      </c>
    </row>
    <row r="6" spans="1:14" x14ac:dyDescent="0.2">
      <c r="A6" s="58" t="s">
        <v>53</v>
      </c>
      <c r="B6" s="63">
        <f t="shared" si="0"/>
        <v>5</v>
      </c>
      <c r="C6" s="63">
        <v>6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62">
        <v>1.27</v>
      </c>
      <c r="G6" s="47">
        <f>Gas!C7*0.9147</f>
        <v>0</v>
      </c>
      <c r="H6" s="163">
        <v>3.65</v>
      </c>
      <c r="I6" s="165">
        <f>Submetering!H6+Submetering!AD6+Submetering!AE6</f>
        <v>-194</v>
      </c>
      <c r="J6" s="165">
        <v>10.029999999999999</v>
      </c>
      <c r="K6" s="47">
        <f>ELECT.!B7</f>
        <v>0</v>
      </c>
    </row>
    <row r="7" spans="1:14" x14ac:dyDescent="0.2">
      <c r="A7" s="58" t="s">
        <v>53</v>
      </c>
      <c r="B7" s="63">
        <f t="shared" si="0"/>
        <v>6</v>
      </c>
      <c r="C7" s="63">
        <v>6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62">
        <v>1.27</v>
      </c>
      <c r="G7" s="47">
        <f>Gas!C8*0.9147</f>
        <v>0</v>
      </c>
      <c r="H7" s="163">
        <v>3.65</v>
      </c>
      <c r="I7" s="165">
        <f>Submetering!H7+Submetering!AD7+Submetering!AE7</f>
        <v>-194</v>
      </c>
      <c r="J7" s="165">
        <v>10.029999999999999</v>
      </c>
      <c r="K7" s="47">
        <f>ELECT.!B8</f>
        <v>0</v>
      </c>
    </row>
    <row r="8" spans="1:14" x14ac:dyDescent="0.2">
      <c r="A8" s="58" t="s">
        <v>53</v>
      </c>
      <c r="B8" s="63">
        <f t="shared" si="0"/>
        <v>7</v>
      </c>
      <c r="C8" s="63">
        <v>6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62">
        <v>1.27</v>
      </c>
      <c r="G8" s="47">
        <f>Gas!C9*0.9147</f>
        <v>0</v>
      </c>
      <c r="H8" s="163">
        <v>3.65</v>
      </c>
      <c r="I8" s="165">
        <f>Submetering!H8+Submetering!AD8+Submetering!AE8</f>
        <v>-194</v>
      </c>
      <c r="J8" s="165">
        <v>10.029999999999999</v>
      </c>
      <c r="K8" s="47">
        <f>ELECT.!B9</f>
        <v>0</v>
      </c>
    </row>
    <row r="9" spans="1:14" x14ac:dyDescent="0.2">
      <c r="A9" s="58" t="s">
        <v>53</v>
      </c>
      <c r="B9" s="63">
        <f t="shared" si="0"/>
        <v>8</v>
      </c>
      <c r="C9" s="63">
        <v>6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62">
        <v>1.27</v>
      </c>
      <c r="G9" s="47">
        <f>Gas!C10*0.9147</f>
        <v>0</v>
      </c>
      <c r="H9" s="163">
        <v>3.65</v>
      </c>
      <c r="I9" s="165">
        <f>Submetering!H9+Submetering!AD9+Submetering!AE9</f>
        <v>-194</v>
      </c>
      <c r="J9" s="165">
        <v>10.029999999999999</v>
      </c>
      <c r="K9" s="47">
        <f>ELECT.!B10</f>
        <v>0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6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62">
        <v>1.27</v>
      </c>
      <c r="G10" s="47">
        <f>Gas!C11*0.9147</f>
        <v>0</v>
      </c>
      <c r="H10" s="163">
        <v>3.65</v>
      </c>
      <c r="I10" s="165">
        <f>Submetering!H10+Submetering!AD10+Submetering!AE10</f>
        <v>-194</v>
      </c>
      <c r="J10" s="165">
        <v>10.029999999999999</v>
      </c>
      <c r="K10" s="47">
        <f>ELECT.!B11</f>
        <v>0</v>
      </c>
    </row>
    <row r="11" spans="1:14" x14ac:dyDescent="0.2">
      <c r="A11" s="58" t="s">
        <v>53</v>
      </c>
      <c r="B11" s="63">
        <f t="shared" si="0"/>
        <v>10</v>
      </c>
      <c r="C11" s="63">
        <v>6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62">
        <v>1.27</v>
      </c>
      <c r="G11" s="47">
        <f>Gas!C12*0.9147</f>
        <v>0</v>
      </c>
      <c r="H11" s="163">
        <v>3.65</v>
      </c>
      <c r="I11" s="165">
        <f>Submetering!H11+Submetering!AD11+Submetering!AE11</f>
        <v>-194</v>
      </c>
      <c r="J11" s="165">
        <v>10.029999999999999</v>
      </c>
      <c r="K11" s="47">
        <f>ELECT.!B12</f>
        <v>0</v>
      </c>
    </row>
    <row r="12" spans="1:14" x14ac:dyDescent="0.2">
      <c r="A12" s="58" t="s">
        <v>53</v>
      </c>
      <c r="B12" s="63">
        <f t="shared" si="0"/>
        <v>11</v>
      </c>
      <c r="C12" s="63">
        <v>6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62">
        <v>1.27</v>
      </c>
      <c r="G12" s="47">
        <f>Gas!C13*0.9147</f>
        <v>0</v>
      </c>
      <c r="H12" s="163">
        <v>3.65</v>
      </c>
      <c r="I12" s="165">
        <f>Submetering!H12+Submetering!AD12+Submetering!AE12</f>
        <v>-194</v>
      </c>
      <c r="J12" s="165">
        <v>10.029999999999999</v>
      </c>
      <c r="K12" s="47">
        <f>ELECT.!B13</f>
        <v>0</v>
      </c>
    </row>
    <row r="13" spans="1:14" x14ac:dyDescent="0.2">
      <c r="A13" s="58" t="s">
        <v>53</v>
      </c>
      <c r="B13" s="63">
        <f t="shared" si="0"/>
        <v>12</v>
      </c>
      <c r="C13" s="63">
        <v>6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62">
        <v>1.27</v>
      </c>
      <c r="G13" s="47">
        <f>Gas!C14*0.9147</f>
        <v>0</v>
      </c>
      <c r="H13" s="163">
        <v>3.65</v>
      </c>
      <c r="I13" s="165">
        <f>Submetering!H13+Submetering!AD13+Submetering!AE13</f>
        <v>-194</v>
      </c>
      <c r="J13" s="165">
        <v>10.029999999999999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6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62">
        <v>1.27</v>
      </c>
      <c r="G14" s="47">
        <f>Gas!C15*0.9147</f>
        <v>0</v>
      </c>
      <c r="H14" s="163">
        <v>3.65</v>
      </c>
      <c r="I14" s="165">
        <f>Submetering!H14+Submetering!AD14+Submetering!AE14</f>
        <v>-194</v>
      </c>
      <c r="J14" s="165">
        <v>10.029999999999999</v>
      </c>
      <c r="K14" s="47">
        <f>ELECT.!B15</f>
        <v>0</v>
      </c>
    </row>
    <row r="15" spans="1:14" x14ac:dyDescent="0.2">
      <c r="A15" s="58" t="s">
        <v>53</v>
      </c>
      <c r="B15" s="63">
        <f t="shared" si="0"/>
        <v>14</v>
      </c>
      <c r="C15" s="63">
        <v>6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62">
        <v>1.27</v>
      </c>
      <c r="G15" s="47">
        <f>Gas!C16*0.9147</f>
        <v>0</v>
      </c>
      <c r="H15" s="163">
        <v>3.65</v>
      </c>
      <c r="I15" s="165">
        <f>Submetering!H15+Submetering!AD15+Submetering!AE15</f>
        <v>-194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6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62">
        <v>1.27</v>
      </c>
      <c r="G16" s="47">
        <f>Gas!C17*0.9147</f>
        <v>0</v>
      </c>
      <c r="H16" s="163">
        <v>3.65</v>
      </c>
      <c r="I16" s="165">
        <f>Submetering!H16+Submetering!AD16+Submetering!AE16</f>
        <v>-194</v>
      </c>
      <c r="J16" s="165">
        <v>10.029999999999999</v>
      </c>
      <c r="K16" s="47">
        <f>ELECT.!B17</f>
        <v>0</v>
      </c>
    </row>
    <row r="17" spans="1:13" x14ac:dyDescent="0.2">
      <c r="A17" s="58" t="s">
        <v>53</v>
      </c>
      <c r="B17" s="63">
        <f t="shared" si="0"/>
        <v>16</v>
      </c>
      <c r="C17" s="63">
        <v>6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62">
        <v>1.27</v>
      </c>
      <c r="G17" s="47">
        <f>Gas!C18*0.9147</f>
        <v>0</v>
      </c>
      <c r="H17" s="163">
        <v>3.65</v>
      </c>
      <c r="I17" s="165">
        <f>Submetering!H17+Submetering!AD17+Submetering!AE17</f>
        <v>-194</v>
      </c>
      <c r="J17" s="165">
        <v>10.029999999999999</v>
      </c>
      <c r="K17" s="47">
        <f>ELECT.!B18</f>
        <v>0</v>
      </c>
    </row>
    <row r="18" spans="1:13" x14ac:dyDescent="0.2">
      <c r="A18" s="58" t="s">
        <v>53</v>
      </c>
      <c r="B18" s="63">
        <f t="shared" si="0"/>
        <v>17</v>
      </c>
      <c r="C18" s="63">
        <v>6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62">
        <v>1.27</v>
      </c>
      <c r="G18" s="47">
        <f>Gas!C19*0.9147</f>
        <v>0</v>
      </c>
      <c r="H18" s="163">
        <v>3.65</v>
      </c>
      <c r="I18" s="165">
        <f>Submetering!H18+Submetering!AD18+Submetering!AE18</f>
        <v>-194</v>
      </c>
      <c r="J18" s="165">
        <v>10.029999999999999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6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62">
        <v>1.27</v>
      </c>
      <c r="G19" s="47">
        <f>Gas!C20*0.9147</f>
        <v>0</v>
      </c>
      <c r="H19" s="163">
        <v>3.65</v>
      </c>
      <c r="I19" s="165">
        <f>Submetering!H19+Submetering!AD19+Submetering!AE19</f>
        <v>-194</v>
      </c>
      <c r="J19" s="165">
        <v>10.029999999999999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6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2">
        <v>1.27</v>
      </c>
      <c r="G20" s="47">
        <f>Gas!C21*0.9147</f>
        <v>0</v>
      </c>
      <c r="H20" s="163">
        <v>3.65</v>
      </c>
      <c r="I20" s="165">
        <f>Submetering!H20+Submetering!AD20+Submetering!AE20</f>
        <v>-194</v>
      </c>
      <c r="J20" s="165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6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2">
        <v>1.27</v>
      </c>
      <c r="G21" s="47">
        <f>Gas!C22*0.9147</f>
        <v>0</v>
      </c>
      <c r="H21" s="163">
        <v>3.65</v>
      </c>
      <c r="I21" s="165">
        <f>Submetering!H21+Submetering!AD21+Submetering!AE21</f>
        <v>-194</v>
      </c>
      <c r="J21" s="165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6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2">
        <v>1.27</v>
      </c>
      <c r="G22" s="47">
        <f>Gas!C23*0.9147</f>
        <v>0</v>
      </c>
      <c r="H22" s="163">
        <v>3.65</v>
      </c>
      <c r="I22" s="165">
        <f>Submetering!H22+Submetering!AD22+Submetering!AE22</f>
        <v>-194</v>
      </c>
      <c r="J22" s="165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6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6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6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6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6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6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6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6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48" sqref="E48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6</v>
      </c>
      <c r="D2" s="63">
        <v>2021</v>
      </c>
      <c r="E2" s="47">
        <f>Water!C3</f>
        <v>1430</v>
      </c>
      <c r="F2" s="47">
        <f>Water!E3</f>
        <v>0</v>
      </c>
      <c r="G2" s="47">
        <f>Water!G3</f>
        <v>337.5</v>
      </c>
      <c r="H2" s="47">
        <f>Water!I3</f>
        <v>3.2130000000000001</v>
      </c>
      <c r="I2" s="47">
        <f>ELECT.!F3</f>
        <v>16431</v>
      </c>
      <c r="J2" s="47">
        <f>ELECT.!H3</f>
        <v>61587</v>
      </c>
      <c r="K2" s="47">
        <f>ELECT.!K3</f>
        <v>7453</v>
      </c>
      <c r="L2" s="47">
        <f>ELECT.!M3</f>
        <v>5340</v>
      </c>
      <c r="M2" s="47">
        <f>ELECT.!O3</f>
        <v>10896</v>
      </c>
      <c r="N2" s="47">
        <f>ELECT.!Q3</f>
        <v>13693</v>
      </c>
      <c r="O2" s="47">
        <f>ELECT.!S3</f>
        <v>11727</v>
      </c>
      <c r="P2" s="47">
        <f>ELECT.!W3*2</f>
        <v>27196</v>
      </c>
      <c r="Q2" s="47">
        <f>ELECT.!D3</f>
        <v>480</v>
      </c>
      <c r="R2" s="48">
        <f>BTU!C3</f>
        <v>10.165000000000873</v>
      </c>
      <c r="S2" s="48">
        <f>BTU!F3</f>
        <v>2.887000000000171</v>
      </c>
      <c r="T2" s="48">
        <f>BTU!I3</f>
        <v>9</v>
      </c>
      <c r="U2" s="48">
        <f>BTU!O3</f>
        <v>1.2550000000001091</v>
      </c>
      <c r="V2" s="48">
        <f>BTU!L3</f>
        <v>2.2700000000004366</v>
      </c>
      <c r="W2" s="48">
        <f>BTU!R3</f>
        <v>4.1700000000000728</v>
      </c>
      <c r="X2" s="45">
        <f>ELECT.!B3</f>
        <v>110</v>
      </c>
      <c r="Y2" s="45">
        <f>I2+J2-(K2+L2+M2+N2+O2+P2)</f>
        <v>1713</v>
      </c>
      <c r="Z2">
        <f>'Mall, Citadel, Rotana'!C3+'Mall, Citadel, Rotana'!E3+'Mall, Citadel, Rotana'!G3+'Mall, Citadel, Rotana'!I3</f>
        <v>1557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149</v>
      </c>
      <c r="AD2" s="45">
        <f>(E2-H2-194)*0.1318</f>
        <v>162.48132660000002</v>
      </c>
      <c r="AE2" s="45">
        <f>E2-H2-AD2-194</f>
        <v>1070.3056733999999</v>
      </c>
    </row>
    <row r="3" spans="1:31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Water!C4</f>
        <v>0</v>
      </c>
      <c r="F3" s="47">
        <f>Water!E4</f>
        <v>0</v>
      </c>
      <c r="G3" s="47">
        <f>Water!G4</f>
        <v>0</v>
      </c>
      <c r="H3" s="47">
        <f>Water!I4</f>
        <v>0</v>
      </c>
      <c r="I3" s="47" t="str">
        <f>ELECT.!F4</f>
        <v>0</v>
      </c>
      <c r="J3" s="47" t="str">
        <f>ELECT.!H4</f>
        <v>0</v>
      </c>
      <c r="K3" s="47" t="str">
        <f>ELECT.!K4</f>
        <v>0</v>
      </c>
      <c r="L3" s="47" t="str">
        <f>ELECT.!M4</f>
        <v>0</v>
      </c>
      <c r="M3" s="47">
        <f>ELECT.!O4</f>
        <v>0</v>
      </c>
      <c r="N3" s="47" t="str">
        <f>ELECT.!Q4</f>
        <v>0</v>
      </c>
      <c r="O3" s="47" t="str">
        <f>ELECT.!S4</f>
        <v>0</v>
      </c>
      <c r="P3" s="47">
        <f>ELECT.!W4*2</f>
        <v>0</v>
      </c>
      <c r="Q3" s="47">
        <f>ELECT.!D4</f>
        <v>0</v>
      </c>
      <c r="R3" s="48" t="str">
        <f>BTU!C4</f>
        <v>0</v>
      </c>
      <c r="S3" s="48" t="str">
        <f>BTU!F4</f>
        <v>0</v>
      </c>
      <c r="T3" s="48" t="str">
        <f>BTU!I4</f>
        <v>0</v>
      </c>
      <c r="U3" s="48" t="str">
        <f>BTU!O4</f>
        <v>0</v>
      </c>
      <c r="V3" s="48" t="str">
        <f>BTU!L4</f>
        <v>0</v>
      </c>
      <c r="W3" s="48" t="str">
        <f>BTU!R4</f>
        <v>0</v>
      </c>
      <c r="X3" s="45">
        <f>ELECT.!B4</f>
        <v>0</v>
      </c>
      <c r="Y3" s="45">
        <f t="shared" ref="Y3:Y31" si="0">I3+J3-(K3+L3+M3+N3+O3+P3)</f>
        <v>0</v>
      </c>
      <c r="Z3">
        <f>'Mall, Citadel, Rotana'!C4+'Mall, Citadel, Rotana'!E4+'Mall, Citadel, Rotana'!G4+'Mall, Citadel, Rotana'!I4</f>
        <v>0</v>
      </c>
      <c r="AA3">
        <f>'Mall, Citadel, Rotana'!K4+'Mall, Citadel, Rotana'!M4</f>
        <v>0</v>
      </c>
      <c r="AB3">
        <f>'Mall, Citadel, Rotana'!O4</f>
        <v>0</v>
      </c>
      <c r="AC3">
        <f>'Mall, Citadel, Rotana'!Q4+'Mall, Citadel, Rotana'!S4</f>
        <v>0</v>
      </c>
      <c r="AD3" s="45">
        <f t="shared" ref="AD3:AD31" si="1">(E3-H3-194)*0.1318</f>
        <v>-25.569199999999999</v>
      </c>
      <c r="AE3" s="45">
        <f t="shared" ref="AE3:AE31" si="2">E3-H3-AD3-194</f>
        <v>-168.4308</v>
      </c>
    </row>
    <row r="4" spans="1:31" x14ac:dyDescent="0.2">
      <c r="A4" s="58" t="s">
        <v>53</v>
      </c>
      <c r="B4" s="63">
        <f t="shared" ref="B4:B31" si="3">B3+1</f>
        <v>3</v>
      </c>
      <c r="C4" s="63">
        <v>6</v>
      </c>
      <c r="D4" s="63">
        <v>2021</v>
      </c>
      <c r="E4" s="47">
        <f>Water!C5</f>
        <v>0</v>
      </c>
      <c r="F4" s="47">
        <f>Water!E5</f>
        <v>0</v>
      </c>
      <c r="G4" s="47">
        <f>Water!G5</f>
        <v>0</v>
      </c>
      <c r="H4" s="47">
        <f>Water!I5</f>
        <v>0</v>
      </c>
      <c r="I4" s="47">
        <f>ELECT.!F5</f>
        <v>0</v>
      </c>
      <c r="J4" s="47">
        <f>ELECT.!H5</f>
        <v>0</v>
      </c>
      <c r="K4" s="47">
        <f>ELECT.!K5</f>
        <v>0</v>
      </c>
      <c r="L4" s="47">
        <f>ELECT.!M5</f>
        <v>0</v>
      </c>
      <c r="M4" s="47">
        <f>ELECT.!O5</f>
        <v>0</v>
      </c>
      <c r="N4" s="47">
        <f>ELECT.!Q5</f>
        <v>0</v>
      </c>
      <c r="O4" s="47">
        <f>ELECT.!S5</f>
        <v>0</v>
      </c>
      <c r="P4" s="47">
        <f>ELECT.!W5*2</f>
        <v>0</v>
      </c>
      <c r="Q4" s="47">
        <f>ELECT.!D5</f>
        <v>0</v>
      </c>
      <c r="R4" s="48">
        <f>BTU!C5</f>
        <v>0</v>
      </c>
      <c r="S4" s="48">
        <f>BTU!F5</f>
        <v>0</v>
      </c>
      <c r="T4" s="48">
        <f>BTU!I5</f>
        <v>0</v>
      </c>
      <c r="U4" s="48">
        <f>BTU!O5</f>
        <v>0</v>
      </c>
      <c r="V4" s="48">
        <f>BTU!L5</f>
        <v>0</v>
      </c>
      <c r="W4" s="48">
        <f>BTU!R5</f>
        <v>0</v>
      </c>
      <c r="X4" s="45">
        <f>ELECT.!B5</f>
        <v>0</v>
      </c>
      <c r="Y4" s="45">
        <f t="shared" si="0"/>
        <v>0</v>
      </c>
      <c r="Z4">
        <f>'Mall, Citadel, Rotana'!C5+'Mall, Citadel, Rotana'!E5+'Mall, Citadel, Rotana'!G5+'Mall, Citadel, Rotana'!I5</f>
        <v>0</v>
      </c>
      <c r="AA4">
        <f>'Mall, Citadel, Rotana'!K5+'Mall, Citadel, Rotana'!M5</f>
        <v>0</v>
      </c>
      <c r="AB4">
        <f>'Mall, Citadel, Rotana'!O5</f>
        <v>0</v>
      </c>
      <c r="AC4">
        <f>'Mall, Citadel, Rotana'!Q5+'Mall, Citadel, Rotana'!S5</f>
        <v>0</v>
      </c>
      <c r="AD4" s="45">
        <f t="shared" si="1"/>
        <v>-25.569199999999999</v>
      </c>
      <c r="AE4" s="45">
        <f t="shared" si="2"/>
        <v>-168.4308</v>
      </c>
    </row>
    <row r="5" spans="1:31" x14ac:dyDescent="0.2">
      <c r="A5" s="58" t="s">
        <v>53</v>
      </c>
      <c r="B5" s="63">
        <f t="shared" si="3"/>
        <v>4</v>
      </c>
      <c r="C5" s="63">
        <v>6</v>
      </c>
      <c r="D5" s="63">
        <v>2021</v>
      </c>
      <c r="E5" s="47">
        <f>Water!C6</f>
        <v>0</v>
      </c>
      <c r="F5" s="47">
        <f>Water!E6</f>
        <v>0</v>
      </c>
      <c r="G5" s="47">
        <f>Water!G6</f>
        <v>0</v>
      </c>
      <c r="H5" s="47">
        <f>Water!I6</f>
        <v>0</v>
      </c>
      <c r="I5" s="47">
        <f>ELECT.!F6</f>
        <v>0</v>
      </c>
      <c r="J5" s="47">
        <f>ELECT.!H6</f>
        <v>0</v>
      </c>
      <c r="K5" s="47">
        <f>ELECT.!K6</f>
        <v>0</v>
      </c>
      <c r="L5" s="47">
        <f>ELECT.!M6</f>
        <v>0</v>
      </c>
      <c r="M5" s="47">
        <f>ELECT.!O6</f>
        <v>0</v>
      </c>
      <c r="N5" s="47">
        <f>ELECT.!Q6</f>
        <v>0</v>
      </c>
      <c r="O5" s="47">
        <f>ELECT.!S6</f>
        <v>0</v>
      </c>
      <c r="P5" s="47">
        <f>ELECT.!W6*2</f>
        <v>0</v>
      </c>
      <c r="Q5" s="47">
        <f>ELECT.!D6</f>
        <v>0</v>
      </c>
      <c r="R5" s="48">
        <f>BTU!C6</f>
        <v>0</v>
      </c>
      <c r="S5" s="48">
        <f>BTU!F6</f>
        <v>0</v>
      </c>
      <c r="T5" s="48">
        <f>BTU!I6</f>
        <v>0</v>
      </c>
      <c r="U5" s="48">
        <f>BTU!O6</f>
        <v>0</v>
      </c>
      <c r="V5" s="48">
        <f>BTU!L6</f>
        <v>0</v>
      </c>
      <c r="W5" s="48">
        <f>BTU!R6</f>
        <v>0</v>
      </c>
      <c r="X5" s="45">
        <f>ELECT.!B6</f>
        <v>0</v>
      </c>
      <c r="Y5" s="45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45">
        <f t="shared" si="1"/>
        <v>-25.569199999999999</v>
      </c>
      <c r="AE5" s="45">
        <f t="shared" si="2"/>
        <v>-168.4308</v>
      </c>
    </row>
    <row r="6" spans="1:31" x14ac:dyDescent="0.2">
      <c r="A6" s="58" t="s">
        <v>53</v>
      </c>
      <c r="B6" s="63">
        <f t="shared" si="3"/>
        <v>5</v>
      </c>
      <c r="C6" s="63">
        <v>6</v>
      </c>
      <c r="D6" s="63">
        <v>2021</v>
      </c>
      <c r="E6" s="47">
        <f>Water!C7</f>
        <v>0</v>
      </c>
      <c r="F6" s="47">
        <f>Water!E7</f>
        <v>0</v>
      </c>
      <c r="G6" s="47">
        <f>Water!G7</f>
        <v>0</v>
      </c>
      <c r="H6" s="47">
        <f>Water!I7</f>
        <v>0</v>
      </c>
      <c r="I6" s="47">
        <f>ELECT.!F7</f>
        <v>0</v>
      </c>
      <c r="J6" s="47">
        <f>ELECT.!H7</f>
        <v>0</v>
      </c>
      <c r="K6" s="47">
        <f>ELECT.!K7</f>
        <v>0</v>
      </c>
      <c r="L6" s="47">
        <f>ELECT.!M7</f>
        <v>0</v>
      </c>
      <c r="M6" s="47">
        <f>ELECT.!O7</f>
        <v>0</v>
      </c>
      <c r="N6" s="47">
        <f>ELECT.!Q7</f>
        <v>0</v>
      </c>
      <c r="O6" s="47">
        <f>ELECT.!S7</f>
        <v>0</v>
      </c>
      <c r="P6" s="47">
        <f>ELECT.!W7*2</f>
        <v>0</v>
      </c>
      <c r="Q6" s="47">
        <f>ELECT.!D7</f>
        <v>0</v>
      </c>
      <c r="R6" s="48">
        <f>BTU!C7</f>
        <v>0</v>
      </c>
      <c r="S6" s="48">
        <f>BTU!F7</f>
        <v>0</v>
      </c>
      <c r="T6" s="48">
        <f>BTU!I7</f>
        <v>0</v>
      </c>
      <c r="U6" s="48">
        <f>BTU!O7</f>
        <v>0</v>
      </c>
      <c r="V6" s="48">
        <f>BTU!L7</f>
        <v>0</v>
      </c>
      <c r="W6" s="48">
        <f>BTU!R7</f>
        <v>0</v>
      </c>
      <c r="X6" s="45">
        <f>ELECT.!B7</f>
        <v>0</v>
      </c>
      <c r="Y6" s="45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45">
        <f t="shared" si="1"/>
        <v>-25.569199999999999</v>
      </c>
      <c r="AE6" s="45">
        <f t="shared" si="2"/>
        <v>-168.4308</v>
      </c>
    </row>
    <row r="7" spans="1:31" x14ac:dyDescent="0.2">
      <c r="A7" s="58" t="s">
        <v>53</v>
      </c>
      <c r="B7" s="63">
        <f t="shared" si="3"/>
        <v>6</v>
      </c>
      <c r="C7" s="63">
        <v>6</v>
      </c>
      <c r="D7" s="63">
        <v>2021</v>
      </c>
      <c r="E7" s="47">
        <f>Water!C8</f>
        <v>0</v>
      </c>
      <c r="F7" s="47">
        <f>Water!E8</f>
        <v>0</v>
      </c>
      <c r="G7" s="47">
        <f>Water!G8</f>
        <v>0</v>
      </c>
      <c r="H7" s="47">
        <f>Water!I8</f>
        <v>0</v>
      </c>
      <c r="I7" s="47">
        <f>ELECT.!F8</f>
        <v>0</v>
      </c>
      <c r="J7" s="47">
        <f>ELECT.!H8</f>
        <v>0</v>
      </c>
      <c r="K7" s="47">
        <f>ELECT.!K8</f>
        <v>0</v>
      </c>
      <c r="L7" s="47">
        <f>ELECT.!M8</f>
        <v>0</v>
      </c>
      <c r="M7" s="47">
        <f>ELECT.!O8</f>
        <v>0</v>
      </c>
      <c r="N7" s="47">
        <f>ELECT.!Q8</f>
        <v>0</v>
      </c>
      <c r="O7" s="47">
        <f>ELECT.!S8</f>
        <v>0</v>
      </c>
      <c r="P7" s="47">
        <f>ELECT.!W8*2</f>
        <v>0</v>
      </c>
      <c r="Q7" s="47">
        <f>ELECT.!D8</f>
        <v>0</v>
      </c>
      <c r="R7" s="48">
        <f>BTU!C8</f>
        <v>0</v>
      </c>
      <c r="S7" s="48">
        <f>BTU!F8</f>
        <v>0</v>
      </c>
      <c r="T7" s="48">
        <f>BTU!I8</f>
        <v>0</v>
      </c>
      <c r="U7" s="48">
        <f>BTU!O8</f>
        <v>0</v>
      </c>
      <c r="V7" s="48">
        <f>BTU!L8</f>
        <v>0</v>
      </c>
      <c r="W7" s="48">
        <f>BTU!R8</f>
        <v>0</v>
      </c>
      <c r="X7" s="45">
        <f>ELECT.!B8</f>
        <v>0</v>
      </c>
      <c r="Y7" s="45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45">
        <f t="shared" si="1"/>
        <v>-25.569199999999999</v>
      </c>
      <c r="AE7" s="45">
        <f t="shared" si="2"/>
        <v>-168.4308</v>
      </c>
    </row>
    <row r="8" spans="1:31" x14ac:dyDescent="0.2">
      <c r="A8" s="58" t="s">
        <v>53</v>
      </c>
      <c r="B8" s="63">
        <f t="shared" si="3"/>
        <v>7</v>
      </c>
      <c r="C8" s="63">
        <v>6</v>
      </c>
      <c r="D8" s="63">
        <v>2021</v>
      </c>
      <c r="E8" s="47">
        <f>Water!C9</f>
        <v>0</v>
      </c>
      <c r="F8" s="47">
        <f>Water!E9</f>
        <v>0</v>
      </c>
      <c r="G8" s="47">
        <f>Water!G9</f>
        <v>0</v>
      </c>
      <c r="H8" s="47">
        <f>Water!I9</f>
        <v>0</v>
      </c>
      <c r="I8" s="47">
        <f>ELECT.!F9</f>
        <v>0</v>
      </c>
      <c r="J8" s="47">
        <f>ELECT.!H9</f>
        <v>0</v>
      </c>
      <c r="K8" s="47">
        <f>ELECT.!K9</f>
        <v>0</v>
      </c>
      <c r="L8" s="47">
        <f>ELECT.!M9</f>
        <v>0</v>
      </c>
      <c r="M8" s="47">
        <f>ELECT.!O9</f>
        <v>0</v>
      </c>
      <c r="N8" s="47">
        <f>ELECT.!Q9</f>
        <v>0</v>
      </c>
      <c r="O8" s="47">
        <f>ELECT.!S9</f>
        <v>0</v>
      </c>
      <c r="P8" s="47">
        <f>ELECT.!W9*2</f>
        <v>0</v>
      </c>
      <c r="Q8" s="47">
        <f>ELECT.!D9</f>
        <v>0</v>
      </c>
      <c r="R8" s="48">
        <f>BTU!C9</f>
        <v>0</v>
      </c>
      <c r="S8" s="48">
        <f>BTU!F9</f>
        <v>0</v>
      </c>
      <c r="T8" s="48">
        <f>BTU!I9</f>
        <v>0</v>
      </c>
      <c r="U8" s="48">
        <f>BTU!O9</f>
        <v>0</v>
      </c>
      <c r="V8" s="48">
        <f>BTU!L9</f>
        <v>0</v>
      </c>
      <c r="W8" s="48">
        <f>BTU!R9</f>
        <v>0</v>
      </c>
      <c r="X8" s="45">
        <f>ELECT.!B9</f>
        <v>0</v>
      </c>
      <c r="Y8" s="45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45">
        <f t="shared" si="1"/>
        <v>-25.569199999999999</v>
      </c>
      <c r="AE8" s="45">
        <f t="shared" si="2"/>
        <v>-168.4308</v>
      </c>
    </row>
    <row r="9" spans="1:31" x14ac:dyDescent="0.2">
      <c r="A9" s="58" t="s">
        <v>53</v>
      </c>
      <c r="B9" s="63">
        <f t="shared" si="3"/>
        <v>8</v>
      </c>
      <c r="C9" s="63">
        <v>6</v>
      </c>
      <c r="D9" s="63">
        <v>2021</v>
      </c>
      <c r="E9" s="47">
        <f>Water!C10</f>
        <v>0</v>
      </c>
      <c r="F9" s="47">
        <f>Water!E10</f>
        <v>0</v>
      </c>
      <c r="G9" s="47">
        <f>Water!G10</f>
        <v>0</v>
      </c>
      <c r="H9" s="47">
        <f>Water!I10</f>
        <v>0</v>
      </c>
      <c r="I9" s="47">
        <f>ELECT.!F10</f>
        <v>0</v>
      </c>
      <c r="J9" s="47">
        <f>ELECT.!H10</f>
        <v>0</v>
      </c>
      <c r="K9" s="47">
        <f>ELECT.!K10</f>
        <v>0</v>
      </c>
      <c r="L9" s="47">
        <f>ELECT.!M10</f>
        <v>0</v>
      </c>
      <c r="M9" s="47">
        <f>ELECT.!O10</f>
        <v>0</v>
      </c>
      <c r="N9" s="47">
        <f>ELECT.!Q10</f>
        <v>0</v>
      </c>
      <c r="O9" s="47">
        <f>ELECT.!S10</f>
        <v>0</v>
      </c>
      <c r="P9" s="47">
        <f>ELECT.!W10*2</f>
        <v>0</v>
      </c>
      <c r="Q9" s="47">
        <f>ELECT.!D10</f>
        <v>0</v>
      </c>
      <c r="R9" s="48">
        <f>BTU!C10</f>
        <v>0</v>
      </c>
      <c r="S9" s="48">
        <f>BTU!F10</f>
        <v>0</v>
      </c>
      <c r="T9" s="48">
        <f>BTU!I10</f>
        <v>0</v>
      </c>
      <c r="U9" s="48">
        <f>BTU!O10</f>
        <v>0</v>
      </c>
      <c r="V9" s="48">
        <f>BTU!L10</f>
        <v>0</v>
      </c>
      <c r="W9" s="48">
        <f>BTU!R10</f>
        <v>0</v>
      </c>
      <c r="X9" s="45">
        <f>ELECT.!B10</f>
        <v>0</v>
      </c>
      <c r="Y9" s="45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5">
        <f t="shared" si="1"/>
        <v>-25.569199999999999</v>
      </c>
      <c r="AE9" s="45">
        <f t="shared" si="2"/>
        <v>-168.4308</v>
      </c>
    </row>
    <row r="10" spans="1:31" x14ac:dyDescent="0.2">
      <c r="A10" s="58" t="s">
        <v>53</v>
      </c>
      <c r="B10" s="63">
        <f t="shared" si="3"/>
        <v>9</v>
      </c>
      <c r="C10" s="63">
        <v>6</v>
      </c>
      <c r="D10" s="63">
        <v>2021</v>
      </c>
      <c r="E10" s="47">
        <f>Water!C11</f>
        <v>0</v>
      </c>
      <c r="F10" s="47">
        <f>Water!E11</f>
        <v>0</v>
      </c>
      <c r="G10" s="47">
        <f>Water!G11</f>
        <v>0</v>
      </c>
      <c r="H10" s="47">
        <f>Water!I11</f>
        <v>0</v>
      </c>
      <c r="I10" s="47">
        <f>ELECT.!F11</f>
        <v>0</v>
      </c>
      <c r="J10" s="47">
        <f>ELECT.!H11</f>
        <v>0</v>
      </c>
      <c r="K10" s="47">
        <f>ELECT.!K11</f>
        <v>0</v>
      </c>
      <c r="L10" s="47">
        <f>ELECT.!M11</f>
        <v>0</v>
      </c>
      <c r="M10" s="47">
        <f>ELECT.!O11</f>
        <v>0</v>
      </c>
      <c r="N10" s="47">
        <f>ELECT.!Q11</f>
        <v>0</v>
      </c>
      <c r="O10" s="47">
        <f>ELECT.!S11</f>
        <v>0</v>
      </c>
      <c r="P10" s="47">
        <f>ELECT.!W11*2</f>
        <v>0</v>
      </c>
      <c r="Q10" s="47">
        <f>ELECT.!D11</f>
        <v>0</v>
      </c>
      <c r="R10" s="48">
        <f>BTU!C11</f>
        <v>0</v>
      </c>
      <c r="S10" s="48">
        <f>BTU!F11</f>
        <v>0</v>
      </c>
      <c r="T10" s="48">
        <f>BTU!I11</f>
        <v>0</v>
      </c>
      <c r="U10" s="48">
        <f>BTU!O11</f>
        <v>0</v>
      </c>
      <c r="V10" s="48">
        <f>BTU!L11</f>
        <v>0</v>
      </c>
      <c r="W10" s="48">
        <f>BTU!R11</f>
        <v>0</v>
      </c>
      <c r="X10" s="45">
        <f>ELECT.!B11</f>
        <v>0</v>
      </c>
      <c r="Y10" s="45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5">
        <f t="shared" si="1"/>
        <v>-25.569199999999999</v>
      </c>
      <c r="AE10" s="45">
        <f t="shared" si="2"/>
        <v>-168.4308</v>
      </c>
    </row>
    <row r="11" spans="1:31" x14ac:dyDescent="0.2">
      <c r="A11" s="58" t="s">
        <v>53</v>
      </c>
      <c r="B11" s="63">
        <f t="shared" si="3"/>
        <v>10</v>
      </c>
      <c r="C11" s="63">
        <v>6</v>
      </c>
      <c r="D11" s="63">
        <v>2021</v>
      </c>
      <c r="E11" s="47">
        <f>Water!C12</f>
        <v>0</v>
      </c>
      <c r="F11" s="47">
        <f>Water!E12</f>
        <v>0</v>
      </c>
      <c r="G11" s="47">
        <f>Water!G12</f>
        <v>0</v>
      </c>
      <c r="H11" s="47">
        <f>Water!I12</f>
        <v>0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0</v>
      </c>
      <c r="S11" s="48">
        <f>BTU!F12</f>
        <v>0</v>
      </c>
      <c r="T11" s="48">
        <f>BTU!I12</f>
        <v>0</v>
      </c>
      <c r="U11" s="48">
        <f>BTU!O12</f>
        <v>0</v>
      </c>
      <c r="V11" s="48">
        <f>BTU!L12</f>
        <v>0</v>
      </c>
      <c r="W11" s="48">
        <f>BTU!R12</f>
        <v>0</v>
      </c>
      <c r="X11" s="45">
        <f>ELECT.!B12</f>
        <v>0</v>
      </c>
      <c r="Y11" s="4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5">
        <f t="shared" si="1"/>
        <v>-25.569199999999999</v>
      </c>
      <c r="AE11" s="45">
        <f t="shared" si="2"/>
        <v>-168.4308</v>
      </c>
    </row>
    <row r="12" spans="1:31" x14ac:dyDescent="0.2">
      <c r="A12" s="58" t="s">
        <v>53</v>
      </c>
      <c r="B12" s="63">
        <f t="shared" si="3"/>
        <v>11</v>
      </c>
      <c r="C12" s="63">
        <v>6</v>
      </c>
      <c r="D12" s="63">
        <v>2021</v>
      </c>
      <c r="E12" s="47">
        <f>Water!C13</f>
        <v>0</v>
      </c>
      <c r="F12" s="47">
        <f>Water!E13</f>
        <v>0</v>
      </c>
      <c r="G12" s="47">
        <f>Water!G13</f>
        <v>0</v>
      </c>
      <c r="H12" s="47">
        <f>Water!I13</f>
        <v>0</v>
      </c>
      <c r="I12" s="47">
        <f>ELECT.!F13</f>
        <v>0</v>
      </c>
      <c r="J12" s="47">
        <f>ELECT.!H13</f>
        <v>0</v>
      </c>
      <c r="K12" s="47">
        <f>ELECT.!K13</f>
        <v>0</v>
      </c>
      <c r="L12" s="47">
        <f>ELECT.!M13</f>
        <v>0</v>
      </c>
      <c r="M12" s="47">
        <f>ELECT.!O13</f>
        <v>0</v>
      </c>
      <c r="N12" s="47">
        <f>ELECT.!Q13</f>
        <v>0</v>
      </c>
      <c r="O12" s="47">
        <f>ELECT.!S13</f>
        <v>0</v>
      </c>
      <c r="P12" s="47">
        <f>ELECT.!W13*2</f>
        <v>0</v>
      </c>
      <c r="Q12" s="47">
        <f>ELECT.!D13</f>
        <v>0</v>
      </c>
      <c r="R12" s="48">
        <f>BTU!C13</f>
        <v>0</v>
      </c>
      <c r="S12" s="48">
        <f>BTU!F13</f>
        <v>0</v>
      </c>
      <c r="T12" s="48">
        <f>BTU!I13</f>
        <v>0</v>
      </c>
      <c r="U12" s="48">
        <f>BTU!O13</f>
        <v>0</v>
      </c>
      <c r="V12" s="48">
        <f>BTU!L13</f>
        <v>0</v>
      </c>
      <c r="W12" s="48">
        <f>BTU!R13</f>
        <v>0</v>
      </c>
      <c r="X12" s="45">
        <f>ELECT.!B13</f>
        <v>0</v>
      </c>
      <c r="Y12" s="4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5">
        <f t="shared" si="1"/>
        <v>-25.569199999999999</v>
      </c>
      <c r="AE12" s="45">
        <f t="shared" si="2"/>
        <v>-168.4308</v>
      </c>
    </row>
    <row r="13" spans="1:31" x14ac:dyDescent="0.2">
      <c r="A13" s="58" t="s">
        <v>53</v>
      </c>
      <c r="B13" s="63">
        <f t="shared" si="3"/>
        <v>12</v>
      </c>
      <c r="C13" s="63">
        <v>6</v>
      </c>
      <c r="D13" s="63">
        <v>2021</v>
      </c>
      <c r="E13" s="47">
        <f>Water!C14</f>
        <v>0</v>
      </c>
      <c r="F13" s="47">
        <f>Water!E14</f>
        <v>0</v>
      </c>
      <c r="G13" s="47">
        <f>Water!G14</f>
        <v>0</v>
      </c>
      <c r="H13" s="47">
        <f>Water!I14</f>
        <v>0</v>
      </c>
      <c r="I13" s="47">
        <f>ELECT.!F14</f>
        <v>0</v>
      </c>
      <c r="J13" s="47">
        <f>ELECT.!H14</f>
        <v>0</v>
      </c>
      <c r="K13" s="47">
        <f>ELECT.!K14</f>
        <v>0</v>
      </c>
      <c r="L13" s="47">
        <f>ELECT.!M14</f>
        <v>0</v>
      </c>
      <c r="M13" s="47">
        <f>ELECT.!O14</f>
        <v>0</v>
      </c>
      <c r="N13" s="47">
        <f>ELECT.!Q14</f>
        <v>0</v>
      </c>
      <c r="O13" s="47">
        <f>ELECT.!S14</f>
        <v>0</v>
      </c>
      <c r="P13" s="47">
        <f>ELECT.!W14*2</f>
        <v>0</v>
      </c>
      <c r="Q13" s="47">
        <f>ELECT.!D14</f>
        <v>0</v>
      </c>
      <c r="R13" s="48">
        <f>BTU!C14</f>
        <v>0</v>
      </c>
      <c r="S13" s="48">
        <f>BTU!F14</f>
        <v>0</v>
      </c>
      <c r="T13" s="48">
        <f>BTU!I14</f>
        <v>0</v>
      </c>
      <c r="U13" s="48">
        <f>BTU!O14</f>
        <v>0</v>
      </c>
      <c r="V13" s="48">
        <f>BTU!L14</f>
        <v>0</v>
      </c>
      <c r="W13" s="48">
        <f>BTU!R14</f>
        <v>0</v>
      </c>
      <c r="X13" s="45">
        <f>ELECT.!B14</f>
        <v>0</v>
      </c>
      <c r="Y13" s="4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5">
        <f t="shared" si="1"/>
        <v>-25.569199999999999</v>
      </c>
      <c r="AE13" s="45">
        <f t="shared" si="2"/>
        <v>-168.4308</v>
      </c>
    </row>
    <row r="14" spans="1:31" x14ac:dyDescent="0.2">
      <c r="A14" s="58" t="s">
        <v>53</v>
      </c>
      <c r="B14" s="63">
        <f t="shared" si="3"/>
        <v>13</v>
      </c>
      <c r="C14" s="63">
        <v>6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>
        <f>ELECT.!F15</f>
        <v>0</v>
      </c>
      <c r="J14" s="47">
        <f>ELECT.!H15</f>
        <v>0</v>
      </c>
      <c r="K14" s="47">
        <f>ELECT.!K15</f>
        <v>0</v>
      </c>
      <c r="L14" s="47">
        <f>ELECT.!M15</f>
        <v>0</v>
      </c>
      <c r="M14" s="47">
        <f>ELECT.!O15</f>
        <v>0</v>
      </c>
      <c r="N14" s="47">
        <f>ELECT.!Q15</f>
        <v>0</v>
      </c>
      <c r="O14" s="47">
        <f>ELECT.!S15</f>
        <v>0</v>
      </c>
      <c r="P14" s="47">
        <f>ELECT.!W15*2</f>
        <v>0</v>
      </c>
      <c r="Q14" s="47">
        <f>ELECT.!D15</f>
        <v>0</v>
      </c>
      <c r="R14" s="48">
        <f>BTU!C15</f>
        <v>0</v>
      </c>
      <c r="S14" s="48">
        <f>BTU!F15</f>
        <v>0</v>
      </c>
      <c r="T14" s="48">
        <f>BTU!I15</f>
        <v>0</v>
      </c>
      <c r="U14" s="48">
        <f>BTU!O15</f>
        <v>0</v>
      </c>
      <c r="V14" s="48">
        <f>BTU!L15</f>
        <v>0</v>
      </c>
      <c r="W14" s="48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53</v>
      </c>
      <c r="B15" s="63">
        <f t="shared" si="3"/>
        <v>14</v>
      </c>
      <c r="C15" s="63">
        <v>6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53</v>
      </c>
      <c r="B16" s="63">
        <f t="shared" si="3"/>
        <v>15</v>
      </c>
      <c r="C16" s="63">
        <v>6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53</v>
      </c>
      <c r="B17" s="63">
        <f t="shared" si="3"/>
        <v>16</v>
      </c>
      <c r="C17" s="63">
        <v>6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53</v>
      </c>
      <c r="B18" s="63">
        <f t="shared" si="3"/>
        <v>17</v>
      </c>
      <c r="C18" s="63">
        <v>6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6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6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6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6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6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6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6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6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6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6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6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6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A3" sqref="A3:XFD3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44347</v>
      </c>
      <c r="B2" s="42">
        <v>45328</v>
      </c>
      <c r="C2" s="16"/>
      <c r="D2" s="42">
        <v>39551</v>
      </c>
      <c r="E2" s="16">
        <v>320</v>
      </c>
      <c r="F2" s="42">
        <v>20411</v>
      </c>
      <c r="G2" s="16"/>
      <c r="H2" s="42">
        <v>242585</v>
      </c>
      <c r="I2" s="16"/>
      <c r="J2" s="42">
        <v>303517</v>
      </c>
      <c r="K2" s="16"/>
      <c r="L2" s="42">
        <v>24984</v>
      </c>
      <c r="M2" s="16"/>
      <c r="N2" s="42">
        <v>215544</v>
      </c>
      <c r="O2" s="16"/>
      <c r="P2" s="42">
        <v>106171</v>
      </c>
      <c r="Q2" s="16">
        <v>99</v>
      </c>
      <c r="R2" s="1">
        <v>55047</v>
      </c>
      <c r="S2" s="16">
        <v>0</v>
      </c>
      <c r="T2" s="42">
        <v>3652</v>
      </c>
      <c r="U2" s="16">
        <v>320</v>
      </c>
    </row>
    <row r="3" spans="1:24" ht="13.5" thickBot="1" x14ac:dyDescent="0.25">
      <c r="A3" s="10">
        <v>44348</v>
      </c>
      <c r="B3" s="42">
        <v>45334</v>
      </c>
      <c r="C3" s="16">
        <f>(B3-B2)*800/5</f>
        <v>960</v>
      </c>
      <c r="D3" s="42">
        <v>39554</v>
      </c>
      <c r="E3" s="16">
        <f>(D3-D2)*800/5</f>
        <v>480</v>
      </c>
      <c r="F3" s="42">
        <v>20414</v>
      </c>
      <c r="G3" s="16">
        <f>(F3-F2)*100/5</f>
        <v>60</v>
      </c>
      <c r="H3" s="42">
        <v>242642</v>
      </c>
      <c r="I3" s="16">
        <f>(H3-H2)</f>
        <v>57</v>
      </c>
      <c r="J3" s="42">
        <f>J2</f>
        <v>303517</v>
      </c>
      <c r="K3" s="16">
        <f>(J3-J2)*800/5</f>
        <v>0</v>
      </c>
      <c r="L3" s="42">
        <v>24988</v>
      </c>
      <c r="M3" s="16">
        <f>(L3-L2)*800/5</f>
        <v>640</v>
      </c>
      <c r="N3" s="42">
        <v>215547</v>
      </c>
      <c r="O3" s="16">
        <f>N3-N2</f>
        <v>3</v>
      </c>
      <c r="P3" s="42">
        <v>106320</v>
      </c>
      <c r="Q3" s="16">
        <f>P3-P2</f>
        <v>149</v>
      </c>
      <c r="R3" s="1">
        <f>R2</f>
        <v>55047</v>
      </c>
      <c r="S3" s="16">
        <f>R3-R2</f>
        <v>0</v>
      </c>
      <c r="T3" s="42">
        <v>3653</v>
      </c>
      <c r="U3" s="16">
        <f>(T3-T2)*800/5</f>
        <v>160</v>
      </c>
    </row>
    <row r="4" spans="1:24" ht="13.5" thickBot="1" x14ac:dyDescent="0.25">
      <c r="A4" s="10">
        <v>44349</v>
      </c>
      <c r="B4" s="42">
        <f>B3</f>
        <v>45334</v>
      </c>
      <c r="C4" s="16">
        <f t="shared" ref="C4:C33" si="0">(B4-B3)*800/5</f>
        <v>0</v>
      </c>
      <c r="D4" s="42">
        <f>D3</f>
        <v>39554</v>
      </c>
      <c r="E4" s="16">
        <f t="shared" ref="E4:E33" si="1">(D4-D3)*800/5</f>
        <v>0</v>
      </c>
      <c r="F4" s="42">
        <f>F3</f>
        <v>20414</v>
      </c>
      <c r="G4" s="16">
        <f t="shared" ref="G4:G33" si="2">(F4-F3)*100/5</f>
        <v>0</v>
      </c>
      <c r="H4" s="42">
        <f>H3</f>
        <v>242642</v>
      </c>
      <c r="I4" s="16">
        <f t="shared" ref="I4:I33" si="3">(H4-H3)</f>
        <v>0</v>
      </c>
      <c r="J4" s="42">
        <v>303517</v>
      </c>
      <c r="K4" s="16">
        <f t="shared" ref="K4:K33" si="4">(J4-J3)*800/5</f>
        <v>0</v>
      </c>
      <c r="L4" s="42">
        <f>L3</f>
        <v>24988</v>
      </c>
      <c r="M4" s="16">
        <f t="shared" ref="M4:M33" si="5">(L4-L3)*800/5</f>
        <v>0</v>
      </c>
      <c r="N4" s="42">
        <f>N3</f>
        <v>215547</v>
      </c>
      <c r="O4" s="16">
        <f t="shared" ref="O4:O33" si="6">N4-N3</f>
        <v>0</v>
      </c>
      <c r="P4" s="42">
        <f>P3</f>
        <v>106320</v>
      </c>
      <c r="Q4" s="16">
        <f t="shared" ref="Q4:Q33" si="7">P4-P3</f>
        <v>0</v>
      </c>
      <c r="R4" s="1">
        <v>55047</v>
      </c>
      <c r="S4" s="16">
        <f t="shared" ref="S4:S33" si="8">R4-R3</f>
        <v>0</v>
      </c>
      <c r="T4" s="42">
        <f>T3</f>
        <v>3653</v>
      </c>
      <c r="U4" s="16">
        <f t="shared" ref="U4:U33" si="9">(T4-T3)*800/5</f>
        <v>0</v>
      </c>
    </row>
    <row r="5" spans="1:24" ht="13.5" thickBot="1" x14ac:dyDescent="0.25">
      <c r="A5" s="10">
        <v>44350</v>
      </c>
      <c r="B5" s="42">
        <f t="shared" ref="B5:B33" si="10">B4</f>
        <v>45334</v>
      </c>
      <c r="C5" s="16">
        <f t="shared" si="0"/>
        <v>0</v>
      </c>
      <c r="D5" s="42">
        <f t="shared" ref="D5:D33" si="11">D4</f>
        <v>39554</v>
      </c>
      <c r="E5" s="16">
        <f t="shared" si="1"/>
        <v>0</v>
      </c>
      <c r="F5" s="42">
        <f t="shared" ref="F5:F33" si="12">F4</f>
        <v>20414</v>
      </c>
      <c r="G5" s="16">
        <f t="shared" si="2"/>
        <v>0</v>
      </c>
      <c r="H5" s="42">
        <f t="shared" ref="H5:H33" si="13">H4</f>
        <v>242642</v>
      </c>
      <c r="I5" s="16">
        <f t="shared" si="3"/>
        <v>0</v>
      </c>
      <c r="J5" s="42">
        <v>303517</v>
      </c>
      <c r="K5" s="16">
        <f t="shared" si="4"/>
        <v>0</v>
      </c>
      <c r="L5" s="42">
        <f t="shared" ref="L5:L33" si="14">L4</f>
        <v>24988</v>
      </c>
      <c r="M5" s="16">
        <f t="shared" si="5"/>
        <v>0</v>
      </c>
      <c r="N5" s="42">
        <f t="shared" ref="N5:N33" si="15">N4</f>
        <v>215547</v>
      </c>
      <c r="O5" s="16">
        <f t="shared" si="6"/>
        <v>0</v>
      </c>
      <c r="P5" s="42">
        <f t="shared" ref="P5:P33" si="16">P4</f>
        <v>106320</v>
      </c>
      <c r="Q5" s="16">
        <f t="shared" si="7"/>
        <v>0</v>
      </c>
      <c r="R5" s="1">
        <v>55047</v>
      </c>
      <c r="S5" s="16">
        <f t="shared" si="8"/>
        <v>0</v>
      </c>
      <c r="T5" s="42">
        <f t="shared" ref="T5:T33" si="17">T4</f>
        <v>3653</v>
      </c>
      <c r="U5" s="16">
        <f t="shared" si="9"/>
        <v>0</v>
      </c>
    </row>
    <row r="6" spans="1:24" ht="13.5" thickBot="1" x14ac:dyDescent="0.25">
      <c r="A6" s="10">
        <v>44351</v>
      </c>
      <c r="B6" s="42">
        <f t="shared" si="10"/>
        <v>45334</v>
      </c>
      <c r="C6" s="16">
        <f t="shared" si="0"/>
        <v>0</v>
      </c>
      <c r="D6" s="42">
        <f t="shared" si="11"/>
        <v>39554</v>
      </c>
      <c r="E6" s="16">
        <f t="shared" si="1"/>
        <v>0</v>
      </c>
      <c r="F6" s="42">
        <f t="shared" si="12"/>
        <v>20414</v>
      </c>
      <c r="G6" s="16">
        <f t="shared" si="2"/>
        <v>0</v>
      </c>
      <c r="H6" s="42">
        <f t="shared" si="13"/>
        <v>242642</v>
      </c>
      <c r="I6" s="16">
        <f t="shared" si="3"/>
        <v>0</v>
      </c>
      <c r="J6" s="42">
        <v>303517</v>
      </c>
      <c r="K6" s="16">
        <f t="shared" si="4"/>
        <v>0</v>
      </c>
      <c r="L6" s="42">
        <f t="shared" si="14"/>
        <v>24988</v>
      </c>
      <c r="M6" s="16">
        <f t="shared" si="5"/>
        <v>0</v>
      </c>
      <c r="N6" s="42">
        <f t="shared" si="15"/>
        <v>215547</v>
      </c>
      <c r="O6" s="16">
        <f t="shared" si="6"/>
        <v>0</v>
      </c>
      <c r="P6" s="42">
        <f t="shared" si="16"/>
        <v>106320</v>
      </c>
      <c r="Q6" s="16">
        <f t="shared" si="7"/>
        <v>0</v>
      </c>
      <c r="R6" s="1">
        <v>55047</v>
      </c>
      <c r="S6" s="16">
        <f>R30-R5</f>
        <v>0</v>
      </c>
      <c r="T6" s="42">
        <f t="shared" si="17"/>
        <v>3653</v>
      </c>
      <c r="U6" s="16">
        <f t="shared" si="9"/>
        <v>0</v>
      </c>
    </row>
    <row r="7" spans="1:24" ht="13.5" thickBot="1" x14ac:dyDescent="0.25">
      <c r="A7" s="10">
        <v>44352</v>
      </c>
      <c r="B7" s="42">
        <f t="shared" si="10"/>
        <v>45334</v>
      </c>
      <c r="C7" s="16">
        <f t="shared" si="0"/>
        <v>0</v>
      </c>
      <c r="D7" s="42">
        <f t="shared" si="11"/>
        <v>39554</v>
      </c>
      <c r="E7" s="16">
        <f t="shared" si="1"/>
        <v>0</v>
      </c>
      <c r="F7" s="42">
        <f t="shared" si="12"/>
        <v>20414</v>
      </c>
      <c r="G7" s="16">
        <f t="shared" si="2"/>
        <v>0</v>
      </c>
      <c r="H7" s="42">
        <f t="shared" si="13"/>
        <v>242642</v>
      </c>
      <c r="I7" s="16">
        <f t="shared" si="3"/>
        <v>0</v>
      </c>
      <c r="J7" s="42">
        <v>303517</v>
      </c>
      <c r="K7" s="16">
        <f t="shared" si="4"/>
        <v>0</v>
      </c>
      <c r="L7" s="42">
        <f t="shared" si="14"/>
        <v>24988</v>
      </c>
      <c r="M7" s="16">
        <f t="shared" si="5"/>
        <v>0</v>
      </c>
      <c r="N7" s="42">
        <f t="shared" si="15"/>
        <v>215547</v>
      </c>
      <c r="O7" s="16">
        <f t="shared" si="6"/>
        <v>0</v>
      </c>
      <c r="P7" s="42">
        <f t="shared" si="16"/>
        <v>106320</v>
      </c>
      <c r="Q7" s="16">
        <f t="shared" si="7"/>
        <v>0</v>
      </c>
      <c r="R7" s="1">
        <v>55047</v>
      </c>
      <c r="S7" s="16">
        <f>R7-R30</f>
        <v>0</v>
      </c>
      <c r="T7" s="42">
        <f t="shared" si="17"/>
        <v>3653</v>
      </c>
      <c r="U7" s="16">
        <f t="shared" si="9"/>
        <v>0</v>
      </c>
    </row>
    <row r="8" spans="1:24" ht="13.5" thickBot="1" x14ac:dyDescent="0.25">
      <c r="A8" s="10">
        <v>44353</v>
      </c>
      <c r="B8" s="42">
        <f t="shared" si="10"/>
        <v>45334</v>
      </c>
      <c r="C8" s="16">
        <f t="shared" si="0"/>
        <v>0</v>
      </c>
      <c r="D8" s="42">
        <f t="shared" si="11"/>
        <v>39554</v>
      </c>
      <c r="E8" s="16">
        <f t="shared" si="1"/>
        <v>0</v>
      </c>
      <c r="F8" s="42">
        <f t="shared" si="12"/>
        <v>20414</v>
      </c>
      <c r="G8" s="16">
        <f t="shared" si="2"/>
        <v>0</v>
      </c>
      <c r="H8" s="42">
        <f t="shared" si="13"/>
        <v>242642</v>
      </c>
      <c r="I8" s="16">
        <f t="shared" si="3"/>
        <v>0</v>
      </c>
      <c r="J8" s="42">
        <v>303517</v>
      </c>
      <c r="K8" s="16">
        <f t="shared" si="4"/>
        <v>0</v>
      </c>
      <c r="L8" s="42">
        <f t="shared" si="14"/>
        <v>24988</v>
      </c>
      <c r="M8" s="16">
        <f t="shared" si="5"/>
        <v>0</v>
      </c>
      <c r="N8" s="42">
        <f t="shared" si="15"/>
        <v>215547</v>
      </c>
      <c r="O8" s="16">
        <f t="shared" si="6"/>
        <v>0</v>
      </c>
      <c r="P8" s="42">
        <f t="shared" si="16"/>
        <v>106320</v>
      </c>
      <c r="Q8" s="16">
        <f t="shared" si="7"/>
        <v>0</v>
      </c>
      <c r="R8" s="1">
        <v>55047</v>
      </c>
      <c r="S8" s="16">
        <f>R8-R7</f>
        <v>0</v>
      </c>
      <c r="T8" s="42">
        <f t="shared" si="17"/>
        <v>3653</v>
      </c>
      <c r="U8" s="16">
        <f t="shared" si="9"/>
        <v>0</v>
      </c>
    </row>
    <row r="9" spans="1:24" ht="13.5" thickBot="1" x14ac:dyDescent="0.25">
      <c r="A9" s="10">
        <v>44354</v>
      </c>
      <c r="B9" s="42">
        <f t="shared" si="10"/>
        <v>45334</v>
      </c>
      <c r="C9" s="16">
        <f t="shared" si="0"/>
        <v>0</v>
      </c>
      <c r="D9" s="42">
        <f t="shared" si="11"/>
        <v>39554</v>
      </c>
      <c r="E9" s="16">
        <f t="shared" si="1"/>
        <v>0</v>
      </c>
      <c r="F9" s="42">
        <f t="shared" si="12"/>
        <v>20414</v>
      </c>
      <c r="G9" s="16">
        <f t="shared" si="2"/>
        <v>0</v>
      </c>
      <c r="H9" s="42">
        <f t="shared" si="13"/>
        <v>242642</v>
      </c>
      <c r="I9" s="16">
        <f t="shared" si="3"/>
        <v>0</v>
      </c>
      <c r="J9" s="42">
        <v>303517</v>
      </c>
      <c r="K9" s="16">
        <f t="shared" si="4"/>
        <v>0</v>
      </c>
      <c r="L9" s="42">
        <f t="shared" si="14"/>
        <v>24988</v>
      </c>
      <c r="M9" s="16">
        <f t="shared" si="5"/>
        <v>0</v>
      </c>
      <c r="N9" s="42">
        <f t="shared" si="15"/>
        <v>215547</v>
      </c>
      <c r="O9" s="16">
        <f t="shared" si="6"/>
        <v>0</v>
      </c>
      <c r="P9" s="42">
        <f t="shared" si="16"/>
        <v>106320</v>
      </c>
      <c r="Q9" s="16">
        <f>P9-P8</f>
        <v>0</v>
      </c>
      <c r="R9" s="1">
        <v>55047</v>
      </c>
      <c r="S9" s="16">
        <f>R9-R8</f>
        <v>0</v>
      </c>
      <c r="T9" s="42">
        <f t="shared" si="17"/>
        <v>3653</v>
      </c>
      <c r="U9" s="16">
        <f t="shared" si="9"/>
        <v>0</v>
      </c>
    </row>
    <row r="10" spans="1:24" ht="13.5" thickBot="1" x14ac:dyDescent="0.25">
      <c r="A10" s="10">
        <v>44355</v>
      </c>
      <c r="B10" s="42">
        <f t="shared" si="10"/>
        <v>45334</v>
      </c>
      <c r="C10" s="16">
        <f t="shared" si="0"/>
        <v>0</v>
      </c>
      <c r="D10" s="42">
        <f t="shared" si="11"/>
        <v>39554</v>
      </c>
      <c r="E10" s="16">
        <f t="shared" si="1"/>
        <v>0</v>
      </c>
      <c r="F10" s="42">
        <f t="shared" si="12"/>
        <v>20414</v>
      </c>
      <c r="G10" s="16">
        <f t="shared" si="2"/>
        <v>0</v>
      </c>
      <c r="H10" s="42">
        <f t="shared" si="13"/>
        <v>242642</v>
      </c>
      <c r="I10" s="16">
        <f t="shared" si="3"/>
        <v>0</v>
      </c>
      <c r="J10" s="42">
        <v>303517</v>
      </c>
      <c r="K10" s="16">
        <f t="shared" si="4"/>
        <v>0</v>
      </c>
      <c r="L10" s="42">
        <f t="shared" si="14"/>
        <v>24988</v>
      </c>
      <c r="M10" s="16">
        <f t="shared" si="5"/>
        <v>0</v>
      </c>
      <c r="N10" s="42">
        <f t="shared" si="15"/>
        <v>215547</v>
      </c>
      <c r="O10" s="16">
        <f t="shared" si="6"/>
        <v>0</v>
      </c>
      <c r="P10" s="42">
        <f t="shared" si="16"/>
        <v>106320</v>
      </c>
      <c r="Q10" s="16">
        <f>P10-P9</f>
        <v>0</v>
      </c>
      <c r="R10" s="1">
        <v>55047</v>
      </c>
      <c r="S10" s="16">
        <f>R10-R9</f>
        <v>0</v>
      </c>
      <c r="T10" s="42">
        <f t="shared" si="17"/>
        <v>3653</v>
      </c>
      <c r="U10" s="16">
        <f t="shared" si="9"/>
        <v>0</v>
      </c>
    </row>
    <row r="11" spans="1:24" ht="13.5" thickBot="1" x14ac:dyDescent="0.25">
      <c r="A11" s="10">
        <v>44356</v>
      </c>
      <c r="B11" s="42">
        <f t="shared" si="10"/>
        <v>45334</v>
      </c>
      <c r="C11" s="16">
        <f t="shared" si="0"/>
        <v>0</v>
      </c>
      <c r="D11" s="42">
        <f t="shared" si="11"/>
        <v>39554</v>
      </c>
      <c r="E11" s="16">
        <f t="shared" si="1"/>
        <v>0</v>
      </c>
      <c r="F11" s="42">
        <f t="shared" si="12"/>
        <v>20414</v>
      </c>
      <c r="G11" s="16">
        <f t="shared" si="2"/>
        <v>0</v>
      </c>
      <c r="H11" s="42">
        <f t="shared" si="13"/>
        <v>242642</v>
      </c>
      <c r="I11" s="16">
        <f t="shared" si="3"/>
        <v>0</v>
      </c>
      <c r="J11" s="42">
        <v>303517</v>
      </c>
      <c r="K11" s="16">
        <f t="shared" si="4"/>
        <v>0</v>
      </c>
      <c r="L11" s="42">
        <f t="shared" si="14"/>
        <v>24988</v>
      </c>
      <c r="M11" s="16">
        <f t="shared" si="5"/>
        <v>0</v>
      </c>
      <c r="N11" s="42">
        <f t="shared" si="15"/>
        <v>215547</v>
      </c>
      <c r="O11" s="16">
        <f t="shared" si="6"/>
        <v>0</v>
      </c>
      <c r="P11" s="42">
        <f t="shared" si="16"/>
        <v>106320</v>
      </c>
      <c r="Q11" s="16">
        <f t="shared" si="7"/>
        <v>0</v>
      </c>
      <c r="R11" s="1">
        <v>55047</v>
      </c>
      <c r="S11" s="16">
        <f t="shared" si="8"/>
        <v>0</v>
      </c>
      <c r="T11" s="42">
        <f t="shared" si="17"/>
        <v>3653</v>
      </c>
      <c r="U11" s="16">
        <f t="shared" si="9"/>
        <v>0</v>
      </c>
    </row>
    <row r="12" spans="1:24" ht="13.5" thickBot="1" x14ac:dyDescent="0.25">
      <c r="A12" s="10">
        <v>44357</v>
      </c>
      <c r="B12" s="42">
        <f t="shared" si="10"/>
        <v>45334</v>
      </c>
      <c r="C12" s="16">
        <f t="shared" si="0"/>
        <v>0</v>
      </c>
      <c r="D12" s="42">
        <f t="shared" si="11"/>
        <v>39554</v>
      </c>
      <c r="E12" s="16">
        <f t="shared" si="1"/>
        <v>0</v>
      </c>
      <c r="F12" s="42">
        <f t="shared" si="12"/>
        <v>20414</v>
      </c>
      <c r="G12" s="16">
        <f t="shared" si="2"/>
        <v>0</v>
      </c>
      <c r="H12" s="42">
        <f t="shared" si="13"/>
        <v>242642</v>
      </c>
      <c r="I12" s="16">
        <f t="shared" si="3"/>
        <v>0</v>
      </c>
      <c r="J12" s="42">
        <v>303517</v>
      </c>
      <c r="K12" s="16">
        <f t="shared" si="4"/>
        <v>0</v>
      </c>
      <c r="L12" s="42">
        <f t="shared" si="14"/>
        <v>24988</v>
      </c>
      <c r="M12" s="16">
        <f t="shared" si="5"/>
        <v>0</v>
      </c>
      <c r="N12" s="42">
        <f t="shared" si="15"/>
        <v>215547</v>
      </c>
      <c r="O12" s="16">
        <f t="shared" si="6"/>
        <v>0</v>
      </c>
      <c r="P12" s="42">
        <f t="shared" si="16"/>
        <v>106320</v>
      </c>
      <c r="Q12" s="16">
        <f t="shared" si="7"/>
        <v>0</v>
      </c>
      <c r="R12" s="1">
        <v>55047</v>
      </c>
      <c r="S12" s="16">
        <f t="shared" si="8"/>
        <v>0</v>
      </c>
      <c r="T12" s="42">
        <f t="shared" si="17"/>
        <v>3653</v>
      </c>
      <c r="U12" s="16">
        <f t="shared" si="9"/>
        <v>0</v>
      </c>
    </row>
    <row r="13" spans="1:24" ht="13.5" thickBot="1" x14ac:dyDescent="0.25">
      <c r="A13" s="10">
        <v>44358</v>
      </c>
      <c r="B13" s="42">
        <f t="shared" si="10"/>
        <v>45334</v>
      </c>
      <c r="C13" s="16">
        <f t="shared" si="0"/>
        <v>0</v>
      </c>
      <c r="D13" s="42">
        <f t="shared" si="11"/>
        <v>39554</v>
      </c>
      <c r="E13" s="16">
        <f t="shared" si="1"/>
        <v>0</v>
      </c>
      <c r="F13" s="42">
        <f t="shared" si="12"/>
        <v>20414</v>
      </c>
      <c r="G13" s="16">
        <f t="shared" si="2"/>
        <v>0</v>
      </c>
      <c r="H13" s="42">
        <f t="shared" si="13"/>
        <v>242642</v>
      </c>
      <c r="I13" s="16">
        <f t="shared" si="3"/>
        <v>0</v>
      </c>
      <c r="J13" s="42">
        <v>303517</v>
      </c>
      <c r="K13" s="16">
        <f t="shared" si="4"/>
        <v>0</v>
      </c>
      <c r="L13" s="42">
        <f t="shared" si="14"/>
        <v>24988</v>
      </c>
      <c r="M13" s="16">
        <f t="shared" si="5"/>
        <v>0</v>
      </c>
      <c r="N13" s="42">
        <f t="shared" si="15"/>
        <v>215547</v>
      </c>
      <c r="O13" s="16">
        <f t="shared" si="6"/>
        <v>0</v>
      </c>
      <c r="P13" s="42">
        <f t="shared" si="16"/>
        <v>106320</v>
      </c>
      <c r="Q13" s="16">
        <f t="shared" si="7"/>
        <v>0</v>
      </c>
      <c r="R13" s="1">
        <v>55047</v>
      </c>
      <c r="S13" s="16">
        <f t="shared" si="8"/>
        <v>0</v>
      </c>
      <c r="T13" s="42">
        <f t="shared" si="17"/>
        <v>3653</v>
      </c>
      <c r="U13" s="16">
        <f t="shared" si="9"/>
        <v>0</v>
      </c>
    </row>
    <row r="14" spans="1:24" ht="13.5" thickBot="1" x14ac:dyDescent="0.25">
      <c r="A14" s="10">
        <v>44359</v>
      </c>
      <c r="B14" s="42">
        <f t="shared" si="10"/>
        <v>45334</v>
      </c>
      <c r="C14" s="16">
        <f t="shared" si="0"/>
        <v>0</v>
      </c>
      <c r="D14" s="42">
        <f t="shared" si="11"/>
        <v>39554</v>
      </c>
      <c r="E14" s="16">
        <f t="shared" si="1"/>
        <v>0</v>
      </c>
      <c r="F14" s="42">
        <f t="shared" si="12"/>
        <v>20414</v>
      </c>
      <c r="G14" s="16">
        <f t="shared" si="2"/>
        <v>0</v>
      </c>
      <c r="H14" s="42">
        <f t="shared" si="13"/>
        <v>242642</v>
      </c>
      <c r="I14" s="16">
        <f t="shared" si="3"/>
        <v>0</v>
      </c>
      <c r="J14" s="42">
        <v>303517</v>
      </c>
      <c r="K14" s="16">
        <f t="shared" si="4"/>
        <v>0</v>
      </c>
      <c r="L14" s="42">
        <f t="shared" si="14"/>
        <v>24988</v>
      </c>
      <c r="M14" s="16">
        <f t="shared" si="5"/>
        <v>0</v>
      </c>
      <c r="N14" s="42">
        <f t="shared" si="15"/>
        <v>215547</v>
      </c>
      <c r="O14" s="16">
        <f t="shared" si="6"/>
        <v>0</v>
      </c>
      <c r="P14" s="42">
        <f t="shared" si="16"/>
        <v>106320</v>
      </c>
      <c r="Q14" s="16">
        <f t="shared" si="7"/>
        <v>0</v>
      </c>
      <c r="R14" s="1">
        <v>55047</v>
      </c>
      <c r="S14" s="16">
        <f t="shared" si="8"/>
        <v>0</v>
      </c>
      <c r="T14" s="42">
        <f t="shared" si="17"/>
        <v>3653</v>
      </c>
      <c r="U14" s="16">
        <f>(T14-T13)*800/5</f>
        <v>0</v>
      </c>
    </row>
    <row r="15" spans="1:24" ht="13.5" thickBot="1" x14ac:dyDescent="0.25">
      <c r="A15" s="10">
        <v>44360</v>
      </c>
      <c r="B15" s="42">
        <f t="shared" si="10"/>
        <v>45334</v>
      </c>
      <c r="C15" s="16">
        <f t="shared" si="0"/>
        <v>0</v>
      </c>
      <c r="D15" s="42">
        <f t="shared" si="11"/>
        <v>39554</v>
      </c>
      <c r="E15" s="16">
        <f t="shared" si="1"/>
        <v>0</v>
      </c>
      <c r="F15" s="42">
        <f t="shared" si="12"/>
        <v>20414</v>
      </c>
      <c r="G15" s="16">
        <f t="shared" si="2"/>
        <v>0</v>
      </c>
      <c r="H15" s="42">
        <f t="shared" si="13"/>
        <v>242642</v>
      </c>
      <c r="I15" s="16">
        <f t="shared" si="3"/>
        <v>0</v>
      </c>
      <c r="J15" s="42">
        <v>303517</v>
      </c>
      <c r="K15" s="16">
        <f t="shared" si="4"/>
        <v>0</v>
      </c>
      <c r="L15" s="42">
        <f t="shared" si="14"/>
        <v>24988</v>
      </c>
      <c r="M15" s="16">
        <f t="shared" si="5"/>
        <v>0</v>
      </c>
      <c r="N15" s="42">
        <f t="shared" si="15"/>
        <v>215547</v>
      </c>
      <c r="O15" s="16">
        <f t="shared" si="6"/>
        <v>0</v>
      </c>
      <c r="P15" s="42">
        <f t="shared" si="16"/>
        <v>106320</v>
      </c>
      <c r="Q15" s="16">
        <f t="shared" si="7"/>
        <v>0</v>
      </c>
      <c r="R15" s="1">
        <v>55047</v>
      </c>
      <c r="S15" s="16">
        <f t="shared" si="8"/>
        <v>0</v>
      </c>
      <c r="T15" s="42">
        <f t="shared" si="17"/>
        <v>3653</v>
      </c>
      <c r="U15" s="16">
        <f>(T15-T14)*800/5</f>
        <v>0</v>
      </c>
      <c r="X15" t="s">
        <v>12</v>
      </c>
    </row>
    <row r="16" spans="1:24" ht="13.5" thickBot="1" x14ac:dyDescent="0.25">
      <c r="A16" s="10">
        <v>44361</v>
      </c>
      <c r="B16" s="42">
        <f t="shared" si="10"/>
        <v>45334</v>
      </c>
      <c r="C16" s="16">
        <f t="shared" si="0"/>
        <v>0</v>
      </c>
      <c r="D16" s="42">
        <f t="shared" si="11"/>
        <v>39554</v>
      </c>
      <c r="E16" s="16">
        <f t="shared" si="1"/>
        <v>0</v>
      </c>
      <c r="F16" s="42">
        <f t="shared" si="12"/>
        <v>20414</v>
      </c>
      <c r="G16" s="16">
        <f t="shared" si="2"/>
        <v>0</v>
      </c>
      <c r="H16" s="42">
        <f t="shared" si="13"/>
        <v>242642</v>
      </c>
      <c r="I16" s="16">
        <f t="shared" si="3"/>
        <v>0</v>
      </c>
      <c r="J16" s="42">
        <v>303517</v>
      </c>
      <c r="K16" s="16">
        <f t="shared" si="4"/>
        <v>0</v>
      </c>
      <c r="L16" s="42">
        <f t="shared" si="14"/>
        <v>24988</v>
      </c>
      <c r="M16" s="16">
        <f t="shared" si="5"/>
        <v>0</v>
      </c>
      <c r="N16" s="42">
        <f t="shared" si="15"/>
        <v>215547</v>
      </c>
      <c r="O16" s="16">
        <f t="shared" si="6"/>
        <v>0</v>
      </c>
      <c r="P16" s="42">
        <f t="shared" si="16"/>
        <v>106320</v>
      </c>
      <c r="Q16" s="16">
        <f t="shared" si="7"/>
        <v>0</v>
      </c>
      <c r="R16" s="1">
        <v>55047</v>
      </c>
      <c r="S16" s="16">
        <f t="shared" si="8"/>
        <v>0</v>
      </c>
      <c r="T16" s="42">
        <f t="shared" si="17"/>
        <v>3653</v>
      </c>
      <c r="U16" s="16">
        <f t="shared" si="9"/>
        <v>0</v>
      </c>
      <c r="W16" t="s">
        <v>12</v>
      </c>
    </row>
    <row r="17" spans="1:23" ht="13.5" thickBot="1" x14ac:dyDescent="0.25">
      <c r="A17" s="10">
        <v>44362</v>
      </c>
      <c r="B17" s="42">
        <f t="shared" si="10"/>
        <v>45334</v>
      </c>
      <c r="C17" s="16">
        <f t="shared" si="0"/>
        <v>0</v>
      </c>
      <c r="D17" s="42">
        <f t="shared" si="11"/>
        <v>39554</v>
      </c>
      <c r="E17" s="16">
        <f t="shared" si="1"/>
        <v>0</v>
      </c>
      <c r="F17" s="42">
        <f t="shared" si="12"/>
        <v>20414</v>
      </c>
      <c r="G17" s="16">
        <f t="shared" si="2"/>
        <v>0</v>
      </c>
      <c r="H17" s="42">
        <f t="shared" si="13"/>
        <v>242642</v>
      </c>
      <c r="I17" s="16">
        <f t="shared" si="3"/>
        <v>0</v>
      </c>
      <c r="J17" s="42">
        <v>303517</v>
      </c>
      <c r="K17" s="16">
        <f t="shared" si="4"/>
        <v>0</v>
      </c>
      <c r="L17" s="42">
        <f t="shared" si="14"/>
        <v>24988</v>
      </c>
      <c r="M17" s="16">
        <f t="shared" si="5"/>
        <v>0</v>
      </c>
      <c r="N17" s="42">
        <f t="shared" si="15"/>
        <v>215547</v>
      </c>
      <c r="O17" s="16">
        <f t="shared" si="6"/>
        <v>0</v>
      </c>
      <c r="P17" s="42">
        <f t="shared" si="16"/>
        <v>106320</v>
      </c>
      <c r="Q17" s="16">
        <f t="shared" si="7"/>
        <v>0</v>
      </c>
      <c r="R17" s="1">
        <v>55047</v>
      </c>
      <c r="S17" s="16">
        <f>S16</f>
        <v>0</v>
      </c>
      <c r="T17" s="42">
        <f t="shared" si="17"/>
        <v>3653</v>
      </c>
      <c r="U17" s="16">
        <f t="shared" si="9"/>
        <v>0</v>
      </c>
    </row>
    <row r="18" spans="1:23" ht="13.5" thickBot="1" x14ac:dyDescent="0.25">
      <c r="A18" s="10">
        <v>44363</v>
      </c>
      <c r="B18" s="42">
        <f t="shared" si="10"/>
        <v>45334</v>
      </c>
      <c r="C18" s="16">
        <f t="shared" si="0"/>
        <v>0</v>
      </c>
      <c r="D18" s="42">
        <f t="shared" si="11"/>
        <v>39554</v>
      </c>
      <c r="E18" s="16">
        <f t="shared" si="1"/>
        <v>0</v>
      </c>
      <c r="F18" s="42">
        <f t="shared" si="12"/>
        <v>20414</v>
      </c>
      <c r="G18" s="16">
        <f t="shared" si="2"/>
        <v>0</v>
      </c>
      <c r="H18" s="42">
        <f t="shared" si="13"/>
        <v>242642</v>
      </c>
      <c r="I18" s="16">
        <f t="shared" si="3"/>
        <v>0</v>
      </c>
      <c r="J18" s="42">
        <v>303517</v>
      </c>
      <c r="K18" s="16">
        <f t="shared" si="4"/>
        <v>0</v>
      </c>
      <c r="L18" s="42">
        <f t="shared" si="14"/>
        <v>24988</v>
      </c>
      <c r="M18" s="16">
        <f t="shared" si="5"/>
        <v>0</v>
      </c>
      <c r="N18" s="42">
        <f t="shared" si="15"/>
        <v>215547</v>
      </c>
      <c r="O18" s="16">
        <f t="shared" si="6"/>
        <v>0</v>
      </c>
      <c r="P18" s="42">
        <f t="shared" si="16"/>
        <v>106320</v>
      </c>
      <c r="Q18" s="16">
        <f t="shared" si="7"/>
        <v>0</v>
      </c>
      <c r="R18" s="1">
        <v>55047</v>
      </c>
      <c r="S18" s="16">
        <f t="shared" si="8"/>
        <v>0</v>
      </c>
      <c r="T18" s="42">
        <f t="shared" si="17"/>
        <v>3653</v>
      </c>
      <c r="U18" s="16">
        <f t="shared" si="9"/>
        <v>0</v>
      </c>
    </row>
    <row r="19" spans="1:23" ht="13.5" thickBot="1" x14ac:dyDescent="0.25">
      <c r="A19" s="10">
        <v>44364</v>
      </c>
      <c r="B19" s="42">
        <f t="shared" si="10"/>
        <v>45334</v>
      </c>
      <c r="C19" s="16">
        <f t="shared" si="0"/>
        <v>0</v>
      </c>
      <c r="D19" s="42">
        <f t="shared" si="11"/>
        <v>39554</v>
      </c>
      <c r="E19" s="16">
        <f t="shared" si="1"/>
        <v>0</v>
      </c>
      <c r="F19" s="42">
        <f t="shared" si="12"/>
        <v>20414</v>
      </c>
      <c r="G19" s="16">
        <f t="shared" si="2"/>
        <v>0</v>
      </c>
      <c r="H19" s="42">
        <f t="shared" si="13"/>
        <v>242642</v>
      </c>
      <c r="I19" s="16">
        <f t="shared" si="3"/>
        <v>0</v>
      </c>
      <c r="J19" s="42">
        <v>303517</v>
      </c>
      <c r="K19" s="16">
        <f t="shared" si="4"/>
        <v>0</v>
      </c>
      <c r="L19" s="42">
        <f t="shared" si="14"/>
        <v>24988</v>
      </c>
      <c r="M19" s="16">
        <f t="shared" si="5"/>
        <v>0</v>
      </c>
      <c r="N19" s="42">
        <f t="shared" si="15"/>
        <v>215547</v>
      </c>
      <c r="O19" s="16">
        <f t="shared" si="6"/>
        <v>0</v>
      </c>
      <c r="P19" s="42">
        <f t="shared" si="16"/>
        <v>106320</v>
      </c>
      <c r="Q19" s="16">
        <f t="shared" si="7"/>
        <v>0</v>
      </c>
      <c r="R19" s="1">
        <v>55047</v>
      </c>
      <c r="S19" s="16">
        <f t="shared" si="8"/>
        <v>0</v>
      </c>
      <c r="T19" s="42">
        <f t="shared" si="17"/>
        <v>3653</v>
      </c>
      <c r="U19" s="16">
        <f t="shared" si="9"/>
        <v>0</v>
      </c>
      <c r="W19" t="s">
        <v>12</v>
      </c>
    </row>
    <row r="20" spans="1:23" ht="13.5" thickBot="1" x14ac:dyDescent="0.25">
      <c r="A20" s="10">
        <v>44365</v>
      </c>
      <c r="B20" s="42">
        <f t="shared" si="10"/>
        <v>45334</v>
      </c>
      <c r="C20" s="16">
        <f t="shared" si="0"/>
        <v>0</v>
      </c>
      <c r="D20" s="42">
        <f t="shared" si="11"/>
        <v>39554</v>
      </c>
      <c r="E20" s="16">
        <f t="shared" si="1"/>
        <v>0</v>
      </c>
      <c r="F20" s="42">
        <f t="shared" si="12"/>
        <v>20414</v>
      </c>
      <c r="G20" s="16">
        <f t="shared" si="2"/>
        <v>0</v>
      </c>
      <c r="H20" s="42">
        <f t="shared" si="13"/>
        <v>242642</v>
      </c>
      <c r="I20" s="16">
        <f t="shared" si="3"/>
        <v>0</v>
      </c>
      <c r="J20" s="42">
        <v>303517</v>
      </c>
      <c r="K20" s="16">
        <v>0</v>
      </c>
      <c r="L20" s="42">
        <f t="shared" si="14"/>
        <v>24988</v>
      </c>
      <c r="M20" s="16">
        <f t="shared" si="5"/>
        <v>0</v>
      </c>
      <c r="N20" s="42">
        <f t="shared" si="15"/>
        <v>215547</v>
      </c>
      <c r="O20" s="16">
        <f t="shared" si="6"/>
        <v>0</v>
      </c>
      <c r="P20" s="42">
        <f t="shared" si="16"/>
        <v>106320</v>
      </c>
      <c r="Q20" s="16">
        <f t="shared" si="7"/>
        <v>0</v>
      </c>
      <c r="R20" s="1">
        <v>55047</v>
      </c>
      <c r="S20" s="16">
        <f t="shared" si="8"/>
        <v>0</v>
      </c>
      <c r="T20" s="42">
        <f t="shared" si="17"/>
        <v>3653</v>
      </c>
      <c r="U20" s="16">
        <f t="shared" si="9"/>
        <v>0</v>
      </c>
    </row>
    <row r="21" spans="1:23" ht="13.5" thickBot="1" x14ac:dyDescent="0.25">
      <c r="A21" s="10">
        <v>44366</v>
      </c>
      <c r="B21" s="42">
        <f t="shared" si="10"/>
        <v>45334</v>
      </c>
      <c r="C21" s="16">
        <f t="shared" si="0"/>
        <v>0</v>
      </c>
      <c r="D21" s="42">
        <f t="shared" si="11"/>
        <v>39554</v>
      </c>
      <c r="E21" s="16">
        <f t="shared" si="1"/>
        <v>0</v>
      </c>
      <c r="F21" s="42">
        <f t="shared" si="12"/>
        <v>20414</v>
      </c>
      <c r="G21" s="16">
        <f t="shared" si="2"/>
        <v>0</v>
      </c>
      <c r="H21" s="42">
        <f t="shared" si="13"/>
        <v>242642</v>
      </c>
      <c r="I21" s="16">
        <f t="shared" si="3"/>
        <v>0</v>
      </c>
      <c r="J21" s="42">
        <v>303517</v>
      </c>
      <c r="K21" s="16">
        <f t="shared" si="4"/>
        <v>0</v>
      </c>
      <c r="L21" s="42">
        <f t="shared" si="14"/>
        <v>24988</v>
      </c>
      <c r="M21" s="16">
        <f t="shared" si="5"/>
        <v>0</v>
      </c>
      <c r="N21" s="42">
        <f t="shared" si="15"/>
        <v>215547</v>
      </c>
      <c r="O21" s="16">
        <f t="shared" si="6"/>
        <v>0</v>
      </c>
      <c r="P21" s="42">
        <f t="shared" si="16"/>
        <v>106320</v>
      </c>
      <c r="Q21" s="16">
        <f t="shared" si="7"/>
        <v>0</v>
      </c>
      <c r="R21" s="1">
        <v>55047</v>
      </c>
      <c r="S21" s="16">
        <f t="shared" si="8"/>
        <v>0</v>
      </c>
      <c r="T21" s="42">
        <f t="shared" si="17"/>
        <v>3653</v>
      </c>
      <c r="U21" s="16">
        <f t="shared" si="9"/>
        <v>0</v>
      </c>
    </row>
    <row r="22" spans="1:23" ht="13.5" thickBot="1" x14ac:dyDescent="0.25">
      <c r="A22" s="10">
        <v>44367</v>
      </c>
      <c r="B22" s="42">
        <f t="shared" si="10"/>
        <v>45334</v>
      </c>
      <c r="C22" s="16">
        <f t="shared" si="0"/>
        <v>0</v>
      </c>
      <c r="D22" s="42">
        <f t="shared" si="11"/>
        <v>39554</v>
      </c>
      <c r="E22" s="16">
        <f t="shared" si="1"/>
        <v>0</v>
      </c>
      <c r="F22" s="42">
        <f t="shared" si="12"/>
        <v>20414</v>
      </c>
      <c r="G22" s="16">
        <f t="shared" si="2"/>
        <v>0</v>
      </c>
      <c r="H22" s="42">
        <f t="shared" si="13"/>
        <v>242642</v>
      </c>
      <c r="I22" s="16">
        <f t="shared" si="3"/>
        <v>0</v>
      </c>
      <c r="J22" s="42">
        <v>303517</v>
      </c>
      <c r="K22" s="16">
        <f t="shared" si="4"/>
        <v>0</v>
      </c>
      <c r="L22" s="42">
        <f t="shared" si="14"/>
        <v>24988</v>
      </c>
      <c r="M22" s="16">
        <f t="shared" si="5"/>
        <v>0</v>
      </c>
      <c r="N22" s="42">
        <f t="shared" si="15"/>
        <v>215547</v>
      </c>
      <c r="O22" s="16">
        <f t="shared" si="6"/>
        <v>0</v>
      </c>
      <c r="P22" s="42">
        <f t="shared" si="16"/>
        <v>106320</v>
      </c>
      <c r="Q22" s="16">
        <f t="shared" si="7"/>
        <v>0</v>
      </c>
      <c r="R22" s="1">
        <v>55047</v>
      </c>
      <c r="S22" s="16">
        <f t="shared" si="8"/>
        <v>0</v>
      </c>
      <c r="T22" s="42">
        <f t="shared" si="17"/>
        <v>3653</v>
      </c>
      <c r="U22" s="16">
        <f t="shared" si="9"/>
        <v>0</v>
      </c>
    </row>
    <row r="23" spans="1:23" ht="13.5" thickBot="1" x14ac:dyDescent="0.25">
      <c r="A23" s="10">
        <v>44368</v>
      </c>
      <c r="B23" s="42">
        <f t="shared" si="10"/>
        <v>45334</v>
      </c>
      <c r="C23" s="16">
        <f t="shared" si="0"/>
        <v>0</v>
      </c>
      <c r="D23" s="42">
        <f t="shared" si="11"/>
        <v>39554</v>
      </c>
      <c r="E23" s="16">
        <f t="shared" si="1"/>
        <v>0</v>
      </c>
      <c r="F23" s="42">
        <f t="shared" si="12"/>
        <v>20414</v>
      </c>
      <c r="G23" s="16">
        <f t="shared" si="2"/>
        <v>0</v>
      </c>
      <c r="H23" s="42">
        <f t="shared" si="13"/>
        <v>242642</v>
      </c>
      <c r="I23" s="16">
        <f t="shared" si="3"/>
        <v>0</v>
      </c>
      <c r="J23" s="42">
        <v>303517</v>
      </c>
      <c r="K23" s="16">
        <f t="shared" si="4"/>
        <v>0</v>
      </c>
      <c r="L23" s="42">
        <f t="shared" si="14"/>
        <v>24988</v>
      </c>
      <c r="M23" s="16">
        <f t="shared" si="5"/>
        <v>0</v>
      </c>
      <c r="N23" s="42">
        <f t="shared" si="15"/>
        <v>215547</v>
      </c>
      <c r="O23" s="16">
        <f t="shared" si="6"/>
        <v>0</v>
      </c>
      <c r="P23" s="42">
        <f t="shared" si="16"/>
        <v>106320</v>
      </c>
      <c r="Q23" s="16">
        <f t="shared" si="7"/>
        <v>0</v>
      </c>
      <c r="R23" s="1">
        <v>55047</v>
      </c>
      <c r="S23" s="16">
        <f t="shared" si="8"/>
        <v>0</v>
      </c>
      <c r="T23" s="42">
        <f t="shared" si="17"/>
        <v>3653</v>
      </c>
      <c r="U23" s="16">
        <f t="shared" si="9"/>
        <v>0</v>
      </c>
    </row>
    <row r="24" spans="1:23" s="153" customFormat="1" ht="13.5" thickBot="1" x14ac:dyDescent="0.25">
      <c r="A24" s="10">
        <v>44369</v>
      </c>
      <c r="B24" s="42">
        <f t="shared" si="10"/>
        <v>45334</v>
      </c>
      <c r="C24" s="16">
        <f t="shared" si="0"/>
        <v>0</v>
      </c>
      <c r="D24" s="42">
        <f t="shared" si="11"/>
        <v>39554</v>
      </c>
      <c r="E24" s="16">
        <f t="shared" si="1"/>
        <v>0</v>
      </c>
      <c r="F24" s="42">
        <f t="shared" si="12"/>
        <v>20414</v>
      </c>
      <c r="G24" s="16">
        <f t="shared" si="2"/>
        <v>0</v>
      </c>
      <c r="H24" s="42">
        <f t="shared" si="13"/>
        <v>242642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si="14"/>
        <v>24988</v>
      </c>
      <c r="M24" s="16">
        <f t="shared" si="5"/>
        <v>0</v>
      </c>
      <c r="N24" s="42">
        <f t="shared" si="15"/>
        <v>215547</v>
      </c>
      <c r="O24" s="16">
        <f t="shared" si="6"/>
        <v>0</v>
      </c>
      <c r="P24" s="42">
        <f t="shared" si="16"/>
        <v>106320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si="17"/>
        <v>3653</v>
      </c>
      <c r="U24" s="16">
        <f t="shared" si="9"/>
        <v>0</v>
      </c>
    </row>
    <row r="25" spans="1:23" ht="13.5" thickBot="1" x14ac:dyDescent="0.25">
      <c r="A25" s="10">
        <v>44370</v>
      </c>
      <c r="B25" s="42">
        <f t="shared" si="10"/>
        <v>45334</v>
      </c>
      <c r="C25" s="16">
        <f t="shared" si="0"/>
        <v>0</v>
      </c>
      <c r="D25" s="42">
        <f t="shared" si="11"/>
        <v>39554</v>
      </c>
      <c r="E25" s="16">
        <f t="shared" si="1"/>
        <v>0</v>
      </c>
      <c r="F25" s="42">
        <f t="shared" si="12"/>
        <v>20414</v>
      </c>
      <c r="G25" s="16">
        <f t="shared" si="2"/>
        <v>0</v>
      </c>
      <c r="H25" s="42">
        <f t="shared" si="13"/>
        <v>242642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4"/>
        <v>24988</v>
      </c>
      <c r="M25" s="16">
        <f t="shared" si="5"/>
        <v>0</v>
      </c>
      <c r="N25" s="42">
        <f t="shared" si="15"/>
        <v>215547</v>
      </c>
      <c r="O25" s="16">
        <f t="shared" si="6"/>
        <v>0</v>
      </c>
      <c r="P25" s="42">
        <f t="shared" si="16"/>
        <v>106320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7"/>
        <v>3653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44371</v>
      </c>
      <c r="B26" s="42">
        <f t="shared" si="10"/>
        <v>45334</v>
      </c>
      <c r="C26" s="16">
        <f t="shared" si="0"/>
        <v>0</v>
      </c>
      <c r="D26" s="42">
        <f t="shared" si="11"/>
        <v>39554</v>
      </c>
      <c r="E26" s="16">
        <f t="shared" si="1"/>
        <v>0</v>
      </c>
      <c r="F26" s="42">
        <f t="shared" si="12"/>
        <v>20414</v>
      </c>
      <c r="G26" s="16">
        <f t="shared" si="2"/>
        <v>0</v>
      </c>
      <c r="H26" s="42">
        <f t="shared" si="13"/>
        <v>242642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4"/>
        <v>24988</v>
      </c>
      <c r="M26" s="16">
        <f t="shared" si="5"/>
        <v>0</v>
      </c>
      <c r="N26" s="42">
        <f t="shared" si="15"/>
        <v>215547</v>
      </c>
      <c r="O26" s="16">
        <f t="shared" si="6"/>
        <v>0</v>
      </c>
      <c r="P26" s="42">
        <f t="shared" si="16"/>
        <v>106320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7"/>
        <v>3653</v>
      </c>
      <c r="U26" s="16">
        <f t="shared" si="9"/>
        <v>0</v>
      </c>
      <c r="W26" t="s">
        <v>12</v>
      </c>
    </row>
    <row r="27" spans="1:23" ht="13.5" thickBot="1" x14ac:dyDescent="0.25">
      <c r="A27" s="10">
        <v>44372</v>
      </c>
      <c r="B27" s="42">
        <f t="shared" si="10"/>
        <v>45334</v>
      </c>
      <c r="C27" s="16">
        <f t="shared" si="0"/>
        <v>0</v>
      </c>
      <c r="D27" s="42">
        <f t="shared" si="11"/>
        <v>39554</v>
      </c>
      <c r="E27" s="16">
        <f t="shared" si="1"/>
        <v>0</v>
      </c>
      <c r="F27" s="42">
        <f t="shared" si="12"/>
        <v>20414</v>
      </c>
      <c r="G27" s="16">
        <f t="shared" si="2"/>
        <v>0</v>
      </c>
      <c r="H27" s="42">
        <f t="shared" si="13"/>
        <v>242642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4"/>
        <v>24988</v>
      </c>
      <c r="M27" s="16">
        <f t="shared" si="5"/>
        <v>0</v>
      </c>
      <c r="N27" s="42">
        <f t="shared" si="15"/>
        <v>215547</v>
      </c>
      <c r="O27" s="16">
        <f t="shared" si="6"/>
        <v>0</v>
      </c>
      <c r="P27" s="42">
        <f t="shared" si="16"/>
        <v>106320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7"/>
        <v>3653</v>
      </c>
      <c r="U27" s="16">
        <f t="shared" si="9"/>
        <v>0</v>
      </c>
    </row>
    <row r="28" spans="1:23" ht="13.5" thickBot="1" x14ac:dyDescent="0.25">
      <c r="A28" s="10">
        <v>44373</v>
      </c>
      <c r="B28" s="42">
        <f t="shared" si="10"/>
        <v>45334</v>
      </c>
      <c r="C28" s="16">
        <f t="shared" si="0"/>
        <v>0</v>
      </c>
      <c r="D28" s="42">
        <f t="shared" si="11"/>
        <v>39554</v>
      </c>
      <c r="E28" s="16">
        <f t="shared" si="1"/>
        <v>0</v>
      </c>
      <c r="F28" s="42">
        <f t="shared" si="12"/>
        <v>20414</v>
      </c>
      <c r="G28" s="16">
        <f t="shared" si="2"/>
        <v>0</v>
      </c>
      <c r="H28" s="42">
        <f t="shared" si="13"/>
        <v>242642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4"/>
        <v>24988</v>
      </c>
      <c r="M28" s="16">
        <f t="shared" si="5"/>
        <v>0</v>
      </c>
      <c r="N28" s="42">
        <f t="shared" si="15"/>
        <v>215547</v>
      </c>
      <c r="O28" s="16">
        <f t="shared" si="6"/>
        <v>0</v>
      </c>
      <c r="P28" s="42">
        <f t="shared" si="16"/>
        <v>106320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7"/>
        <v>3653</v>
      </c>
      <c r="U28" s="16">
        <f t="shared" si="9"/>
        <v>0</v>
      </c>
    </row>
    <row r="29" spans="1:23" ht="13.5" thickBot="1" x14ac:dyDescent="0.25">
      <c r="A29" s="10">
        <v>44374</v>
      </c>
      <c r="B29" s="42">
        <f t="shared" si="10"/>
        <v>45334</v>
      </c>
      <c r="C29" s="16">
        <f t="shared" si="0"/>
        <v>0</v>
      </c>
      <c r="D29" s="42">
        <f t="shared" si="11"/>
        <v>39554</v>
      </c>
      <c r="E29" s="16">
        <f t="shared" si="1"/>
        <v>0</v>
      </c>
      <c r="F29" s="42">
        <f t="shared" si="12"/>
        <v>20414</v>
      </c>
      <c r="G29" s="16">
        <f t="shared" si="2"/>
        <v>0</v>
      </c>
      <c r="H29" s="42">
        <f t="shared" si="13"/>
        <v>242642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4"/>
        <v>24988</v>
      </c>
      <c r="M29" s="16">
        <f t="shared" si="5"/>
        <v>0</v>
      </c>
      <c r="N29" s="42">
        <f t="shared" si="15"/>
        <v>215547</v>
      </c>
      <c r="O29" s="16">
        <f t="shared" si="6"/>
        <v>0</v>
      </c>
      <c r="P29" s="42">
        <f t="shared" si="16"/>
        <v>106320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3653</v>
      </c>
      <c r="U29" s="16">
        <f t="shared" si="9"/>
        <v>0</v>
      </c>
    </row>
    <row r="30" spans="1:23" ht="13.5" thickBot="1" x14ac:dyDescent="0.25">
      <c r="A30" s="10">
        <v>44375</v>
      </c>
      <c r="B30" s="42">
        <f t="shared" si="10"/>
        <v>45334</v>
      </c>
      <c r="C30" s="16">
        <f t="shared" si="0"/>
        <v>0</v>
      </c>
      <c r="D30" s="42">
        <f t="shared" si="11"/>
        <v>39554</v>
      </c>
      <c r="E30" s="16">
        <f t="shared" si="1"/>
        <v>0</v>
      </c>
      <c r="F30" s="42">
        <f t="shared" si="12"/>
        <v>20414</v>
      </c>
      <c r="G30" s="16">
        <f t="shared" si="2"/>
        <v>0</v>
      </c>
      <c r="H30" s="42">
        <f t="shared" si="13"/>
        <v>242642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4"/>
        <v>24988</v>
      </c>
      <c r="M30" s="16">
        <f t="shared" si="5"/>
        <v>0</v>
      </c>
      <c r="N30" s="42">
        <f t="shared" si="15"/>
        <v>215547</v>
      </c>
      <c r="O30" s="16">
        <f t="shared" si="6"/>
        <v>0</v>
      </c>
      <c r="P30" s="42">
        <f t="shared" si="16"/>
        <v>106320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3653</v>
      </c>
      <c r="U30" s="16">
        <f t="shared" si="9"/>
        <v>0</v>
      </c>
    </row>
    <row r="31" spans="1:23" ht="13.5" thickBot="1" x14ac:dyDescent="0.25">
      <c r="A31" s="10">
        <v>44376</v>
      </c>
      <c r="B31" s="42">
        <f t="shared" si="10"/>
        <v>45334</v>
      </c>
      <c r="C31" s="16">
        <f t="shared" si="0"/>
        <v>0</v>
      </c>
      <c r="D31" s="42">
        <f t="shared" si="11"/>
        <v>39554</v>
      </c>
      <c r="E31" s="16">
        <f t="shared" si="1"/>
        <v>0</v>
      </c>
      <c r="F31" s="42">
        <f t="shared" si="12"/>
        <v>20414</v>
      </c>
      <c r="G31" s="16">
        <f t="shared" si="2"/>
        <v>0</v>
      </c>
      <c r="H31" s="42">
        <f t="shared" si="13"/>
        <v>242642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4"/>
        <v>24988</v>
      </c>
      <c r="M31" s="16">
        <f t="shared" si="5"/>
        <v>0</v>
      </c>
      <c r="N31" s="42">
        <f t="shared" si="15"/>
        <v>215547</v>
      </c>
      <c r="O31" s="16">
        <f t="shared" si="6"/>
        <v>0</v>
      </c>
      <c r="P31" s="42">
        <f t="shared" si="16"/>
        <v>106320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3653</v>
      </c>
      <c r="U31" s="16">
        <f t="shared" si="9"/>
        <v>0</v>
      </c>
    </row>
    <row r="32" spans="1:23" ht="15" customHeight="1" thickBot="1" x14ac:dyDescent="0.25">
      <c r="A32" s="10">
        <v>44377</v>
      </c>
      <c r="B32" s="42">
        <f t="shared" si="10"/>
        <v>45334</v>
      </c>
      <c r="C32" s="16">
        <f t="shared" si="0"/>
        <v>0</v>
      </c>
      <c r="D32" s="42">
        <f t="shared" si="11"/>
        <v>39554</v>
      </c>
      <c r="E32" s="16">
        <f t="shared" si="1"/>
        <v>0</v>
      </c>
      <c r="F32" s="42">
        <f t="shared" si="12"/>
        <v>20414</v>
      </c>
      <c r="G32" s="16">
        <f t="shared" si="2"/>
        <v>0</v>
      </c>
      <c r="H32" s="42">
        <f t="shared" si="13"/>
        <v>242642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4"/>
        <v>24988</v>
      </c>
      <c r="M32" s="16">
        <f t="shared" si="5"/>
        <v>0</v>
      </c>
      <c r="N32" s="42">
        <f t="shared" si="15"/>
        <v>215547</v>
      </c>
      <c r="O32" s="16">
        <f t="shared" si="6"/>
        <v>0</v>
      </c>
      <c r="P32" s="42">
        <f t="shared" si="16"/>
        <v>106320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3653</v>
      </c>
      <c r="U32" s="16">
        <f t="shared" si="9"/>
        <v>0</v>
      </c>
      <c r="V32" t="s">
        <v>12</v>
      </c>
    </row>
    <row r="33" spans="1:21" ht="13.5" thickBot="1" x14ac:dyDescent="0.25">
      <c r="A33" s="10">
        <v>44377</v>
      </c>
      <c r="B33" s="42">
        <f t="shared" si="10"/>
        <v>45334</v>
      </c>
      <c r="C33" s="16">
        <f t="shared" si="0"/>
        <v>0</v>
      </c>
      <c r="D33" s="42">
        <f t="shared" si="11"/>
        <v>39554</v>
      </c>
      <c r="E33" s="16">
        <f t="shared" si="1"/>
        <v>0</v>
      </c>
      <c r="F33" s="42">
        <f t="shared" si="12"/>
        <v>20414</v>
      </c>
      <c r="G33" s="16">
        <f t="shared" si="2"/>
        <v>0</v>
      </c>
      <c r="H33" s="42">
        <f t="shared" si="13"/>
        <v>242642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4"/>
        <v>24988</v>
      </c>
      <c r="M33" s="16">
        <f t="shared" si="5"/>
        <v>0</v>
      </c>
      <c r="N33" s="42">
        <f t="shared" si="15"/>
        <v>215547</v>
      </c>
      <c r="O33" s="16">
        <f t="shared" si="6"/>
        <v>0</v>
      </c>
      <c r="P33" s="42">
        <f t="shared" si="16"/>
        <v>106320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3653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960</v>
      </c>
      <c r="D34" s="13"/>
      <c r="E34" s="11">
        <f>SUM(E3:E33)</f>
        <v>480</v>
      </c>
      <c r="F34" s="13"/>
      <c r="G34" s="11">
        <f>SUM(G3:G33)</f>
        <v>60</v>
      </c>
      <c r="H34" s="13"/>
      <c r="I34" s="11">
        <f>SUM(I3:I33)</f>
        <v>57</v>
      </c>
      <c r="J34" s="13"/>
      <c r="K34" s="11">
        <f>SUM(K3:K33)</f>
        <v>0</v>
      </c>
      <c r="L34" s="13"/>
      <c r="M34" s="11">
        <f>SUM(M3:M33)</f>
        <v>640</v>
      </c>
      <c r="N34" s="43"/>
      <c r="O34" s="11">
        <f>SUM(O3:O33)</f>
        <v>3</v>
      </c>
      <c r="P34" s="13"/>
      <c r="Q34" s="11">
        <f>SUM(Q3:Q33)</f>
        <v>149</v>
      </c>
      <c r="R34" s="1"/>
      <c r="S34" s="11">
        <f>SUM(S3:S33)</f>
        <v>0</v>
      </c>
      <c r="T34" s="1"/>
      <c r="U34" s="11">
        <f>SUM(U3:U33)</f>
        <v>160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3" sqref="A3:XFD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44347</v>
      </c>
      <c r="B2" s="3">
        <v>412240</v>
      </c>
      <c r="C2" s="49"/>
      <c r="D2" s="3">
        <v>4377900</v>
      </c>
      <c r="E2" s="49">
        <v>0</v>
      </c>
      <c r="F2" s="3">
        <v>3251800</v>
      </c>
      <c r="G2" s="49"/>
      <c r="H2" s="3">
        <v>734422</v>
      </c>
      <c r="I2" s="54"/>
      <c r="J2" s="23"/>
      <c r="K2" s="24"/>
    </row>
    <row r="3" spans="1:14" ht="16.5" thickBot="1" x14ac:dyDescent="0.3">
      <c r="A3" s="10">
        <v>44348</v>
      </c>
      <c r="B3" s="3">
        <v>412383</v>
      </c>
      <c r="C3" s="49">
        <f t="shared" ref="C3" si="0">(IF((B3-B2)&lt;0,"0",(B3-B2)))*10</f>
        <v>1430</v>
      </c>
      <c r="D3" s="3">
        <v>4377900</v>
      </c>
      <c r="E3" s="49">
        <f>(IF((D3-D2)&lt;0,"0",(D3-D2)))*0.027</f>
        <v>0</v>
      </c>
      <c r="F3" s="3">
        <v>3264300</v>
      </c>
      <c r="G3" s="49">
        <f>(IF((F3-F2)&lt;0,"0",(F3-F2)))*0.027</f>
        <v>337.5</v>
      </c>
      <c r="H3" s="3">
        <v>734541</v>
      </c>
      <c r="I3" s="54">
        <f>(IF((H3-H2)&lt;0,"0",(H3-H2)))*0.027</f>
        <v>3.2130000000000001</v>
      </c>
      <c r="J3" s="23">
        <f t="shared" ref="J3" si="1">C3+E3+G3+I3</f>
        <v>1770.713</v>
      </c>
      <c r="K3" s="24">
        <f t="shared" ref="K3" si="2">J3*5.86</f>
        <v>10376.37818</v>
      </c>
    </row>
    <row r="4" spans="1:14" ht="16.5" thickBot="1" x14ac:dyDescent="0.3">
      <c r="A4" s="10">
        <v>44349</v>
      </c>
      <c r="B4" s="3"/>
      <c r="C4" s="49">
        <f t="shared" ref="C4:C8" si="3">(IF((B4-B3)&lt;0,"0",(B4-B3)))*10</f>
        <v>0</v>
      </c>
      <c r="D4" s="3"/>
      <c r="E4" s="49">
        <f t="shared" ref="E4:E33" si="4">(IF((D4-D3)&lt;0,"0",(D4-D3)))*0.027</f>
        <v>0</v>
      </c>
      <c r="F4" s="3"/>
      <c r="G4" s="49">
        <f>(IF((F4-F3)&lt;0,"0",(F4-F3)))*0.027</f>
        <v>0</v>
      </c>
      <c r="H4" s="3"/>
      <c r="I4" s="54">
        <f>(IF((H4-H3)&lt;0,"0",(H4-H3)))*0.027</f>
        <v>0</v>
      </c>
      <c r="J4" s="23">
        <f t="shared" ref="J4:J33" si="5">C4+E4+G4+I4</f>
        <v>0</v>
      </c>
      <c r="K4" s="24">
        <f t="shared" ref="K4:K33" si="6">J4*5.86</f>
        <v>0</v>
      </c>
    </row>
    <row r="5" spans="1:14" ht="16.5" thickBot="1" x14ac:dyDescent="0.3">
      <c r="A5" s="10">
        <v>44350</v>
      </c>
      <c r="B5" s="3"/>
      <c r="C5" s="49">
        <f t="shared" si="3"/>
        <v>0</v>
      </c>
      <c r="D5" s="3"/>
      <c r="E5" s="49">
        <f t="shared" si="4"/>
        <v>0</v>
      </c>
      <c r="F5" s="3"/>
      <c r="G5" s="49">
        <f t="shared" ref="G5:G33" si="7">(IF((F5-F4)&lt;0,"0",(F5-F4)))*0.027</f>
        <v>0</v>
      </c>
      <c r="H5" s="3"/>
      <c r="I5" s="54">
        <f t="shared" ref="I5:I33" si="8">(IF((H5-H4)&lt;0,"0",(H5-H4)))*0.027</f>
        <v>0</v>
      </c>
      <c r="J5" s="23">
        <f t="shared" si="5"/>
        <v>0</v>
      </c>
      <c r="K5" s="24">
        <f t="shared" si="6"/>
        <v>0</v>
      </c>
    </row>
    <row r="6" spans="1:14" ht="16.5" thickBot="1" x14ac:dyDescent="0.3">
      <c r="A6" s="10">
        <v>44351</v>
      </c>
      <c r="B6" s="3"/>
      <c r="C6" s="49">
        <f t="shared" si="3"/>
        <v>0</v>
      </c>
      <c r="D6" s="3"/>
      <c r="E6" s="49">
        <f t="shared" si="4"/>
        <v>0</v>
      </c>
      <c r="F6" s="3"/>
      <c r="G6" s="49">
        <f t="shared" si="7"/>
        <v>0</v>
      </c>
      <c r="H6" s="3"/>
      <c r="I6" s="54">
        <f t="shared" si="8"/>
        <v>0</v>
      </c>
      <c r="J6" s="23">
        <f t="shared" si="5"/>
        <v>0</v>
      </c>
      <c r="K6" s="24">
        <f t="shared" si="6"/>
        <v>0</v>
      </c>
    </row>
    <row r="7" spans="1:14" ht="16.5" thickBot="1" x14ac:dyDescent="0.3">
      <c r="A7" s="10">
        <v>44352</v>
      </c>
      <c r="B7" s="3"/>
      <c r="C7" s="49">
        <f t="shared" si="3"/>
        <v>0</v>
      </c>
      <c r="D7" s="3"/>
      <c r="E7" s="49">
        <f t="shared" si="4"/>
        <v>0</v>
      </c>
      <c r="F7" s="3"/>
      <c r="G7" s="49">
        <f t="shared" si="7"/>
        <v>0</v>
      </c>
      <c r="H7" s="3"/>
      <c r="I7" s="54">
        <f t="shared" si="8"/>
        <v>0</v>
      </c>
      <c r="J7" s="23">
        <f t="shared" si="5"/>
        <v>0</v>
      </c>
      <c r="K7" s="24">
        <f t="shared" si="6"/>
        <v>0</v>
      </c>
      <c r="L7" t="s">
        <v>12</v>
      </c>
      <c r="N7" t="s">
        <v>12</v>
      </c>
    </row>
    <row r="8" spans="1:14" ht="16.5" thickBot="1" x14ac:dyDescent="0.3">
      <c r="A8" s="10">
        <v>44353</v>
      </c>
      <c r="B8" s="3"/>
      <c r="C8" s="49">
        <f t="shared" si="3"/>
        <v>0</v>
      </c>
      <c r="D8" s="3"/>
      <c r="E8" s="49">
        <f t="shared" si="4"/>
        <v>0</v>
      </c>
      <c r="F8" s="3"/>
      <c r="G8" s="49">
        <f t="shared" si="7"/>
        <v>0</v>
      </c>
      <c r="H8" s="3"/>
      <c r="I8" s="54">
        <f t="shared" si="8"/>
        <v>0</v>
      </c>
      <c r="J8" s="23">
        <f t="shared" si="5"/>
        <v>0</v>
      </c>
      <c r="K8" s="24">
        <f t="shared" si="6"/>
        <v>0</v>
      </c>
    </row>
    <row r="9" spans="1:14" ht="16.5" thickBot="1" x14ac:dyDescent="0.3">
      <c r="A9" s="10">
        <v>44354</v>
      </c>
      <c r="B9" s="3"/>
      <c r="C9" s="49">
        <f t="shared" ref="C9:C33" si="9">(IF((B9-B8)&lt;0,"0",(B9-B8)))*10</f>
        <v>0</v>
      </c>
      <c r="D9" s="3"/>
      <c r="E9" s="49">
        <f t="shared" si="4"/>
        <v>0</v>
      </c>
      <c r="F9" s="3"/>
      <c r="G9" s="49">
        <f t="shared" si="7"/>
        <v>0</v>
      </c>
      <c r="H9" s="3"/>
      <c r="I9" s="54">
        <f t="shared" si="8"/>
        <v>0</v>
      </c>
      <c r="J9" s="23">
        <f t="shared" si="5"/>
        <v>0</v>
      </c>
      <c r="K9" s="24">
        <f t="shared" si="6"/>
        <v>0</v>
      </c>
    </row>
    <row r="10" spans="1:14" ht="16.5" thickBot="1" x14ac:dyDescent="0.3">
      <c r="A10" s="10">
        <v>44355</v>
      </c>
      <c r="B10" s="3"/>
      <c r="C10" s="49">
        <f>(IF((B10-B9)&lt;0,"0",(B10-B9)))*10</f>
        <v>0</v>
      </c>
      <c r="D10" s="3"/>
      <c r="E10" s="49">
        <f t="shared" si="4"/>
        <v>0</v>
      </c>
      <c r="F10" s="3"/>
      <c r="G10" s="49">
        <f t="shared" si="7"/>
        <v>0</v>
      </c>
      <c r="H10" s="3"/>
      <c r="I10" s="54">
        <f t="shared" si="8"/>
        <v>0</v>
      </c>
      <c r="J10" s="23">
        <f t="shared" si="5"/>
        <v>0</v>
      </c>
      <c r="K10" s="24">
        <f t="shared" si="6"/>
        <v>0</v>
      </c>
    </row>
    <row r="11" spans="1:14" ht="16.5" thickBot="1" x14ac:dyDescent="0.3">
      <c r="A11" s="10">
        <v>44356</v>
      </c>
      <c r="B11" s="3"/>
      <c r="C11" s="49">
        <f t="shared" si="9"/>
        <v>0</v>
      </c>
      <c r="D11" s="3"/>
      <c r="E11" s="49">
        <f t="shared" si="4"/>
        <v>0</v>
      </c>
      <c r="F11" s="3"/>
      <c r="G11" s="49">
        <f t="shared" si="7"/>
        <v>0</v>
      </c>
      <c r="H11" s="3"/>
      <c r="I11" s="54">
        <f t="shared" si="8"/>
        <v>0</v>
      </c>
      <c r="J11" s="23">
        <f t="shared" si="5"/>
        <v>0</v>
      </c>
      <c r="K11" s="24">
        <f t="shared" si="6"/>
        <v>0</v>
      </c>
      <c r="N11" t="s">
        <v>12</v>
      </c>
    </row>
    <row r="12" spans="1:14" ht="16.5" thickBot="1" x14ac:dyDescent="0.3">
      <c r="A12" s="10">
        <v>44357</v>
      </c>
      <c r="B12" s="3"/>
      <c r="C12" s="49">
        <f t="shared" si="9"/>
        <v>0</v>
      </c>
      <c r="D12" s="3"/>
      <c r="E12" s="49">
        <f t="shared" si="4"/>
        <v>0</v>
      </c>
      <c r="F12" s="3"/>
      <c r="G12" s="49">
        <f t="shared" si="7"/>
        <v>0</v>
      </c>
      <c r="H12" s="3"/>
      <c r="I12" s="54">
        <f t="shared" si="8"/>
        <v>0</v>
      </c>
      <c r="J12" s="23">
        <f t="shared" si="5"/>
        <v>0</v>
      </c>
      <c r="K12" s="24">
        <f t="shared" si="6"/>
        <v>0</v>
      </c>
    </row>
    <row r="13" spans="1:14" ht="16.5" thickBot="1" x14ac:dyDescent="0.3">
      <c r="A13" s="10">
        <v>44358</v>
      </c>
      <c r="B13" s="3"/>
      <c r="C13" s="49">
        <f t="shared" si="9"/>
        <v>0</v>
      </c>
      <c r="D13" s="3"/>
      <c r="E13" s="49">
        <f t="shared" si="4"/>
        <v>0</v>
      </c>
      <c r="F13" s="3"/>
      <c r="G13" s="49">
        <f t="shared" si="7"/>
        <v>0</v>
      </c>
      <c r="H13" s="3"/>
      <c r="I13" s="54">
        <f t="shared" si="8"/>
        <v>0</v>
      </c>
      <c r="J13" s="23">
        <f t="shared" si="5"/>
        <v>0</v>
      </c>
      <c r="K13" s="24">
        <f t="shared" si="6"/>
        <v>0</v>
      </c>
    </row>
    <row r="14" spans="1:14" ht="16.5" thickBot="1" x14ac:dyDescent="0.3">
      <c r="A14" s="10">
        <v>44359</v>
      </c>
      <c r="B14" s="3"/>
      <c r="C14" s="49">
        <f t="shared" si="9"/>
        <v>0</v>
      </c>
      <c r="D14" s="3"/>
      <c r="E14" s="49">
        <f t="shared" si="4"/>
        <v>0</v>
      </c>
      <c r="F14" s="3"/>
      <c r="G14" s="49">
        <f t="shared" si="7"/>
        <v>0</v>
      </c>
      <c r="H14" s="3"/>
      <c r="I14" s="54">
        <f t="shared" si="8"/>
        <v>0</v>
      </c>
      <c r="J14" s="23">
        <f t="shared" si="5"/>
        <v>0</v>
      </c>
      <c r="K14" s="24">
        <f t="shared" si="6"/>
        <v>0</v>
      </c>
    </row>
    <row r="15" spans="1:14" ht="16.5" thickBot="1" x14ac:dyDescent="0.3">
      <c r="A15" s="10">
        <v>44360</v>
      </c>
      <c r="B15" s="3"/>
      <c r="C15" s="49">
        <f t="shared" si="9"/>
        <v>0</v>
      </c>
      <c r="D15" s="3"/>
      <c r="E15" s="49">
        <f t="shared" si="4"/>
        <v>0</v>
      </c>
      <c r="F15" s="3"/>
      <c r="G15" s="49">
        <f t="shared" si="7"/>
        <v>0</v>
      </c>
      <c r="H15" s="3"/>
      <c r="I15" s="54">
        <f t="shared" si="8"/>
        <v>0</v>
      </c>
      <c r="J15" s="23">
        <f t="shared" si="5"/>
        <v>0</v>
      </c>
      <c r="K15" s="24">
        <f t="shared" si="6"/>
        <v>0</v>
      </c>
    </row>
    <row r="16" spans="1:14" ht="16.5" thickBot="1" x14ac:dyDescent="0.3">
      <c r="A16" s="10">
        <v>44361</v>
      </c>
      <c r="B16" s="3"/>
      <c r="C16" s="49">
        <f t="shared" si="9"/>
        <v>0</v>
      </c>
      <c r="D16" s="3"/>
      <c r="E16" s="49">
        <f t="shared" si="4"/>
        <v>0</v>
      </c>
      <c r="F16" s="3"/>
      <c r="G16" s="49">
        <f t="shared" si="7"/>
        <v>0</v>
      </c>
      <c r="H16" s="3"/>
      <c r="I16" s="54">
        <f t="shared" si="8"/>
        <v>0</v>
      </c>
      <c r="J16" s="23">
        <f t="shared" si="5"/>
        <v>0</v>
      </c>
      <c r="K16" s="24">
        <f t="shared" si="6"/>
        <v>0</v>
      </c>
    </row>
    <row r="17" spans="1:25" ht="16.5" thickBot="1" x14ac:dyDescent="0.3">
      <c r="A17" s="10">
        <v>44362</v>
      </c>
      <c r="B17" s="3"/>
      <c r="C17" s="49">
        <f t="shared" si="9"/>
        <v>0</v>
      </c>
      <c r="D17" s="3"/>
      <c r="E17" s="49">
        <f t="shared" si="4"/>
        <v>0</v>
      </c>
      <c r="F17" s="3"/>
      <c r="G17" s="49">
        <f t="shared" si="7"/>
        <v>0</v>
      </c>
      <c r="H17" s="3"/>
      <c r="I17" s="54">
        <f t="shared" si="8"/>
        <v>0</v>
      </c>
      <c r="J17" s="23">
        <f t="shared" si="5"/>
        <v>0</v>
      </c>
      <c r="K17" s="24">
        <f t="shared" si="6"/>
        <v>0</v>
      </c>
      <c r="P17" t="s">
        <v>12</v>
      </c>
      <c r="R17" t="s">
        <v>12</v>
      </c>
    </row>
    <row r="18" spans="1:25" ht="16.5" thickBot="1" x14ac:dyDescent="0.3">
      <c r="A18" s="10">
        <v>44363</v>
      </c>
      <c r="B18" s="3"/>
      <c r="C18" s="49">
        <f t="shared" si="9"/>
        <v>0</v>
      </c>
      <c r="D18" s="3"/>
      <c r="E18" s="49">
        <f t="shared" si="4"/>
        <v>0</v>
      </c>
      <c r="F18" s="3"/>
      <c r="G18" s="49">
        <f t="shared" si="7"/>
        <v>0</v>
      </c>
      <c r="H18" s="3"/>
      <c r="I18" s="54">
        <f t="shared" si="8"/>
        <v>0</v>
      </c>
      <c r="J18" s="23">
        <f t="shared" si="5"/>
        <v>0</v>
      </c>
      <c r="K18" s="24">
        <f t="shared" si="6"/>
        <v>0</v>
      </c>
      <c r="Q18" t="s">
        <v>43</v>
      </c>
    </row>
    <row r="19" spans="1:25" ht="16.5" thickBot="1" x14ac:dyDescent="0.3">
      <c r="A19" s="10">
        <v>44364</v>
      </c>
      <c r="B19" s="3"/>
      <c r="C19" s="49">
        <f t="shared" si="9"/>
        <v>0</v>
      </c>
      <c r="D19" s="3"/>
      <c r="E19" s="49">
        <f t="shared" si="4"/>
        <v>0</v>
      </c>
      <c r="F19" s="3"/>
      <c r="G19" s="49">
        <f t="shared" si="7"/>
        <v>0</v>
      </c>
      <c r="H19" s="3"/>
      <c r="I19" s="54">
        <f t="shared" si="8"/>
        <v>0</v>
      </c>
      <c r="J19" s="23">
        <f t="shared" si="5"/>
        <v>0</v>
      </c>
      <c r="K19" s="24">
        <f t="shared" si="6"/>
        <v>0</v>
      </c>
      <c r="Q19" t="s">
        <v>12</v>
      </c>
    </row>
    <row r="20" spans="1:25" ht="16.5" thickBot="1" x14ac:dyDescent="0.3">
      <c r="A20" s="10">
        <v>44365</v>
      </c>
      <c r="B20" s="3"/>
      <c r="C20" s="49">
        <f t="shared" si="9"/>
        <v>0</v>
      </c>
      <c r="D20" s="3"/>
      <c r="E20" s="49">
        <f t="shared" si="4"/>
        <v>0</v>
      </c>
      <c r="F20" s="3"/>
      <c r="G20" s="49">
        <f t="shared" si="7"/>
        <v>0</v>
      </c>
      <c r="H20" s="3"/>
      <c r="I20" s="54">
        <f t="shared" si="8"/>
        <v>0</v>
      </c>
      <c r="J20" s="23">
        <f t="shared" si="5"/>
        <v>0</v>
      </c>
      <c r="K20" s="24">
        <f t="shared" si="6"/>
        <v>0</v>
      </c>
    </row>
    <row r="21" spans="1:25" ht="16.5" thickBot="1" x14ac:dyDescent="0.3">
      <c r="A21" s="10">
        <v>44366</v>
      </c>
      <c r="B21" s="3"/>
      <c r="C21" s="49">
        <f t="shared" si="9"/>
        <v>0</v>
      </c>
      <c r="D21" s="3"/>
      <c r="E21" s="49">
        <f t="shared" si="4"/>
        <v>0</v>
      </c>
      <c r="F21" s="3"/>
      <c r="G21" s="49">
        <f t="shared" si="7"/>
        <v>0</v>
      </c>
      <c r="H21" s="3"/>
      <c r="I21" s="54">
        <f t="shared" si="8"/>
        <v>0</v>
      </c>
      <c r="J21" s="23">
        <f t="shared" si="5"/>
        <v>0</v>
      </c>
      <c r="K21" s="24">
        <f t="shared" si="6"/>
        <v>0</v>
      </c>
    </row>
    <row r="22" spans="1:25" ht="16.5" thickBot="1" x14ac:dyDescent="0.3">
      <c r="A22" s="10">
        <v>44367</v>
      </c>
      <c r="B22" s="3"/>
      <c r="C22" s="49">
        <f t="shared" si="9"/>
        <v>0</v>
      </c>
      <c r="D22" s="3"/>
      <c r="E22" s="49">
        <f t="shared" si="4"/>
        <v>0</v>
      </c>
      <c r="F22" s="3"/>
      <c r="G22" s="49">
        <f t="shared" si="7"/>
        <v>0</v>
      </c>
      <c r="H22" s="3"/>
      <c r="I22" s="54">
        <f t="shared" si="8"/>
        <v>0</v>
      </c>
      <c r="J22" s="23">
        <f t="shared" si="5"/>
        <v>0</v>
      </c>
      <c r="K22" s="24">
        <f t="shared" si="6"/>
        <v>0</v>
      </c>
      <c r="P22" t="s">
        <v>12</v>
      </c>
      <c r="S22" s="36" t="s">
        <v>12</v>
      </c>
    </row>
    <row r="23" spans="1:25" ht="16.5" thickBot="1" x14ac:dyDescent="0.3">
      <c r="A23" s="10">
        <v>44368</v>
      </c>
      <c r="B23" s="3"/>
      <c r="C23" s="49">
        <f t="shared" si="9"/>
        <v>0</v>
      </c>
      <c r="D23" s="3"/>
      <c r="E23" s="49">
        <f t="shared" si="4"/>
        <v>0</v>
      </c>
      <c r="F23" s="3"/>
      <c r="G23" s="49">
        <f t="shared" si="7"/>
        <v>0</v>
      </c>
      <c r="H23" s="3"/>
      <c r="I23" s="54">
        <f t="shared" si="8"/>
        <v>0</v>
      </c>
      <c r="J23" s="23">
        <f t="shared" si="5"/>
        <v>0</v>
      </c>
      <c r="K23" s="24">
        <f t="shared" si="6"/>
        <v>0</v>
      </c>
      <c r="Q23" t="s">
        <v>12</v>
      </c>
    </row>
    <row r="24" spans="1:25" ht="16.5" thickBot="1" x14ac:dyDescent="0.3">
      <c r="A24" s="10">
        <v>44369</v>
      </c>
      <c r="B24" s="3"/>
      <c r="C24" s="49">
        <f t="shared" si="9"/>
        <v>0</v>
      </c>
      <c r="D24" s="3"/>
      <c r="E24" s="49">
        <f t="shared" si="4"/>
        <v>0</v>
      </c>
      <c r="F24" s="3"/>
      <c r="G24" s="49">
        <f t="shared" si="7"/>
        <v>0</v>
      </c>
      <c r="H24" s="3"/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44370</v>
      </c>
      <c r="B25" s="3"/>
      <c r="C25" s="49">
        <f t="shared" si="9"/>
        <v>0</v>
      </c>
      <c r="D25" s="3"/>
      <c r="E25" s="49">
        <f t="shared" si="4"/>
        <v>0</v>
      </c>
      <c r="F25" s="3"/>
      <c r="G25" s="49">
        <f>F25-F24</f>
        <v>0</v>
      </c>
      <c r="H25" s="3"/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44371</v>
      </c>
      <c r="B26" s="3"/>
      <c r="C26" s="49">
        <f t="shared" si="9"/>
        <v>0</v>
      </c>
      <c r="D26" s="3"/>
      <c r="E26" s="49">
        <f t="shared" si="4"/>
        <v>0</v>
      </c>
      <c r="F26" s="3"/>
      <c r="G26" s="49">
        <f t="shared" si="7"/>
        <v>0</v>
      </c>
      <c r="H26" s="3"/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44372</v>
      </c>
      <c r="B27" s="3"/>
      <c r="C27" s="49">
        <f t="shared" si="9"/>
        <v>0</v>
      </c>
      <c r="D27" s="3"/>
      <c r="E27" s="49">
        <f t="shared" si="4"/>
        <v>0</v>
      </c>
      <c r="F27" s="3"/>
      <c r="G27" s="49">
        <f t="shared" si="7"/>
        <v>0</v>
      </c>
      <c r="H27" s="3"/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44373</v>
      </c>
      <c r="B28" s="3"/>
      <c r="C28" s="49">
        <f t="shared" si="9"/>
        <v>0</v>
      </c>
      <c r="D28" s="3"/>
      <c r="E28" s="49">
        <f t="shared" si="4"/>
        <v>0</v>
      </c>
      <c r="F28" s="3"/>
      <c r="G28" s="49">
        <f t="shared" si="7"/>
        <v>0</v>
      </c>
      <c r="H28" s="3"/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44374</v>
      </c>
      <c r="B29" s="3"/>
      <c r="C29" s="49">
        <f t="shared" si="9"/>
        <v>0</v>
      </c>
      <c r="D29" s="3"/>
      <c r="E29" s="49">
        <f t="shared" si="4"/>
        <v>0</v>
      </c>
      <c r="F29" s="3"/>
      <c r="G29" s="49">
        <f t="shared" si="7"/>
        <v>0</v>
      </c>
      <c r="H29" s="3"/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44375</v>
      </c>
      <c r="B30" s="3"/>
      <c r="C30" s="49">
        <f t="shared" si="9"/>
        <v>0</v>
      </c>
      <c r="D30" s="3"/>
      <c r="E30" s="49">
        <f t="shared" si="4"/>
        <v>0</v>
      </c>
      <c r="F30" s="3"/>
      <c r="G30" s="49">
        <f t="shared" si="7"/>
        <v>0</v>
      </c>
      <c r="H30" s="3"/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44376</v>
      </c>
      <c r="B31" s="3"/>
      <c r="C31" s="49">
        <f t="shared" si="9"/>
        <v>0</v>
      </c>
      <c r="D31" s="3"/>
      <c r="E31" s="49">
        <f t="shared" si="4"/>
        <v>0</v>
      </c>
      <c r="F31" s="3"/>
      <c r="G31" s="49">
        <f t="shared" si="7"/>
        <v>0</v>
      </c>
      <c r="H31" s="3"/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44377</v>
      </c>
      <c r="B32" s="3"/>
      <c r="C32" s="49">
        <f t="shared" si="9"/>
        <v>0</v>
      </c>
      <c r="D32" s="3"/>
      <c r="E32" s="49">
        <f t="shared" si="4"/>
        <v>0</v>
      </c>
      <c r="F32" s="3"/>
      <c r="G32" s="49">
        <f t="shared" si="7"/>
        <v>0</v>
      </c>
      <c r="H32" s="3"/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44377</v>
      </c>
      <c r="B33" s="3"/>
      <c r="C33" s="49">
        <f t="shared" si="9"/>
        <v>0</v>
      </c>
      <c r="D33" s="3"/>
      <c r="E33" s="49">
        <f t="shared" si="4"/>
        <v>0</v>
      </c>
      <c r="F33" s="3"/>
      <c r="G33" s="49">
        <f t="shared" si="7"/>
        <v>0</v>
      </c>
      <c r="H33" s="3"/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1430</v>
      </c>
      <c r="D34" s="3"/>
      <c r="E34" s="66">
        <f>SUM(E3:E33)</f>
        <v>0</v>
      </c>
      <c r="F34" s="3"/>
      <c r="G34" s="66">
        <f>SUM(G3:G33)</f>
        <v>337.5</v>
      </c>
      <c r="H34" s="3"/>
      <c r="I34" s="66">
        <f>SUM(I3:I33)</f>
        <v>3.2130000000000001</v>
      </c>
      <c r="J34" s="66">
        <f>SUM(J3:J33)</f>
        <v>1770.713</v>
      </c>
      <c r="K34" s="66">
        <f>SUM(K3:K33)</f>
        <v>10376.37818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abSelected="1" zoomScale="120" zoomScaleNormal="120" zoomScaleSheetLayoutView="110" workbookViewId="0">
      <selection activeCell="A3" sqref="A3:XFD3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44347</v>
      </c>
      <c r="B2" s="49">
        <v>102</v>
      </c>
      <c r="C2" s="161">
        <v>18252</v>
      </c>
      <c r="D2" s="49"/>
      <c r="E2" s="137">
        <v>26143363</v>
      </c>
      <c r="F2" s="49"/>
      <c r="G2" s="141">
        <v>82726315</v>
      </c>
      <c r="H2" s="49"/>
      <c r="I2" s="28"/>
      <c r="J2" s="137">
        <v>8089438</v>
      </c>
      <c r="K2" s="49"/>
      <c r="L2" s="139">
        <v>8075564</v>
      </c>
      <c r="M2" s="49">
        <v>3901</v>
      </c>
      <c r="N2" s="137">
        <v>5208255</v>
      </c>
      <c r="O2" s="49"/>
      <c r="P2" s="139">
        <v>3524726</v>
      </c>
      <c r="Q2" s="49"/>
      <c r="R2" s="137">
        <v>17551875</v>
      </c>
      <c r="S2" s="49"/>
      <c r="T2" s="137">
        <v>0</v>
      </c>
      <c r="U2" s="29"/>
      <c r="V2" s="137">
        <v>5221164</v>
      </c>
      <c r="W2" s="49"/>
      <c r="X2" s="28"/>
      <c r="Y2" s="35"/>
      <c r="Z2" s="27"/>
      <c r="AA2" s="27"/>
    </row>
    <row r="3" spans="1:27" ht="16.5" thickBot="1" x14ac:dyDescent="0.25">
      <c r="A3" s="10">
        <v>44348</v>
      </c>
      <c r="B3" s="49">
        <v>110</v>
      </c>
      <c r="C3" s="161">
        <v>18255</v>
      </c>
      <c r="D3" s="49">
        <f t="shared" ref="D3" si="0">IF((C3-C2)&lt;0,"0",(C3-C2))*160</f>
        <v>480</v>
      </c>
      <c r="E3" s="137">
        <v>26159794</v>
      </c>
      <c r="F3" s="49">
        <f t="shared" ref="F3" si="1">IF((E3-E2)&lt;0,"0",(E3-E2))</f>
        <v>16431</v>
      </c>
      <c r="G3" s="141">
        <v>82787902</v>
      </c>
      <c r="H3" s="49">
        <f t="shared" ref="H3" si="2">IF((G3-G2)&lt;0,"0",(G3-G2))</f>
        <v>61587</v>
      </c>
      <c r="I3" s="28">
        <f>F3+H3</f>
        <v>78018</v>
      </c>
      <c r="J3" s="137">
        <v>8096891</v>
      </c>
      <c r="K3" s="49">
        <f t="shared" ref="K3" si="3">IF((J3-J2)&lt;0,"0",(J3-J2))</f>
        <v>7453</v>
      </c>
      <c r="L3" s="139">
        <v>8080904</v>
      </c>
      <c r="M3" s="49">
        <f t="shared" ref="M3" si="4">IF((L3-L2)&lt;0,"0",(L3-L2))</f>
        <v>5340</v>
      </c>
      <c r="N3" s="137">
        <v>5213703</v>
      </c>
      <c r="O3" s="49">
        <f>(IF((N3-N2)&lt;P94,"0",(N3-N2)))*2</f>
        <v>10896</v>
      </c>
      <c r="P3" s="139">
        <v>3538419</v>
      </c>
      <c r="Q3" s="49">
        <f t="shared" ref="Q3" si="5">IF((P3-P2)&lt;0,"0",(P3-P2))</f>
        <v>13693</v>
      </c>
      <c r="R3" s="137">
        <v>17563602</v>
      </c>
      <c r="S3" s="49">
        <f t="shared" ref="S3" si="6">IF((R3-R2)&lt;0,"0",(R3-R2))</f>
        <v>11727</v>
      </c>
      <c r="T3" s="137">
        <v>0</v>
      </c>
      <c r="U3" s="140"/>
      <c r="V3" s="137">
        <v>5234762</v>
      </c>
      <c r="W3" s="49">
        <f t="shared" ref="W3" si="7">IF((V3-V2)&lt;0,"0",(V3-V2))</f>
        <v>13598</v>
      </c>
      <c r="X3" s="28">
        <f t="shared" ref="X3" si="8">K3+M3+O3+Q3+S3+U3+W3</f>
        <v>62707</v>
      </c>
      <c r="Y3" s="35">
        <f t="shared" ref="Y3" si="9">I3-X3</f>
        <v>15311</v>
      </c>
      <c r="Z3" s="27">
        <f t="shared" ref="Z3" si="10">(0.93352*(W3+S3)+0.5568*(Q3+O3))*0.26</f>
        <v>9706.4627920000003</v>
      </c>
      <c r="AA3" s="27">
        <f>SUM(Z1:Z3)</f>
        <v>9706.4627920000003</v>
      </c>
    </row>
    <row r="4" spans="1:27" ht="16.5" thickBot="1" x14ac:dyDescent="0.25">
      <c r="A4" s="10">
        <v>44349</v>
      </c>
      <c r="B4" s="49"/>
      <c r="C4" s="161"/>
      <c r="D4" s="49">
        <f t="shared" ref="D4:D33" si="11">IF((C4-C3)&lt;0,"0",(C4-C3))*160</f>
        <v>0</v>
      </c>
      <c r="E4" s="137"/>
      <c r="F4" s="49" t="str">
        <f t="shared" ref="F4:F33" si="12">IF((E4-E3)&lt;0,"0",(E4-E3))</f>
        <v>0</v>
      </c>
      <c r="G4" s="141"/>
      <c r="H4" s="49" t="str">
        <f t="shared" ref="H4:H33" si="13">IF((G4-G3)&lt;0,"0",(G4-G3))</f>
        <v>0</v>
      </c>
      <c r="I4" s="138">
        <f t="shared" ref="I4:I30" si="14">F4+H4</f>
        <v>0</v>
      </c>
      <c r="J4" s="137"/>
      <c r="K4" s="49" t="str">
        <f t="shared" ref="K4:K33" si="15">IF((J4-J3)&lt;0,"0",(J4-J3))</f>
        <v>0</v>
      </c>
      <c r="L4" s="139"/>
      <c r="M4" s="49" t="str">
        <f t="shared" ref="M4:M33" si="16">IF((L4-L3)&lt;0,"0",(L4-L3))</f>
        <v>0</v>
      </c>
      <c r="N4" s="137"/>
      <c r="O4" s="49">
        <f>(IF((N4-N3)&lt;P96,"0",(N4-N3)))*2</f>
        <v>0</v>
      </c>
      <c r="P4" s="139"/>
      <c r="Q4" s="49" t="str">
        <f t="shared" ref="Q4:Q33" si="17">IF((P4-P3)&lt;0,"0",(P4-P3))</f>
        <v>0</v>
      </c>
      <c r="R4" s="137"/>
      <c r="S4" s="49" t="str">
        <f t="shared" ref="S4:S33" si="18">IF((R4-R3)&lt;0,"0",(R4-R3))</f>
        <v>0</v>
      </c>
      <c r="T4" s="137">
        <v>0</v>
      </c>
      <c r="U4" s="140"/>
      <c r="V4" s="137"/>
      <c r="W4" s="49" t="str">
        <f t="shared" ref="W4:W33" si="19">IF((V4-V3)&lt;0,"0",(V4-V3))</f>
        <v>0</v>
      </c>
      <c r="X4" s="28">
        <f t="shared" ref="X4:X33" si="20">K4+M4+O4+Q4+S4+U4+W4</f>
        <v>0</v>
      </c>
      <c r="Y4" s="35">
        <f t="shared" ref="Y4:Y33" si="21">I4-X4</f>
        <v>0</v>
      </c>
      <c r="Z4" s="27">
        <f t="shared" ref="Z4:Z33" si="22">(0.93352*(W4+S4)+0.5568*(Q4+O4))*0.26</f>
        <v>0</v>
      </c>
      <c r="AA4" s="27">
        <f>SUM(Z2:Z4)</f>
        <v>9706.4627920000003</v>
      </c>
    </row>
    <row r="5" spans="1:27" ht="16.5" thickBot="1" x14ac:dyDescent="0.25">
      <c r="A5" s="10">
        <v>44350</v>
      </c>
      <c r="B5" s="49"/>
      <c r="C5" s="161"/>
      <c r="D5" s="49">
        <f t="shared" si="11"/>
        <v>0</v>
      </c>
      <c r="E5" s="137"/>
      <c r="F5" s="49">
        <f t="shared" si="12"/>
        <v>0</v>
      </c>
      <c r="G5" s="141"/>
      <c r="H5" s="49">
        <f t="shared" si="13"/>
        <v>0</v>
      </c>
      <c r="I5" s="138">
        <f t="shared" si="14"/>
        <v>0</v>
      </c>
      <c r="J5" s="137"/>
      <c r="K5" s="49">
        <f t="shared" si="15"/>
        <v>0</v>
      </c>
      <c r="L5" s="139"/>
      <c r="M5" s="49">
        <f t="shared" si="16"/>
        <v>0</v>
      </c>
      <c r="N5" s="137"/>
      <c r="O5" s="49">
        <f t="shared" ref="O5:O33" si="23">(IF((N5-N4)&lt;0,"0",(N5-N4)))*2</f>
        <v>0</v>
      </c>
      <c r="P5" s="139"/>
      <c r="Q5" s="49">
        <f t="shared" si="17"/>
        <v>0</v>
      </c>
      <c r="R5" s="137"/>
      <c r="S5" s="49">
        <f t="shared" si="18"/>
        <v>0</v>
      </c>
      <c r="T5" s="137">
        <v>0</v>
      </c>
      <c r="U5" s="140"/>
      <c r="V5" s="137"/>
      <c r="W5" s="49">
        <f t="shared" si="19"/>
        <v>0</v>
      </c>
      <c r="X5" s="28">
        <f t="shared" si="20"/>
        <v>0</v>
      </c>
      <c r="Y5" s="35">
        <f t="shared" si="21"/>
        <v>0</v>
      </c>
      <c r="Z5" s="27">
        <f t="shared" si="22"/>
        <v>0</v>
      </c>
      <c r="AA5" s="27">
        <f>SUM(Z3:Z5)</f>
        <v>9706.4627920000003</v>
      </c>
    </row>
    <row r="6" spans="1:27" ht="16.5" thickBot="1" x14ac:dyDescent="0.25">
      <c r="A6" s="10">
        <v>44351</v>
      </c>
      <c r="B6" s="49"/>
      <c r="C6" s="161"/>
      <c r="D6" s="49">
        <f t="shared" si="11"/>
        <v>0</v>
      </c>
      <c r="E6" s="137"/>
      <c r="F6" s="49">
        <f t="shared" si="12"/>
        <v>0</v>
      </c>
      <c r="G6" s="141"/>
      <c r="H6" s="49">
        <f t="shared" si="13"/>
        <v>0</v>
      </c>
      <c r="I6" s="138">
        <f t="shared" si="14"/>
        <v>0</v>
      </c>
      <c r="J6" s="137"/>
      <c r="K6" s="49">
        <f t="shared" si="15"/>
        <v>0</v>
      </c>
      <c r="L6" s="139"/>
      <c r="M6" s="49">
        <f t="shared" si="16"/>
        <v>0</v>
      </c>
      <c r="N6" s="137"/>
      <c r="O6" s="49">
        <f t="shared" si="23"/>
        <v>0</v>
      </c>
      <c r="P6" s="139"/>
      <c r="Q6" s="49">
        <f t="shared" si="17"/>
        <v>0</v>
      </c>
      <c r="R6" s="137"/>
      <c r="S6" s="49">
        <f t="shared" si="18"/>
        <v>0</v>
      </c>
      <c r="T6" s="137">
        <v>0</v>
      </c>
      <c r="U6" s="140"/>
      <c r="V6" s="137"/>
      <c r="W6" s="49">
        <f t="shared" si="19"/>
        <v>0</v>
      </c>
      <c r="X6" s="28">
        <f t="shared" si="20"/>
        <v>0</v>
      </c>
      <c r="Y6" s="35">
        <f t="shared" si="21"/>
        <v>0</v>
      </c>
      <c r="Z6" s="27">
        <f t="shared" si="22"/>
        <v>0</v>
      </c>
      <c r="AA6" s="27">
        <f>SUM(Z4:Z6)</f>
        <v>0</v>
      </c>
    </row>
    <row r="7" spans="1:27" ht="16.5" thickBot="1" x14ac:dyDescent="0.25">
      <c r="A7" s="10">
        <v>44352</v>
      </c>
      <c r="B7" s="49"/>
      <c r="C7" s="161"/>
      <c r="D7" s="49">
        <f t="shared" si="11"/>
        <v>0</v>
      </c>
      <c r="E7" s="137"/>
      <c r="F7" s="49">
        <f t="shared" si="12"/>
        <v>0</v>
      </c>
      <c r="G7" s="141"/>
      <c r="H7" s="49">
        <f t="shared" si="13"/>
        <v>0</v>
      </c>
      <c r="I7" s="138">
        <f t="shared" si="14"/>
        <v>0</v>
      </c>
      <c r="J7" s="137"/>
      <c r="K7" s="49">
        <f t="shared" si="15"/>
        <v>0</v>
      </c>
      <c r="L7" s="139"/>
      <c r="M7" s="49">
        <f t="shared" si="16"/>
        <v>0</v>
      </c>
      <c r="N7" s="137"/>
      <c r="O7" s="49">
        <f t="shared" si="23"/>
        <v>0</v>
      </c>
      <c r="P7" s="139"/>
      <c r="Q7" s="49">
        <f t="shared" si="17"/>
        <v>0</v>
      </c>
      <c r="R7" s="137"/>
      <c r="S7" s="49">
        <f t="shared" si="18"/>
        <v>0</v>
      </c>
      <c r="T7" s="137">
        <v>0</v>
      </c>
      <c r="U7" s="140"/>
      <c r="V7" s="137"/>
      <c r="W7" s="49">
        <f t="shared" si="19"/>
        <v>0</v>
      </c>
      <c r="X7" s="28">
        <f t="shared" si="20"/>
        <v>0</v>
      </c>
      <c r="Y7" s="35">
        <f t="shared" si="21"/>
        <v>0</v>
      </c>
      <c r="Z7" s="27">
        <f t="shared" si="22"/>
        <v>0</v>
      </c>
      <c r="AA7" s="27">
        <f t="shared" ref="AA7:AA33" si="24">SUM(Z4:Z7)</f>
        <v>0</v>
      </c>
    </row>
    <row r="8" spans="1:27" ht="16.5" thickBot="1" x14ac:dyDescent="0.25">
      <c r="A8" s="10">
        <v>44353</v>
      </c>
      <c r="B8" s="49"/>
      <c r="C8" s="161"/>
      <c r="D8" s="49">
        <f t="shared" si="11"/>
        <v>0</v>
      </c>
      <c r="E8" s="137"/>
      <c r="F8" s="49">
        <f t="shared" si="12"/>
        <v>0</v>
      </c>
      <c r="G8" s="141"/>
      <c r="H8" s="49">
        <f t="shared" si="13"/>
        <v>0</v>
      </c>
      <c r="I8" s="138">
        <f t="shared" si="14"/>
        <v>0</v>
      </c>
      <c r="J8" s="137"/>
      <c r="K8" s="49">
        <f t="shared" si="15"/>
        <v>0</v>
      </c>
      <c r="L8" s="139"/>
      <c r="M8" s="49">
        <f t="shared" si="16"/>
        <v>0</v>
      </c>
      <c r="N8" s="137"/>
      <c r="O8" s="49">
        <f t="shared" si="23"/>
        <v>0</v>
      </c>
      <c r="P8" s="139"/>
      <c r="Q8" s="49">
        <f t="shared" si="17"/>
        <v>0</v>
      </c>
      <c r="R8" s="137"/>
      <c r="S8" s="49">
        <f t="shared" si="18"/>
        <v>0</v>
      </c>
      <c r="T8" s="137">
        <v>0</v>
      </c>
      <c r="U8" s="140"/>
      <c r="V8" s="137"/>
      <c r="W8" s="49">
        <f t="shared" si="19"/>
        <v>0</v>
      </c>
      <c r="X8" s="28">
        <f t="shared" si="20"/>
        <v>0</v>
      </c>
      <c r="Y8" s="35">
        <f t="shared" si="21"/>
        <v>0</v>
      </c>
      <c r="Z8" s="27">
        <f t="shared" si="22"/>
        <v>0</v>
      </c>
      <c r="AA8" s="27">
        <f t="shared" si="24"/>
        <v>0</v>
      </c>
    </row>
    <row r="9" spans="1:27" ht="16.5" thickBot="1" x14ac:dyDescent="0.25">
      <c r="A9" s="10">
        <v>44354</v>
      </c>
      <c r="B9" s="49"/>
      <c r="C9" s="161"/>
      <c r="D9" s="49">
        <f t="shared" si="11"/>
        <v>0</v>
      </c>
      <c r="E9" s="137"/>
      <c r="F9" s="49">
        <f t="shared" si="12"/>
        <v>0</v>
      </c>
      <c r="G9" s="141"/>
      <c r="H9" s="49">
        <f t="shared" si="13"/>
        <v>0</v>
      </c>
      <c r="I9" s="138">
        <f t="shared" si="14"/>
        <v>0</v>
      </c>
      <c r="J9" s="137"/>
      <c r="K9" s="49">
        <f t="shared" si="15"/>
        <v>0</v>
      </c>
      <c r="L9" s="139"/>
      <c r="M9" s="49">
        <f t="shared" si="16"/>
        <v>0</v>
      </c>
      <c r="N9" s="137"/>
      <c r="O9" s="49">
        <f t="shared" si="23"/>
        <v>0</v>
      </c>
      <c r="P9" s="139"/>
      <c r="Q9" s="49">
        <f t="shared" si="17"/>
        <v>0</v>
      </c>
      <c r="R9" s="137"/>
      <c r="S9" s="49">
        <f t="shared" si="18"/>
        <v>0</v>
      </c>
      <c r="T9" s="137">
        <v>0</v>
      </c>
      <c r="U9" s="140"/>
      <c r="V9" s="137"/>
      <c r="W9" s="49">
        <f t="shared" si="19"/>
        <v>0</v>
      </c>
      <c r="X9" s="28">
        <f t="shared" si="20"/>
        <v>0</v>
      </c>
      <c r="Y9" s="35">
        <f t="shared" si="21"/>
        <v>0</v>
      </c>
      <c r="Z9" s="27">
        <f t="shared" si="22"/>
        <v>0</v>
      </c>
      <c r="AA9" s="27">
        <f t="shared" si="24"/>
        <v>0</v>
      </c>
    </row>
    <row r="10" spans="1:27" ht="16.5" thickBot="1" x14ac:dyDescent="0.25">
      <c r="A10" s="10">
        <v>44355</v>
      </c>
      <c r="B10" s="49"/>
      <c r="C10" s="161"/>
      <c r="D10" s="49">
        <f t="shared" si="11"/>
        <v>0</v>
      </c>
      <c r="E10" s="137"/>
      <c r="F10" s="49">
        <f t="shared" si="12"/>
        <v>0</v>
      </c>
      <c r="G10" s="141"/>
      <c r="H10" s="49">
        <f t="shared" si="13"/>
        <v>0</v>
      </c>
      <c r="I10" s="138">
        <f t="shared" si="14"/>
        <v>0</v>
      </c>
      <c r="J10" s="137"/>
      <c r="K10" s="49">
        <f t="shared" si="15"/>
        <v>0</v>
      </c>
      <c r="L10" s="139"/>
      <c r="M10" s="49">
        <f t="shared" si="16"/>
        <v>0</v>
      </c>
      <c r="N10" s="137"/>
      <c r="O10" s="49">
        <f t="shared" si="23"/>
        <v>0</v>
      </c>
      <c r="P10" s="139"/>
      <c r="Q10" s="49">
        <f t="shared" si="17"/>
        <v>0</v>
      </c>
      <c r="R10" s="137"/>
      <c r="S10" s="49">
        <f t="shared" si="18"/>
        <v>0</v>
      </c>
      <c r="T10" s="137">
        <v>0</v>
      </c>
      <c r="U10" s="140"/>
      <c r="V10" s="137"/>
      <c r="W10" s="49">
        <f t="shared" si="19"/>
        <v>0</v>
      </c>
      <c r="X10" s="28">
        <f t="shared" si="20"/>
        <v>0</v>
      </c>
      <c r="Y10" s="35">
        <f t="shared" si="21"/>
        <v>0</v>
      </c>
      <c r="Z10" s="27">
        <f t="shared" si="22"/>
        <v>0</v>
      </c>
      <c r="AA10" s="27">
        <f t="shared" si="24"/>
        <v>0</v>
      </c>
    </row>
    <row r="11" spans="1:27" ht="15.75" customHeight="1" thickBot="1" x14ac:dyDescent="0.25">
      <c r="A11" s="10">
        <v>44356</v>
      </c>
      <c r="B11" s="49"/>
      <c r="C11" s="161"/>
      <c r="D11" s="49">
        <f t="shared" si="11"/>
        <v>0</v>
      </c>
      <c r="E11" s="137"/>
      <c r="F11" s="49">
        <f t="shared" si="12"/>
        <v>0</v>
      </c>
      <c r="G11" s="141"/>
      <c r="H11" s="49">
        <f t="shared" si="13"/>
        <v>0</v>
      </c>
      <c r="I11" s="138">
        <f t="shared" si="14"/>
        <v>0</v>
      </c>
      <c r="J11" s="137"/>
      <c r="K11" s="49">
        <f t="shared" si="15"/>
        <v>0</v>
      </c>
      <c r="L11" s="139"/>
      <c r="M11" s="49">
        <f t="shared" si="16"/>
        <v>0</v>
      </c>
      <c r="N11" s="137"/>
      <c r="O11" s="49">
        <f t="shared" si="23"/>
        <v>0</v>
      </c>
      <c r="P11" s="139"/>
      <c r="Q11" s="49">
        <f t="shared" si="17"/>
        <v>0</v>
      </c>
      <c r="R11" s="137"/>
      <c r="S11" s="49">
        <f t="shared" si="18"/>
        <v>0</v>
      </c>
      <c r="T11" s="137">
        <v>0</v>
      </c>
      <c r="U11" s="140"/>
      <c r="V11" s="137"/>
      <c r="W11" s="49">
        <f t="shared" si="19"/>
        <v>0</v>
      </c>
      <c r="X11" s="28">
        <f t="shared" si="20"/>
        <v>0</v>
      </c>
      <c r="Y11" s="35">
        <f t="shared" si="21"/>
        <v>0</v>
      </c>
      <c r="Z11" s="27">
        <f t="shared" si="22"/>
        <v>0</v>
      </c>
      <c r="AA11" s="27">
        <f t="shared" si="24"/>
        <v>0</v>
      </c>
    </row>
    <row r="12" spans="1:27" ht="16.5" thickBot="1" x14ac:dyDescent="0.25">
      <c r="A12" s="10">
        <v>44357</v>
      </c>
      <c r="B12" s="49"/>
      <c r="C12" s="161"/>
      <c r="D12" s="49">
        <f t="shared" si="11"/>
        <v>0</v>
      </c>
      <c r="E12" s="137"/>
      <c r="F12" s="49">
        <f t="shared" si="12"/>
        <v>0</v>
      </c>
      <c r="G12" s="141"/>
      <c r="H12" s="49">
        <f t="shared" si="13"/>
        <v>0</v>
      </c>
      <c r="I12" s="138">
        <f t="shared" si="14"/>
        <v>0</v>
      </c>
      <c r="J12" s="137"/>
      <c r="K12" s="49">
        <f t="shared" si="15"/>
        <v>0</v>
      </c>
      <c r="L12" s="139"/>
      <c r="M12" s="49">
        <f t="shared" si="16"/>
        <v>0</v>
      </c>
      <c r="N12" s="137"/>
      <c r="O12" s="49">
        <f t="shared" si="23"/>
        <v>0</v>
      </c>
      <c r="P12" s="139"/>
      <c r="Q12" s="49">
        <f t="shared" si="17"/>
        <v>0</v>
      </c>
      <c r="R12" s="137"/>
      <c r="S12" s="49">
        <f t="shared" si="18"/>
        <v>0</v>
      </c>
      <c r="T12" s="137">
        <v>0</v>
      </c>
      <c r="U12" s="140"/>
      <c r="V12" s="137"/>
      <c r="W12" s="49">
        <f t="shared" si="19"/>
        <v>0</v>
      </c>
      <c r="X12" s="28">
        <f t="shared" si="20"/>
        <v>0</v>
      </c>
      <c r="Y12" s="35">
        <f t="shared" si="21"/>
        <v>0</v>
      </c>
      <c r="Z12" s="27">
        <f t="shared" si="22"/>
        <v>0</v>
      </c>
      <c r="AA12" s="27">
        <f t="shared" si="24"/>
        <v>0</v>
      </c>
    </row>
    <row r="13" spans="1:27" ht="16.5" thickBot="1" x14ac:dyDescent="0.25">
      <c r="A13" s="10">
        <v>44358</v>
      </c>
      <c r="B13" s="49"/>
      <c r="C13" s="161"/>
      <c r="D13" s="49">
        <f t="shared" si="11"/>
        <v>0</v>
      </c>
      <c r="E13" s="137"/>
      <c r="F13" s="49">
        <f t="shared" si="12"/>
        <v>0</v>
      </c>
      <c r="G13" s="141"/>
      <c r="H13" s="49">
        <f t="shared" si="13"/>
        <v>0</v>
      </c>
      <c r="I13" s="138">
        <f t="shared" si="14"/>
        <v>0</v>
      </c>
      <c r="J13" s="137"/>
      <c r="K13" s="49">
        <f t="shared" si="15"/>
        <v>0</v>
      </c>
      <c r="L13" s="139"/>
      <c r="M13" s="49">
        <f t="shared" si="16"/>
        <v>0</v>
      </c>
      <c r="N13" s="137"/>
      <c r="O13" s="49">
        <f t="shared" si="23"/>
        <v>0</v>
      </c>
      <c r="P13" s="139"/>
      <c r="Q13" s="49">
        <f t="shared" si="17"/>
        <v>0</v>
      </c>
      <c r="R13" s="137"/>
      <c r="S13" s="49">
        <f>IF((R13-R12)&lt;0,"0",(R13-R12))</f>
        <v>0</v>
      </c>
      <c r="T13" s="137">
        <v>0</v>
      </c>
      <c r="U13" s="140"/>
      <c r="V13" s="137"/>
      <c r="W13" s="49">
        <f t="shared" si="19"/>
        <v>0</v>
      </c>
      <c r="X13" s="28">
        <f t="shared" si="20"/>
        <v>0</v>
      </c>
      <c r="Y13" s="35">
        <f t="shared" si="21"/>
        <v>0</v>
      </c>
      <c r="Z13" s="27">
        <f t="shared" si="22"/>
        <v>0</v>
      </c>
      <c r="AA13" s="27">
        <f t="shared" si="24"/>
        <v>0</v>
      </c>
    </row>
    <row r="14" spans="1:27" ht="16.5" thickBot="1" x14ac:dyDescent="0.25">
      <c r="A14" s="10">
        <v>44359</v>
      </c>
      <c r="B14" s="49"/>
      <c r="C14" s="161"/>
      <c r="D14" s="49">
        <f t="shared" si="11"/>
        <v>0</v>
      </c>
      <c r="E14" s="137"/>
      <c r="F14" s="49">
        <f>IF((E14-E13)&lt;0,"0",(E14-E13))</f>
        <v>0</v>
      </c>
      <c r="G14" s="141"/>
      <c r="H14" s="49">
        <f t="shared" si="13"/>
        <v>0</v>
      </c>
      <c r="I14" s="138">
        <f t="shared" si="14"/>
        <v>0</v>
      </c>
      <c r="J14" s="137"/>
      <c r="K14" s="49">
        <f t="shared" si="15"/>
        <v>0</v>
      </c>
      <c r="L14" s="139"/>
      <c r="M14" s="49">
        <f t="shared" si="16"/>
        <v>0</v>
      </c>
      <c r="N14" s="137"/>
      <c r="O14" s="49">
        <f t="shared" si="23"/>
        <v>0</v>
      </c>
      <c r="P14" s="139"/>
      <c r="Q14" s="49">
        <f t="shared" si="17"/>
        <v>0</v>
      </c>
      <c r="R14" s="137"/>
      <c r="S14" s="49">
        <f>IF((R14-R13)&lt;0,"0",(R14-R13))</f>
        <v>0</v>
      </c>
      <c r="T14" s="137">
        <v>0</v>
      </c>
      <c r="U14" s="140"/>
      <c r="V14" s="137"/>
      <c r="W14" s="49">
        <f t="shared" si="19"/>
        <v>0</v>
      </c>
      <c r="X14" s="28">
        <f t="shared" si="20"/>
        <v>0</v>
      </c>
      <c r="Y14" s="35">
        <f t="shared" si="21"/>
        <v>0</v>
      </c>
      <c r="Z14" s="27">
        <f t="shared" si="22"/>
        <v>0</v>
      </c>
      <c r="AA14" s="27">
        <f t="shared" si="24"/>
        <v>0</v>
      </c>
    </row>
    <row r="15" spans="1:27" ht="16.5" thickBot="1" x14ac:dyDescent="0.25">
      <c r="A15" s="10">
        <v>44360</v>
      </c>
      <c r="B15" s="49"/>
      <c r="C15" s="161"/>
      <c r="D15" s="49">
        <f t="shared" si="11"/>
        <v>0</v>
      </c>
      <c r="E15" s="137"/>
      <c r="F15" s="49">
        <f>IF((E15-E14)&lt;0,"0",(E15-E14))</f>
        <v>0</v>
      </c>
      <c r="G15" s="141"/>
      <c r="H15" s="49">
        <f t="shared" si="13"/>
        <v>0</v>
      </c>
      <c r="I15" s="138">
        <f t="shared" si="14"/>
        <v>0</v>
      </c>
      <c r="J15" s="137"/>
      <c r="K15" s="49">
        <f t="shared" si="15"/>
        <v>0</v>
      </c>
      <c r="L15" s="139"/>
      <c r="M15" s="49">
        <f t="shared" si="16"/>
        <v>0</v>
      </c>
      <c r="N15" s="137"/>
      <c r="O15" s="49">
        <f t="shared" si="23"/>
        <v>0</v>
      </c>
      <c r="P15" s="139"/>
      <c r="Q15" s="49">
        <f t="shared" si="17"/>
        <v>0</v>
      </c>
      <c r="R15" s="137"/>
      <c r="S15" s="49">
        <f>IF((R15-R14)&lt;0,"0",(R15-R14))</f>
        <v>0</v>
      </c>
      <c r="T15" s="137">
        <v>0</v>
      </c>
      <c r="U15" s="140"/>
      <c r="V15" s="137"/>
      <c r="W15" s="49">
        <f t="shared" si="19"/>
        <v>0</v>
      </c>
      <c r="X15" s="28">
        <f t="shared" si="20"/>
        <v>0</v>
      </c>
      <c r="Y15" s="35">
        <f t="shared" si="21"/>
        <v>0</v>
      </c>
      <c r="Z15" s="27">
        <f t="shared" si="22"/>
        <v>0</v>
      </c>
      <c r="AA15" s="27">
        <f t="shared" si="24"/>
        <v>0</v>
      </c>
    </row>
    <row r="16" spans="1:27" ht="16.5" thickBot="1" x14ac:dyDescent="0.25">
      <c r="A16" s="10">
        <v>44361</v>
      </c>
      <c r="B16" s="49"/>
      <c r="C16" s="161"/>
      <c r="D16" s="49">
        <f t="shared" si="11"/>
        <v>0</v>
      </c>
      <c r="E16" s="137"/>
      <c r="F16" s="49">
        <f>IF((E16-E15)&lt;0,"0",(E16-E15))</f>
        <v>0</v>
      </c>
      <c r="G16" s="141"/>
      <c r="H16" s="49">
        <f t="shared" si="13"/>
        <v>0</v>
      </c>
      <c r="I16" s="138">
        <f t="shared" si="14"/>
        <v>0</v>
      </c>
      <c r="J16" s="137"/>
      <c r="K16" s="49">
        <f t="shared" si="15"/>
        <v>0</v>
      </c>
      <c r="L16" s="139"/>
      <c r="M16" s="49">
        <f t="shared" si="16"/>
        <v>0</v>
      </c>
      <c r="N16" s="137"/>
      <c r="O16" s="49">
        <f t="shared" si="23"/>
        <v>0</v>
      </c>
      <c r="P16" s="139"/>
      <c r="Q16" s="49">
        <f t="shared" si="17"/>
        <v>0</v>
      </c>
      <c r="R16" s="137"/>
      <c r="S16" s="49">
        <f t="shared" si="18"/>
        <v>0</v>
      </c>
      <c r="T16" s="137">
        <v>0</v>
      </c>
      <c r="U16" s="140"/>
      <c r="V16" s="137"/>
      <c r="W16" s="49">
        <f t="shared" si="19"/>
        <v>0</v>
      </c>
      <c r="X16" s="28">
        <f t="shared" si="20"/>
        <v>0</v>
      </c>
      <c r="Y16" s="35">
        <f t="shared" si="21"/>
        <v>0</v>
      </c>
      <c r="Z16" s="27">
        <f t="shared" si="22"/>
        <v>0</v>
      </c>
      <c r="AA16" s="27">
        <f t="shared" si="24"/>
        <v>0</v>
      </c>
    </row>
    <row r="17" spans="1:27" s="151" customFormat="1" ht="16.5" thickBot="1" x14ac:dyDescent="0.25">
      <c r="A17" s="10">
        <v>44362</v>
      </c>
      <c r="B17" s="146"/>
      <c r="C17" s="161"/>
      <c r="D17" s="49">
        <f t="shared" si="11"/>
        <v>0</v>
      </c>
      <c r="E17" s="137"/>
      <c r="F17" s="146">
        <f t="shared" si="12"/>
        <v>0</v>
      </c>
      <c r="G17" s="141"/>
      <c r="H17" s="49">
        <f t="shared" si="13"/>
        <v>0</v>
      </c>
      <c r="I17" s="148">
        <f t="shared" si="14"/>
        <v>0</v>
      </c>
      <c r="J17" s="137"/>
      <c r="K17" s="146">
        <f t="shared" si="15"/>
        <v>0</v>
      </c>
      <c r="L17" s="139"/>
      <c r="M17" s="146">
        <f t="shared" si="16"/>
        <v>0</v>
      </c>
      <c r="N17" s="137"/>
      <c r="O17" s="146">
        <f t="shared" si="23"/>
        <v>0</v>
      </c>
      <c r="P17" s="139"/>
      <c r="Q17" s="146">
        <f t="shared" si="17"/>
        <v>0</v>
      </c>
      <c r="R17" s="137"/>
      <c r="S17" s="146">
        <f t="shared" si="18"/>
        <v>0</v>
      </c>
      <c r="T17" s="147">
        <v>0</v>
      </c>
      <c r="U17" s="140"/>
      <c r="V17" s="137"/>
      <c r="W17" s="146">
        <f t="shared" si="19"/>
        <v>0</v>
      </c>
      <c r="X17" s="28">
        <f t="shared" si="20"/>
        <v>0</v>
      </c>
      <c r="Y17" s="149">
        <f t="shared" si="21"/>
        <v>0</v>
      </c>
      <c r="Z17" s="150">
        <f t="shared" si="22"/>
        <v>0</v>
      </c>
      <c r="AA17" s="150">
        <f t="shared" si="24"/>
        <v>0</v>
      </c>
    </row>
    <row r="18" spans="1:27" s="151" customFormat="1" ht="16.5" thickBot="1" x14ac:dyDescent="0.25">
      <c r="A18" s="10">
        <v>44363</v>
      </c>
      <c r="B18" s="146"/>
      <c r="C18" s="161"/>
      <c r="D18" s="49">
        <f t="shared" si="11"/>
        <v>0</v>
      </c>
      <c r="E18" s="137"/>
      <c r="F18" s="146">
        <f t="shared" si="12"/>
        <v>0</v>
      </c>
      <c r="G18" s="141"/>
      <c r="H18" s="49">
        <f t="shared" si="13"/>
        <v>0</v>
      </c>
      <c r="I18" s="148">
        <f t="shared" si="14"/>
        <v>0</v>
      </c>
      <c r="J18" s="137"/>
      <c r="K18" s="146">
        <f t="shared" si="15"/>
        <v>0</v>
      </c>
      <c r="L18" s="139"/>
      <c r="M18" s="146">
        <f t="shared" si="16"/>
        <v>0</v>
      </c>
      <c r="N18" s="137"/>
      <c r="O18" s="146">
        <f t="shared" si="23"/>
        <v>0</v>
      </c>
      <c r="P18" s="139"/>
      <c r="Q18" s="146">
        <f t="shared" si="17"/>
        <v>0</v>
      </c>
      <c r="R18" s="137"/>
      <c r="S18" s="146">
        <f t="shared" si="18"/>
        <v>0</v>
      </c>
      <c r="T18" s="147">
        <v>0</v>
      </c>
      <c r="U18" s="140"/>
      <c r="V18" s="137"/>
      <c r="W18" s="146">
        <f t="shared" si="19"/>
        <v>0</v>
      </c>
      <c r="X18" s="28">
        <f t="shared" si="20"/>
        <v>0</v>
      </c>
      <c r="Y18" s="149">
        <f t="shared" si="21"/>
        <v>0</v>
      </c>
      <c r="Z18" s="150">
        <f t="shared" si="22"/>
        <v>0</v>
      </c>
      <c r="AA18" s="150">
        <f t="shared" si="24"/>
        <v>0</v>
      </c>
    </row>
    <row r="19" spans="1:27" s="151" customFormat="1" ht="16.5" thickBot="1" x14ac:dyDescent="0.25">
      <c r="A19" s="10">
        <v>44364</v>
      </c>
      <c r="B19" s="146"/>
      <c r="C19" s="161"/>
      <c r="D19" s="49">
        <f>IF((C19-C18)&lt;0,"0",(C19-C18))*160</f>
        <v>0</v>
      </c>
      <c r="E19" s="137"/>
      <c r="F19" s="146">
        <f t="shared" si="12"/>
        <v>0</v>
      </c>
      <c r="G19" s="141"/>
      <c r="H19" s="49">
        <f t="shared" si="13"/>
        <v>0</v>
      </c>
      <c r="I19" s="148">
        <f t="shared" si="14"/>
        <v>0</v>
      </c>
      <c r="J19" s="137"/>
      <c r="K19" s="146">
        <f t="shared" si="15"/>
        <v>0</v>
      </c>
      <c r="L19" s="139"/>
      <c r="M19" s="146">
        <f t="shared" si="16"/>
        <v>0</v>
      </c>
      <c r="N19" s="137"/>
      <c r="O19" s="146">
        <f t="shared" si="23"/>
        <v>0</v>
      </c>
      <c r="P19" s="139"/>
      <c r="Q19" s="146">
        <f t="shared" si="17"/>
        <v>0</v>
      </c>
      <c r="R19" s="137"/>
      <c r="S19" s="146">
        <f t="shared" si="18"/>
        <v>0</v>
      </c>
      <c r="T19" s="147">
        <v>0</v>
      </c>
      <c r="U19" s="140"/>
      <c r="V19" s="137"/>
      <c r="W19" s="146">
        <f t="shared" si="19"/>
        <v>0</v>
      </c>
      <c r="X19" s="28">
        <f t="shared" si="20"/>
        <v>0</v>
      </c>
      <c r="Y19" s="149">
        <f t="shared" si="21"/>
        <v>0</v>
      </c>
      <c r="Z19" s="150">
        <f t="shared" si="22"/>
        <v>0</v>
      </c>
      <c r="AA19" s="150">
        <f t="shared" si="24"/>
        <v>0</v>
      </c>
    </row>
    <row r="20" spans="1:27" s="151" customFormat="1" ht="16.5" thickBot="1" x14ac:dyDescent="0.25">
      <c r="A20" s="10">
        <v>44365</v>
      </c>
      <c r="B20" s="146"/>
      <c r="C20" s="161"/>
      <c r="D20" s="49">
        <f>IF((C20-C19)&lt;0,"0",(C20-C19))*160</f>
        <v>0</v>
      </c>
      <c r="E20" s="137"/>
      <c r="F20" s="146">
        <f t="shared" si="12"/>
        <v>0</v>
      </c>
      <c r="G20" s="141"/>
      <c r="H20" s="49">
        <f t="shared" si="13"/>
        <v>0</v>
      </c>
      <c r="I20" s="148">
        <f t="shared" si="14"/>
        <v>0</v>
      </c>
      <c r="J20" s="137"/>
      <c r="K20" s="146">
        <f t="shared" si="15"/>
        <v>0</v>
      </c>
      <c r="L20" s="139"/>
      <c r="M20" s="146">
        <f t="shared" si="16"/>
        <v>0</v>
      </c>
      <c r="N20" s="137"/>
      <c r="O20" s="146">
        <f t="shared" si="23"/>
        <v>0</v>
      </c>
      <c r="P20" s="139"/>
      <c r="Q20" s="146">
        <f t="shared" si="17"/>
        <v>0</v>
      </c>
      <c r="R20" s="137"/>
      <c r="S20" s="146">
        <f t="shared" si="18"/>
        <v>0</v>
      </c>
      <c r="T20" s="147">
        <v>0</v>
      </c>
      <c r="U20" s="140"/>
      <c r="V20" s="137"/>
      <c r="W20" s="146">
        <f t="shared" si="19"/>
        <v>0</v>
      </c>
      <c r="X20" s="28">
        <f t="shared" si="20"/>
        <v>0</v>
      </c>
      <c r="Y20" s="149">
        <f t="shared" si="21"/>
        <v>0</v>
      </c>
      <c r="Z20" s="150">
        <f t="shared" si="22"/>
        <v>0</v>
      </c>
      <c r="AA20" s="150">
        <f t="shared" si="24"/>
        <v>0</v>
      </c>
    </row>
    <row r="21" spans="1:27" s="151" customFormat="1" ht="16.5" thickBot="1" x14ac:dyDescent="0.25">
      <c r="A21" s="10">
        <v>44366</v>
      </c>
      <c r="B21" s="146"/>
      <c r="C21" s="161"/>
      <c r="D21" s="49">
        <f>IF((C21-C20)&lt;0,"0",(C21-C20))*160</f>
        <v>0</v>
      </c>
      <c r="E21" s="137"/>
      <c r="F21" s="146">
        <f t="shared" si="12"/>
        <v>0</v>
      </c>
      <c r="G21" s="141"/>
      <c r="H21" s="49">
        <f t="shared" si="13"/>
        <v>0</v>
      </c>
      <c r="I21" s="148">
        <f t="shared" si="14"/>
        <v>0</v>
      </c>
      <c r="J21" s="137"/>
      <c r="K21" s="146">
        <f t="shared" si="15"/>
        <v>0</v>
      </c>
      <c r="L21" s="139"/>
      <c r="M21" s="146">
        <f t="shared" si="16"/>
        <v>0</v>
      </c>
      <c r="N21" s="137"/>
      <c r="O21" s="146">
        <f t="shared" si="23"/>
        <v>0</v>
      </c>
      <c r="P21" s="139"/>
      <c r="Q21" s="146">
        <f t="shared" si="17"/>
        <v>0</v>
      </c>
      <c r="R21" s="137"/>
      <c r="S21" s="146">
        <f t="shared" si="18"/>
        <v>0</v>
      </c>
      <c r="T21" s="147">
        <v>0</v>
      </c>
      <c r="U21" s="140"/>
      <c r="V21" s="137"/>
      <c r="W21" s="146">
        <f t="shared" si="19"/>
        <v>0</v>
      </c>
      <c r="X21" s="28">
        <f t="shared" si="20"/>
        <v>0</v>
      </c>
      <c r="Y21" s="149">
        <f t="shared" si="21"/>
        <v>0</v>
      </c>
      <c r="Z21" s="150">
        <f t="shared" si="22"/>
        <v>0</v>
      </c>
      <c r="AA21" s="150">
        <f t="shared" si="24"/>
        <v>0</v>
      </c>
    </row>
    <row r="22" spans="1:27" ht="16.5" thickBot="1" x14ac:dyDescent="0.25">
      <c r="A22" s="10">
        <v>44367</v>
      </c>
      <c r="B22" s="49"/>
      <c r="C22" s="161"/>
      <c r="D22" s="49">
        <f t="shared" si="11"/>
        <v>0</v>
      </c>
      <c r="E22" s="137"/>
      <c r="F22" s="49">
        <f t="shared" si="12"/>
        <v>0</v>
      </c>
      <c r="G22" s="141"/>
      <c r="H22" s="49">
        <f t="shared" si="13"/>
        <v>0</v>
      </c>
      <c r="I22" s="138">
        <f t="shared" si="14"/>
        <v>0</v>
      </c>
      <c r="J22" s="137"/>
      <c r="K22" s="49">
        <f t="shared" si="15"/>
        <v>0</v>
      </c>
      <c r="L22" s="139"/>
      <c r="M22" s="49">
        <f t="shared" si="16"/>
        <v>0</v>
      </c>
      <c r="N22" s="137"/>
      <c r="O22" s="49">
        <f t="shared" si="23"/>
        <v>0</v>
      </c>
      <c r="P22" s="139"/>
      <c r="Q22" s="49">
        <f t="shared" si="17"/>
        <v>0</v>
      </c>
      <c r="R22" s="137"/>
      <c r="S22" s="49">
        <f t="shared" si="18"/>
        <v>0</v>
      </c>
      <c r="T22" s="137">
        <v>0</v>
      </c>
      <c r="U22" s="140"/>
      <c r="V22" s="137"/>
      <c r="W22" s="49">
        <f t="shared" si="19"/>
        <v>0</v>
      </c>
      <c r="X22" s="28">
        <f t="shared" si="20"/>
        <v>0</v>
      </c>
      <c r="Y22" s="35">
        <f t="shared" si="21"/>
        <v>0</v>
      </c>
      <c r="Z22" s="27">
        <f t="shared" si="22"/>
        <v>0</v>
      </c>
      <c r="AA22" s="27">
        <f t="shared" si="24"/>
        <v>0</v>
      </c>
    </row>
    <row r="23" spans="1:27" ht="16.5" thickBot="1" x14ac:dyDescent="0.25">
      <c r="A23" s="10">
        <v>44368</v>
      </c>
      <c r="B23" s="49"/>
      <c r="C23" s="161"/>
      <c r="D23" s="49">
        <f t="shared" si="11"/>
        <v>0</v>
      </c>
      <c r="E23" s="137"/>
      <c r="F23" s="49">
        <f t="shared" si="12"/>
        <v>0</v>
      </c>
      <c r="G23" s="141"/>
      <c r="H23" s="49">
        <f t="shared" si="13"/>
        <v>0</v>
      </c>
      <c r="I23" s="138">
        <f t="shared" si="14"/>
        <v>0</v>
      </c>
      <c r="J23" s="137"/>
      <c r="K23" s="49">
        <f t="shared" si="15"/>
        <v>0</v>
      </c>
      <c r="L23" s="139"/>
      <c r="M23" s="49">
        <f t="shared" si="16"/>
        <v>0</v>
      </c>
      <c r="N23" s="137"/>
      <c r="O23" s="49">
        <f t="shared" si="23"/>
        <v>0</v>
      </c>
      <c r="P23" s="139"/>
      <c r="Q23" s="49">
        <f t="shared" si="17"/>
        <v>0</v>
      </c>
      <c r="R23" s="137"/>
      <c r="S23" s="49">
        <f t="shared" si="18"/>
        <v>0</v>
      </c>
      <c r="T23" s="137">
        <v>0</v>
      </c>
      <c r="U23" s="140"/>
      <c r="V23" s="137"/>
      <c r="W23" s="49">
        <f t="shared" si="19"/>
        <v>0</v>
      </c>
      <c r="X23" s="28">
        <f t="shared" si="20"/>
        <v>0</v>
      </c>
      <c r="Y23" s="35">
        <f t="shared" si="21"/>
        <v>0</v>
      </c>
      <c r="Z23" s="27">
        <f t="shared" si="22"/>
        <v>0</v>
      </c>
      <c r="AA23" s="27">
        <f t="shared" si="24"/>
        <v>0</v>
      </c>
    </row>
    <row r="24" spans="1:27" ht="16.5" thickBot="1" x14ac:dyDescent="0.25">
      <c r="A24" s="10">
        <v>44369</v>
      </c>
      <c r="B24" s="49"/>
      <c r="C24" s="161"/>
      <c r="D24" s="49">
        <f t="shared" si="11"/>
        <v>0</v>
      </c>
      <c r="E24" s="137"/>
      <c r="F24" s="49">
        <f t="shared" si="12"/>
        <v>0</v>
      </c>
      <c r="G24" s="141"/>
      <c r="H24" s="49">
        <f t="shared" si="13"/>
        <v>0</v>
      </c>
      <c r="I24" s="138">
        <f t="shared" si="14"/>
        <v>0</v>
      </c>
      <c r="J24" s="137"/>
      <c r="K24" s="49">
        <f t="shared" si="15"/>
        <v>0</v>
      </c>
      <c r="L24" s="139"/>
      <c r="M24" s="49">
        <f t="shared" si="16"/>
        <v>0</v>
      </c>
      <c r="N24" s="137"/>
      <c r="O24" s="49">
        <f t="shared" si="23"/>
        <v>0</v>
      </c>
      <c r="P24" s="139"/>
      <c r="Q24" s="49">
        <f t="shared" si="17"/>
        <v>0</v>
      </c>
      <c r="R24" s="137"/>
      <c r="S24" s="49">
        <f t="shared" si="18"/>
        <v>0</v>
      </c>
      <c r="T24" s="137">
        <v>0</v>
      </c>
      <c r="U24" s="140"/>
      <c r="V24" s="137"/>
      <c r="W24" s="49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0</v>
      </c>
    </row>
    <row r="25" spans="1:27" ht="16.5" thickBot="1" x14ac:dyDescent="0.25">
      <c r="A25" s="10">
        <v>44370</v>
      </c>
      <c r="B25" s="49"/>
      <c r="C25" s="161"/>
      <c r="D25" s="49">
        <f t="shared" si="11"/>
        <v>0</v>
      </c>
      <c r="E25" s="137"/>
      <c r="F25" s="49">
        <f t="shared" si="12"/>
        <v>0</v>
      </c>
      <c r="G25" s="141"/>
      <c r="H25" s="49">
        <f t="shared" si="13"/>
        <v>0</v>
      </c>
      <c r="I25" s="138">
        <f t="shared" si="14"/>
        <v>0</v>
      </c>
      <c r="J25" s="137"/>
      <c r="K25" s="49">
        <f t="shared" si="15"/>
        <v>0</v>
      </c>
      <c r="L25" s="139"/>
      <c r="M25" s="49">
        <f t="shared" si="16"/>
        <v>0</v>
      </c>
      <c r="N25" s="137"/>
      <c r="O25" s="49">
        <f t="shared" si="23"/>
        <v>0</v>
      </c>
      <c r="P25" s="139"/>
      <c r="Q25" s="49">
        <f t="shared" si="17"/>
        <v>0</v>
      </c>
      <c r="R25" s="137"/>
      <c r="S25" s="49">
        <f t="shared" si="18"/>
        <v>0</v>
      </c>
      <c r="T25" s="137">
        <v>0</v>
      </c>
      <c r="U25" s="140"/>
      <c r="V25" s="137"/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0</v>
      </c>
    </row>
    <row r="26" spans="1:27" ht="16.5" thickBot="1" x14ac:dyDescent="0.25">
      <c r="A26" s="10">
        <v>44371</v>
      </c>
      <c r="B26" s="49"/>
      <c r="C26" s="161"/>
      <c r="D26" s="49">
        <f t="shared" si="11"/>
        <v>0</v>
      </c>
      <c r="E26" s="137"/>
      <c r="F26" s="49">
        <f t="shared" si="12"/>
        <v>0</v>
      </c>
      <c r="G26" s="141"/>
      <c r="H26" s="49">
        <f t="shared" si="13"/>
        <v>0</v>
      </c>
      <c r="I26" s="138">
        <f t="shared" si="14"/>
        <v>0</v>
      </c>
      <c r="J26" s="137"/>
      <c r="K26" s="49">
        <f t="shared" si="15"/>
        <v>0</v>
      </c>
      <c r="L26" s="139"/>
      <c r="M26" s="49">
        <f t="shared" si="16"/>
        <v>0</v>
      </c>
      <c r="N26" s="137"/>
      <c r="O26" s="49">
        <f t="shared" si="23"/>
        <v>0</v>
      </c>
      <c r="P26" s="139"/>
      <c r="Q26" s="49">
        <f t="shared" si="17"/>
        <v>0</v>
      </c>
      <c r="R26" s="137"/>
      <c r="S26" s="49">
        <f t="shared" si="18"/>
        <v>0</v>
      </c>
      <c r="T26" s="137">
        <v>0</v>
      </c>
      <c r="U26" s="140"/>
      <c r="V26" s="137"/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0</v>
      </c>
    </row>
    <row r="27" spans="1:27" ht="16.5" thickBot="1" x14ac:dyDescent="0.25">
      <c r="A27" s="10">
        <v>44372</v>
      </c>
      <c r="B27" s="49"/>
      <c r="C27" s="161"/>
      <c r="D27" s="49">
        <f t="shared" si="11"/>
        <v>0</v>
      </c>
      <c r="E27" s="137"/>
      <c r="F27" s="49">
        <f t="shared" si="12"/>
        <v>0</v>
      </c>
      <c r="G27" s="141"/>
      <c r="H27" s="49">
        <f t="shared" si="13"/>
        <v>0</v>
      </c>
      <c r="I27" s="138">
        <f t="shared" si="14"/>
        <v>0</v>
      </c>
      <c r="J27" s="137"/>
      <c r="K27" s="49">
        <f t="shared" si="15"/>
        <v>0</v>
      </c>
      <c r="L27" s="139"/>
      <c r="M27" s="49">
        <f t="shared" si="16"/>
        <v>0</v>
      </c>
      <c r="N27" s="137"/>
      <c r="O27" s="49">
        <f t="shared" si="23"/>
        <v>0</v>
      </c>
      <c r="P27" s="139"/>
      <c r="Q27" s="49">
        <f t="shared" si="17"/>
        <v>0</v>
      </c>
      <c r="R27" s="137"/>
      <c r="S27" s="49">
        <f t="shared" si="18"/>
        <v>0</v>
      </c>
      <c r="T27" s="137">
        <v>0</v>
      </c>
      <c r="U27" s="140"/>
      <c r="V27" s="137"/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44373</v>
      </c>
      <c r="B28" s="49"/>
      <c r="C28" s="161"/>
      <c r="D28" s="49">
        <f t="shared" si="11"/>
        <v>0</v>
      </c>
      <c r="E28" s="137"/>
      <c r="F28" s="49">
        <f t="shared" si="12"/>
        <v>0</v>
      </c>
      <c r="G28" s="141"/>
      <c r="H28" s="49">
        <f t="shared" si="13"/>
        <v>0</v>
      </c>
      <c r="I28" s="138">
        <f t="shared" si="14"/>
        <v>0</v>
      </c>
      <c r="J28" s="137"/>
      <c r="K28" s="49">
        <f t="shared" si="15"/>
        <v>0</v>
      </c>
      <c r="L28" s="139"/>
      <c r="M28" s="49">
        <f t="shared" si="16"/>
        <v>0</v>
      </c>
      <c r="N28" s="137"/>
      <c r="O28" s="49">
        <f t="shared" si="23"/>
        <v>0</v>
      </c>
      <c r="P28" s="139"/>
      <c r="Q28" s="49">
        <f t="shared" si="17"/>
        <v>0</v>
      </c>
      <c r="R28" s="137"/>
      <c r="S28" s="49">
        <f t="shared" si="18"/>
        <v>0</v>
      </c>
      <c r="T28" s="137">
        <v>0</v>
      </c>
      <c r="U28" s="140"/>
      <c r="V28" s="137"/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44374</v>
      </c>
      <c r="B29" s="49"/>
      <c r="C29" s="161"/>
      <c r="D29" s="49">
        <f t="shared" si="11"/>
        <v>0</v>
      </c>
      <c r="E29" s="137"/>
      <c r="F29" s="49">
        <f t="shared" si="12"/>
        <v>0</v>
      </c>
      <c r="G29" s="141"/>
      <c r="H29" s="49">
        <f t="shared" si="13"/>
        <v>0</v>
      </c>
      <c r="I29" s="138">
        <f t="shared" si="14"/>
        <v>0</v>
      </c>
      <c r="J29" s="137"/>
      <c r="K29" s="49">
        <f t="shared" si="15"/>
        <v>0</v>
      </c>
      <c r="L29" s="139"/>
      <c r="M29" s="49">
        <f t="shared" si="16"/>
        <v>0</v>
      </c>
      <c r="N29" s="137"/>
      <c r="O29" s="49">
        <f t="shared" si="23"/>
        <v>0</v>
      </c>
      <c r="P29" s="139"/>
      <c r="Q29" s="49">
        <f t="shared" si="17"/>
        <v>0</v>
      </c>
      <c r="R29" s="137"/>
      <c r="S29" s="49">
        <f t="shared" si="18"/>
        <v>0</v>
      </c>
      <c r="T29" s="137">
        <v>0</v>
      </c>
      <c r="U29" s="140"/>
      <c r="V29" s="137"/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44375</v>
      </c>
      <c r="B30" s="49"/>
      <c r="C30" s="161"/>
      <c r="D30" s="49">
        <f t="shared" si="11"/>
        <v>0</v>
      </c>
      <c r="E30" s="137"/>
      <c r="F30" s="49">
        <f t="shared" si="12"/>
        <v>0</v>
      </c>
      <c r="G30" s="141"/>
      <c r="H30" s="49">
        <f t="shared" si="13"/>
        <v>0</v>
      </c>
      <c r="I30" s="138">
        <f t="shared" si="14"/>
        <v>0</v>
      </c>
      <c r="J30" s="137"/>
      <c r="K30" s="49">
        <f t="shared" si="15"/>
        <v>0</v>
      </c>
      <c r="L30" s="139"/>
      <c r="M30" s="49">
        <f t="shared" si="16"/>
        <v>0</v>
      </c>
      <c r="N30" s="137"/>
      <c r="O30" s="49">
        <f t="shared" si="23"/>
        <v>0</v>
      </c>
      <c r="P30" s="139"/>
      <c r="Q30" s="49">
        <f t="shared" si="17"/>
        <v>0</v>
      </c>
      <c r="R30" s="137"/>
      <c r="S30" s="49">
        <f t="shared" si="18"/>
        <v>0</v>
      </c>
      <c r="T30" s="137">
        <v>0</v>
      </c>
      <c r="U30" s="140"/>
      <c r="V30" s="137"/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44376</v>
      </c>
      <c r="B31" s="49"/>
      <c r="C31" s="161"/>
      <c r="D31" s="49">
        <f t="shared" si="11"/>
        <v>0</v>
      </c>
      <c r="E31" s="137"/>
      <c r="F31" s="49">
        <f t="shared" si="12"/>
        <v>0</v>
      </c>
      <c r="G31" s="141"/>
      <c r="H31" s="49">
        <f t="shared" si="13"/>
        <v>0</v>
      </c>
      <c r="I31" s="28">
        <f>F31+H31</f>
        <v>0</v>
      </c>
      <c r="J31" s="137"/>
      <c r="K31" s="49">
        <f t="shared" si="15"/>
        <v>0</v>
      </c>
      <c r="L31" s="139"/>
      <c r="M31" s="49">
        <f t="shared" si="16"/>
        <v>0</v>
      </c>
      <c r="N31" s="137"/>
      <c r="O31" s="49">
        <f t="shared" si="23"/>
        <v>0</v>
      </c>
      <c r="P31" s="139"/>
      <c r="Q31" s="49">
        <f t="shared" si="17"/>
        <v>0</v>
      </c>
      <c r="R31" s="137"/>
      <c r="S31" s="49">
        <f t="shared" si="18"/>
        <v>0</v>
      </c>
      <c r="T31" s="137">
        <v>0</v>
      </c>
      <c r="U31" s="29"/>
      <c r="V31" s="137"/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44377</v>
      </c>
      <c r="B32" s="49"/>
      <c r="C32" s="161"/>
      <c r="D32" s="49">
        <f t="shared" si="11"/>
        <v>0</v>
      </c>
      <c r="E32" s="137"/>
      <c r="F32" s="49">
        <f t="shared" si="12"/>
        <v>0</v>
      </c>
      <c r="G32" s="141"/>
      <c r="H32" s="49">
        <f t="shared" si="13"/>
        <v>0</v>
      </c>
      <c r="I32" s="28">
        <f>F32+H32</f>
        <v>0</v>
      </c>
      <c r="J32" s="137"/>
      <c r="K32" s="49">
        <f t="shared" si="15"/>
        <v>0</v>
      </c>
      <c r="L32" s="139"/>
      <c r="M32" s="49">
        <f t="shared" si="16"/>
        <v>0</v>
      </c>
      <c r="N32" s="137"/>
      <c r="O32" s="49">
        <f t="shared" si="23"/>
        <v>0</v>
      </c>
      <c r="P32" s="139"/>
      <c r="Q32" s="49">
        <f t="shared" si="17"/>
        <v>0</v>
      </c>
      <c r="R32" s="137"/>
      <c r="S32" s="49">
        <f t="shared" si="18"/>
        <v>0</v>
      </c>
      <c r="T32" s="137">
        <v>0</v>
      </c>
      <c r="U32" s="29"/>
      <c r="V32" s="137"/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44377</v>
      </c>
      <c r="B33" s="49"/>
      <c r="C33" s="161"/>
      <c r="D33" s="49">
        <f t="shared" si="11"/>
        <v>0</v>
      </c>
      <c r="E33" s="137"/>
      <c r="F33" s="49">
        <f t="shared" si="12"/>
        <v>0</v>
      </c>
      <c r="G33" s="141"/>
      <c r="H33" s="49">
        <f t="shared" si="13"/>
        <v>0</v>
      </c>
      <c r="I33" s="28">
        <f>F33+H33</f>
        <v>0</v>
      </c>
      <c r="J33" s="137"/>
      <c r="K33" s="49">
        <f t="shared" si="15"/>
        <v>0</v>
      </c>
      <c r="L33" s="139"/>
      <c r="M33" s="49">
        <f t="shared" si="16"/>
        <v>0</v>
      </c>
      <c r="N33" s="137"/>
      <c r="O33" s="49">
        <f t="shared" si="23"/>
        <v>0</v>
      </c>
      <c r="P33" s="139"/>
      <c r="Q33" s="49">
        <f t="shared" si="17"/>
        <v>0</v>
      </c>
      <c r="R33" s="137"/>
      <c r="S33" s="49">
        <f t="shared" si="18"/>
        <v>0</v>
      </c>
      <c r="T33" s="137">
        <v>0</v>
      </c>
      <c r="U33" s="29"/>
      <c r="V33" s="137"/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212</v>
      </c>
      <c r="C34" s="159"/>
      <c r="D34" s="159">
        <f>SUM(D2:D33)</f>
        <v>480</v>
      </c>
      <c r="E34" s="159">
        <v>0</v>
      </c>
      <c r="F34" s="159">
        <f>SUM(F2:F33)</f>
        <v>16431</v>
      </c>
      <c r="G34" s="159">
        <v>0</v>
      </c>
      <c r="H34" s="159">
        <f>SUM(H2:H33)</f>
        <v>61587</v>
      </c>
      <c r="I34" s="159">
        <f>SUM(I5:I33)</f>
        <v>0</v>
      </c>
      <c r="J34" s="159">
        <v>0</v>
      </c>
      <c r="K34" s="159">
        <f>SUM(K2:K33)</f>
        <v>7453</v>
      </c>
      <c r="L34" s="159">
        <v>0</v>
      </c>
      <c r="M34" s="159">
        <f>SUM(M2:M33)</f>
        <v>9241</v>
      </c>
      <c r="N34" s="159">
        <v>0</v>
      </c>
      <c r="O34" s="159">
        <f>SUM(O2:O33)</f>
        <v>10896</v>
      </c>
      <c r="P34" s="159">
        <v>0</v>
      </c>
      <c r="Q34" s="159">
        <f>SUM(Q2:Q33)</f>
        <v>13693</v>
      </c>
      <c r="R34" s="159">
        <v>0</v>
      </c>
      <c r="S34" s="159">
        <f>SUM(S2:S33)</f>
        <v>11727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13598</v>
      </c>
      <c r="X34" s="159">
        <f>SUM(X5:X33)</f>
        <v>0</v>
      </c>
      <c r="Y34" s="159">
        <f>SUM(Y2:Y33)</f>
        <v>15311</v>
      </c>
      <c r="Z34" s="159">
        <f>SUM(Z2:Z33)</f>
        <v>9706.4627920000003</v>
      </c>
      <c r="AA34" s="159">
        <f>SUM(AA2:AA33)</f>
        <v>29119.388376000003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A3" sqref="A3:XFD3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44347</v>
      </c>
      <c r="B2" s="154">
        <v>17373532</v>
      </c>
      <c r="C2" s="55"/>
    </row>
    <row r="3" spans="1:9" ht="24" thickBot="1" x14ac:dyDescent="0.4">
      <c r="A3" s="10">
        <v>44348</v>
      </c>
      <c r="B3" s="154">
        <v>17375432</v>
      </c>
      <c r="C3" s="55">
        <f>IF((B3-B2)&lt;0,"0",(B3-B2))</f>
        <v>1900</v>
      </c>
    </row>
    <row r="4" spans="1:9" ht="24" thickBot="1" x14ac:dyDescent="0.4">
      <c r="A4" s="10">
        <v>44349</v>
      </c>
      <c r="B4" s="154"/>
      <c r="C4" s="55" t="str">
        <f t="shared" ref="C4:C30" si="0">IF((B4-B3)&lt;0,"0",(B4-B3))</f>
        <v>0</v>
      </c>
    </row>
    <row r="5" spans="1:9" ht="24" thickBot="1" x14ac:dyDescent="0.4">
      <c r="A5" s="10">
        <v>44350</v>
      </c>
      <c r="B5" s="154"/>
      <c r="C5" s="55">
        <f t="shared" si="0"/>
        <v>0</v>
      </c>
    </row>
    <row r="6" spans="1:9" ht="24" thickBot="1" x14ac:dyDescent="0.4">
      <c r="A6" s="10">
        <v>44351</v>
      </c>
      <c r="B6" s="154"/>
      <c r="C6" s="55">
        <f>IF((B6-B5)&lt;0,"0",(B6-B5))</f>
        <v>0</v>
      </c>
    </row>
    <row r="7" spans="1:9" ht="24" thickBot="1" x14ac:dyDescent="0.4">
      <c r="A7" s="10">
        <v>44352</v>
      </c>
      <c r="B7" s="154"/>
      <c r="C7" s="55">
        <f t="shared" si="0"/>
        <v>0</v>
      </c>
    </row>
    <row r="8" spans="1:9" ht="24" thickBot="1" x14ac:dyDescent="0.4">
      <c r="A8" s="10">
        <v>44353</v>
      </c>
      <c r="B8" s="154"/>
      <c r="C8" s="55">
        <f t="shared" si="0"/>
        <v>0</v>
      </c>
    </row>
    <row r="9" spans="1:9" ht="24" thickBot="1" x14ac:dyDescent="0.4">
      <c r="A9" s="10">
        <v>44354</v>
      </c>
      <c r="B9" s="154"/>
      <c r="C9" s="55">
        <f t="shared" si="0"/>
        <v>0</v>
      </c>
    </row>
    <row r="10" spans="1:9" ht="24" thickBot="1" x14ac:dyDescent="0.4">
      <c r="A10" s="10">
        <v>44355</v>
      </c>
      <c r="B10" s="154"/>
      <c r="C10" s="55">
        <f t="shared" si="0"/>
        <v>0</v>
      </c>
    </row>
    <row r="11" spans="1:9" ht="24" thickBot="1" x14ac:dyDescent="0.4">
      <c r="A11" s="10">
        <v>44356</v>
      </c>
      <c r="B11" s="154"/>
      <c r="C11" s="55">
        <f t="shared" si="0"/>
        <v>0</v>
      </c>
    </row>
    <row r="12" spans="1:9" ht="24" thickBot="1" x14ac:dyDescent="0.4">
      <c r="A12" s="10">
        <v>44357</v>
      </c>
      <c r="B12" s="154"/>
      <c r="C12" s="55">
        <f t="shared" si="0"/>
        <v>0</v>
      </c>
    </row>
    <row r="13" spans="1:9" ht="24" thickBot="1" x14ac:dyDescent="0.4">
      <c r="A13" s="10">
        <v>44358</v>
      </c>
      <c r="B13" s="154"/>
      <c r="C13" s="55">
        <f t="shared" si="0"/>
        <v>0</v>
      </c>
    </row>
    <row r="14" spans="1:9" ht="24" thickBot="1" x14ac:dyDescent="0.4">
      <c r="A14" s="10">
        <v>44359</v>
      </c>
      <c r="B14" s="154"/>
      <c r="C14" s="55">
        <f t="shared" si="0"/>
        <v>0</v>
      </c>
    </row>
    <row r="15" spans="1:9" ht="24" thickBot="1" x14ac:dyDescent="0.4">
      <c r="A15" s="10">
        <v>44360</v>
      </c>
      <c r="B15" s="154"/>
      <c r="C15" s="55">
        <f t="shared" si="0"/>
        <v>0</v>
      </c>
      <c r="I15" t="s">
        <v>12</v>
      </c>
    </row>
    <row r="16" spans="1:9" ht="26.25" customHeight="1" thickBot="1" x14ac:dyDescent="0.4">
      <c r="A16" s="10">
        <v>44361</v>
      </c>
      <c r="B16" s="154"/>
      <c r="C16" s="55">
        <f t="shared" si="0"/>
        <v>0</v>
      </c>
    </row>
    <row r="17" spans="1:9" ht="25.5" customHeight="1" thickBot="1" x14ac:dyDescent="0.4">
      <c r="A17" s="10">
        <v>44362</v>
      </c>
      <c r="B17" s="154"/>
      <c r="C17" s="55">
        <f t="shared" si="0"/>
        <v>0</v>
      </c>
      <c r="F17" s="152"/>
    </row>
    <row r="18" spans="1:9" ht="24" thickBot="1" x14ac:dyDescent="0.4">
      <c r="A18" s="10">
        <v>44363</v>
      </c>
      <c r="B18" s="154"/>
      <c r="C18" s="55">
        <f t="shared" si="0"/>
        <v>0</v>
      </c>
    </row>
    <row r="19" spans="1:9" ht="24" thickBot="1" x14ac:dyDescent="0.4">
      <c r="A19" s="10">
        <v>44364</v>
      </c>
      <c r="B19" s="154"/>
      <c r="C19" s="55">
        <f t="shared" si="0"/>
        <v>0</v>
      </c>
    </row>
    <row r="20" spans="1:9" ht="24" thickBot="1" x14ac:dyDescent="0.4">
      <c r="A20" s="10">
        <v>44365</v>
      </c>
      <c r="B20" s="154"/>
      <c r="C20" s="55">
        <f t="shared" si="0"/>
        <v>0</v>
      </c>
    </row>
    <row r="21" spans="1:9" ht="24" thickBot="1" x14ac:dyDescent="0.4">
      <c r="A21" s="10">
        <v>44366</v>
      </c>
      <c r="B21" s="154"/>
      <c r="C21" s="55">
        <f t="shared" si="0"/>
        <v>0</v>
      </c>
    </row>
    <row r="22" spans="1:9" ht="24" thickBot="1" x14ac:dyDescent="0.4">
      <c r="A22" s="10">
        <v>44367</v>
      </c>
      <c r="B22" s="154"/>
      <c r="C22" s="55">
        <f t="shared" si="0"/>
        <v>0</v>
      </c>
    </row>
    <row r="23" spans="1:9" ht="24" thickBot="1" x14ac:dyDescent="0.4">
      <c r="A23" s="10">
        <v>44368</v>
      </c>
      <c r="B23" s="154"/>
      <c r="C23" s="55">
        <f t="shared" si="0"/>
        <v>0</v>
      </c>
      <c r="F23" t="s">
        <v>12</v>
      </c>
    </row>
    <row r="24" spans="1:9" ht="24" thickBot="1" x14ac:dyDescent="0.4">
      <c r="A24" s="10">
        <v>44369</v>
      </c>
      <c r="B24" s="154"/>
      <c r="C24" s="55">
        <f t="shared" si="0"/>
        <v>0</v>
      </c>
      <c r="E24" t="s">
        <v>12</v>
      </c>
    </row>
    <row r="25" spans="1:9" ht="24" thickBot="1" x14ac:dyDescent="0.4">
      <c r="A25" s="10">
        <v>44370</v>
      </c>
      <c r="B25" s="154"/>
      <c r="C25" s="55">
        <f t="shared" si="0"/>
        <v>0</v>
      </c>
    </row>
    <row r="26" spans="1:9" ht="24" thickBot="1" x14ac:dyDescent="0.4">
      <c r="A26" s="10">
        <v>44371</v>
      </c>
      <c r="B26" s="154"/>
      <c r="C26" s="55">
        <f t="shared" si="0"/>
        <v>0</v>
      </c>
    </row>
    <row r="27" spans="1:9" ht="24" thickBot="1" x14ac:dyDescent="0.4">
      <c r="A27" s="10">
        <v>44372</v>
      </c>
      <c r="B27" s="154"/>
      <c r="C27" s="55">
        <f t="shared" si="0"/>
        <v>0</v>
      </c>
    </row>
    <row r="28" spans="1:9" ht="24" thickBot="1" x14ac:dyDescent="0.4">
      <c r="A28" s="10">
        <v>44373</v>
      </c>
      <c r="B28" s="154"/>
      <c r="C28" s="55">
        <f t="shared" si="0"/>
        <v>0</v>
      </c>
      <c r="I28" t="s">
        <v>12</v>
      </c>
    </row>
    <row r="29" spans="1:9" ht="24" thickBot="1" x14ac:dyDescent="0.4">
      <c r="A29" s="10">
        <v>44374</v>
      </c>
      <c r="B29" s="154"/>
      <c r="C29" s="55">
        <f t="shared" si="0"/>
        <v>0</v>
      </c>
    </row>
    <row r="30" spans="1:9" ht="24" thickBot="1" x14ac:dyDescent="0.4">
      <c r="A30" s="10">
        <v>44375</v>
      </c>
      <c r="B30" s="154"/>
      <c r="C30" s="55">
        <f t="shared" si="0"/>
        <v>0</v>
      </c>
    </row>
    <row r="31" spans="1:9" ht="24" thickBot="1" x14ac:dyDescent="0.4">
      <c r="A31" s="10">
        <v>44376</v>
      </c>
      <c r="B31" s="154"/>
      <c r="C31" s="55">
        <f>IF((B31-B30)&lt;0,"0",(B31-B30))</f>
        <v>0</v>
      </c>
    </row>
    <row r="32" spans="1:9" ht="24" thickBot="1" x14ac:dyDescent="0.4">
      <c r="A32" s="10">
        <v>44377</v>
      </c>
      <c r="B32" s="154"/>
      <c r="C32" s="55">
        <f>IF((B32-B31)&lt;0,"0",(B32-B31))</f>
        <v>0</v>
      </c>
    </row>
    <row r="33" spans="1:3" ht="24" thickBot="1" x14ac:dyDescent="0.4">
      <c r="A33" s="10">
        <v>44377</v>
      </c>
      <c r="B33" s="154"/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1900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xSplit="1" topLeftCell="B1" activePane="topRight" state="frozen"/>
      <selection pane="topRight" activeCell="A3" sqref="A3:XFD3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44347</v>
      </c>
      <c r="B2" s="1">
        <v>20747.607</v>
      </c>
      <c r="C2" s="54">
        <v>9.9749999999985448</v>
      </c>
      <c r="D2" s="38">
        <v>18952.499999997231</v>
      </c>
      <c r="E2" s="1">
        <v>3613.8829999999998</v>
      </c>
      <c r="F2" s="54">
        <v>2.7979999999997744</v>
      </c>
      <c r="G2" s="38">
        <v>5316.1999999995714</v>
      </c>
      <c r="H2" s="1">
        <v>3176</v>
      </c>
      <c r="I2" s="54">
        <v>8</v>
      </c>
      <c r="J2" s="38">
        <v>15200</v>
      </c>
      <c r="K2" s="7">
        <v>13414.59</v>
      </c>
      <c r="L2" s="54">
        <v>2.1300000000010186</v>
      </c>
      <c r="M2" s="38">
        <v>4047.0000000019349</v>
      </c>
      <c r="N2" s="7">
        <v>3052.0720000000001</v>
      </c>
      <c r="O2" s="54">
        <v>1.3440000000000509</v>
      </c>
      <c r="P2" s="38">
        <v>2553.6000000000968</v>
      </c>
      <c r="Q2" s="7">
        <v>4814.08</v>
      </c>
      <c r="R2" s="54">
        <v>2.3699999999998909</v>
      </c>
      <c r="S2" s="38">
        <v>4502.9999999997926</v>
      </c>
      <c r="T2" s="8">
        <v>26.61699999999928</v>
      </c>
      <c r="U2" s="40">
        <v>50572.299999998628</v>
      </c>
    </row>
    <row r="3" spans="1:25" ht="16.5" thickBot="1" x14ac:dyDescent="0.25">
      <c r="A3" s="10">
        <v>44348</v>
      </c>
      <c r="B3" s="1">
        <v>20757.772000000001</v>
      </c>
      <c r="C3" s="54">
        <f>IF((B3-B2)&lt;0,"0",(B3-B2))</f>
        <v>10.165000000000873</v>
      </c>
      <c r="D3" s="38">
        <f t="shared" ref="D3" si="0">C3*1.9*1000</f>
        <v>19313.500000001655</v>
      </c>
      <c r="E3" s="1">
        <v>3616.77</v>
      </c>
      <c r="F3" s="54">
        <f t="shared" ref="F3" si="1">IF((E3-E2)&lt;0,"0",(E3-E2))</f>
        <v>2.887000000000171</v>
      </c>
      <c r="G3" s="38">
        <f t="shared" ref="G3" si="2">F3*1.9*1000</f>
        <v>5485.3000000003249</v>
      </c>
      <c r="H3" s="1">
        <v>3185</v>
      </c>
      <c r="I3" s="54">
        <f t="shared" ref="I3" si="3">IF((H3-H2)&lt;0,"0",(H3-H2))</f>
        <v>9</v>
      </c>
      <c r="J3" s="38">
        <f t="shared" ref="J3" si="4">I3*1.9*1000</f>
        <v>17099.999999999996</v>
      </c>
      <c r="K3" s="7">
        <v>13416.86</v>
      </c>
      <c r="L3" s="54">
        <f t="shared" ref="L3" si="5">IF((K3-K2)&lt;0,"0",(K3-K2))</f>
        <v>2.2700000000004366</v>
      </c>
      <c r="M3" s="38">
        <f t="shared" ref="M3" si="6">L3*1.9*1000</f>
        <v>4313.0000000008295</v>
      </c>
      <c r="N3" s="7">
        <v>3053.3270000000002</v>
      </c>
      <c r="O3" s="54">
        <f t="shared" ref="O3" si="7">IF((N3-N2)&lt;0,"0",(N3-N2))</f>
        <v>1.2550000000001091</v>
      </c>
      <c r="P3" s="38">
        <f t="shared" ref="P3" si="8">O3*1.9*1000</f>
        <v>2384.5000000002074</v>
      </c>
      <c r="Q3" s="7">
        <v>4818.25</v>
      </c>
      <c r="R3" s="54">
        <f t="shared" ref="R3" si="9">IF((Q3-Q2)&lt;0,"0",(Q3-Q2))</f>
        <v>4.1700000000000728</v>
      </c>
      <c r="S3" s="38">
        <f t="shared" ref="S3" si="10">R3*1.9*1000</f>
        <v>7923.0000000001373</v>
      </c>
      <c r="T3" s="8">
        <f>C3+F3+I3+L3+O3+R3</f>
        <v>29.747000000001663</v>
      </c>
      <c r="U3" s="40">
        <f>T3*1.9*1000</f>
        <v>56519.300000003153</v>
      </c>
    </row>
    <row r="4" spans="1:25" ht="16.5" thickBot="1" x14ac:dyDescent="0.25">
      <c r="A4" s="10">
        <v>44349</v>
      </c>
      <c r="B4" s="1"/>
      <c r="C4" s="54" t="str">
        <f t="shared" ref="C4:C33" si="11">IF((B4-B3)&lt;0,"0",(B4-B3))</f>
        <v>0</v>
      </c>
      <c r="D4" s="38">
        <f t="shared" ref="D4:D33" si="12">C4*1.9*1000</f>
        <v>0</v>
      </c>
      <c r="E4" s="1"/>
      <c r="F4" s="54" t="str">
        <f t="shared" ref="F4:F33" si="13">IF((E4-E3)&lt;0,"0",(E4-E3))</f>
        <v>0</v>
      </c>
      <c r="G4" s="38">
        <f t="shared" ref="G4:G33" si="14">F4*1.9*1000</f>
        <v>0</v>
      </c>
      <c r="H4" s="1"/>
      <c r="I4" s="54" t="str">
        <f t="shared" ref="I4:I33" si="15">IF((H4-H3)&lt;0,"0",(H4-H3))</f>
        <v>0</v>
      </c>
      <c r="J4" s="38">
        <f t="shared" ref="J4:J33" si="16">I4*1.9*1000</f>
        <v>0</v>
      </c>
      <c r="K4" s="7"/>
      <c r="L4" s="54" t="str">
        <f t="shared" ref="L4:L33" si="17">IF((K4-K3)&lt;0,"0",(K4-K3))</f>
        <v>0</v>
      </c>
      <c r="M4" s="38">
        <f t="shared" ref="M4:M33" si="18">L4*1.9*1000</f>
        <v>0</v>
      </c>
      <c r="N4" s="7"/>
      <c r="O4" s="54" t="str">
        <f t="shared" ref="O4:O33" si="19">IF((N4-N3)&lt;0,"0",(N4-N3))</f>
        <v>0</v>
      </c>
      <c r="P4" s="38">
        <f t="shared" ref="P4:P33" si="20">O4*1.9*1000</f>
        <v>0</v>
      </c>
      <c r="Q4" s="7"/>
      <c r="R4" s="54" t="str">
        <f t="shared" ref="R4:R33" si="21">IF((Q4-Q3)&lt;0,"0",(Q4-Q3))</f>
        <v>0</v>
      </c>
      <c r="S4" s="38">
        <f t="shared" ref="S4:S33" si="22">R4*1.9*1000</f>
        <v>0</v>
      </c>
      <c r="T4" s="8">
        <f>C4+F4+I4+L4+O4+R4</f>
        <v>0</v>
      </c>
      <c r="U4" s="40">
        <f t="shared" ref="U4:U33" si="23">T4*1.9*1000</f>
        <v>0</v>
      </c>
    </row>
    <row r="5" spans="1:25" ht="16.5" thickBot="1" x14ac:dyDescent="0.25">
      <c r="A5" s="10">
        <v>44350</v>
      </c>
      <c r="B5" s="1"/>
      <c r="C5" s="54">
        <f t="shared" si="11"/>
        <v>0</v>
      </c>
      <c r="D5" s="38">
        <f t="shared" si="12"/>
        <v>0</v>
      </c>
      <c r="E5" s="1"/>
      <c r="F5" s="54">
        <f t="shared" si="13"/>
        <v>0</v>
      </c>
      <c r="G5" s="38">
        <f t="shared" si="14"/>
        <v>0</v>
      </c>
      <c r="H5" s="1"/>
      <c r="I5" s="54">
        <f t="shared" si="15"/>
        <v>0</v>
      </c>
      <c r="J5" s="38">
        <f t="shared" si="16"/>
        <v>0</v>
      </c>
      <c r="K5" s="7"/>
      <c r="L5" s="54">
        <f t="shared" si="17"/>
        <v>0</v>
      </c>
      <c r="M5" s="38">
        <f t="shared" si="18"/>
        <v>0</v>
      </c>
      <c r="N5" s="7"/>
      <c r="O5" s="54">
        <f t="shared" si="19"/>
        <v>0</v>
      </c>
      <c r="P5" s="38">
        <f t="shared" si="20"/>
        <v>0</v>
      </c>
      <c r="Q5" s="7"/>
      <c r="R5" s="54">
        <f t="shared" si="21"/>
        <v>0</v>
      </c>
      <c r="S5" s="38">
        <f t="shared" si="22"/>
        <v>0</v>
      </c>
      <c r="T5" s="8">
        <f>C5+F5+I5+L5+O5+R5</f>
        <v>0</v>
      </c>
      <c r="U5" s="40">
        <f t="shared" si="23"/>
        <v>0</v>
      </c>
    </row>
    <row r="6" spans="1:25" ht="16.5" thickBot="1" x14ac:dyDescent="0.25">
      <c r="A6" s="10">
        <v>44351</v>
      </c>
      <c r="B6" s="1"/>
      <c r="C6" s="54">
        <f t="shared" si="11"/>
        <v>0</v>
      </c>
      <c r="D6" s="38">
        <f t="shared" si="12"/>
        <v>0</v>
      </c>
      <c r="E6" s="1"/>
      <c r="F6" s="54">
        <f t="shared" si="13"/>
        <v>0</v>
      </c>
      <c r="G6" s="38">
        <f t="shared" si="14"/>
        <v>0</v>
      </c>
      <c r="H6" s="1"/>
      <c r="I6" s="54">
        <f t="shared" si="15"/>
        <v>0</v>
      </c>
      <c r="J6" s="38">
        <f t="shared" si="16"/>
        <v>0</v>
      </c>
      <c r="K6" s="7"/>
      <c r="L6" s="54">
        <f t="shared" si="17"/>
        <v>0</v>
      </c>
      <c r="M6" s="38">
        <f t="shared" si="18"/>
        <v>0</v>
      </c>
      <c r="N6" s="7"/>
      <c r="O6" s="54">
        <f t="shared" si="19"/>
        <v>0</v>
      </c>
      <c r="P6" s="38">
        <f t="shared" si="20"/>
        <v>0</v>
      </c>
      <c r="Q6" s="7"/>
      <c r="R6" s="54">
        <f t="shared" si="21"/>
        <v>0</v>
      </c>
      <c r="S6" s="38">
        <f t="shared" si="22"/>
        <v>0</v>
      </c>
      <c r="T6" s="8">
        <f t="shared" ref="T6:T33" si="24">C6+F6+I6+L6+O6+R6</f>
        <v>0</v>
      </c>
      <c r="U6" s="40">
        <f t="shared" si="23"/>
        <v>0</v>
      </c>
    </row>
    <row r="7" spans="1:25" ht="16.5" thickBot="1" x14ac:dyDescent="0.25">
      <c r="A7" s="10">
        <v>44352</v>
      </c>
      <c r="B7" s="1"/>
      <c r="C7" s="54">
        <f t="shared" si="11"/>
        <v>0</v>
      </c>
      <c r="D7" s="38">
        <f t="shared" si="12"/>
        <v>0</v>
      </c>
      <c r="E7" s="1"/>
      <c r="F7" s="54">
        <f t="shared" si="13"/>
        <v>0</v>
      </c>
      <c r="G7" s="38">
        <f t="shared" si="14"/>
        <v>0</v>
      </c>
      <c r="H7" s="1"/>
      <c r="I7" s="54">
        <f t="shared" si="15"/>
        <v>0</v>
      </c>
      <c r="J7" s="38">
        <f t="shared" si="16"/>
        <v>0</v>
      </c>
      <c r="K7" s="7"/>
      <c r="L7" s="54">
        <f t="shared" si="17"/>
        <v>0</v>
      </c>
      <c r="M7" s="38">
        <f t="shared" si="18"/>
        <v>0</v>
      </c>
      <c r="N7" s="7"/>
      <c r="O7" s="54">
        <f t="shared" si="19"/>
        <v>0</v>
      </c>
      <c r="P7" s="38">
        <f t="shared" si="20"/>
        <v>0</v>
      </c>
      <c r="Q7" s="7"/>
      <c r="R7" s="54">
        <f t="shared" si="21"/>
        <v>0</v>
      </c>
      <c r="S7" s="38">
        <f t="shared" si="22"/>
        <v>0</v>
      </c>
      <c r="T7" s="8">
        <f t="shared" si="24"/>
        <v>0</v>
      </c>
      <c r="U7" s="40">
        <f t="shared" si="23"/>
        <v>0</v>
      </c>
    </row>
    <row r="8" spans="1:25" ht="16.5" thickBot="1" x14ac:dyDescent="0.25">
      <c r="A8" s="10">
        <v>44353</v>
      </c>
      <c r="B8" s="1"/>
      <c r="C8" s="54">
        <f t="shared" si="11"/>
        <v>0</v>
      </c>
      <c r="D8" s="38">
        <f t="shared" si="12"/>
        <v>0</v>
      </c>
      <c r="E8" s="1"/>
      <c r="F8" s="54">
        <f t="shared" si="13"/>
        <v>0</v>
      </c>
      <c r="G8" s="38">
        <f t="shared" si="14"/>
        <v>0</v>
      </c>
      <c r="H8" s="1"/>
      <c r="I8" s="54">
        <f t="shared" si="15"/>
        <v>0</v>
      </c>
      <c r="J8" s="38">
        <f t="shared" si="16"/>
        <v>0</v>
      </c>
      <c r="K8" s="7"/>
      <c r="L8" s="54">
        <f t="shared" si="17"/>
        <v>0</v>
      </c>
      <c r="M8" s="38">
        <f t="shared" si="18"/>
        <v>0</v>
      </c>
      <c r="N8" s="7"/>
      <c r="O8" s="54">
        <f t="shared" si="19"/>
        <v>0</v>
      </c>
      <c r="P8" s="38">
        <f t="shared" si="20"/>
        <v>0</v>
      </c>
      <c r="Q8" s="7"/>
      <c r="R8" s="54">
        <f t="shared" si="21"/>
        <v>0</v>
      </c>
      <c r="S8" s="38">
        <f t="shared" si="22"/>
        <v>0</v>
      </c>
      <c r="T8" s="8">
        <f t="shared" si="24"/>
        <v>0</v>
      </c>
      <c r="U8" s="40">
        <f t="shared" si="23"/>
        <v>0</v>
      </c>
    </row>
    <row r="9" spans="1:25" ht="16.5" thickBot="1" x14ac:dyDescent="0.25">
      <c r="A9" s="10">
        <v>44354</v>
      </c>
      <c r="B9" s="1"/>
      <c r="C9" s="54">
        <f t="shared" si="11"/>
        <v>0</v>
      </c>
      <c r="D9" s="38">
        <f t="shared" si="12"/>
        <v>0</v>
      </c>
      <c r="E9" s="1"/>
      <c r="F9" s="54">
        <f t="shared" si="13"/>
        <v>0</v>
      </c>
      <c r="G9" s="38">
        <f t="shared" si="14"/>
        <v>0</v>
      </c>
      <c r="H9" s="1"/>
      <c r="I9" s="54">
        <f t="shared" si="15"/>
        <v>0</v>
      </c>
      <c r="J9" s="38">
        <f t="shared" si="16"/>
        <v>0</v>
      </c>
      <c r="K9" s="7"/>
      <c r="L9" s="54">
        <f t="shared" si="17"/>
        <v>0</v>
      </c>
      <c r="M9" s="38">
        <f t="shared" si="18"/>
        <v>0</v>
      </c>
      <c r="N9" s="7"/>
      <c r="O9" s="54">
        <f t="shared" si="19"/>
        <v>0</v>
      </c>
      <c r="P9" s="38">
        <f t="shared" si="20"/>
        <v>0</v>
      </c>
      <c r="Q9" s="7"/>
      <c r="R9" s="54">
        <f t="shared" si="21"/>
        <v>0</v>
      </c>
      <c r="S9" s="38">
        <f t="shared" si="22"/>
        <v>0</v>
      </c>
      <c r="T9" s="8">
        <f t="shared" si="24"/>
        <v>0</v>
      </c>
      <c r="U9" s="40">
        <f t="shared" si="23"/>
        <v>0</v>
      </c>
    </row>
    <row r="10" spans="1:25" ht="16.5" thickBot="1" x14ac:dyDescent="0.25">
      <c r="A10" s="10">
        <v>44355</v>
      </c>
      <c r="B10" s="1"/>
      <c r="C10" s="54">
        <f t="shared" si="11"/>
        <v>0</v>
      </c>
      <c r="D10" s="38">
        <f t="shared" si="12"/>
        <v>0</v>
      </c>
      <c r="E10" s="1"/>
      <c r="F10" s="54">
        <f t="shared" si="13"/>
        <v>0</v>
      </c>
      <c r="G10" s="38">
        <f t="shared" si="14"/>
        <v>0</v>
      </c>
      <c r="H10" s="1"/>
      <c r="I10" s="54">
        <f t="shared" si="15"/>
        <v>0</v>
      </c>
      <c r="J10" s="38">
        <f t="shared" si="16"/>
        <v>0</v>
      </c>
      <c r="K10" s="7"/>
      <c r="L10" s="54">
        <f t="shared" si="17"/>
        <v>0</v>
      </c>
      <c r="M10" s="38">
        <f t="shared" si="18"/>
        <v>0</v>
      </c>
      <c r="N10" s="7"/>
      <c r="O10" s="54">
        <f t="shared" si="19"/>
        <v>0</v>
      </c>
      <c r="P10" s="38">
        <f t="shared" si="20"/>
        <v>0</v>
      </c>
      <c r="Q10" s="7"/>
      <c r="R10" s="54">
        <f t="shared" si="21"/>
        <v>0</v>
      </c>
      <c r="S10" s="38">
        <f t="shared" si="22"/>
        <v>0</v>
      </c>
      <c r="T10" s="8">
        <f t="shared" si="24"/>
        <v>0</v>
      </c>
      <c r="U10" s="40">
        <f t="shared" si="23"/>
        <v>0</v>
      </c>
    </row>
    <row r="11" spans="1:25" ht="16.5" thickBot="1" x14ac:dyDescent="0.25">
      <c r="A11" s="10">
        <v>44356</v>
      </c>
      <c r="B11" s="1"/>
      <c r="C11" s="54">
        <f t="shared" si="11"/>
        <v>0</v>
      </c>
      <c r="D11" s="38">
        <f t="shared" si="12"/>
        <v>0</v>
      </c>
      <c r="E11" s="1"/>
      <c r="F11" s="54">
        <f t="shared" si="13"/>
        <v>0</v>
      </c>
      <c r="G11" s="38">
        <f t="shared" si="14"/>
        <v>0</v>
      </c>
      <c r="H11" s="1"/>
      <c r="I11" s="54">
        <f t="shared" si="15"/>
        <v>0</v>
      </c>
      <c r="J11" s="38">
        <f t="shared" si="16"/>
        <v>0</v>
      </c>
      <c r="K11" s="7"/>
      <c r="L11" s="54">
        <f t="shared" si="17"/>
        <v>0</v>
      </c>
      <c r="M11" s="38">
        <f t="shared" si="18"/>
        <v>0</v>
      </c>
      <c r="N11" s="7"/>
      <c r="O11" s="54">
        <f t="shared" si="19"/>
        <v>0</v>
      </c>
      <c r="P11" s="38">
        <f t="shared" si="20"/>
        <v>0</v>
      </c>
      <c r="Q11" s="7"/>
      <c r="R11" s="54">
        <f t="shared" si="21"/>
        <v>0</v>
      </c>
      <c r="S11" s="38">
        <f t="shared" si="22"/>
        <v>0</v>
      </c>
      <c r="T11" s="8">
        <f t="shared" si="24"/>
        <v>0</v>
      </c>
      <c r="U11" s="40">
        <f t="shared" si="23"/>
        <v>0</v>
      </c>
    </row>
    <row r="12" spans="1:25" ht="16.5" thickBot="1" x14ac:dyDescent="0.25">
      <c r="A12" s="10">
        <v>44357</v>
      </c>
      <c r="B12" s="1"/>
      <c r="C12" s="54">
        <f t="shared" si="11"/>
        <v>0</v>
      </c>
      <c r="D12" s="38">
        <f t="shared" si="12"/>
        <v>0</v>
      </c>
      <c r="E12" s="1"/>
      <c r="F12" s="54">
        <f t="shared" si="13"/>
        <v>0</v>
      </c>
      <c r="G12" s="38">
        <f t="shared" si="14"/>
        <v>0</v>
      </c>
      <c r="H12" s="1"/>
      <c r="I12" s="54">
        <f t="shared" si="15"/>
        <v>0</v>
      </c>
      <c r="J12" s="38">
        <f t="shared" si="16"/>
        <v>0</v>
      </c>
      <c r="K12" s="7"/>
      <c r="L12" s="54">
        <f t="shared" si="17"/>
        <v>0</v>
      </c>
      <c r="M12" s="38">
        <f t="shared" si="18"/>
        <v>0</v>
      </c>
      <c r="N12" s="7"/>
      <c r="O12" s="54">
        <f t="shared" si="19"/>
        <v>0</v>
      </c>
      <c r="P12" s="38">
        <f t="shared" si="20"/>
        <v>0</v>
      </c>
      <c r="Q12" s="7"/>
      <c r="R12" s="54">
        <f t="shared" si="21"/>
        <v>0</v>
      </c>
      <c r="S12" s="38">
        <f t="shared" si="22"/>
        <v>0</v>
      </c>
      <c r="T12" s="8">
        <f t="shared" si="24"/>
        <v>0</v>
      </c>
      <c r="U12" s="40">
        <f t="shared" si="23"/>
        <v>0</v>
      </c>
    </row>
    <row r="13" spans="1:25" ht="16.5" thickBot="1" x14ac:dyDescent="0.25">
      <c r="A13" s="10">
        <v>44358</v>
      </c>
      <c r="B13" s="1"/>
      <c r="C13" s="54">
        <f t="shared" si="11"/>
        <v>0</v>
      </c>
      <c r="D13" s="38">
        <f t="shared" si="12"/>
        <v>0</v>
      </c>
      <c r="E13" s="1"/>
      <c r="F13" s="54">
        <f t="shared" si="13"/>
        <v>0</v>
      </c>
      <c r="G13" s="38">
        <f t="shared" si="14"/>
        <v>0</v>
      </c>
      <c r="H13" s="1"/>
      <c r="I13" s="54">
        <f t="shared" si="15"/>
        <v>0</v>
      </c>
      <c r="J13" s="38">
        <f t="shared" si="16"/>
        <v>0</v>
      </c>
      <c r="K13" s="7"/>
      <c r="L13" s="54">
        <f t="shared" si="17"/>
        <v>0</v>
      </c>
      <c r="M13" s="38">
        <f t="shared" si="18"/>
        <v>0</v>
      </c>
      <c r="N13" s="7"/>
      <c r="O13" s="54">
        <f t="shared" si="19"/>
        <v>0</v>
      </c>
      <c r="P13" s="38">
        <f t="shared" si="20"/>
        <v>0</v>
      </c>
      <c r="Q13" s="7"/>
      <c r="R13" s="54">
        <f t="shared" si="21"/>
        <v>0</v>
      </c>
      <c r="S13" s="38">
        <f t="shared" si="22"/>
        <v>0</v>
      </c>
      <c r="T13" s="8">
        <f t="shared" si="24"/>
        <v>0</v>
      </c>
      <c r="U13" s="40">
        <f t="shared" si="23"/>
        <v>0</v>
      </c>
    </row>
    <row r="14" spans="1:25" ht="16.5" thickBot="1" x14ac:dyDescent="0.25">
      <c r="A14" s="10">
        <v>44359</v>
      </c>
      <c r="B14" s="1"/>
      <c r="C14" s="54">
        <f t="shared" si="11"/>
        <v>0</v>
      </c>
      <c r="D14" s="38">
        <f t="shared" si="12"/>
        <v>0</v>
      </c>
      <c r="E14" s="1"/>
      <c r="F14" s="54">
        <f t="shared" si="13"/>
        <v>0</v>
      </c>
      <c r="G14" s="38">
        <f t="shared" si="14"/>
        <v>0</v>
      </c>
      <c r="H14" s="1"/>
      <c r="I14" s="54">
        <f t="shared" si="15"/>
        <v>0</v>
      </c>
      <c r="J14" s="38">
        <f t="shared" si="16"/>
        <v>0</v>
      </c>
      <c r="K14" s="7"/>
      <c r="L14" s="54">
        <f t="shared" si="17"/>
        <v>0</v>
      </c>
      <c r="M14" s="38">
        <f t="shared" si="18"/>
        <v>0</v>
      </c>
      <c r="N14" s="7"/>
      <c r="O14" s="54">
        <f t="shared" si="19"/>
        <v>0</v>
      </c>
      <c r="P14" s="38">
        <f t="shared" si="20"/>
        <v>0</v>
      </c>
      <c r="Q14" s="7"/>
      <c r="R14" s="54">
        <f t="shared" si="21"/>
        <v>0</v>
      </c>
      <c r="S14" s="38">
        <f t="shared" si="22"/>
        <v>0</v>
      </c>
      <c r="T14" s="8">
        <f t="shared" si="24"/>
        <v>0</v>
      </c>
      <c r="U14" s="40">
        <f t="shared" si="23"/>
        <v>0</v>
      </c>
    </row>
    <row r="15" spans="1:25" ht="16.5" thickBot="1" x14ac:dyDescent="0.25">
      <c r="A15" s="10">
        <v>44360</v>
      </c>
      <c r="B15" s="1"/>
      <c r="C15" s="54">
        <f t="shared" si="11"/>
        <v>0</v>
      </c>
      <c r="D15" s="38">
        <f t="shared" si="12"/>
        <v>0</v>
      </c>
      <c r="E15" s="1"/>
      <c r="F15" s="54">
        <f t="shared" si="13"/>
        <v>0</v>
      </c>
      <c r="G15" s="38">
        <f t="shared" si="14"/>
        <v>0</v>
      </c>
      <c r="H15" s="1"/>
      <c r="I15" s="54">
        <f t="shared" si="15"/>
        <v>0</v>
      </c>
      <c r="J15" s="38">
        <f t="shared" si="16"/>
        <v>0</v>
      </c>
      <c r="K15" s="7"/>
      <c r="L15" s="54">
        <f t="shared" si="17"/>
        <v>0</v>
      </c>
      <c r="M15" s="38">
        <f t="shared" si="18"/>
        <v>0</v>
      </c>
      <c r="N15" s="7"/>
      <c r="O15" s="54">
        <f t="shared" si="19"/>
        <v>0</v>
      </c>
      <c r="P15" s="38">
        <f t="shared" si="20"/>
        <v>0</v>
      </c>
      <c r="Q15" s="7"/>
      <c r="R15" s="54">
        <f t="shared" si="21"/>
        <v>0</v>
      </c>
      <c r="S15" s="38">
        <f t="shared" si="22"/>
        <v>0</v>
      </c>
      <c r="T15" s="8">
        <f t="shared" si="24"/>
        <v>0</v>
      </c>
      <c r="U15" s="40">
        <f t="shared" si="23"/>
        <v>0</v>
      </c>
      <c r="W15" t="s">
        <v>12</v>
      </c>
    </row>
    <row r="16" spans="1:25" ht="16.5" thickBot="1" x14ac:dyDescent="0.25">
      <c r="A16" s="10">
        <v>44361</v>
      </c>
      <c r="B16" s="1"/>
      <c r="C16" s="54">
        <f t="shared" si="11"/>
        <v>0</v>
      </c>
      <c r="D16" s="38">
        <f t="shared" si="12"/>
        <v>0</v>
      </c>
      <c r="E16" s="1"/>
      <c r="F16" s="54">
        <f t="shared" si="13"/>
        <v>0</v>
      </c>
      <c r="G16" s="38">
        <f t="shared" si="14"/>
        <v>0</v>
      </c>
      <c r="H16" s="1"/>
      <c r="I16" s="54">
        <f t="shared" si="15"/>
        <v>0</v>
      </c>
      <c r="J16" s="38">
        <f t="shared" si="16"/>
        <v>0</v>
      </c>
      <c r="K16" s="7"/>
      <c r="L16" s="54">
        <f t="shared" si="17"/>
        <v>0</v>
      </c>
      <c r="M16" s="38">
        <f t="shared" si="18"/>
        <v>0</v>
      </c>
      <c r="N16" s="7"/>
      <c r="O16" s="54">
        <f t="shared" si="19"/>
        <v>0</v>
      </c>
      <c r="P16" s="38">
        <f t="shared" si="20"/>
        <v>0</v>
      </c>
      <c r="Q16" s="7"/>
      <c r="R16" s="54">
        <f t="shared" si="21"/>
        <v>0</v>
      </c>
      <c r="S16" s="38">
        <f t="shared" si="22"/>
        <v>0</v>
      </c>
      <c r="T16" s="8">
        <f t="shared" si="24"/>
        <v>0</v>
      </c>
      <c r="U16" s="40">
        <f t="shared" si="23"/>
        <v>0</v>
      </c>
      <c r="Y16" t="s">
        <v>12</v>
      </c>
    </row>
    <row r="17" spans="1:24" ht="16.5" thickBot="1" x14ac:dyDescent="0.25">
      <c r="A17" s="10">
        <v>44362</v>
      </c>
      <c r="B17" s="1"/>
      <c r="C17" s="54">
        <f t="shared" si="11"/>
        <v>0</v>
      </c>
      <c r="D17" s="38">
        <f t="shared" si="12"/>
        <v>0</v>
      </c>
      <c r="E17" s="1"/>
      <c r="F17" s="54">
        <f t="shared" si="13"/>
        <v>0</v>
      </c>
      <c r="G17" s="38">
        <f t="shared" si="14"/>
        <v>0</v>
      </c>
      <c r="H17" s="1"/>
      <c r="I17" s="54">
        <f t="shared" si="15"/>
        <v>0</v>
      </c>
      <c r="J17" s="38">
        <f t="shared" si="16"/>
        <v>0</v>
      </c>
      <c r="K17" s="7"/>
      <c r="L17" s="54">
        <f t="shared" si="17"/>
        <v>0</v>
      </c>
      <c r="M17" s="38">
        <f t="shared" si="18"/>
        <v>0</v>
      </c>
      <c r="N17" s="7"/>
      <c r="O17" s="54">
        <f t="shared" si="19"/>
        <v>0</v>
      </c>
      <c r="P17" s="38">
        <f t="shared" si="20"/>
        <v>0</v>
      </c>
      <c r="Q17" s="7"/>
      <c r="R17" s="54">
        <f t="shared" si="21"/>
        <v>0</v>
      </c>
      <c r="S17" s="38">
        <f t="shared" si="22"/>
        <v>0</v>
      </c>
      <c r="T17" s="8">
        <f t="shared" si="24"/>
        <v>0</v>
      </c>
      <c r="U17" s="40">
        <f t="shared" si="23"/>
        <v>0</v>
      </c>
    </row>
    <row r="18" spans="1:24" ht="16.5" thickBot="1" x14ac:dyDescent="0.25">
      <c r="A18" s="10">
        <v>44363</v>
      </c>
      <c r="B18" s="1"/>
      <c r="C18" s="54">
        <f t="shared" si="11"/>
        <v>0</v>
      </c>
      <c r="D18" s="38">
        <f t="shared" si="12"/>
        <v>0</v>
      </c>
      <c r="E18" s="1"/>
      <c r="F18" s="54">
        <f t="shared" si="13"/>
        <v>0</v>
      </c>
      <c r="G18" s="38">
        <f t="shared" si="14"/>
        <v>0</v>
      </c>
      <c r="H18" s="1"/>
      <c r="I18" s="54">
        <f t="shared" si="15"/>
        <v>0</v>
      </c>
      <c r="J18" s="38">
        <f t="shared" si="16"/>
        <v>0</v>
      </c>
      <c r="K18" s="7"/>
      <c r="L18" s="54">
        <f t="shared" si="17"/>
        <v>0</v>
      </c>
      <c r="M18" s="38">
        <f t="shared" si="18"/>
        <v>0</v>
      </c>
      <c r="N18" s="7"/>
      <c r="O18" s="54">
        <f t="shared" si="19"/>
        <v>0</v>
      </c>
      <c r="P18" s="38">
        <f t="shared" si="20"/>
        <v>0</v>
      </c>
      <c r="Q18" s="7"/>
      <c r="R18" s="54">
        <f t="shared" si="21"/>
        <v>0</v>
      </c>
      <c r="S18" s="38">
        <f t="shared" si="22"/>
        <v>0</v>
      </c>
      <c r="T18" s="8">
        <f t="shared" si="24"/>
        <v>0</v>
      </c>
      <c r="U18" s="40">
        <f t="shared" si="23"/>
        <v>0</v>
      </c>
    </row>
    <row r="19" spans="1:24" ht="16.5" thickBot="1" x14ac:dyDescent="0.25">
      <c r="A19" s="10">
        <v>44364</v>
      </c>
      <c r="B19" s="1"/>
      <c r="C19" s="54">
        <f t="shared" si="11"/>
        <v>0</v>
      </c>
      <c r="D19" s="38">
        <f t="shared" si="12"/>
        <v>0</v>
      </c>
      <c r="E19" s="1"/>
      <c r="F19" s="54">
        <f t="shared" si="13"/>
        <v>0</v>
      </c>
      <c r="G19" s="38">
        <f t="shared" si="14"/>
        <v>0</v>
      </c>
      <c r="H19" s="1"/>
      <c r="I19" s="54">
        <f t="shared" si="15"/>
        <v>0</v>
      </c>
      <c r="J19" s="38">
        <f t="shared" si="16"/>
        <v>0</v>
      </c>
      <c r="K19" s="7"/>
      <c r="L19" s="54">
        <f t="shared" si="17"/>
        <v>0</v>
      </c>
      <c r="M19" s="38">
        <f t="shared" si="18"/>
        <v>0</v>
      </c>
      <c r="N19" s="7"/>
      <c r="O19" s="54">
        <f t="shared" si="19"/>
        <v>0</v>
      </c>
      <c r="P19" s="38">
        <f t="shared" si="20"/>
        <v>0</v>
      </c>
      <c r="Q19" s="7"/>
      <c r="R19" s="54">
        <f t="shared" si="21"/>
        <v>0</v>
      </c>
      <c r="S19" s="38">
        <f t="shared" si="22"/>
        <v>0</v>
      </c>
      <c r="T19" s="8">
        <f t="shared" si="24"/>
        <v>0</v>
      </c>
      <c r="U19" s="40">
        <f t="shared" si="23"/>
        <v>0</v>
      </c>
    </row>
    <row r="20" spans="1:24" ht="16.5" thickBot="1" x14ac:dyDescent="0.25">
      <c r="A20" s="10">
        <v>44365</v>
      </c>
      <c r="B20" s="1"/>
      <c r="C20" s="54">
        <f t="shared" si="11"/>
        <v>0</v>
      </c>
      <c r="D20" s="38">
        <f t="shared" si="12"/>
        <v>0</v>
      </c>
      <c r="E20" s="1"/>
      <c r="F20" s="54">
        <f t="shared" si="13"/>
        <v>0</v>
      </c>
      <c r="G20" s="38">
        <f t="shared" si="14"/>
        <v>0</v>
      </c>
      <c r="H20" s="1"/>
      <c r="I20" s="54">
        <f t="shared" si="15"/>
        <v>0</v>
      </c>
      <c r="J20" s="38">
        <f t="shared" si="16"/>
        <v>0</v>
      </c>
      <c r="K20" s="7"/>
      <c r="L20" s="54">
        <f t="shared" si="17"/>
        <v>0</v>
      </c>
      <c r="M20" s="38">
        <f t="shared" si="18"/>
        <v>0</v>
      </c>
      <c r="N20" s="7"/>
      <c r="O20" s="54">
        <f t="shared" si="19"/>
        <v>0</v>
      </c>
      <c r="P20" s="38">
        <f t="shared" si="20"/>
        <v>0</v>
      </c>
      <c r="Q20" s="7"/>
      <c r="R20" s="54">
        <f t="shared" si="21"/>
        <v>0</v>
      </c>
      <c r="S20" s="38">
        <f t="shared" si="22"/>
        <v>0</v>
      </c>
      <c r="T20" s="8">
        <f t="shared" si="24"/>
        <v>0</v>
      </c>
      <c r="U20" s="40">
        <f t="shared" si="23"/>
        <v>0</v>
      </c>
      <c r="X20" t="s">
        <v>12</v>
      </c>
    </row>
    <row r="21" spans="1:24" ht="16.5" thickBot="1" x14ac:dyDescent="0.25">
      <c r="A21" s="10">
        <v>44366</v>
      </c>
      <c r="B21" s="1"/>
      <c r="C21" s="54">
        <f t="shared" si="11"/>
        <v>0</v>
      </c>
      <c r="D21" s="38">
        <f t="shared" si="12"/>
        <v>0</v>
      </c>
      <c r="E21" s="1"/>
      <c r="F21" s="54">
        <f t="shared" si="13"/>
        <v>0</v>
      </c>
      <c r="G21" s="38">
        <f t="shared" si="14"/>
        <v>0</v>
      </c>
      <c r="H21" s="1"/>
      <c r="I21" s="54">
        <f t="shared" si="15"/>
        <v>0</v>
      </c>
      <c r="J21" s="38">
        <f t="shared" si="16"/>
        <v>0</v>
      </c>
      <c r="K21" s="7"/>
      <c r="L21" s="54">
        <f t="shared" si="17"/>
        <v>0</v>
      </c>
      <c r="M21" s="38">
        <f t="shared" si="18"/>
        <v>0</v>
      </c>
      <c r="N21" s="7"/>
      <c r="O21" s="54">
        <f t="shared" si="19"/>
        <v>0</v>
      </c>
      <c r="P21" s="38">
        <f t="shared" si="20"/>
        <v>0</v>
      </c>
      <c r="Q21" s="7"/>
      <c r="R21" s="54">
        <f t="shared" si="21"/>
        <v>0</v>
      </c>
      <c r="S21" s="38">
        <f t="shared" si="22"/>
        <v>0</v>
      </c>
      <c r="T21" s="8">
        <f t="shared" si="24"/>
        <v>0</v>
      </c>
      <c r="U21" s="40">
        <f t="shared" si="23"/>
        <v>0</v>
      </c>
    </row>
    <row r="22" spans="1:24" ht="16.5" thickBot="1" x14ac:dyDescent="0.25">
      <c r="A22" s="10">
        <v>44367</v>
      </c>
      <c r="B22" s="1"/>
      <c r="C22" s="54">
        <f t="shared" si="11"/>
        <v>0</v>
      </c>
      <c r="D22" s="38">
        <f t="shared" si="12"/>
        <v>0</v>
      </c>
      <c r="E22" s="1"/>
      <c r="F22" s="54">
        <f t="shared" si="13"/>
        <v>0</v>
      </c>
      <c r="G22" s="38">
        <f t="shared" si="14"/>
        <v>0</v>
      </c>
      <c r="H22" s="1"/>
      <c r="I22" s="54">
        <f t="shared" si="15"/>
        <v>0</v>
      </c>
      <c r="J22" s="38">
        <f t="shared" si="16"/>
        <v>0</v>
      </c>
      <c r="K22" s="7"/>
      <c r="L22" s="54">
        <f t="shared" si="17"/>
        <v>0</v>
      </c>
      <c r="M22" s="38">
        <f t="shared" si="18"/>
        <v>0</v>
      </c>
      <c r="N22" s="7"/>
      <c r="O22" s="54">
        <f t="shared" si="19"/>
        <v>0</v>
      </c>
      <c r="P22" s="38">
        <f t="shared" si="20"/>
        <v>0</v>
      </c>
      <c r="Q22" s="7"/>
      <c r="R22" s="54">
        <f t="shared" si="21"/>
        <v>0</v>
      </c>
      <c r="S22" s="38">
        <f t="shared" si="22"/>
        <v>0</v>
      </c>
      <c r="T22" s="8">
        <f t="shared" si="24"/>
        <v>0</v>
      </c>
      <c r="U22" s="40">
        <f t="shared" si="23"/>
        <v>0</v>
      </c>
    </row>
    <row r="23" spans="1:24" ht="16.5" thickBot="1" x14ac:dyDescent="0.25">
      <c r="A23" s="10">
        <v>44368</v>
      </c>
      <c r="B23" s="1"/>
      <c r="C23" s="54">
        <f t="shared" si="11"/>
        <v>0</v>
      </c>
      <c r="D23" s="38">
        <f t="shared" si="12"/>
        <v>0</v>
      </c>
      <c r="E23" s="1"/>
      <c r="F23" s="54">
        <f t="shared" si="13"/>
        <v>0</v>
      </c>
      <c r="G23" s="38">
        <f t="shared" si="14"/>
        <v>0</v>
      </c>
      <c r="H23" s="1"/>
      <c r="I23" s="54">
        <f t="shared" si="15"/>
        <v>0</v>
      </c>
      <c r="J23" s="38">
        <f t="shared" si="16"/>
        <v>0</v>
      </c>
      <c r="K23" s="7"/>
      <c r="L23" s="54">
        <f t="shared" si="17"/>
        <v>0</v>
      </c>
      <c r="M23" s="38">
        <f t="shared" si="18"/>
        <v>0</v>
      </c>
      <c r="N23" s="7"/>
      <c r="O23" s="54">
        <f t="shared" si="19"/>
        <v>0</v>
      </c>
      <c r="P23" s="38">
        <f t="shared" si="20"/>
        <v>0</v>
      </c>
      <c r="Q23" s="7"/>
      <c r="R23" s="54">
        <f t="shared" si="21"/>
        <v>0</v>
      </c>
      <c r="S23" s="38">
        <f t="shared" si="22"/>
        <v>0</v>
      </c>
      <c r="T23" s="8">
        <f t="shared" si="24"/>
        <v>0</v>
      </c>
      <c r="U23" s="40">
        <f t="shared" si="23"/>
        <v>0</v>
      </c>
    </row>
    <row r="24" spans="1:24" ht="16.5" thickBot="1" x14ac:dyDescent="0.25">
      <c r="A24" s="10">
        <v>44369</v>
      </c>
      <c r="B24" s="1"/>
      <c r="C24" s="54">
        <f t="shared" si="11"/>
        <v>0</v>
      </c>
      <c r="D24" s="38">
        <f t="shared" si="12"/>
        <v>0</v>
      </c>
      <c r="E24" s="1"/>
      <c r="F24" s="54">
        <f t="shared" si="13"/>
        <v>0</v>
      </c>
      <c r="G24" s="38">
        <f t="shared" si="14"/>
        <v>0</v>
      </c>
      <c r="H24" s="1"/>
      <c r="I24" s="54">
        <f t="shared" si="15"/>
        <v>0</v>
      </c>
      <c r="J24" s="38">
        <f t="shared" si="16"/>
        <v>0</v>
      </c>
      <c r="K24" s="7"/>
      <c r="L24" s="54">
        <f t="shared" si="17"/>
        <v>0</v>
      </c>
      <c r="M24" s="38">
        <f t="shared" si="18"/>
        <v>0</v>
      </c>
      <c r="N24" s="7"/>
      <c r="O24" s="54">
        <f t="shared" si="19"/>
        <v>0</v>
      </c>
      <c r="P24" s="38">
        <f t="shared" si="20"/>
        <v>0</v>
      </c>
      <c r="Q24" s="7"/>
      <c r="R24" s="54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44370</v>
      </c>
      <c r="B25" s="1"/>
      <c r="C25" s="54">
        <f t="shared" si="11"/>
        <v>0</v>
      </c>
      <c r="D25" s="38">
        <f t="shared" si="12"/>
        <v>0</v>
      </c>
      <c r="E25" s="1"/>
      <c r="F25" s="54">
        <f t="shared" si="13"/>
        <v>0</v>
      </c>
      <c r="G25" s="38">
        <f t="shared" si="14"/>
        <v>0</v>
      </c>
      <c r="H25" s="1"/>
      <c r="I25" s="54">
        <f t="shared" si="15"/>
        <v>0</v>
      </c>
      <c r="J25" s="38">
        <f t="shared" si="16"/>
        <v>0</v>
      </c>
      <c r="K25" s="7"/>
      <c r="L25" s="54">
        <f t="shared" si="17"/>
        <v>0</v>
      </c>
      <c r="M25" s="38">
        <f t="shared" si="18"/>
        <v>0</v>
      </c>
      <c r="N25" s="7"/>
      <c r="O25" s="54">
        <f t="shared" si="19"/>
        <v>0</v>
      </c>
      <c r="P25" s="38">
        <f t="shared" si="20"/>
        <v>0</v>
      </c>
      <c r="Q25" s="7"/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44371</v>
      </c>
      <c r="B26" s="1"/>
      <c r="C26" s="54">
        <f t="shared" si="11"/>
        <v>0</v>
      </c>
      <c r="D26" s="38">
        <f t="shared" si="12"/>
        <v>0</v>
      </c>
      <c r="E26" s="1"/>
      <c r="F26" s="54">
        <f t="shared" si="13"/>
        <v>0</v>
      </c>
      <c r="G26" s="38">
        <f t="shared" si="14"/>
        <v>0</v>
      </c>
      <c r="H26" s="1"/>
      <c r="I26" s="54">
        <f t="shared" si="15"/>
        <v>0</v>
      </c>
      <c r="J26" s="38">
        <f t="shared" si="16"/>
        <v>0</v>
      </c>
      <c r="K26" s="7"/>
      <c r="L26" s="54">
        <f t="shared" si="17"/>
        <v>0</v>
      </c>
      <c r="M26" s="38">
        <f t="shared" si="18"/>
        <v>0</v>
      </c>
      <c r="N26" s="7"/>
      <c r="O26" s="54">
        <f t="shared" si="19"/>
        <v>0</v>
      </c>
      <c r="P26" s="38">
        <f t="shared" si="20"/>
        <v>0</v>
      </c>
      <c r="Q26" s="7"/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44372</v>
      </c>
      <c r="B27" s="1"/>
      <c r="C27" s="54">
        <f t="shared" si="11"/>
        <v>0</v>
      </c>
      <c r="D27" s="38">
        <f t="shared" si="12"/>
        <v>0</v>
      </c>
      <c r="E27" s="1"/>
      <c r="F27" s="54">
        <f t="shared" si="13"/>
        <v>0</v>
      </c>
      <c r="G27" s="38">
        <f t="shared" si="14"/>
        <v>0</v>
      </c>
      <c r="H27" s="1"/>
      <c r="I27" s="54">
        <f t="shared" si="15"/>
        <v>0</v>
      </c>
      <c r="J27" s="38">
        <f t="shared" si="16"/>
        <v>0</v>
      </c>
      <c r="K27" s="7"/>
      <c r="L27" s="54">
        <f t="shared" si="17"/>
        <v>0</v>
      </c>
      <c r="M27" s="38">
        <f t="shared" si="18"/>
        <v>0</v>
      </c>
      <c r="N27" s="7"/>
      <c r="O27" s="54">
        <f t="shared" si="19"/>
        <v>0</v>
      </c>
      <c r="P27" s="38">
        <f t="shared" si="20"/>
        <v>0</v>
      </c>
      <c r="Q27" s="7"/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44373</v>
      </c>
      <c r="B28" s="1"/>
      <c r="C28" s="54">
        <f t="shared" si="11"/>
        <v>0</v>
      </c>
      <c r="D28" s="38">
        <f t="shared" si="12"/>
        <v>0</v>
      </c>
      <c r="E28" s="1"/>
      <c r="F28" s="54">
        <f t="shared" si="13"/>
        <v>0</v>
      </c>
      <c r="G28" s="38">
        <f t="shared" si="14"/>
        <v>0</v>
      </c>
      <c r="H28" s="1"/>
      <c r="I28" s="54">
        <f t="shared" si="15"/>
        <v>0</v>
      </c>
      <c r="J28" s="38">
        <f t="shared" si="16"/>
        <v>0</v>
      </c>
      <c r="K28" s="7"/>
      <c r="L28" s="54">
        <f t="shared" si="17"/>
        <v>0</v>
      </c>
      <c r="M28" s="38">
        <f t="shared" si="18"/>
        <v>0</v>
      </c>
      <c r="N28" s="7"/>
      <c r="O28" s="54">
        <f t="shared" si="19"/>
        <v>0</v>
      </c>
      <c r="P28" s="38">
        <f t="shared" si="20"/>
        <v>0</v>
      </c>
      <c r="Q28" s="7"/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44374</v>
      </c>
      <c r="B29" s="1"/>
      <c r="C29" s="54">
        <f t="shared" si="11"/>
        <v>0</v>
      </c>
      <c r="D29" s="38">
        <f t="shared" si="12"/>
        <v>0</v>
      </c>
      <c r="E29" s="1"/>
      <c r="F29" s="54">
        <f t="shared" si="13"/>
        <v>0</v>
      </c>
      <c r="G29" s="38">
        <f t="shared" si="14"/>
        <v>0</v>
      </c>
      <c r="H29" s="1"/>
      <c r="I29" s="54">
        <f t="shared" si="15"/>
        <v>0</v>
      </c>
      <c r="J29" s="38">
        <f t="shared" si="16"/>
        <v>0</v>
      </c>
      <c r="K29" s="7"/>
      <c r="L29" s="54">
        <f t="shared" si="17"/>
        <v>0</v>
      </c>
      <c r="M29" s="38">
        <f t="shared" si="18"/>
        <v>0</v>
      </c>
      <c r="N29" s="7"/>
      <c r="O29" s="54">
        <f t="shared" si="19"/>
        <v>0</v>
      </c>
      <c r="P29" s="38">
        <f t="shared" si="20"/>
        <v>0</v>
      </c>
      <c r="Q29" s="7"/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44375</v>
      </c>
      <c r="B30" s="1"/>
      <c r="C30" s="54">
        <f t="shared" si="11"/>
        <v>0</v>
      </c>
      <c r="D30" s="38">
        <f t="shared" si="12"/>
        <v>0</v>
      </c>
      <c r="E30" s="1"/>
      <c r="F30" s="54">
        <f t="shared" si="13"/>
        <v>0</v>
      </c>
      <c r="G30" s="38">
        <f t="shared" si="14"/>
        <v>0</v>
      </c>
      <c r="H30" s="1"/>
      <c r="I30" s="54">
        <f t="shared" si="15"/>
        <v>0</v>
      </c>
      <c r="J30" s="38">
        <f t="shared" si="16"/>
        <v>0</v>
      </c>
      <c r="K30" s="7"/>
      <c r="L30" s="54">
        <f t="shared" si="17"/>
        <v>0</v>
      </c>
      <c r="M30" s="38">
        <f t="shared" si="18"/>
        <v>0</v>
      </c>
      <c r="N30" s="7"/>
      <c r="O30" s="54">
        <f t="shared" si="19"/>
        <v>0</v>
      </c>
      <c r="P30" s="38">
        <f t="shared" si="20"/>
        <v>0</v>
      </c>
      <c r="Q30" s="7"/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44376</v>
      </c>
      <c r="B31" s="1"/>
      <c r="C31" s="54">
        <f t="shared" si="11"/>
        <v>0</v>
      </c>
      <c r="D31" s="38">
        <f t="shared" si="12"/>
        <v>0</v>
      </c>
      <c r="E31" s="1"/>
      <c r="F31" s="54">
        <f t="shared" si="13"/>
        <v>0</v>
      </c>
      <c r="G31" s="38">
        <f t="shared" si="14"/>
        <v>0</v>
      </c>
      <c r="H31" s="1"/>
      <c r="I31" s="54">
        <f t="shared" si="15"/>
        <v>0</v>
      </c>
      <c r="J31" s="38">
        <f t="shared" si="16"/>
        <v>0</v>
      </c>
      <c r="K31" s="7"/>
      <c r="L31" s="54">
        <f t="shared" si="17"/>
        <v>0</v>
      </c>
      <c r="M31" s="38">
        <f t="shared" si="18"/>
        <v>0</v>
      </c>
      <c r="N31" s="7"/>
      <c r="O31" s="54">
        <f t="shared" si="19"/>
        <v>0</v>
      </c>
      <c r="P31" s="38">
        <f t="shared" si="20"/>
        <v>0</v>
      </c>
      <c r="Q31" s="7"/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44377</v>
      </c>
      <c r="B32" s="1"/>
      <c r="C32" s="54">
        <f t="shared" si="11"/>
        <v>0</v>
      </c>
      <c r="D32" s="38">
        <f t="shared" si="12"/>
        <v>0</v>
      </c>
      <c r="E32" s="1"/>
      <c r="F32" s="54">
        <f t="shared" si="13"/>
        <v>0</v>
      </c>
      <c r="G32" s="38">
        <f t="shared" si="14"/>
        <v>0</v>
      </c>
      <c r="H32" s="1"/>
      <c r="I32" s="54">
        <f t="shared" si="15"/>
        <v>0</v>
      </c>
      <c r="J32" s="38">
        <f t="shared" si="16"/>
        <v>0</v>
      </c>
      <c r="K32" s="7"/>
      <c r="L32" s="54">
        <f t="shared" si="17"/>
        <v>0</v>
      </c>
      <c r="M32" s="38">
        <f t="shared" si="18"/>
        <v>0</v>
      </c>
      <c r="N32" s="7"/>
      <c r="O32" s="54">
        <f t="shared" si="19"/>
        <v>0</v>
      </c>
      <c r="P32" s="38">
        <f t="shared" si="20"/>
        <v>0</v>
      </c>
      <c r="Q32" s="7"/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44377</v>
      </c>
      <c r="B33" s="1"/>
      <c r="C33" s="54">
        <f t="shared" si="11"/>
        <v>0</v>
      </c>
      <c r="D33" s="38">
        <f t="shared" si="12"/>
        <v>0</v>
      </c>
      <c r="E33" s="1"/>
      <c r="F33" s="54">
        <f t="shared" si="13"/>
        <v>0</v>
      </c>
      <c r="G33" s="38">
        <f t="shared" si="14"/>
        <v>0</v>
      </c>
      <c r="H33" s="1"/>
      <c r="I33" s="54">
        <f t="shared" si="15"/>
        <v>0</v>
      </c>
      <c r="J33" s="38">
        <f t="shared" si="16"/>
        <v>0</v>
      </c>
      <c r="K33" s="7"/>
      <c r="L33" s="54">
        <f t="shared" si="17"/>
        <v>0</v>
      </c>
      <c r="M33" s="38">
        <f t="shared" si="18"/>
        <v>0</v>
      </c>
      <c r="N33" s="7"/>
      <c r="O33" s="54">
        <f t="shared" si="19"/>
        <v>0</v>
      </c>
      <c r="P33" s="38">
        <f t="shared" si="20"/>
        <v>0</v>
      </c>
      <c r="Q33" s="7"/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10.165000000000873</v>
      </c>
      <c r="D34" s="159">
        <f>SUM(D2:D33)</f>
        <v>38265.999999998887</v>
      </c>
      <c r="E34" s="159">
        <v>0</v>
      </c>
      <c r="F34" s="159">
        <f>SUM(F2:F33)</f>
        <v>5.6849999999999454</v>
      </c>
      <c r="G34" s="159">
        <f>SUM(G2:G33)</f>
        <v>10801.499999999896</v>
      </c>
      <c r="H34" s="159"/>
      <c r="I34" s="159">
        <f>SUM(I2:I33)</f>
        <v>17</v>
      </c>
      <c r="J34" s="159">
        <f>SUM(J2:J33)</f>
        <v>32299.999999999996</v>
      </c>
      <c r="K34" s="159"/>
      <c r="L34" s="159">
        <f>SUM(L2:L33)</f>
        <v>4.4000000000014552</v>
      </c>
      <c r="M34" s="159">
        <f>SUM(M2:M33)</f>
        <v>8360.0000000027649</v>
      </c>
      <c r="N34" s="159"/>
      <c r="O34" s="159">
        <f>SUM(O2:O33)</f>
        <v>2.5990000000001601</v>
      </c>
      <c r="P34" s="159">
        <f>SUM(P2:P33)</f>
        <v>4938.1000000003041</v>
      </c>
      <c r="Q34" s="159"/>
      <c r="R34" s="159">
        <f>SUM(R2:R33)</f>
        <v>6.5399999999999636</v>
      </c>
      <c r="S34" s="159">
        <f>SUM(S2:S33)</f>
        <v>12425.999999999931</v>
      </c>
      <c r="T34" s="159">
        <f>SUM(T2:T33)</f>
        <v>56.364000000000942</v>
      </c>
      <c r="U34" s="159">
        <f>SUM(U2:U33)</f>
        <v>107091.60000000178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N18" sqref="N1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-64710473</v>
      </c>
      <c r="D2" s="107">
        <f>C2*1.27</f>
        <v>-82182300.710000008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26143363</v>
      </c>
      <c r="J3" s="155">
        <f>ELECT.!E33</f>
        <v>0</v>
      </c>
      <c r="K3" s="102">
        <f>J3-I3</f>
        <v>-26143363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82726315</v>
      </c>
      <c r="J4" s="155">
        <f>ELECT.!G33</f>
        <v>0</v>
      </c>
      <c r="K4" s="102">
        <f>J4-I4</f>
        <v>-82726315</v>
      </c>
    </row>
    <row r="5" spans="1:11" ht="13.5" thickBot="1" x14ac:dyDescent="0.25">
      <c r="A5" s="105"/>
      <c r="B5" s="111" t="s">
        <v>27</v>
      </c>
      <c r="C5" s="115">
        <f>(K10+K12)*0.842284+K26</f>
        <v>-26499389.279651999</v>
      </c>
      <c r="D5" s="115">
        <f t="shared" ref="D5:D11" si="0">C5*1.27</f>
        <v>-33654224.38515804</v>
      </c>
      <c r="E5" s="116"/>
      <c r="F5" s="105"/>
      <c r="G5" s="105"/>
      <c r="H5" s="111" t="s">
        <v>23</v>
      </c>
      <c r="I5" s="117"/>
      <c r="J5" s="117"/>
      <c r="K5" s="142">
        <f>K3+K4</f>
        <v>-108869678</v>
      </c>
    </row>
    <row r="6" spans="1:11" ht="13.5" thickBot="1" x14ac:dyDescent="0.25">
      <c r="A6" s="105"/>
      <c r="B6" s="111" t="s">
        <v>99</v>
      </c>
      <c r="C6" s="115">
        <f>(K10+K12+K26)*0.1488</f>
        <v>-4600081.0223999992</v>
      </c>
      <c r="D6" s="115">
        <f t="shared" si="0"/>
        <v>-5842102.8984479988</v>
      </c>
      <c r="E6" s="116"/>
      <c r="F6" s="105"/>
      <c r="G6" s="105"/>
      <c r="H6" s="111" t="s">
        <v>100</v>
      </c>
      <c r="I6" s="160">
        <f>ELECT.!J2</f>
        <v>8089438</v>
      </c>
      <c r="J6" s="156">
        <f>ELECT.!J33</f>
        <v>0</v>
      </c>
      <c r="K6" s="102">
        <f>J6-I6</f>
        <v>-8089438</v>
      </c>
    </row>
    <row r="7" spans="1:11" ht="13.5" thickBot="1" x14ac:dyDescent="0.25">
      <c r="A7" s="105"/>
      <c r="B7" s="111" t="s">
        <v>101</v>
      </c>
      <c r="C7" s="115">
        <f>(K6+K7)-(C8+C9+C10+C11+K26)</f>
        <v>-13246951</v>
      </c>
      <c r="D7" s="115">
        <f t="shared" si="0"/>
        <v>-16823627.77</v>
      </c>
      <c r="E7" s="116"/>
      <c r="F7" s="105"/>
      <c r="G7" s="105"/>
      <c r="H7" s="111" t="s">
        <v>102</v>
      </c>
      <c r="I7" s="160">
        <f>ELECT.!L2</f>
        <v>8075564</v>
      </c>
      <c r="J7" s="156">
        <f>ELECT.!L33</f>
        <v>0</v>
      </c>
      <c r="K7" s="102">
        <f>J7-I7</f>
        <v>-8075564</v>
      </c>
    </row>
    <row r="8" spans="1:11" ht="13.5" thickBot="1" x14ac:dyDescent="0.25">
      <c r="A8" s="105"/>
      <c r="B8" s="111" t="s">
        <v>103</v>
      </c>
      <c r="C8" s="115">
        <f>K21+K22+K23+K24</f>
        <v>1317</v>
      </c>
      <c r="D8" s="115">
        <f t="shared" si="0"/>
        <v>1672.59</v>
      </c>
      <c r="E8" s="116"/>
      <c r="F8" s="105"/>
      <c r="G8" s="105"/>
      <c r="H8" s="111" t="s">
        <v>104</v>
      </c>
      <c r="I8" s="160">
        <f>ELECT.!N2</f>
        <v>5208255</v>
      </c>
      <c r="J8" s="156">
        <f>ELECT.!N33</f>
        <v>0</v>
      </c>
      <c r="K8" s="102">
        <f>(J8-I8)*2</f>
        <v>-10416510</v>
      </c>
    </row>
    <row r="9" spans="1:11" ht="13.5" thickBot="1" x14ac:dyDescent="0.25">
      <c r="A9" s="105"/>
      <c r="B9" s="111" t="s">
        <v>137</v>
      </c>
      <c r="C9" s="115">
        <f>K25+K16+K17</f>
        <v>163</v>
      </c>
      <c r="D9" s="115">
        <f t="shared" si="0"/>
        <v>207.01</v>
      </c>
      <c r="E9" s="116"/>
      <c r="F9" s="105"/>
      <c r="G9" s="105"/>
      <c r="H9" s="111" t="s">
        <v>105</v>
      </c>
      <c r="I9" s="160">
        <f>ELECT.!P2</f>
        <v>3524726</v>
      </c>
      <c r="J9" s="156">
        <f>ELECT.!P33</f>
        <v>0</v>
      </c>
      <c r="K9" s="102">
        <f>J9-I9</f>
        <v>-3524726</v>
      </c>
    </row>
    <row r="10" spans="1:11" ht="13.5" thickBot="1" x14ac:dyDescent="0.25">
      <c r="A10" s="105"/>
      <c r="B10" s="111" t="s">
        <v>106</v>
      </c>
      <c r="C10" s="115">
        <f>K18</f>
        <v>640</v>
      </c>
      <c r="D10" s="115">
        <f t="shared" si="0"/>
        <v>812.8</v>
      </c>
      <c r="E10" s="116"/>
      <c r="F10" s="105"/>
      <c r="G10" s="105"/>
      <c r="H10" s="111" t="s">
        <v>107</v>
      </c>
      <c r="I10" s="160">
        <f>ELECT.!R2</f>
        <v>17551875</v>
      </c>
      <c r="J10" s="156">
        <f>ELECT.!R33</f>
        <v>0</v>
      </c>
      <c r="K10" s="102">
        <f>J10-I10</f>
        <v>-17551875</v>
      </c>
    </row>
    <row r="11" spans="1:11" ht="13.5" thickBot="1" x14ac:dyDescent="0.25">
      <c r="A11" s="105"/>
      <c r="B11" s="111" t="s">
        <v>108</v>
      </c>
      <c r="C11" s="115">
        <f>K19+K20</f>
        <v>149</v>
      </c>
      <c r="D11" s="115">
        <f t="shared" si="0"/>
        <v>189.23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5221164</v>
      </c>
      <c r="J12" s="156">
        <f>ELECT.!V33</f>
        <v>0</v>
      </c>
      <c r="K12" s="102">
        <f>(J12-I12)*2</f>
        <v>-10442328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-58100441</v>
      </c>
    </row>
    <row r="14" spans="1:11" ht="13.5" thickBot="1" x14ac:dyDescent="0.25">
      <c r="A14" s="105"/>
      <c r="B14" s="111" t="s">
        <v>42</v>
      </c>
      <c r="C14" s="115">
        <f>K29</f>
        <v>-4122400</v>
      </c>
      <c r="D14" s="123">
        <f t="shared" ref="D14:D22" si="1">C14*10.03</f>
        <v>-41347672</v>
      </c>
      <c r="E14" s="124"/>
      <c r="F14" s="105"/>
      <c r="G14" s="105"/>
      <c r="H14" s="111" t="s">
        <v>114</v>
      </c>
      <c r="I14" s="120"/>
      <c r="J14" s="121"/>
      <c r="K14" s="103">
        <f>K5-K13</f>
        <v>-50769237</v>
      </c>
    </row>
    <row r="15" spans="1:11" ht="13.5" thickBot="1" x14ac:dyDescent="0.25">
      <c r="A15" s="105"/>
      <c r="B15" s="111" t="s">
        <v>115</v>
      </c>
      <c r="C15" s="125">
        <f>K30</f>
        <v>-19829.394</v>
      </c>
      <c r="D15" s="123">
        <f t="shared" si="1"/>
        <v>-198888.82181999998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-541485.88187080005</v>
      </c>
      <c r="D16" s="123">
        <f t="shared" si="1"/>
        <v>-5431103.3951641237</v>
      </c>
      <c r="E16" s="124"/>
      <c r="F16" s="105"/>
      <c r="G16" s="105"/>
      <c r="H16" s="126" t="s">
        <v>136</v>
      </c>
      <c r="I16" s="127">
        <f>'Mall, Citadel, Rotana'!T2</f>
        <v>3652</v>
      </c>
      <c r="J16" s="127">
        <f>'Mall, Citadel, Rotana'!T33</f>
        <v>3653</v>
      </c>
      <c r="K16" s="104">
        <f>(J16-I16)*160</f>
        <v>160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24984</v>
      </c>
      <c r="J18" s="127">
        <f>'Mall, Citadel, Rotana'!L33</f>
        <v>24988</v>
      </c>
      <c r="K18" s="104">
        <f>(J18-I18)*160</f>
        <v>640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106171</v>
      </c>
      <c r="J19" s="127">
        <f>'Mall, Citadel, Rotana'!P33</f>
        <v>106320</v>
      </c>
      <c r="K19" s="104">
        <f>J19-I19</f>
        <v>149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45328</v>
      </c>
      <c r="J21" s="127">
        <f>'Mall, Citadel, Rotana'!B33</f>
        <v>45334</v>
      </c>
      <c r="K21" s="104">
        <f>(J21-I21)*120</f>
        <v>720</v>
      </c>
    </row>
    <row r="22" spans="1:11" ht="13.5" thickBot="1" x14ac:dyDescent="0.25">
      <c r="A22" s="105"/>
      <c r="B22" s="111" t="s">
        <v>119</v>
      </c>
      <c r="C22" s="123">
        <f>C14-(C15+C16+C17+C18+C19+C20+C21)</f>
        <v>-3566904.7241292</v>
      </c>
      <c r="D22" s="123">
        <f t="shared" si="1"/>
        <v>-35776054.383015871</v>
      </c>
      <c r="E22" s="124"/>
      <c r="F22" s="105"/>
      <c r="G22" s="105"/>
      <c r="H22" s="126" t="s">
        <v>15</v>
      </c>
      <c r="I22" s="127">
        <f>'Mall, Citadel, Rotana'!D2</f>
        <v>39551</v>
      </c>
      <c r="J22" s="127">
        <f>'Mall, Citadel, Rotana'!D33</f>
        <v>39554</v>
      </c>
      <c r="K22" s="104">
        <f>(J22-I22)*160</f>
        <v>480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20411</v>
      </c>
      <c r="J23" s="127">
        <f>'Mall, Citadel, Rotana'!F33</f>
        <v>20414</v>
      </c>
      <c r="K23" s="104">
        <f>(J23-I23)*20</f>
        <v>60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242585</v>
      </c>
      <c r="J24" s="127">
        <f>'Mall, Citadel, Rotana'!H33</f>
        <v>242642</v>
      </c>
      <c r="K24" s="104">
        <f>J24-I24</f>
        <v>57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215544</v>
      </c>
      <c r="J25" s="127">
        <f>'Mall, Citadel, Rotana'!N33</f>
        <v>215547</v>
      </c>
      <c r="K25" s="104">
        <f>J25-I25</f>
        <v>3</v>
      </c>
    </row>
    <row r="26" spans="1:11" ht="13.5" thickBot="1" x14ac:dyDescent="0.25">
      <c r="A26" s="105"/>
      <c r="B26" s="111" t="s">
        <v>42</v>
      </c>
      <c r="C26" s="129">
        <f>K35</f>
        <v>-17373532</v>
      </c>
      <c r="D26" s="115">
        <f>C26*3.65</f>
        <v>-63413391.799999997</v>
      </c>
      <c r="E26" s="116"/>
      <c r="F26" s="105"/>
      <c r="G26" s="105"/>
      <c r="H26" s="126" t="s">
        <v>123</v>
      </c>
      <c r="I26" s="136">
        <f>ELECT.!C2</f>
        <v>18252</v>
      </c>
      <c r="J26" s="136">
        <f>ELECT.!C33</f>
        <v>0</v>
      </c>
      <c r="K26" s="104">
        <f>(J26-I26)*160</f>
        <v>-2920320</v>
      </c>
    </row>
    <row r="27" spans="1:11" ht="13.5" thickBot="1" x14ac:dyDescent="0.25">
      <c r="A27" s="105"/>
      <c r="B27" s="106" t="s">
        <v>124</v>
      </c>
      <c r="C27" s="129">
        <f>C26</f>
        <v>-17373532</v>
      </c>
      <c r="D27" s="115">
        <f>C27*3.65</f>
        <v>-63413391.799999997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412240</v>
      </c>
      <c r="J29" s="127">
        <f>Water!B33</f>
        <v>0</v>
      </c>
      <c r="K29" s="104">
        <f>(J29-I29)*10</f>
        <v>-4122400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734422</v>
      </c>
      <c r="J30" s="127">
        <f>Water!H33</f>
        <v>0</v>
      </c>
      <c r="K30" s="104">
        <f>(J30-I30)*0.027</f>
        <v>-19829.394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4377900</v>
      </c>
      <c r="J31" s="127">
        <f>Water!D33</f>
        <v>0</v>
      </c>
      <c r="K31" s="104">
        <f>(J31-I31)*0.027</f>
        <v>-118203.3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3251800</v>
      </c>
      <c r="J32" s="127">
        <f>Water!F33</f>
        <v>0</v>
      </c>
      <c r="K32" s="104">
        <f>(J32-I32)*0.027</f>
        <v>-87798.6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17373532</v>
      </c>
      <c r="J35" s="158">
        <f>Gas!B33</f>
        <v>0</v>
      </c>
      <c r="K35" s="135">
        <f>J35-I35</f>
        <v>-17373532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8" sqref="N1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73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73">
        <v>6</v>
      </c>
      <c r="K2" s="71" t="s">
        <v>80</v>
      </c>
      <c r="L2" s="72">
        <v>278147</v>
      </c>
      <c r="M2" s="72">
        <v>278147</v>
      </c>
      <c r="N2" s="73">
        <f>M2-L2</f>
        <v>0</v>
      </c>
      <c r="O2" s="74"/>
    </row>
    <row r="3" spans="2:15" ht="15" x14ac:dyDescent="0.2">
      <c r="B3" s="67"/>
      <c r="C3" s="175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75"/>
      <c r="K3" s="71" t="s">
        <v>81</v>
      </c>
      <c r="L3" s="72">
        <v>241395</v>
      </c>
      <c r="M3" s="72">
        <v>241395</v>
      </c>
      <c r="N3" s="73">
        <f t="shared" ref="N3:N60" si="1">M3-L3</f>
        <v>0</v>
      </c>
      <c r="O3" s="74"/>
    </row>
    <row r="4" spans="2:15" ht="15" x14ac:dyDescent="0.2">
      <c r="B4" s="67"/>
      <c r="C4" s="174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74"/>
      <c r="K4" s="71" t="s">
        <v>82</v>
      </c>
      <c r="L4" s="72">
        <v>189597</v>
      </c>
      <c r="M4" s="72">
        <v>189597</v>
      </c>
      <c r="N4" s="73">
        <f t="shared" si="1"/>
        <v>0</v>
      </c>
      <c r="O4" s="74"/>
    </row>
    <row r="5" spans="2:15" ht="15" x14ac:dyDescent="0.2">
      <c r="B5" s="67"/>
      <c r="C5" s="173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73">
        <v>7</v>
      </c>
      <c r="K5" s="71" t="s">
        <v>80</v>
      </c>
      <c r="L5" s="72">
        <v>239098</v>
      </c>
      <c r="M5" s="72">
        <v>239098</v>
      </c>
      <c r="N5" s="73">
        <f t="shared" si="1"/>
        <v>0</v>
      </c>
      <c r="O5" s="74"/>
    </row>
    <row r="6" spans="2:15" ht="15" x14ac:dyDescent="0.2">
      <c r="B6" s="67"/>
      <c r="C6" s="175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75"/>
      <c r="K6" s="71" t="s">
        <v>81</v>
      </c>
      <c r="L6" s="72">
        <v>153583</v>
      </c>
      <c r="M6" s="72">
        <v>153583</v>
      </c>
      <c r="N6" s="73">
        <f t="shared" si="1"/>
        <v>0</v>
      </c>
      <c r="O6" s="74"/>
    </row>
    <row r="7" spans="2:15" ht="15" x14ac:dyDescent="0.2">
      <c r="B7" s="67"/>
      <c r="C7" s="174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74"/>
      <c r="K7" s="71" t="s">
        <v>82</v>
      </c>
      <c r="L7" s="72">
        <v>117854</v>
      </c>
      <c r="M7" s="72">
        <v>117854</v>
      </c>
      <c r="N7" s="73">
        <f t="shared" si="1"/>
        <v>0</v>
      </c>
      <c r="O7" s="74"/>
    </row>
    <row r="8" spans="2:15" ht="15" x14ac:dyDescent="0.2">
      <c r="B8" s="67"/>
      <c r="C8" s="173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73">
        <v>8</v>
      </c>
      <c r="K8" s="71" t="s">
        <v>80</v>
      </c>
      <c r="L8" s="72">
        <v>72512</v>
      </c>
      <c r="M8" s="72">
        <v>72512</v>
      </c>
      <c r="N8" s="73">
        <f t="shared" si="1"/>
        <v>0</v>
      </c>
      <c r="O8" s="74"/>
    </row>
    <row r="9" spans="2:15" ht="15" x14ac:dyDescent="0.2">
      <c r="B9" s="67"/>
      <c r="C9" s="175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75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74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74"/>
      <c r="K10" s="71" t="s">
        <v>82</v>
      </c>
      <c r="L10" s="72">
        <v>96586</v>
      </c>
      <c r="M10" s="72">
        <v>96586</v>
      </c>
      <c r="N10" s="73">
        <f t="shared" si="1"/>
        <v>0</v>
      </c>
      <c r="O10" s="74"/>
    </row>
    <row r="11" spans="2:15" ht="15" x14ac:dyDescent="0.2">
      <c r="B11" s="67"/>
      <c r="C11" s="173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73">
        <v>9</v>
      </c>
      <c r="K11" s="71" t="s">
        <v>80</v>
      </c>
      <c r="L11" s="72">
        <v>43563</v>
      </c>
      <c r="M11" s="72">
        <v>43563</v>
      </c>
      <c r="N11" s="73">
        <f t="shared" si="1"/>
        <v>0</v>
      </c>
      <c r="O11" s="74"/>
    </row>
    <row r="12" spans="2:15" ht="15" x14ac:dyDescent="0.2">
      <c r="B12" s="67"/>
      <c r="C12" s="175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75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74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74"/>
      <c r="K13" s="71" t="s">
        <v>82</v>
      </c>
      <c r="L13" s="72">
        <v>28469</v>
      </c>
      <c r="M13" s="72">
        <v>28469</v>
      </c>
      <c r="N13" s="73">
        <f t="shared" si="1"/>
        <v>0</v>
      </c>
      <c r="O13" s="74"/>
    </row>
    <row r="14" spans="2:15" ht="15" x14ac:dyDescent="0.2">
      <c r="B14" s="67"/>
      <c r="C14" s="173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73">
        <v>10</v>
      </c>
      <c r="K14" s="71" t="s">
        <v>80</v>
      </c>
      <c r="L14" s="72">
        <v>193243</v>
      </c>
      <c r="M14" s="72">
        <v>193243</v>
      </c>
      <c r="N14" s="73">
        <f t="shared" si="1"/>
        <v>0</v>
      </c>
      <c r="O14" s="74"/>
    </row>
    <row r="15" spans="2:15" ht="15" x14ac:dyDescent="0.2">
      <c r="B15" s="67"/>
      <c r="C15" s="175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75"/>
      <c r="K15" s="71" t="s">
        <v>81</v>
      </c>
      <c r="L15" s="72">
        <v>7741</v>
      </c>
      <c r="M15" s="72">
        <v>7741</v>
      </c>
      <c r="N15" s="73">
        <f t="shared" si="1"/>
        <v>0</v>
      </c>
      <c r="O15" s="74"/>
    </row>
    <row r="16" spans="2:15" ht="15" x14ac:dyDescent="0.2">
      <c r="B16" s="67"/>
      <c r="C16" s="174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74"/>
      <c r="K16" s="71" t="s">
        <v>82</v>
      </c>
      <c r="L16" s="72">
        <v>184137</v>
      </c>
      <c r="M16" s="72">
        <v>184137</v>
      </c>
      <c r="N16" s="73">
        <f t="shared" si="1"/>
        <v>0</v>
      </c>
      <c r="O16" s="74"/>
    </row>
    <row r="17" spans="2:15" ht="15" x14ac:dyDescent="0.2">
      <c r="B17" s="67"/>
      <c r="C17" s="173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73">
        <v>11</v>
      </c>
      <c r="K17" s="71" t="s">
        <v>80</v>
      </c>
      <c r="L17" s="73">
        <v>63276</v>
      </c>
      <c r="M17" s="73">
        <v>63276</v>
      </c>
      <c r="N17" s="73">
        <f t="shared" si="1"/>
        <v>0</v>
      </c>
      <c r="O17" s="74"/>
    </row>
    <row r="18" spans="2:15" ht="15" x14ac:dyDescent="0.2">
      <c r="B18" s="67"/>
      <c r="C18" s="175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75"/>
      <c r="K18" s="71" t="s">
        <v>81</v>
      </c>
      <c r="L18" s="73">
        <v>211867</v>
      </c>
      <c r="M18" s="73">
        <v>211867</v>
      </c>
      <c r="N18" s="73">
        <f t="shared" si="1"/>
        <v>0</v>
      </c>
      <c r="O18" s="74"/>
    </row>
    <row r="19" spans="2:15" ht="15" x14ac:dyDescent="0.2">
      <c r="B19" s="67"/>
      <c r="C19" s="174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74"/>
      <c r="K19" s="71" t="s">
        <v>82</v>
      </c>
      <c r="L19" s="72">
        <v>30588</v>
      </c>
      <c r="M19" s="72">
        <v>30588</v>
      </c>
      <c r="N19" s="73">
        <f t="shared" si="1"/>
        <v>0</v>
      </c>
      <c r="O19" s="74"/>
    </row>
    <row r="20" spans="2:15" ht="15" x14ac:dyDescent="0.2">
      <c r="B20" s="67"/>
      <c r="C20" s="173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73">
        <v>12</v>
      </c>
      <c r="K20" s="71" t="s">
        <v>80</v>
      </c>
      <c r="L20" s="166">
        <v>145544</v>
      </c>
      <c r="M20" s="166">
        <v>145544</v>
      </c>
      <c r="N20" s="73">
        <f t="shared" si="1"/>
        <v>0</v>
      </c>
      <c r="O20" s="74"/>
    </row>
    <row r="21" spans="2:15" ht="15" x14ac:dyDescent="0.2">
      <c r="B21" s="67"/>
      <c r="C21" s="175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75"/>
      <c r="K21" s="71" t="s">
        <v>81</v>
      </c>
      <c r="L21" s="72">
        <v>22365</v>
      </c>
      <c r="M21" s="72">
        <v>22365</v>
      </c>
      <c r="N21" s="73">
        <f t="shared" si="1"/>
        <v>0</v>
      </c>
      <c r="O21" s="74"/>
    </row>
    <row r="22" spans="2:15" ht="15" x14ac:dyDescent="0.2">
      <c r="B22" s="67"/>
      <c r="C22" s="174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74"/>
      <c r="K22" s="71" t="s">
        <v>82</v>
      </c>
      <c r="L22" s="72">
        <v>241282</v>
      </c>
      <c r="M22" s="72">
        <v>241282</v>
      </c>
      <c r="N22" s="73">
        <f t="shared" si="1"/>
        <v>0</v>
      </c>
      <c r="O22" s="74"/>
    </row>
    <row r="23" spans="2:15" ht="15" x14ac:dyDescent="0.2">
      <c r="B23" s="67"/>
      <c r="C23" s="173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73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75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75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74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74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73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73">
        <v>15</v>
      </c>
      <c r="K26" s="71" t="s">
        <v>80</v>
      </c>
      <c r="L26" s="166">
        <v>39380</v>
      </c>
      <c r="M26" s="166">
        <v>39380</v>
      </c>
      <c r="N26" s="73">
        <f t="shared" si="1"/>
        <v>0</v>
      </c>
      <c r="O26" s="74"/>
    </row>
    <row r="27" spans="2:15" ht="15" x14ac:dyDescent="0.2">
      <c r="B27" s="67"/>
      <c r="C27" s="175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75"/>
      <c r="K27" s="71" t="s">
        <v>81</v>
      </c>
      <c r="L27" s="72">
        <v>79294</v>
      </c>
      <c r="M27" s="72">
        <v>79294</v>
      </c>
      <c r="N27" s="73">
        <f t="shared" si="1"/>
        <v>0</v>
      </c>
      <c r="O27" s="74"/>
    </row>
    <row r="28" spans="2:15" ht="15" x14ac:dyDescent="0.2">
      <c r="B28" s="67"/>
      <c r="C28" s="174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74"/>
      <c r="K28" s="71" t="s">
        <v>82</v>
      </c>
      <c r="L28" s="72">
        <v>151963</v>
      </c>
      <c r="M28" s="72">
        <v>151963</v>
      </c>
      <c r="N28" s="73">
        <f t="shared" si="1"/>
        <v>0</v>
      </c>
      <c r="O28" s="74"/>
    </row>
    <row r="29" spans="2:15" ht="15" x14ac:dyDescent="0.2">
      <c r="B29" s="67"/>
      <c r="C29" s="173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73">
        <v>16</v>
      </c>
      <c r="K29" s="71" t="s">
        <v>80</v>
      </c>
      <c r="L29" s="166">
        <v>97965</v>
      </c>
      <c r="M29" s="166">
        <v>97965</v>
      </c>
      <c r="N29" s="73">
        <f t="shared" si="1"/>
        <v>0</v>
      </c>
      <c r="O29" s="75" t="s">
        <v>12</v>
      </c>
    </row>
    <row r="30" spans="2:15" ht="15" x14ac:dyDescent="0.2">
      <c r="B30" s="67"/>
      <c r="C30" s="175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75"/>
      <c r="K30" s="71" t="s">
        <v>81</v>
      </c>
      <c r="L30" s="166">
        <v>59399</v>
      </c>
      <c r="M30" s="166">
        <v>59399</v>
      </c>
      <c r="N30" s="73">
        <f t="shared" si="1"/>
        <v>0</v>
      </c>
      <c r="O30" s="74"/>
    </row>
    <row r="31" spans="2:15" ht="15" x14ac:dyDescent="0.2">
      <c r="B31" s="67"/>
      <c r="C31" s="174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74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73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73">
        <v>17</v>
      </c>
      <c r="K32" s="71" t="s">
        <v>80</v>
      </c>
      <c r="L32" s="72">
        <v>32018</v>
      </c>
      <c r="M32" s="72">
        <v>32018</v>
      </c>
      <c r="N32" s="73">
        <f t="shared" si="1"/>
        <v>0</v>
      </c>
      <c r="O32" s="74"/>
    </row>
    <row r="33" spans="2:15" ht="15" x14ac:dyDescent="0.2">
      <c r="B33" s="67"/>
      <c r="C33" s="175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75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4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74"/>
      <c r="K34" s="71" t="s">
        <v>82</v>
      </c>
      <c r="L34" s="72">
        <v>11410</v>
      </c>
      <c r="M34" s="72">
        <v>11410</v>
      </c>
      <c r="N34" s="73">
        <f t="shared" si="1"/>
        <v>0</v>
      </c>
      <c r="O34" s="80"/>
    </row>
    <row r="35" spans="2:15" ht="15" x14ac:dyDescent="0.2">
      <c r="B35" s="67"/>
      <c r="C35" s="173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73">
        <v>18</v>
      </c>
      <c r="K35" s="71" t="s">
        <v>80</v>
      </c>
      <c r="L35" s="72">
        <v>235612</v>
      </c>
      <c r="M35" s="72">
        <v>235612</v>
      </c>
      <c r="N35" s="73">
        <f t="shared" si="1"/>
        <v>0</v>
      </c>
      <c r="O35" s="80"/>
    </row>
    <row r="36" spans="2:15" ht="15" x14ac:dyDescent="0.2">
      <c r="B36" s="67"/>
      <c r="C36" s="175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75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74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74"/>
      <c r="K37" s="71" t="s">
        <v>82</v>
      </c>
      <c r="L37" s="72">
        <v>76545</v>
      </c>
      <c r="M37" s="72">
        <v>76545</v>
      </c>
      <c r="N37" s="73">
        <f t="shared" si="1"/>
        <v>0</v>
      </c>
      <c r="O37" s="74"/>
    </row>
    <row r="38" spans="2:15" ht="15" x14ac:dyDescent="0.2">
      <c r="B38" s="67"/>
      <c r="C38" s="173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73">
        <v>19</v>
      </c>
      <c r="K38" s="71" t="s">
        <v>80</v>
      </c>
      <c r="L38" s="72">
        <v>21241</v>
      </c>
      <c r="M38" s="72">
        <v>21241</v>
      </c>
      <c r="N38" s="73">
        <f t="shared" si="1"/>
        <v>0</v>
      </c>
      <c r="O38" s="74"/>
    </row>
    <row r="39" spans="2:15" ht="15" x14ac:dyDescent="0.2">
      <c r="B39" s="67"/>
      <c r="C39" s="175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75"/>
      <c r="K39" s="71" t="s">
        <v>81</v>
      </c>
      <c r="L39" s="166">
        <v>82607</v>
      </c>
      <c r="M39" s="166">
        <v>82607</v>
      </c>
      <c r="N39" s="73">
        <f t="shared" si="1"/>
        <v>0</v>
      </c>
      <c r="O39" s="80"/>
    </row>
    <row r="40" spans="2:15" ht="15" x14ac:dyDescent="0.2">
      <c r="B40" s="67"/>
      <c r="C40" s="174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74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73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73">
        <v>20</v>
      </c>
      <c r="K41" s="71" t="s">
        <v>80</v>
      </c>
      <c r="L41" s="72">
        <v>118234</v>
      </c>
      <c r="M41" s="72">
        <v>118234</v>
      </c>
      <c r="N41" s="73">
        <f t="shared" si="1"/>
        <v>0</v>
      </c>
      <c r="O41" s="74"/>
    </row>
    <row r="42" spans="2:15" ht="15" x14ac:dyDescent="0.2">
      <c r="B42" s="67"/>
      <c r="C42" s="175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75"/>
      <c r="K42" s="71" t="s">
        <v>81</v>
      </c>
      <c r="L42" s="166">
        <v>68785</v>
      </c>
      <c r="M42" s="166">
        <v>68785</v>
      </c>
      <c r="N42" s="73">
        <f t="shared" si="1"/>
        <v>0</v>
      </c>
      <c r="O42" s="74"/>
    </row>
    <row r="43" spans="2:15" ht="15" x14ac:dyDescent="0.2">
      <c r="B43" s="67"/>
      <c r="C43" s="174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74"/>
      <c r="K43" s="71" t="s">
        <v>82</v>
      </c>
      <c r="L43" s="72">
        <v>3251</v>
      </c>
      <c r="M43" s="72">
        <v>3251</v>
      </c>
      <c r="N43" s="73">
        <f t="shared" si="1"/>
        <v>0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73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73">
        <v>21</v>
      </c>
      <c r="K45" s="85" t="s">
        <v>83</v>
      </c>
      <c r="L45" s="72">
        <v>3367</v>
      </c>
      <c r="M45" s="72">
        <v>3367</v>
      </c>
      <c r="N45" s="73">
        <f t="shared" si="1"/>
        <v>0</v>
      </c>
      <c r="O45" s="75" t="s">
        <v>12</v>
      </c>
    </row>
    <row r="46" spans="2:15" ht="15" x14ac:dyDescent="0.2">
      <c r="B46" s="67"/>
      <c r="C46" s="175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75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3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73">
        <v>22</v>
      </c>
      <c r="K47" s="85" t="s">
        <v>83</v>
      </c>
      <c r="L47" s="86">
        <v>13941</v>
      </c>
      <c r="M47" s="86">
        <v>13941</v>
      </c>
      <c r="N47" s="73">
        <f t="shared" si="1"/>
        <v>0</v>
      </c>
      <c r="O47" s="74"/>
    </row>
    <row r="48" spans="2:15" ht="15" x14ac:dyDescent="0.2">
      <c r="B48" s="67"/>
      <c r="C48" s="175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75"/>
      <c r="K48" s="85" t="s">
        <v>82</v>
      </c>
      <c r="L48" s="86">
        <v>19468</v>
      </c>
      <c r="M48" s="86">
        <v>19468</v>
      </c>
      <c r="N48" s="73">
        <f t="shared" si="1"/>
        <v>0</v>
      </c>
      <c r="O48" s="74"/>
    </row>
    <row r="49" spans="1:15" ht="15" x14ac:dyDescent="0.2">
      <c r="B49" s="67"/>
      <c r="C49" s="173">
        <v>23</v>
      </c>
      <c r="D49" s="71" t="s">
        <v>83</v>
      </c>
      <c r="E49" s="86"/>
      <c r="F49" s="86"/>
      <c r="G49" s="73">
        <f t="shared" si="2"/>
        <v>0</v>
      </c>
      <c r="H49" s="74"/>
      <c r="J49" s="173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75"/>
      <c r="D50" s="71" t="s">
        <v>82</v>
      </c>
      <c r="E50" s="86"/>
      <c r="F50" s="86"/>
      <c r="G50" s="73">
        <f t="shared" si="2"/>
        <v>0</v>
      </c>
      <c r="H50" s="74"/>
      <c r="J50" s="175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76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76">
        <v>24</v>
      </c>
      <c r="K52" s="71" t="s">
        <v>84</v>
      </c>
      <c r="L52" s="166">
        <v>240464</v>
      </c>
      <c r="M52" s="166">
        <v>240464</v>
      </c>
      <c r="N52" s="73">
        <f t="shared" si="1"/>
        <v>0</v>
      </c>
      <c r="O52" s="88"/>
    </row>
    <row r="53" spans="1:15" ht="15" x14ac:dyDescent="0.2">
      <c r="B53" s="67"/>
      <c r="C53" s="177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77"/>
      <c r="K53" s="71" t="s">
        <v>85</v>
      </c>
      <c r="L53" s="166">
        <v>535259</v>
      </c>
      <c r="M53" s="166">
        <v>535259</v>
      </c>
      <c r="N53" s="73">
        <f t="shared" si="1"/>
        <v>0</v>
      </c>
      <c r="O53" s="80"/>
    </row>
    <row r="54" spans="1:15" ht="15" x14ac:dyDescent="0.2">
      <c r="B54" s="67"/>
      <c r="C54" s="178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78"/>
      <c r="K54" s="71" t="s">
        <v>84</v>
      </c>
      <c r="L54" s="166">
        <v>34567</v>
      </c>
      <c r="M54" s="166">
        <v>34567</v>
      </c>
      <c r="N54" s="73">
        <f t="shared" si="1"/>
        <v>0</v>
      </c>
      <c r="O54" s="89" t="s">
        <v>12</v>
      </c>
    </row>
    <row r="55" spans="1:15" ht="15" x14ac:dyDescent="0.2">
      <c r="B55" s="67"/>
      <c r="C55" s="173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73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74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74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73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73">
        <v>26</v>
      </c>
      <c r="K57" s="71" t="s">
        <v>84</v>
      </c>
      <c r="L57" s="72">
        <v>700352</v>
      </c>
      <c r="M57" s="72">
        <v>700352</v>
      </c>
      <c r="N57" s="73">
        <f t="shared" si="1"/>
        <v>0</v>
      </c>
      <c r="O57" s="74"/>
    </row>
    <row r="58" spans="1:15" ht="15" x14ac:dyDescent="0.2">
      <c r="A58" s="77"/>
      <c r="B58" s="67"/>
      <c r="C58" s="174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74"/>
      <c r="K58" s="71" t="s">
        <v>85</v>
      </c>
      <c r="L58" s="72">
        <v>767743</v>
      </c>
      <c r="M58" s="72">
        <v>767743</v>
      </c>
      <c r="N58" s="73">
        <f t="shared" si="1"/>
        <v>0</v>
      </c>
      <c r="O58" s="80"/>
    </row>
    <row r="59" spans="1:15" ht="15" x14ac:dyDescent="0.2">
      <c r="A59" s="77"/>
      <c r="B59" s="67"/>
      <c r="C59" s="173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73">
        <v>27</v>
      </c>
      <c r="K59" s="71" t="s">
        <v>84</v>
      </c>
      <c r="L59" s="72">
        <v>237633</v>
      </c>
      <c r="M59" s="72">
        <v>237633</v>
      </c>
      <c r="N59" s="73">
        <f t="shared" si="1"/>
        <v>0</v>
      </c>
      <c r="O59" s="74"/>
    </row>
    <row r="60" spans="1:15" ht="15" x14ac:dyDescent="0.2">
      <c r="A60" s="77"/>
      <c r="B60" s="67"/>
      <c r="C60" s="174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74"/>
      <c r="K60" s="71" t="s">
        <v>85</v>
      </c>
      <c r="L60" s="72">
        <v>97283</v>
      </c>
      <c r="M60" s="72">
        <v>97283</v>
      </c>
      <c r="N60" s="73">
        <f t="shared" si="1"/>
        <v>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73">
        <v>28</v>
      </c>
      <c r="D62" s="182" t="s">
        <v>86</v>
      </c>
      <c r="E62" s="72"/>
      <c r="F62" s="72"/>
      <c r="G62" s="73"/>
      <c r="H62" s="184" t="s">
        <v>87</v>
      </c>
      <c r="I62" s="77"/>
      <c r="J62" s="173">
        <v>28</v>
      </c>
      <c r="K62" s="182" t="s">
        <v>86</v>
      </c>
      <c r="L62" s="72"/>
      <c r="M62" s="72"/>
      <c r="N62" s="73"/>
      <c r="O62" s="184" t="s">
        <v>87</v>
      </c>
    </row>
    <row r="63" spans="1:15" ht="15" x14ac:dyDescent="0.2">
      <c r="A63" s="77"/>
      <c r="B63" s="67"/>
      <c r="C63" s="174"/>
      <c r="D63" s="183"/>
      <c r="E63" s="72"/>
      <c r="F63" s="72"/>
      <c r="G63" s="73"/>
      <c r="H63" s="185"/>
      <c r="I63" s="77"/>
      <c r="J63" s="174"/>
      <c r="K63" s="183"/>
      <c r="L63" s="72"/>
      <c r="M63" s="72"/>
      <c r="N63" s="73"/>
      <c r="O63" s="185"/>
    </row>
    <row r="64" spans="1:15" x14ac:dyDescent="0.2">
      <c r="A64" s="77"/>
      <c r="B64" s="67"/>
      <c r="C64" s="186" t="s">
        <v>88</v>
      </c>
      <c r="D64" s="186"/>
      <c r="E64" s="186"/>
      <c r="F64" s="186"/>
      <c r="G64" s="91">
        <f>SUM(G2:G63)</f>
        <v>31537</v>
      </c>
      <c r="H64" s="92"/>
      <c r="I64" s="77"/>
      <c r="J64" s="186" t="s">
        <v>88</v>
      </c>
      <c r="K64" s="186"/>
      <c r="L64" s="186"/>
      <c r="M64" s="186"/>
      <c r="N64" s="91">
        <f>SUM(N2:N63)</f>
        <v>0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7">
        <v>44317</v>
      </c>
      <c r="C69" s="188"/>
      <c r="D69" s="188"/>
      <c r="E69" s="189"/>
      <c r="F69" s="95"/>
      <c r="G69" s="187">
        <v>44348</v>
      </c>
      <c r="H69" s="188"/>
      <c r="I69" s="188"/>
      <c r="J69" s="189"/>
      <c r="K69" s="95"/>
      <c r="L69" s="179" t="s">
        <v>25</v>
      </c>
      <c r="M69" s="180"/>
      <c r="N69" s="180"/>
      <c r="O69" s="181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92374</v>
      </c>
      <c r="I71" s="99">
        <v>55047</v>
      </c>
      <c r="J71" s="100">
        <v>78552</v>
      </c>
      <c r="K71" s="93"/>
      <c r="L71" s="96">
        <v>6</v>
      </c>
      <c r="M71" s="101">
        <f>H71-C71</f>
        <v>0</v>
      </c>
      <c r="N71" s="101">
        <f>I71-D71</f>
        <v>0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95734</v>
      </c>
      <c r="I72" s="99">
        <v>103671</v>
      </c>
      <c r="J72" s="100">
        <v>63262</v>
      </c>
      <c r="K72" s="93"/>
      <c r="L72" s="96">
        <v>7</v>
      </c>
      <c r="M72" s="101">
        <f t="shared" ref="M72:O94" si="4">H72-C72</f>
        <v>0</v>
      </c>
      <c r="N72" s="101">
        <f t="shared" si="4"/>
        <v>0</v>
      </c>
      <c r="O72" s="101">
        <f t="shared" si="4"/>
        <v>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112016</v>
      </c>
      <c r="I73" s="99">
        <v>245453</v>
      </c>
      <c r="J73" s="100">
        <v>105612</v>
      </c>
      <c r="K73" s="93"/>
      <c r="L73" s="96">
        <v>8</v>
      </c>
      <c r="M73" s="101">
        <f t="shared" si="4"/>
        <v>0</v>
      </c>
      <c r="N73" s="101">
        <f t="shared" si="4"/>
        <v>0</v>
      </c>
      <c r="O73" s="101">
        <f t="shared" si="4"/>
        <v>0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68228</v>
      </c>
      <c r="I74" s="99">
        <v>151338</v>
      </c>
      <c r="J74" s="100">
        <v>150678</v>
      </c>
      <c r="K74" s="93"/>
      <c r="L74" s="96">
        <v>9</v>
      </c>
      <c r="M74" s="101">
        <f t="shared" si="4"/>
        <v>0</v>
      </c>
      <c r="N74" s="101">
        <f t="shared" si="4"/>
        <v>0</v>
      </c>
      <c r="O74" s="101">
        <f t="shared" si="4"/>
        <v>0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70801</v>
      </c>
      <c r="I75" s="99">
        <v>111973</v>
      </c>
      <c r="J75" s="100">
        <v>143250</v>
      </c>
      <c r="K75" s="93"/>
      <c r="L75" s="96">
        <v>10</v>
      </c>
      <c r="M75" s="101">
        <f t="shared" si="4"/>
        <v>0</v>
      </c>
      <c r="N75" s="101">
        <f t="shared" si="4"/>
        <v>0</v>
      </c>
      <c r="O75" s="101">
        <f t="shared" si="4"/>
        <v>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152635</v>
      </c>
      <c r="I76" s="99">
        <v>182054</v>
      </c>
      <c r="J76" s="100">
        <v>211520</v>
      </c>
      <c r="K76" s="93"/>
      <c r="L76" s="96">
        <v>11</v>
      </c>
      <c r="M76" s="101">
        <f t="shared" si="4"/>
        <v>0</v>
      </c>
      <c r="N76" s="101">
        <f t="shared" si="4"/>
        <v>0</v>
      </c>
      <c r="O76" s="101">
        <f t="shared" si="4"/>
        <v>0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148659</v>
      </c>
      <c r="I77" s="99">
        <v>96275</v>
      </c>
      <c r="J77" s="100">
        <v>100130</v>
      </c>
      <c r="K77" s="93"/>
      <c r="L77" s="96">
        <v>12</v>
      </c>
      <c r="M77" s="101">
        <f t="shared" si="4"/>
        <v>0</v>
      </c>
      <c r="N77" s="101">
        <f>I77-D77</f>
        <v>0</v>
      </c>
      <c r="O77" s="101">
        <f t="shared" si="4"/>
        <v>0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123669</v>
      </c>
      <c r="I78" s="99">
        <v>47927</v>
      </c>
      <c r="J78" s="100">
        <v>50895</v>
      </c>
      <c r="K78" s="93"/>
      <c r="L78" s="96">
        <v>14</v>
      </c>
      <c r="M78" s="101">
        <f t="shared" si="4"/>
        <v>0</v>
      </c>
      <c r="N78" s="101">
        <f t="shared" si="4"/>
        <v>0</v>
      </c>
      <c r="O78" s="101">
        <f t="shared" si="4"/>
        <v>0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166733</v>
      </c>
      <c r="I79" s="99">
        <v>145942</v>
      </c>
      <c r="J79" s="100">
        <v>157487</v>
      </c>
      <c r="K79" s="93"/>
      <c r="L79" s="96">
        <v>15</v>
      </c>
      <c r="M79" s="101">
        <f t="shared" si="4"/>
        <v>0</v>
      </c>
      <c r="N79" s="101">
        <f t="shared" si="4"/>
        <v>0</v>
      </c>
      <c r="O79" s="101">
        <f t="shared" si="4"/>
        <v>0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120829</v>
      </c>
      <c r="I80" s="99">
        <v>146144</v>
      </c>
      <c r="J80" s="100">
        <v>215163</v>
      </c>
      <c r="K80" s="93"/>
      <c r="L80" s="96">
        <v>16</v>
      </c>
      <c r="M80" s="101">
        <f t="shared" si="4"/>
        <v>0</v>
      </c>
      <c r="N80" s="101">
        <f t="shared" si="4"/>
        <v>0</v>
      </c>
      <c r="O80" s="101">
        <f t="shared" si="4"/>
        <v>0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85376</v>
      </c>
      <c r="J81" s="100">
        <v>201943</v>
      </c>
      <c r="K81" s="93"/>
      <c r="L81" s="96">
        <v>17</v>
      </c>
      <c r="M81" s="101">
        <f t="shared" si="4"/>
        <v>0</v>
      </c>
      <c r="N81" s="101">
        <f t="shared" si="4"/>
        <v>0</v>
      </c>
      <c r="O81" s="101">
        <f t="shared" si="4"/>
        <v>0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136235</v>
      </c>
      <c r="I82" s="99">
        <v>72184</v>
      </c>
      <c r="J82" s="100">
        <v>162768</v>
      </c>
      <c r="K82" s="93"/>
      <c r="L82" s="96">
        <v>18</v>
      </c>
      <c r="M82" s="101">
        <f t="shared" si="4"/>
        <v>0</v>
      </c>
      <c r="N82" s="101">
        <f t="shared" si="4"/>
        <v>0</v>
      </c>
      <c r="O82" s="101">
        <f t="shared" si="4"/>
        <v>0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75441</v>
      </c>
      <c r="I83" s="99">
        <v>170074</v>
      </c>
      <c r="J83" s="100">
        <v>121678</v>
      </c>
      <c r="K83" s="93"/>
      <c r="L83" s="96">
        <v>19</v>
      </c>
      <c r="M83" s="101">
        <f t="shared" si="4"/>
        <v>0</v>
      </c>
      <c r="N83" s="101">
        <f t="shared" si="4"/>
        <v>0</v>
      </c>
      <c r="O83" s="101">
        <f t="shared" si="4"/>
        <v>0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142668</v>
      </c>
      <c r="I84" s="99">
        <v>171627</v>
      </c>
      <c r="J84" s="100">
        <v>87434</v>
      </c>
      <c r="K84" s="93"/>
      <c r="L84" s="96">
        <v>20</v>
      </c>
      <c r="M84" s="101">
        <f>H84-C84</f>
        <v>0</v>
      </c>
      <c r="N84" s="101">
        <f t="shared" si="4"/>
        <v>0</v>
      </c>
      <c r="O84" s="101">
        <f t="shared" si="4"/>
        <v>0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191118</v>
      </c>
      <c r="I85" s="99">
        <v>88339</v>
      </c>
      <c r="J85" s="100">
        <v>111017</v>
      </c>
      <c r="K85" s="93"/>
      <c r="L85" s="96">
        <v>21</v>
      </c>
      <c r="M85" s="101">
        <f t="shared" si="4"/>
        <v>0</v>
      </c>
      <c r="N85" s="101">
        <f t="shared" si="4"/>
        <v>0</v>
      </c>
      <c r="O85" s="101">
        <f t="shared" si="4"/>
        <v>0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132813</v>
      </c>
      <c r="I86" s="99">
        <v>91010</v>
      </c>
      <c r="J86" s="100">
        <v>116927</v>
      </c>
      <c r="K86" s="93"/>
      <c r="L86" s="96">
        <v>22</v>
      </c>
      <c r="M86" s="101">
        <f t="shared" si="4"/>
        <v>0</v>
      </c>
      <c r="N86" s="101">
        <f t="shared" si="4"/>
        <v>0</v>
      </c>
      <c r="O86" s="101">
        <f t="shared" si="4"/>
        <v>0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126911</v>
      </c>
      <c r="I87" s="99">
        <v>154743</v>
      </c>
      <c r="J87" s="100">
        <v>287877</v>
      </c>
      <c r="K87" s="93"/>
      <c r="L87" s="96">
        <v>23</v>
      </c>
      <c r="M87" s="101">
        <f t="shared" si="4"/>
        <v>0</v>
      </c>
      <c r="N87" s="101">
        <f t="shared" si="4"/>
        <v>0</v>
      </c>
      <c r="O87" s="101">
        <f t="shared" si="4"/>
        <v>0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78398</v>
      </c>
      <c r="I88" s="99">
        <v>149678</v>
      </c>
      <c r="J88" s="100">
        <v>101315</v>
      </c>
      <c r="K88" s="93"/>
      <c r="L88" s="96">
        <v>24</v>
      </c>
      <c r="M88" s="101">
        <f t="shared" si="4"/>
        <v>0</v>
      </c>
      <c r="N88" s="101">
        <f t="shared" si="4"/>
        <v>0</v>
      </c>
      <c r="O88" s="101">
        <f>J88-E88</f>
        <v>0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120617</v>
      </c>
      <c r="I89" s="99">
        <v>179190</v>
      </c>
      <c r="J89" s="100">
        <v>159256</v>
      </c>
      <c r="K89" s="93"/>
      <c r="L89" s="96">
        <v>25</v>
      </c>
      <c r="M89" s="101">
        <f t="shared" si="4"/>
        <v>0</v>
      </c>
      <c r="N89" s="101">
        <f t="shared" si="4"/>
        <v>0</v>
      </c>
      <c r="O89" s="101">
        <f>J89-E89</f>
        <v>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113322</v>
      </c>
      <c r="I90" s="99">
        <v>50933</v>
      </c>
      <c r="J90" s="100">
        <v>53964</v>
      </c>
      <c r="K90" s="93"/>
      <c r="L90" s="96">
        <v>26</v>
      </c>
      <c r="M90" s="101">
        <f t="shared" si="4"/>
        <v>0</v>
      </c>
      <c r="N90" s="101">
        <f t="shared" si="4"/>
        <v>0</v>
      </c>
      <c r="O90" s="101">
        <f t="shared" si="4"/>
        <v>0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101450</v>
      </c>
      <c r="I91" s="99">
        <v>108029</v>
      </c>
      <c r="J91" s="100">
        <v>120021</v>
      </c>
      <c r="K91" s="93"/>
      <c r="L91" s="96">
        <v>27</v>
      </c>
      <c r="M91" s="101">
        <f t="shared" si="4"/>
        <v>0</v>
      </c>
      <c r="N91" s="101">
        <f t="shared" si="4"/>
        <v>0</v>
      </c>
      <c r="O91" s="101">
        <f t="shared" si="4"/>
        <v>0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194074</v>
      </c>
      <c r="I92" s="99">
        <v>102133</v>
      </c>
      <c r="J92" s="100">
        <v>110195</v>
      </c>
      <c r="K92" s="93"/>
      <c r="L92" s="96">
        <v>28</v>
      </c>
      <c r="M92" s="101">
        <f t="shared" si="4"/>
        <v>0</v>
      </c>
      <c r="N92" s="101">
        <f t="shared" si="4"/>
        <v>0</v>
      </c>
      <c r="O92" s="101">
        <f t="shared" si="4"/>
        <v>0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81315</v>
      </c>
      <c r="J93" s="100"/>
      <c r="K93" s="93"/>
      <c r="L93" s="96">
        <v>29</v>
      </c>
      <c r="M93" s="101">
        <f t="shared" si="4"/>
        <v>0</v>
      </c>
      <c r="N93" s="101">
        <f t="shared" si="4"/>
        <v>0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2021-06-01T23:20:03Z</dcterms:modified>
</cp:coreProperties>
</file>