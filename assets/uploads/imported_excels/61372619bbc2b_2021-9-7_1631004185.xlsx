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1"/>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3" i="1" l="1"/>
  <c r="AD38" i="2" l="1"/>
  <c r="AE38" i="2"/>
  <c r="V37" i="2"/>
  <c r="AH36" i="2" l="1"/>
  <c r="AG36" i="2"/>
  <c r="AF36" i="2"/>
  <c r="V36" i="2"/>
  <c r="Q36" i="2"/>
  <c r="P36" i="2"/>
  <c r="O36" i="2"/>
  <c r="N36" i="2"/>
  <c r="M36" i="2"/>
  <c r="J36" i="2" l="1"/>
  <c r="I36" i="2"/>
  <c r="H36" i="2"/>
  <c r="G36" i="2"/>
  <c r="F36" i="2"/>
  <c r="E36" i="2"/>
  <c r="D36" i="2"/>
  <c r="C36" i="2"/>
  <c r="B36" i="2"/>
  <c r="AH35" i="2" l="1"/>
  <c r="AG35" i="2"/>
  <c r="AF35" i="2"/>
  <c r="V35" i="2"/>
  <c r="Q35" i="2"/>
  <c r="P35" i="2"/>
  <c r="O35" i="2"/>
  <c r="N35" i="2"/>
  <c r="M35" i="2"/>
  <c r="J35" i="2" l="1"/>
  <c r="I35" i="2"/>
  <c r="H35" i="2"/>
  <c r="G35" i="2"/>
  <c r="F35" i="2"/>
  <c r="E35" i="2"/>
  <c r="D35" i="2"/>
  <c r="C35" i="2"/>
  <c r="B35" i="2"/>
  <c r="AH34" i="2" l="1"/>
  <c r="AG34" i="2"/>
  <c r="AF34" i="2"/>
  <c r="V34" i="2"/>
  <c r="Q34" i="2" l="1"/>
  <c r="P34" i="2"/>
  <c r="O34" i="2"/>
  <c r="N34" i="2"/>
  <c r="M34" i="2"/>
  <c r="J34" i="2" l="1"/>
  <c r="I34" i="2"/>
  <c r="H34" i="2"/>
  <c r="G34" i="2"/>
  <c r="F34" i="2"/>
  <c r="E34" i="2"/>
  <c r="D34" i="2"/>
  <c r="C34" i="2"/>
  <c r="B34" i="2"/>
  <c r="AH33" i="2" l="1"/>
  <c r="AG33" i="2"/>
  <c r="AF33" i="2"/>
  <c r="AH32" i="2"/>
  <c r="AG32" i="2"/>
  <c r="AF32" i="2"/>
  <c r="AH31" i="2"/>
  <c r="AG31" i="2"/>
  <c r="AF31" i="2"/>
  <c r="V33" i="2"/>
  <c r="V32" i="2"/>
  <c r="V31" i="2"/>
  <c r="Q33" i="2" l="1"/>
  <c r="P33" i="2"/>
  <c r="Q32" i="2"/>
  <c r="P32" i="2"/>
  <c r="Q31" i="2"/>
  <c r="P31" i="2"/>
  <c r="O33" i="2"/>
  <c r="N33" i="2"/>
  <c r="M33" i="2"/>
  <c r="O32" i="2"/>
  <c r="N32" i="2"/>
  <c r="M32" i="2"/>
  <c r="O31" i="2"/>
  <c r="N31" i="2"/>
  <c r="M31" i="2"/>
  <c r="J33" i="2" l="1"/>
  <c r="I33" i="2"/>
  <c r="H33" i="2"/>
  <c r="G33" i="2"/>
  <c r="F33" i="2"/>
  <c r="E33" i="2"/>
  <c r="D33" i="2"/>
  <c r="C33" i="2"/>
  <c r="B33" i="2"/>
  <c r="J32" i="2"/>
  <c r="I32" i="2"/>
  <c r="H32" i="2"/>
  <c r="G32" i="2"/>
  <c r="F32" i="2"/>
  <c r="E32" i="2"/>
  <c r="D32" i="2"/>
  <c r="C32" i="2"/>
  <c r="B32" i="2"/>
  <c r="J31" i="2"/>
  <c r="I31" i="2"/>
  <c r="H31" i="2"/>
  <c r="G31" i="2"/>
  <c r="F31" i="2"/>
  <c r="E31" i="2"/>
  <c r="D31" i="2"/>
  <c r="C31" i="2"/>
  <c r="B31" i="2"/>
  <c r="AH30" i="2" l="1"/>
  <c r="AG30" i="2"/>
  <c r="AF30" i="2"/>
  <c r="V30" i="2"/>
  <c r="Q30" i="2" l="1"/>
  <c r="P30" i="2"/>
  <c r="O30" i="2"/>
  <c r="N30" i="2"/>
  <c r="M30" i="2"/>
  <c r="J30" i="2" l="1"/>
  <c r="I30" i="2"/>
  <c r="H30" i="2"/>
  <c r="G30" i="2"/>
  <c r="F30" i="2"/>
  <c r="E30" i="2"/>
  <c r="D30" i="2"/>
  <c r="C30" i="2"/>
  <c r="B30" i="2"/>
  <c r="AH29" i="2" l="1"/>
  <c r="AG29" i="2"/>
  <c r="AF29" i="2"/>
  <c r="W36" i="2"/>
  <c r="W35" i="2"/>
  <c r="W34" i="2"/>
  <c r="W33" i="2"/>
  <c r="W32" i="2"/>
  <c r="W31" i="2"/>
  <c r="W30" i="2"/>
  <c r="W29" i="2"/>
  <c r="V29" i="2"/>
  <c r="Q29" i="2" l="1"/>
  <c r="P29" i="2"/>
  <c r="O29" i="2"/>
  <c r="N29" i="2"/>
  <c r="M29" i="2"/>
  <c r="J29" i="2" l="1"/>
  <c r="I29" i="2"/>
  <c r="H29" i="2"/>
  <c r="G29" i="2"/>
  <c r="F29" i="2"/>
  <c r="E29" i="2"/>
  <c r="D29" i="2"/>
  <c r="C29" i="2"/>
  <c r="B29" i="2"/>
  <c r="AH28" i="2" l="1"/>
  <c r="AG28" i="2"/>
  <c r="AF28" i="2"/>
  <c r="W28" i="2"/>
  <c r="V28" i="2"/>
  <c r="Q28" i="2" l="1"/>
  <c r="P28" i="2"/>
  <c r="O28" i="2"/>
  <c r="N28" i="2"/>
  <c r="M28" i="2"/>
  <c r="J28" i="2" l="1"/>
  <c r="I28" i="2"/>
  <c r="H28" i="2"/>
  <c r="G28" i="2"/>
  <c r="F28" i="2"/>
  <c r="E28" i="2"/>
  <c r="D28" i="2"/>
  <c r="C28" i="2"/>
  <c r="B28" i="2"/>
  <c r="AH27" i="2" l="1"/>
  <c r="AG27" i="2"/>
  <c r="AF27" i="2"/>
  <c r="V27" i="2"/>
  <c r="Q27" i="2" l="1"/>
  <c r="P27" i="2"/>
  <c r="O27" i="2"/>
  <c r="N27" i="2"/>
  <c r="M27" i="2"/>
  <c r="J27" i="2" l="1"/>
  <c r="I27" i="2"/>
  <c r="H27" i="2"/>
  <c r="G27" i="2"/>
  <c r="F27" i="2"/>
  <c r="E27" i="2"/>
  <c r="D27" i="2"/>
  <c r="C27" i="2"/>
  <c r="B27" i="2"/>
  <c r="AH26" i="2" l="1"/>
  <c r="AG26" i="2"/>
  <c r="AF26" i="2"/>
  <c r="V26" i="2"/>
  <c r="Q26" i="2"/>
  <c r="P26" i="2"/>
  <c r="O26" i="2"/>
  <c r="N26" i="2"/>
  <c r="M26" i="2"/>
  <c r="J26" i="2" l="1"/>
  <c r="I26" i="2"/>
  <c r="H26" i="2"/>
  <c r="G26" i="2"/>
  <c r="F26" i="2"/>
  <c r="E26" i="2"/>
  <c r="D26" i="2"/>
  <c r="C26" i="2"/>
  <c r="B26" i="2"/>
  <c r="AH25" i="2" l="1"/>
  <c r="AG25" i="2"/>
  <c r="AF25" i="2"/>
  <c r="AH24" i="2"/>
  <c r="AG24" i="2"/>
  <c r="AF24" i="2"/>
  <c r="V25" i="2"/>
  <c r="V24" i="2"/>
  <c r="Q25" i="2" l="1"/>
  <c r="P25" i="2"/>
  <c r="Q24" i="2"/>
  <c r="P24" i="2"/>
  <c r="O25" i="2"/>
  <c r="N25" i="2"/>
  <c r="M25" i="2"/>
  <c r="O24" i="2"/>
  <c r="N24" i="2"/>
  <c r="M24" i="2"/>
  <c r="J25" i="2" l="1"/>
  <c r="I25" i="2"/>
  <c r="H25" i="2"/>
  <c r="G25" i="2"/>
  <c r="F25" i="2"/>
  <c r="E25" i="2"/>
  <c r="D25" i="2"/>
  <c r="C25" i="2"/>
  <c r="B25" i="2"/>
  <c r="J24" i="2"/>
  <c r="I24" i="2"/>
  <c r="H24" i="2"/>
  <c r="G24" i="2"/>
  <c r="F24" i="2"/>
  <c r="E24" i="2"/>
  <c r="D24" i="2"/>
  <c r="C24" i="2"/>
  <c r="B24" i="2"/>
  <c r="AH23" i="2" l="1"/>
  <c r="AG23" i="2"/>
  <c r="AF23" i="2"/>
  <c r="W27" i="2"/>
  <c r="W26" i="2"/>
  <c r="W25" i="2"/>
  <c r="W24" i="2"/>
  <c r="W23" i="2"/>
  <c r="V23" i="2"/>
  <c r="Q23" i="2" l="1"/>
  <c r="P23" i="2"/>
  <c r="O23" i="2"/>
  <c r="N23" i="2"/>
  <c r="M23" i="2"/>
  <c r="J23" i="2"/>
  <c r="I23" i="2"/>
  <c r="H23" i="2"/>
  <c r="G23" i="2"/>
  <c r="F23" i="2"/>
  <c r="E23" i="2"/>
  <c r="D23" i="2"/>
  <c r="C23" i="2"/>
  <c r="B23" i="2"/>
  <c r="AH22" i="2" l="1"/>
  <c r="AG22" i="2"/>
  <c r="AF22" i="2"/>
  <c r="W22" i="2"/>
  <c r="V22" i="2"/>
  <c r="Q22" i="2" l="1"/>
  <c r="P22" i="2"/>
  <c r="O22" i="2"/>
  <c r="N22" i="2"/>
  <c r="M22" i="2"/>
  <c r="J22" i="2"/>
  <c r="I22" i="2"/>
  <c r="H22" i="2"/>
  <c r="G22" i="2"/>
  <c r="F22" i="2"/>
  <c r="E22" i="2"/>
  <c r="D22" i="2"/>
  <c r="C22" i="2"/>
  <c r="B22" i="2"/>
  <c r="AH21" i="2" l="1"/>
  <c r="AG21" i="2"/>
  <c r="AF21" i="2"/>
  <c r="V21" i="2"/>
  <c r="Q21" i="2"/>
  <c r="P21" i="2"/>
  <c r="O21" i="2"/>
  <c r="N21" i="2"/>
  <c r="M21" i="2"/>
  <c r="J21" i="2" l="1"/>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l="1"/>
  <c r="P19" i="2"/>
  <c r="O19" i="2"/>
  <c r="N19" i="2"/>
  <c r="M19" i="2"/>
  <c r="J19" i="2" l="1"/>
  <c r="I19" i="2"/>
  <c r="H19" i="2"/>
  <c r="G19" i="2"/>
  <c r="F19" i="2"/>
  <c r="E19" i="2"/>
  <c r="D19" i="2"/>
  <c r="C19" i="2"/>
  <c r="B19" i="2"/>
  <c r="AH18" i="2" l="1"/>
  <c r="AG18" i="2"/>
  <c r="AF18" i="2"/>
  <c r="AH17" i="2"/>
  <c r="AG17" i="2"/>
  <c r="AF17" i="2"/>
  <c r="V18" i="2"/>
  <c r="V17" i="2"/>
  <c r="Q18" i="2" l="1"/>
  <c r="P18" i="2"/>
  <c r="Q17" i="2"/>
  <c r="P17" i="2"/>
  <c r="O18" i="2"/>
  <c r="N18" i="2"/>
  <c r="M18" i="2"/>
  <c r="O17" i="2"/>
  <c r="N17" i="2"/>
  <c r="M17" i="2"/>
  <c r="J18" i="2" l="1"/>
  <c r="I18" i="2"/>
  <c r="H18" i="2"/>
  <c r="G18" i="2"/>
  <c r="F18" i="2"/>
  <c r="E18" i="2"/>
  <c r="D18" i="2"/>
  <c r="C18" i="2"/>
  <c r="B18" i="2"/>
  <c r="J17" i="2"/>
  <c r="I17" i="2"/>
  <c r="H17" i="2"/>
  <c r="G17" i="2"/>
  <c r="F17" i="2"/>
  <c r="E17" i="2"/>
  <c r="D17" i="2"/>
  <c r="C17" i="2"/>
  <c r="B17" i="2"/>
  <c r="AH16" i="2" l="1"/>
  <c r="AG16" i="2"/>
  <c r="AF16" i="2"/>
  <c r="V16" i="2"/>
  <c r="Q16" i="2"/>
  <c r="P16" i="2"/>
  <c r="O16" i="2"/>
  <c r="N16" i="2"/>
  <c r="M16" i="2"/>
  <c r="J16" i="2" l="1"/>
  <c r="I16" i="2"/>
  <c r="H16" i="2"/>
  <c r="G16" i="2"/>
  <c r="F16" i="2"/>
  <c r="E16" i="2"/>
  <c r="D16" i="2"/>
  <c r="C16" i="2"/>
  <c r="B16" i="2"/>
  <c r="AH15" i="2" l="1"/>
  <c r="AG15" i="2"/>
  <c r="AF15" i="2"/>
  <c r="V15" i="2"/>
  <c r="Q15" i="2" l="1"/>
  <c r="P15" i="2"/>
  <c r="O15" i="2"/>
  <c r="N15" i="2"/>
  <c r="M15" i="2"/>
  <c r="J15" i="2" l="1"/>
  <c r="I15" i="2"/>
  <c r="H15" i="2"/>
  <c r="G15" i="2"/>
  <c r="F15" i="2"/>
  <c r="E15" i="2"/>
  <c r="D15" i="2"/>
  <c r="C15" i="2"/>
  <c r="B15" i="2"/>
  <c r="AH14" i="2" l="1"/>
  <c r="AG14" i="2"/>
  <c r="AF14" i="2"/>
  <c r="V14" i="2"/>
  <c r="Q14" i="2" l="1"/>
  <c r="P14" i="2"/>
  <c r="O14" i="2"/>
  <c r="N14" i="2"/>
  <c r="M14" i="2"/>
  <c r="J14" i="2" l="1"/>
  <c r="I14" i="2"/>
  <c r="H14" i="2"/>
  <c r="G14" i="2"/>
  <c r="F14" i="2"/>
  <c r="E14" i="2"/>
  <c r="D14" i="2"/>
  <c r="C14" i="2"/>
  <c r="B14" i="2"/>
  <c r="AF12" i="2" l="1"/>
  <c r="AH13" i="2"/>
  <c r="AG13" i="2"/>
  <c r="AF13" i="2"/>
  <c r="AH12" i="2"/>
  <c r="AG12" i="2"/>
  <c r="V13" i="2" l="1"/>
  <c r="Q13" i="2" l="1"/>
  <c r="P13" i="2"/>
  <c r="O13" i="2"/>
  <c r="N13" i="2"/>
  <c r="M13" i="2"/>
  <c r="J13" i="2" l="1"/>
  <c r="I13" i="2"/>
  <c r="H13" i="2"/>
  <c r="G13" i="2"/>
  <c r="F13" i="2"/>
  <c r="E13" i="2"/>
  <c r="D13" i="2"/>
  <c r="C13" i="2"/>
  <c r="B13" i="2"/>
  <c r="AH11" i="2" l="1"/>
  <c r="AG11" i="2"/>
  <c r="AF11" i="2"/>
  <c r="AH10" i="2"/>
  <c r="AG10" i="2"/>
  <c r="AF10" i="2"/>
  <c r="AH9" i="2"/>
  <c r="AG9" i="2"/>
  <c r="AF9" i="2"/>
  <c r="AD9" i="2"/>
  <c r="AD37" i="2"/>
  <c r="V12" i="2"/>
  <c r="V11" i="2"/>
  <c r="V10" i="2"/>
  <c r="Q12" i="2"/>
  <c r="P12" i="2"/>
  <c r="Q11" i="2"/>
  <c r="P11" i="2"/>
  <c r="Q10" i="2"/>
  <c r="P10" i="2"/>
  <c r="O12" i="2"/>
  <c r="N12" i="2"/>
  <c r="M12" i="2"/>
  <c r="O11" i="2"/>
  <c r="N11" i="2"/>
  <c r="M11" i="2"/>
  <c r="O10" i="2"/>
  <c r="N10" i="2"/>
  <c r="M10" i="2"/>
  <c r="J12" i="2" l="1"/>
  <c r="I12" i="2"/>
  <c r="H12" i="2"/>
  <c r="G12" i="2"/>
  <c r="F12" i="2"/>
  <c r="E12" i="2"/>
  <c r="D12" i="2"/>
  <c r="C12" i="2"/>
  <c r="B12" i="2"/>
  <c r="J11" i="2"/>
  <c r="I11" i="2"/>
  <c r="H11" i="2"/>
  <c r="G11" i="2"/>
  <c r="F11" i="2"/>
  <c r="E11" i="2"/>
  <c r="D11" i="2"/>
  <c r="C11" i="2"/>
  <c r="B11" i="2"/>
  <c r="J10" i="2"/>
  <c r="I10" i="2"/>
  <c r="H10" i="2"/>
  <c r="G10" i="2"/>
  <c r="F10" i="2"/>
  <c r="E10" i="2"/>
  <c r="D10" i="2"/>
  <c r="C10" i="2"/>
  <c r="B10" i="2"/>
  <c r="W21" i="2" l="1"/>
  <c r="W20" i="2"/>
  <c r="W19" i="2"/>
  <c r="W18" i="2"/>
  <c r="W17" i="2"/>
  <c r="W16" i="2"/>
  <c r="W15" i="2"/>
  <c r="W14" i="2"/>
  <c r="W13" i="2"/>
  <c r="W12" i="2"/>
  <c r="W11" i="2"/>
  <c r="W10" i="2"/>
  <c r="W9" i="2"/>
  <c r="V9" i="2"/>
  <c r="Q9" i="2" l="1"/>
  <c r="P9" i="2"/>
  <c r="O9" i="2"/>
  <c r="N9" i="2"/>
  <c r="M9" i="2"/>
  <c r="J9" i="2" l="1"/>
  <c r="I9" i="2"/>
  <c r="H9" i="2"/>
  <c r="G9" i="2"/>
  <c r="F9" i="2"/>
  <c r="E9" i="2"/>
  <c r="D9" i="2"/>
  <c r="C9" i="2"/>
  <c r="B9" i="2"/>
  <c r="AH8" i="2" l="1"/>
  <c r="AG8" i="2"/>
  <c r="AF8" i="2"/>
  <c r="W8" i="2"/>
  <c r="V8" i="2"/>
  <c r="Q8" i="2"/>
  <c r="P8" i="2"/>
  <c r="O8" i="2"/>
  <c r="N8" i="2"/>
  <c r="M8" i="2"/>
  <c r="J8" i="2" l="1"/>
  <c r="I8" i="2"/>
  <c r="H8" i="2"/>
  <c r="G8" i="2"/>
  <c r="F8" i="2"/>
  <c r="E8" i="2"/>
  <c r="D8" i="2"/>
  <c r="C8" i="2"/>
  <c r="B8" i="2"/>
  <c r="AH7" i="2" l="1"/>
  <c r="AG7" i="2"/>
  <c r="AF7" i="2"/>
  <c r="W7" i="2"/>
  <c r="V7" i="2"/>
  <c r="Q7" i="2" l="1"/>
  <c r="P7" i="2"/>
  <c r="O7" i="2"/>
  <c r="N7" i="2"/>
  <c r="M7" i="2"/>
  <c r="J7" i="2" l="1"/>
  <c r="I7" i="2"/>
  <c r="H7" i="2"/>
  <c r="G7" i="2"/>
  <c r="F7" i="2"/>
  <c r="E7" i="2"/>
  <c r="D7" i="2"/>
  <c r="C7" i="2"/>
  <c r="B7" i="2"/>
  <c r="AM6" i="2" l="1"/>
  <c r="AE6" i="2"/>
  <c r="AH6" i="2" l="1"/>
  <c r="AG6" i="2"/>
  <c r="AF6" i="2"/>
  <c r="W6" i="2"/>
  <c r="V6" i="2"/>
  <c r="Q6" i="2" l="1"/>
  <c r="P6" i="2"/>
  <c r="O6" i="2"/>
  <c r="N6" i="2"/>
  <c r="M6" i="2"/>
  <c r="J6" i="2" l="1"/>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7" i="2"/>
  <c r="AC8" i="2"/>
  <c r="AC9" i="2"/>
  <c r="AC10" i="2"/>
  <c r="AD10" i="2" s="1"/>
  <c r="AC11" i="2"/>
  <c r="AD11" i="2" s="1"/>
  <c r="AC12" i="2"/>
  <c r="AD12" i="2" s="1"/>
  <c r="AC13" i="2"/>
  <c r="AD13" i="2" s="1"/>
  <c r="AE13" i="2" s="1"/>
  <c r="AC14" i="2"/>
  <c r="AD14" i="2" s="1"/>
  <c r="AE14" i="2" s="1"/>
  <c r="AC15" i="2"/>
  <c r="AD15" i="2" s="1"/>
  <c r="AE15" i="2" s="1"/>
  <c r="AC16" i="2"/>
  <c r="AD16" i="2" s="1"/>
  <c r="AE16" i="2" s="1"/>
  <c r="AC17" i="2"/>
  <c r="AD17" i="2" s="1"/>
  <c r="AE17" i="2" s="1"/>
  <c r="AC18" i="2"/>
  <c r="AD18" i="2" s="1"/>
  <c r="AE18" i="2" s="1"/>
  <c r="AC19" i="2"/>
  <c r="AD19" i="2" s="1"/>
  <c r="AE19" i="2" s="1"/>
  <c r="AC20" i="2"/>
  <c r="AD20" i="2" s="1"/>
  <c r="AE20" i="2" s="1"/>
  <c r="AC21" i="2"/>
  <c r="AD21" i="2" s="1"/>
  <c r="AE21" i="2" s="1"/>
  <c r="AC22" i="2"/>
  <c r="AD22" i="2" s="1"/>
  <c r="AE22" i="2" s="1"/>
  <c r="AC23" i="2"/>
  <c r="AD23" i="2" s="1"/>
  <c r="AE23" i="2" s="1"/>
  <c r="AC24" i="2"/>
  <c r="AD24" i="2" s="1"/>
  <c r="AE24" i="2" s="1"/>
  <c r="AC25" i="2"/>
  <c r="AD25" i="2" s="1"/>
  <c r="AE25" i="2" s="1"/>
  <c r="AC26" i="2"/>
  <c r="AD26" i="2" s="1"/>
  <c r="AE26" i="2" s="1"/>
  <c r="AC27" i="2"/>
  <c r="AD27" i="2" s="1"/>
  <c r="AE27" i="2" s="1"/>
  <c r="AC28" i="2"/>
  <c r="AD28" i="2" s="1"/>
  <c r="AE28" i="2" s="1"/>
  <c r="AC29" i="2"/>
  <c r="AD29" i="2" s="1"/>
  <c r="AE29" i="2" s="1"/>
  <c r="AC30" i="2"/>
  <c r="AD30" i="2" s="1"/>
  <c r="AE30" i="2" s="1"/>
  <c r="AC31" i="2"/>
  <c r="AD31" i="2" s="1"/>
  <c r="AE31" i="2" s="1"/>
  <c r="AC32" i="2"/>
  <c r="AD32" i="2" s="1"/>
  <c r="AE32" i="2" s="1"/>
  <c r="AC33" i="2"/>
  <c r="AD33" i="2" s="1"/>
  <c r="AE33" i="2" s="1"/>
  <c r="AC34" i="2"/>
  <c r="AD34" i="2" s="1"/>
  <c r="AE34" i="2" s="1"/>
  <c r="AC35" i="2"/>
  <c r="AD35" i="2" s="1"/>
  <c r="AE35" i="2" s="1"/>
  <c r="AC36" i="2"/>
  <c r="AD36" i="2" s="1"/>
  <c r="AE36" i="2" s="1"/>
  <c r="AC7" i="2"/>
  <c r="AI6" i="2" l="1"/>
  <c r="AC6" i="2"/>
  <c r="AN37" i="2" l="1"/>
  <c r="AH37" i="2"/>
  <c r="AG37" i="2"/>
  <c r="AF37" i="2"/>
  <c r="J37" i="2"/>
  <c r="I37" i="2"/>
  <c r="H37" i="2"/>
  <c r="G37" i="2"/>
  <c r="D37" i="2"/>
  <c r="Y33" i="3"/>
  <c r="Z33" i="3"/>
  <c r="B32" i="1"/>
  <c r="E32" i="1"/>
  <c r="M32" i="1"/>
  <c r="N32" i="1"/>
  <c r="E31" i="3"/>
  <c r="F31" i="3"/>
  <c r="G31" i="3"/>
  <c r="H31" i="3"/>
  <c r="E32" i="3"/>
  <c r="F32" i="3"/>
  <c r="G32" i="3"/>
  <c r="H32" i="3"/>
  <c r="I32" i="3"/>
  <c r="J32" i="3"/>
  <c r="K32" i="3"/>
  <c r="L32" i="3"/>
  <c r="M32" i="3"/>
  <c r="Q32" i="3"/>
  <c r="R32" i="3"/>
  <c r="U32" i="3"/>
  <c r="V32" i="3"/>
  <c r="W32" i="3"/>
  <c r="B32" i="3"/>
  <c r="Z7" i="2"/>
  <c r="K6" i="2" l="1"/>
  <c r="L6" i="2" l="1"/>
  <c r="AK35" i="2"/>
  <c r="AL35" i="2" s="1"/>
  <c r="AM35" i="2" s="1"/>
  <c r="AK36" i="2"/>
  <c r="T32" i="3"/>
  <c r="Z35" i="2"/>
  <c r="AA35" i="2" s="1"/>
  <c r="Z36" i="2"/>
  <c r="P32" i="3" s="1"/>
  <c r="T35" i="2"/>
  <c r="U35" i="2"/>
  <c r="T36" i="2"/>
  <c r="N32" i="3" s="1"/>
  <c r="U36" i="2"/>
  <c r="R35" i="2"/>
  <c r="S35" i="2"/>
  <c r="R36" i="2"/>
  <c r="O32" i="3" s="1"/>
  <c r="S36" i="2"/>
  <c r="K35" i="2"/>
  <c r="L35" i="2" s="1"/>
  <c r="K36" i="2"/>
  <c r="L36" i="2"/>
  <c r="M4" i="1"/>
  <c r="M5" i="1"/>
  <c r="M6" i="1"/>
  <c r="M8" i="1"/>
  <c r="M9" i="1"/>
  <c r="M10" i="1"/>
  <c r="M12" i="1"/>
  <c r="M13" i="1"/>
  <c r="M14" i="1"/>
  <c r="M16" i="1"/>
  <c r="M17" i="1"/>
  <c r="M18" i="1"/>
  <c r="M20" i="1"/>
  <c r="M21" i="1"/>
  <c r="M22" i="1"/>
  <c r="M24" i="1"/>
  <c r="M25" i="1"/>
  <c r="M26" i="1"/>
  <c r="M28" i="1"/>
  <c r="M29" i="1"/>
  <c r="M30"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K32" i="1" l="1"/>
  <c r="G32" i="1"/>
  <c r="S32" i="3"/>
  <c r="AA36" i="2"/>
  <c r="AO36" i="2" s="1"/>
  <c r="AO35" i="2"/>
  <c r="N33" i="1"/>
  <c r="AL36" i="2"/>
  <c r="AM36" i="2" s="1"/>
  <c r="X32" i="3"/>
  <c r="I32" i="1"/>
  <c r="Z9" i="2"/>
  <c r="P5" i="3" s="1"/>
  <c r="G5" i="1" s="1"/>
  <c r="Z10" i="2"/>
  <c r="AA10" i="2" s="1"/>
  <c r="Z11" i="2"/>
  <c r="AA11" i="2" s="1"/>
  <c r="Z12" i="2"/>
  <c r="Z13" i="2"/>
  <c r="AA13" i="2" s="1"/>
  <c r="Z14" i="2"/>
  <c r="AA14" i="2" s="1"/>
  <c r="Z15" i="2"/>
  <c r="AA15" i="2" s="1"/>
  <c r="Z16" i="2"/>
  <c r="AA16" i="2" s="1"/>
  <c r="T13" i="3"/>
  <c r="W31" i="3"/>
  <c r="V31" i="3"/>
  <c r="U31" i="3"/>
  <c r="R31" i="3"/>
  <c r="Q31" i="3"/>
  <c r="M31" i="3"/>
  <c r="L31" i="3"/>
  <c r="K31" i="3"/>
  <c r="J31" i="3"/>
  <c r="I31" i="3"/>
  <c r="P31" i="3"/>
  <c r="R15" i="2"/>
  <c r="O11" i="3" s="1"/>
  <c r="R16" i="2"/>
  <c r="O12" i="3" s="1"/>
  <c r="R17" i="2"/>
  <c r="O13" i="3" s="1"/>
  <c r="R18" i="2"/>
  <c r="R19" i="2"/>
  <c r="O15" i="3" s="1"/>
  <c r="R20" i="2"/>
  <c r="O16" i="3" s="1"/>
  <c r="R21" i="2"/>
  <c r="O17" i="3" s="1"/>
  <c r="R22" i="2"/>
  <c r="O18" i="3" s="1"/>
  <c r="R23" i="2"/>
  <c r="R24" i="2"/>
  <c r="O20" i="3" s="1"/>
  <c r="R25" i="2"/>
  <c r="O21" i="3" s="1"/>
  <c r="R26" i="2"/>
  <c r="R27" i="2"/>
  <c r="O23" i="3" s="1"/>
  <c r="R28" i="2"/>
  <c r="O24" i="3" s="1"/>
  <c r="R29" i="2"/>
  <c r="O25" i="3" s="1"/>
  <c r="R30" i="2"/>
  <c r="O26" i="3" s="1"/>
  <c r="R31" i="2"/>
  <c r="O27" i="3" s="1"/>
  <c r="R32" i="2"/>
  <c r="O28" i="3" s="1"/>
  <c r="R33" i="2"/>
  <c r="O29" i="3" s="1"/>
  <c r="R34" i="2"/>
  <c r="O30" i="3" s="1"/>
  <c r="O31" i="3"/>
  <c r="R6" i="2"/>
  <c r="R7" i="2"/>
  <c r="O3" i="3" s="1"/>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E10" i="2"/>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E9" i="2"/>
  <c r="AE11" i="2"/>
  <c r="AE12" i="2"/>
  <c r="T21" i="3"/>
  <c r="T28" i="3"/>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U11" i="2" s="1"/>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O22" i="3"/>
  <c r="S25" i="2"/>
  <c r="S24" i="2"/>
  <c r="S23" i="2"/>
  <c r="O19" i="3"/>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0" i="2"/>
  <c r="D40" i="2"/>
  <c r="G39" i="2"/>
  <c r="T27" i="3"/>
  <c r="U16" i="2"/>
  <c r="X18" i="3"/>
  <c r="U15" i="2"/>
  <c r="T22" i="3"/>
  <c r="N10" i="3"/>
  <c r="T30" i="3"/>
  <c r="X9" i="3"/>
  <c r="AL25" i="2"/>
  <c r="AM25" i="2" s="1"/>
  <c r="T12" i="3"/>
  <c r="T17" i="3"/>
  <c r="U19" i="2"/>
  <c r="N19" i="3"/>
  <c r="N3" i="3"/>
  <c r="T23" i="3"/>
  <c r="G30" i="1"/>
  <c r="P27" i="3" l="1"/>
  <c r="S27" i="3" s="1"/>
  <c r="P28" i="3"/>
  <c r="G28" i="1" s="1"/>
  <c r="U32" i="2"/>
  <c r="N29" i="3"/>
  <c r="K28" i="1"/>
  <c r="P26" i="3"/>
  <c r="G26" i="1" s="1"/>
  <c r="N24" i="3"/>
  <c r="P24" i="3"/>
  <c r="G24" i="1" s="1"/>
  <c r="P19" i="3"/>
  <c r="G19" i="1" s="1"/>
  <c r="P17" i="3"/>
  <c r="G17" i="1" s="1"/>
  <c r="P15" i="3"/>
  <c r="U17" i="2"/>
  <c r="P11" i="3"/>
  <c r="G11" i="1" s="1"/>
  <c r="M33" i="3"/>
  <c r="T3" i="3"/>
  <c r="V33" i="3"/>
  <c r="I33" i="3"/>
  <c r="T7" i="3"/>
  <c r="I7" i="1" s="1"/>
  <c r="U9" i="2"/>
  <c r="K33" i="3"/>
  <c r="J33" i="3"/>
  <c r="W33" i="3"/>
  <c r="U33" i="3"/>
  <c r="T5" i="3"/>
  <c r="I5" i="1" s="1"/>
  <c r="Q33" i="3"/>
  <c r="U8" i="2"/>
  <c r="AO8" i="2" s="1"/>
  <c r="T37" i="2"/>
  <c r="U37" i="2" s="1"/>
  <c r="L33" i="3"/>
  <c r="X27" i="3"/>
  <c r="I27" i="1" s="1"/>
  <c r="AL11" i="2"/>
  <c r="AM11" i="2" s="1"/>
  <c r="X10" i="3"/>
  <c r="T20" i="3"/>
  <c r="I20" i="1" s="1"/>
  <c r="P4" i="3"/>
  <c r="G4" i="1" s="1"/>
  <c r="R33" i="3"/>
  <c r="L7" i="2"/>
  <c r="L37" i="2" s="1"/>
  <c r="K37" i="2"/>
  <c r="X2" i="3"/>
  <c r="AK37" i="2"/>
  <c r="AE37" i="2"/>
  <c r="AA6" i="2"/>
  <c r="Z37" i="2"/>
  <c r="O2" i="3"/>
  <c r="O33" i="3" s="1"/>
  <c r="R37" i="2"/>
  <c r="R39" i="2" s="1"/>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T11" i="3"/>
  <c r="T16" i="3"/>
  <c r="I17" i="1"/>
  <c r="S19" i="3"/>
  <c r="S26" i="3"/>
  <c r="AA17" i="2"/>
  <c r="S15" i="3"/>
  <c r="K15" i="1"/>
  <c r="K11" i="1"/>
  <c r="K8" i="1"/>
  <c r="K4" i="1"/>
  <c r="N31" i="3"/>
  <c r="K31" i="1" s="1"/>
  <c r="K25" i="1"/>
  <c r="K29" i="1"/>
  <c r="E24" i="1"/>
  <c r="E13" i="1"/>
  <c r="E6" i="1"/>
  <c r="X30" i="3"/>
  <c r="I30" i="1" s="1"/>
  <c r="AL34" i="2"/>
  <c r="AM34" i="2" s="1"/>
  <c r="AL24" i="2"/>
  <c r="AM24" i="2" s="1"/>
  <c r="AL9" i="2"/>
  <c r="AM9" i="2" s="1"/>
  <c r="X4" i="3"/>
  <c r="X19" i="3"/>
  <c r="T8" i="3"/>
  <c r="I8" i="1" s="1"/>
  <c r="T24" i="3"/>
  <c r="I22" i="1"/>
  <c r="G13" i="1"/>
  <c r="S13" i="3"/>
  <c r="AO33" i="2"/>
  <c r="S14" i="3"/>
  <c r="G15" i="1"/>
  <c r="P29" i="3"/>
  <c r="AA9" i="2"/>
  <c r="AO9" i="2" s="1"/>
  <c r="S17" i="3"/>
  <c r="P10" i="3"/>
  <c r="P25" i="3"/>
  <c r="G25" i="1" s="1"/>
  <c r="N9" i="3"/>
  <c r="K9" i="1" s="1"/>
  <c r="N16" i="3"/>
  <c r="K16" i="1" s="1"/>
  <c r="AO15" i="2"/>
  <c r="K3" i="1"/>
  <c r="N27" i="3"/>
  <c r="K27" i="1" s="1"/>
  <c r="K26" i="1"/>
  <c r="K10" i="1"/>
  <c r="K13" i="1"/>
  <c r="N23" i="3"/>
  <c r="K23" i="1" s="1"/>
  <c r="K19" i="1"/>
  <c r="AO28" i="2"/>
  <c r="K5" i="1"/>
  <c r="K20" i="1"/>
  <c r="K12" i="1"/>
  <c r="N20" i="3"/>
  <c r="AO31" i="2"/>
  <c r="AO17"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O19" i="2"/>
  <c r="T15" i="3"/>
  <c r="AO13" i="2"/>
  <c r="T9" i="3"/>
  <c r="I9" i="1" s="1"/>
  <c r="AL15" i="2"/>
  <c r="AM15" i="2" s="1"/>
  <c r="X11" i="3"/>
  <c r="T18" i="3"/>
  <c r="I18" i="1" s="1"/>
  <c r="S22" i="3"/>
  <c r="S21" i="3"/>
  <c r="G21" i="1"/>
  <c r="AO23" i="2"/>
  <c r="T10" i="3"/>
  <c r="AO14" i="2"/>
  <c r="AL32" i="2"/>
  <c r="AM32" i="2" s="1"/>
  <c r="X28" i="3"/>
  <c r="I28" i="1" s="1"/>
  <c r="AL28" i="2"/>
  <c r="AM28" i="2" s="1"/>
  <c r="X24" i="3"/>
  <c r="X16" i="3"/>
  <c r="AL20" i="2"/>
  <c r="AM20" i="2" s="1"/>
  <c r="T6" i="3"/>
  <c r="AO22" i="2"/>
  <c r="X3" i="3"/>
  <c r="X12" i="3"/>
  <c r="I12" i="1" s="1"/>
  <c r="AA26" i="2"/>
  <c r="AO26" i="2" s="1"/>
  <c r="N22" i="3"/>
  <c r="K22" i="1" s="1"/>
  <c r="N17" i="3"/>
  <c r="K17" i="1" s="1"/>
  <c r="T19" i="3"/>
  <c r="P18" i="3"/>
  <c r="P7" i="3"/>
  <c r="AA25" i="2"/>
  <c r="P12" i="3"/>
  <c r="S9" i="3"/>
  <c r="T26" i="3"/>
  <c r="AL26" i="2"/>
  <c r="AM26" i="2" s="1"/>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S28" i="3" l="1"/>
  <c r="S24" i="3"/>
  <c r="I10" i="1"/>
  <c r="S11" i="3"/>
  <c r="I24" i="1"/>
  <c r="I3" i="1"/>
  <c r="S4" i="3"/>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<sst xmlns="http://schemas.openxmlformats.org/spreadsheetml/2006/main" count="220" uniqueCount="106">
  <si>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</si>
  <si>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</si>
  <si>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</si>
  <si>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</si>
  <si>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</si>
  <si>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</si>
  <si>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</si>
  <si>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</si>
  <si>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</si>
  <si>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</si>
  <si>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</si>
  <si>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</si>
  <si>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</si>
  <si>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</si>
  <si>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</si>
  <si>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</si>
  <si>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</si>
  <si>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</si>
  <si>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</si>
  <si>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</si>
  <si>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</si>
  <si>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</si>
  <si>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</si>
  <si>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</si>
  <si>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</si>
  <si>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</si>
  <si>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</si>
  <si>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</si>
  <si>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</si>
  <si>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</si>
  <si>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</si>
  <si>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</si>
  <si>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</si>
  <si>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</si>
  <si>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</si>
  <si>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</si>
  <si>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</si>
  <si>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</si>
  <si>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</si>
  <si>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</si>
  <si>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</si>
  <si>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</si>
  <si>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</si>
  <si>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</si>
  <si>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</si>
  <si>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</si>
  <si>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</si>
  <si>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</si>
  <si>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</si>
  <si>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</si>
  <si>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</si>
  <si>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</si>
  <si>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</si>
  <si>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</si>
  <si>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</si>
  <si>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</si>
  <si>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</si>
  <si>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</si>
  <si>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</si>
  <si>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</si>
  <si>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</si>
  <si>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</si>
  <si>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</si>
  <si>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</si>
  <si>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</si>
  <si>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</si>
  <si>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</si>
  <si>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</si>
  <si>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</si>
  <si>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</si>
  <si>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</si>
  <si>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</si>
  <si>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</si>
  <si>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</si>
  <si>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</si>
  <si>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</si>
  <si>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</si>
  <si>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</si>
  <si>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</si>
  <si>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</si>
  <si>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</si>
  <si>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</si>
  <si>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</si>
  <si>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</si>
  <si>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</si>
  <si>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</si>
  <si>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</si>
  <si>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</si>
  <si>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</si>
  <si>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</si>
  <si>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</si>
  <si>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</si>
  <si>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</si>
  <si>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</si>
  <si>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</si>
  <si>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</si>
  <si>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</si>
  <si>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</si>
  <si>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</si>
  <si>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</si>
  <si>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</si>
  <si>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</si>
  <si>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</si>
  <si>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0001523.22</t>
  </si>
  <si>
    <t>AED. 0.332195/Ton</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</si>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</sst>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164" fontId="0" fillId="0" borderId="1" xfId="0" applyNumberFormat="1" applyFill="1" applyBorder="1" applyAlignment="1">
      <alignment horizontal="center" vertical="center"/>
    </xf>
    <xf numFmtId="4" fontId="0" fillId="0" borderId="1" xfId="0" applyNumberFormat="1" applyFill="1" applyBorder="1" applyAlignment="1">
      <alignment horizontal="center" vertical="center"/>
    </xf>
    <xf numFmtId="0" fontId="0" fillId="0" borderId="1" xfId="0" applyFill="1" applyBorder="1" applyAlignment="1">
      <alignment horizontal="center" vertical="center"/>
    </xf>
    <xf numFmtId="165" fontId="9" fillId="0" borderId="19"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I3" sqref="I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8" t="s">
        <v>0</v>
      </c>
      <c r="B1" s="129" t="s">
        <v>1</v>
      </c>
      <c r="C1" s="130" t="s">
        <v>2</v>
      </c>
      <c r="D1" s="129" t="s">
        <v>3</v>
      </c>
      <c r="E1" s="131" t="s">
        <v>4</v>
      </c>
      <c r="F1" s="132" t="s">
        <v>5</v>
      </c>
      <c r="G1" s="131" t="s">
        <v>10</v>
      </c>
      <c r="H1" s="132" t="s">
        <v>11</v>
      </c>
      <c r="I1" s="133" t="s">
        <v>82</v>
      </c>
      <c r="J1" s="134" t="s">
        <v>83</v>
      </c>
      <c r="K1" s="131" t="s">
        <v>6</v>
      </c>
      <c r="L1" s="135" t="s">
        <v>7</v>
      </c>
      <c r="M1" s="131" t="s">
        <v>8</v>
      </c>
      <c r="N1" s="136" t="s">
        <v>9</v>
      </c>
    </row>
    <row r="2" spans="1:15" x14ac:dyDescent="0.25">
      <c r="A2" s="119" t="s">
        <v>80</v>
      </c>
      <c r="B2" s="120">
        <v>1</v>
      </c>
      <c r="C2" s="121">
        <v>8</v>
      </c>
      <c r="D2" s="120">
        <v>2021</v>
      </c>
      <c r="E2" s="110">
        <f>Submetering!E2+Submetering!F2+Submetering!G2+Submetering!H2+Submetering!I2+Submetering!J2+Submetering!K2</f>
        <v>32878</v>
      </c>
      <c r="F2" s="122">
        <v>0.2</v>
      </c>
      <c r="G2" s="110">
        <f>Submetering!P2</f>
        <v>425</v>
      </c>
      <c r="H2" s="122">
        <v>6.47</v>
      </c>
      <c r="I2" s="110">
        <f>Submetering!T2-Submetering!T2*15%-Submetering!X2</f>
        <v>62393.087299999999</v>
      </c>
      <c r="J2" s="109">
        <v>0.21</v>
      </c>
      <c r="K2" s="110">
        <f>Submetering!N2-Submetering!O2</f>
        <v>96.985000000001492</v>
      </c>
      <c r="L2" s="122">
        <v>7.84</v>
      </c>
      <c r="M2" s="110">
        <f>Submetering!Y2</f>
        <v>74</v>
      </c>
      <c r="N2" s="111">
        <f>Submetering!Z2</f>
        <v>114</v>
      </c>
    </row>
    <row r="3" spans="1:15" x14ac:dyDescent="0.25">
      <c r="A3" s="123" t="s">
        <v>80</v>
      </c>
      <c r="B3" s="72">
        <f>B2+1</f>
        <v>2</v>
      </c>
      <c r="C3" s="73">
        <v>8</v>
      </c>
      <c r="D3" s="72">
        <v>2021</v>
      </c>
      <c r="E3" s="71">
        <f>Submetering!E3+Submetering!F3+Submetering!G3+Submetering!H3+Submetering!I3+Submetering!J3+Submetering!K3</f>
        <v>32931</v>
      </c>
      <c r="F3" s="74">
        <v>0.2</v>
      </c>
      <c r="G3" s="71">
        <f>Submetering!P3</f>
        <v>438</v>
      </c>
      <c r="H3" s="74">
        <v>6.47</v>
      </c>
      <c r="I3" s="71">
        <f>Submetering!T3-Submetering!T3*15%-Submetering!X3</f>
        <v>52254.652199997101</v>
      </c>
      <c r="J3" s="70">
        <v>0.21</v>
      </c>
      <c r="K3" s="71">
        <f>Submetering!N3-Submetering!O3</f>
        <v>67.7170000000051</v>
      </c>
      <c r="L3" s="74">
        <v>7.84</v>
      </c>
      <c r="M3" s="71">
        <f>Submetering!Y3</f>
        <v>78</v>
      </c>
      <c r="N3" s="113">
        <f>Submetering!Z3</f>
        <v>113</v>
      </c>
    </row>
    <row r="4" spans="1:15" x14ac:dyDescent="0.25">
      <c r="A4" s="123" t="s">
        <v>80</v>
      </c>
      <c r="B4" s="72">
        <f t="shared" ref="B4:B32" si="0">B3+1</f>
        <v>3</v>
      </c>
      <c r="C4" s="73">
        <v>8</v>
      </c>
      <c r="D4" s="72">
        <v>2021</v>
      </c>
      <c r="E4" s="71">
        <f>Submetering!E4+Submetering!F4+Submetering!G4+Submetering!H4+Submetering!I4+Submetering!J4+Submetering!K4</f>
        <v>32969</v>
      </c>
      <c r="F4" s="74">
        <v>0.2</v>
      </c>
      <c r="G4" s="71">
        <f>Submetering!P4</f>
        <v>423</v>
      </c>
      <c r="H4" s="74">
        <v>6.47</v>
      </c>
      <c r="I4" s="71">
        <f>Submetering!T4-Submetering!T4*15%-Submetering!X4</f>
        <v>56867.243000004368</v>
      </c>
      <c r="J4" s="70">
        <v>0.21</v>
      </c>
      <c r="K4" s="71">
        <f>Submetering!N4-Submetering!O4</f>
        <v>75.871999999995751</v>
      </c>
      <c r="L4" s="74">
        <v>7.84</v>
      </c>
      <c r="M4" s="71">
        <f>Submetering!Y4</f>
        <v>82</v>
      </c>
      <c r="N4" s="113">
        <f>Submetering!Z4</f>
        <v>117</v>
      </c>
    </row>
    <row r="5" spans="1:15" x14ac:dyDescent="0.25">
      <c r="A5" s="123" t="s">
        <v>80</v>
      </c>
      <c r="B5" s="72">
        <f t="shared" si="0"/>
        <v>4</v>
      </c>
      <c r="C5" s="73">
        <v>8</v>
      </c>
      <c r="D5" s="72">
        <v>2021</v>
      </c>
      <c r="E5" s="71">
        <f>Submetering!E5+Submetering!F5+Submetering!G5+Submetering!H5+Submetering!I5+Submetering!J5+Submetering!K5</f>
        <v>33007</v>
      </c>
      <c r="F5" s="74">
        <v>0.2</v>
      </c>
      <c r="G5" s="71">
        <f>Submetering!P5</f>
        <v>420</v>
      </c>
      <c r="H5" s="74">
        <v>6.47</v>
      </c>
      <c r="I5" s="71">
        <f>Submetering!T5-Submetering!T5*15%-Submetering!X5</f>
        <v>67871.350199998546</v>
      </c>
      <c r="J5" s="70">
        <v>0.21</v>
      </c>
      <c r="K5" s="81">
        <f>Submetering!N5-Submetering!O5</f>
        <v>58.068999999997686</v>
      </c>
      <c r="L5" s="74">
        <v>7.84</v>
      </c>
      <c r="M5" s="71">
        <f>Submetering!Y5</f>
        <v>82</v>
      </c>
      <c r="N5" s="113">
        <f>Submetering!Z5</f>
        <v>123</v>
      </c>
    </row>
    <row r="6" spans="1:15" x14ac:dyDescent="0.25">
      <c r="A6" s="123" t="s">
        <v>80</v>
      </c>
      <c r="B6" s="72">
        <f t="shared" si="0"/>
        <v>5</v>
      </c>
      <c r="C6" s="73">
        <v>8</v>
      </c>
      <c r="D6" s="72">
        <v>2021</v>
      </c>
      <c r="E6" s="71">
        <f>Submetering!E6+Submetering!F6+Submetering!G6+Submetering!H6+Submetering!I6+Submetering!J6+Submetering!K6</f>
        <v>31920</v>
      </c>
      <c r="F6" s="74">
        <v>0.2</v>
      </c>
      <c r="G6" s="71">
        <f>Submetering!P6</f>
        <v>406</v>
      </c>
      <c r="H6" s="74">
        <v>6.47</v>
      </c>
      <c r="I6" s="71">
        <f>Submetering!T6-Submetering!T6*15%-Submetering!X6</f>
        <v>67871.350199998546</v>
      </c>
      <c r="J6" s="70">
        <v>0.21</v>
      </c>
      <c r="K6" s="71">
        <f>Submetering!N6-Submetering!O6</f>
        <v>49.348000000006323</v>
      </c>
      <c r="L6" s="74">
        <v>7.84</v>
      </c>
      <c r="M6" s="71">
        <f>Submetering!Y6</f>
        <v>58</v>
      </c>
      <c r="N6" s="113">
        <f>Submetering!Z6</f>
        <v>95</v>
      </c>
    </row>
    <row r="7" spans="1:15" x14ac:dyDescent="0.25">
      <c r="A7" s="123" t="s">
        <v>80</v>
      </c>
      <c r="B7" s="72">
        <f t="shared" si="0"/>
        <v>6</v>
      </c>
      <c r="C7" s="73">
        <v>8</v>
      </c>
      <c r="D7" s="72">
        <v>2021</v>
      </c>
      <c r="E7" s="71">
        <f>Submetering!E7+Submetering!F7+Submetering!G7+Submetering!H7+Submetering!I7+Submetering!J7+Submetering!K7</f>
        <v>31793</v>
      </c>
      <c r="F7" s="74">
        <v>0.2</v>
      </c>
      <c r="G7" s="71">
        <f>Submetering!P7</f>
        <v>430</v>
      </c>
      <c r="H7" s="74">
        <v>6.47</v>
      </c>
      <c r="I7" s="71">
        <f>Submetering!T7-Submetering!T7*15%-Submetering!X7</f>
        <v>67871.350199998546</v>
      </c>
      <c r="J7" s="70">
        <v>0.21</v>
      </c>
      <c r="K7" s="71">
        <f>Submetering!N7-Submetering!O7</f>
        <v>43.02599999999984</v>
      </c>
      <c r="L7" s="74">
        <v>7.84</v>
      </c>
      <c r="M7" s="71">
        <f>Submetering!Y7</f>
        <v>46</v>
      </c>
      <c r="N7" s="113">
        <f>Submetering!Z7</f>
        <v>88</v>
      </c>
    </row>
    <row r="8" spans="1:15" x14ac:dyDescent="0.25">
      <c r="A8" s="123" t="s">
        <v>80</v>
      </c>
      <c r="B8" s="72">
        <f t="shared" si="0"/>
        <v>7</v>
      </c>
      <c r="C8" s="73">
        <v>8</v>
      </c>
      <c r="D8" s="72">
        <v>2021</v>
      </c>
      <c r="E8" s="71">
        <f>Submetering!E8+Submetering!F8+Submetering!G8+Submetering!H8+Submetering!I8+Submetering!J8+Submetering!K8</f>
        <v>31985</v>
      </c>
      <c r="F8" s="74">
        <v>0.2</v>
      </c>
      <c r="G8" s="71">
        <f>Submetering!P8</f>
        <v>394</v>
      </c>
      <c r="H8" s="74">
        <v>6.47</v>
      </c>
      <c r="I8" s="71">
        <f>Submetering!T8-Submetering!T8*15%-Submetering!X8</f>
        <v>72835.8462</v>
      </c>
      <c r="J8" s="70">
        <v>0.21</v>
      </c>
      <c r="K8" s="71">
        <f>Submetering!N8-Submetering!O8</f>
        <v>50.89100000000235</v>
      </c>
      <c r="L8" s="74">
        <v>7.84</v>
      </c>
      <c r="M8" s="71">
        <f>Submetering!Y8</f>
        <v>44</v>
      </c>
      <c r="N8" s="113">
        <f>Submetering!Z8</f>
        <v>80</v>
      </c>
    </row>
    <row r="9" spans="1:15" x14ac:dyDescent="0.25">
      <c r="A9" s="123" t="s">
        <v>80</v>
      </c>
      <c r="B9" s="72">
        <f t="shared" si="0"/>
        <v>8</v>
      </c>
      <c r="C9" s="73">
        <v>8</v>
      </c>
      <c r="D9" s="72">
        <v>2021</v>
      </c>
      <c r="E9" s="71">
        <f>Submetering!E9+Submetering!F9+Submetering!G9+Submetering!H9+Submetering!I9+Submetering!J9+Submetering!K9</f>
        <v>31812</v>
      </c>
      <c r="F9" s="74">
        <v>0.2</v>
      </c>
      <c r="G9" s="71">
        <f>Submetering!P9</f>
        <v>387</v>
      </c>
      <c r="H9" s="74">
        <v>6.47</v>
      </c>
      <c r="I9" s="71">
        <f>Submetering!T9-Submetering!T9*15%-Submetering!X9</f>
        <v>54428.379340005471</v>
      </c>
      <c r="J9" s="70">
        <v>0.21</v>
      </c>
      <c r="K9" s="71">
        <f>Submetering!N9-Submetering!O9</f>
        <v>46.454999999993561</v>
      </c>
      <c r="L9" s="74">
        <v>7.84</v>
      </c>
      <c r="M9" s="71">
        <f>Submetering!Y9</f>
        <v>74</v>
      </c>
      <c r="N9" s="113">
        <f>Submetering!Z9</f>
        <v>121</v>
      </c>
      <c r="O9" s="1" t="s">
        <v>12</v>
      </c>
    </row>
    <row r="10" spans="1:15" x14ac:dyDescent="0.25">
      <c r="A10" s="123" t="s">
        <v>80</v>
      </c>
      <c r="B10" s="72">
        <f t="shared" si="0"/>
        <v>9</v>
      </c>
      <c r="C10" s="73">
        <v>8</v>
      </c>
      <c r="D10" s="72">
        <v>2021</v>
      </c>
      <c r="E10" s="71">
        <f>Submetering!E10+Submetering!F10+Submetering!G10+Submetering!H10+Submetering!I10+Submetering!J10+Submetering!K10</f>
        <v>32294</v>
      </c>
      <c r="F10" s="74">
        <v>0.2</v>
      </c>
      <c r="G10" s="71">
        <f>Submetering!P10</f>
        <v>415</v>
      </c>
      <c r="H10" s="74">
        <v>6.47</v>
      </c>
      <c r="I10" s="71">
        <f>Submetering!T10-Submetering!T10*15%-Submetering!X10</f>
        <v>61897.442559994524</v>
      </c>
      <c r="J10" s="70">
        <v>0.21</v>
      </c>
      <c r="K10" s="71">
        <f>Submetering!N10-Submetering!O10</f>
        <v>55.597000000003391</v>
      </c>
      <c r="L10" s="74">
        <v>7.84</v>
      </c>
      <c r="M10" s="71">
        <f>Submetering!Y10</f>
        <v>78</v>
      </c>
      <c r="N10" s="113">
        <f>Submetering!Z10</f>
        <v>124</v>
      </c>
    </row>
    <row r="11" spans="1:15" x14ac:dyDescent="0.25">
      <c r="A11" s="123" t="s">
        <v>80</v>
      </c>
      <c r="B11" s="72">
        <f t="shared" si="0"/>
        <v>10</v>
      </c>
      <c r="C11" s="73">
        <v>8</v>
      </c>
      <c r="D11" s="72">
        <v>2021</v>
      </c>
      <c r="E11" s="71">
        <f>Submetering!E11+Submetering!F11+Submetering!G11+Submetering!H11+Submetering!I11+Submetering!J11+Submetering!K11</f>
        <v>31573</v>
      </c>
      <c r="F11" s="74">
        <v>0.2</v>
      </c>
      <c r="G11" s="71">
        <f>Submetering!P11</f>
        <v>423</v>
      </c>
      <c r="H11" s="74">
        <v>6.47</v>
      </c>
      <c r="I11" s="71">
        <f>Submetering!T11-Submetering!T11*15%-Submetering!X11</f>
        <v>57971.889899998554</v>
      </c>
      <c r="J11" s="70">
        <v>0.21</v>
      </c>
      <c r="K11" s="71">
        <f>Submetering!N11-Submetering!O11</f>
        <v>16.352000000010776</v>
      </c>
      <c r="L11" s="74">
        <v>7.84</v>
      </c>
      <c r="M11" s="71">
        <f>Submetering!Y11</f>
        <v>87</v>
      </c>
      <c r="N11" s="113">
        <f>Submetering!Z11</f>
        <v>143</v>
      </c>
    </row>
    <row r="12" spans="1:15" x14ac:dyDescent="0.25">
      <c r="A12" s="123" t="s">
        <v>80</v>
      </c>
      <c r="B12" s="72">
        <f t="shared" si="0"/>
        <v>11</v>
      </c>
      <c r="C12" s="73">
        <v>8</v>
      </c>
      <c r="D12" s="72">
        <v>2021</v>
      </c>
      <c r="E12" s="71">
        <f>Submetering!E12+Submetering!F12+Submetering!G12+Submetering!H12+Submetering!I12+Submetering!J12+Submetering!K12</f>
        <v>32870</v>
      </c>
      <c r="F12" s="74">
        <v>0.2</v>
      </c>
      <c r="G12" s="71">
        <f>Submetering!P12</f>
        <v>395</v>
      </c>
      <c r="H12" s="74">
        <v>6.47</v>
      </c>
      <c r="I12" s="71">
        <f>Submetering!T12-Submetering!T12*15%-Submetering!X12</f>
        <v>58299.850200000001</v>
      </c>
      <c r="J12" s="70">
        <v>0.21</v>
      </c>
      <c r="K12" s="71">
        <f>Submetering!N12-Submetering!O12</f>
        <v>68.48499999998603</v>
      </c>
      <c r="L12" s="74">
        <v>7.84</v>
      </c>
      <c r="M12" s="71">
        <f>Submetering!Y12</f>
        <v>108</v>
      </c>
      <c r="N12" s="113">
        <f>Submetering!Z12</f>
        <v>191</v>
      </c>
    </row>
    <row r="13" spans="1:15" x14ac:dyDescent="0.25">
      <c r="A13" s="123" t="s">
        <v>80</v>
      </c>
      <c r="B13" s="72">
        <f t="shared" si="0"/>
        <v>12</v>
      </c>
      <c r="C13" s="73">
        <v>8</v>
      </c>
      <c r="D13" s="72">
        <v>2021</v>
      </c>
      <c r="E13" s="71">
        <f>Submetering!E13+Submetering!F13+Submetering!G13+Submetering!H13+Submetering!I13+Submetering!J13+Submetering!K13</f>
        <v>32552</v>
      </c>
      <c r="F13" s="74">
        <v>0.2</v>
      </c>
      <c r="G13" s="71">
        <f>Submetering!P13</f>
        <v>436</v>
      </c>
      <c r="H13" s="74">
        <v>6.47</v>
      </c>
      <c r="I13" s="71">
        <f>Submetering!T13-Submetering!T13*15%-Submetering!X13</f>
        <v>76058.861000005825</v>
      </c>
      <c r="J13" s="70">
        <v>0.21</v>
      </c>
      <c r="K13" s="71">
        <f>Submetering!N13-Submetering!O13</f>
        <v>76.118000000008578</v>
      </c>
      <c r="L13" s="74">
        <v>7.84</v>
      </c>
      <c r="M13" s="71">
        <f>Submetering!Y13</f>
        <v>110</v>
      </c>
      <c r="N13" s="113">
        <f>Submetering!Z13</f>
        <v>214</v>
      </c>
    </row>
    <row r="14" spans="1:15" x14ac:dyDescent="0.25">
      <c r="A14" s="123" t="s">
        <v>80</v>
      </c>
      <c r="B14" s="72">
        <f t="shared" si="0"/>
        <v>13</v>
      </c>
      <c r="C14" s="73">
        <v>8</v>
      </c>
      <c r="D14" s="72">
        <v>2021</v>
      </c>
      <c r="E14" s="71">
        <f>Submetering!E14+Submetering!F14+Submetering!G14+Submetering!H14+Submetering!I14+Submetering!J14+Submetering!K14</f>
        <v>31949</v>
      </c>
      <c r="F14" s="74">
        <v>0.2</v>
      </c>
      <c r="G14" s="71">
        <f>Submetering!P14</f>
        <v>464</v>
      </c>
      <c r="H14" s="74">
        <v>6.47</v>
      </c>
      <c r="I14" s="71">
        <f>Submetering!T14-Submetering!T14*15%-Submetering!X14</f>
        <v>72890.431599995631</v>
      </c>
      <c r="J14" s="70">
        <v>0.21</v>
      </c>
      <c r="K14" s="71">
        <f>Submetering!N14-Submetering!O14</f>
        <v>48.480000000000473</v>
      </c>
      <c r="L14" s="74">
        <v>7.84</v>
      </c>
      <c r="M14" s="71">
        <f>Submetering!Y14</f>
        <v>81</v>
      </c>
      <c r="N14" s="113">
        <f>Submetering!Z14</f>
        <v>161</v>
      </c>
    </row>
    <row r="15" spans="1:15" x14ac:dyDescent="0.25">
      <c r="A15" s="123" t="s">
        <v>80</v>
      </c>
      <c r="B15" s="72">
        <f t="shared" si="0"/>
        <v>14</v>
      </c>
      <c r="C15" s="73">
        <v>8</v>
      </c>
      <c r="D15" s="72">
        <v>2021</v>
      </c>
      <c r="E15" s="71">
        <f>Submetering!E15+Submetering!F15+Submetering!G15+Submetering!H15+Submetering!I15+Submetering!J15+Submetering!K15</f>
        <v>31805</v>
      </c>
      <c r="F15" s="74">
        <v>0.2</v>
      </c>
      <c r="G15" s="71">
        <f>Submetering!P15</f>
        <v>397</v>
      </c>
      <c r="H15" s="74">
        <v>6.47</v>
      </c>
      <c r="I15" s="71">
        <f>Submetering!T15-Submetering!T15*15%-Submetering!X15</f>
        <v>73257.598000001453</v>
      </c>
      <c r="J15" s="70">
        <v>0.21</v>
      </c>
      <c r="K15" s="81">
        <f>Submetering!N15-Submetering!O15</f>
        <v>47.405999999996311</v>
      </c>
      <c r="L15" s="74">
        <v>7.84</v>
      </c>
      <c r="M15" s="71">
        <f>Submetering!Y15</f>
        <v>49</v>
      </c>
      <c r="N15" s="113">
        <f>Submetering!Z15</f>
        <v>81</v>
      </c>
    </row>
    <row r="16" spans="1:15" x14ac:dyDescent="0.25">
      <c r="A16" s="123" t="s">
        <v>80</v>
      </c>
      <c r="B16" s="72">
        <f t="shared" si="0"/>
        <v>15</v>
      </c>
      <c r="C16" s="73">
        <v>8</v>
      </c>
      <c r="D16" s="72">
        <v>2021</v>
      </c>
      <c r="E16" s="71">
        <f>Submetering!E16+Submetering!F16+Submetering!G16+Submetering!H16+Submetering!I16+Submetering!J16+Submetering!K16</f>
        <v>32211</v>
      </c>
      <c r="F16" s="74">
        <v>0.2</v>
      </c>
      <c r="G16" s="71">
        <f>Submetering!P16</f>
        <v>395</v>
      </c>
      <c r="H16" s="74">
        <v>6.47</v>
      </c>
      <c r="I16" s="71">
        <f>Submetering!T16-Submetering!T16*15%-Submetering!X16</f>
        <v>74921.539600000004</v>
      </c>
      <c r="J16" s="70">
        <v>0.21</v>
      </c>
      <c r="K16" s="71">
        <f>Submetering!N16-Submetering!O16</f>
        <v>55.840000000001055</v>
      </c>
      <c r="L16" s="74">
        <v>7.84</v>
      </c>
      <c r="M16" s="71">
        <f>Submetering!Y16</f>
        <v>84</v>
      </c>
      <c r="N16" s="113">
        <f>Submetering!Z16</f>
        <v>147</v>
      </c>
    </row>
    <row r="17" spans="1:14" x14ac:dyDescent="0.25">
      <c r="A17" s="123" t="s">
        <v>80</v>
      </c>
      <c r="B17" s="72">
        <f t="shared" si="0"/>
        <v>16</v>
      </c>
      <c r="C17" s="73">
        <v>8</v>
      </c>
      <c r="D17" s="72">
        <v>2021</v>
      </c>
      <c r="E17" s="71">
        <f>Submetering!E17+Submetering!F17+Submetering!G17+Submetering!H17+Submetering!I17+Submetering!J17+Submetering!K17</f>
        <v>33967</v>
      </c>
      <c r="F17" s="74">
        <v>0.2</v>
      </c>
      <c r="G17" s="71">
        <f>Submetering!P17</f>
        <v>411</v>
      </c>
      <c r="H17" s="74">
        <v>6.47</v>
      </c>
      <c r="I17" s="71">
        <f>Submetering!T17-Submetering!T17*15%-Submetering!X17</f>
        <v>78431.768400001456</v>
      </c>
      <c r="J17" s="70">
        <v>0.21</v>
      </c>
      <c r="K17" s="71">
        <f>Submetering!N17-Submetering!O17</f>
        <v>40.469999999997526</v>
      </c>
      <c r="L17" s="74">
        <v>7.84</v>
      </c>
      <c r="M17" s="71">
        <f>Submetering!Y17</f>
        <v>91</v>
      </c>
      <c r="N17" s="113">
        <f>Submetering!Z17</f>
        <v>159</v>
      </c>
    </row>
    <row r="18" spans="1:14" x14ac:dyDescent="0.25">
      <c r="A18" s="123" t="s">
        <v>80</v>
      </c>
      <c r="B18" s="72">
        <f t="shared" si="0"/>
        <v>17</v>
      </c>
      <c r="C18" s="73">
        <v>8</v>
      </c>
      <c r="D18" s="72">
        <v>2021</v>
      </c>
      <c r="E18" s="71">
        <f>Submetering!E18+Submetering!F18+Submetering!G18+Submetering!H18+Submetering!I18+Submetering!J18+Submetering!K18</f>
        <v>34453</v>
      </c>
      <c r="F18" s="74">
        <v>0.2</v>
      </c>
      <c r="G18" s="71">
        <f>Submetering!P18</f>
        <v>429</v>
      </c>
      <c r="H18" s="74">
        <v>6.47</v>
      </c>
      <c r="I18" s="71">
        <f>Submetering!T18-Submetering!T18*15%-Submetering!X18</f>
        <v>77618.396799995637</v>
      </c>
      <c r="J18" s="70">
        <v>0.21</v>
      </c>
      <c r="K18" s="71">
        <f>Submetering!N18-Submetering!O18</f>
        <v>48.445000000003347</v>
      </c>
      <c r="L18" s="74">
        <v>7.84</v>
      </c>
      <c r="M18" s="71">
        <f>Submetering!Y18</f>
        <v>78</v>
      </c>
      <c r="N18" s="113">
        <f>Submetering!Z18</f>
        <v>119</v>
      </c>
    </row>
    <row r="19" spans="1:14" x14ac:dyDescent="0.25">
      <c r="A19" s="123" t="s">
        <v>80</v>
      </c>
      <c r="B19" s="72">
        <f t="shared" si="0"/>
        <v>18</v>
      </c>
      <c r="C19" s="73">
        <v>8</v>
      </c>
      <c r="D19" s="72">
        <v>2021</v>
      </c>
      <c r="E19" s="71">
        <f>Submetering!E19+Submetering!F19+Submetering!G19+Submetering!H19+Submetering!I19+Submetering!J19+Submetering!K19</f>
        <v>34141</v>
      </c>
      <c r="F19" s="74">
        <v>0.2</v>
      </c>
      <c r="G19" s="71">
        <f>Submetering!P19</f>
        <v>414</v>
      </c>
      <c r="H19" s="74">
        <v>6.47</v>
      </c>
      <c r="I19" s="71">
        <f>Submetering!T19-Submetering!T19*15%-Submetering!X19</f>
        <v>69620.194600001458</v>
      </c>
      <c r="J19" s="70">
        <v>0.21</v>
      </c>
      <c r="K19" s="71">
        <f>Submetering!N19-Submetering!O19</f>
        <v>39.936000000004242</v>
      </c>
      <c r="L19" s="74">
        <v>7.84</v>
      </c>
      <c r="M19" s="71">
        <f>Submetering!Y19</f>
        <v>82</v>
      </c>
      <c r="N19" s="113">
        <f>Submetering!Z19</f>
        <v>127</v>
      </c>
    </row>
    <row r="20" spans="1:14" x14ac:dyDescent="0.25">
      <c r="A20" s="123" t="s">
        <v>80</v>
      </c>
      <c r="B20" s="72">
        <f t="shared" si="0"/>
        <v>19</v>
      </c>
      <c r="C20" s="73">
        <v>8</v>
      </c>
      <c r="D20" s="72">
        <v>2021</v>
      </c>
      <c r="E20" s="71">
        <f>Submetering!E20+Submetering!F20+Submetering!G20+Submetering!H20+Submetering!I20+Submetering!J20+Submetering!K20</f>
        <v>34030</v>
      </c>
      <c r="F20" s="74">
        <v>0.2</v>
      </c>
      <c r="G20" s="71">
        <f>Submetering!P20</f>
        <v>464</v>
      </c>
      <c r="H20" s="74">
        <v>6.47</v>
      </c>
      <c r="I20" s="71">
        <f>Submetering!T20-Submetering!T20*15%-Submetering!X20</f>
        <v>62918.100000002916</v>
      </c>
      <c r="J20" s="70">
        <v>0.21</v>
      </c>
      <c r="K20" s="71">
        <f>Submetering!N20-Submetering!O20</f>
        <v>63.961999999984982</v>
      </c>
      <c r="L20" s="74">
        <v>7.84</v>
      </c>
      <c r="M20" s="71">
        <f>Submetering!Y20</f>
        <v>52</v>
      </c>
      <c r="N20" s="113">
        <f>Submetering!Z20</f>
        <v>75</v>
      </c>
    </row>
    <row r="21" spans="1:14" x14ac:dyDescent="0.25">
      <c r="A21" s="123" t="s">
        <v>80</v>
      </c>
      <c r="B21" s="72">
        <f t="shared" si="0"/>
        <v>20</v>
      </c>
      <c r="C21" s="73">
        <v>8</v>
      </c>
      <c r="D21" s="72">
        <v>2021</v>
      </c>
      <c r="E21" s="71">
        <f>Submetering!E21+Submetering!F21+Submetering!G21+Submetering!H21+Submetering!I21+Submetering!J21+Submetering!K21</f>
        <v>33388</v>
      </c>
      <c r="F21" s="74">
        <v>0.2</v>
      </c>
      <c r="G21" s="71">
        <f>Submetering!P21</f>
        <v>494</v>
      </c>
      <c r="H21" s="74">
        <v>6.47</v>
      </c>
      <c r="I21" s="71">
        <f>Submetering!T21-Submetering!T21*15%-Submetering!X21</f>
        <v>56161.070600001462</v>
      </c>
      <c r="J21" s="70">
        <v>0.21</v>
      </c>
      <c r="K21" s="71">
        <f>Submetering!N21-Submetering!O21</f>
        <v>44.529000000010456</v>
      </c>
      <c r="L21" s="74">
        <v>7.84</v>
      </c>
      <c r="M21" s="71">
        <f>Submetering!Y21</f>
        <v>45</v>
      </c>
      <c r="N21" s="113">
        <f>Submetering!Z21</f>
        <v>72</v>
      </c>
    </row>
    <row r="22" spans="1:14" x14ac:dyDescent="0.25">
      <c r="A22" s="123" t="s">
        <v>80</v>
      </c>
      <c r="B22" s="72">
        <f t="shared" si="0"/>
        <v>21</v>
      </c>
      <c r="C22" s="73">
        <v>8</v>
      </c>
      <c r="D22" s="72">
        <v>2021</v>
      </c>
      <c r="E22" s="71">
        <f>Submetering!E22+Submetering!F22+Submetering!G22+Submetering!H22+Submetering!I22+Submetering!J22+Submetering!K22</f>
        <v>33277</v>
      </c>
      <c r="F22" s="74">
        <v>0.2</v>
      </c>
      <c r="G22" s="71">
        <f>Submetering!P22</f>
        <v>420</v>
      </c>
      <c r="H22" s="74">
        <v>6.47</v>
      </c>
      <c r="I22" s="71">
        <f>Submetering!T22-Submetering!T22*15%-Submetering!X22</f>
        <v>55443.179999994187</v>
      </c>
      <c r="J22" s="70">
        <v>0.21</v>
      </c>
      <c r="K22" s="71">
        <f>Submetering!N22-Submetering!O22</f>
        <v>62.064999999996871</v>
      </c>
      <c r="L22" s="74">
        <v>7.84</v>
      </c>
      <c r="M22" s="71">
        <f>Submetering!Y22</f>
        <v>38</v>
      </c>
      <c r="N22" s="113">
        <f>Submetering!Z22</f>
        <v>60</v>
      </c>
    </row>
    <row r="23" spans="1:14" x14ac:dyDescent="0.25">
      <c r="A23" s="123" t="s">
        <v>80</v>
      </c>
      <c r="B23" s="72">
        <f t="shared" si="0"/>
        <v>22</v>
      </c>
      <c r="C23" s="73">
        <v>8</v>
      </c>
      <c r="D23" s="72">
        <v>2021</v>
      </c>
      <c r="E23" s="71">
        <f>Submetering!E23+Submetering!F23+Submetering!G23+Submetering!H23+Submetering!I23+Submetering!J23+Submetering!K23</f>
        <v>33150</v>
      </c>
      <c r="F23" s="74">
        <v>0.2</v>
      </c>
      <c r="G23" s="71">
        <f>Submetering!P23</f>
        <v>428</v>
      </c>
      <c r="H23" s="74">
        <v>6.47</v>
      </c>
      <c r="I23" s="71">
        <f>Submetering!T23-Submetering!T23*15%-Submetering!X23</f>
        <v>62556.992800005828</v>
      </c>
      <c r="J23" s="70">
        <v>0.21</v>
      </c>
      <c r="K23" s="71">
        <f>Submetering!N23-Submetering!O23</f>
        <v>37.420999999997548</v>
      </c>
      <c r="L23" s="74">
        <v>7.84</v>
      </c>
      <c r="M23" s="71">
        <f>Submetering!Y23</f>
        <v>64</v>
      </c>
      <c r="N23" s="113">
        <f>Submetering!Z23</f>
        <v>102</v>
      </c>
    </row>
    <row r="24" spans="1:14" x14ac:dyDescent="0.25">
      <c r="A24" s="123" t="s">
        <v>80</v>
      </c>
      <c r="B24" s="72">
        <f t="shared" si="0"/>
        <v>23</v>
      </c>
      <c r="C24" s="73">
        <v>8</v>
      </c>
      <c r="D24" s="72">
        <v>2021</v>
      </c>
      <c r="E24" s="71">
        <f>Submetering!E24+Submetering!F24+Submetering!G24+Submetering!H24+Submetering!I24+Submetering!J24+Submetering!K24</f>
        <v>32776</v>
      </c>
      <c r="F24" s="74">
        <v>0.2</v>
      </c>
      <c r="G24" s="71">
        <f>Submetering!P24</f>
        <v>428</v>
      </c>
      <c r="H24" s="74">
        <v>6.47</v>
      </c>
      <c r="I24" s="71">
        <f>Submetering!T24-Submetering!T24*15%-Submetering!X24</f>
        <v>70873.598999994181</v>
      </c>
      <c r="J24" s="70">
        <v>0.21</v>
      </c>
      <c r="K24" s="71">
        <f>Submetering!N24-Submetering!O24</f>
        <v>29.632000000005064</v>
      </c>
      <c r="L24" s="74">
        <v>7.84</v>
      </c>
      <c r="M24" s="71">
        <f>Submetering!Y24</f>
        <v>69</v>
      </c>
      <c r="N24" s="113">
        <f>Submetering!Z24</f>
        <v>105</v>
      </c>
    </row>
    <row r="25" spans="1:14" x14ac:dyDescent="0.25">
      <c r="A25" s="123" t="s">
        <v>80</v>
      </c>
      <c r="B25" s="72">
        <f t="shared" si="0"/>
        <v>24</v>
      </c>
      <c r="C25" s="73">
        <v>8</v>
      </c>
      <c r="D25" s="72">
        <v>2021</v>
      </c>
      <c r="E25" s="71">
        <f>Submetering!E25+Submetering!F25+Submetering!G25+Submetering!H25+Submetering!I25+Submetering!J25+Submetering!K25</f>
        <v>32717</v>
      </c>
      <c r="F25" s="74">
        <v>0.2</v>
      </c>
      <c r="G25" s="71">
        <f>Submetering!P25</f>
        <v>431</v>
      </c>
      <c r="H25" s="74">
        <v>6.47</v>
      </c>
      <c r="I25" s="71">
        <f>Submetering!T25-Submetering!T25*15%-Submetering!X25</f>
        <v>59112.903600001446</v>
      </c>
      <c r="J25" s="70">
        <v>0.21</v>
      </c>
      <c r="K25" s="71">
        <f>Submetering!N25-Submetering!O25</f>
        <v>63.059000000010201</v>
      </c>
      <c r="L25" s="74">
        <v>7.84</v>
      </c>
      <c r="M25" s="71">
        <f>Submetering!Y25</f>
        <v>75</v>
      </c>
      <c r="N25" s="113">
        <f>Submetering!Z25</f>
        <v>113</v>
      </c>
    </row>
    <row r="26" spans="1:14" x14ac:dyDescent="0.25">
      <c r="A26" s="123" t="s">
        <v>80</v>
      </c>
      <c r="B26" s="72">
        <f>B25+1</f>
        <v>25</v>
      </c>
      <c r="C26" s="73">
        <v>8</v>
      </c>
      <c r="D26" s="72">
        <v>2021</v>
      </c>
      <c r="E26" s="71">
        <f>Submetering!E26+Submetering!F26+Submetering!G26+Submetering!H26+Submetering!I26+Submetering!J26+Submetering!K26</f>
        <v>33556</v>
      </c>
      <c r="F26" s="74">
        <v>0.2</v>
      </c>
      <c r="G26" s="71">
        <f>Submetering!P26</f>
        <v>440</v>
      </c>
      <c r="H26" s="74">
        <v>6.47</v>
      </c>
      <c r="I26" s="71">
        <f>Submetering!T26-Submetering!T26*15%-Submetering!X26</f>
        <v>61519.671399998551</v>
      </c>
      <c r="J26" s="70">
        <v>0.21</v>
      </c>
      <c r="K26" s="71">
        <f>Submetering!N26-Submetering!O26</f>
        <v>39.692999999999302</v>
      </c>
      <c r="L26" s="74">
        <v>7.84</v>
      </c>
      <c r="M26" s="71">
        <f>Submetering!Y26</f>
        <v>65</v>
      </c>
      <c r="N26" s="113">
        <f>Submetering!Z26</f>
        <v>93</v>
      </c>
    </row>
    <row r="27" spans="1:14" x14ac:dyDescent="0.25">
      <c r="A27" s="123" t="s">
        <v>80</v>
      </c>
      <c r="B27" s="72">
        <f t="shared" si="0"/>
        <v>26</v>
      </c>
      <c r="C27" s="73">
        <v>8</v>
      </c>
      <c r="D27" s="72">
        <v>2021</v>
      </c>
      <c r="E27" s="71">
        <f>Submetering!E27+Submetering!F27+Submetering!G27+Submetering!H27+Submetering!I27+Submetering!J27+Submetering!K27</f>
        <v>33610</v>
      </c>
      <c r="F27" s="74">
        <v>0.2</v>
      </c>
      <c r="G27" s="71">
        <f>Submetering!P27</f>
        <v>436</v>
      </c>
      <c r="H27" s="74">
        <v>6.47</v>
      </c>
      <c r="I27" s="71">
        <f>Submetering!T27-Submetering!T27*15%-Submetering!X27</f>
        <v>75399.243200001452</v>
      </c>
      <c r="J27" s="70">
        <v>0.21</v>
      </c>
      <c r="K27" s="71">
        <f>Submetering!N27-Submetering!O27</f>
        <v>58.170999999990272</v>
      </c>
      <c r="L27" s="74">
        <v>7.84</v>
      </c>
      <c r="M27" s="71">
        <f>Submetering!Y27</f>
        <v>53</v>
      </c>
      <c r="N27" s="113">
        <f>Submetering!Z27</f>
        <v>95</v>
      </c>
    </row>
    <row r="28" spans="1:14" x14ac:dyDescent="0.25">
      <c r="A28" s="123" t="s">
        <v>80</v>
      </c>
      <c r="B28" s="72">
        <f t="shared" si="0"/>
        <v>27</v>
      </c>
      <c r="C28" s="73">
        <v>8</v>
      </c>
      <c r="D28" s="72">
        <v>2021</v>
      </c>
      <c r="E28" s="71">
        <f>Submetering!E28+Submetering!F28+Submetering!G28+Submetering!H28+Submetering!I28+Submetering!J28+Submetering!K28</f>
        <v>33160</v>
      </c>
      <c r="F28" s="74">
        <v>0.2</v>
      </c>
      <c r="G28" s="71">
        <f>Submetering!P28</f>
        <v>484</v>
      </c>
      <c r="H28" s="74">
        <v>6.47</v>
      </c>
      <c r="I28" s="71">
        <f>Submetering!T28-Submetering!T28*15%-Submetering!X28</f>
        <v>65483.931200004357</v>
      </c>
      <c r="J28" s="70">
        <v>0.21</v>
      </c>
      <c r="K28" s="71">
        <f>Submetering!N28-Submetering!O28</f>
        <v>51.337000000008629</v>
      </c>
      <c r="L28" s="74">
        <v>7.84</v>
      </c>
      <c r="M28" s="71">
        <f>Submetering!Y28</f>
        <v>58</v>
      </c>
      <c r="N28" s="113">
        <f>Submetering!Z28</f>
        <v>106</v>
      </c>
    </row>
    <row r="29" spans="1:14" x14ac:dyDescent="0.25">
      <c r="A29" s="123" t="s">
        <v>80</v>
      </c>
      <c r="B29" s="72">
        <f t="shared" si="0"/>
        <v>28</v>
      </c>
      <c r="C29" s="73">
        <v>8</v>
      </c>
      <c r="D29" s="72">
        <v>2021</v>
      </c>
      <c r="E29" s="71">
        <f>Submetering!E29+Submetering!F29+Submetering!G29+Submetering!H29+Submetering!I29+Submetering!J29+Submetering!K29</f>
        <v>32375</v>
      </c>
      <c r="F29" s="74">
        <v>0.2</v>
      </c>
      <c r="G29" s="71">
        <f>Submetering!P29</f>
        <v>440</v>
      </c>
      <c r="H29" s="74">
        <v>6.47</v>
      </c>
      <c r="I29" s="71">
        <f>Submetering!T29-Submetering!T29*15%-Submetering!X29</f>
        <v>62662.22039999855</v>
      </c>
      <c r="J29" s="70">
        <v>0.21</v>
      </c>
      <c r="K29" s="71">
        <f>Submetering!N29-Submetering!O29</f>
        <v>45.399999999984175</v>
      </c>
      <c r="L29" s="74">
        <v>7.84</v>
      </c>
      <c r="M29" s="71">
        <f>Submetering!Y29</f>
        <v>35</v>
      </c>
      <c r="N29" s="113">
        <f>Submetering!Z29</f>
        <v>57</v>
      </c>
    </row>
    <row r="30" spans="1:14" x14ac:dyDescent="0.25">
      <c r="A30" s="123" t="s">
        <v>80</v>
      </c>
      <c r="B30" s="72">
        <f t="shared" si="0"/>
        <v>29</v>
      </c>
      <c r="C30" s="73">
        <v>8</v>
      </c>
      <c r="D30" s="72">
        <v>2021</v>
      </c>
      <c r="E30" s="71">
        <f>Submetering!E30+Submetering!F30+Submetering!G30+Submetering!H30+Submetering!I30+Submetering!J30+Submetering!K30</f>
        <v>32361</v>
      </c>
      <c r="F30" s="74">
        <v>0.2</v>
      </c>
      <c r="G30" s="71">
        <f>Submetering!P30</f>
        <v>416</v>
      </c>
      <c r="H30" s="74">
        <v>6.47</v>
      </c>
      <c r="I30" s="71">
        <f>Submetering!T30-Submetering!T30*15%-Submetering!X30</f>
        <v>62006.063600000009</v>
      </c>
      <c r="J30" s="70">
        <v>0.21</v>
      </c>
      <c r="K30" s="71">
        <f>Submetering!N30-Submetering!O30</f>
        <v>28.889000000008309</v>
      </c>
      <c r="L30" s="74">
        <v>7.84</v>
      </c>
      <c r="M30" s="71">
        <f>Submetering!Y30</f>
        <v>50</v>
      </c>
      <c r="N30" s="113">
        <f>Submetering!Z30</f>
        <v>74</v>
      </c>
    </row>
    <row r="31" spans="1:14" x14ac:dyDescent="0.25">
      <c r="A31" s="143" t="s">
        <v>80</v>
      </c>
      <c r="B31" s="144">
        <f t="shared" si="0"/>
        <v>30</v>
      </c>
      <c r="C31" s="73">
        <v>8</v>
      </c>
      <c r="D31" s="72">
        <v>2021</v>
      </c>
      <c r="E31" s="141">
        <f>Submetering!E31+Submetering!F31+Submetering!G31+Submetering!H31+Submetering!I31+Submetering!J31+Submetering!K31</f>
        <v>32785</v>
      </c>
      <c r="F31" s="145">
        <v>0.2</v>
      </c>
      <c r="G31" s="141">
        <f>Submetering!P31</f>
        <v>428</v>
      </c>
      <c r="H31" s="145">
        <v>6.47</v>
      </c>
      <c r="I31" s="141">
        <f>Submetering!T31-Submetering!T31*15%-Submetering!X31</f>
        <v>52652.372199999998</v>
      </c>
      <c r="J31" s="140">
        <v>0.21</v>
      </c>
      <c r="K31" s="141">
        <f>Submetering!N31-Submetering!O31</f>
        <v>39.682000000006155</v>
      </c>
      <c r="L31" s="145">
        <v>7.84</v>
      </c>
      <c r="M31" s="141">
        <f>Submetering!Y31</f>
        <v>47</v>
      </c>
      <c r="N31" s="142">
        <f>Submetering!Z31</f>
        <v>77</v>
      </c>
    </row>
    <row r="32" spans="1:14" ht="15.75" thickBot="1" x14ac:dyDescent="0.3">
      <c r="A32" s="124" t="s">
        <v>80</v>
      </c>
      <c r="B32" s="125">
        <f t="shared" si="0"/>
        <v>31</v>
      </c>
      <c r="C32" s="126">
        <v>8</v>
      </c>
      <c r="D32" s="125">
        <v>2021</v>
      </c>
      <c r="E32" s="117">
        <f>Submetering!E32+Submetering!F32+Submetering!G32+Submetering!H32+Submetering!I32+Submetering!J32+Submetering!K32</f>
        <v>32091</v>
      </c>
      <c r="F32" s="127">
        <v>0.2</v>
      </c>
      <c r="G32" s="117">
        <f>Submetering!P32</f>
        <v>431</v>
      </c>
      <c r="H32" s="127">
        <v>6.47</v>
      </c>
      <c r="I32" s="117">
        <f>Submetering!T32-Submetering!T32*15%-Submetering!X32</f>
        <v>54689.970799999996</v>
      </c>
      <c r="J32" s="116">
        <v>0.21</v>
      </c>
      <c r="K32" s="117">
        <f>Submetering!N32-Submetering!O32</f>
        <v>38.213999999982661</v>
      </c>
      <c r="L32" s="127">
        <v>7.84</v>
      </c>
      <c r="M32" s="117">
        <f>Submetering!Y32</f>
        <v>57</v>
      </c>
      <c r="N32" s="118">
        <f>Submetering!Z32</f>
        <v>81</v>
      </c>
    </row>
    <row r="33" spans="9:14" x14ac:dyDescent="0.25">
      <c r="I33" s="4">
        <f>SUM(I2:I32)</f>
        <v>2004840.5500999999</v>
      </c>
      <c r="M33" s="4">
        <f>SUM(M2:M32)</f>
        <v>2094</v>
      </c>
      <c r="N33" s="4">
        <f>SUM(N2:N32)</f>
        <v>3427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tabSelected="1" workbookViewId="0">
      <pane xSplit="2" ySplit="1" topLeftCell="L2" activePane="bottomRight" state="frozen"/>
      <selection pane="topRight" activeCell="C1" sqref="C1"/>
      <selection pane="bottomLeft" activeCell="A2" sqref="A2"/>
      <selection pane="bottomRight" activeCell="T3" sqref="T3"/>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1" t="s">
        <v>0</v>
      </c>
      <c r="B1" s="102" t="s">
        <v>1</v>
      </c>
      <c r="C1" s="103" t="s">
        <v>2</v>
      </c>
      <c r="D1" s="102" t="s">
        <v>3</v>
      </c>
      <c r="E1" s="104" t="s">
        <v>64</v>
      </c>
      <c r="F1" s="104" t="s">
        <v>81</v>
      </c>
      <c r="G1" s="104" t="s">
        <v>84</v>
      </c>
      <c r="H1" s="104" t="s">
        <v>65</v>
      </c>
      <c r="I1" s="104" t="s">
        <v>66</v>
      </c>
      <c r="J1" s="104" t="s">
        <v>67</v>
      </c>
      <c r="K1" s="104" t="s">
        <v>68</v>
      </c>
      <c r="L1" s="105" t="s">
        <v>69</v>
      </c>
      <c r="M1" s="105" t="s">
        <v>70</v>
      </c>
      <c r="N1" s="105" t="s">
        <v>71</v>
      </c>
      <c r="O1" s="105" t="s">
        <v>72</v>
      </c>
      <c r="P1" s="105" t="s">
        <v>73</v>
      </c>
      <c r="Q1" s="105" t="s">
        <v>74</v>
      </c>
      <c r="R1" s="105" t="s">
        <v>75</v>
      </c>
      <c r="S1" s="105" t="s">
        <v>91</v>
      </c>
      <c r="T1" s="105" t="s">
        <v>86</v>
      </c>
      <c r="U1" s="105" t="s">
        <v>87</v>
      </c>
      <c r="V1" s="105" t="s">
        <v>88</v>
      </c>
      <c r="W1" s="105" t="s">
        <v>89</v>
      </c>
      <c r="X1" s="105" t="s">
        <v>90</v>
      </c>
      <c r="Y1" s="106" t="s">
        <v>8</v>
      </c>
      <c r="Z1" s="105" t="s">
        <v>9</v>
      </c>
    </row>
    <row r="2" spans="1:26" x14ac:dyDescent="0.25">
      <c r="A2" s="107" t="s">
        <v>80</v>
      </c>
      <c r="B2" s="108">
        <v>1</v>
      </c>
      <c r="C2" s="109">
        <v>8</v>
      </c>
      <c r="D2" s="108">
        <v>2021</v>
      </c>
      <c r="E2" s="110">
        <f>'FS-AD Daily '!B6</f>
        <v>4759</v>
      </c>
      <c r="F2" s="110">
        <f>'FS-AD Daily '!C6</f>
        <v>4160</v>
      </c>
      <c r="G2" s="110">
        <f>'FS-AD Daily '!D6</f>
        <v>760</v>
      </c>
      <c r="H2" s="110">
        <f>'FS-AD Daily '!E6</f>
        <v>5895</v>
      </c>
      <c r="I2" s="110">
        <f>'FS-AD Daily '!F6</f>
        <v>5915</v>
      </c>
      <c r="J2" s="110">
        <f>'FS-AD Daily '!G6</f>
        <v>3154</v>
      </c>
      <c r="K2" s="110">
        <f>'FS-AD Daily '!H6</f>
        <v>8235</v>
      </c>
      <c r="L2" s="110">
        <f>'FS-AD Daily '!I6</f>
        <v>2421</v>
      </c>
      <c r="M2" s="110">
        <f>'FS-AD Daily '!J6</f>
        <v>6833</v>
      </c>
      <c r="N2" s="110">
        <f>'FS-AD Daily '!T6</f>
        <v>166.78600000000733</v>
      </c>
      <c r="O2" s="110">
        <f>'FS-AD Daily '!R6</f>
        <v>69.801000000005843</v>
      </c>
      <c r="P2" s="110">
        <f>'FS-AD Daily '!Z6</f>
        <v>425</v>
      </c>
      <c r="Q2" s="110">
        <f>'FS-AD Daily '!V6</f>
        <v>177.20000000001164</v>
      </c>
      <c r="R2" s="110">
        <f>'FS-AD Daily '!W6</f>
        <v>0</v>
      </c>
      <c r="S2" s="110">
        <f>P2-Q2-R2</f>
        <v>247.79999999998836</v>
      </c>
      <c r="T2" s="110">
        <f>'FS-AD Daily '!AD6*3.516</f>
        <v>115168.338</v>
      </c>
      <c r="U2" s="110">
        <f>('FS-AD Daily '!AF6)*1000</f>
        <v>52699.99999999709</v>
      </c>
      <c r="V2" s="110">
        <f>('FS-AD Daily '!AG6)*1000</f>
        <v>39800.00000000291</v>
      </c>
      <c r="W2" s="110">
        <f>'FS-AD Daily '!AH6*1000</f>
        <v>16900.000000001455</v>
      </c>
      <c r="X2" s="110">
        <f>('FS-AD Daily '!AK6)*1000</f>
        <v>35500</v>
      </c>
      <c r="Y2" s="110">
        <v>74</v>
      </c>
      <c r="Z2" s="111">
        <v>114</v>
      </c>
    </row>
    <row r="3" spans="1:26" x14ac:dyDescent="0.25">
      <c r="A3" s="112" t="s">
        <v>80</v>
      </c>
      <c r="B3" s="69">
        <f>B2+1</f>
        <v>2</v>
      </c>
      <c r="C3" s="70">
        <v>8</v>
      </c>
      <c r="D3" s="69">
        <v>2021</v>
      </c>
      <c r="E3" s="71">
        <f>'FS-AD Daily '!B7</f>
        <v>5245</v>
      </c>
      <c r="F3" s="71">
        <f>'FS-AD Daily '!C7</f>
        <v>4093</v>
      </c>
      <c r="G3" s="71">
        <f>'FS-AD Daily '!D7</f>
        <v>748</v>
      </c>
      <c r="H3" s="71">
        <f>'FS-AD Daily '!E7</f>
        <v>5753</v>
      </c>
      <c r="I3" s="71">
        <f>'FS-AD Daily '!F7</f>
        <v>5924</v>
      </c>
      <c r="J3" s="71">
        <f>'FS-AD Daily '!G7</f>
        <v>3069</v>
      </c>
      <c r="K3" s="71">
        <f>'FS-AD Daily '!H7</f>
        <v>8099</v>
      </c>
      <c r="L3" s="71">
        <f>'FS-AD Daily '!I7</f>
        <v>2360</v>
      </c>
      <c r="M3" s="71">
        <f>'FS-AD Daily '!J7</f>
        <v>6891</v>
      </c>
      <c r="N3" s="71">
        <f>'FS-AD Daily '!T7</f>
        <v>136.94499999999607</v>
      </c>
      <c r="O3" s="71">
        <f>'FS-AD Daily '!R7</f>
        <v>69.227999999990971</v>
      </c>
      <c r="P3" s="71">
        <f>'FS-AD Daily '!Z7</f>
        <v>438</v>
      </c>
      <c r="Q3" s="71">
        <f>'FS-AD Daily '!V7</f>
        <v>170.39999999996508</v>
      </c>
      <c r="R3" s="71">
        <f>'FS-AD Daily '!W7</f>
        <v>0</v>
      </c>
      <c r="S3" s="71">
        <f t="shared" ref="S3:S31" si="0">P3-Q3-R3</f>
        <v>267.60000000003492</v>
      </c>
      <c r="T3" s="71">
        <f>'FS-AD Daily '!AD7*3.516</f>
        <v>100652.53200000001</v>
      </c>
      <c r="U3" s="71">
        <f>('FS-AD Daily '!AF7)*1000</f>
        <v>45199.99999999709</v>
      </c>
      <c r="V3" s="71">
        <f>('FS-AD Daily '!AG7)*1000</f>
        <v>35800.00000000291</v>
      </c>
      <c r="W3" s="71">
        <f>'FS-AD Daily '!AH7*1000</f>
        <v>16500</v>
      </c>
      <c r="X3" s="71">
        <f>('FS-AD Daily '!AK7)*1000</f>
        <v>33300.00000000291</v>
      </c>
      <c r="Y3" s="71">
        <v>78</v>
      </c>
      <c r="Z3" s="113">
        <v>113</v>
      </c>
    </row>
    <row r="4" spans="1:26" x14ac:dyDescent="0.25">
      <c r="A4" s="112" t="s">
        <v>80</v>
      </c>
      <c r="B4" s="69">
        <f t="shared" ref="B4:B32" si="1">B3+1</f>
        <v>3</v>
      </c>
      <c r="C4" s="70">
        <v>8</v>
      </c>
      <c r="D4" s="69">
        <v>2021</v>
      </c>
      <c r="E4" s="71">
        <f>'FS-AD Daily '!B8</f>
        <v>5174</v>
      </c>
      <c r="F4" s="71">
        <f>'FS-AD Daily '!C8</f>
        <v>4132</v>
      </c>
      <c r="G4" s="71">
        <f>'FS-AD Daily '!D8</f>
        <v>697</v>
      </c>
      <c r="H4" s="71">
        <f>'FS-AD Daily '!E8</f>
        <v>5711</v>
      </c>
      <c r="I4" s="71">
        <f>'FS-AD Daily '!F8</f>
        <v>5922</v>
      </c>
      <c r="J4" s="71">
        <f>'FS-AD Daily '!G8</f>
        <v>3139</v>
      </c>
      <c r="K4" s="71">
        <f>'FS-AD Daily '!H8</f>
        <v>8194</v>
      </c>
      <c r="L4" s="71">
        <f>'FS-AD Daily '!I8</f>
        <v>2388</v>
      </c>
      <c r="M4" s="71">
        <f>'FS-AD Daily '!J8</f>
        <v>6789</v>
      </c>
      <c r="N4" s="71">
        <f>'FS-AD Daily '!T8</f>
        <v>149.78399999999237</v>
      </c>
      <c r="O4" s="71">
        <f>'FS-AD Daily '!R8</f>
        <v>73.911999999996624</v>
      </c>
      <c r="P4" s="71">
        <f>'FS-AD Daily '!Z8</f>
        <v>423</v>
      </c>
      <c r="Q4" s="71">
        <f>'FS-AD Daily '!V8</f>
        <v>164.70000000001164</v>
      </c>
      <c r="R4" s="71">
        <f>'FS-AD Daily '!W8</f>
        <v>0</v>
      </c>
      <c r="S4" s="71">
        <f t="shared" si="0"/>
        <v>258.29999999998836</v>
      </c>
      <c r="T4" s="71">
        <f>'FS-AD Daily '!AD8*3.516</f>
        <v>107255.58</v>
      </c>
      <c r="U4" s="71">
        <f>('FS-AD Daily '!AF8)*1000</f>
        <v>48200.000000011642</v>
      </c>
      <c r="V4" s="71">
        <f>('FS-AD Daily '!AG8)*1000</f>
        <v>38199.99999999709</v>
      </c>
      <c r="W4" s="71">
        <f>'FS-AD Daily '!AH8*1000</f>
        <v>16700.000000000728</v>
      </c>
      <c r="X4" s="71">
        <f>('FS-AD Daily '!AK8)*1000</f>
        <v>34299.999999995634</v>
      </c>
      <c r="Y4" s="71">
        <v>82</v>
      </c>
      <c r="Z4" s="113">
        <v>117</v>
      </c>
    </row>
    <row r="5" spans="1:26" x14ac:dyDescent="0.25">
      <c r="A5" s="112" t="s">
        <v>80</v>
      </c>
      <c r="B5" s="69">
        <f t="shared" si="1"/>
        <v>4</v>
      </c>
      <c r="C5" s="70">
        <v>8</v>
      </c>
      <c r="D5" s="69">
        <v>2021</v>
      </c>
      <c r="E5" s="71">
        <f>'FS-AD Daily '!B9</f>
        <v>5466</v>
      </c>
      <c r="F5" s="71">
        <f>'FS-AD Daily '!C9</f>
        <v>4019</v>
      </c>
      <c r="G5" s="71">
        <f>'FS-AD Daily '!D9</f>
        <v>735</v>
      </c>
      <c r="H5" s="71">
        <f>'FS-AD Daily '!E9</f>
        <v>5891</v>
      </c>
      <c r="I5" s="71">
        <f>'FS-AD Daily '!F9</f>
        <v>5978</v>
      </c>
      <c r="J5" s="71">
        <f>'FS-AD Daily '!G9</f>
        <v>3225</v>
      </c>
      <c r="K5" s="71">
        <f>'FS-AD Daily '!H9</f>
        <v>7693</v>
      </c>
      <c r="L5" s="71">
        <f>'FS-AD Daily '!I9</f>
        <v>2427</v>
      </c>
      <c r="M5" s="71">
        <f>'FS-AD Daily '!J9</f>
        <v>6892</v>
      </c>
      <c r="N5" s="71">
        <f>'FS-AD Daily '!T9</f>
        <v>158.41900000000169</v>
      </c>
      <c r="O5" s="71">
        <f>'FS-AD Daily '!R9</f>
        <v>100.350000000004</v>
      </c>
      <c r="P5" s="71">
        <f>'FS-AD Daily '!Z9</f>
        <v>420</v>
      </c>
      <c r="Q5" s="71">
        <f>'FS-AD Daily '!V9</f>
        <v>160.40000000002328</v>
      </c>
      <c r="R5" s="71">
        <f>'FS-AD Daily '!W9</f>
        <v>0</v>
      </c>
      <c r="S5" s="71">
        <f t="shared" si="0"/>
        <v>259.59999999997672</v>
      </c>
      <c r="T5" s="71">
        <f>'FS-AD Daily '!AD9*3.516</f>
        <v>123260.412</v>
      </c>
      <c r="U5" s="71">
        <f>('FS-AD Daily '!AF9)*1000</f>
        <v>59799.999999988358</v>
      </c>
      <c r="V5" s="71">
        <f>('FS-AD Daily '!AG9)*1000</f>
        <v>37400.000000001455</v>
      </c>
      <c r="W5" s="71">
        <f>'FS-AD Daily '!AH9*1000</f>
        <v>18399.999999997817</v>
      </c>
      <c r="X5" s="71">
        <f>('FS-AD Daily '!AK9)*1000</f>
        <v>36900.000000001455</v>
      </c>
      <c r="Y5" s="71">
        <v>82</v>
      </c>
      <c r="Z5" s="113">
        <v>123</v>
      </c>
    </row>
    <row r="6" spans="1:26" x14ac:dyDescent="0.25">
      <c r="A6" s="112" t="s">
        <v>80</v>
      </c>
      <c r="B6" s="69">
        <f t="shared" si="1"/>
        <v>5</v>
      </c>
      <c r="C6" s="70">
        <v>8</v>
      </c>
      <c r="D6" s="69">
        <v>2021</v>
      </c>
      <c r="E6" s="71">
        <f>'FS-AD Daily '!B10</f>
        <v>5300</v>
      </c>
      <c r="F6" s="71">
        <f>'FS-AD Daily '!C10</f>
        <v>3946</v>
      </c>
      <c r="G6" s="71">
        <f>'FS-AD Daily '!D10</f>
        <v>719</v>
      </c>
      <c r="H6" s="71">
        <f>'FS-AD Daily '!E10</f>
        <v>5881</v>
      </c>
      <c r="I6" s="71">
        <f>'FS-AD Daily '!F10</f>
        <v>5971</v>
      </c>
      <c r="J6" s="71">
        <f>'FS-AD Daily '!G10</f>
        <v>3186</v>
      </c>
      <c r="K6" s="71">
        <f>'FS-AD Daily '!H10</f>
        <v>6917</v>
      </c>
      <c r="L6" s="71">
        <f>'FS-AD Daily '!I10</f>
        <v>2462</v>
      </c>
      <c r="M6" s="71">
        <f>'FS-AD Daily '!J10</f>
        <v>6891</v>
      </c>
      <c r="N6" s="71">
        <f>'FS-AD Daily '!T10</f>
        <v>142.31100000001243</v>
      </c>
      <c r="O6" s="71">
        <f>'FS-AD Daily '!R10</f>
        <v>92.963000000006105</v>
      </c>
      <c r="P6" s="71">
        <f>'FS-AD Daily '!Z10</f>
        <v>406</v>
      </c>
      <c r="Q6" s="71">
        <f>'FS-AD Daily '!V10</f>
        <v>157.70000000001164</v>
      </c>
      <c r="R6" s="71">
        <f>'FS-AD Daily '!W10</f>
        <v>0</v>
      </c>
      <c r="S6" s="71">
        <f t="shared" si="0"/>
        <v>248.29999999998836</v>
      </c>
      <c r="T6" s="71">
        <f>'FS-AD Daily '!AD10*3.516</f>
        <v>123260.412</v>
      </c>
      <c r="U6" s="71">
        <f>('FS-AD Daily '!AF10)*1000</f>
        <v>59800.00000000291</v>
      </c>
      <c r="V6" s="71">
        <f>('FS-AD Daily '!AG10)*1000</f>
        <v>37400.000000001455</v>
      </c>
      <c r="W6" s="71">
        <f>'FS-AD Daily '!AH10*1000</f>
        <v>18400.000000001455</v>
      </c>
      <c r="X6" s="71">
        <f>('FS-AD Daily '!AK10)*1000</f>
        <v>36900.000000001455</v>
      </c>
      <c r="Y6" s="71">
        <v>58</v>
      </c>
      <c r="Z6" s="113">
        <v>95</v>
      </c>
    </row>
    <row r="7" spans="1:26" x14ac:dyDescent="0.25">
      <c r="A7" s="112" t="s">
        <v>80</v>
      </c>
      <c r="B7" s="69">
        <f t="shared" si="1"/>
        <v>6</v>
      </c>
      <c r="C7" s="70">
        <v>8</v>
      </c>
      <c r="D7" s="69">
        <v>2021</v>
      </c>
      <c r="E7" s="71">
        <f>'FS-AD Daily '!B11</f>
        <v>5257</v>
      </c>
      <c r="F7" s="71">
        <f>'FS-AD Daily '!C11</f>
        <v>4019</v>
      </c>
      <c r="G7" s="71">
        <f>'FS-AD Daily '!D11</f>
        <v>749</v>
      </c>
      <c r="H7" s="71">
        <f>'FS-AD Daily '!E11</f>
        <v>5695</v>
      </c>
      <c r="I7" s="71">
        <f>'FS-AD Daily '!F11</f>
        <v>6041</v>
      </c>
      <c r="J7" s="71">
        <f>'FS-AD Daily '!G11</f>
        <v>3166</v>
      </c>
      <c r="K7" s="71">
        <f>'FS-AD Daily '!H11</f>
        <v>6866</v>
      </c>
      <c r="L7" s="71">
        <f>'FS-AD Daily '!I11</f>
        <v>2401</v>
      </c>
      <c r="M7" s="71">
        <f>'FS-AD Daily '!J11</f>
        <v>7068</v>
      </c>
      <c r="N7" s="71">
        <f>'FS-AD Daily '!T11</f>
        <v>135.48599999998987</v>
      </c>
      <c r="O7" s="71">
        <f>'FS-AD Daily '!R11</f>
        <v>92.459999999990032</v>
      </c>
      <c r="P7" s="71">
        <f>'FS-AD Daily '!Z11</f>
        <v>430</v>
      </c>
      <c r="Q7" s="71">
        <f>'FS-AD Daily '!V11</f>
        <v>160.19999999995343</v>
      </c>
      <c r="R7" s="71">
        <f>'FS-AD Daily '!W11</f>
        <v>0</v>
      </c>
      <c r="S7" s="71">
        <f t="shared" si="0"/>
        <v>269.80000000004657</v>
      </c>
      <c r="T7" s="71">
        <f>'FS-AD Daily '!AD11*3.516</f>
        <v>123260.412</v>
      </c>
      <c r="U7" s="71">
        <f>('FS-AD Daily '!AF11)*1000</f>
        <v>59800.00000000291</v>
      </c>
      <c r="V7" s="71">
        <f>('FS-AD Daily '!AG11)*1000</f>
        <v>37399.999999994179</v>
      </c>
      <c r="W7" s="71">
        <f>'FS-AD Daily '!AH11*1000</f>
        <v>18599.999999998545</v>
      </c>
      <c r="X7" s="71">
        <f>('FS-AD Daily '!AK11)*1000</f>
        <v>36900.000000001455</v>
      </c>
      <c r="Y7" s="71">
        <v>46</v>
      </c>
      <c r="Z7" s="113">
        <v>88</v>
      </c>
    </row>
    <row r="8" spans="1:26" x14ac:dyDescent="0.25">
      <c r="A8" s="112" t="s">
        <v>80</v>
      </c>
      <c r="B8" s="69">
        <f t="shared" si="1"/>
        <v>7</v>
      </c>
      <c r="C8" s="70">
        <v>8</v>
      </c>
      <c r="D8" s="69">
        <v>2021</v>
      </c>
      <c r="E8" s="71">
        <f>'FS-AD Daily '!B12</f>
        <v>5463</v>
      </c>
      <c r="F8" s="71">
        <f>'FS-AD Daily '!C12</f>
        <v>4089</v>
      </c>
      <c r="G8" s="71">
        <f>'FS-AD Daily '!D12</f>
        <v>715</v>
      </c>
      <c r="H8" s="71">
        <f>'FS-AD Daily '!E12</f>
        <v>5782</v>
      </c>
      <c r="I8" s="71">
        <f>'FS-AD Daily '!F12</f>
        <v>5807</v>
      </c>
      <c r="J8" s="71">
        <f>'FS-AD Daily '!G12</f>
        <v>3163</v>
      </c>
      <c r="K8" s="71">
        <f>'FS-AD Daily '!H12</f>
        <v>6966</v>
      </c>
      <c r="L8" s="71">
        <f>'FS-AD Daily '!I12</f>
        <v>2446</v>
      </c>
      <c r="M8" s="71">
        <f>'FS-AD Daily '!J12</f>
        <v>6960</v>
      </c>
      <c r="N8" s="71">
        <f>'FS-AD Daily '!T12</f>
        <v>135.65800000000672</v>
      </c>
      <c r="O8" s="71">
        <f>'FS-AD Daily '!R12</f>
        <v>84.767000000004373</v>
      </c>
      <c r="P8" s="71">
        <f>'FS-AD Daily '!Z12</f>
        <v>394</v>
      </c>
      <c r="Q8" s="71">
        <f>'FS-AD Daily '!V12</f>
        <v>153.60000000003492</v>
      </c>
      <c r="R8" s="71">
        <f>'FS-AD Daily '!W12</f>
        <v>0</v>
      </c>
      <c r="S8" s="71">
        <f t="shared" si="0"/>
        <v>240.39999999996508</v>
      </c>
      <c r="T8" s="71">
        <f>'FS-AD Daily '!AD12*3.516</f>
        <v>128042.17200000001</v>
      </c>
      <c r="U8" s="71">
        <f>('FS-AD Daily '!AF12)*1000</f>
        <v>59500</v>
      </c>
      <c r="V8" s="71">
        <f>('FS-AD Daily '!AG12)*1000</f>
        <v>37800.00000000291</v>
      </c>
      <c r="W8" s="71">
        <f>'FS-AD Daily '!AH12*1000</f>
        <v>19000</v>
      </c>
      <c r="X8" s="71">
        <f>('FS-AD Daily '!AK12)*1000</f>
        <v>36000</v>
      </c>
      <c r="Y8" s="71">
        <v>44</v>
      </c>
      <c r="Z8" s="113">
        <v>80</v>
      </c>
    </row>
    <row r="9" spans="1:26" x14ac:dyDescent="0.25">
      <c r="A9" s="112" t="s">
        <v>80</v>
      </c>
      <c r="B9" s="69">
        <f t="shared" si="1"/>
        <v>8</v>
      </c>
      <c r="C9" s="70">
        <v>8</v>
      </c>
      <c r="D9" s="69">
        <v>2021</v>
      </c>
      <c r="E9" s="71">
        <f>'FS-AD Daily '!B13</f>
        <v>5407</v>
      </c>
      <c r="F9" s="71">
        <f>'FS-AD Daily '!C13</f>
        <v>4100</v>
      </c>
      <c r="G9" s="71">
        <f>'FS-AD Daily '!D13</f>
        <v>718</v>
      </c>
      <c r="H9" s="71">
        <f>'FS-AD Daily '!E13</f>
        <v>5698</v>
      </c>
      <c r="I9" s="71">
        <f>'FS-AD Daily '!F13</f>
        <v>5782</v>
      </c>
      <c r="J9" s="71">
        <f>'FS-AD Daily '!G13</f>
        <v>3185</v>
      </c>
      <c r="K9" s="71">
        <f>'FS-AD Daily '!H13</f>
        <v>6922</v>
      </c>
      <c r="L9" s="71">
        <f>'FS-AD Daily '!I13</f>
        <v>2450</v>
      </c>
      <c r="M9" s="71">
        <f>'FS-AD Daily '!J13</f>
        <v>6883</v>
      </c>
      <c r="N9" s="71">
        <f>'FS-AD Daily '!T13</f>
        <v>132.90499999999884</v>
      </c>
      <c r="O9" s="71">
        <f>'FS-AD Daily '!R13</f>
        <v>86.450000000005275</v>
      </c>
      <c r="P9" s="71">
        <f>'FS-AD Daily '!Z13</f>
        <v>387</v>
      </c>
      <c r="Q9" s="71">
        <f>'FS-AD Daily '!V13</f>
        <v>151.29999999998836</v>
      </c>
      <c r="R9" s="71">
        <f>'FS-AD Daily '!W13</f>
        <v>0</v>
      </c>
      <c r="S9" s="71">
        <f t="shared" si="0"/>
        <v>235.70000000001164</v>
      </c>
      <c r="T9" s="71">
        <f>'FS-AD Daily '!AD13*3.516</f>
        <v>117915.7404000013</v>
      </c>
      <c r="U9" s="71">
        <f>('FS-AD Daily '!AF13)*1000</f>
        <v>58899.999999994179</v>
      </c>
      <c r="V9" s="71">
        <f>('FS-AD Daily '!AG13)*1000</f>
        <v>43800.00000000291</v>
      </c>
      <c r="W9" s="71">
        <f>'FS-AD Daily '!AH13*1000</f>
        <v>21700.000000000728</v>
      </c>
      <c r="X9" s="71">
        <f>('FS-AD Daily '!AK13)*1000</f>
        <v>45799.999999995634</v>
      </c>
      <c r="Y9" s="71">
        <v>74</v>
      </c>
      <c r="Z9" s="113">
        <v>121</v>
      </c>
    </row>
    <row r="10" spans="1:26" x14ac:dyDescent="0.25">
      <c r="A10" s="112" t="s">
        <v>80</v>
      </c>
      <c r="B10" s="69">
        <f t="shared" si="1"/>
        <v>9</v>
      </c>
      <c r="C10" s="70">
        <v>8</v>
      </c>
      <c r="D10" s="69">
        <v>2021</v>
      </c>
      <c r="E10" s="71">
        <f>'FS-AD Daily '!B14</f>
        <v>5615</v>
      </c>
      <c r="F10" s="71">
        <f>'FS-AD Daily '!C14</f>
        <v>4063</v>
      </c>
      <c r="G10" s="71">
        <f>'FS-AD Daily '!D14</f>
        <v>747</v>
      </c>
      <c r="H10" s="71">
        <f>'FS-AD Daily '!E14</f>
        <v>5683</v>
      </c>
      <c r="I10" s="71">
        <f>'FS-AD Daily '!F14</f>
        <v>5906</v>
      </c>
      <c r="J10" s="71">
        <f>'FS-AD Daily '!G14</f>
        <v>3231</v>
      </c>
      <c r="K10" s="71">
        <f>'FS-AD Daily '!H14</f>
        <v>7049</v>
      </c>
      <c r="L10" s="71">
        <f>'FS-AD Daily '!I14</f>
        <v>2455</v>
      </c>
      <c r="M10" s="71">
        <f>'FS-AD Daily '!J14</f>
        <v>6680</v>
      </c>
      <c r="N10" s="71">
        <f>'FS-AD Daily '!T14</f>
        <v>136.59499999999753</v>
      </c>
      <c r="O10" s="71">
        <f>'FS-AD Daily '!R14</f>
        <v>80.997999999994136</v>
      </c>
      <c r="P10" s="71">
        <f>'FS-AD Daily '!Z14</f>
        <v>415</v>
      </c>
      <c r="Q10" s="71">
        <f>'FS-AD Daily '!V14</f>
        <v>148.5</v>
      </c>
      <c r="R10" s="71">
        <f>'FS-AD Daily '!W14</f>
        <v>0</v>
      </c>
      <c r="S10" s="71">
        <f t="shared" si="0"/>
        <v>266.5</v>
      </c>
      <c r="T10" s="71">
        <f>'FS-AD Daily '!AD14*3.516</f>
        <v>120702.8735999987</v>
      </c>
      <c r="U10" s="71">
        <f>('FS-AD Daily '!AF14)*1000</f>
        <v>58200.000000011642</v>
      </c>
      <c r="V10" s="71">
        <f>('FS-AD Daily '!AG14)*1000</f>
        <v>40599.999999998545</v>
      </c>
      <c r="W10" s="71">
        <f>'FS-AD Daily '!AH14*1000</f>
        <v>20900.000000001455</v>
      </c>
      <c r="X10" s="71">
        <f>('FS-AD Daily '!AK14)*1000</f>
        <v>40700.000000004366</v>
      </c>
      <c r="Y10" s="71">
        <v>78</v>
      </c>
      <c r="Z10" s="113">
        <v>124</v>
      </c>
    </row>
    <row r="11" spans="1:26" x14ac:dyDescent="0.25">
      <c r="A11" s="112" t="s">
        <v>80</v>
      </c>
      <c r="B11" s="69">
        <f t="shared" si="1"/>
        <v>10</v>
      </c>
      <c r="C11" s="70">
        <v>8</v>
      </c>
      <c r="D11" s="69">
        <v>2021</v>
      </c>
      <c r="E11" s="71">
        <f>'FS-AD Daily '!B15</f>
        <v>5598</v>
      </c>
      <c r="F11" s="71">
        <f>'FS-AD Daily '!C15</f>
        <v>3820</v>
      </c>
      <c r="G11" s="71">
        <f>'FS-AD Daily '!D15</f>
        <v>732</v>
      </c>
      <c r="H11" s="71">
        <f>'FS-AD Daily '!E15</f>
        <v>5560</v>
      </c>
      <c r="I11" s="71">
        <f>'FS-AD Daily '!F15</f>
        <v>5781</v>
      </c>
      <c r="J11" s="71">
        <f>'FS-AD Daily '!G15</f>
        <v>3267</v>
      </c>
      <c r="K11" s="71">
        <f>'FS-AD Daily '!H15</f>
        <v>6815</v>
      </c>
      <c r="L11" s="71">
        <f>'FS-AD Daily '!I15</f>
        <v>2359</v>
      </c>
      <c r="M11" s="71">
        <f>'FS-AD Daily '!J15</f>
        <v>6505</v>
      </c>
      <c r="N11" s="71">
        <f>'FS-AD Daily '!T15</f>
        <v>98.669000000005326</v>
      </c>
      <c r="O11" s="71">
        <f>'FS-AD Daily '!R15</f>
        <v>82.31699999999455</v>
      </c>
      <c r="P11" s="71">
        <f>'FS-AD Daily '!Z15</f>
        <v>423</v>
      </c>
      <c r="Q11" s="71">
        <f>'FS-AD Daily '!V15</f>
        <v>160.40000000002328</v>
      </c>
      <c r="R11" s="71">
        <f>'FS-AD Daily '!W15</f>
        <v>0</v>
      </c>
      <c r="S11" s="71">
        <f t="shared" si="0"/>
        <v>262.59999999997672</v>
      </c>
      <c r="T11" s="71">
        <f>'FS-AD Daily '!AD15*3.516</f>
        <v>113378.694</v>
      </c>
      <c r="U11" s="71">
        <f>('FS-AD Daily '!AF15)*1000</f>
        <v>54799.999999988358</v>
      </c>
      <c r="V11" s="71">
        <f>('FS-AD Daily '!AG15)*1000</f>
        <v>39099.999999998545</v>
      </c>
      <c r="W11" s="71">
        <f>'FS-AD Daily '!AH15*1000</f>
        <v>19899.999999997817</v>
      </c>
      <c r="X11" s="71">
        <f>('FS-AD Daily '!AK15)*1000</f>
        <v>38400.000000001455</v>
      </c>
      <c r="Y11" s="71">
        <v>87</v>
      </c>
      <c r="Z11" s="113">
        <v>143</v>
      </c>
    </row>
    <row r="12" spans="1:26" x14ac:dyDescent="0.25">
      <c r="A12" s="112" t="s">
        <v>80</v>
      </c>
      <c r="B12" s="69">
        <f t="shared" si="1"/>
        <v>11</v>
      </c>
      <c r="C12" s="70">
        <v>8</v>
      </c>
      <c r="D12" s="69">
        <v>2021</v>
      </c>
      <c r="E12" s="71">
        <f>'FS-AD Daily '!B16</f>
        <v>5818</v>
      </c>
      <c r="F12" s="71">
        <f>'FS-AD Daily '!C16</f>
        <v>4180</v>
      </c>
      <c r="G12" s="71">
        <f>'FS-AD Daily '!D16</f>
        <v>754</v>
      </c>
      <c r="H12" s="71">
        <f>'FS-AD Daily '!E16</f>
        <v>5838</v>
      </c>
      <c r="I12" s="71">
        <f>'FS-AD Daily '!F16</f>
        <v>6057</v>
      </c>
      <c r="J12" s="71">
        <f>'FS-AD Daily '!G16</f>
        <v>3354</v>
      </c>
      <c r="K12" s="71">
        <f>'FS-AD Daily '!H16</f>
        <v>6869</v>
      </c>
      <c r="L12" s="71">
        <f>'FS-AD Daily '!I16</f>
        <v>2395</v>
      </c>
      <c r="M12" s="71">
        <f>'FS-AD Daily '!J16</f>
        <v>7039</v>
      </c>
      <c r="N12" s="71">
        <f>'FS-AD Daily '!T16</f>
        <v>150.90699999999561</v>
      </c>
      <c r="O12" s="71">
        <f>'FS-AD Daily '!R16</f>
        <v>82.422000000009575</v>
      </c>
      <c r="P12" s="71">
        <f>'FS-AD Daily '!Z16</f>
        <v>395</v>
      </c>
      <c r="Q12" s="71">
        <f>'FS-AD Daily '!V16</f>
        <v>156.89999999996508</v>
      </c>
      <c r="R12" s="71">
        <f>'FS-AD Daily '!W16</f>
        <v>0</v>
      </c>
      <c r="S12" s="71">
        <f t="shared" si="0"/>
        <v>238.10000000003492</v>
      </c>
      <c r="T12" s="71">
        <f>'FS-AD Daily '!AD16*3.516</f>
        <v>114470.412</v>
      </c>
      <c r="U12" s="71">
        <f>('FS-AD Daily '!AF16)*1000</f>
        <v>56000</v>
      </c>
      <c r="V12" s="71">
        <f>('FS-AD Daily '!AG16)*1000</f>
        <v>39000</v>
      </c>
      <c r="W12" s="71">
        <f>'FS-AD Daily '!AH16*1000</f>
        <v>18000</v>
      </c>
      <c r="X12" s="71">
        <f>('FS-AD Daily '!AK16)*1000</f>
        <v>39000</v>
      </c>
      <c r="Y12" s="71">
        <v>108</v>
      </c>
      <c r="Z12" s="113">
        <v>191</v>
      </c>
    </row>
    <row r="13" spans="1:26" x14ac:dyDescent="0.25">
      <c r="A13" s="112" t="s">
        <v>80</v>
      </c>
      <c r="B13" s="69">
        <f t="shared" si="1"/>
        <v>12</v>
      </c>
      <c r="C13" s="70">
        <v>8</v>
      </c>
      <c r="D13" s="69">
        <v>2021</v>
      </c>
      <c r="E13" s="71">
        <f>'FS-AD Daily '!B17</f>
        <v>5893</v>
      </c>
      <c r="F13" s="71">
        <f>'FS-AD Daily '!C17</f>
        <v>4544</v>
      </c>
      <c r="G13" s="71">
        <f>'FS-AD Daily '!D17</f>
        <v>783</v>
      </c>
      <c r="H13" s="71">
        <f>'FS-AD Daily '!E17</f>
        <v>5810</v>
      </c>
      <c r="I13" s="71">
        <f>'FS-AD Daily '!F17</f>
        <v>6076</v>
      </c>
      <c r="J13" s="71">
        <f>'FS-AD Daily '!G17</f>
        <v>3295</v>
      </c>
      <c r="K13" s="71">
        <f>'FS-AD Daily '!H17</f>
        <v>6151</v>
      </c>
      <c r="L13" s="71">
        <f>'FS-AD Daily '!I17</f>
        <v>2362</v>
      </c>
      <c r="M13" s="71">
        <f>'FS-AD Daily '!J17</f>
        <v>7195</v>
      </c>
      <c r="N13" s="71">
        <f>'FS-AD Daily '!T17</f>
        <v>167.52000000000771</v>
      </c>
      <c r="O13" s="71">
        <f>'FS-AD Daily '!R17</f>
        <v>91.401999999999134</v>
      </c>
      <c r="P13" s="71">
        <f>'FS-AD Daily '!Z17</f>
        <v>436</v>
      </c>
      <c r="Q13" s="71">
        <f>'FS-AD Daily '!V17</f>
        <v>175.60000000003492</v>
      </c>
      <c r="R13" s="71">
        <f>'FS-AD Daily '!W17</f>
        <v>0</v>
      </c>
      <c r="S13" s="71">
        <f t="shared" si="0"/>
        <v>260.39999999996508</v>
      </c>
      <c r="T13" s="71">
        <f>'FS-AD Daily '!AD17*3.516</f>
        <v>137598.66</v>
      </c>
      <c r="U13" s="71">
        <f>('FS-AD Daily '!AF17)*1000</f>
        <v>67200.000000011642</v>
      </c>
      <c r="V13" s="71">
        <f>('FS-AD Daily '!AG17)*1000</f>
        <v>41599.999999998545</v>
      </c>
      <c r="W13" s="71">
        <f>'FS-AD Daily '!AH17*1000</f>
        <v>22200.000000000728</v>
      </c>
      <c r="X13" s="71">
        <f>('FS-AD Daily '!AK17)*1000</f>
        <v>40899.999999994179</v>
      </c>
      <c r="Y13" s="71">
        <v>110</v>
      </c>
      <c r="Z13" s="113">
        <v>214</v>
      </c>
    </row>
    <row r="14" spans="1:26" x14ac:dyDescent="0.25">
      <c r="A14" s="112" t="s">
        <v>80</v>
      </c>
      <c r="B14" s="69">
        <f t="shared" si="1"/>
        <v>13</v>
      </c>
      <c r="C14" s="70">
        <v>8</v>
      </c>
      <c r="D14" s="69">
        <v>2021</v>
      </c>
      <c r="E14" s="71">
        <f>'FS-AD Daily '!B18</f>
        <v>5772</v>
      </c>
      <c r="F14" s="71">
        <f>'FS-AD Daily '!C18</f>
        <v>3739</v>
      </c>
      <c r="G14" s="71">
        <f>'FS-AD Daily '!D18</f>
        <v>754</v>
      </c>
      <c r="H14" s="71">
        <f>'FS-AD Daily '!E18</f>
        <v>5828</v>
      </c>
      <c r="I14" s="71">
        <f>'FS-AD Daily '!F18</f>
        <v>6094</v>
      </c>
      <c r="J14" s="71">
        <f>'FS-AD Daily '!G18</f>
        <v>3288</v>
      </c>
      <c r="K14" s="71">
        <f>'FS-AD Daily '!H18</f>
        <v>6474</v>
      </c>
      <c r="L14" s="71">
        <f>'FS-AD Daily '!I18</f>
        <v>2328</v>
      </c>
      <c r="M14" s="71">
        <f>'FS-AD Daily '!J18</f>
        <v>7013</v>
      </c>
      <c r="N14" s="71">
        <f>'FS-AD Daily '!T18</f>
        <v>138.23099999999613</v>
      </c>
      <c r="O14" s="71">
        <f>'FS-AD Daily '!R18</f>
        <v>89.750999999995656</v>
      </c>
      <c r="P14" s="71">
        <f>'FS-AD Daily '!Z18</f>
        <v>464</v>
      </c>
      <c r="Q14" s="71">
        <f>'FS-AD Daily '!V18</f>
        <v>172.29999999998836</v>
      </c>
      <c r="R14" s="71">
        <f>'FS-AD Daily '!W18</f>
        <v>0</v>
      </c>
      <c r="S14" s="71">
        <f t="shared" si="0"/>
        <v>291.70000000001164</v>
      </c>
      <c r="T14" s="71">
        <f>'FS-AD Daily '!AD18*3.516</f>
        <v>131871.09599999999</v>
      </c>
      <c r="U14" s="71">
        <f>('FS-AD Daily '!AF18)*1000</f>
        <v>64299.999999988358</v>
      </c>
      <c r="V14" s="71">
        <f>('FS-AD Daily '!AG18)*1000</f>
        <v>42099.999999998545</v>
      </c>
      <c r="W14" s="71">
        <f>'FS-AD Daily '!AH18*1000</f>
        <v>20400.000000001455</v>
      </c>
      <c r="X14" s="71">
        <f>('FS-AD Daily '!AK18)*1000</f>
        <v>39200.000000004366</v>
      </c>
      <c r="Y14" s="71">
        <v>81</v>
      </c>
      <c r="Z14" s="113">
        <v>161</v>
      </c>
    </row>
    <row r="15" spans="1:26" x14ac:dyDescent="0.25">
      <c r="A15" s="112" t="s">
        <v>80</v>
      </c>
      <c r="B15" s="69">
        <f t="shared" si="1"/>
        <v>14</v>
      </c>
      <c r="C15" s="70">
        <v>8</v>
      </c>
      <c r="D15" s="69">
        <v>2021</v>
      </c>
      <c r="E15" s="71">
        <f>'FS-AD Daily '!B19</f>
        <v>5990</v>
      </c>
      <c r="F15" s="71">
        <f>'FS-AD Daily '!C19</f>
        <v>3678</v>
      </c>
      <c r="G15" s="71">
        <f>'FS-AD Daily '!D19</f>
        <v>733</v>
      </c>
      <c r="H15" s="71">
        <f>'FS-AD Daily '!E19</f>
        <v>5742</v>
      </c>
      <c r="I15" s="71">
        <f>'FS-AD Daily '!F19</f>
        <v>5935</v>
      </c>
      <c r="J15" s="71">
        <f>'FS-AD Daily '!G19</f>
        <v>3240</v>
      </c>
      <c r="K15" s="71">
        <f>'FS-AD Daily '!H19</f>
        <v>6487</v>
      </c>
      <c r="L15" s="71">
        <f>'FS-AD Daily '!I19</f>
        <v>2429</v>
      </c>
      <c r="M15" s="71">
        <f>'FS-AD Daily '!J19</f>
        <v>6998</v>
      </c>
      <c r="N15" s="71">
        <f>'FS-AD Daily '!T19</f>
        <v>132.72099999999773</v>
      </c>
      <c r="O15" s="71">
        <f>'FS-AD Daily '!R19</f>
        <v>85.315000000001419</v>
      </c>
      <c r="P15" s="71">
        <f>'FS-AD Daily '!Z19</f>
        <v>397</v>
      </c>
      <c r="Q15" s="71">
        <f>'FS-AD Daily '!V19</f>
        <v>164</v>
      </c>
      <c r="R15" s="71">
        <f>'FS-AD Daily '!W19</f>
        <v>0</v>
      </c>
      <c r="S15" s="71">
        <f t="shared" si="0"/>
        <v>233</v>
      </c>
      <c r="T15" s="71">
        <f>'FS-AD Daily '!AD19*3.516</f>
        <v>133361.88</v>
      </c>
      <c r="U15" s="71">
        <f>('FS-AD Daily '!AF19)*1000</f>
        <v>64600.000000005821</v>
      </c>
      <c r="V15" s="71">
        <f>('FS-AD Daily '!AG19)*1000</f>
        <v>42300.00000000291</v>
      </c>
      <c r="W15" s="71">
        <f>'FS-AD Daily '!AH19*1000</f>
        <v>20099.999999998545</v>
      </c>
      <c r="X15" s="71">
        <f>('FS-AD Daily '!AK19)*1000</f>
        <v>40099.999999998545</v>
      </c>
      <c r="Y15" s="71">
        <v>49</v>
      </c>
      <c r="Z15" s="113">
        <v>81</v>
      </c>
    </row>
    <row r="16" spans="1:26" x14ac:dyDescent="0.25">
      <c r="A16" s="112" t="s">
        <v>80</v>
      </c>
      <c r="B16" s="69">
        <f t="shared" si="1"/>
        <v>15</v>
      </c>
      <c r="C16" s="70">
        <v>8</v>
      </c>
      <c r="D16" s="69">
        <v>2021</v>
      </c>
      <c r="E16" s="71">
        <f>'FS-AD Daily '!B20</f>
        <v>6160</v>
      </c>
      <c r="F16" s="71">
        <f>'FS-AD Daily '!C20</f>
        <v>3634</v>
      </c>
      <c r="G16" s="71">
        <f>'FS-AD Daily '!D20</f>
        <v>749</v>
      </c>
      <c r="H16" s="71">
        <f>'FS-AD Daily '!E20</f>
        <v>5834</v>
      </c>
      <c r="I16" s="71">
        <f>'FS-AD Daily '!F20</f>
        <v>5929</v>
      </c>
      <c r="J16" s="71">
        <f>'FS-AD Daily '!G20</f>
        <v>3187</v>
      </c>
      <c r="K16" s="71">
        <f>'FS-AD Daily '!H20</f>
        <v>6718</v>
      </c>
      <c r="L16" s="71">
        <f>'FS-AD Daily '!I20</f>
        <v>2471</v>
      </c>
      <c r="M16" s="71">
        <f>'FS-AD Daily '!J20</f>
        <v>6783</v>
      </c>
      <c r="N16" s="71">
        <f>'FS-AD Daily '!T20</f>
        <v>137.23200000000361</v>
      </c>
      <c r="O16" s="71">
        <f>'FS-AD Daily '!R20</f>
        <v>81.392000000002554</v>
      </c>
      <c r="P16" s="71">
        <f>'FS-AD Daily '!Z20</f>
        <v>395</v>
      </c>
      <c r="Q16" s="71">
        <f>'FS-AD Daily '!V20</f>
        <v>153.79999999998836</v>
      </c>
      <c r="R16" s="71">
        <f>'FS-AD Daily '!W20</f>
        <v>0</v>
      </c>
      <c r="S16" s="71">
        <f t="shared" si="0"/>
        <v>241.20000000001164</v>
      </c>
      <c r="T16" s="71">
        <f>'FS-AD Daily '!AD20*3.516</f>
        <v>134613.576</v>
      </c>
      <c r="U16" s="71">
        <f>('FS-AD Daily '!AF20)*1000</f>
        <v>64100.000000005821</v>
      </c>
      <c r="V16" s="71">
        <f>('FS-AD Daily '!AG20)*1000</f>
        <v>43800.00000000291</v>
      </c>
      <c r="W16" s="71">
        <f>'FS-AD Daily '!AH20*1000</f>
        <v>20500</v>
      </c>
      <c r="X16" s="71">
        <f>('FS-AD Daily '!AK20)*1000</f>
        <v>39500</v>
      </c>
      <c r="Y16" s="71">
        <v>84</v>
      </c>
      <c r="Z16" s="113">
        <v>147</v>
      </c>
    </row>
    <row r="17" spans="1:26" x14ac:dyDescent="0.25">
      <c r="A17" s="112" t="s">
        <v>80</v>
      </c>
      <c r="B17" s="69">
        <f t="shared" si="1"/>
        <v>16</v>
      </c>
      <c r="C17" s="70">
        <v>8</v>
      </c>
      <c r="D17" s="69">
        <v>2021</v>
      </c>
      <c r="E17" s="71">
        <f>'FS-AD Daily '!B21</f>
        <v>6190</v>
      </c>
      <c r="F17" s="71">
        <f>'FS-AD Daily '!C21</f>
        <v>3712</v>
      </c>
      <c r="G17" s="71">
        <f>'FS-AD Daily '!D21</f>
        <v>756</v>
      </c>
      <c r="H17" s="71">
        <f>'FS-AD Daily '!E21</f>
        <v>6048</v>
      </c>
      <c r="I17" s="71">
        <f>'FS-AD Daily '!F21</f>
        <v>5944</v>
      </c>
      <c r="J17" s="71">
        <f>'FS-AD Daily '!G21</f>
        <v>3388</v>
      </c>
      <c r="K17" s="71">
        <f>'FS-AD Daily '!H21</f>
        <v>7929</v>
      </c>
      <c r="L17" s="71">
        <f>'FS-AD Daily '!I21</f>
        <v>2477</v>
      </c>
      <c r="M17" s="71">
        <f>'FS-AD Daily '!J21</f>
        <v>6871</v>
      </c>
      <c r="N17" s="71">
        <f>'FS-AD Daily '!T21</f>
        <v>123.93399999999383</v>
      </c>
      <c r="O17" s="71">
        <f>'FS-AD Daily '!R21</f>
        <v>83.463999999996304</v>
      </c>
      <c r="P17" s="71">
        <f>'FS-AD Daily '!Z21</f>
        <v>411</v>
      </c>
      <c r="Q17" s="71">
        <f>'FS-AD Daily '!V21</f>
        <v>155.70000000001164</v>
      </c>
      <c r="R17" s="71">
        <f>'FS-AD Daily '!W21</f>
        <v>0</v>
      </c>
      <c r="S17" s="71">
        <f t="shared" si="0"/>
        <v>255.29999999998836</v>
      </c>
      <c r="T17" s="71">
        <f>'FS-AD Daily '!AD21*3.516</f>
        <v>138860.90400000001</v>
      </c>
      <c r="U17" s="71">
        <f>('FS-AD Daily '!AF21)*1000</f>
        <v>63199.99999999709</v>
      </c>
      <c r="V17" s="71">
        <f>('FS-AD Daily '!AG21)*1000</f>
        <v>51799.999999995634</v>
      </c>
      <c r="W17" s="71">
        <f>'FS-AD Daily '!AH21*1000</f>
        <v>19299.999999999272</v>
      </c>
      <c r="X17" s="71">
        <f>('FS-AD Daily '!AK21)*1000</f>
        <v>39599.999999998545</v>
      </c>
      <c r="Y17" s="71">
        <v>91</v>
      </c>
      <c r="Z17" s="113">
        <v>159</v>
      </c>
    </row>
    <row r="18" spans="1:26" x14ac:dyDescent="0.25">
      <c r="A18" s="112" t="s">
        <v>80</v>
      </c>
      <c r="B18" s="69">
        <f t="shared" si="1"/>
        <v>17</v>
      </c>
      <c r="C18" s="70">
        <v>8</v>
      </c>
      <c r="D18" s="69">
        <v>2021</v>
      </c>
      <c r="E18" s="71">
        <f>'FS-AD Daily '!B22</f>
        <v>6193</v>
      </c>
      <c r="F18" s="71">
        <f>'FS-AD Daily '!C22</f>
        <v>3773</v>
      </c>
      <c r="G18" s="71">
        <f>'FS-AD Daily '!D22</f>
        <v>734</v>
      </c>
      <c r="H18" s="71">
        <f>'FS-AD Daily '!E22</f>
        <v>6123</v>
      </c>
      <c r="I18" s="71">
        <f>'FS-AD Daily '!F22</f>
        <v>6165</v>
      </c>
      <c r="J18" s="71">
        <f>'FS-AD Daily '!G22</f>
        <v>3382</v>
      </c>
      <c r="K18" s="71">
        <f>'FS-AD Daily '!H22</f>
        <v>8083</v>
      </c>
      <c r="L18" s="71">
        <f>'FS-AD Daily '!I22</f>
        <v>2466</v>
      </c>
      <c r="M18" s="71">
        <f>'FS-AD Daily '!J22</f>
        <v>6827</v>
      </c>
      <c r="N18" s="71">
        <f>'FS-AD Daily '!T22</f>
        <v>129.59000000000742</v>
      </c>
      <c r="O18" s="71">
        <f>'FS-AD Daily '!R22</f>
        <v>81.145000000004075</v>
      </c>
      <c r="P18" s="71">
        <f>'FS-AD Daily '!Z22</f>
        <v>429</v>
      </c>
      <c r="Q18" s="71">
        <f>'FS-AD Daily '!V22</f>
        <v>157.09999999997672</v>
      </c>
      <c r="R18" s="71">
        <f>'FS-AD Daily '!W22</f>
        <v>0.77999999999883585</v>
      </c>
      <c r="S18" s="71">
        <f t="shared" si="0"/>
        <v>271.12000000002445</v>
      </c>
      <c r="T18" s="71">
        <f>'FS-AD Daily '!AD22*3.516</f>
        <v>137433.408</v>
      </c>
      <c r="U18" s="71">
        <f>('FS-AD Daily '!AF22)*1000</f>
        <v>63099.999999991269</v>
      </c>
      <c r="V18" s="71">
        <f>('FS-AD Daily '!AG22)*1000</f>
        <v>51800.00000000291</v>
      </c>
      <c r="W18" s="71">
        <f>'FS-AD Daily '!AH22*1000</f>
        <v>18400.000000001455</v>
      </c>
      <c r="X18" s="71">
        <f>('FS-AD Daily '!AK22)*1000</f>
        <v>39200.000000004366</v>
      </c>
      <c r="Y18" s="71">
        <v>78</v>
      </c>
      <c r="Z18" s="113">
        <v>119</v>
      </c>
    </row>
    <row r="19" spans="1:26" x14ac:dyDescent="0.25">
      <c r="A19" s="112" t="s">
        <v>80</v>
      </c>
      <c r="B19" s="69">
        <f t="shared" si="1"/>
        <v>18</v>
      </c>
      <c r="C19" s="70">
        <v>8</v>
      </c>
      <c r="D19" s="69">
        <v>2021</v>
      </c>
      <c r="E19" s="71">
        <f>'FS-AD Daily '!B23</f>
        <v>6020</v>
      </c>
      <c r="F19" s="71">
        <f>'FS-AD Daily '!C23</f>
        <v>3857</v>
      </c>
      <c r="G19" s="71">
        <f>'FS-AD Daily '!D23</f>
        <v>736</v>
      </c>
      <c r="H19" s="71">
        <f>'FS-AD Daily '!E23</f>
        <v>5906</v>
      </c>
      <c r="I19" s="71">
        <f>'FS-AD Daily '!F23</f>
        <v>6211</v>
      </c>
      <c r="J19" s="71">
        <f>'FS-AD Daily '!G23</f>
        <v>3301</v>
      </c>
      <c r="K19" s="71">
        <f>'FS-AD Daily '!H23</f>
        <v>8110</v>
      </c>
      <c r="L19" s="71">
        <f>'FS-AD Daily '!I23</f>
        <v>2498</v>
      </c>
      <c r="M19" s="71">
        <f>'FS-AD Daily '!J23</f>
        <v>7010</v>
      </c>
      <c r="N19" s="71">
        <f>'FS-AD Daily '!T23</f>
        <v>132.5010000000002</v>
      </c>
      <c r="O19" s="71">
        <f>'FS-AD Daily '!R23</f>
        <v>92.564999999995962</v>
      </c>
      <c r="P19" s="71">
        <f>'FS-AD Daily '!Z23</f>
        <v>414</v>
      </c>
      <c r="Q19" s="71">
        <f>'FS-AD Daily '!V23</f>
        <v>163.29999999998836</v>
      </c>
      <c r="R19" s="71">
        <f>'FS-AD Daily '!W23</f>
        <v>0</v>
      </c>
      <c r="S19" s="71">
        <f t="shared" si="0"/>
        <v>250.70000000001164</v>
      </c>
      <c r="T19" s="71">
        <f>'FS-AD Daily '!AD23*3.516</f>
        <v>127317.876</v>
      </c>
      <c r="U19" s="71">
        <f>('FS-AD Daily '!AF23)*1000</f>
        <v>57600.000000005821</v>
      </c>
      <c r="V19" s="71">
        <f>('FS-AD Daily '!AG23)*1000</f>
        <v>46099.999999998545</v>
      </c>
      <c r="W19" s="71">
        <f>'FS-AD Daily '!AH23*1000</f>
        <v>18399.999999997817</v>
      </c>
      <c r="X19" s="71">
        <f>('FS-AD Daily '!AK23)*1000</f>
        <v>38599.999999998545</v>
      </c>
      <c r="Y19" s="71">
        <v>82</v>
      </c>
      <c r="Z19" s="113">
        <v>127</v>
      </c>
    </row>
    <row r="20" spans="1:26" x14ac:dyDescent="0.25">
      <c r="A20" s="112" t="s">
        <v>80</v>
      </c>
      <c r="B20" s="69">
        <f t="shared" si="1"/>
        <v>19</v>
      </c>
      <c r="C20" s="70">
        <v>8</v>
      </c>
      <c r="D20" s="69">
        <v>2021</v>
      </c>
      <c r="E20" s="71">
        <f>'FS-AD Daily '!B24</f>
        <v>5863</v>
      </c>
      <c r="F20" s="71">
        <f>'FS-AD Daily '!C24</f>
        <v>3710</v>
      </c>
      <c r="G20" s="71">
        <f>'FS-AD Daily '!D24</f>
        <v>1086</v>
      </c>
      <c r="H20" s="71">
        <f>'FS-AD Daily '!E24</f>
        <v>6000</v>
      </c>
      <c r="I20" s="71">
        <f>'FS-AD Daily '!F24</f>
        <v>6239</v>
      </c>
      <c r="J20" s="71">
        <f>'FS-AD Daily '!G24</f>
        <v>3079</v>
      </c>
      <c r="K20" s="71">
        <f>'FS-AD Daily '!H24</f>
        <v>8053</v>
      </c>
      <c r="L20" s="71">
        <f>'FS-AD Daily '!I24</f>
        <v>2474</v>
      </c>
      <c r="M20" s="71">
        <f>'FS-AD Daily '!J24</f>
        <v>7187</v>
      </c>
      <c r="N20" s="71">
        <f>'FS-AD Daily '!T24</f>
        <v>154.00999999999476</v>
      </c>
      <c r="O20" s="71">
        <f>'FS-AD Daily '!R24</f>
        <v>90.048000000009779</v>
      </c>
      <c r="P20" s="71">
        <f>'FS-AD Daily '!Z24</f>
        <v>464</v>
      </c>
      <c r="Q20" s="71">
        <f>'FS-AD Daily '!V24</f>
        <v>176.10000000003492</v>
      </c>
      <c r="R20" s="71">
        <f>'FS-AD Daily '!W24</f>
        <v>0</v>
      </c>
      <c r="S20" s="71">
        <f t="shared" si="0"/>
        <v>287.89999999996508</v>
      </c>
      <c r="T20" s="71">
        <f>'FS-AD Daily '!AD24*3.516</f>
        <v>117786</v>
      </c>
      <c r="U20" s="71">
        <f>('FS-AD Daily '!AF24)*1000</f>
        <v>54300.00000000291</v>
      </c>
      <c r="V20" s="71">
        <f>('FS-AD Daily '!AG24)*1000</f>
        <v>42500</v>
      </c>
      <c r="W20" s="71">
        <f>'FS-AD Daily '!AH24*1000</f>
        <v>17400.000000001455</v>
      </c>
      <c r="X20" s="71">
        <f>('FS-AD Daily '!AK24)*1000</f>
        <v>37199.99999999709</v>
      </c>
      <c r="Y20" s="71">
        <v>52</v>
      </c>
      <c r="Z20" s="113">
        <v>75</v>
      </c>
    </row>
    <row r="21" spans="1:26" x14ac:dyDescent="0.25">
      <c r="A21" s="112" t="s">
        <v>80</v>
      </c>
      <c r="B21" s="69">
        <f t="shared" si="1"/>
        <v>20</v>
      </c>
      <c r="C21" s="70">
        <v>8</v>
      </c>
      <c r="D21" s="69">
        <v>2021</v>
      </c>
      <c r="E21" s="71">
        <f>'FS-AD Daily '!B25</f>
        <v>6166</v>
      </c>
      <c r="F21" s="71">
        <f>'FS-AD Daily '!C25</f>
        <v>3442</v>
      </c>
      <c r="G21" s="71">
        <f>'FS-AD Daily '!D25</f>
        <v>487</v>
      </c>
      <c r="H21" s="71">
        <f>'FS-AD Daily '!E25</f>
        <v>5865</v>
      </c>
      <c r="I21" s="71">
        <f>'FS-AD Daily '!F25</f>
        <v>6378</v>
      </c>
      <c r="J21" s="71">
        <f>'FS-AD Daily '!G25</f>
        <v>3073</v>
      </c>
      <c r="K21" s="71">
        <f>'FS-AD Daily '!H25</f>
        <v>7977</v>
      </c>
      <c r="L21" s="71">
        <f>'FS-AD Daily '!I25</f>
        <v>2420</v>
      </c>
      <c r="M21" s="71">
        <f>'FS-AD Daily '!J25</f>
        <v>6989</v>
      </c>
      <c r="N21" s="71">
        <f>'FS-AD Daily '!T25</f>
        <v>136.80799999999726</v>
      </c>
      <c r="O21" s="71">
        <f>'FS-AD Daily '!R25</f>
        <v>92.278999999986809</v>
      </c>
      <c r="P21" s="71">
        <f>'FS-AD Daily '!Z25</f>
        <v>494</v>
      </c>
      <c r="Q21" s="71">
        <f>'FS-AD Daily '!V25</f>
        <v>176.70000000001164</v>
      </c>
      <c r="R21" s="71">
        <f>'FS-AD Daily '!W25</f>
        <v>0</v>
      </c>
      <c r="S21" s="71">
        <f t="shared" si="0"/>
        <v>317.29999999998836</v>
      </c>
      <c r="T21" s="71">
        <f>'FS-AD Daily '!AD25*3.516</f>
        <v>108542.436</v>
      </c>
      <c r="U21" s="71">
        <f>('FS-AD Daily '!AF25)*1000</f>
        <v>49099.999999991269</v>
      </c>
      <c r="V21" s="71">
        <f>('FS-AD Daily '!AG25)*1000</f>
        <v>39500</v>
      </c>
      <c r="W21" s="71">
        <f>'FS-AD Daily '!AH25*1000</f>
        <v>16599.999999998545</v>
      </c>
      <c r="X21" s="71">
        <f>('FS-AD Daily '!AK25)*1000</f>
        <v>36099.999999998545</v>
      </c>
      <c r="Y21" s="71">
        <v>45</v>
      </c>
      <c r="Z21" s="113">
        <v>72</v>
      </c>
    </row>
    <row r="22" spans="1:26" x14ac:dyDescent="0.25">
      <c r="A22" s="112" t="s">
        <v>80</v>
      </c>
      <c r="B22" s="69">
        <f t="shared" si="1"/>
        <v>21</v>
      </c>
      <c r="C22" s="70">
        <v>8</v>
      </c>
      <c r="D22" s="69">
        <v>2021</v>
      </c>
      <c r="E22" s="71">
        <f>'FS-AD Daily '!B26</f>
        <v>5995</v>
      </c>
      <c r="F22" s="71">
        <f>'FS-AD Daily '!C26</f>
        <v>3161</v>
      </c>
      <c r="G22" s="71">
        <f>'FS-AD Daily '!D26</f>
        <v>707</v>
      </c>
      <c r="H22" s="71">
        <f>'FS-AD Daily '!E26</f>
        <v>5995</v>
      </c>
      <c r="I22" s="71">
        <f>'FS-AD Daily '!F26</f>
        <v>6123</v>
      </c>
      <c r="J22" s="71">
        <f>'FS-AD Daily '!G26</f>
        <v>3100</v>
      </c>
      <c r="K22" s="71">
        <f>'FS-AD Daily '!H26</f>
        <v>8196</v>
      </c>
      <c r="L22" s="71">
        <f>'FS-AD Daily '!I26</f>
        <v>2525</v>
      </c>
      <c r="M22" s="71">
        <f>'FS-AD Daily '!J26</f>
        <v>7099</v>
      </c>
      <c r="N22" s="71">
        <f>'FS-AD Daily '!T26</f>
        <v>149.66700000000128</v>
      </c>
      <c r="O22" s="71">
        <f>'FS-AD Daily '!R26</f>
        <v>87.602000000004409</v>
      </c>
      <c r="P22" s="71">
        <f>'FS-AD Daily '!Z26</f>
        <v>420</v>
      </c>
      <c r="Q22" s="71">
        <f>'FS-AD Daily '!V26</f>
        <v>177.59999999997672</v>
      </c>
      <c r="R22" s="71">
        <f>'FS-AD Daily '!W26</f>
        <v>0</v>
      </c>
      <c r="S22" s="71">
        <f t="shared" si="0"/>
        <v>242.40000000002328</v>
      </c>
      <c r="T22" s="71">
        <f>'FS-AD Daily '!AD26*3.516</f>
        <v>110050.8</v>
      </c>
      <c r="U22" s="71">
        <f>('FS-AD Daily '!AF26)*1000</f>
        <v>48600.000000005821</v>
      </c>
      <c r="V22" s="71">
        <f>('FS-AD Daily '!AG26)*1000</f>
        <v>39599.999999998545</v>
      </c>
      <c r="W22" s="71">
        <f>'FS-AD Daily '!AH26*1000</f>
        <v>17300.00000000291</v>
      </c>
      <c r="X22" s="71">
        <f>('FS-AD Daily '!AK26)*1000</f>
        <v>38100.000000005821</v>
      </c>
      <c r="Y22" s="71">
        <v>38</v>
      </c>
      <c r="Z22" s="113">
        <v>60</v>
      </c>
    </row>
    <row r="23" spans="1:26" x14ac:dyDescent="0.25">
      <c r="A23" s="112" t="s">
        <v>80</v>
      </c>
      <c r="B23" s="69">
        <f t="shared" si="1"/>
        <v>22</v>
      </c>
      <c r="C23" s="70">
        <v>8</v>
      </c>
      <c r="D23" s="69">
        <v>2021</v>
      </c>
      <c r="E23" s="71">
        <f>'FS-AD Daily '!B27</f>
        <v>5856</v>
      </c>
      <c r="F23" s="71">
        <f>'FS-AD Daily '!C27</f>
        <v>3324</v>
      </c>
      <c r="G23" s="71">
        <f>'FS-AD Daily '!D27</f>
        <v>766</v>
      </c>
      <c r="H23" s="71">
        <f>'FS-AD Daily '!E27</f>
        <v>5987</v>
      </c>
      <c r="I23" s="71">
        <f>'FS-AD Daily '!F27</f>
        <v>6100</v>
      </c>
      <c r="J23" s="71">
        <f>'FS-AD Daily '!G27</f>
        <v>3036</v>
      </c>
      <c r="K23" s="71">
        <f>'FS-AD Daily '!H27</f>
        <v>8081</v>
      </c>
      <c r="L23" s="71">
        <f>'FS-AD Daily '!I27</f>
        <v>2484</v>
      </c>
      <c r="M23" s="71">
        <f>'FS-AD Daily '!J27</f>
        <v>6988</v>
      </c>
      <c r="N23" s="71">
        <f>'FS-AD Daily '!T27</f>
        <v>124.06000000000495</v>
      </c>
      <c r="O23" s="71">
        <f>'FS-AD Daily '!R27</f>
        <v>86.6390000000074</v>
      </c>
      <c r="P23" s="71">
        <f>'FS-AD Daily '!Z27</f>
        <v>428</v>
      </c>
      <c r="Q23" s="71">
        <f>'FS-AD Daily '!V27</f>
        <v>168.5</v>
      </c>
      <c r="R23" s="71">
        <f>'FS-AD Daily '!W27</f>
        <v>0</v>
      </c>
      <c r="S23" s="71">
        <f t="shared" si="0"/>
        <v>259.5</v>
      </c>
      <c r="T23" s="71">
        <f>'FS-AD Daily '!AD27*3.516</f>
        <v>119361.16800000001</v>
      </c>
      <c r="U23" s="71">
        <f>('FS-AD Daily '!AF27)*1000</f>
        <v>53000</v>
      </c>
      <c r="V23" s="71">
        <f>('FS-AD Daily '!AG27)*1000</f>
        <v>43000</v>
      </c>
      <c r="W23" s="71">
        <f>'FS-AD Daily '!AH27*1000</f>
        <v>17199.99999999709</v>
      </c>
      <c r="X23" s="71">
        <f>('FS-AD Daily '!AK27)*1000</f>
        <v>38899.999999994179</v>
      </c>
      <c r="Y23" s="71">
        <v>64</v>
      </c>
      <c r="Z23" s="113">
        <v>102</v>
      </c>
    </row>
    <row r="24" spans="1:26" x14ac:dyDescent="0.25">
      <c r="A24" s="112" t="s">
        <v>80</v>
      </c>
      <c r="B24" s="69">
        <f t="shared" si="1"/>
        <v>23</v>
      </c>
      <c r="C24" s="70">
        <v>8</v>
      </c>
      <c r="D24" s="69">
        <v>2021</v>
      </c>
      <c r="E24" s="71">
        <f>'FS-AD Daily '!B28</f>
        <v>5708</v>
      </c>
      <c r="F24" s="71">
        <f>'FS-AD Daily '!C28</f>
        <v>3390</v>
      </c>
      <c r="G24" s="71">
        <f>'FS-AD Daily '!D28</f>
        <v>744</v>
      </c>
      <c r="H24" s="71">
        <f>'FS-AD Daily '!E28</f>
        <v>5841</v>
      </c>
      <c r="I24" s="71">
        <f>'FS-AD Daily '!F28</f>
        <v>5996</v>
      </c>
      <c r="J24" s="71">
        <f>'FS-AD Daily '!G28</f>
        <v>3104</v>
      </c>
      <c r="K24" s="71">
        <f>'FS-AD Daily '!H28</f>
        <v>7993</v>
      </c>
      <c r="L24" s="71">
        <f>'FS-AD Daily '!I28</f>
        <v>2370</v>
      </c>
      <c r="M24" s="71">
        <f>'FS-AD Daily '!J28</f>
        <v>6887</v>
      </c>
      <c r="N24" s="71">
        <f>'FS-AD Daily '!T28</f>
        <v>124.47499999999491</v>
      </c>
      <c r="O24" s="71">
        <f>'FS-AD Daily '!R28</f>
        <v>94.842999999989843</v>
      </c>
      <c r="P24" s="71">
        <f>'FS-AD Daily '!Z28</f>
        <v>428</v>
      </c>
      <c r="Q24" s="71">
        <f>'FS-AD Daily '!V28</f>
        <v>167.70000000001164</v>
      </c>
      <c r="R24" s="71">
        <f>'FS-AD Daily '!W28</f>
        <v>19.770000000004075</v>
      </c>
      <c r="S24" s="71">
        <f t="shared" si="0"/>
        <v>240.52999999998428</v>
      </c>
      <c r="T24" s="71">
        <f>'FS-AD Daily '!AD28*3.516</f>
        <v>129968.94</v>
      </c>
      <c r="U24" s="71">
        <f>('FS-AD Daily '!AF28)*1000</f>
        <v>58800.00000000291</v>
      </c>
      <c r="V24" s="71">
        <f>('FS-AD Daily '!AG28)*1000</f>
        <v>44000</v>
      </c>
      <c r="W24" s="71">
        <f>'FS-AD Daily '!AH28*1000</f>
        <v>19900.000000001455</v>
      </c>
      <c r="X24" s="71">
        <f>('FS-AD Daily '!AK28)*1000</f>
        <v>39600.000000005821</v>
      </c>
      <c r="Y24" s="71">
        <v>69</v>
      </c>
      <c r="Z24" s="113">
        <v>105</v>
      </c>
    </row>
    <row r="25" spans="1:26" x14ac:dyDescent="0.25">
      <c r="A25" s="112" t="s">
        <v>80</v>
      </c>
      <c r="B25" s="69">
        <f t="shared" si="1"/>
        <v>24</v>
      </c>
      <c r="C25" s="70">
        <v>8</v>
      </c>
      <c r="D25" s="69">
        <v>2021</v>
      </c>
      <c r="E25" s="71">
        <f>'FS-AD Daily '!B29</f>
        <v>5874</v>
      </c>
      <c r="F25" s="71">
        <f>'FS-AD Daily '!C29</f>
        <v>3279</v>
      </c>
      <c r="G25" s="71">
        <f>'FS-AD Daily '!D29</f>
        <v>777</v>
      </c>
      <c r="H25" s="71">
        <f>'FS-AD Daily '!E29</f>
        <v>5723</v>
      </c>
      <c r="I25" s="71">
        <f>'FS-AD Daily '!F29</f>
        <v>5994</v>
      </c>
      <c r="J25" s="71">
        <f>'FS-AD Daily '!G29</f>
        <v>3075</v>
      </c>
      <c r="K25" s="71">
        <f>'FS-AD Daily '!H29</f>
        <v>7995</v>
      </c>
      <c r="L25" s="71">
        <f>'FS-AD Daily '!I29</f>
        <v>2376</v>
      </c>
      <c r="M25" s="71">
        <f>'FS-AD Daily '!J29</f>
        <v>6939</v>
      </c>
      <c r="N25" s="71">
        <f>'FS-AD Daily '!T29</f>
        <v>138.34200000000783</v>
      </c>
      <c r="O25" s="71">
        <f>'FS-AD Daily '!R29</f>
        <v>75.282999999997628</v>
      </c>
      <c r="P25" s="71">
        <f>'FS-AD Daily '!Z29</f>
        <v>431</v>
      </c>
      <c r="Q25" s="71">
        <f>'FS-AD Daily '!V29</f>
        <v>169.39999999996508</v>
      </c>
      <c r="R25" s="71">
        <f>'FS-AD Daily '!W29</f>
        <v>0</v>
      </c>
      <c r="S25" s="71">
        <f t="shared" si="0"/>
        <v>261.60000000003492</v>
      </c>
      <c r="T25" s="71">
        <f>'FS-AD Daily '!AD29*3.516</f>
        <v>112603.416</v>
      </c>
      <c r="U25" s="71">
        <f>('FS-AD Daily '!AF29)*1000</f>
        <v>49899.999999994179</v>
      </c>
      <c r="V25" s="71">
        <f>('FS-AD Daily '!AG29)*1000</f>
        <v>40500</v>
      </c>
      <c r="W25" s="71">
        <f>'FS-AD Daily '!AH29*1000</f>
        <v>17799.999999999272</v>
      </c>
      <c r="X25" s="71">
        <f>('FS-AD Daily '!AK29)*1000</f>
        <v>36599.999999998545</v>
      </c>
      <c r="Y25" s="71">
        <v>75</v>
      </c>
      <c r="Z25" s="113">
        <v>113</v>
      </c>
    </row>
    <row r="26" spans="1:26" x14ac:dyDescent="0.25">
      <c r="A26" s="112" t="s">
        <v>80</v>
      </c>
      <c r="B26" s="69">
        <f>B25+1</f>
        <v>25</v>
      </c>
      <c r="C26" s="70">
        <v>8</v>
      </c>
      <c r="D26" s="69">
        <v>2021</v>
      </c>
      <c r="E26" s="71">
        <f>'FS-AD Daily '!B30</f>
        <v>5777</v>
      </c>
      <c r="F26" s="71">
        <f>'FS-AD Daily '!C30</f>
        <v>3791</v>
      </c>
      <c r="G26" s="71">
        <f>'FS-AD Daily '!D30</f>
        <v>748</v>
      </c>
      <c r="H26" s="71">
        <f>'FS-AD Daily '!E30</f>
        <v>5792</v>
      </c>
      <c r="I26" s="71">
        <f>'FS-AD Daily '!F30</f>
        <v>6179</v>
      </c>
      <c r="J26" s="71">
        <f>'FS-AD Daily '!G30</f>
        <v>3126</v>
      </c>
      <c r="K26" s="71">
        <f>'FS-AD Daily '!H30</f>
        <v>8143</v>
      </c>
      <c r="L26" s="71">
        <f>'FS-AD Daily '!I30</f>
        <v>2436</v>
      </c>
      <c r="M26" s="71">
        <f>'FS-AD Daily '!J30</f>
        <v>7141</v>
      </c>
      <c r="N26" s="71">
        <f>'FS-AD Daily '!T30</f>
        <v>128.71399999999994</v>
      </c>
      <c r="O26" s="71">
        <f>'FS-AD Daily '!R30</f>
        <v>89.02100000000064</v>
      </c>
      <c r="P26" s="71">
        <f>'FS-AD Daily '!Z30</f>
        <v>440</v>
      </c>
      <c r="Q26" s="71">
        <f>'FS-AD Daily '!V30</f>
        <v>169.20000000001164</v>
      </c>
      <c r="R26" s="71">
        <f>'FS-AD Daily '!W30</f>
        <v>0</v>
      </c>
      <c r="S26" s="71">
        <f t="shared" si="0"/>
        <v>270.79999999998836</v>
      </c>
      <c r="T26" s="71">
        <f>'FS-AD Daily '!AD30*3.516</f>
        <v>116376.084</v>
      </c>
      <c r="U26" s="71">
        <f>('FS-AD Daily '!AF30)*1000</f>
        <v>50500</v>
      </c>
      <c r="V26" s="71">
        <f>('FS-AD Daily '!AG30)*1000</f>
        <v>41700.000000004366</v>
      </c>
      <c r="W26" s="71">
        <f>'FS-AD Daily '!AH30*1000</f>
        <v>17900.000000001455</v>
      </c>
      <c r="X26" s="71">
        <f>('FS-AD Daily '!AK30)*1000</f>
        <v>37400.000000001455</v>
      </c>
      <c r="Y26" s="71">
        <v>65</v>
      </c>
      <c r="Z26" s="113">
        <v>93</v>
      </c>
    </row>
    <row r="27" spans="1:26" x14ac:dyDescent="0.25">
      <c r="A27" s="112" t="s">
        <v>80</v>
      </c>
      <c r="B27" s="69">
        <f t="shared" si="1"/>
        <v>26</v>
      </c>
      <c r="C27" s="70">
        <v>8</v>
      </c>
      <c r="D27" s="69">
        <v>2021</v>
      </c>
      <c r="E27" s="71">
        <f>'FS-AD Daily '!B31</f>
        <v>5977</v>
      </c>
      <c r="F27" s="71">
        <f>'FS-AD Daily '!C31</f>
        <v>3666</v>
      </c>
      <c r="G27" s="71">
        <f>'FS-AD Daily '!D31</f>
        <v>774</v>
      </c>
      <c r="H27" s="71">
        <f>'FS-AD Daily '!E31</f>
        <v>5914</v>
      </c>
      <c r="I27" s="71">
        <f>'FS-AD Daily '!F31</f>
        <v>6133</v>
      </c>
      <c r="J27" s="71">
        <f>'FS-AD Daily '!G31</f>
        <v>3185</v>
      </c>
      <c r="K27" s="71">
        <f>'FS-AD Daily '!H31</f>
        <v>7961</v>
      </c>
      <c r="L27" s="71">
        <f>'FS-AD Daily '!I31</f>
        <v>2424</v>
      </c>
      <c r="M27" s="71">
        <f>'FS-AD Daily '!J31</f>
        <v>7024</v>
      </c>
      <c r="N27" s="71">
        <f>'FS-AD Daily '!T31</f>
        <v>141.86799999999494</v>
      </c>
      <c r="O27" s="71">
        <f>'FS-AD Daily '!R31</f>
        <v>83.697000000004664</v>
      </c>
      <c r="P27" s="71">
        <f>'FS-AD Daily '!Z31</f>
        <v>436</v>
      </c>
      <c r="Q27" s="71">
        <f>'FS-AD Daily '!V31</f>
        <v>165.20000000001164</v>
      </c>
      <c r="R27" s="71">
        <f>'FS-AD Daily '!W31</f>
        <v>0</v>
      </c>
      <c r="S27" s="71">
        <f t="shared" si="0"/>
        <v>270.79999999998836</v>
      </c>
      <c r="T27" s="71">
        <f>'FS-AD Daily '!AD31*3.516</f>
        <v>134704.992</v>
      </c>
      <c r="U27" s="71">
        <f>('FS-AD Daily '!AF31)*1000</f>
        <v>63000</v>
      </c>
      <c r="V27" s="71">
        <f>('FS-AD Daily '!AG31)*1000</f>
        <v>45500</v>
      </c>
      <c r="W27" s="71">
        <f>'FS-AD Daily '!AH31*1000</f>
        <v>18899.999999997817</v>
      </c>
      <c r="X27" s="71">
        <f>('FS-AD Daily '!AK31)*1000</f>
        <v>39099.999999998545</v>
      </c>
      <c r="Y27" s="71">
        <v>53</v>
      </c>
      <c r="Z27" s="113">
        <v>95</v>
      </c>
    </row>
    <row r="28" spans="1:26" x14ac:dyDescent="0.25">
      <c r="A28" s="112" t="s">
        <v>80</v>
      </c>
      <c r="B28" s="69">
        <f t="shared" si="1"/>
        <v>27</v>
      </c>
      <c r="C28" s="70">
        <v>8</v>
      </c>
      <c r="D28" s="69">
        <v>2021</v>
      </c>
      <c r="E28" s="71">
        <f>'FS-AD Daily '!B32</f>
        <v>5726</v>
      </c>
      <c r="F28" s="71">
        <f>'FS-AD Daily '!C32</f>
        <v>3630</v>
      </c>
      <c r="G28" s="71">
        <f>'FS-AD Daily '!D32</f>
        <v>754</v>
      </c>
      <c r="H28" s="71">
        <f>'FS-AD Daily '!E32</f>
        <v>5660</v>
      </c>
      <c r="I28" s="71">
        <f>'FS-AD Daily '!F32</f>
        <v>6274</v>
      </c>
      <c r="J28" s="71">
        <f>'FS-AD Daily '!G32</f>
        <v>3191</v>
      </c>
      <c r="K28" s="71">
        <f>'FS-AD Daily '!H32</f>
        <v>7925</v>
      </c>
      <c r="L28" s="71">
        <f>'FS-AD Daily '!I32</f>
        <v>2323</v>
      </c>
      <c r="M28" s="71">
        <f>'FS-AD Daily '!J32</f>
        <v>7058</v>
      </c>
      <c r="N28" s="71">
        <f>'FS-AD Daily '!T32</f>
        <v>144.07900000000518</v>
      </c>
      <c r="O28" s="71">
        <f>'FS-AD Daily '!R32</f>
        <v>92.741999999996551</v>
      </c>
      <c r="P28" s="71">
        <f>'FS-AD Daily '!Z32</f>
        <v>484</v>
      </c>
      <c r="Q28" s="71">
        <f>'FS-AD Daily '!V32</f>
        <v>171.40000000002328</v>
      </c>
      <c r="R28" s="71">
        <f>'FS-AD Daily '!W32</f>
        <v>0</v>
      </c>
      <c r="S28" s="71">
        <f t="shared" si="0"/>
        <v>312.59999999997672</v>
      </c>
      <c r="T28" s="71">
        <f>'FS-AD Daily '!AD32*3.516</f>
        <v>120922.272</v>
      </c>
      <c r="U28" s="71">
        <f>('FS-AD Daily '!AF32)*1000</f>
        <v>54800.00000000291</v>
      </c>
      <c r="V28" s="71">
        <f>('FS-AD Daily '!AG32)*1000</f>
        <v>42399.999999994179</v>
      </c>
      <c r="W28" s="71">
        <f>'FS-AD Daily '!AH32*1000</f>
        <v>17800.00000000291</v>
      </c>
      <c r="X28" s="71">
        <f>('FS-AD Daily '!AK32)*1000</f>
        <v>37299.999999995634</v>
      </c>
      <c r="Y28" s="71">
        <v>58</v>
      </c>
      <c r="Z28" s="113">
        <v>106</v>
      </c>
    </row>
    <row r="29" spans="1:26" x14ac:dyDescent="0.25">
      <c r="A29" s="112" t="s">
        <v>80</v>
      </c>
      <c r="B29" s="69">
        <f t="shared" si="1"/>
        <v>28</v>
      </c>
      <c r="C29" s="70">
        <v>8</v>
      </c>
      <c r="D29" s="69">
        <v>2021</v>
      </c>
      <c r="E29" s="71">
        <f>'FS-AD Daily '!B33</f>
        <v>5295</v>
      </c>
      <c r="F29" s="71">
        <f>'FS-AD Daily '!C33</f>
        <v>3430</v>
      </c>
      <c r="G29" s="71">
        <f>'FS-AD Daily '!D33</f>
        <v>785</v>
      </c>
      <c r="H29" s="71">
        <f>'FS-AD Daily '!E33</f>
        <v>5700</v>
      </c>
      <c r="I29" s="71">
        <f>'FS-AD Daily '!F33</f>
        <v>6018</v>
      </c>
      <c r="J29" s="71">
        <f>'FS-AD Daily '!G33</f>
        <v>3136</v>
      </c>
      <c r="K29" s="71">
        <f>'FS-AD Daily '!H33</f>
        <v>8011</v>
      </c>
      <c r="L29" s="71">
        <f>'FS-AD Daily '!I33</f>
        <v>2453</v>
      </c>
      <c r="M29" s="71">
        <f>'FS-AD Daily '!J33</f>
        <v>7128</v>
      </c>
      <c r="N29" s="71">
        <f>'FS-AD Daily '!T33</f>
        <v>136.02399999999398</v>
      </c>
      <c r="O29" s="71">
        <f>'FS-AD Daily '!R33</f>
        <v>90.624000000009801</v>
      </c>
      <c r="P29" s="71">
        <f>'FS-AD Daily '!Z33</f>
        <v>440</v>
      </c>
      <c r="Q29" s="71">
        <f>'FS-AD Daily '!V33</f>
        <v>164.29999999998836</v>
      </c>
      <c r="R29" s="71">
        <f>'FS-AD Daily '!W33</f>
        <v>0</v>
      </c>
      <c r="S29" s="71">
        <f t="shared" si="0"/>
        <v>275.70000000001164</v>
      </c>
      <c r="T29" s="71">
        <f>'FS-AD Daily '!AD33*3.516</f>
        <v>117132.024</v>
      </c>
      <c r="U29" s="71">
        <f>('FS-AD Daily '!AF33)*1000</f>
        <v>52600.000000005821</v>
      </c>
      <c r="V29" s="71">
        <f>('FS-AD Daily '!AG33)*1000</f>
        <v>41100.000000005821</v>
      </c>
      <c r="W29" s="71">
        <f>'FS-AD Daily '!AH33*1000</f>
        <v>18500</v>
      </c>
      <c r="X29" s="71">
        <f>('FS-AD Daily '!AK33)*1000</f>
        <v>36900.000000001455</v>
      </c>
      <c r="Y29" s="71">
        <v>35</v>
      </c>
      <c r="Z29" s="113">
        <v>57</v>
      </c>
    </row>
    <row r="30" spans="1:26" x14ac:dyDescent="0.25">
      <c r="A30" s="112" t="s">
        <v>80</v>
      </c>
      <c r="B30" s="69">
        <f t="shared" si="1"/>
        <v>29</v>
      </c>
      <c r="C30" s="70">
        <v>8</v>
      </c>
      <c r="D30" s="69">
        <v>2021</v>
      </c>
      <c r="E30" s="71">
        <f>'FS-AD Daily '!B34</f>
        <v>5099</v>
      </c>
      <c r="F30" s="71">
        <f>'FS-AD Daily '!C34</f>
        <v>3595</v>
      </c>
      <c r="G30" s="71">
        <f>'FS-AD Daily '!D34</f>
        <v>750</v>
      </c>
      <c r="H30" s="71">
        <f>'FS-AD Daily '!E34</f>
        <v>5747</v>
      </c>
      <c r="I30" s="71">
        <f>'FS-AD Daily '!F34</f>
        <v>6050</v>
      </c>
      <c r="J30" s="71">
        <f>'FS-AD Daily '!G34</f>
        <v>3160</v>
      </c>
      <c r="K30" s="71">
        <f>'FS-AD Daily '!H34</f>
        <v>7960</v>
      </c>
      <c r="L30" s="71">
        <f>'FS-AD Daily '!I34</f>
        <v>2479</v>
      </c>
      <c r="M30" s="71">
        <f>'FS-AD Daily '!J34</f>
        <v>6934</v>
      </c>
      <c r="N30" s="71">
        <f>'FS-AD Daily '!T34</f>
        <v>115.66600000000835</v>
      </c>
      <c r="O30" s="71">
        <f>'FS-AD Daily '!R34</f>
        <v>86.777000000000044</v>
      </c>
      <c r="P30" s="71">
        <f>'FS-AD Daily '!Z34</f>
        <v>416</v>
      </c>
      <c r="Q30" s="71">
        <f>'FS-AD Daily '!V34</f>
        <v>167.39999999996508</v>
      </c>
      <c r="R30" s="71">
        <f>'FS-AD Daily '!W34</f>
        <v>0</v>
      </c>
      <c r="S30" s="71">
        <f t="shared" si="0"/>
        <v>248.60000000003492</v>
      </c>
      <c r="T30" s="71">
        <f>'FS-AD Daily '!AD34*3.516</f>
        <v>114713.016</v>
      </c>
      <c r="U30" s="71">
        <f>('FS-AD Daily '!AF34)*1000</f>
        <v>52699.99999999709</v>
      </c>
      <c r="V30" s="71">
        <f>('FS-AD Daily '!AG34)*1000</f>
        <v>40299.999999995634</v>
      </c>
      <c r="W30" s="71">
        <f>'FS-AD Daily '!AH34*1000</f>
        <v>18000</v>
      </c>
      <c r="X30" s="71">
        <f>('FS-AD Daily '!AK34)*1000</f>
        <v>35500</v>
      </c>
      <c r="Y30" s="71">
        <v>50</v>
      </c>
      <c r="Z30" s="113">
        <v>74</v>
      </c>
    </row>
    <row r="31" spans="1:26" x14ac:dyDescent="0.25">
      <c r="A31" s="138" t="s">
        <v>80</v>
      </c>
      <c r="B31" s="139">
        <f t="shared" si="1"/>
        <v>30</v>
      </c>
      <c r="C31" s="70">
        <v>8</v>
      </c>
      <c r="D31" s="69">
        <v>2021</v>
      </c>
      <c r="E31" s="71">
        <f>'FS-AD Daily '!B35</f>
        <v>5196</v>
      </c>
      <c r="F31" s="71">
        <f>'FS-AD Daily '!C35</f>
        <v>3774</v>
      </c>
      <c r="G31" s="71">
        <f>'FS-AD Daily '!D35</f>
        <v>772</v>
      </c>
      <c r="H31" s="71">
        <f>'FS-AD Daily '!E35</f>
        <v>5795</v>
      </c>
      <c r="I31" s="141">
        <f>'FS-AD Daily '!F35</f>
        <v>6162</v>
      </c>
      <c r="J31" s="141">
        <f>'FS-AD Daily '!G35</f>
        <v>3131</v>
      </c>
      <c r="K31" s="141">
        <f>'FS-AD Daily '!H35</f>
        <v>7955</v>
      </c>
      <c r="L31" s="141">
        <f>'FS-AD Daily '!I35</f>
        <v>2473</v>
      </c>
      <c r="M31" s="141">
        <f>'FS-AD Daily '!J35</f>
        <v>6895</v>
      </c>
      <c r="N31" s="141">
        <f>'FS-AD Daily '!T35</f>
        <v>116.48300000000381</v>
      </c>
      <c r="O31" s="141">
        <f>'FS-AD Daily '!R35</f>
        <v>76.800999999997657</v>
      </c>
      <c r="P31" s="141">
        <f>'FS-AD Daily '!Z35</f>
        <v>428</v>
      </c>
      <c r="Q31" s="141">
        <f>'FS-AD Daily '!V35</f>
        <v>163</v>
      </c>
      <c r="R31" s="141">
        <f>'FS-AD Daily '!W35</f>
        <v>0</v>
      </c>
      <c r="S31" s="141">
        <f t="shared" si="0"/>
        <v>265</v>
      </c>
      <c r="T31" s="141">
        <f>'FS-AD Daily '!AD35*3.516</f>
        <v>101355.732</v>
      </c>
      <c r="U31" s="141">
        <f>('FS-AD Daily '!AF35)*1000</f>
        <v>46300.00000000291</v>
      </c>
      <c r="V31" s="141">
        <f>('FS-AD Daily '!AG35)*1000</f>
        <v>36000</v>
      </c>
      <c r="W31" s="141">
        <f>'FS-AD Daily '!AH35*1000</f>
        <v>16699.99999999709</v>
      </c>
      <c r="X31" s="141">
        <f>('FS-AD Daily '!AK35)*1000</f>
        <v>33500</v>
      </c>
      <c r="Y31" s="141">
        <v>47</v>
      </c>
      <c r="Z31" s="142">
        <v>77</v>
      </c>
    </row>
    <row r="32" spans="1:26" ht="15.75" thickBot="1" x14ac:dyDescent="0.3">
      <c r="A32" s="114" t="s">
        <v>80</v>
      </c>
      <c r="B32" s="115">
        <f t="shared" si="1"/>
        <v>31</v>
      </c>
      <c r="C32" s="116">
        <v>8</v>
      </c>
      <c r="D32" s="115">
        <v>2021</v>
      </c>
      <c r="E32" s="117">
        <f>'FS-AD Daily '!B36</f>
        <v>5043</v>
      </c>
      <c r="F32" s="117">
        <f>'FS-AD Daily '!C36</f>
        <v>3654</v>
      </c>
      <c r="G32" s="117">
        <f>'FS-AD Daily '!D36</f>
        <v>778</v>
      </c>
      <c r="H32" s="117">
        <f>'FS-AD Daily '!E36</f>
        <v>5627</v>
      </c>
      <c r="I32" s="117">
        <f>'FS-AD Daily '!F36</f>
        <v>5929</v>
      </c>
      <c r="J32" s="117">
        <f>'FS-AD Daily '!G36</f>
        <v>3175</v>
      </c>
      <c r="K32" s="117">
        <f>'FS-AD Daily '!H36</f>
        <v>7885</v>
      </c>
      <c r="L32" s="117">
        <f>'FS-AD Daily '!I36</f>
        <v>2471</v>
      </c>
      <c r="M32" s="117">
        <f>'FS-AD Daily '!J36</f>
        <v>6774</v>
      </c>
      <c r="N32" s="117">
        <f>'FS-AD Daily '!T36</f>
        <v>120.47199999998702</v>
      </c>
      <c r="O32" s="117">
        <f>'FS-AD Daily '!R36</f>
        <v>82.258000000004358</v>
      </c>
      <c r="P32" s="117">
        <f>'FS-AD Daily '!Z36</f>
        <v>431</v>
      </c>
      <c r="Q32" s="117">
        <f>'FS-AD Daily '!V36</f>
        <v>162.40000000002328</v>
      </c>
      <c r="R32" s="117">
        <f>'FS-AD Daily '!W36</f>
        <v>0</v>
      </c>
      <c r="S32" s="117">
        <f t="shared" ref="S32" si="2">P32-Q32-R32</f>
        <v>268.59999999997672</v>
      </c>
      <c r="T32" s="117">
        <f>'FS-AD Daily '!AD36*3.516</f>
        <v>106105.848</v>
      </c>
      <c r="U32" s="117">
        <f>('FS-AD Daily '!AF36)*1000</f>
        <v>47199.99999999709</v>
      </c>
      <c r="V32" s="117">
        <f>('FS-AD Daily '!AG36)*1000</f>
        <v>41200.000000004366</v>
      </c>
      <c r="W32" s="117">
        <f>'FS-AD Daily '!AH36*1000</f>
        <v>16600.000000002183</v>
      </c>
      <c r="X32" s="117">
        <f>('FS-AD Daily '!AK36)*1000</f>
        <v>35500</v>
      </c>
      <c r="Y32" s="117">
        <v>57</v>
      </c>
      <c r="Z32" s="118">
        <v>81</v>
      </c>
    </row>
    <row r="33" spans="9:26" x14ac:dyDescent="0.25">
      <c r="I33" s="4">
        <f t="shared" ref="I33:W33" si="3">SUM(I2:I32)</f>
        <v>187013</v>
      </c>
      <c r="J33" s="4">
        <f t="shared" si="3"/>
        <v>98791</v>
      </c>
      <c r="K33" s="4">
        <f t="shared" si="3"/>
        <v>234712</v>
      </c>
      <c r="L33" s="4">
        <f t="shared" si="3"/>
        <v>75303</v>
      </c>
      <c r="M33" s="4">
        <f t="shared" si="3"/>
        <v>215171</v>
      </c>
      <c r="N33" s="4">
        <f t="shared" si="3"/>
        <v>4236.8620000000046</v>
      </c>
      <c r="O33" s="4">
        <f t="shared" si="3"/>
        <v>2649.3160000000062</v>
      </c>
      <c r="P33" s="4">
        <f t="shared" si="3"/>
        <v>13242</v>
      </c>
      <c r="Q33" s="4">
        <f t="shared" si="3"/>
        <v>5102</v>
      </c>
      <c r="R33" s="4">
        <f t="shared" si="3"/>
        <v>20.55000000000291</v>
      </c>
      <c r="S33" s="4">
        <f t="shared" si="3"/>
        <v>8119.4499999999971</v>
      </c>
      <c r="T33" s="4">
        <f t="shared" si="3"/>
        <v>3738047.7059999993</v>
      </c>
      <c r="U33" s="4">
        <f t="shared" si="3"/>
        <v>1737800.0000000028</v>
      </c>
      <c r="V33" s="4">
        <f t="shared" si="3"/>
        <v>1283100.0000000058</v>
      </c>
      <c r="W33" s="4">
        <f t="shared" si="3"/>
        <v>574900.00000000151</v>
      </c>
      <c r="X33" s="4">
        <f>'FS-AD Daily '!U38</f>
        <v>12446.360639999984</v>
      </c>
      <c r="Y33" s="4">
        <f>SUM(Y2:Y32)</f>
        <v>2094</v>
      </c>
      <c r="Z33" s="4">
        <f>SUM(Z2:Z32)</f>
        <v>3427</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zoomScaleNormal="100" workbookViewId="0">
      <pane xSplit="7" ySplit="4" topLeftCell="AC26" activePane="bottomRight" state="frozen"/>
      <selection pane="topRight" activeCell="H1" sqref="H1"/>
      <selection pane="bottomLeft" activeCell="A5" sqref="A5"/>
      <selection pane="bottomRight" activeCell="AD38" sqref="AD38"/>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4" width="15.7109375" style="6" customWidth="1"/>
    <col min="25"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0" t="s">
        <v>14</v>
      </c>
      <c r="C1" s="150"/>
      <c r="D1" s="150"/>
      <c r="E1" s="150"/>
      <c r="F1" s="150"/>
      <c r="G1" s="150"/>
      <c r="H1" s="150"/>
      <c r="I1" s="150"/>
      <c r="J1" s="150"/>
      <c r="K1" s="25" t="s">
        <v>15</v>
      </c>
      <c r="L1" s="26" t="s">
        <v>16</v>
      </c>
      <c r="M1" s="27" t="s">
        <v>17</v>
      </c>
      <c r="N1" s="28" t="s">
        <v>18</v>
      </c>
      <c r="O1" s="28" t="s">
        <v>19</v>
      </c>
      <c r="P1" s="65" t="s">
        <v>20</v>
      </c>
      <c r="Q1" s="30" t="s">
        <v>21</v>
      </c>
      <c r="R1" s="31" t="s">
        <v>22</v>
      </c>
      <c r="S1" s="29" t="s">
        <v>23</v>
      </c>
      <c r="T1" s="32" t="s">
        <v>24</v>
      </c>
      <c r="U1" s="33" t="s">
        <v>25</v>
      </c>
      <c r="V1" s="32" t="s">
        <v>26</v>
      </c>
      <c r="W1" s="32" t="s">
        <v>27</v>
      </c>
      <c r="X1" s="151" t="s">
        <v>28</v>
      </c>
      <c r="Y1" s="151"/>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2" t="s">
        <v>41</v>
      </c>
      <c r="L2" s="154" t="s">
        <v>42</v>
      </c>
      <c r="M2" s="10"/>
      <c r="N2" s="10"/>
      <c r="O2" s="10"/>
      <c r="P2" s="10"/>
      <c r="Q2" s="10"/>
      <c r="R2" s="10"/>
      <c r="S2" s="156"/>
      <c r="T2" s="47"/>
      <c r="U2" s="157"/>
      <c r="V2" s="45"/>
      <c r="W2" s="45"/>
      <c r="X2" s="22">
        <v>1</v>
      </c>
      <c r="Y2" s="22">
        <v>2</v>
      </c>
      <c r="Z2" s="23"/>
      <c r="AA2" s="154" t="s">
        <v>100</v>
      </c>
      <c r="AB2" s="43"/>
      <c r="AC2" s="152" t="s">
        <v>43</v>
      </c>
      <c r="AD2" s="159"/>
      <c r="AE2" s="157" t="s">
        <v>104</v>
      </c>
      <c r="AF2" s="45"/>
      <c r="AG2" s="45"/>
      <c r="AH2" s="45"/>
      <c r="AI2" s="44"/>
      <c r="AJ2" s="44"/>
      <c r="AK2" s="44"/>
      <c r="AL2" s="44"/>
      <c r="AM2" s="157" t="s">
        <v>105</v>
      </c>
      <c r="AN2" s="160"/>
      <c r="AO2" s="158"/>
    </row>
    <row r="3" spans="1:44" ht="15" customHeight="1" x14ac:dyDescent="0.25">
      <c r="A3" s="9"/>
      <c r="B3" s="11" t="s">
        <v>44</v>
      </c>
      <c r="C3" s="11" t="s">
        <v>45</v>
      </c>
      <c r="D3" s="11" t="s">
        <v>46</v>
      </c>
      <c r="E3" s="11" t="s">
        <v>47</v>
      </c>
      <c r="F3" s="11" t="s">
        <v>48</v>
      </c>
      <c r="G3" s="11" t="s">
        <v>49</v>
      </c>
      <c r="H3" s="11" t="s">
        <v>50</v>
      </c>
      <c r="I3" s="11" t="s">
        <v>51</v>
      </c>
      <c r="J3" s="11" t="s">
        <v>52</v>
      </c>
      <c r="K3" s="153"/>
      <c r="L3" s="155"/>
      <c r="M3" s="10"/>
      <c r="N3" s="10"/>
      <c r="O3" s="10"/>
      <c r="P3" s="10"/>
      <c r="Q3" s="10"/>
      <c r="R3" s="10"/>
      <c r="S3" s="156"/>
      <c r="T3" s="47"/>
      <c r="U3" s="157"/>
      <c r="V3" s="45"/>
      <c r="W3" s="45"/>
      <c r="X3" s="11"/>
      <c r="Y3" s="11"/>
      <c r="Z3" s="12"/>
      <c r="AA3" s="154"/>
      <c r="AB3" s="43"/>
      <c r="AC3" s="152"/>
      <c r="AD3" s="159"/>
      <c r="AE3" s="157"/>
      <c r="AF3" s="45"/>
      <c r="AG3" s="45"/>
      <c r="AH3" s="45"/>
      <c r="AI3" s="13"/>
      <c r="AJ3" s="44"/>
      <c r="AK3" s="44"/>
      <c r="AL3" s="44"/>
      <c r="AM3" s="157"/>
      <c r="AN3" s="160"/>
      <c r="AO3" s="158"/>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6"/>
      <c r="T4" s="47"/>
      <c r="U4" s="157"/>
      <c r="V4" s="45"/>
      <c r="W4" s="45"/>
      <c r="X4" s="52"/>
      <c r="Y4" s="87">
        <v>871800</v>
      </c>
      <c r="Z4" s="12"/>
      <c r="AA4" s="154"/>
      <c r="AB4" s="86">
        <v>6648179.5</v>
      </c>
      <c r="AC4" s="152"/>
      <c r="AD4" s="159"/>
      <c r="AE4" s="157"/>
      <c r="AF4" s="45"/>
      <c r="AG4" s="45"/>
      <c r="AH4" s="45"/>
      <c r="AI4" s="43">
        <v>45265.1</v>
      </c>
      <c r="AJ4" s="43"/>
      <c r="AK4" s="43"/>
      <c r="AL4" s="43"/>
      <c r="AM4" s="157"/>
      <c r="AN4" s="160"/>
      <c r="AO4" s="158"/>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0" t="e">
        <f>SUM(#REF!)</f>
        <v>#REF!</v>
      </c>
    </row>
    <row r="6" spans="1:44" x14ac:dyDescent="0.25">
      <c r="A6" s="80">
        <v>44409</v>
      </c>
      <c r="B6" s="86">
        <f>12243311-12238552</f>
        <v>4759</v>
      </c>
      <c r="C6" s="86">
        <f>7825542-7821382</f>
        <v>4160</v>
      </c>
      <c r="D6" s="86">
        <f>1541225-1540465</f>
        <v>760</v>
      </c>
      <c r="E6" s="86">
        <f>11687917-11682022</f>
        <v>5895</v>
      </c>
      <c r="F6" s="86">
        <f>11607998-11602083</f>
        <v>5915</v>
      </c>
      <c r="G6" s="86">
        <f>8386700-8383546</f>
        <v>3154</v>
      </c>
      <c r="H6" s="86">
        <f>8704916-8696681</f>
        <v>8235</v>
      </c>
      <c r="I6" s="86">
        <f>5253706-5251285</f>
        <v>2421</v>
      </c>
      <c r="J6" s="86">
        <f>11711963-11705130</f>
        <v>6833</v>
      </c>
      <c r="K6" s="63">
        <f>SUM(B6:H6)</f>
        <v>32878</v>
      </c>
      <c r="L6" s="40">
        <f>K6*0.2</f>
        <v>6575.6</v>
      </c>
      <c r="M6" s="83">
        <f>82579.323-82432.253</f>
        <v>147.07000000000698</v>
      </c>
      <c r="N6" s="83">
        <f>4423.72-4415.84</f>
        <v>7.8800000000001091</v>
      </c>
      <c r="O6" s="83">
        <f>9560.01-9555.757</f>
        <v>4.2530000000006112</v>
      </c>
      <c r="P6" s="82">
        <f>92407.475-92349.807</f>
        <v>57.668000000005122</v>
      </c>
      <c r="Q6" s="83">
        <f>24700.986-24681.27</f>
        <v>19.716000000000349</v>
      </c>
      <c r="R6" s="84">
        <f t="shared" ref="R6:R34" si="0">N6+O6+P6</f>
        <v>69.801000000005843</v>
      </c>
      <c r="S6" s="84">
        <f t="shared" ref="S6:S34" si="1">(N6+O6+P6)*7.84</f>
        <v>547.23984000004577</v>
      </c>
      <c r="T6" s="64">
        <f t="shared" ref="T6:T34" si="2">M6+Q6</f>
        <v>166.78600000000733</v>
      </c>
      <c r="U6" s="84">
        <f>T6*7.84</f>
        <v>1307.6022400000575</v>
      </c>
      <c r="V6" s="84">
        <f>360244.7-360067.5</f>
        <v>177.20000000001164</v>
      </c>
      <c r="W6" s="64">
        <f>129966.39-129966.39</f>
        <v>0</v>
      </c>
      <c r="X6" s="85" t="s">
        <v>63</v>
      </c>
      <c r="Y6" s="41">
        <v>872225</v>
      </c>
      <c r="Z6" s="61">
        <f>IF((Y6-Y5&lt;0), "0",Y6-Y4)</f>
        <v>425</v>
      </c>
      <c r="AA6" s="90">
        <f>Z6*6.47</f>
        <v>2749.75</v>
      </c>
      <c r="AB6" s="75">
        <v>6680935</v>
      </c>
      <c r="AC6" s="75">
        <f>AB4</f>
        <v>6648179.5</v>
      </c>
      <c r="AD6" s="41">
        <f t="shared" ref="AD6:AD37" si="3">IF((AB6-AC6&lt;0), "0",AB6-AC6)</f>
        <v>32755.5</v>
      </c>
      <c r="AE6" s="84">
        <f>AD6*0.332195</f>
        <v>10881.2133225</v>
      </c>
      <c r="AF6" s="84">
        <f>89039.7-88987</f>
        <v>52.69999999999709</v>
      </c>
      <c r="AG6" s="84">
        <f>46953-46913.2</f>
        <v>39.80000000000291</v>
      </c>
      <c r="AH6" s="84">
        <f>28127.2-28110.3</f>
        <v>16.900000000001455</v>
      </c>
      <c r="AI6" s="75">
        <f>AI4</f>
        <v>45265.1</v>
      </c>
      <c r="AJ6" s="75">
        <v>45300.6</v>
      </c>
      <c r="AK6" s="59">
        <f>IF((AJ6-AI6)&lt;0, "0",AJ6-AI6)</f>
        <v>35.5</v>
      </c>
      <c r="AL6" s="137">
        <f t="shared" ref="AL6:AL34" si="4">AK6*(284.34513609)</f>
        <v>10094.252331194999</v>
      </c>
      <c r="AM6" s="84">
        <f>AL6*0.332195</f>
        <v>3353.2601531613227</v>
      </c>
      <c r="AN6" s="110">
        <v>74</v>
      </c>
      <c r="AO6" s="77">
        <f t="shared" ref="AO6:AO34" si="5">L6+U6+AA6+AE6</f>
        <v>21514.165562500057</v>
      </c>
    </row>
    <row r="7" spans="1:44" x14ac:dyDescent="0.25">
      <c r="A7" s="79">
        <v>44410</v>
      </c>
      <c r="B7" s="86">
        <f>12248556-12243311</f>
        <v>5245</v>
      </c>
      <c r="C7" s="86">
        <f>7829635-7825542</f>
        <v>4093</v>
      </c>
      <c r="D7" s="86">
        <f>1541973-1541225</f>
        <v>748</v>
      </c>
      <c r="E7" s="86">
        <f>11693670-11687917</f>
        <v>5753</v>
      </c>
      <c r="F7" s="86">
        <f>11613922-11607998</f>
        <v>5924</v>
      </c>
      <c r="G7" s="86">
        <f>8389769-8386700</f>
        <v>3069</v>
      </c>
      <c r="H7" s="86">
        <f>8713015-8704916</f>
        <v>8099</v>
      </c>
      <c r="I7" s="86">
        <f>5256066-5253706</f>
        <v>2360</v>
      </c>
      <c r="J7" s="86">
        <f>11718854-11711963</f>
        <v>6891</v>
      </c>
      <c r="K7" s="86">
        <f>SUM(B7:H7)</f>
        <v>32931</v>
      </c>
      <c r="L7" s="14">
        <f>K7*0.2</f>
        <v>6586.2000000000007</v>
      </c>
      <c r="M7" s="83">
        <f>82697.375-82579.323</f>
        <v>118.05199999999604</v>
      </c>
      <c r="N7" s="83">
        <f>4430.536-4423.72</f>
        <v>6.8159999999998035</v>
      </c>
      <c r="O7" s="83">
        <f>9564.087-9560.01</f>
        <v>4.0769999999993161</v>
      </c>
      <c r="P7" s="82">
        <f>92465.81-92407.475</f>
        <v>58.334999999991851</v>
      </c>
      <c r="Q7" s="83">
        <f>24719.879-24700.986</f>
        <v>18.893000000000029</v>
      </c>
      <c r="R7" s="83">
        <f t="shared" si="0"/>
        <v>69.227999999990971</v>
      </c>
      <c r="S7" s="83">
        <f>(N7+O7+P7)*7.84</f>
        <v>542.74751999992918</v>
      </c>
      <c r="T7" s="83">
        <f>M7+Q7</f>
        <v>136.94499999999607</v>
      </c>
      <c r="U7" s="83">
        <f>T7*7.84</f>
        <v>1073.6487999999692</v>
      </c>
      <c r="V7" s="83">
        <f>360415.1-360244.7</f>
        <v>170.39999999996508</v>
      </c>
      <c r="W7" s="83">
        <f>129966.39-129966.39</f>
        <v>0</v>
      </c>
      <c r="X7" s="86" t="s">
        <v>63</v>
      </c>
      <c r="Y7" s="5">
        <v>872663</v>
      </c>
      <c r="Z7" s="5">
        <f>IF((Y7-Y6&lt;0), "0",Y7-Y6)</f>
        <v>438</v>
      </c>
      <c r="AA7" s="14">
        <f t="shared" ref="AA7:AA34" si="6">Z7*6.47</f>
        <v>2833.8599999999997</v>
      </c>
      <c r="AB7" s="87">
        <v>6709562</v>
      </c>
      <c r="AC7" s="87">
        <f>AB6</f>
        <v>6680935</v>
      </c>
      <c r="AD7" s="5">
        <f t="shared" si="3"/>
        <v>28627</v>
      </c>
      <c r="AE7" s="83">
        <f>AD7*0.332195</f>
        <v>9509.7462649999998</v>
      </c>
      <c r="AF7" s="83">
        <f>89084.9-89039.7</f>
        <v>45.19999999999709</v>
      </c>
      <c r="AG7" s="83">
        <f>46988.8-46953</f>
        <v>35.80000000000291</v>
      </c>
      <c r="AH7" s="83">
        <f>28143.7-28127.2</f>
        <v>16.5</v>
      </c>
      <c r="AI7" s="87">
        <f>AJ6</f>
        <v>45300.6</v>
      </c>
      <c r="AJ7" s="86">
        <v>45333.9</v>
      </c>
      <c r="AK7" s="48">
        <f t="shared" ref="AK7:AK34" si="7">IF((AJ7-AI7)&lt;0, "0",AJ7-AI7)</f>
        <v>33.30000000000291</v>
      </c>
      <c r="AL7" s="89">
        <f t="shared" si="4"/>
        <v>9468.6930317978276</v>
      </c>
      <c r="AM7" s="83">
        <f>AL7*0.332195</f>
        <v>3145.4524816980797</v>
      </c>
      <c r="AN7" s="71">
        <v>78</v>
      </c>
      <c r="AO7" s="78">
        <f t="shared" si="5"/>
        <v>20003.455064999969</v>
      </c>
    </row>
    <row r="8" spans="1:44" x14ac:dyDescent="0.25">
      <c r="A8" s="79">
        <v>44411</v>
      </c>
      <c r="B8" s="86">
        <f>12253730-12248556</f>
        <v>5174</v>
      </c>
      <c r="C8" s="86">
        <f>7833767-7829635</f>
        <v>4132</v>
      </c>
      <c r="D8" s="86">
        <f>1542670-1541973</f>
        <v>697</v>
      </c>
      <c r="E8" s="86">
        <f>11699381-11693670</f>
        <v>5711</v>
      </c>
      <c r="F8" s="86">
        <f>11619844-11613922</f>
        <v>5922</v>
      </c>
      <c r="G8" s="86">
        <f>8392908-8389769</f>
        <v>3139</v>
      </c>
      <c r="H8" s="86">
        <f>8721209-8713015</f>
        <v>8194</v>
      </c>
      <c r="I8" s="86">
        <f>5258454-5256066</f>
        <v>2388</v>
      </c>
      <c r="J8" s="86">
        <f>11725643-11718854</f>
        <v>6789</v>
      </c>
      <c r="K8" s="86">
        <f>SUM(B8:H8)</f>
        <v>32969</v>
      </c>
      <c r="L8" s="14">
        <f t="shared" ref="L8:L34" si="8">K8*0.2</f>
        <v>6593.8</v>
      </c>
      <c r="M8" s="83">
        <f>82827.862-82697.375</f>
        <v>130.48699999999371</v>
      </c>
      <c r="N8" s="83">
        <f>4446.947-4430.536</f>
        <v>16.411000000000058</v>
      </c>
      <c r="O8" s="83">
        <f>9566.801-9564.087</f>
        <v>2.7139999999999418</v>
      </c>
      <c r="P8" s="82">
        <f>92520.597-92465.81</f>
        <v>54.786999999996624</v>
      </c>
      <c r="Q8" s="83">
        <f>24739.176-24719.879</f>
        <v>19.296999999998661</v>
      </c>
      <c r="R8" s="83">
        <f t="shared" si="0"/>
        <v>73.911999999996624</v>
      </c>
      <c r="S8" s="83">
        <f>(N8+O8+P8)*7.84</f>
        <v>579.47007999997356</v>
      </c>
      <c r="T8" s="83">
        <f>M8+Q8</f>
        <v>149.78399999999237</v>
      </c>
      <c r="U8" s="83">
        <f>T8*7.84</f>
        <v>1174.3065599999402</v>
      </c>
      <c r="V8" s="83">
        <f>360579.8-360415.1</f>
        <v>164.70000000001164</v>
      </c>
      <c r="W8" s="83">
        <f>129966.39-129966.39</f>
        <v>0</v>
      </c>
      <c r="X8" s="86" t="s">
        <v>63</v>
      </c>
      <c r="Y8" s="5">
        <v>873086</v>
      </c>
      <c r="Z8" s="5">
        <f t="shared" ref="Z8:Z34" si="9">IF((Y8-Y7&lt;0), "0",Y8-Y7)</f>
        <v>423</v>
      </c>
      <c r="AA8" s="14">
        <f t="shared" si="6"/>
        <v>2736.81</v>
      </c>
      <c r="AB8" s="87">
        <v>6740067</v>
      </c>
      <c r="AC8" s="87">
        <f t="shared" ref="AC8:AC36" si="10">AB7</f>
        <v>6709562</v>
      </c>
      <c r="AD8" s="5">
        <f t="shared" si="3"/>
        <v>30505</v>
      </c>
      <c r="AE8" s="83">
        <f t="shared" ref="AE8:AE36" si="11">AD8*0.332195</f>
        <v>10133.608475000001</v>
      </c>
      <c r="AF8" s="83">
        <f>89133.1-89084.9</f>
        <v>48.200000000011642</v>
      </c>
      <c r="AG8" s="83">
        <f>47027-46988.8</f>
        <v>38.19999999999709</v>
      </c>
      <c r="AH8" s="83">
        <f>28160.4-28143.7</f>
        <v>16.700000000000728</v>
      </c>
      <c r="AI8" s="87">
        <f t="shared" ref="AI8:AI36" si="12">AJ7</f>
        <v>45333.9</v>
      </c>
      <c r="AJ8" s="86">
        <v>45368.2</v>
      </c>
      <c r="AK8" s="48">
        <f t="shared" si="7"/>
        <v>34.299999999995634</v>
      </c>
      <c r="AL8" s="89">
        <f t="shared" si="4"/>
        <v>9753.0381678857575</v>
      </c>
      <c r="AM8" s="83">
        <f t="shared" ref="AM8:AM36" si="13">AL8*0.332195</f>
        <v>3239.9105141808095</v>
      </c>
      <c r="AN8" s="71">
        <v>82</v>
      </c>
      <c r="AO8" s="78">
        <f t="shared" si="5"/>
        <v>20638.525034999941</v>
      </c>
    </row>
    <row r="9" spans="1:44" x14ac:dyDescent="0.25">
      <c r="A9" s="79">
        <v>44412</v>
      </c>
      <c r="B9" s="86">
        <f>12259196-12253730</f>
        <v>5466</v>
      </c>
      <c r="C9" s="86">
        <f>7837786-7833767</f>
        <v>4019</v>
      </c>
      <c r="D9" s="86">
        <f>1543405-1542670</f>
        <v>735</v>
      </c>
      <c r="E9" s="86">
        <f>11705272-11699381</f>
        <v>5891</v>
      </c>
      <c r="F9" s="86">
        <f>11625822-11619844</f>
        <v>5978</v>
      </c>
      <c r="G9" s="86">
        <f>8396133-8392908</f>
        <v>3225</v>
      </c>
      <c r="H9" s="86">
        <f>8728902-8721209</f>
        <v>7693</v>
      </c>
      <c r="I9" s="86">
        <f>5260881-5258454</f>
        <v>2427</v>
      </c>
      <c r="J9" s="86">
        <f>11732535-11725643</f>
        <v>6892</v>
      </c>
      <c r="K9" s="86">
        <f t="shared" ref="K9:K34" si="14">SUM(B9:H9)</f>
        <v>33007</v>
      </c>
      <c r="L9" s="14">
        <f t="shared" si="8"/>
        <v>6601.4000000000005</v>
      </c>
      <c r="M9" s="83">
        <f>82966.381-82827.862</f>
        <v>138.51900000000023</v>
      </c>
      <c r="N9" s="83">
        <f>4470.572-4446.947</f>
        <v>23.625</v>
      </c>
      <c r="O9" s="83">
        <f>9575.37-9566.801</f>
        <v>8.5690000000013242</v>
      </c>
      <c r="P9" s="82">
        <f>92588.753-92520.597</f>
        <v>68.156000000002678</v>
      </c>
      <c r="Q9" s="83">
        <f>24759.076-24739.176</f>
        <v>19.900000000001455</v>
      </c>
      <c r="R9" s="83">
        <f t="shared" si="0"/>
        <v>100.350000000004</v>
      </c>
      <c r="S9" s="83">
        <f t="shared" si="1"/>
        <v>786.74400000003141</v>
      </c>
      <c r="T9" s="83">
        <f t="shared" si="2"/>
        <v>158.41900000000169</v>
      </c>
      <c r="U9" s="83">
        <f t="shared" ref="U9:U37" si="15">T9*7.84</f>
        <v>1242.0049600000132</v>
      </c>
      <c r="V9" s="83">
        <f>360740.2-360579.8</f>
        <v>160.40000000002328</v>
      </c>
      <c r="W9" s="83">
        <f t="shared" ref="W9:W21" si="16">129966.39-129966.39</f>
        <v>0</v>
      </c>
      <c r="X9" s="86" t="s">
        <v>63</v>
      </c>
      <c r="Y9" s="5">
        <v>873506</v>
      </c>
      <c r="Z9" s="5">
        <f t="shared" si="9"/>
        <v>420</v>
      </c>
      <c r="AA9" s="14">
        <f t="shared" si="6"/>
        <v>2717.4</v>
      </c>
      <c r="AB9" s="146">
        <v>6775124</v>
      </c>
      <c r="AC9" s="87">
        <f t="shared" si="10"/>
        <v>6740067</v>
      </c>
      <c r="AD9" s="5">
        <f t="shared" si="3"/>
        <v>35057</v>
      </c>
      <c r="AE9" s="83">
        <f t="shared" si="11"/>
        <v>11645.760115000001</v>
      </c>
      <c r="AF9" s="147">
        <f>89192.9-89133.1</f>
        <v>59.799999999988358</v>
      </c>
      <c r="AG9" s="147">
        <f>47064.4-47027</f>
        <v>37.400000000001455</v>
      </c>
      <c r="AH9" s="147">
        <f>28178.8-28160.4</f>
        <v>18.399999999997817</v>
      </c>
      <c r="AI9" s="87">
        <f t="shared" si="12"/>
        <v>45368.2</v>
      </c>
      <c r="AJ9" s="148">
        <v>45405.1</v>
      </c>
      <c r="AK9" s="48">
        <f t="shared" si="7"/>
        <v>36.900000000001455</v>
      </c>
      <c r="AL9" s="89">
        <f t="shared" si="4"/>
        <v>10492.335521721414</v>
      </c>
      <c r="AM9" s="83">
        <f t="shared" si="13"/>
        <v>3485.5013986382451</v>
      </c>
      <c r="AN9" s="71">
        <v>82</v>
      </c>
      <c r="AO9" s="78">
        <f t="shared" si="5"/>
        <v>22206.565075000013</v>
      </c>
    </row>
    <row r="10" spans="1:44" x14ac:dyDescent="0.25">
      <c r="A10" s="79">
        <v>44413</v>
      </c>
      <c r="B10" s="86">
        <f>12264496-12259196</f>
        <v>5300</v>
      </c>
      <c r="C10" s="86">
        <f>7841732-7837786</f>
        <v>3946</v>
      </c>
      <c r="D10" s="86">
        <f>1544124-1543405</f>
        <v>719</v>
      </c>
      <c r="E10" s="86">
        <f>11711153-11705272</f>
        <v>5881</v>
      </c>
      <c r="F10" s="86">
        <f>11631793-11625822</f>
        <v>5971</v>
      </c>
      <c r="G10" s="86">
        <f>8399319-8396133</f>
        <v>3186</v>
      </c>
      <c r="H10" s="86">
        <f>8735819-8728902</f>
        <v>6917</v>
      </c>
      <c r="I10" s="86">
        <f>5263343-5260881</f>
        <v>2462</v>
      </c>
      <c r="J10" s="86">
        <f>11739426-11732535</f>
        <v>6891</v>
      </c>
      <c r="K10" s="86">
        <f t="shared" si="14"/>
        <v>31920</v>
      </c>
      <c r="L10" s="14">
        <f t="shared" si="8"/>
        <v>6384</v>
      </c>
      <c r="M10" s="83">
        <f>83091.998-82966.381</f>
        <v>125.61700000001292</v>
      </c>
      <c r="N10" s="83">
        <f>4474.569-4470.572</f>
        <v>3.9970000000002983</v>
      </c>
      <c r="O10" s="83">
        <f>9601.213-9575.37</f>
        <v>25.842999999998938</v>
      </c>
      <c r="P10" s="82">
        <f>92651.876-92588.753</f>
        <v>63.123000000006869</v>
      </c>
      <c r="Q10" s="83">
        <f>24775.77-24759.076</f>
        <v>16.693999999999505</v>
      </c>
      <c r="R10" s="83">
        <f t="shared" si="0"/>
        <v>92.963000000006105</v>
      </c>
      <c r="S10" s="83">
        <f t="shared" si="1"/>
        <v>728.82992000004788</v>
      </c>
      <c r="T10" s="83">
        <f t="shared" si="2"/>
        <v>142.31100000001243</v>
      </c>
      <c r="U10" s="83">
        <f t="shared" si="15"/>
        <v>1115.7182400000975</v>
      </c>
      <c r="V10" s="83">
        <f>360897.9-360740.2</f>
        <v>157.70000000001164</v>
      </c>
      <c r="W10" s="83">
        <f t="shared" si="16"/>
        <v>0</v>
      </c>
      <c r="X10" s="86" t="s">
        <v>63</v>
      </c>
      <c r="Y10" s="5">
        <v>873912</v>
      </c>
      <c r="Z10" s="5">
        <f t="shared" si="9"/>
        <v>406</v>
      </c>
      <c r="AA10" s="14">
        <f t="shared" si="6"/>
        <v>2626.8199999999997</v>
      </c>
      <c r="AB10" s="87">
        <v>6810181</v>
      </c>
      <c r="AC10" s="87">
        <f t="shared" si="10"/>
        <v>6775124</v>
      </c>
      <c r="AD10" s="5">
        <f t="shared" si="3"/>
        <v>35057</v>
      </c>
      <c r="AE10" s="83">
        <f t="shared" si="11"/>
        <v>11645.760115000001</v>
      </c>
      <c r="AF10" s="83">
        <f>89252.7-89192.9</f>
        <v>59.80000000000291</v>
      </c>
      <c r="AG10" s="83">
        <f>47101.8-47064.4</f>
        <v>37.400000000001455</v>
      </c>
      <c r="AH10" s="83">
        <f>28197.2-28178.8</f>
        <v>18.400000000001455</v>
      </c>
      <c r="AI10" s="87">
        <f t="shared" si="12"/>
        <v>45405.1</v>
      </c>
      <c r="AJ10" s="87">
        <v>45442</v>
      </c>
      <c r="AK10" s="48">
        <f t="shared" si="7"/>
        <v>36.900000000001455</v>
      </c>
      <c r="AL10" s="89">
        <f t="shared" si="4"/>
        <v>10492.335521721414</v>
      </c>
      <c r="AM10" s="83">
        <f t="shared" si="13"/>
        <v>3485.5013986382451</v>
      </c>
      <c r="AN10" s="71">
        <v>58</v>
      </c>
      <c r="AO10" s="78">
        <f t="shared" si="5"/>
        <v>21772.298355000097</v>
      </c>
    </row>
    <row r="11" spans="1:44" x14ac:dyDescent="0.25">
      <c r="A11" s="79">
        <v>44414</v>
      </c>
      <c r="B11" s="86">
        <f>12269753-12264496</f>
        <v>5257</v>
      </c>
      <c r="C11" s="86">
        <f>7845751-7841732</f>
        <v>4019</v>
      </c>
      <c r="D11" s="86">
        <f>1544873-1544124</f>
        <v>749</v>
      </c>
      <c r="E11" s="86">
        <f>11716848-11711153</f>
        <v>5695</v>
      </c>
      <c r="F11" s="86">
        <f>11637834-11631793</f>
        <v>6041</v>
      </c>
      <c r="G11" s="86">
        <f>8402485-8399319</f>
        <v>3166</v>
      </c>
      <c r="H11" s="86">
        <f>8742685-8735819</f>
        <v>6866</v>
      </c>
      <c r="I11" s="86">
        <f>5265744-5263343</f>
        <v>2401</v>
      </c>
      <c r="J11" s="86">
        <f>11746494-11739426</f>
        <v>7068</v>
      </c>
      <c r="K11" s="86">
        <f t="shared" si="14"/>
        <v>31793</v>
      </c>
      <c r="L11" s="14">
        <f t="shared" si="8"/>
        <v>6358.6</v>
      </c>
      <c r="M11" s="83">
        <f>83217.136-83091.998</f>
        <v>125.13799999999173</v>
      </c>
      <c r="N11" s="83">
        <f>4476.033-4474.569</f>
        <v>1.4639999999999418</v>
      </c>
      <c r="O11" s="83">
        <f>9624.227-9601.213</f>
        <v>23.014000000001033</v>
      </c>
      <c r="P11" s="82">
        <f>92719.858-92651.876</f>
        <v>67.981999999989057</v>
      </c>
      <c r="Q11" s="83">
        <f>24786.118-24775.77</f>
        <v>10.347999999998137</v>
      </c>
      <c r="R11" s="83">
        <f t="shared" si="0"/>
        <v>92.459999999990032</v>
      </c>
      <c r="S11" s="83">
        <f t="shared" si="1"/>
        <v>724.88639999992188</v>
      </c>
      <c r="T11" s="83">
        <f t="shared" si="2"/>
        <v>135.48599999998987</v>
      </c>
      <c r="U11" s="83">
        <f t="shared" si="15"/>
        <v>1062.2102399999205</v>
      </c>
      <c r="V11" s="83">
        <f>361058.1-360897.9</f>
        <v>160.19999999995343</v>
      </c>
      <c r="W11" s="83">
        <f t="shared" si="16"/>
        <v>0</v>
      </c>
      <c r="X11" s="86" t="s">
        <v>63</v>
      </c>
      <c r="Y11" s="5">
        <v>874342</v>
      </c>
      <c r="Z11" s="5">
        <f t="shared" si="9"/>
        <v>430</v>
      </c>
      <c r="AA11" s="14">
        <f t="shared" si="6"/>
        <v>2782.1</v>
      </c>
      <c r="AB11" s="87">
        <v>6845238</v>
      </c>
      <c r="AC11" s="86">
        <f t="shared" si="10"/>
        <v>6810181</v>
      </c>
      <c r="AD11" s="5">
        <f t="shared" si="3"/>
        <v>35057</v>
      </c>
      <c r="AE11" s="83">
        <f t="shared" si="11"/>
        <v>11645.760115000001</v>
      </c>
      <c r="AF11" s="147">
        <f>89312.5-89252.7</f>
        <v>59.80000000000291</v>
      </c>
      <c r="AG11" s="147">
        <f>47139.2-47101.8</f>
        <v>37.399999999994179</v>
      </c>
      <c r="AH11" s="147">
        <f>28215.8-28197.2</f>
        <v>18.599999999998545</v>
      </c>
      <c r="AI11" s="87">
        <f t="shared" si="12"/>
        <v>45442</v>
      </c>
      <c r="AJ11" s="87">
        <v>45478.9</v>
      </c>
      <c r="AK11" s="48">
        <f t="shared" si="7"/>
        <v>36.900000000001455</v>
      </c>
      <c r="AL11" s="89">
        <f t="shared" si="4"/>
        <v>10492.335521721414</v>
      </c>
      <c r="AM11" s="83">
        <f t="shared" si="13"/>
        <v>3485.5013986382451</v>
      </c>
      <c r="AN11" s="71">
        <v>46</v>
      </c>
      <c r="AO11" s="78">
        <f t="shared" si="5"/>
        <v>21848.670354999922</v>
      </c>
    </row>
    <row r="12" spans="1:44" x14ac:dyDescent="0.25">
      <c r="A12" s="79">
        <v>44415</v>
      </c>
      <c r="B12" s="86">
        <f>12275216-12269753</f>
        <v>5463</v>
      </c>
      <c r="C12" s="86">
        <f>7849840-7845751</f>
        <v>4089</v>
      </c>
      <c r="D12" s="86">
        <f>1545588-1544873</f>
        <v>715</v>
      </c>
      <c r="E12" s="86">
        <f>11722630-11716848</f>
        <v>5782</v>
      </c>
      <c r="F12" s="86">
        <f>11643641-11637834</f>
        <v>5807</v>
      </c>
      <c r="G12" s="86">
        <f>8405648-8402485</f>
        <v>3163</v>
      </c>
      <c r="H12" s="86">
        <f>8749651-8742685</f>
        <v>6966</v>
      </c>
      <c r="I12" s="86">
        <f>5268190-5265744</f>
        <v>2446</v>
      </c>
      <c r="J12" s="86">
        <f>11753454-11746494</f>
        <v>6960</v>
      </c>
      <c r="K12" s="86">
        <f t="shared" si="14"/>
        <v>31985</v>
      </c>
      <c r="L12" s="14">
        <f t="shared" si="8"/>
        <v>6397</v>
      </c>
      <c r="M12" s="83">
        <f>83337.164-83217.136</f>
        <v>120.0280000000057</v>
      </c>
      <c r="N12" s="83">
        <f>4477.483-4476.033</f>
        <v>1.4499999999998181</v>
      </c>
      <c r="O12" s="83">
        <f>9648.728-9624.227</f>
        <v>24.500999999998385</v>
      </c>
      <c r="P12" s="82">
        <f>92778.674-92719.858</f>
        <v>58.81600000000617</v>
      </c>
      <c r="Q12" s="83">
        <f>24801.748-24786.118</f>
        <v>15.630000000001019</v>
      </c>
      <c r="R12" s="83">
        <f t="shared" si="0"/>
        <v>84.767000000004373</v>
      </c>
      <c r="S12" s="83">
        <f t="shared" si="1"/>
        <v>664.57328000003429</v>
      </c>
      <c r="T12" s="83">
        <f t="shared" si="2"/>
        <v>135.65800000000672</v>
      </c>
      <c r="U12" s="83">
        <f t="shared" si="15"/>
        <v>1063.5587200000527</v>
      </c>
      <c r="V12" s="83">
        <f>361211.7-361058.1</f>
        <v>153.60000000003492</v>
      </c>
      <c r="W12" s="83">
        <f t="shared" si="16"/>
        <v>0</v>
      </c>
      <c r="X12" s="86" t="s">
        <v>63</v>
      </c>
      <c r="Y12" s="5">
        <v>874736</v>
      </c>
      <c r="Z12" s="5">
        <f t="shared" si="9"/>
        <v>394</v>
      </c>
      <c r="AA12" s="14">
        <f t="shared" si="6"/>
        <v>2549.1799999999998</v>
      </c>
      <c r="AB12" s="146">
        <v>6881655</v>
      </c>
      <c r="AC12" s="86">
        <f t="shared" si="10"/>
        <v>6845238</v>
      </c>
      <c r="AD12" s="5">
        <f t="shared" si="3"/>
        <v>36417</v>
      </c>
      <c r="AE12" s="83">
        <f t="shared" si="11"/>
        <v>12097.545315000001</v>
      </c>
      <c r="AF12" s="147">
        <f>89372-89312.5</f>
        <v>59.5</v>
      </c>
      <c r="AG12" s="147">
        <f>47177-47139.2</f>
        <v>37.80000000000291</v>
      </c>
      <c r="AH12" s="147">
        <f>28234.8-28215.8</f>
        <v>19</v>
      </c>
      <c r="AI12" s="87">
        <f t="shared" si="12"/>
        <v>45478.9</v>
      </c>
      <c r="AJ12" s="146">
        <v>45514.9</v>
      </c>
      <c r="AK12" s="48">
        <f t="shared" si="7"/>
        <v>36</v>
      </c>
      <c r="AL12" s="89">
        <f t="shared" si="4"/>
        <v>10236.424899239999</v>
      </c>
      <c r="AM12" s="83">
        <f t="shared" si="13"/>
        <v>3400.4891694030316</v>
      </c>
      <c r="AN12" s="71">
        <v>44</v>
      </c>
      <c r="AO12" s="78">
        <f t="shared" si="5"/>
        <v>22107.284035000055</v>
      </c>
    </row>
    <row r="13" spans="1:44" x14ac:dyDescent="0.25">
      <c r="A13" s="79">
        <v>44416</v>
      </c>
      <c r="B13" s="86">
        <f>12280623-12275216</f>
        <v>5407</v>
      </c>
      <c r="C13" s="86">
        <f>7853940-7849840</f>
        <v>4100</v>
      </c>
      <c r="D13" s="86">
        <f>1546306-1545588</f>
        <v>718</v>
      </c>
      <c r="E13" s="86">
        <f>11728328-11722630</f>
        <v>5698</v>
      </c>
      <c r="F13" s="86">
        <f>11649423-11643641</f>
        <v>5782</v>
      </c>
      <c r="G13" s="86">
        <f>8408833-8405648</f>
        <v>3185</v>
      </c>
      <c r="H13" s="86">
        <f>8756573-8749651</f>
        <v>6922</v>
      </c>
      <c r="I13" s="86">
        <f>5270640-5268190</f>
        <v>2450</v>
      </c>
      <c r="J13" s="86">
        <f>11760337-11753454</f>
        <v>6883</v>
      </c>
      <c r="K13" s="86">
        <f t="shared" si="14"/>
        <v>31812</v>
      </c>
      <c r="L13" s="14">
        <f t="shared" si="8"/>
        <v>6362.4000000000005</v>
      </c>
      <c r="M13" s="83">
        <f>83453.864-83337.164</f>
        <v>116.69999999999709</v>
      </c>
      <c r="N13" s="83">
        <f>4478.2-4477.483</f>
        <v>0.71699999999964348</v>
      </c>
      <c r="O13" s="83">
        <f>9673.6-9648.728</f>
        <v>24.872000000001208</v>
      </c>
      <c r="P13" s="82">
        <f>92839.535-92778.674</f>
        <v>60.861000000004424</v>
      </c>
      <c r="Q13" s="83">
        <f>24817.953-24801.748</f>
        <v>16.205000000001746</v>
      </c>
      <c r="R13" s="83">
        <f t="shared" si="0"/>
        <v>86.450000000005275</v>
      </c>
      <c r="S13" s="83">
        <f t="shared" si="1"/>
        <v>677.7680000000413</v>
      </c>
      <c r="T13" s="83">
        <f t="shared" si="2"/>
        <v>132.90499999999884</v>
      </c>
      <c r="U13" s="83">
        <f t="shared" si="15"/>
        <v>1041.9751999999908</v>
      </c>
      <c r="V13" s="83">
        <f>361363-361211.7</f>
        <v>151.29999999998836</v>
      </c>
      <c r="W13" s="83">
        <f t="shared" si="16"/>
        <v>0</v>
      </c>
      <c r="X13" s="86" t="s">
        <v>63</v>
      </c>
      <c r="Y13" s="5">
        <v>875123</v>
      </c>
      <c r="Z13" s="5">
        <f t="shared" si="9"/>
        <v>387</v>
      </c>
      <c r="AA13" s="14">
        <f t="shared" si="6"/>
        <v>2503.89</v>
      </c>
      <c r="AB13" s="87">
        <v>6915191.9000000004</v>
      </c>
      <c r="AC13" s="86">
        <f t="shared" si="10"/>
        <v>6881655</v>
      </c>
      <c r="AD13" s="5">
        <f t="shared" si="3"/>
        <v>33536.900000000373</v>
      </c>
      <c r="AE13" s="83">
        <f t="shared" si="11"/>
        <v>11140.790495500125</v>
      </c>
      <c r="AF13" s="83">
        <f>89430.9-89372</f>
        <v>58.899999999994179</v>
      </c>
      <c r="AG13" s="83">
        <f>47220.8-47177</f>
        <v>43.80000000000291</v>
      </c>
      <c r="AH13" s="83">
        <f>28256.5-28234.8</f>
        <v>21.700000000000728</v>
      </c>
      <c r="AI13" s="87">
        <f t="shared" si="12"/>
        <v>45514.9</v>
      </c>
      <c r="AJ13" s="87">
        <v>45560.7</v>
      </c>
      <c r="AK13" s="48">
        <f t="shared" si="7"/>
        <v>45.799999999995634</v>
      </c>
      <c r="AL13" s="89">
        <f t="shared" si="4"/>
        <v>13023.007232920758</v>
      </c>
      <c r="AM13" s="83">
        <f t="shared" si="13"/>
        <v>4326.1778877401111</v>
      </c>
      <c r="AN13" s="71">
        <v>74</v>
      </c>
      <c r="AO13" s="78">
        <f t="shared" si="5"/>
        <v>21049.055695500116</v>
      </c>
    </row>
    <row r="14" spans="1:44" x14ac:dyDescent="0.25">
      <c r="A14" s="79">
        <v>44417</v>
      </c>
      <c r="B14" s="86">
        <f>12286238-12280623</f>
        <v>5615</v>
      </c>
      <c r="C14" s="86">
        <f>7858003-7853940</f>
        <v>4063</v>
      </c>
      <c r="D14" s="86">
        <f>1547053-1546306</f>
        <v>747</v>
      </c>
      <c r="E14" s="86">
        <f>11734011-11728328</f>
        <v>5683</v>
      </c>
      <c r="F14" s="86">
        <f>11655329-11649423</f>
        <v>5906</v>
      </c>
      <c r="G14" s="86">
        <f>8412064-8408833</f>
        <v>3231</v>
      </c>
      <c r="H14" s="86">
        <f>8763622-8756573</f>
        <v>7049</v>
      </c>
      <c r="I14" s="86">
        <f>5273095-5270640</f>
        <v>2455</v>
      </c>
      <c r="J14" s="86">
        <f>11767017-11760337</f>
        <v>6680</v>
      </c>
      <c r="K14" s="86">
        <f t="shared" si="14"/>
        <v>32294</v>
      </c>
      <c r="L14" s="14">
        <f t="shared" si="8"/>
        <v>6458.8</v>
      </c>
      <c r="M14" s="83">
        <f>83572.034-83453.864</f>
        <v>118.16999999999825</v>
      </c>
      <c r="N14" s="83">
        <f>4478.977-4478.2</f>
        <v>0.77700000000004366</v>
      </c>
      <c r="O14" s="83">
        <f>9697.762-9673.6</f>
        <v>24.162000000000262</v>
      </c>
      <c r="P14" s="82">
        <f>92895.594-92839.535</f>
        <v>56.05899999999383</v>
      </c>
      <c r="Q14" s="83">
        <f>24836.378-24817.953</f>
        <v>18.424999999999272</v>
      </c>
      <c r="R14" s="83">
        <f>N14+O14+P14</f>
        <v>80.997999999994136</v>
      </c>
      <c r="S14" s="83">
        <f t="shared" si="1"/>
        <v>635.02431999995406</v>
      </c>
      <c r="T14" s="83">
        <f t="shared" si="2"/>
        <v>136.59499999999753</v>
      </c>
      <c r="U14" s="83">
        <f t="shared" si="15"/>
        <v>1070.9047999999807</v>
      </c>
      <c r="V14" s="83">
        <f>361511.5-361363</f>
        <v>148.5</v>
      </c>
      <c r="W14" s="83">
        <f t="shared" si="16"/>
        <v>0</v>
      </c>
      <c r="X14" s="86" t="s">
        <v>63</v>
      </c>
      <c r="Y14" s="5">
        <v>875538</v>
      </c>
      <c r="Z14" s="5">
        <f>IF((Y14-Y13&lt;0), "0",Y14-Y13)</f>
        <v>415</v>
      </c>
      <c r="AA14" s="14">
        <f t="shared" si="6"/>
        <v>2685.0499999999997</v>
      </c>
      <c r="AB14" s="87">
        <v>6949521.5</v>
      </c>
      <c r="AC14" s="86">
        <f t="shared" si="10"/>
        <v>6915191.9000000004</v>
      </c>
      <c r="AD14" s="5">
        <f t="shared" si="3"/>
        <v>34329.599999999627</v>
      </c>
      <c r="AE14" s="83">
        <f t="shared" si="11"/>
        <v>11404.121471999877</v>
      </c>
      <c r="AF14" s="83">
        <f>89489.1-89430.9</f>
        <v>58.200000000011642</v>
      </c>
      <c r="AG14" s="83">
        <f>47261.4-47220.8</f>
        <v>40.599999999998545</v>
      </c>
      <c r="AH14" s="83">
        <f>28277.4-28256.5</f>
        <v>20.900000000001455</v>
      </c>
      <c r="AI14" s="87">
        <f t="shared" si="12"/>
        <v>45560.7</v>
      </c>
      <c r="AJ14" s="87">
        <v>45601.4</v>
      </c>
      <c r="AK14" s="48">
        <f t="shared" si="7"/>
        <v>40.700000000004366</v>
      </c>
      <c r="AL14" s="89">
        <f t="shared" si="4"/>
        <v>11572.84703886424</v>
      </c>
      <c r="AM14" s="83">
        <f t="shared" si="13"/>
        <v>3844.4419220755062</v>
      </c>
      <c r="AN14" s="71">
        <v>78</v>
      </c>
      <c r="AO14" s="78">
        <f t="shared" si="5"/>
        <v>21618.876271999856</v>
      </c>
    </row>
    <row r="15" spans="1:44" x14ac:dyDescent="0.25">
      <c r="A15" s="79">
        <v>44418</v>
      </c>
      <c r="B15" s="86">
        <f>12291836-12286238</f>
        <v>5598</v>
      </c>
      <c r="C15" s="86">
        <f>7861823-7858003</f>
        <v>3820</v>
      </c>
      <c r="D15" s="86">
        <f>1547785-1547053</f>
        <v>732</v>
      </c>
      <c r="E15" s="86">
        <f>11739571-11734011</f>
        <v>5560</v>
      </c>
      <c r="F15" s="86">
        <f>11661110-11655329</f>
        <v>5781</v>
      </c>
      <c r="G15" s="86">
        <f>8415331-8412064</f>
        <v>3267</v>
      </c>
      <c r="H15" s="86">
        <f>8770437-8763622</f>
        <v>6815</v>
      </c>
      <c r="I15" s="86">
        <f>5275454-5273095</f>
        <v>2359</v>
      </c>
      <c r="J15" s="86">
        <f>11773522-11767017</f>
        <v>6505</v>
      </c>
      <c r="K15" s="86">
        <f t="shared" si="14"/>
        <v>31573</v>
      </c>
      <c r="L15" s="14">
        <f t="shared" si="8"/>
        <v>6314.6</v>
      </c>
      <c r="M15" s="83">
        <f>83652.176-83572.034</f>
        <v>80.142000000007101</v>
      </c>
      <c r="N15" s="83">
        <f>4479.882-4478.977</f>
        <v>0.90499999999974534</v>
      </c>
      <c r="O15" s="83">
        <f>9721.353-9697.762</f>
        <v>23.59099999999853</v>
      </c>
      <c r="P15" s="82">
        <f>92953.415-92895.594</f>
        <v>57.820999999996275</v>
      </c>
      <c r="Q15" s="83">
        <f>24854.905-24836.378</f>
        <v>18.526999999998225</v>
      </c>
      <c r="R15" s="83">
        <f t="shared" si="0"/>
        <v>82.31699999999455</v>
      </c>
      <c r="S15" s="83">
        <f t="shared" si="1"/>
        <v>645.36527999995724</v>
      </c>
      <c r="T15" s="83">
        <f t="shared" si="2"/>
        <v>98.669000000005326</v>
      </c>
      <c r="U15" s="83">
        <f t="shared" si="15"/>
        <v>773.56496000004176</v>
      </c>
      <c r="V15" s="83">
        <f>361671.9-361511.5</f>
        <v>160.40000000002328</v>
      </c>
      <c r="W15" s="83">
        <f t="shared" si="16"/>
        <v>0</v>
      </c>
      <c r="X15" s="86" t="s">
        <v>63</v>
      </c>
      <c r="Y15" s="5">
        <v>875961</v>
      </c>
      <c r="Z15" s="5">
        <f t="shared" si="9"/>
        <v>423</v>
      </c>
      <c r="AA15" s="14">
        <f t="shared" si="6"/>
        <v>2736.81</v>
      </c>
      <c r="AB15" s="87">
        <v>6981768</v>
      </c>
      <c r="AC15" s="86">
        <f t="shared" si="10"/>
        <v>6949521.5</v>
      </c>
      <c r="AD15" s="5">
        <f t="shared" si="3"/>
        <v>32246.5</v>
      </c>
      <c r="AE15" s="83">
        <f t="shared" si="11"/>
        <v>10712.126067500001</v>
      </c>
      <c r="AF15" s="83">
        <f>89543.9-89489.1</f>
        <v>54.799999999988358</v>
      </c>
      <c r="AG15" s="83">
        <f>47300.5-47261.4</f>
        <v>39.099999999998545</v>
      </c>
      <c r="AH15" s="83">
        <f>28297.3-28277.4</f>
        <v>19.899999999997817</v>
      </c>
      <c r="AI15" s="87">
        <f t="shared" si="12"/>
        <v>45601.4</v>
      </c>
      <c r="AJ15" s="87">
        <v>45639.8</v>
      </c>
      <c r="AK15" s="48">
        <f t="shared" si="7"/>
        <v>38.400000000001455</v>
      </c>
      <c r="AL15" s="89">
        <f t="shared" si="4"/>
        <v>10918.853225856414</v>
      </c>
      <c r="AM15" s="83">
        <f t="shared" si="13"/>
        <v>3627.1884473633713</v>
      </c>
      <c r="AN15" s="71">
        <v>87</v>
      </c>
      <c r="AO15" s="88">
        <f t="shared" si="5"/>
        <v>20537.101027500044</v>
      </c>
    </row>
    <row r="16" spans="1:44" x14ac:dyDescent="0.25">
      <c r="A16" s="79">
        <v>44419</v>
      </c>
      <c r="B16" s="86">
        <f>12297654-12291836</f>
        <v>5818</v>
      </c>
      <c r="C16" s="86">
        <f>7866003-7861823</f>
        <v>4180</v>
      </c>
      <c r="D16" s="86">
        <f>1548539-1547785</f>
        <v>754</v>
      </c>
      <c r="E16" s="86">
        <f>11745409-11739571</f>
        <v>5838</v>
      </c>
      <c r="F16" s="86">
        <f>11667167-11661110</f>
        <v>6057</v>
      </c>
      <c r="G16" s="86">
        <f>8418685-8415331</f>
        <v>3354</v>
      </c>
      <c r="H16" s="86">
        <f>8777306-8770437</f>
        <v>6869</v>
      </c>
      <c r="I16" s="86">
        <f>5277849-5275454</f>
        <v>2395</v>
      </c>
      <c r="J16" s="86">
        <f>11780561-11773522</f>
        <v>7039</v>
      </c>
      <c r="K16" s="86">
        <f t="shared" si="14"/>
        <v>32870</v>
      </c>
      <c r="L16" s="14">
        <f t="shared" si="8"/>
        <v>6574</v>
      </c>
      <c r="M16" s="83">
        <f>83784.402-83652.176</f>
        <v>132.22599999999511</v>
      </c>
      <c r="N16" s="83">
        <f>4480.652-4479.882</f>
        <v>0.77000000000043656</v>
      </c>
      <c r="O16" s="83">
        <f>9744.571-9721.353</f>
        <v>23.218000000000757</v>
      </c>
      <c r="P16" s="82">
        <f>93011.849-92953.415</f>
        <v>58.434000000008382</v>
      </c>
      <c r="Q16" s="83">
        <f>24873.586-24854.905</f>
        <v>18.681000000000495</v>
      </c>
      <c r="R16" s="83">
        <f t="shared" si="0"/>
        <v>82.422000000009575</v>
      </c>
      <c r="S16" s="83">
        <f t="shared" si="1"/>
        <v>646.18848000007506</v>
      </c>
      <c r="T16" s="83">
        <f t="shared" si="2"/>
        <v>150.90699999999561</v>
      </c>
      <c r="U16" s="83">
        <f t="shared" si="15"/>
        <v>1183.1108799999656</v>
      </c>
      <c r="V16" s="83">
        <f>361828.8-361671.9</f>
        <v>156.89999999996508</v>
      </c>
      <c r="W16" s="83">
        <f t="shared" si="16"/>
        <v>0</v>
      </c>
      <c r="X16" s="86" t="s">
        <v>63</v>
      </c>
      <c r="Y16" s="5">
        <v>876356</v>
      </c>
      <c r="Z16" s="5">
        <f t="shared" si="9"/>
        <v>395</v>
      </c>
      <c r="AA16" s="14">
        <f t="shared" si="6"/>
        <v>2555.65</v>
      </c>
      <c r="AB16" s="87">
        <v>7014325</v>
      </c>
      <c r="AC16" s="86">
        <f t="shared" si="10"/>
        <v>6981768</v>
      </c>
      <c r="AD16" s="5">
        <f t="shared" si="3"/>
        <v>32557</v>
      </c>
      <c r="AE16" s="83">
        <f t="shared" si="11"/>
        <v>10815.272615</v>
      </c>
      <c r="AF16" s="83">
        <f>89599.9-89543.9</f>
        <v>56</v>
      </c>
      <c r="AG16" s="83">
        <f>47339.5-47300.5</f>
        <v>39</v>
      </c>
      <c r="AH16" s="83">
        <f>28315.3-28297.3</f>
        <v>18</v>
      </c>
      <c r="AI16" s="87">
        <f t="shared" si="12"/>
        <v>45639.8</v>
      </c>
      <c r="AJ16" s="87">
        <v>45678.8</v>
      </c>
      <c r="AK16" s="48">
        <f t="shared" si="7"/>
        <v>39</v>
      </c>
      <c r="AL16" s="89">
        <f t="shared" si="4"/>
        <v>11089.460307509999</v>
      </c>
      <c r="AM16" s="83">
        <f t="shared" si="13"/>
        <v>3683.8632668532841</v>
      </c>
      <c r="AN16" s="71">
        <v>108</v>
      </c>
      <c r="AO16" s="78">
        <f t="shared" si="5"/>
        <v>21128.033494999967</v>
      </c>
    </row>
    <row r="17" spans="1:41" x14ac:dyDescent="0.25">
      <c r="A17" s="79">
        <v>44420</v>
      </c>
      <c r="B17" s="86">
        <f>12303547-12297654</f>
        <v>5893</v>
      </c>
      <c r="C17" s="86">
        <f>7870547-7866003</f>
        <v>4544</v>
      </c>
      <c r="D17" s="86">
        <f>1549322-1548539</f>
        <v>783</v>
      </c>
      <c r="E17" s="86">
        <f>11751219-11745409</f>
        <v>5810</v>
      </c>
      <c r="F17" s="86">
        <f>11673243-11667167</f>
        <v>6076</v>
      </c>
      <c r="G17" s="86">
        <f>8421980-8418685</f>
        <v>3295</v>
      </c>
      <c r="H17" s="86">
        <f>8783457-8777306</f>
        <v>6151</v>
      </c>
      <c r="I17" s="86">
        <f>5280211-5277849</f>
        <v>2362</v>
      </c>
      <c r="J17" s="86">
        <f>11787756-11780561</f>
        <v>7195</v>
      </c>
      <c r="K17" s="86">
        <f t="shared" si="14"/>
        <v>32552</v>
      </c>
      <c r="L17" s="14">
        <f t="shared" si="8"/>
        <v>6510.4000000000005</v>
      </c>
      <c r="M17" s="83">
        <f>83930.743-83784.404</f>
        <v>146.33900000000722</v>
      </c>
      <c r="N17" s="83">
        <f>4481.416-4480.652</f>
        <v>0.76400000000012369</v>
      </c>
      <c r="O17" s="83">
        <f>9766.895-9744.571</f>
        <v>22.324000000000524</v>
      </c>
      <c r="P17" s="82">
        <f>93080.163-93011.849</f>
        <v>68.313999999998487</v>
      </c>
      <c r="Q17" s="83">
        <f>24894.767-24873.586</f>
        <v>21.181000000000495</v>
      </c>
      <c r="R17" s="83">
        <f t="shared" si="0"/>
        <v>91.401999999999134</v>
      </c>
      <c r="S17" s="83">
        <f t="shared" si="1"/>
        <v>716.59167999999318</v>
      </c>
      <c r="T17" s="83">
        <f t="shared" si="2"/>
        <v>167.52000000000771</v>
      </c>
      <c r="U17" s="83">
        <f t="shared" si="15"/>
        <v>1313.3568000000605</v>
      </c>
      <c r="V17" s="83">
        <f>362004.4-361828.8</f>
        <v>175.60000000003492</v>
      </c>
      <c r="W17" s="83">
        <f t="shared" si="16"/>
        <v>0</v>
      </c>
      <c r="X17" s="86" t="s">
        <v>63</v>
      </c>
      <c r="Y17" s="5">
        <v>876792</v>
      </c>
      <c r="Z17" s="5">
        <f t="shared" si="9"/>
        <v>436</v>
      </c>
      <c r="AA17" s="14">
        <f t="shared" si="6"/>
        <v>2820.92</v>
      </c>
      <c r="AB17" s="87">
        <v>7053460</v>
      </c>
      <c r="AC17" s="86">
        <f t="shared" si="10"/>
        <v>7014325</v>
      </c>
      <c r="AD17" s="5">
        <f t="shared" si="3"/>
        <v>39135</v>
      </c>
      <c r="AE17" s="83">
        <f t="shared" si="11"/>
        <v>13000.451325</v>
      </c>
      <c r="AF17" s="83">
        <f>89667.1-89599.9</f>
        <v>67.200000000011642</v>
      </c>
      <c r="AG17" s="83">
        <f>47381.1-47339.5</f>
        <v>41.599999999998545</v>
      </c>
      <c r="AH17" s="83">
        <f>28337.5-28315.3</f>
        <v>22.200000000000728</v>
      </c>
      <c r="AI17" s="87">
        <f t="shared" si="12"/>
        <v>45678.8</v>
      </c>
      <c r="AJ17" s="87">
        <v>45719.7</v>
      </c>
      <c r="AK17" s="48">
        <f t="shared" si="7"/>
        <v>40.899999999994179</v>
      </c>
      <c r="AL17" s="89">
        <f t="shared" si="4"/>
        <v>11629.716066079343</v>
      </c>
      <c r="AM17" s="83">
        <f t="shared" si="13"/>
        <v>3863.3335285712278</v>
      </c>
      <c r="AN17" s="71">
        <v>110</v>
      </c>
      <c r="AO17" s="78">
        <f t="shared" si="5"/>
        <v>23645.128125000061</v>
      </c>
    </row>
    <row r="18" spans="1:41" x14ac:dyDescent="0.25">
      <c r="A18" s="79">
        <v>44421</v>
      </c>
      <c r="B18" s="86">
        <f>12309319-12303547</f>
        <v>5772</v>
      </c>
      <c r="C18" s="86">
        <f>7874286-7870547</f>
        <v>3739</v>
      </c>
      <c r="D18" s="86">
        <f>1550076-1549322</f>
        <v>754</v>
      </c>
      <c r="E18" s="86">
        <f>11757047-11751219</f>
        <v>5828</v>
      </c>
      <c r="F18" s="86">
        <f>11679337-11673243</f>
        <v>6094</v>
      </c>
      <c r="G18" s="86">
        <f>8425268-8421980</f>
        <v>3288</v>
      </c>
      <c r="H18" s="86">
        <f>8789931-8783457</f>
        <v>6474</v>
      </c>
      <c r="I18" s="86">
        <f>5282539-5280211</f>
        <v>2328</v>
      </c>
      <c r="J18" s="86">
        <f>11794769-11787756</f>
        <v>7013</v>
      </c>
      <c r="K18" s="86">
        <f t="shared" si="14"/>
        <v>31949</v>
      </c>
      <c r="L18" s="14">
        <f t="shared" si="8"/>
        <v>6389.8</v>
      </c>
      <c r="M18" s="83">
        <f>84057.837-83930.743</f>
        <v>127.09399999999732</v>
      </c>
      <c r="N18" s="83">
        <f>4481.721-4481.416</f>
        <v>0.30499999999938154</v>
      </c>
      <c r="O18" s="83">
        <f>9789.361-9766.895</f>
        <v>22.466000000000349</v>
      </c>
      <c r="P18" s="82">
        <f>93147.143-93080.163</f>
        <v>66.979999999995925</v>
      </c>
      <c r="Q18" s="83">
        <f>24905.904-24894.767</f>
        <v>11.136999999998807</v>
      </c>
      <c r="R18" s="83">
        <f t="shared" si="0"/>
        <v>89.750999999995656</v>
      </c>
      <c r="S18" s="83">
        <f t="shared" si="1"/>
        <v>703.64783999996598</v>
      </c>
      <c r="T18" s="83">
        <f t="shared" si="2"/>
        <v>138.23099999999613</v>
      </c>
      <c r="U18" s="83">
        <f t="shared" si="15"/>
        <v>1083.7310399999697</v>
      </c>
      <c r="V18" s="83">
        <f>362176.7-362004.4</f>
        <v>172.29999999998836</v>
      </c>
      <c r="W18" s="83">
        <f t="shared" si="16"/>
        <v>0</v>
      </c>
      <c r="X18" s="86" t="s">
        <v>63</v>
      </c>
      <c r="Y18" s="5">
        <v>877256</v>
      </c>
      <c r="Z18" s="5">
        <f t="shared" si="9"/>
        <v>464</v>
      </c>
      <c r="AA18" s="14">
        <f t="shared" si="6"/>
        <v>3002.08</v>
      </c>
      <c r="AB18" s="87">
        <v>7090966</v>
      </c>
      <c r="AC18" s="86">
        <f t="shared" si="10"/>
        <v>7053460</v>
      </c>
      <c r="AD18" s="5">
        <f t="shared" si="3"/>
        <v>37506</v>
      </c>
      <c r="AE18" s="83">
        <f t="shared" si="11"/>
        <v>12459.305670000002</v>
      </c>
      <c r="AF18" s="82">
        <f>89731.4-89667.1</f>
        <v>64.299999999988358</v>
      </c>
      <c r="AG18" s="82">
        <f>47423.2-47381.1</f>
        <v>42.099999999998545</v>
      </c>
      <c r="AH18" s="82">
        <f>28357.9-28337.5</f>
        <v>20.400000000001455</v>
      </c>
      <c r="AI18" s="87">
        <f t="shared" si="12"/>
        <v>45719.7</v>
      </c>
      <c r="AJ18" s="87">
        <v>45758.9</v>
      </c>
      <c r="AK18" s="48">
        <f t="shared" si="7"/>
        <v>39.200000000004366</v>
      </c>
      <c r="AL18" s="89">
        <f t="shared" si="4"/>
        <v>11146.32933472924</v>
      </c>
      <c r="AM18" s="83">
        <f t="shared" si="13"/>
        <v>3702.75487335038</v>
      </c>
      <c r="AN18" s="71">
        <v>81</v>
      </c>
      <c r="AO18" s="78">
        <f t="shared" si="5"/>
        <v>22934.916709999972</v>
      </c>
    </row>
    <row r="19" spans="1:41" x14ac:dyDescent="0.25">
      <c r="A19" s="79">
        <v>44422</v>
      </c>
      <c r="B19" s="86">
        <f>12315309-12309319</f>
        <v>5990</v>
      </c>
      <c r="C19" s="86">
        <f>7877964-7874286</f>
        <v>3678</v>
      </c>
      <c r="D19" s="86">
        <f>1550809-1550076</f>
        <v>733</v>
      </c>
      <c r="E19" s="86">
        <f>11762789-11757047</f>
        <v>5742</v>
      </c>
      <c r="F19" s="86">
        <f>11685272-11679337</f>
        <v>5935</v>
      </c>
      <c r="G19" s="86">
        <f>8428508-8425268</f>
        <v>3240</v>
      </c>
      <c r="H19" s="86">
        <f>8796418-8789931</f>
        <v>6487</v>
      </c>
      <c r="I19" s="86">
        <f>5284968-5282539</f>
        <v>2429</v>
      </c>
      <c r="J19" s="86">
        <f>11801767-11794769</f>
        <v>6998</v>
      </c>
      <c r="K19" s="86">
        <f t="shared" si="14"/>
        <v>31805</v>
      </c>
      <c r="L19" s="14">
        <f t="shared" si="8"/>
        <v>6361</v>
      </c>
      <c r="M19" s="83">
        <f>84167.442-84057.837</f>
        <v>109.60499999999593</v>
      </c>
      <c r="N19" s="83">
        <f>4482.388-4481.721</f>
        <v>0.66700000000037107</v>
      </c>
      <c r="O19" s="83">
        <f>9812.713-9789.361</f>
        <v>23.351999999998952</v>
      </c>
      <c r="P19" s="82">
        <f>93208.439-93147.143</f>
        <v>61.296000000002095</v>
      </c>
      <c r="Q19" s="83">
        <f>24929.02-24905.904</f>
        <v>23.116000000001804</v>
      </c>
      <c r="R19" s="83">
        <f t="shared" si="0"/>
        <v>85.315000000001419</v>
      </c>
      <c r="S19" s="83">
        <f t="shared" si="1"/>
        <v>668.86960000001113</v>
      </c>
      <c r="T19" s="83">
        <f t="shared" si="2"/>
        <v>132.72099999999773</v>
      </c>
      <c r="U19" s="83">
        <f t="shared" si="15"/>
        <v>1040.5326399999822</v>
      </c>
      <c r="V19" s="83">
        <f>362340.7-362176.7</f>
        <v>164</v>
      </c>
      <c r="W19" s="83">
        <f t="shared" si="16"/>
        <v>0</v>
      </c>
      <c r="X19" s="86" t="s">
        <v>63</v>
      </c>
      <c r="Y19" s="5">
        <v>877653</v>
      </c>
      <c r="Z19" s="5">
        <f t="shared" si="9"/>
        <v>397</v>
      </c>
      <c r="AA19" s="14">
        <f t="shared" si="6"/>
        <v>2568.5899999999997</v>
      </c>
      <c r="AB19" s="87">
        <v>7128896</v>
      </c>
      <c r="AC19" s="86">
        <f t="shared" si="10"/>
        <v>7090966</v>
      </c>
      <c r="AD19" s="5">
        <f t="shared" si="3"/>
        <v>37930</v>
      </c>
      <c r="AE19" s="83">
        <f t="shared" si="11"/>
        <v>12600.156350000001</v>
      </c>
      <c r="AF19" s="83">
        <f>89796-89731.4</f>
        <v>64.600000000005821</v>
      </c>
      <c r="AG19" s="83">
        <f>47465.5-47423.2</f>
        <v>42.30000000000291</v>
      </c>
      <c r="AH19" s="83">
        <f>28378-28357.9</f>
        <v>20.099999999998545</v>
      </c>
      <c r="AI19" s="87">
        <f t="shared" si="12"/>
        <v>45758.9</v>
      </c>
      <c r="AJ19" s="87">
        <v>45799</v>
      </c>
      <c r="AK19" s="48">
        <f t="shared" si="7"/>
        <v>40.099999999998545</v>
      </c>
      <c r="AL19" s="89">
        <f t="shared" si="4"/>
        <v>11402.239957208585</v>
      </c>
      <c r="AM19" s="83">
        <f t="shared" si="13"/>
        <v>3787.7671025849063</v>
      </c>
      <c r="AN19" s="71">
        <v>49</v>
      </c>
      <c r="AO19" s="78">
        <f t="shared" si="5"/>
        <v>22570.278989999984</v>
      </c>
    </row>
    <row r="20" spans="1:41" x14ac:dyDescent="0.25">
      <c r="A20" s="79">
        <v>44423</v>
      </c>
      <c r="B20" s="86">
        <f>12321469-12315309</f>
        <v>6160</v>
      </c>
      <c r="C20" s="86">
        <f>7881598-7877964</f>
        <v>3634</v>
      </c>
      <c r="D20" s="86">
        <f>1551558-1550809</f>
        <v>749</v>
      </c>
      <c r="E20" s="86">
        <f>11768623-11762789</f>
        <v>5834</v>
      </c>
      <c r="F20" s="86">
        <f>11691201-11685272</f>
        <v>5929</v>
      </c>
      <c r="G20" s="86">
        <f>8431695-8428508</f>
        <v>3187</v>
      </c>
      <c r="H20" s="86">
        <f>8803136-8796418</f>
        <v>6718</v>
      </c>
      <c r="I20" s="86">
        <f>5287439-5284968</f>
        <v>2471</v>
      </c>
      <c r="J20" s="86">
        <f>11808550-11801767</f>
        <v>6783</v>
      </c>
      <c r="K20" s="86">
        <f t="shared" si="14"/>
        <v>32211</v>
      </c>
      <c r="L20" s="14">
        <f t="shared" si="8"/>
        <v>6442.2000000000007</v>
      </c>
      <c r="M20" s="83">
        <f>84285.087-84167.442</f>
        <v>117.64500000000407</v>
      </c>
      <c r="N20" s="83">
        <f>4483.748-4482.388</f>
        <v>1.3599999999996726</v>
      </c>
      <c r="O20" s="83">
        <f>9834.733-9812.713</f>
        <v>22.020000000000437</v>
      </c>
      <c r="P20" s="82">
        <f>93266.451-93208.439</f>
        <v>58.012000000002445</v>
      </c>
      <c r="Q20" s="83">
        <f>24948.607-24929.02</f>
        <v>19.586999999999534</v>
      </c>
      <c r="R20" s="83">
        <f t="shared" si="0"/>
        <v>81.392000000002554</v>
      </c>
      <c r="S20" s="83">
        <f t="shared" si="1"/>
        <v>638.11328000002004</v>
      </c>
      <c r="T20" s="83">
        <f t="shared" si="2"/>
        <v>137.23200000000361</v>
      </c>
      <c r="U20" s="83">
        <f t="shared" si="15"/>
        <v>1075.8988800000284</v>
      </c>
      <c r="V20" s="83">
        <f>362494.5-362340.7</f>
        <v>153.79999999998836</v>
      </c>
      <c r="W20" s="83">
        <f t="shared" si="16"/>
        <v>0</v>
      </c>
      <c r="X20" s="86" t="s">
        <v>63</v>
      </c>
      <c r="Y20" s="5">
        <v>878048</v>
      </c>
      <c r="Z20" s="5">
        <f t="shared" si="9"/>
        <v>395</v>
      </c>
      <c r="AA20" s="14">
        <f t="shared" si="6"/>
        <v>2555.65</v>
      </c>
      <c r="AB20" s="87">
        <v>7167182</v>
      </c>
      <c r="AC20" s="86">
        <f t="shared" si="10"/>
        <v>7128896</v>
      </c>
      <c r="AD20" s="5">
        <f t="shared" si="3"/>
        <v>38286</v>
      </c>
      <c r="AE20" s="83">
        <f t="shared" si="11"/>
        <v>12718.41777</v>
      </c>
      <c r="AF20" s="83">
        <f>89860.1-89796</f>
        <v>64.100000000005821</v>
      </c>
      <c r="AG20" s="83">
        <f>47509.3-47465.5</f>
        <v>43.80000000000291</v>
      </c>
      <c r="AH20" s="83">
        <f>28398.5-28378</f>
        <v>20.5</v>
      </c>
      <c r="AI20" s="87">
        <f t="shared" si="12"/>
        <v>45799</v>
      </c>
      <c r="AJ20" s="87">
        <v>45838.5</v>
      </c>
      <c r="AK20" s="48">
        <f t="shared" si="7"/>
        <v>39.5</v>
      </c>
      <c r="AL20" s="89">
        <f t="shared" si="4"/>
        <v>11231.632875554998</v>
      </c>
      <c r="AM20" s="83">
        <f t="shared" si="13"/>
        <v>3731.092283094993</v>
      </c>
      <c r="AN20" s="71">
        <v>84</v>
      </c>
      <c r="AO20" s="78">
        <f t="shared" si="5"/>
        <v>22792.166650000028</v>
      </c>
    </row>
    <row r="21" spans="1:41" x14ac:dyDescent="0.25">
      <c r="A21" s="79">
        <v>44424</v>
      </c>
      <c r="B21" s="86">
        <f>12327659-12321469</f>
        <v>6190</v>
      </c>
      <c r="C21" s="86">
        <f>7885310-7881598</f>
        <v>3712</v>
      </c>
      <c r="D21" s="86">
        <f>1552314-1551558</f>
        <v>756</v>
      </c>
      <c r="E21" s="86">
        <f>11774671-11768623</f>
        <v>6048</v>
      </c>
      <c r="F21" s="86">
        <f>11697145-11691201</f>
        <v>5944</v>
      </c>
      <c r="G21" s="86">
        <f>8435083-8431695</f>
        <v>3388</v>
      </c>
      <c r="H21" s="86">
        <f>8811065-8803136</f>
        <v>7929</v>
      </c>
      <c r="I21" s="86">
        <f>5289916-5287439</f>
        <v>2477</v>
      </c>
      <c r="J21" s="86">
        <f>11815421-11808550</f>
        <v>6871</v>
      </c>
      <c r="K21" s="86">
        <f t="shared" si="14"/>
        <v>33967</v>
      </c>
      <c r="L21" s="14">
        <f t="shared" si="8"/>
        <v>6793.4000000000005</v>
      </c>
      <c r="M21" s="83">
        <f>84401.078-84285.087</f>
        <v>115.99099999999453</v>
      </c>
      <c r="N21" s="83">
        <f>4484.671-4483.748</f>
        <v>0.92300000000068394</v>
      </c>
      <c r="O21" s="83">
        <f>9856.529-9834.733</f>
        <v>21.796000000000276</v>
      </c>
      <c r="P21" s="82">
        <f>93327.196-93266.451</f>
        <v>60.744999999995343</v>
      </c>
      <c r="Q21" s="83">
        <f>24956.55-24948.607</f>
        <v>7.9429999999993015</v>
      </c>
      <c r="R21" s="83">
        <f t="shared" si="0"/>
        <v>83.463999999996304</v>
      </c>
      <c r="S21" s="83">
        <f t="shared" si="1"/>
        <v>654.35775999997099</v>
      </c>
      <c r="T21" s="83">
        <f t="shared" si="2"/>
        <v>123.93399999999383</v>
      </c>
      <c r="U21" s="83">
        <f t="shared" si="15"/>
        <v>971.64255999995157</v>
      </c>
      <c r="V21" s="83">
        <f>362650.2-362494.5</f>
        <v>155.70000000001164</v>
      </c>
      <c r="W21" s="83">
        <f t="shared" si="16"/>
        <v>0</v>
      </c>
      <c r="X21" s="86" t="s">
        <v>63</v>
      </c>
      <c r="Y21" s="5">
        <v>878459</v>
      </c>
      <c r="Z21" s="5">
        <f t="shared" si="9"/>
        <v>411</v>
      </c>
      <c r="AA21" s="14">
        <f t="shared" si="6"/>
        <v>2659.17</v>
      </c>
      <c r="AB21" s="87">
        <v>7206676</v>
      </c>
      <c r="AC21" s="86">
        <f t="shared" si="10"/>
        <v>7167182</v>
      </c>
      <c r="AD21" s="5">
        <f t="shared" si="3"/>
        <v>39494</v>
      </c>
      <c r="AE21" s="83">
        <f t="shared" si="11"/>
        <v>13119.709330000002</v>
      </c>
      <c r="AF21" s="83">
        <f>89923.3-89860.1</f>
        <v>63.19999999999709</v>
      </c>
      <c r="AG21" s="83">
        <f>47561.1-47509.3</f>
        <v>51.799999999995634</v>
      </c>
      <c r="AH21" s="83">
        <f>28417.8-28398.5</f>
        <v>19.299999999999272</v>
      </c>
      <c r="AI21" s="87">
        <f t="shared" si="12"/>
        <v>45838.5</v>
      </c>
      <c r="AJ21" s="87">
        <v>45878.1</v>
      </c>
      <c r="AK21" s="48">
        <f t="shared" si="7"/>
        <v>39.599999999998545</v>
      </c>
      <c r="AL21" s="89">
        <f t="shared" si="4"/>
        <v>11260.067389163585</v>
      </c>
      <c r="AM21" s="83">
        <f t="shared" si="13"/>
        <v>3740.5380863431974</v>
      </c>
      <c r="AN21" s="71">
        <v>91</v>
      </c>
      <c r="AO21" s="78">
        <f t="shared" si="5"/>
        <v>23543.921889999954</v>
      </c>
    </row>
    <row r="22" spans="1:41" x14ac:dyDescent="0.25">
      <c r="A22" s="79">
        <v>44425</v>
      </c>
      <c r="B22" s="86">
        <f>12333852-12327659</f>
        <v>6193</v>
      </c>
      <c r="C22" s="86">
        <f>7889083-7885310</f>
        <v>3773</v>
      </c>
      <c r="D22" s="86">
        <f>1553048-1552314</f>
        <v>734</v>
      </c>
      <c r="E22" s="86">
        <f>11780794-11774671</f>
        <v>6123</v>
      </c>
      <c r="F22" s="86">
        <f>11703310-11697145</f>
        <v>6165</v>
      </c>
      <c r="G22" s="86">
        <f>8438465-8435083</f>
        <v>3382</v>
      </c>
      <c r="H22" s="86">
        <f>8819148-8811065</f>
        <v>8083</v>
      </c>
      <c r="I22" s="86">
        <f>5292382-5289916</f>
        <v>2466</v>
      </c>
      <c r="J22" s="86">
        <f>11822248-11815421</f>
        <v>6827</v>
      </c>
      <c r="K22" s="86">
        <f t="shared" si="14"/>
        <v>34453</v>
      </c>
      <c r="L22" s="14">
        <f t="shared" si="8"/>
        <v>6890.6</v>
      </c>
      <c r="M22" s="83">
        <f>84519.33-84401.078</f>
        <v>118.25200000000768</v>
      </c>
      <c r="N22" s="83">
        <f>4486-4484.671</f>
        <v>1.3289999999997235</v>
      </c>
      <c r="O22" s="83">
        <f>9878.768-9856.529</f>
        <v>22.238999999999578</v>
      </c>
      <c r="P22" s="82">
        <f>93384.773-93327.196</f>
        <v>57.577000000004773</v>
      </c>
      <c r="Q22" s="83">
        <f>24967.888-24956.55</f>
        <v>11.337999999999738</v>
      </c>
      <c r="R22" s="83">
        <f t="shared" si="0"/>
        <v>81.145000000004075</v>
      </c>
      <c r="S22" s="83">
        <f t="shared" si="1"/>
        <v>636.1768000000319</v>
      </c>
      <c r="T22" s="83">
        <f t="shared" si="2"/>
        <v>129.59000000000742</v>
      </c>
      <c r="U22" s="83">
        <f t="shared" si="15"/>
        <v>1015.9856000000582</v>
      </c>
      <c r="V22" s="83">
        <f>362807.3-362650.2</f>
        <v>157.09999999997672</v>
      </c>
      <c r="W22" s="83">
        <f>129967.17-129966.39</f>
        <v>0.77999999999883585</v>
      </c>
      <c r="X22" s="86" t="s">
        <v>63</v>
      </c>
      <c r="Y22" s="5">
        <v>878888</v>
      </c>
      <c r="Z22" s="5">
        <f t="shared" si="9"/>
        <v>429</v>
      </c>
      <c r="AA22" s="14">
        <f t="shared" si="6"/>
        <v>2775.63</v>
      </c>
      <c r="AB22" s="87">
        <v>7245764</v>
      </c>
      <c r="AC22" s="86">
        <f t="shared" si="10"/>
        <v>7206676</v>
      </c>
      <c r="AD22" s="5">
        <f t="shared" si="3"/>
        <v>39088</v>
      </c>
      <c r="AE22" s="83">
        <f t="shared" si="11"/>
        <v>12984.838160000001</v>
      </c>
      <c r="AF22" s="83">
        <f>89986.4-89923.3</f>
        <v>63.099999999991269</v>
      </c>
      <c r="AG22" s="83">
        <f>47612.9-47561.1</f>
        <v>51.80000000000291</v>
      </c>
      <c r="AH22" s="83">
        <f>28436.2-28417.8</f>
        <v>18.400000000001455</v>
      </c>
      <c r="AI22" s="87">
        <f t="shared" si="12"/>
        <v>45878.1</v>
      </c>
      <c r="AJ22" s="87">
        <v>45917.3</v>
      </c>
      <c r="AK22" s="48">
        <f t="shared" si="7"/>
        <v>39.200000000004366</v>
      </c>
      <c r="AL22" s="89">
        <f t="shared" si="4"/>
        <v>11146.32933472924</v>
      </c>
      <c r="AM22" s="83">
        <f t="shared" si="13"/>
        <v>3702.75487335038</v>
      </c>
      <c r="AN22" s="71">
        <v>78</v>
      </c>
      <c r="AO22" s="78">
        <f t="shared" si="5"/>
        <v>23667.053760000061</v>
      </c>
    </row>
    <row r="23" spans="1:41" x14ac:dyDescent="0.25">
      <c r="A23" s="79">
        <v>44426</v>
      </c>
      <c r="B23" s="86">
        <f>12339872-12333852</f>
        <v>6020</v>
      </c>
      <c r="C23" s="86">
        <f>7892940-7889083</f>
        <v>3857</v>
      </c>
      <c r="D23" s="86">
        <f>1553784-1553048</f>
        <v>736</v>
      </c>
      <c r="E23" s="86">
        <f>11786700-11780794</f>
        <v>5906</v>
      </c>
      <c r="F23" s="86">
        <f>11709521-11703310</f>
        <v>6211</v>
      </c>
      <c r="G23" s="86">
        <f>8441766-8438465</f>
        <v>3301</v>
      </c>
      <c r="H23" s="86">
        <f>8827258-8819148</f>
        <v>8110</v>
      </c>
      <c r="I23" s="86">
        <f>5294880-5292382</f>
        <v>2498</v>
      </c>
      <c r="J23" s="86">
        <f>11829258-11822248</f>
        <v>7010</v>
      </c>
      <c r="K23" s="86">
        <f t="shared" si="14"/>
        <v>34141</v>
      </c>
      <c r="L23" s="14">
        <f t="shared" si="8"/>
        <v>6828.2000000000007</v>
      </c>
      <c r="M23" s="83">
        <f>84636.985-84519.33</f>
        <v>117.65499999999884</v>
      </c>
      <c r="N23" s="83">
        <f>4486.888-4486</f>
        <v>0.88799999999991996</v>
      </c>
      <c r="O23" s="83">
        <f>9901.067-9878.768</f>
        <v>22.298999999999069</v>
      </c>
      <c r="P23" s="82">
        <f>93454.151-93384.773</f>
        <v>69.377999999996973</v>
      </c>
      <c r="Q23" s="83">
        <f>24982.734-24967.888</f>
        <v>14.846000000001368</v>
      </c>
      <c r="R23" s="83">
        <f t="shared" si="0"/>
        <v>92.564999999995962</v>
      </c>
      <c r="S23" s="83">
        <f t="shared" si="1"/>
        <v>725.7095999999683</v>
      </c>
      <c r="T23" s="83">
        <f t="shared" si="2"/>
        <v>132.5010000000002</v>
      </c>
      <c r="U23" s="83">
        <f t="shared" si="15"/>
        <v>1038.8078400000015</v>
      </c>
      <c r="V23" s="83">
        <f>362970.6-362807.3</f>
        <v>163.29999999998836</v>
      </c>
      <c r="W23" s="83">
        <f>129967.17-129967.17</f>
        <v>0</v>
      </c>
      <c r="X23" s="86" t="s">
        <v>63</v>
      </c>
      <c r="Y23" s="5">
        <v>879302</v>
      </c>
      <c r="Z23" s="5">
        <f t="shared" si="9"/>
        <v>414</v>
      </c>
      <c r="AA23" s="14">
        <f t="shared" si="6"/>
        <v>2678.58</v>
      </c>
      <c r="AB23" s="87">
        <v>7281975</v>
      </c>
      <c r="AC23" s="86">
        <f t="shared" si="10"/>
        <v>7245764</v>
      </c>
      <c r="AD23" s="5">
        <f t="shared" si="3"/>
        <v>36211</v>
      </c>
      <c r="AE23" s="83">
        <f t="shared" si="11"/>
        <v>12029.113145000001</v>
      </c>
      <c r="AF23" s="83">
        <f>90044-89986.4</f>
        <v>57.600000000005821</v>
      </c>
      <c r="AG23" s="83">
        <f>47659-47612.9</f>
        <v>46.099999999998545</v>
      </c>
      <c r="AH23" s="83">
        <f>28454.6-28436.2</f>
        <v>18.399999999997817</v>
      </c>
      <c r="AI23" s="87">
        <f t="shared" si="12"/>
        <v>45917.3</v>
      </c>
      <c r="AJ23" s="87">
        <v>45955.9</v>
      </c>
      <c r="AK23" s="48">
        <f t="shared" si="7"/>
        <v>38.599999999998545</v>
      </c>
      <c r="AL23" s="89">
        <f t="shared" si="4"/>
        <v>10975.722253073585</v>
      </c>
      <c r="AM23" s="83">
        <f t="shared" si="13"/>
        <v>3646.08005385978</v>
      </c>
      <c r="AN23" s="71">
        <v>82</v>
      </c>
      <c r="AO23" s="78">
        <f t="shared" si="5"/>
        <v>22574.700985000003</v>
      </c>
    </row>
    <row r="24" spans="1:41" x14ac:dyDescent="0.25">
      <c r="A24" s="79">
        <v>44427</v>
      </c>
      <c r="B24" s="86">
        <f>12345735-12339872</f>
        <v>5863</v>
      </c>
      <c r="C24" s="86">
        <f>7896650-7892940</f>
        <v>3710</v>
      </c>
      <c r="D24" s="86">
        <f>1554870-1553784</f>
        <v>1086</v>
      </c>
      <c r="E24" s="86">
        <f>11792700-11786700</f>
        <v>6000</v>
      </c>
      <c r="F24" s="86">
        <f>11715760-11709521</f>
        <v>6239</v>
      </c>
      <c r="G24" s="86">
        <f>8444845-8441766</f>
        <v>3079</v>
      </c>
      <c r="H24" s="86">
        <f>8835311-8827258</f>
        <v>8053</v>
      </c>
      <c r="I24" s="86">
        <f>5297354-5294880</f>
        <v>2474</v>
      </c>
      <c r="J24" s="86">
        <f>11836445-11829258</f>
        <v>7187</v>
      </c>
      <c r="K24" s="86">
        <f t="shared" si="14"/>
        <v>34030</v>
      </c>
      <c r="L24" s="14">
        <f t="shared" si="8"/>
        <v>6806</v>
      </c>
      <c r="M24" s="83">
        <f>84772.95-84636.985</f>
        <v>135.96499999999651</v>
      </c>
      <c r="N24" s="83">
        <f>4488.913-4486.888</f>
        <v>2.0249999999996362</v>
      </c>
      <c r="O24" s="83">
        <f>9924.459-9901.067</f>
        <v>23.392000000001644</v>
      </c>
      <c r="P24" s="82">
        <f>93518.782-93454.151</f>
        <v>64.631000000008498</v>
      </c>
      <c r="Q24" s="83">
        <f>25000.779-24982.734</f>
        <v>18.044999999998254</v>
      </c>
      <c r="R24" s="83">
        <f t="shared" si="0"/>
        <v>90.048000000009779</v>
      </c>
      <c r="S24" s="83">
        <f t="shared" si="1"/>
        <v>705.97632000007661</v>
      </c>
      <c r="T24" s="83">
        <f t="shared" si="2"/>
        <v>154.00999999999476</v>
      </c>
      <c r="U24" s="83">
        <f t="shared" si="15"/>
        <v>1207.4383999999588</v>
      </c>
      <c r="V24" s="83">
        <f>363146.7-362970.6</f>
        <v>176.10000000003492</v>
      </c>
      <c r="W24" s="83">
        <f>129967.17-129967.17</f>
        <v>0</v>
      </c>
      <c r="X24" s="86" t="s">
        <v>63</v>
      </c>
      <c r="Y24" s="5">
        <v>879766</v>
      </c>
      <c r="Z24" s="5">
        <f t="shared" si="9"/>
        <v>464</v>
      </c>
      <c r="AA24" s="14">
        <f t="shared" si="6"/>
        <v>3002.08</v>
      </c>
      <c r="AB24" s="87">
        <v>7315475</v>
      </c>
      <c r="AC24" s="86">
        <f t="shared" si="10"/>
        <v>7281975</v>
      </c>
      <c r="AD24" s="5">
        <f t="shared" si="3"/>
        <v>33500</v>
      </c>
      <c r="AE24" s="83">
        <f t="shared" si="11"/>
        <v>11128.532500000001</v>
      </c>
      <c r="AF24" s="83">
        <f>90098.3-90044</f>
        <v>54.30000000000291</v>
      </c>
      <c r="AG24" s="83">
        <f>47701.5-47659</f>
        <v>42.5</v>
      </c>
      <c r="AH24" s="83">
        <f>28472-28454.6</f>
        <v>17.400000000001455</v>
      </c>
      <c r="AI24" s="87">
        <f t="shared" si="12"/>
        <v>45955.9</v>
      </c>
      <c r="AJ24" s="87">
        <v>45993.1</v>
      </c>
      <c r="AK24" s="48">
        <f t="shared" si="7"/>
        <v>37.19999999999709</v>
      </c>
      <c r="AL24" s="89">
        <f t="shared" si="4"/>
        <v>10577.639062547172</v>
      </c>
      <c r="AM24" s="83">
        <f t="shared" si="13"/>
        <v>3513.8388083828581</v>
      </c>
      <c r="AN24" s="71">
        <v>52</v>
      </c>
      <c r="AO24" s="78">
        <f t="shared" si="5"/>
        <v>22144.050899999958</v>
      </c>
    </row>
    <row r="25" spans="1:41" x14ac:dyDescent="0.25">
      <c r="A25" s="79">
        <v>44428</v>
      </c>
      <c r="B25" s="86">
        <f>12351901-12345735</f>
        <v>6166</v>
      </c>
      <c r="C25" s="86">
        <f>7900092-7896650</f>
        <v>3442</v>
      </c>
      <c r="D25" s="86">
        <f>1555357-1554870</f>
        <v>487</v>
      </c>
      <c r="E25" s="86">
        <f>11798565-11792700</f>
        <v>5865</v>
      </c>
      <c r="F25" s="86">
        <f>11722138-11715760</f>
        <v>6378</v>
      </c>
      <c r="G25" s="86">
        <f>8447918-8444845</f>
        <v>3073</v>
      </c>
      <c r="H25" s="86">
        <f>8843288-8835311</f>
        <v>7977</v>
      </c>
      <c r="I25" s="86">
        <f>5299774-5297354</f>
        <v>2420</v>
      </c>
      <c r="J25" s="86">
        <f>11843434-11836445</f>
        <v>6989</v>
      </c>
      <c r="K25" s="86">
        <f t="shared" si="14"/>
        <v>33388</v>
      </c>
      <c r="L25" s="14">
        <f t="shared" si="8"/>
        <v>6677.6</v>
      </c>
      <c r="M25" s="83">
        <f>84900.286-84772.95</f>
        <v>127.33599999999569</v>
      </c>
      <c r="N25" s="83">
        <f>4493.027-4488.913</f>
        <v>4.1140000000004875</v>
      </c>
      <c r="O25" s="83">
        <f>9946.62-9924.459</f>
        <v>22.161000000000058</v>
      </c>
      <c r="P25" s="82">
        <f>93584.786-93518.782</f>
        <v>66.003999999986263</v>
      </c>
      <c r="Q25" s="83">
        <f>25010.251-25000.779</f>
        <v>9.4720000000015716</v>
      </c>
      <c r="R25" s="83">
        <f t="shared" si="0"/>
        <v>92.278999999986809</v>
      </c>
      <c r="S25" s="83">
        <f t="shared" si="1"/>
        <v>723.46735999989653</v>
      </c>
      <c r="T25" s="83">
        <f t="shared" si="2"/>
        <v>136.80799999999726</v>
      </c>
      <c r="U25" s="83">
        <f t="shared" si="15"/>
        <v>1072.5747199999785</v>
      </c>
      <c r="V25" s="83">
        <f>363323.4-363146.7</f>
        <v>176.70000000001164</v>
      </c>
      <c r="W25" s="83">
        <f t="shared" ref="W25:W27" si="17">129967.17-129967.17</f>
        <v>0</v>
      </c>
      <c r="X25" s="86" t="s">
        <v>63</v>
      </c>
      <c r="Y25" s="5">
        <v>880260</v>
      </c>
      <c r="Z25" s="5">
        <f t="shared" si="9"/>
        <v>494</v>
      </c>
      <c r="AA25" s="14">
        <f t="shared" si="6"/>
        <v>3196.18</v>
      </c>
      <c r="AB25" s="87">
        <v>7346346</v>
      </c>
      <c r="AC25" s="86">
        <f t="shared" si="10"/>
        <v>7315475</v>
      </c>
      <c r="AD25" s="5">
        <f t="shared" si="3"/>
        <v>30871</v>
      </c>
      <c r="AE25" s="83">
        <f t="shared" si="11"/>
        <v>10255.191845000001</v>
      </c>
      <c r="AF25" s="83">
        <f>90147.4-90098.3</f>
        <v>49.099999999991269</v>
      </c>
      <c r="AG25" s="83">
        <f>47741-47701.5</f>
        <v>39.5</v>
      </c>
      <c r="AH25" s="83">
        <f>28488.6-28472</f>
        <v>16.599999999998545</v>
      </c>
      <c r="AI25" s="87">
        <f t="shared" si="12"/>
        <v>45993.1</v>
      </c>
      <c r="AJ25" s="87">
        <v>46029.2</v>
      </c>
      <c r="AK25" s="48">
        <f t="shared" si="7"/>
        <v>36.099999999998545</v>
      </c>
      <c r="AL25" s="89">
        <f t="shared" si="4"/>
        <v>10264.859412848586</v>
      </c>
      <c r="AM25" s="83">
        <f t="shared" si="13"/>
        <v>3409.934972651236</v>
      </c>
      <c r="AN25" s="71">
        <v>45</v>
      </c>
      <c r="AO25" s="78">
        <f t="shared" si="5"/>
        <v>21201.546564999982</v>
      </c>
    </row>
    <row r="26" spans="1:41" x14ac:dyDescent="0.25">
      <c r="A26" s="79">
        <v>44429</v>
      </c>
      <c r="B26" s="86">
        <f>12357896-12351901</f>
        <v>5995</v>
      </c>
      <c r="C26" s="86">
        <f>7903253-7900092</f>
        <v>3161</v>
      </c>
      <c r="D26" s="86">
        <f>1556064-1555357</f>
        <v>707</v>
      </c>
      <c r="E26" s="86">
        <f>11804560-11798565</f>
        <v>5995</v>
      </c>
      <c r="F26" s="86">
        <f>11728261-11722138</f>
        <v>6123</v>
      </c>
      <c r="G26" s="86">
        <f>8451018-8447918</f>
        <v>3100</v>
      </c>
      <c r="H26" s="86">
        <f>8851484-8843288</f>
        <v>8196</v>
      </c>
      <c r="I26" s="86">
        <f>5302299-5299774</f>
        <v>2525</v>
      </c>
      <c r="J26" s="86">
        <f>11850533-11843434</f>
        <v>7099</v>
      </c>
      <c r="K26" s="86">
        <f t="shared" si="14"/>
        <v>33277</v>
      </c>
      <c r="L26" s="14">
        <f t="shared" si="8"/>
        <v>6655.4000000000005</v>
      </c>
      <c r="M26" s="83">
        <f>85027.086-84900.286</f>
        <v>126.80000000000291</v>
      </c>
      <c r="N26" s="83">
        <f>4498.974-4493.027</f>
        <v>5.9470000000001164</v>
      </c>
      <c r="O26" s="83">
        <f>9969.213-9946.62</f>
        <v>22.592999999998938</v>
      </c>
      <c r="P26" s="82">
        <f>93643.848-93584.786</f>
        <v>59.062000000005355</v>
      </c>
      <c r="Q26" s="83">
        <f>25033.118-25010.251</f>
        <v>22.86699999999837</v>
      </c>
      <c r="R26" s="83">
        <f t="shared" si="0"/>
        <v>87.602000000004409</v>
      </c>
      <c r="S26" s="83">
        <f t="shared" si="1"/>
        <v>686.79968000003453</v>
      </c>
      <c r="T26" s="83">
        <f t="shared" si="2"/>
        <v>149.66700000000128</v>
      </c>
      <c r="U26" s="83">
        <f t="shared" si="15"/>
        <v>1173.3892800000101</v>
      </c>
      <c r="V26" s="83">
        <f>363501-363323.4</f>
        <v>177.59999999997672</v>
      </c>
      <c r="W26" s="83">
        <f t="shared" si="17"/>
        <v>0</v>
      </c>
      <c r="X26" s="86" t="s">
        <v>63</v>
      </c>
      <c r="Y26" s="5">
        <v>880680</v>
      </c>
      <c r="Z26" s="5">
        <f t="shared" si="9"/>
        <v>420</v>
      </c>
      <c r="AA26" s="14">
        <f t="shared" si="6"/>
        <v>2717.4</v>
      </c>
      <c r="AB26" s="87">
        <v>7377646</v>
      </c>
      <c r="AC26" s="86">
        <f t="shared" si="10"/>
        <v>7346346</v>
      </c>
      <c r="AD26" s="5">
        <f t="shared" si="3"/>
        <v>31300</v>
      </c>
      <c r="AE26" s="83">
        <f t="shared" si="11"/>
        <v>10397.703500000001</v>
      </c>
      <c r="AF26" s="83">
        <f>90196-90147.4</f>
        <v>48.600000000005821</v>
      </c>
      <c r="AG26" s="83">
        <f>47780.6-47741</f>
        <v>39.599999999998545</v>
      </c>
      <c r="AH26" s="83">
        <f>28505.9-28488.6</f>
        <v>17.30000000000291</v>
      </c>
      <c r="AI26" s="87">
        <f t="shared" si="12"/>
        <v>46029.2</v>
      </c>
      <c r="AJ26" s="87">
        <v>46067.3</v>
      </c>
      <c r="AK26" s="48">
        <f t="shared" si="7"/>
        <v>38.100000000005821</v>
      </c>
      <c r="AL26" s="89">
        <f t="shared" si="4"/>
        <v>10833.549685030654</v>
      </c>
      <c r="AM26" s="83">
        <f t="shared" si="13"/>
        <v>3598.8510376187583</v>
      </c>
      <c r="AN26" s="71">
        <v>38</v>
      </c>
      <c r="AO26" s="78">
        <f t="shared" si="5"/>
        <v>20943.892780000013</v>
      </c>
    </row>
    <row r="27" spans="1:41" x14ac:dyDescent="0.25">
      <c r="A27" s="79">
        <v>44430</v>
      </c>
      <c r="B27" s="86">
        <f>12363752-12357896</f>
        <v>5856</v>
      </c>
      <c r="C27" s="86">
        <f>7906577-7903253</f>
        <v>3324</v>
      </c>
      <c r="D27" s="86">
        <f>1556830-1556064</f>
        <v>766</v>
      </c>
      <c r="E27" s="86">
        <f>11810547-11804560</f>
        <v>5987</v>
      </c>
      <c r="F27" s="86">
        <f>11734361-11728261</f>
        <v>6100</v>
      </c>
      <c r="G27" s="86">
        <f>8454054-8451018</f>
        <v>3036</v>
      </c>
      <c r="H27" s="86">
        <f>8859565-8851484</f>
        <v>8081</v>
      </c>
      <c r="I27" s="86">
        <f>5304783-5302299</f>
        <v>2484</v>
      </c>
      <c r="J27" s="86">
        <f>11857521-11850533</f>
        <v>6988</v>
      </c>
      <c r="K27" s="86">
        <f t="shared" si="14"/>
        <v>33150</v>
      </c>
      <c r="L27" s="14">
        <f t="shared" si="8"/>
        <v>6630</v>
      </c>
      <c r="M27" s="83">
        <f>85137.31-85027.086</f>
        <v>110.22400000000198</v>
      </c>
      <c r="N27" s="83">
        <f>4504.683-4498.974</f>
        <v>5.7089999999998327</v>
      </c>
      <c r="O27" s="83">
        <f>9990.891-9969.213</f>
        <v>21.677999999999884</v>
      </c>
      <c r="P27" s="82">
        <f>93703.1-93643.848</f>
        <v>59.252000000007683</v>
      </c>
      <c r="Q27" s="83">
        <f>25046.954-25033.118</f>
        <v>13.836000000002969</v>
      </c>
      <c r="R27" s="83">
        <f t="shared" si="0"/>
        <v>86.6390000000074</v>
      </c>
      <c r="S27" s="83">
        <f t="shared" si="1"/>
        <v>679.24976000005802</v>
      </c>
      <c r="T27" s="83">
        <f t="shared" si="2"/>
        <v>124.06000000000495</v>
      </c>
      <c r="U27" s="83">
        <f t="shared" si="15"/>
        <v>972.63040000003878</v>
      </c>
      <c r="V27" s="83">
        <f>363669.5-363501</f>
        <v>168.5</v>
      </c>
      <c r="W27" s="83">
        <f t="shared" si="17"/>
        <v>0</v>
      </c>
      <c r="X27" s="86" t="s">
        <v>63</v>
      </c>
      <c r="Y27" s="5">
        <v>881108</v>
      </c>
      <c r="Z27" s="5">
        <f t="shared" si="9"/>
        <v>428</v>
      </c>
      <c r="AA27" s="14">
        <f t="shared" si="6"/>
        <v>2769.16</v>
      </c>
      <c r="AB27" s="87">
        <v>7411594</v>
      </c>
      <c r="AC27" s="86">
        <f t="shared" si="10"/>
        <v>7377646</v>
      </c>
      <c r="AD27" s="5">
        <f t="shared" si="3"/>
        <v>33948</v>
      </c>
      <c r="AE27" s="83">
        <f t="shared" si="11"/>
        <v>11277.355860000001</v>
      </c>
      <c r="AF27" s="83">
        <f>90249-90196</f>
        <v>53</v>
      </c>
      <c r="AG27" s="83">
        <f>47823.6-47780.6</f>
        <v>43</v>
      </c>
      <c r="AH27" s="83">
        <f>28523.1-28505.9</f>
        <v>17.19999999999709</v>
      </c>
      <c r="AI27" s="87">
        <f t="shared" si="12"/>
        <v>46067.3</v>
      </c>
      <c r="AJ27" s="87">
        <v>46106.2</v>
      </c>
      <c r="AK27" s="48">
        <f t="shared" si="7"/>
        <v>38.899999999994179</v>
      </c>
      <c r="AL27" s="89">
        <f t="shared" si="4"/>
        <v>11061.025793899344</v>
      </c>
      <c r="AM27" s="83">
        <f t="shared" si="13"/>
        <v>3674.4174636043927</v>
      </c>
      <c r="AN27" s="71">
        <v>64</v>
      </c>
      <c r="AO27" s="78">
        <f t="shared" si="5"/>
        <v>21649.146260000038</v>
      </c>
    </row>
    <row r="28" spans="1:41" x14ac:dyDescent="0.25">
      <c r="A28" s="79">
        <v>44431</v>
      </c>
      <c r="B28" s="86">
        <f>12369460-12363752</f>
        <v>5708</v>
      </c>
      <c r="C28" s="86">
        <f>7909967-7906577</f>
        <v>3390</v>
      </c>
      <c r="D28" s="86">
        <f>1557574-1556830</f>
        <v>744</v>
      </c>
      <c r="E28" s="86">
        <f>11816388-11810547</f>
        <v>5841</v>
      </c>
      <c r="F28" s="86">
        <f>11740357-11734361</f>
        <v>5996</v>
      </c>
      <c r="G28" s="86">
        <f>8457158-8454054</f>
        <v>3104</v>
      </c>
      <c r="H28" s="86">
        <f>8867558-8859565</f>
        <v>7993</v>
      </c>
      <c r="I28" s="86">
        <f>5307153-5304783</f>
        <v>2370</v>
      </c>
      <c r="J28" s="86">
        <f>11864408-11857521</f>
        <v>6887</v>
      </c>
      <c r="K28" s="86">
        <f t="shared" si="14"/>
        <v>32776</v>
      </c>
      <c r="L28" s="14">
        <f t="shared" si="8"/>
        <v>6555.2000000000007</v>
      </c>
      <c r="M28" s="83">
        <f>85245.98-85137.31</f>
        <v>108.66999999999825</v>
      </c>
      <c r="N28" s="83">
        <f>4507.763-4504.683</f>
        <v>3.0799999999999272</v>
      </c>
      <c r="O28" s="83">
        <f>10017.85-9990.891</f>
        <v>26.959000000000742</v>
      </c>
      <c r="P28" s="82">
        <f>93767.904-93703.1</f>
        <v>64.803999999989173</v>
      </c>
      <c r="Q28" s="83">
        <f>25062.759-25046.954</f>
        <v>15.804999999996653</v>
      </c>
      <c r="R28" s="83">
        <f t="shared" si="0"/>
        <v>94.842999999989843</v>
      </c>
      <c r="S28" s="83">
        <f t="shared" si="1"/>
        <v>743.5691199999203</v>
      </c>
      <c r="T28" s="83">
        <f t="shared" si="2"/>
        <v>124.47499999999491</v>
      </c>
      <c r="U28" s="83">
        <f t="shared" si="15"/>
        <v>975.88399999996</v>
      </c>
      <c r="V28" s="83">
        <f>363837.2-363669.5</f>
        <v>167.70000000001164</v>
      </c>
      <c r="W28" s="83">
        <f>129986.94-129967.17</f>
        <v>19.770000000004075</v>
      </c>
      <c r="X28" s="86" t="s">
        <v>63</v>
      </c>
      <c r="Y28" s="5">
        <v>881536</v>
      </c>
      <c r="Z28" s="5">
        <f t="shared" si="9"/>
        <v>428</v>
      </c>
      <c r="AA28" s="14">
        <f t="shared" si="6"/>
        <v>2769.16</v>
      </c>
      <c r="AB28" s="87">
        <v>7448559</v>
      </c>
      <c r="AC28" s="86">
        <f t="shared" si="10"/>
        <v>7411594</v>
      </c>
      <c r="AD28" s="5">
        <f t="shared" si="3"/>
        <v>36965</v>
      </c>
      <c r="AE28" s="83">
        <f t="shared" si="11"/>
        <v>12279.588175000001</v>
      </c>
      <c r="AF28" s="83">
        <f>90307.8-90249</f>
        <v>58.80000000000291</v>
      </c>
      <c r="AG28" s="83">
        <f>47867.6-47823.6</f>
        <v>44</v>
      </c>
      <c r="AH28" s="83">
        <f>28543-28523.1</f>
        <v>19.900000000001455</v>
      </c>
      <c r="AI28" s="87">
        <f t="shared" si="12"/>
        <v>46106.2</v>
      </c>
      <c r="AJ28" s="87">
        <v>46145.8</v>
      </c>
      <c r="AK28" s="48">
        <f t="shared" si="7"/>
        <v>39.600000000005821</v>
      </c>
      <c r="AL28" s="89">
        <f t="shared" si="4"/>
        <v>11260.067389165655</v>
      </c>
      <c r="AM28" s="83">
        <f t="shared" si="13"/>
        <v>3740.538086343885</v>
      </c>
      <c r="AN28" s="71">
        <v>69</v>
      </c>
      <c r="AO28" s="78">
        <f t="shared" si="5"/>
        <v>22579.83217499996</v>
      </c>
    </row>
    <row r="29" spans="1:41" x14ac:dyDescent="0.25">
      <c r="A29" s="79">
        <v>44432</v>
      </c>
      <c r="B29" s="86">
        <f>12375334-12369460</f>
        <v>5874</v>
      </c>
      <c r="C29" s="86">
        <f>7913246-7909967</f>
        <v>3279</v>
      </c>
      <c r="D29" s="86">
        <f>1558351-1557574</f>
        <v>777</v>
      </c>
      <c r="E29" s="86">
        <f>11822111-11816388</f>
        <v>5723</v>
      </c>
      <c r="F29" s="86">
        <f>11746351-11740357</f>
        <v>5994</v>
      </c>
      <c r="G29" s="86">
        <f>8460233-8457158</f>
        <v>3075</v>
      </c>
      <c r="H29" s="86">
        <f>8875553-8867558</f>
        <v>7995</v>
      </c>
      <c r="I29" s="86">
        <f>5309529-5307153</f>
        <v>2376</v>
      </c>
      <c r="J29" s="86">
        <f>11871347-11864408</f>
        <v>6939</v>
      </c>
      <c r="K29" s="86">
        <f t="shared" si="14"/>
        <v>32717</v>
      </c>
      <c r="L29" s="14">
        <f t="shared" si="8"/>
        <v>6543.4000000000005</v>
      </c>
      <c r="M29" s="83">
        <f>85369.807-85245.98</f>
        <v>123.82700000000477</v>
      </c>
      <c r="N29" s="83">
        <f>4508.185-4507.763</f>
        <v>0.42200000000048021</v>
      </c>
      <c r="O29" s="83">
        <f>10030.632-10017.85</f>
        <v>12.781999999999243</v>
      </c>
      <c r="P29" s="82">
        <f>93829.983-93767.904</f>
        <v>62.078999999997905</v>
      </c>
      <c r="Q29" s="83">
        <f>25077.274-25062.759</f>
        <v>14.515000000003056</v>
      </c>
      <c r="R29" s="83">
        <f t="shared" si="0"/>
        <v>75.282999999997628</v>
      </c>
      <c r="S29" s="83">
        <f t="shared" si="1"/>
        <v>590.21871999998143</v>
      </c>
      <c r="T29" s="83">
        <f t="shared" si="2"/>
        <v>138.34200000000783</v>
      </c>
      <c r="U29" s="83">
        <f t="shared" si="15"/>
        <v>1084.6012800000613</v>
      </c>
      <c r="V29" s="83">
        <f>364006.6-363837.2</f>
        <v>169.39999999996508</v>
      </c>
      <c r="W29" s="83">
        <f>129986.94-129986.94</f>
        <v>0</v>
      </c>
      <c r="X29" s="86" t="s">
        <v>63</v>
      </c>
      <c r="Y29" s="5">
        <v>881967</v>
      </c>
      <c r="Z29" s="5">
        <f t="shared" si="9"/>
        <v>431</v>
      </c>
      <c r="AA29" s="14">
        <f t="shared" si="6"/>
        <v>2788.5699999999997</v>
      </c>
      <c r="AB29" s="87">
        <v>7480585</v>
      </c>
      <c r="AC29" s="86">
        <f t="shared" si="10"/>
        <v>7448559</v>
      </c>
      <c r="AD29" s="5">
        <f t="shared" si="3"/>
        <v>32026</v>
      </c>
      <c r="AE29" s="83">
        <f t="shared" si="11"/>
        <v>10638.87707</v>
      </c>
      <c r="AF29" s="83">
        <f>90357.7-90307.8</f>
        <v>49.899999999994179</v>
      </c>
      <c r="AG29" s="83">
        <f>47908.1-47867.6</f>
        <v>40.5</v>
      </c>
      <c r="AH29" s="83">
        <f>28560.8-28543</f>
        <v>17.799999999999272</v>
      </c>
      <c r="AI29" s="87">
        <f t="shared" si="12"/>
        <v>46145.8</v>
      </c>
      <c r="AJ29" s="87">
        <v>46182.400000000001</v>
      </c>
      <c r="AK29" s="48">
        <f t="shared" si="7"/>
        <v>36.599999999998545</v>
      </c>
      <c r="AL29" s="89">
        <f t="shared" si="4"/>
        <v>10407.031980893586</v>
      </c>
      <c r="AM29" s="83">
        <f t="shared" si="13"/>
        <v>3457.1639888929449</v>
      </c>
      <c r="AN29" s="71">
        <v>75</v>
      </c>
      <c r="AO29" s="78">
        <f t="shared" si="5"/>
        <v>21055.448350000064</v>
      </c>
    </row>
    <row r="30" spans="1:41" x14ac:dyDescent="0.25">
      <c r="A30" s="79">
        <v>44433</v>
      </c>
      <c r="B30" s="86">
        <f>12381111-12375334</f>
        <v>5777</v>
      </c>
      <c r="C30" s="86">
        <f>7917037-7913246</f>
        <v>3791</v>
      </c>
      <c r="D30" s="86">
        <f>1559099-1558351</f>
        <v>748</v>
      </c>
      <c r="E30" s="86">
        <f>11827903-11822111</f>
        <v>5792</v>
      </c>
      <c r="F30" s="86">
        <f>11752530-11746351</f>
        <v>6179</v>
      </c>
      <c r="G30" s="86">
        <f>8463359-8460233</f>
        <v>3126</v>
      </c>
      <c r="H30" s="86">
        <f>8883696-8875553</f>
        <v>8143</v>
      </c>
      <c r="I30" s="86">
        <f>5311965-5309529</f>
        <v>2436</v>
      </c>
      <c r="J30" s="86">
        <f>11878488-11871347</f>
        <v>7141</v>
      </c>
      <c r="K30" s="86">
        <f t="shared" si="14"/>
        <v>33556</v>
      </c>
      <c r="L30" s="14">
        <f t="shared" si="8"/>
        <v>6711.2000000000007</v>
      </c>
      <c r="M30" s="83">
        <f>85480.887-85369.807</f>
        <v>111.08000000000175</v>
      </c>
      <c r="N30" s="83">
        <f>4508.646-4508.185</f>
        <v>0.46099999999933061</v>
      </c>
      <c r="O30" s="83">
        <f>10048.779-10030.632</f>
        <v>18.147000000000844</v>
      </c>
      <c r="P30" s="82">
        <f>93900.396-93829.983</f>
        <v>70.413000000000466</v>
      </c>
      <c r="Q30" s="83">
        <f>25094.908-25077.274</f>
        <v>17.633999999998196</v>
      </c>
      <c r="R30" s="83">
        <f t="shared" si="0"/>
        <v>89.02100000000064</v>
      </c>
      <c r="S30" s="83">
        <f t="shared" si="1"/>
        <v>697.92464000000496</v>
      </c>
      <c r="T30" s="83">
        <f t="shared" si="2"/>
        <v>128.71399999999994</v>
      </c>
      <c r="U30" s="83">
        <f t="shared" si="15"/>
        <v>1009.1177599999995</v>
      </c>
      <c r="V30" s="83">
        <f>364175.8-364006.6</f>
        <v>169.20000000001164</v>
      </c>
      <c r="W30" s="83">
        <f t="shared" ref="W30:W36" si="18">129986.94-129986.94</f>
        <v>0</v>
      </c>
      <c r="X30" s="86" t="s">
        <v>63</v>
      </c>
      <c r="Y30" s="5">
        <v>882407</v>
      </c>
      <c r="Z30" s="5">
        <f t="shared" si="9"/>
        <v>440</v>
      </c>
      <c r="AA30" s="14">
        <f t="shared" si="6"/>
        <v>2846.7999999999997</v>
      </c>
      <c r="AB30" s="87">
        <v>7513684</v>
      </c>
      <c r="AC30" s="86">
        <f t="shared" si="10"/>
        <v>7480585</v>
      </c>
      <c r="AD30" s="5">
        <f t="shared" si="3"/>
        <v>33099</v>
      </c>
      <c r="AE30" s="83">
        <f t="shared" si="11"/>
        <v>10995.322305000002</v>
      </c>
      <c r="AF30" s="83">
        <f>90408.2-90357.7</f>
        <v>50.5</v>
      </c>
      <c r="AG30" s="83">
        <f>47949.8-47908.1</f>
        <v>41.700000000004366</v>
      </c>
      <c r="AH30" s="83">
        <f>28578.7-28560.8</f>
        <v>17.900000000001455</v>
      </c>
      <c r="AI30" s="87">
        <f t="shared" si="12"/>
        <v>46182.400000000001</v>
      </c>
      <c r="AJ30" s="87">
        <v>46219.8</v>
      </c>
      <c r="AK30" s="48">
        <f t="shared" si="7"/>
        <v>37.400000000001455</v>
      </c>
      <c r="AL30" s="89">
        <f t="shared" si="4"/>
        <v>10634.508089766414</v>
      </c>
      <c r="AM30" s="83">
        <f t="shared" si="13"/>
        <v>3532.730414879954</v>
      </c>
      <c r="AN30" s="71">
        <v>65</v>
      </c>
      <c r="AO30" s="78">
        <f t="shared" si="5"/>
        <v>21562.440065000003</v>
      </c>
    </row>
    <row r="31" spans="1:41" x14ac:dyDescent="0.25">
      <c r="A31" s="79">
        <v>44434</v>
      </c>
      <c r="B31" s="86">
        <f>12387088-12381111</f>
        <v>5977</v>
      </c>
      <c r="C31" s="86">
        <f>7920703-7917037</f>
        <v>3666</v>
      </c>
      <c r="D31" s="86">
        <f>1559873-1559099</f>
        <v>774</v>
      </c>
      <c r="E31" s="86">
        <f>11833817-11827903</f>
        <v>5914</v>
      </c>
      <c r="F31" s="86">
        <f>11758663-11752530</f>
        <v>6133</v>
      </c>
      <c r="G31" s="86">
        <f>8466544-8463359</f>
        <v>3185</v>
      </c>
      <c r="H31" s="86">
        <f>8891657-8883696</f>
        <v>7961</v>
      </c>
      <c r="I31" s="86">
        <f>5314389-5311965</f>
        <v>2424</v>
      </c>
      <c r="J31" s="86">
        <f>11885512-11878488</f>
        <v>7024</v>
      </c>
      <c r="K31" s="86">
        <f t="shared" si="14"/>
        <v>33610</v>
      </c>
      <c r="L31" s="14">
        <f t="shared" si="8"/>
        <v>6722</v>
      </c>
      <c r="M31" s="83">
        <f>85607.927-85480.887</f>
        <v>127.0399999999936</v>
      </c>
      <c r="N31" s="83">
        <f>4509.188-4508.646</f>
        <v>0.54200000000037107</v>
      </c>
      <c r="O31" s="83">
        <f>10066.444-10048.779</f>
        <v>17.664999999999054</v>
      </c>
      <c r="P31" s="82">
        <f>93965.886-93900.396</f>
        <v>65.490000000005239</v>
      </c>
      <c r="Q31" s="83">
        <f>25109.736-25094.908</f>
        <v>14.828000000001339</v>
      </c>
      <c r="R31" s="83">
        <f t="shared" si="0"/>
        <v>83.697000000004664</v>
      </c>
      <c r="S31" s="83">
        <f t="shared" si="1"/>
        <v>656.1844800000365</v>
      </c>
      <c r="T31" s="83">
        <f t="shared" si="2"/>
        <v>141.86799999999494</v>
      </c>
      <c r="U31" s="83">
        <f t="shared" si="15"/>
        <v>1112.2451199999603</v>
      </c>
      <c r="V31" s="83">
        <f>364341-364175.8</f>
        <v>165.20000000001164</v>
      </c>
      <c r="W31" s="83">
        <f t="shared" si="18"/>
        <v>0</v>
      </c>
      <c r="X31" s="86" t="s">
        <v>63</v>
      </c>
      <c r="Y31" s="5">
        <v>882843</v>
      </c>
      <c r="Z31" s="5">
        <f t="shared" si="9"/>
        <v>436</v>
      </c>
      <c r="AA31" s="14">
        <f t="shared" si="6"/>
        <v>2820.92</v>
      </c>
      <c r="AB31" s="87">
        <v>7551996</v>
      </c>
      <c r="AC31" s="86">
        <f t="shared" si="10"/>
        <v>7513684</v>
      </c>
      <c r="AD31" s="5">
        <f t="shared" si="3"/>
        <v>38312</v>
      </c>
      <c r="AE31" s="83">
        <f t="shared" si="11"/>
        <v>12727.054840000001</v>
      </c>
      <c r="AF31" s="83">
        <f>90471.2-90408.2</f>
        <v>63</v>
      </c>
      <c r="AG31" s="83">
        <f>47995.3-47949.8</f>
        <v>45.5</v>
      </c>
      <c r="AH31" s="83">
        <f>28597.6-28578.7</f>
        <v>18.899999999997817</v>
      </c>
      <c r="AI31" s="87">
        <f t="shared" si="12"/>
        <v>46219.8</v>
      </c>
      <c r="AJ31" s="87">
        <v>46258.9</v>
      </c>
      <c r="AK31" s="48">
        <f t="shared" si="7"/>
        <v>39.099999999998545</v>
      </c>
      <c r="AL31" s="89">
        <f t="shared" si="4"/>
        <v>11117.894821118585</v>
      </c>
      <c r="AM31" s="83">
        <f t="shared" si="13"/>
        <v>3693.3090701014885</v>
      </c>
      <c r="AN31" s="71">
        <v>53</v>
      </c>
      <c r="AO31" s="78">
        <f t="shared" si="5"/>
        <v>23382.219959999962</v>
      </c>
    </row>
    <row r="32" spans="1:41" x14ac:dyDescent="0.25">
      <c r="A32" s="79">
        <v>44435</v>
      </c>
      <c r="B32" s="86">
        <f>12392814-12387088</f>
        <v>5726</v>
      </c>
      <c r="C32" s="86">
        <f>7924333-7920703</f>
        <v>3630</v>
      </c>
      <c r="D32" s="86">
        <f>1560627-1559873</f>
        <v>754</v>
      </c>
      <c r="E32" s="86">
        <f>11839477-11833817</f>
        <v>5660</v>
      </c>
      <c r="F32" s="86">
        <f>11764937-11758663</f>
        <v>6274</v>
      </c>
      <c r="G32" s="86">
        <f>8469735-8466544</f>
        <v>3191</v>
      </c>
      <c r="H32" s="86">
        <f>8899582-8891657</f>
        <v>7925</v>
      </c>
      <c r="I32" s="86">
        <f>5316712-5314389</f>
        <v>2323</v>
      </c>
      <c r="J32" s="86">
        <f>11892570-11885512</f>
        <v>7058</v>
      </c>
      <c r="K32" s="86">
        <f t="shared" si="14"/>
        <v>33160</v>
      </c>
      <c r="L32" s="14">
        <f t="shared" si="8"/>
        <v>6632</v>
      </c>
      <c r="M32" s="83">
        <f>85742.538-85607.927</f>
        <v>134.61100000000442</v>
      </c>
      <c r="N32" s="83">
        <f>4510.474-4509.188</f>
        <v>1.2860000000000582</v>
      </c>
      <c r="O32" s="83">
        <f>10085.098-10066.444</f>
        <v>18.654000000000451</v>
      </c>
      <c r="P32" s="82">
        <f>94038.688-93965.886</f>
        <v>72.801999999996042</v>
      </c>
      <c r="Q32" s="83">
        <f>25119.204-25109.736</f>
        <v>9.4680000000007567</v>
      </c>
      <c r="R32" s="83">
        <f t="shared" si="0"/>
        <v>92.741999999996551</v>
      </c>
      <c r="S32" s="83">
        <f t="shared" si="1"/>
        <v>727.0972799999729</v>
      </c>
      <c r="T32" s="83">
        <f t="shared" si="2"/>
        <v>144.07900000000518</v>
      </c>
      <c r="U32" s="83">
        <f t="shared" si="15"/>
        <v>1129.5793600000407</v>
      </c>
      <c r="V32" s="83">
        <f>364512.4-364341</f>
        <v>171.40000000002328</v>
      </c>
      <c r="W32" s="83">
        <f t="shared" si="18"/>
        <v>0</v>
      </c>
      <c r="X32" s="86" t="s">
        <v>63</v>
      </c>
      <c r="Y32" s="5">
        <v>883327</v>
      </c>
      <c r="Z32" s="5">
        <f t="shared" si="9"/>
        <v>484</v>
      </c>
      <c r="AA32" s="14">
        <f t="shared" si="6"/>
        <v>3131.48</v>
      </c>
      <c r="AB32" s="87">
        <v>7586388</v>
      </c>
      <c r="AC32" s="86">
        <f t="shared" si="10"/>
        <v>7551996</v>
      </c>
      <c r="AD32" s="5">
        <f t="shared" si="3"/>
        <v>34392</v>
      </c>
      <c r="AE32" s="83">
        <f t="shared" si="11"/>
        <v>11424.85044</v>
      </c>
      <c r="AF32" s="83">
        <f>90526-90471.2</f>
        <v>54.80000000000291</v>
      </c>
      <c r="AG32" s="83">
        <f>48037.7-47995.3</f>
        <v>42.399999999994179</v>
      </c>
      <c r="AH32" s="83">
        <f>28615.4-28597.6</f>
        <v>17.80000000000291</v>
      </c>
      <c r="AI32" s="87">
        <f t="shared" si="12"/>
        <v>46258.9</v>
      </c>
      <c r="AJ32" s="86">
        <v>46296.2</v>
      </c>
      <c r="AK32" s="48">
        <f t="shared" si="7"/>
        <v>37.299999999995634</v>
      </c>
      <c r="AL32" s="89">
        <f t="shared" si="4"/>
        <v>10606.073576155759</v>
      </c>
      <c r="AM32" s="83">
        <f t="shared" si="13"/>
        <v>3523.2846116310625</v>
      </c>
      <c r="AN32" s="71">
        <v>58</v>
      </c>
      <c r="AO32" s="78">
        <f t="shared" si="5"/>
        <v>22317.909800000041</v>
      </c>
    </row>
    <row r="33" spans="1:41" x14ac:dyDescent="0.25">
      <c r="A33" s="79">
        <v>44436</v>
      </c>
      <c r="B33" s="86">
        <f>12398109-12392814</f>
        <v>5295</v>
      </c>
      <c r="C33" s="86">
        <f>7927763-7924333</f>
        <v>3430</v>
      </c>
      <c r="D33" s="86">
        <f>1561412-1560627</f>
        <v>785</v>
      </c>
      <c r="E33" s="86">
        <f>11845177-11839477</f>
        <v>5700</v>
      </c>
      <c r="F33" s="86">
        <f>11770955-11764937</f>
        <v>6018</v>
      </c>
      <c r="G33" s="86">
        <f>8472871-8469735</f>
        <v>3136</v>
      </c>
      <c r="H33" s="86">
        <f>8907593-8899582</f>
        <v>8011</v>
      </c>
      <c r="I33" s="86">
        <f>5319165-5316712</f>
        <v>2453</v>
      </c>
      <c r="J33" s="86">
        <f>11899698-11892570</f>
        <v>7128</v>
      </c>
      <c r="K33" s="86">
        <f t="shared" si="14"/>
        <v>32375</v>
      </c>
      <c r="L33" s="14">
        <f t="shared" si="8"/>
        <v>6475</v>
      </c>
      <c r="M33" s="83">
        <f>85860.31-85742.538</f>
        <v>117.77199999999721</v>
      </c>
      <c r="N33" s="83">
        <f>4511.754-4510.474</f>
        <v>1.2799999999997453</v>
      </c>
      <c r="O33" s="83">
        <f>10103.947-10085.098</f>
        <v>18.84900000000016</v>
      </c>
      <c r="P33" s="82">
        <f>94109.183-94038.688</f>
        <v>70.495000000009895</v>
      </c>
      <c r="Q33" s="83">
        <f>25137.456-25119.204</f>
        <v>18.251999999996769</v>
      </c>
      <c r="R33" s="83">
        <f t="shared" si="0"/>
        <v>90.624000000009801</v>
      </c>
      <c r="S33" s="83">
        <f t="shared" si="1"/>
        <v>710.49216000007686</v>
      </c>
      <c r="T33" s="83">
        <f t="shared" si="2"/>
        <v>136.02399999999398</v>
      </c>
      <c r="U33" s="83">
        <f t="shared" si="15"/>
        <v>1066.4281599999526</v>
      </c>
      <c r="V33" s="83">
        <f>364676.7-364512.4</f>
        <v>164.29999999998836</v>
      </c>
      <c r="W33" s="83">
        <f t="shared" si="18"/>
        <v>0</v>
      </c>
      <c r="X33" s="86" t="s">
        <v>63</v>
      </c>
      <c r="Y33" s="5">
        <v>883767</v>
      </c>
      <c r="Z33" s="5">
        <f t="shared" si="9"/>
        <v>440</v>
      </c>
      <c r="AA33" s="14">
        <f t="shared" si="6"/>
        <v>2846.7999999999997</v>
      </c>
      <c r="AB33" s="87">
        <v>7619702</v>
      </c>
      <c r="AC33" s="86">
        <f t="shared" si="10"/>
        <v>7586388</v>
      </c>
      <c r="AD33" s="5">
        <f t="shared" si="3"/>
        <v>33314</v>
      </c>
      <c r="AE33" s="83">
        <f t="shared" si="11"/>
        <v>11066.74423</v>
      </c>
      <c r="AF33" s="83">
        <f>90578.6-90526</f>
        <v>52.600000000005821</v>
      </c>
      <c r="AG33" s="83">
        <f>48078.8-48037.7</f>
        <v>41.100000000005821</v>
      </c>
      <c r="AH33" s="83">
        <f>28633.9-28615.4</f>
        <v>18.5</v>
      </c>
      <c r="AI33" s="87">
        <f t="shared" si="12"/>
        <v>46296.2</v>
      </c>
      <c r="AJ33" s="86">
        <v>46333.1</v>
      </c>
      <c r="AK33" s="48">
        <f t="shared" si="7"/>
        <v>36.900000000001455</v>
      </c>
      <c r="AL33" s="89">
        <f t="shared" si="4"/>
        <v>10492.335521721414</v>
      </c>
      <c r="AM33" s="83">
        <f t="shared" si="13"/>
        <v>3485.5013986382451</v>
      </c>
      <c r="AN33" s="71">
        <v>35</v>
      </c>
      <c r="AO33" s="78">
        <f t="shared" si="5"/>
        <v>21454.972389999952</v>
      </c>
    </row>
    <row r="34" spans="1:41" x14ac:dyDescent="0.25">
      <c r="A34" s="79">
        <v>44437</v>
      </c>
      <c r="B34" s="86">
        <f>12403208-12398109</f>
        <v>5099</v>
      </c>
      <c r="C34" s="86">
        <f>7931358-7927763</f>
        <v>3595</v>
      </c>
      <c r="D34" s="86">
        <f>1562162-1561412</f>
        <v>750</v>
      </c>
      <c r="E34" s="86">
        <f>11850924-11845177</f>
        <v>5747</v>
      </c>
      <c r="F34" s="86">
        <f>11777005-11770955</f>
        <v>6050</v>
      </c>
      <c r="G34" s="86">
        <f>8476031-8472871</f>
        <v>3160</v>
      </c>
      <c r="H34" s="86">
        <f>8915553-8907593</f>
        <v>7960</v>
      </c>
      <c r="I34" s="86">
        <f>5321644-5319165</f>
        <v>2479</v>
      </c>
      <c r="J34" s="86">
        <f>11906632-11899698</f>
        <v>6934</v>
      </c>
      <c r="K34" s="86">
        <f t="shared" si="14"/>
        <v>32361</v>
      </c>
      <c r="L34" s="14">
        <f t="shared" si="8"/>
        <v>6472.2000000000007</v>
      </c>
      <c r="M34" s="83">
        <f>85964.27-85860.31</f>
        <v>103.9600000000064</v>
      </c>
      <c r="N34" s="83">
        <f>4513.014-4511.754</f>
        <v>1.2600000000002183</v>
      </c>
      <c r="O34" s="83">
        <f>10124.43-10103.947</f>
        <v>20.483000000000175</v>
      </c>
      <c r="P34" s="82">
        <f>94174.217-94109.183</f>
        <v>65.033999999999651</v>
      </c>
      <c r="Q34" s="83">
        <f>25149.162-25137.456</f>
        <v>11.70600000000195</v>
      </c>
      <c r="R34" s="83">
        <f t="shared" si="0"/>
        <v>86.777000000000044</v>
      </c>
      <c r="S34" s="83">
        <f t="shared" si="1"/>
        <v>680.33168000000035</v>
      </c>
      <c r="T34" s="83">
        <f t="shared" si="2"/>
        <v>115.66600000000835</v>
      </c>
      <c r="U34" s="83">
        <f t="shared" si="15"/>
        <v>906.82144000006542</v>
      </c>
      <c r="V34" s="83">
        <f>364844.1-364676.7</f>
        <v>167.39999999996508</v>
      </c>
      <c r="W34" s="83">
        <f t="shared" si="18"/>
        <v>0</v>
      </c>
      <c r="X34" s="86" t="s">
        <v>63</v>
      </c>
      <c r="Y34" s="5">
        <v>884183</v>
      </c>
      <c r="Z34" s="5">
        <f t="shared" si="9"/>
        <v>416</v>
      </c>
      <c r="AA34" s="14">
        <f t="shared" si="6"/>
        <v>2691.52</v>
      </c>
      <c r="AB34" s="87">
        <v>7652328</v>
      </c>
      <c r="AC34" s="86">
        <f t="shared" si="10"/>
        <v>7619702</v>
      </c>
      <c r="AD34" s="5">
        <f t="shared" si="3"/>
        <v>32626</v>
      </c>
      <c r="AE34" s="83">
        <f t="shared" si="11"/>
        <v>10838.194070000001</v>
      </c>
      <c r="AF34" s="83">
        <f>90631.3-90578.6</f>
        <v>52.69999999999709</v>
      </c>
      <c r="AG34" s="83">
        <f>48119.1-48078.8</f>
        <v>40.299999999995634</v>
      </c>
      <c r="AH34" s="83">
        <f>28651.9-28633.9</f>
        <v>18</v>
      </c>
      <c r="AI34" s="87">
        <f t="shared" si="12"/>
        <v>46333.1</v>
      </c>
      <c r="AJ34" s="87">
        <v>46368.6</v>
      </c>
      <c r="AK34" s="48">
        <f t="shared" si="7"/>
        <v>35.5</v>
      </c>
      <c r="AL34" s="89">
        <f t="shared" si="4"/>
        <v>10094.252331194999</v>
      </c>
      <c r="AM34" s="83">
        <f t="shared" si="13"/>
        <v>3353.2601531613227</v>
      </c>
      <c r="AN34" s="71">
        <v>50</v>
      </c>
      <c r="AO34" s="78">
        <f t="shared" si="5"/>
        <v>20908.735510000068</v>
      </c>
    </row>
    <row r="35" spans="1:41" x14ac:dyDescent="0.25">
      <c r="A35" s="79">
        <v>44438</v>
      </c>
      <c r="B35" s="86">
        <f>12408404-12403208</f>
        <v>5196</v>
      </c>
      <c r="C35" s="86">
        <f>7935132-7931358</f>
        <v>3774</v>
      </c>
      <c r="D35" s="86">
        <f>1562934-1562162</f>
        <v>772</v>
      </c>
      <c r="E35" s="86">
        <f>11856719-11850924</f>
        <v>5795</v>
      </c>
      <c r="F35" s="86">
        <f>11783167-11777005</f>
        <v>6162</v>
      </c>
      <c r="G35" s="86">
        <f>8479162-8476031</f>
        <v>3131</v>
      </c>
      <c r="H35" s="86">
        <f>8923508-8915553</f>
        <v>7955</v>
      </c>
      <c r="I35" s="86">
        <f>5324117-5321644</f>
        <v>2473</v>
      </c>
      <c r="J35" s="86">
        <f>11913527-11906632</f>
        <v>6895</v>
      </c>
      <c r="K35" s="86">
        <f t="shared" ref="K35:K36" si="19">SUM(B35:H35)</f>
        <v>32785</v>
      </c>
      <c r="L35" s="14">
        <f t="shared" ref="L35:L36" si="20">K35*0.2</f>
        <v>6557</v>
      </c>
      <c r="M35" s="83">
        <f>86068.301-85964.27</f>
        <v>104.03100000000268</v>
      </c>
      <c r="N35" s="83">
        <f>4513.788-4513.014</f>
        <v>0.77399999999943248</v>
      </c>
      <c r="O35" s="83">
        <f>10141.518-10124.43</f>
        <v>17.087999999999738</v>
      </c>
      <c r="P35" s="82">
        <f>94233.156-94174.217</f>
        <v>58.938999999998487</v>
      </c>
      <c r="Q35" s="83">
        <f>25161.614-25149.162</f>
        <v>12.452000000001135</v>
      </c>
      <c r="R35" s="83">
        <f t="shared" ref="R35:R36" si="21">N35+O35+P35</f>
        <v>76.800999999997657</v>
      </c>
      <c r="S35" s="83">
        <f t="shared" ref="S35:S36" si="22">(N35+O35+P35)*7.84</f>
        <v>602.11983999998165</v>
      </c>
      <c r="T35" s="83">
        <f t="shared" ref="T35:T36" si="23">M35+Q35</f>
        <v>116.48300000000381</v>
      </c>
      <c r="U35" s="83">
        <f t="shared" ref="U35:U36" si="24">T35*7.84</f>
        <v>913.2267200000299</v>
      </c>
      <c r="V35" s="83">
        <f>365007.1-364844.1</f>
        <v>163</v>
      </c>
      <c r="W35" s="83">
        <f t="shared" si="18"/>
        <v>0</v>
      </c>
      <c r="X35" s="86" t="s">
        <v>102</v>
      </c>
      <c r="Y35" s="5">
        <v>884611</v>
      </c>
      <c r="Z35" s="5">
        <f t="shared" ref="Z35:Z36" si="25">IF((Y35-Y34&lt;0), "0",Y35-Y34)</f>
        <v>428</v>
      </c>
      <c r="AA35" s="14">
        <f t="shared" ref="AA35:AA36" si="26">Z35*6.47</f>
        <v>2769.16</v>
      </c>
      <c r="AB35" s="87">
        <v>7681155</v>
      </c>
      <c r="AC35" s="86">
        <f t="shared" si="10"/>
        <v>7652328</v>
      </c>
      <c r="AD35" s="5">
        <f t="shared" si="3"/>
        <v>28827</v>
      </c>
      <c r="AE35" s="83">
        <f t="shared" si="11"/>
        <v>9576.1852650000001</v>
      </c>
      <c r="AF35" s="83">
        <f>90677.6-90631.3</f>
        <v>46.30000000000291</v>
      </c>
      <c r="AG35" s="83">
        <f>48155.1-48119.1</f>
        <v>36</v>
      </c>
      <c r="AH35" s="83">
        <f>28668.6-28651.9</f>
        <v>16.69999999999709</v>
      </c>
      <c r="AI35" s="87">
        <f t="shared" si="12"/>
        <v>46368.6</v>
      </c>
      <c r="AJ35" s="87">
        <v>46402.1</v>
      </c>
      <c r="AK35" s="48">
        <f t="shared" ref="AK35:AK36" si="27">IF((AJ35-AI35)&lt;0, "0",AJ35-AI35)</f>
        <v>33.5</v>
      </c>
      <c r="AL35" s="89">
        <f t="shared" ref="AL35:AL36" si="28">AK35*(284.34513609)</f>
        <v>9525.5620590149992</v>
      </c>
      <c r="AM35" s="83">
        <f t="shared" si="13"/>
        <v>3164.344088194488</v>
      </c>
      <c r="AN35" s="141">
        <v>47</v>
      </c>
      <c r="AO35" s="78">
        <f t="shared" ref="AO35" si="29">L35+U35+AA35+AE35</f>
        <v>19815.571985000031</v>
      </c>
    </row>
    <row r="36" spans="1:41" ht="21.75" thickBot="1" x14ac:dyDescent="0.3">
      <c r="A36" s="149">
        <v>44439</v>
      </c>
      <c r="B36" s="91">
        <f>12413447-12408404</f>
        <v>5043</v>
      </c>
      <c r="C36" s="91">
        <f>7938786-7935132</f>
        <v>3654</v>
      </c>
      <c r="D36" s="91">
        <f>1563712-1562934</f>
        <v>778</v>
      </c>
      <c r="E36" s="91">
        <f>11862346-11856719</f>
        <v>5627</v>
      </c>
      <c r="F36" s="91">
        <f>11789096-11783167</f>
        <v>5929</v>
      </c>
      <c r="G36" s="91">
        <f>8482337-8479162</f>
        <v>3175</v>
      </c>
      <c r="H36" s="91">
        <f>8931393-8923508</f>
        <v>7885</v>
      </c>
      <c r="I36" s="91">
        <f>5326588-5324117</f>
        <v>2471</v>
      </c>
      <c r="J36" s="91">
        <f>11920301-11913527</f>
        <v>6774</v>
      </c>
      <c r="K36" s="91">
        <f t="shared" si="19"/>
        <v>32091</v>
      </c>
      <c r="L36" s="92">
        <f t="shared" si="20"/>
        <v>6418.2000000000007</v>
      </c>
      <c r="M36" s="93">
        <f>86172.04-86068.301</f>
        <v>103.73899999998685</v>
      </c>
      <c r="N36" s="93">
        <f>4514.312-4513.788</f>
        <v>0.52400000000034197</v>
      </c>
      <c r="O36" s="93">
        <f>10157.766-10141.518</f>
        <v>16.247999999999593</v>
      </c>
      <c r="P36" s="94">
        <f>94298.642-94233.156</f>
        <v>65.486000000004424</v>
      </c>
      <c r="Q36" s="93">
        <f>25178.347-25161.614</f>
        <v>16.733000000000175</v>
      </c>
      <c r="R36" s="93">
        <f t="shared" si="21"/>
        <v>82.258000000004358</v>
      </c>
      <c r="S36" s="93">
        <f t="shared" si="22"/>
        <v>644.90272000003415</v>
      </c>
      <c r="T36" s="93">
        <f t="shared" si="23"/>
        <v>120.47199999998702</v>
      </c>
      <c r="U36" s="93">
        <f t="shared" si="24"/>
        <v>944.50047999989818</v>
      </c>
      <c r="V36" s="93">
        <f>365169.5-365007.1</f>
        <v>162.40000000002328</v>
      </c>
      <c r="W36" s="83">
        <f t="shared" si="18"/>
        <v>0</v>
      </c>
      <c r="X36" s="91" t="s">
        <v>103</v>
      </c>
      <c r="Y36" s="95">
        <v>885042</v>
      </c>
      <c r="Z36" s="95">
        <f t="shared" si="25"/>
        <v>431</v>
      </c>
      <c r="AA36" s="92">
        <f t="shared" si="26"/>
        <v>2788.5699999999997</v>
      </c>
      <c r="AB36" s="96">
        <v>7711333</v>
      </c>
      <c r="AC36" s="86">
        <f t="shared" si="10"/>
        <v>7681155</v>
      </c>
      <c r="AD36" s="5">
        <f t="shared" si="3"/>
        <v>30178</v>
      </c>
      <c r="AE36" s="83">
        <f t="shared" si="11"/>
        <v>10024.98071</v>
      </c>
      <c r="AF36" s="93">
        <f>90724.8-90677.6</f>
        <v>47.19999999999709</v>
      </c>
      <c r="AG36" s="93">
        <f>48196.3-48155.1</f>
        <v>41.200000000004366</v>
      </c>
      <c r="AH36" s="93">
        <f>28685.2-28668.6</f>
        <v>16.600000000002183</v>
      </c>
      <c r="AI36" s="87">
        <f t="shared" si="12"/>
        <v>46402.1</v>
      </c>
      <c r="AJ36" s="96">
        <v>46437.599999999999</v>
      </c>
      <c r="AK36" s="97">
        <f t="shared" si="27"/>
        <v>35.5</v>
      </c>
      <c r="AL36" s="98">
        <f t="shared" si="28"/>
        <v>10094.252331194999</v>
      </c>
      <c r="AM36" s="83">
        <f t="shared" si="13"/>
        <v>3353.2601531613227</v>
      </c>
      <c r="AN36" s="117">
        <v>57</v>
      </c>
      <c r="AO36" s="99">
        <f>L36+U36+AA36+AE36</f>
        <v>20176.251189999897</v>
      </c>
    </row>
    <row r="37" spans="1:41" x14ac:dyDescent="0.25">
      <c r="A37" s="76"/>
      <c r="D37" s="6">
        <f>SUM(D6:D36)</f>
        <v>23247</v>
      </c>
      <c r="E37" s="6" t="s">
        <v>93</v>
      </c>
      <c r="G37" s="6">
        <f t="shared" ref="G37:L37" si="30">SUM(G6:G36)</f>
        <v>98791</v>
      </c>
      <c r="H37" s="6">
        <f t="shared" si="30"/>
        <v>234712</v>
      </c>
      <c r="I37" s="6">
        <f t="shared" si="30"/>
        <v>75303</v>
      </c>
      <c r="J37" s="6">
        <f t="shared" si="30"/>
        <v>215171</v>
      </c>
      <c r="K37" s="6">
        <f t="shared" si="30"/>
        <v>1016386</v>
      </c>
      <c r="L37" s="15">
        <f t="shared" si="30"/>
        <v>203277.20000000004</v>
      </c>
      <c r="R37" s="16">
        <f>SUM(R6:R36)</f>
        <v>2649.3160000000062</v>
      </c>
      <c r="T37" s="16">
        <f>SUM(T6:T36)</f>
        <v>4236.8620000000046</v>
      </c>
      <c r="U37" s="16">
        <f t="shared" si="15"/>
        <v>33216.998080000034</v>
      </c>
      <c r="V37" s="16">
        <f>SUM(V6:V36)</f>
        <v>5102</v>
      </c>
      <c r="Z37" s="17">
        <f>SUM(Z6:Z36)</f>
        <v>13242</v>
      </c>
      <c r="AA37" s="17">
        <f>SUM(AA6:AA36)</f>
        <v>85675.739999999991</v>
      </c>
      <c r="AD37" s="5">
        <f t="shared" si="3"/>
        <v>0</v>
      </c>
      <c r="AE37" s="16">
        <f>AD37*0.334569</f>
        <v>0</v>
      </c>
      <c r="AF37" s="16">
        <f>SUM(AF6:AF36)</f>
        <v>1737.8000000000029</v>
      </c>
      <c r="AG37" s="16">
        <f>SUM(AG6:AG36)</f>
        <v>1283.1000000000058</v>
      </c>
      <c r="AH37" s="16">
        <f>SUM(AH6:AH36)</f>
        <v>574.90000000000146</v>
      </c>
      <c r="AK37" s="42">
        <f>SUM(AK6:AK36)</f>
        <v>1172.5</v>
      </c>
      <c r="AL37" s="42">
        <f>SUM(AL6:AL36)</f>
        <v>333394.67206552491</v>
      </c>
      <c r="AM37" s="42">
        <f>SUM(AM6:AM36)</f>
        <v>110752.04308680707</v>
      </c>
      <c r="AN37" s="42">
        <f>SUM(AN6:AN36)</f>
        <v>2094</v>
      </c>
      <c r="AO37" s="42">
        <f>SUM(AO6:AO36)</f>
        <v>675344.21501249995</v>
      </c>
    </row>
    <row r="38" spans="1:41" x14ac:dyDescent="0.25">
      <c r="D38" s="6" t="e">
        <f>#REF!*24</f>
        <v>#REF!</v>
      </c>
      <c r="E38" s="6" t="s">
        <v>1</v>
      </c>
      <c r="R38" s="16">
        <v>7.84</v>
      </c>
      <c r="T38" s="16" t="s">
        <v>99</v>
      </c>
      <c r="U38" s="16">
        <f>U37-R39</f>
        <v>12446.360639999984</v>
      </c>
      <c r="AD38" s="17">
        <f>SUM(AD6:AD36)</f>
        <v>1063153.5</v>
      </c>
      <c r="AE38" s="16">
        <f>AD38*0.334569</f>
        <v>355698.20334150002</v>
      </c>
    </row>
    <row r="39" spans="1:41" x14ac:dyDescent="0.25">
      <c r="D39" s="6" t="e">
        <f>D38*31</f>
        <v>#REF!</v>
      </c>
      <c r="E39" s="6" t="s">
        <v>2</v>
      </c>
      <c r="F39" s="6" t="s">
        <v>94</v>
      </c>
      <c r="G39" s="6" t="e">
        <f>D39*0.2</f>
        <v>#REF!</v>
      </c>
      <c r="R39" s="16">
        <f>R37*R38</f>
        <v>20770.63744000005</v>
      </c>
      <c r="U39" s="16">
        <f>U38/R38</f>
        <v>1587.545999999998</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2021-09-07T08:40:58Z</dcterms:modified>
</cp:coreProperties>
</file>