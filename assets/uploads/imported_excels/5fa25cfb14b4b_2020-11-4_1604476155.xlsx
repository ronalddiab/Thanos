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Nov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</workbook>
</file>

<file path=xl/calcChain.xml><?xml version="1.0" encoding="utf-8"?>
<calcChain xmlns="http://schemas.openxmlformats.org/spreadsheetml/2006/main">
  <c r="AV34" i="7" l="1"/>
  <c r="AB34" i="7"/>
  <c r="AB35" i="7"/>
  <c r="AB36" i="7"/>
  <c r="AB37" i="7"/>
  <c r="AV45" i="7" l="1"/>
  <c r="AU44" i="7"/>
  <c r="AV37" i="7"/>
  <c r="AW37" i="7" s="1"/>
  <c r="AQ37" i="7"/>
  <c r="AI37" i="7"/>
  <c r="AH37" i="7"/>
  <c r="AC37" i="7"/>
  <c r="AR37" i="7" s="1"/>
  <c r="AA37" i="7"/>
  <c r="AP37" i="7" s="1"/>
  <c r="Z37" i="7"/>
  <c r="Y37" i="7"/>
  <c r="X37" i="7"/>
  <c r="AM37" i="7" s="1"/>
  <c r="W37" i="7"/>
  <c r="AL37" i="7" s="1"/>
  <c r="V37" i="7"/>
  <c r="AK37" i="7" s="1"/>
  <c r="U37" i="7"/>
  <c r="AJ37" i="7" s="1"/>
  <c r="T37" i="7"/>
  <c r="S37" i="7"/>
  <c r="R37" i="7"/>
  <c r="F32" i="9" s="1"/>
  <c r="Q37" i="7"/>
  <c r="AV36" i="7"/>
  <c r="AW36" i="7" s="1"/>
  <c r="AQ36" i="7"/>
  <c r="AC36" i="7"/>
  <c r="Q31" i="9" s="1"/>
  <c r="AA36" i="7"/>
  <c r="O31" i="9" s="1"/>
  <c r="Z36" i="7"/>
  <c r="N31" i="9" s="1"/>
  <c r="Y36" i="7"/>
  <c r="AN36" i="7" s="1"/>
  <c r="X36" i="7"/>
  <c r="L31" i="9" s="1"/>
  <c r="W36" i="7"/>
  <c r="AL36" i="7" s="1"/>
  <c r="V36" i="7"/>
  <c r="AK36" i="7" s="1"/>
  <c r="U36" i="7"/>
  <c r="AJ36" i="7" s="1"/>
  <c r="T36" i="7"/>
  <c r="H31" i="9" s="1"/>
  <c r="S36" i="7"/>
  <c r="R36" i="7"/>
  <c r="F31" i="9" s="1"/>
  <c r="Q36" i="7"/>
  <c r="AF36" i="7" s="1"/>
  <c r="AV35" i="7"/>
  <c r="AW35" i="7" s="1"/>
  <c r="AQ35" i="7"/>
  <c r="AC35" i="7"/>
  <c r="AR35" i="7" s="1"/>
  <c r="AA35" i="7"/>
  <c r="AP35" i="7" s="1"/>
  <c r="Z35" i="7"/>
  <c r="AO35" i="7" s="1"/>
  <c r="Y35" i="7"/>
  <c r="AN35" i="7" s="1"/>
  <c r="X35" i="7"/>
  <c r="AM35" i="7" s="1"/>
  <c r="W35" i="7"/>
  <c r="AL35" i="7" s="1"/>
  <c r="V35" i="7"/>
  <c r="AK35" i="7" s="1"/>
  <c r="U35" i="7"/>
  <c r="AJ35" i="7" s="1"/>
  <c r="T35" i="7"/>
  <c r="AI35" i="7" s="1"/>
  <c r="S35" i="7"/>
  <c r="AH35" i="7" s="1"/>
  <c r="R35" i="7"/>
  <c r="F30" i="9" s="1"/>
  <c r="Q35" i="7"/>
  <c r="AW34" i="7"/>
  <c r="AQ34" i="7"/>
  <c r="AC34" i="7"/>
  <c r="AA34" i="7"/>
  <c r="AP34" i="7" s="1"/>
  <c r="Z34" i="7"/>
  <c r="AO34" i="7" s="1"/>
  <c r="Y34" i="7"/>
  <c r="AN34" i="7" s="1"/>
  <c r="X34" i="7"/>
  <c r="L29" i="9" s="1"/>
  <c r="W34" i="7"/>
  <c r="K29" i="9" s="1"/>
  <c r="V34" i="7"/>
  <c r="AK34" i="7" s="1"/>
  <c r="U34" i="7"/>
  <c r="AJ34" i="7" s="1"/>
  <c r="T34" i="7"/>
  <c r="S34" i="7"/>
  <c r="AH34" i="7" s="1"/>
  <c r="R34" i="7"/>
  <c r="AG34" i="7" s="1"/>
  <c r="Q34" i="7"/>
  <c r="AF34" i="7" s="1"/>
  <c r="AV33" i="7"/>
  <c r="AW33" i="7" s="1"/>
  <c r="AO33" i="7"/>
  <c r="AC33" i="7"/>
  <c r="AR33" i="7" s="1"/>
  <c r="AB33" i="7"/>
  <c r="AQ33" i="7" s="1"/>
  <c r="AA33" i="7"/>
  <c r="AP33" i="7" s="1"/>
  <c r="Z33" i="7"/>
  <c r="Y33" i="7"/>
  <c r="AN33" i="7" s="1"/>
  <c r="X33" i="7"/>
  <c r="L28" i="9" s="1"/>
  <c r="W33" i="7"/>
  <c r="AL33" i="7" s="1"/>
  <c r="V33" i="7"/>
  <c r="AK33" i="7" s="1"/>
  <c r="U33" i="7"/>
  <c r="AJ33" i="7" s="1"/>
  <c r="T33" i="7"/>
  <c r="AI33" i="7" s="1"/>
  <c r="S33" i="7"/>
  <c r="AH33" i="7" s="1"/>
  <c r="R33" i="7"/>
  <c r="F28" i="9" s="1"/>
  <c r="Q33" i="7"/>
  <c r="AF33" i="7" s="1"/>
  <c r="AV32" i="7"/>
  <c r="AW32" i="7" s="1"/>
  <c r="AC32" i="7"/>
  <c r="AR32" i="7" s="1"/>
  <c r="AB32" i="7"/>
  <c r="AQ32" i="7" s="1"/>
  <c r="AA32" i="7"/>
  <c r="AP32" i="7" s="1"/>
  <c r="Z32" i="7"/>
  <c r="AO32" i="7" s="1"/>
  <c r="Y32" i="7"/>
  <c r="X32" i="7"/>
  <c r="AM32" i="7" s="1"/>
  <c r="W32" i="7"/>
  <c r="AL32" i="7" s="1"/>
  <c r="V32" i="7"/>
  <c r="AK32" i="7" s="1"/>
  <c r="U32" i="7"/>
  <c r="I27" i="9" s="1"/>
  <c r="T32" i="7"/>
  <c r="AI32" i="7" s="1"/>
  <c r="S32" i="7"/>
  <c r="AH32" i="7" s="1"/>
  <c r="R32" i="7"/>
  <c r="Q32" i="7"/>
  <c r="AF32" i="7" s="1"/>
  <c r="AV31" i="7"/>
  <c r="AW31" i="7" s="1"/>
  <c r="AC31" i="7"/>
  <c r="AR31" i="7" s="1"/>
  <c r="AB31" i="7"/>
  <c r="P26" i="9" s="1"/>
  <c r="AA31" i="7"/>
  <c r="AP31" i="7" s="1"/>
  <c r="Z31" i="7"/>
  <c r="AO31" i="7" s="1"/>
  <c r="Y31" i="7"/>
  <c r="AN31" i="7" s="1"/>
  <c r="X31" i="7"/>
  <c r="AM31" i="7" s="1"/>
  <c r="W31" i="7"/>
  <c r="AL31" i="7" s="1"/>
  <c r="V31" i="7"/>
  <c r="AK31" i="7" s="1"/>
  <c r="U31" i="7"/>
  <c r="AJ31" i="7" s="1"/>
  <c r="T31" i="7"/>
  <c r="H26" i="9" s="1"/>
  <c r="S31" i="7"/>
  <c r="AH31" i="7" s="1"/>
  <c r="R31" i="7"/>
  <c r="AG31" i="7" s="1"/>
  <c r="Q31" i="7"/>
  <c r="E26" i="9" s="1"/>
  <c r="AV30" i="7"/>
  <c r="AW30" i="7" s="1"/>
  <c r="AK30" i="7"/>
  <c r="AJ30" i="7"/>
  <c r="AC30" i="7"/>
  <c r="AR30" i="7" s="1"/>
  <c r="AB30" i="7"/>
  <c r="AQ30" i="7" s="1"/>
  <c r="AA30" i="7"/>
  <c r="Z30" i="7"/>
  <c r="N25" i="9" s="1"/>
  <c r="Y30" i="7"/>
  <c r="M25" i="9" s="1"/>
  <c r="X30" i="7"/>
  <c r="AM30" i="7" s="1"/>
  <c r="W30" i="7"/>
  <c r="AL30" i="7" s="1"/>
  <c r="V30" i="7"/>
  <c r="U30" i="7"/>
  <c r="T30" i="7"/>
  <c r="AI30" i="7" s="1"/>
  <c r="S30" i="7"/>
  <c r="R30" i="7"/>
  <c r="AG30" i="7" s="1"/>
  <c r="Q30" i="7"/>
  <c r="AF30" i="7" s="1"/>
  <c r="AW29" i="7"/>
  <c r="AV29" i="7"/>
  <c r="AC29" i="7"/>
  <c r="AR29" i="7" s="1"/>
  <c r="AB29" i="7"/>
  <c r="P24" i="9" s="1"/>
  <c r="AA29" i="7"/>
  <c r="AP29" i="7" s="1"/>
  <c r="Z29" i="7"/>
  <c r="AO29" i="7" s="1"/>
  <c r="Y29" i="7"/>
  <c r="AN29" i="7" s="1"/>
  <c r="X29" i="7"/>
  <c r="AM29" i="7" s="1"/>
  <c r="W29" i="7"/>
  <c r="AL29" i="7" s="1"/>
  <c r="V29" i="7"/>
  <c r="J24" i="9" s="1"/>
  <c r="U29" i="7"/>
  <c r="I24" i="9" s="1"/>
  <c r="T29" i="7"/>
  <c r="AI29" i="7" s="1"/>
  <c r="S29" i="7"/>
  <c r="AH29" i="7" s="1"/>
  <c r="R29" i="7"/>
  <c r="AG29" i="7" s="1"/>
  <c r="Q29" i="7"/>
  <c r="AF29" i="7" s="1"/>
  <c r="AV28" i="7"/>
  <c r="AW28" i="7" s="1"/>
  <c r="AC28" i="7"/>
  <c r="AR28" i="7" s="1"/>
  <c r="AB28" i="7"/>
  <c r="AQ28" i="7" s="1"/>
  <c r="AA28" i="7"/>
  <c r="AP28" i="7" s="1"/>
  <c r="Z28" i="7"/>
  <c r="AO28" i="7" s="1"/>
  <c r="Y28" i="7"/>
  <c r="M23" i="9" s="1"/>
  <c r="X28" i="7"/>
  <c r="AM28" i="7" s="1"/>
  <c r="W28" i="7"/>
  <c r="AL28" i="7" s="1"/>
  <c r="V28" i="7"/>
  <c r="J23" i="9" s="1"/>
  <c r="U28" i="7"/>
  <c r="AJ28" i="7" s="1"/>
  <c r="T28" i="7"/>
  <c r="H23" i="9" s="1"/>
  <c r="S28" i="7"/>
  <c r="AH28" i="7" s="1"/>
  <c r="R28" i="7"/>
  <c r="F23" i="9" s="1"/>
  <c r="Q28" i="7"/>
  <c r="E23" i="9" s="1"/>
  <c r="AV27" i="7"/>
  <c r="AW27" i="7" s="1"/>
  <c r="AI27" i="7"/>
  <c r="AC27" i="7"/>
  <c r="AR27" i="7" s="1"/>
  <c r="AB27" i="7"/>
  <c r="P22" i="9" s="1"/>
  <c r="AA27" i="7"/>
  <c r="AP27" i="7" s="1"/>
  <c r="Z27" i="7"/>
  <c r="AO27" i="7" s="1"/>
  <c r="Y27" i="7"/>
  <c r="M22" i="9" s="1"/>
  <c r="X27" i="7"/>
  <c r="AM27" i="7" s="1"/>
  <c r="W27" i="7"/>
  <c r="AL27" i="7" s="1"/>
  <c r="V27" i="7"/>
  <c r="AK27" i="7" s="1"/>
  <c r="U27" i="7"/>
  <c r="I22" i="9" s="1"/>
  <c r="T27" i="7"/>
  <c r="S27" i="7"/>
  <c r="AH27" i="7" s="1"/>
  <c r="R27" i="7"/>
  <c r="AG27" i="7" s="1"/>
  <c r="Q27" i="7"/>
  <c r="E22" i="9" s="1"/>
  <c r="AV26" i="7"/>
  <c r="AW26" i="7" s="1"/>
  <c r="AC26" i="7"/>
  <c r="AR26" i="7" s="1"/>
  <c r="AB26" i="7"/>
  <c r="AQ26" i="7" s="1"/>
  <c r="AA26" i="7"/>
  <c r="Z26" i="7"/>
  <c r="N21" i="9" s="1"/>
  <c r="Y26" i="7"/>
  <c r="AN26" i="7" s="1"/>
  <c r="X26" i="7"/>
  <c r="AM26" i="7" s="1"/>
  <c r="W26" i="7"/>
  <c r="AL26" i="7" s="1"/>
  <c r="V26" i="7"/>
  <c r="AK26" i="7" s="1"/>
  <c r="U26" i="7"/>
  <c r="AJ26" i="7" s="1"/>
  <c r="T26" i="7"/>
  <c r="AI26" i="7" s="1"/>
  <c r="S26" i="7"/>
  <c r="AH26" i="7" s="1"/>
  <c r="R26" i="7"/>
  <c r="AG26" i="7" s="1"/>
  <c r="Q26" i="7"/>
  <c r="AF26" i="7" s="1"/>
  <c r="AV25" i="7"/>
  <c r="AW25" i="7" s="1"/>
  <c r="AQ25" i="7"/>
  <c r="AC25" i="7"/>
  <c r="AR25" i="7" s="1"/>
  <c r="AB25" i="7"/>
  <c r="P20" i="9" s="1"/>
  <c r="AA25" i="7"/>
  <c r="AP25" i="7" s="1"/>
  <c r="Z25" i="7"/>
  <c r="AO25" i="7" s="1"/>
  <c r="Y25" i="7"/>
  <c r="AN25" i="7" s="1"/>
  <c r="X25" i="7"/>
  <c r="AM25" i="7" s="1"/>
  <c r="W25" i="7"/>
  <c r="AL25" i="7" s="1"/>
  <c r="V25" i="7"/>
  <c r="J20" i="9" s="1"/>
  <c r="U25" i="7"/>
  <c r="AJ25" i="7" s="1"/>
  <c r="T25" i="7"/>
  <c r="AI25" i="7" s="1"/>
  <c r="S25" i="7"/>
  <c r="AH25" i="7" s="1"/>
  <c r="R25" i="7"/>
  <c r="F20" i="9" s="1"/>
  <c r="Q25" i="7"/>
  <c r="AF25" i="7" s="1"/>
  <c r="AV24" i="7"/>
  <c r="AW24" i="7" s="1"/>
  <c r="AC24" i="7"/>
  <c r="AR24" i="7" s="1"/>
  <c r="AB24" i="7"/>
  <c r="AA24" i="7"/>
  <c r="AP24" i="7" s="1"/>
  <c r="Z24" i="7"/>
  <c r="AO24" i="7" s="1"/>
  <c r="Y24" i="7"/>
  <c r="AN24" i="7" s="1"/>
  <c r="X24" i="7"/>
  <c r="AM24" i="7" s="1"/>
  <c r="W24" i="7"/>
  <c r="K19" i="9" s="1"/>
  <c r="V24" i="7"/>
  <c r="AK24" i="7" s="1"/>
  <c r="U24" i="7"/>
  <c r="AJ24" i="7" s="1"/>
  <c r="T24" i="7"/>
  <c r="AI24" i="7" s="1"/>
  <c r="S24" i="7"/>
  <c r="AH24" i="7" s="1"/>
  <c r="R24" i="7"/>
  <c r="F19" i="9" s="1"/>
  <c r="Q24" i="7"/>
  <c r="AF24" i="7" s="1"/>
  <c r="AV23" i="7"/>
  <c r="AW23" i="7" s="1"/>
  <c r="AC23" i="7"/>
  <c r="AR23" i="7" s="1"/>
  <c r="AB23" i="7"/>
  <c r="AQ23" i="7" s="1"/>
  <c r="AA23" i="7"/>
  <c r="AP23" i="7" s="1"/>
  <c r="Z23" i="7"/>
  <c r="AO23" i="7" s="1"/>
  <c r="Y23" i="7"/>
  <c r="AN23" i="7" s="1"/>
  <c r="X23" i="7"/>
  <c r="L18" i="9" s="1"/>
  <c r="W23" i="7"/>
  <c r="AL23" i="7" s="1"/>
  <c r="V23" i="7"/>
  <c r="U23" i="7"/>
  <c r="I18" i="9" s="1"/>
  <c r="T23" i="7"/>
  <c r="AI23" i="7" s="1"/>
  <c r="S23" i="7"/>
  <c r="AH23" i="7" s="1"/>
  <c r="R23" i="7"/>
  <c r="AG23" i="7" s="1"/>
  <c r="Q23" i="7"/>
  <c r="AF23" i="7" s="1"/>
  <c r="AV22" i="7"/>
  <c r="AW22" i="7" s="1"/>
  <c r="AC22" i="7"/>
  <c r="Q17" i="9" s="1"/>
  <c r="AB22" i="7"/>
  <c r="AQ22" i="7" s="1"/>
  <c r="AA22" i="7"/>
  <c r="AP22" i="7" s="1"/>
  <c r="Z22" i="7"/>
  <c r="AO22" i="7" s="1"/>
  <c r="Y22" i="7"/>
  <c r="X22" i="7"/>
  <c r="AM22" i="7" s="1"/>
  <c r="W22" i="7"/>
  <c r="AL22" i="7" s="1"/>
  <c r="V22" i="7"/>
  <c r="AK22" i="7" s="1"/>
  <c r="U22" i="7"/>
  <c r="AJ22" i="7" s="1"/>
  <c r="T22" i="7"/>
  <c r="S22" i="7"/>
  <c r="AH22" i="7" s="1"/>
  <c r="R22" i="7"/>
  <c r="AG22" i="7" s="1"/>
  <c r="Q22" i="7"/>
  <c r="AF22" i="7" s="1"/>
  <c r="AV21" i="7"/>
  <c r="AW21" i="7" s="1"/>
  <c r="AI21" i="7"/>
  <c r="AC21" i="7"/>
  <c r="AR21" i="7" s="1"/>
  <c r="AB21" i="7"/>
  <c r="AQ21" i="7" s="1"/>
  <c r="AA21" i="7"/>
  <c r="O16" i="9" s="1"/>
  <c r="Z21" i="7"/>
  <c r="AO21" i="7" s="1"/>
  <c r="Y21" i="7"/>
  <c r="X21" i="7"/>
  <c r="AM21" i="7" s="1"/>
  <c r="W21" i="7"/>
  <c r="AL21" i="7" s="1"/>
  <c r="V21" i="7"/>
  <c r="J16" i="9" s="1"/>
  <c r="U21" i="7"/>
  <c r="AJ21" i="7" s="1"/>
  <c r="T21" i="7"/>
  <c r="S21" i="7"/>
  <c r="AH21" i="7" s="1"/>
  <c r="R21" i="7"/>
  <c r="F16" i="9" s="1"/>
  <c r="Q21" i="7"/>
  <c r="AF21" i="7" s="1"/>
  <c r="AV20" i="7"/>
  <c r="AW20" i="7" s="1"/>
  <c r="AJ20" i="7"/>
  <c r="AI20" i="7"/>
  <c r="AF20" i="7"/>
  <c r="AC20" i="7"/>
  <c r="AB20" i="7"/>
  <c r="AQ20" i="7" s="1"/>
  <c r="AA20" i="7"/>
  <c r="Z20" i="7"/>
  <c r="AO20" i="7" s="1"/>
  <c r="Y20" i="7"/>
  <c r="AN20" i="7" s="1"/>
  <c r="X20" i="7"/>
  <c r="AM20" i="7" s="1"/>
  <c r="W20" i="7"/>
  <c r="AL20" i="7" s="1"/>
  <c r="V20" i="7"/>
  <c r="AK20" i="7" s="1"/>
  <c r="U20" i="7"/>
  <c r="T20" i="7"/>
  <c r="S20" i="7"/>
  <c r="AH20" i="7" s="1"/>
  <c r="R20" i="7"/>
  <c r="AG20" i="7" s="1"/>
  <c r="Q20" i="7"/>
  <c r="AV19" i="7"/>
  <c r="AW19" i="7" s="1"/>
  <c r="AP19" i="7"/>
  <c r="AO19" i="7"/>
  <c r="AL19" i="7"/>
  <c r="AK19" i="7"/>
  <c r="AH19" i="7"/>
  <c r="AG19" i="7"/>
  <c r="AC19" i="7"/>
  <c r="AB19" i="7"/>
  <c r="AQ19" i="7" s="1"/>
  <c r="AA19" i="7"/>
  <c r="Z19" i="7"/>
  <c r="Y19" i="7"/>
  <c r="X19" i="7"/>
  <c r="AM19" i="7" s="1"/>
  <c r="W19" i="7"/>
  <c r="V19" i="7"/>
  <c r="U19" i="7"/>
  <c r="T19" i="7"/>
  <c r="AI19" i="7" s="1"/>
  <c r="S19" i="7"/>
  <c r="R19" i="7"/>
  <c r="Q19" i="7"/>
  <c r="AV18" i="7"/>
  <c r="AW18" i="7" s="1"/>
  <c r="AR18" i="7"/>
  <c r="AQ18" i="7"/>
  <c r="AN18" i="7"/>
  <c r="AM18" i="7"/>
  <c r="AJ18" i="7"/>
  <c r="AI18" i="7"/>
  <c r="AF18" i="7"/>
  <c r="AC18" i="7"/>
  <c r="AB18" i="7"/>
  <c r="AA18" i="7"/>
  <c r="AP18" i="7" s="1"/>
  <c r="Z18" i="7"/>
  <c r="AO18" i="7" s="1"/>
  <c r="Y18" i="7"/>
  <c r="X18" i="7"/>
  <c r="W18" i="7"/>
  <c r="AL18" i="7" s="1"/>
  <c r="V18" i="7"/>
  <c r="AK18" i="7" s="1"/>
  <c r="U18" i="7"/>
  <c r="T18" i="7"/>
  <c r="S18" i="7"/>
  <c r="AH18" i="7" s="1"/>
  <c r="R18" i="7"/>
  <c r="AG18" i="7" s="1"/>
  <c r="Q18" i="7"/>
  <c r="AW17" i="7"/>
  <c r="AV17" i="7"/>
  <c r="AP17" i="7"/>
  <c r="AO17" i="7"/>
  <c r="AL17" i="7"/>
  <c r="AK17" i="7"/>
  <c r="AH17" i="7"/>
  <c r="AG17" i="7"/>
  <c r="AC17" i="7"/>
  <c r="AB17" i="7"/>
  <c r="AQ17" i="7" s="1"/>
  <c r="AA17" i="7"/>
  <c r="Z17" i="7"/>
  <c r="Y17" i="7"/>
  <c r="X17" i="7"/>
  <c r="AM17" i="7" s="1"/>
  <c r="W17" i="7"/>
  <c r="V17" i="7"/>
  <c r="U17" i="7"/>
  <c r="T17" i="7"/>
  <c r="AI17" i="7" s="1"/>
  <c r="S17" i="7"/>
  <c r="R17" i="7"/>
  <c r="Q17" i="7"/>
  <c r="AV16" i="7"/>
  <c r="AW16" i="7" s="1"/>
  <c r="AR16" i="7"/>
  <c r="AQ16" i="7"/>
  <c r="AN16" i="7"/>
  <c r="AM16" i="7"/>
  <c r="AJ16" i="7"/>
  <c r="AI16" i="7"/>
  <c r="AF16" i="7"/>
  <c r="AS16" i="7" s="1"/>
  <c r="AC16" i="7"/>
  <c r="AB16" i="7"/>
  <c r="AA16" i="7"/>
  <c r="AP16" i="7" s="1"/>
  <c r="Z16" i="7"/>
  <c r="AO16" i="7" s="1"/>
  <c r="Y16" i="7"/>
  <c r="X16" i="7"/>
  <c r="W16" i="7"/>
  <c r="AL16" i="7" s="1"/>
  <c r="V16" i="7"/>
  <c r="AK16" i="7" s="1"/>
  <c r="U16" i="7"/>
  <c r="T16" i="7"/>
  <c r="S16" i="7"/>
  <c r="AH16" i="7" s="1"/>
  <c r="R16" i="7"/>
  <c r="AG16" i="7" s="1"/>
  <c r="Q16" i="7"/>
  <c r="AV15" i="7"/>
  <c r="AW15" i="7" s="1"/>
  <c r="AP15" i="7"/>
  <c r="AO15" i="7"/>
  <c r="AL15" i="7"/>
  <c r="AK15" i="7"/>
  <c r="AH15" i="7"/>
  <c r="AG15" i="7"/>
  <c r="AC15" i="7"/>
  <c r="AB15" i="7"/>
  <c r="AQ15" i="7" s="1"/>
  <c r="AA15" i="7"/>
  <c r="Z15" i="7"/>
  <c r="Y15" i="7"/>
  <c r="X15" i="7"/>
  <c r="AM15" i="7" s="1"/>
  <c r="W15" i="7"/>
  <c r="V15" i="7"/>
  <c r="U15" i="7"/>
  <c r="T15" i="7"/>
  <c r="AI15" i="7" s="1"/>
  <c r="S15" i="7"/>
  <c r="R15" i="7"/>
  <c r="Q15" i="7"/>
  <c r="AW14" i="7"/>
  <c r="AV14" i="7"/>
  <c r="AR14" i="7"/>
  <c r="AQ14" i="7"/>
  <c r="AN14" i="7"/>
  <c r="AM14" i="7"/>
  <c r="AJ14" i="7"/>
  <c r="AI14" i="7"/>
  <c r="AF14" i="7"/>
  <c r="AC14" i="7"/>
  <c r="AB14" i="7"/>
  <c r="AA14" i="7"/>
  <c r="AP14" i="7" s="1"/>
  <c r="Z14" i="7"/>
  <c r="AO14" i="7" s="1"/>
  <c r="Y14" i="7"/>
  <c r="X14" i="7"/>
  <c r="W14" i="7"/>
  <c r="AL14" i="7" s="1"/>
  <c r="V14" i="7"/>
  <c r="AK14" i="7" s="1"/>
  <c r="U14" i="7"/>
  <c r="T14" i="7"/>
  <c r="S14" i="7"/>
  <c r="AH14" i="7" s="1"/>
  <c r="R14" i="7"/>
  <c r="AG14" i="7" s="1"/>
  <c r="Q14" i="7"/>
  <c r="AV13" i="7"/>
  <c r="AW13" i="7" s="1"/>
  <c r="AP13" i="7"/>
  <c r="AO13" i="7"/>
  <c r="AL13" i="7"/>
  <c r="AK13" i="7"/>
  <c r="AH13" i="7"/>
  <c r="AG13" i="7"/>
  <c r="AC13" i="7"/>
  <c r="AR13" i="7" s="1"/>
  <c r="AB13" i="7"/>
  <c r="AQ13" i="7" s="1"/>
  <c r="AA13" i="7"/>
  <c r="Z13" i="7"/>
  <c r="Y13" i="7"/>
  <c r="AN13" i="7" s="1"/>
  <c r="X13" i="7"/>
  <c r="AM13" i="7" s="1"/>
  <c r="W13" i="7"/>
  <c r="V13" i="7"/>
  <c r="U13" i="7"/>
  <c r="AJ13" i="7" s="1"/>
  <c r="T13" i="7"/>
  <c r="AI13" i="7" s="1"/>
  <c r="S13" i="7"/>
  <c r="R13" i="7"/>
  <c r="Q13" i="7"/>
  <c r="AV12" i="7"/>
  <c r="R7" i="9" s="1"/>
  <c r="G7" i="5" s="1"/>
  <c r="AR12" i="7"/>
  <c r="AQ12" i="7"/>
  <c r="AN12" i="7"/>
  <c r="AM12" i="7"/>
  <c r="AJ12" i="7"/>
  <c r="AI12" i="7"/>
  <c r="AF12" i="7"/>
  <c r="AC12" i="7"/>
  <c r="AB12" i="7"/>
  <c r="AA12" i="7"/>
  <c r="AP12" i="7" s="1"/>
  <c r="Z12" i="7"/>
  <c r="AO12" i="7" s="1"/>
  <c r="Y12" i="7"/>
  <c r="X12" i="7"/>
  <c r="W12" i="7"/>
  <c r="AL12" i="7" s="1"/>
  <c r="V12" i="7"/>
  <c r="AK12" i="7" s="1"/>
  <c r="U12" i="7"/>
  <c r="T12" i="7"/>
  <c r="S12" i="7"/>
  <c r="AH12" i="7" s="1"/>
  <c r="R12" i="7"/>
  <c r="AG12" i="7" s="1"/>
  <c r="Q12" i="7"/>
  <c r="AV11" i="7"/>
  <c r="AW11" i="7" s="1"/>
  <c r="AP11" i="7"/>
  <c r="AO11" i="7"/>
  <c r="AL11" i="7"/>
  <c r="AK11" i="7"/>
  <c r="AH11" i="7"/>
  <c r="AG11" i="7"/>
  <c r="AC11" i="7"/>
  <c r="AR11" i="7" s="1"/>
  <c r="AB11" i="7"/>
  <c r="AQ11" i="7" s="1"/>
  <c r="AA11" i="7"/>
  <c r="Z11" i="7"/>
  <c r="Y11" i="7"/>
  <c r="AN11" i="7" s="1"/>
  <c r="X11" i="7"/>
  <c r="AM11" i="7" s="1"/>
  <c r="W11" i="7"/>
  <c r="V11" i="7"/>
  <c r="U11" i="7"/>
  <c r="AJ11" i="7" s="1"/>
  <c r="T11" i="7"/>
  <c r="AI11" i="7" s="1"/>
  <c r="S11" i="7"/>
  <c r="R11" i="7"/>
  <c r="Q11" i="7"/>
  <c r="AV10" i="7"/>
  <c r="AW10" i="7" s="1"/>
  <c r="AN10" i="7"/>
  <c r="AI10" i="7"/>
  <c r="AF10" i="7"/>
  <c r="AC10" i="7"/>
  <c r="AR10" i="7" s="1"/>
  <c r="AB10" i="7"/>
  <c r="P5" i="9" s="1"/>
  <c r="AA10" i="7"/>
  <c r="AP10" i="7" s="1"/>
  <c r="Z10" i="7"/>
  <c r="AO10" i="7" s="1"/>
  <c r="Y10" i="7"/>
  <c r="X10" i="7"/>
  <c r="AM10" i="7" s="1"/>
  <c r="W10" i="7"/>
  <c r="AL10" i="7" s="1"/>
  <c r="V10" i="7"/>
  <c r="AK10" i="7" s="1"/>
  <c r="U10" i="7"/>
  <c r="AJ10" i="7" s="1"/>
  <c r="T10" i="7"/>
  <c r="S10" i="7"/>
  <c r="AH10" i="7" s="1"/>
  <c r="R10" i="7"/>
  <c r="AG10" i="7" s="1"/>
  <c r="Q10" i="7"/>
  <c r="AV9" i="7"/>
  <c r="R4" i="9" s="1"/>
  <c r="G4" i="5" s="1"/>
  <c r="AC9" i="7"/>
  <c r="AR9" i="7" s="1"/>
  <c r="AB9" i="7"/>
  <c r="AQ9" i="7" s="1"/>
  <c r="AA9" i="7"/>
  <c r="AP9" i="7" s="1"/>
  <c r="Z9" i="7"/>
  <c r="AO9" i="7" s="1"/>
  <c r="Y9" i="7"/>
  <c r="AN9" i="7" s="1"/>
  <c r="X9" i="7"/>
  <c r="AM9" i="7" s="1"/>
  <c r="W9" i="7"/>
  <c r="AL9" i="7" s="1"/>
  <c r="V9" i="7"/>
  <c r="J4" i="9" s="1"/>
  <c r="U9" i="7"/>
  <c r="AJ9" i="7" s="1"/>
  <c r="T9" i="7"/>
  <c r="AI9" i="7" s="1"/>
  <c r="S9" i="7"/>
  <c r="AH9" i="7" s="1"/>
  <c r="R9" i="7"/>
  <c r="AG9" i="7" s="1"/>
  <c r="Q9" i="7"/>
  <c r="AV8" i="7"/>
  <c r="R3" i="9" s="1"/>
  <c r="G3" i="5" s="1"/>
  <c r="AC8" i="7"/>
  <c r="AR8" i="7" s="1"/>
  <c r="AB8" i="7"/>
  <c r="P3" i="9" s="1"/>
  <c r="AA8" i="7"/>
  <c r="AP8" i="7" s="1"/>
  <c r="Z8" i="7"/>
  <c r="AO8" i="7" s="1"/>
  <c r="Y8" i="7"/>
  <c r="AN8" i="7" s="1"/>
  <c r="X8" i="7"/>
  <c r="AM8" i="7" s="1"/>
  <c r="W8" i="7"/>
  <c r="AL8" i="7" s="1"/>
  <c r="V8" i="7"/>
  <c r="AK8" i="7" s="1"/>
  <c r="U8" i="7"/>
  <c r="AJ8" i="7" s="1"/>
  <c r="T8" i="7"/>
  <c r="AI8" i="7" s="1"/>
  <c r="S8" i="7"/>
  <c r="AH8" i="7" s="1"/>
  <c r="R8" i="7"/>
  <c r="AG8" i="7" s="1"/>
  <c r="Q8" i="7"/>
  <c r="AF8" i="7" s="1"/>
  <c r="AV7" i="7"/>
  <c r="AM7" i="7"/>
  <c r="AC7" i="7"/>
  <c r="Q2" i="9" s="1"/>
  <c r="AB7" i="7"/>
  <c r="AQ7" i="7" s="1"/>
  <c r="AA7" i="7"/>
  <c r="AP7" i="7" s="1"/>
  <c r="Z7" i="7"/>
  <c r="N2" i="9" s="1"/>
  <c r="Y7" i="7"/>
  <c r="M2" i="9" s="1"/>
  <c r="X7" i="7"/>
  <c r="W7" i="7"/>
  <c r="AL7" i="7" s="1"/>
  <c r="V7" i="7"/>
  <c r="J2" i="9" s="1"/>
  <c r="U7" i="7"/>
  <c r="T7" i="7"/>
  <c r="AI7" i="7" s="1"/>
  <c r="S7" i="7"/>
  <c r="AH7" i="7" s="1"/>
  <c r="R7" i="7"/>
  <c r="F2" i="9" s="1"/>
  <c r="Q7" i="7"/>
  <c r="E2" i="9" s="1"/>
  <c r="S32" i="9"/>
  <c r="R32" i="9"/>
  <c r="G32" i="5" s="1"/>
  <c r="Q32" i="9"/>
  <c r="P32" i="9"/>
  <c r="K32" i="9"/>
  <c r="H32" i="9"/>
  <c r="G32" i="9"/>
  <c r="B32" i="9"/>
  <c r="S31" i="9"/>
  <c r="R31" i="9"/>
  <c r="G31" i="5" s="1"/>
  <c r="P31" i="9"/>
  <c r="M31" i="9"/>
  <c r="K31" i="9"/>
  <c r="B31" i="9"/>
  <c r="S30" i="9"/>
  <c r="R30" i="9"/>
  <c r="G30" i="5" s="1"/>
  <c r="P30" i="9"/>
  <c r="L30" i="9"/>
  <c r="K30" i="9"/>
  <c r="I30" i="9"/>
  <c r="H30" i="9"/>
  <c r="B30" i="9"/>
  <c r="S29" i="9"/>
  <c r="R29" i="9"/>
  <c r="G29" i="5" s="1"/>
  <c r="P29" i="9"/>
  <c r="N29" i="9"/>
  <c r="I29" i="9"/>
  <c r="G29" i="9"/>
  <c r="B29" i="9"/>
  <c r="S28" i="9"/>
  <c r="Q28" i="9"/>
  <c r="N28" i="9"/>
  <c r="M28" i="9"/>
  <c r="K28" i="9"/>
  <c r="J28" i="9"/>
  <c r="I28" i="9"/>
  <c r="H28" i="9"/>
  <c r="B28" i="9"/>
  <c r="S27" i="9"/>
  <c r="P27" i="9"/>
  <c r="O27" i="9"/>
  <c r="N27" i="9"/>
  <c r="K27" i="9"/>
  <c r="J27" i="9"/>
  <c r="G27" i="9"/>
  <c r="B27" i="9"/>
  <c r="S26" i="9"/>
  <c r="R26" i="9"/>
  <c r="G26" i="5" s="1"/>
  <c r="M26" i="9"/>
  <c r="L26" i="9"/>
  <c r="K26" i="9"/>
  <c r="J26" i="9"/>
  <c r="I26" i="9"/>
  <c r="B26" i="9"/>
  <c r="S25" i="9"/>
  <c r="L25" i="9"/>
  <c r="J25" i="9"/>
  <c r="I25" i="9"/>
  <c r="F25" i="9"/>
  <c r="E25" i="9"/>
  <c r="B25" i="9"/>
  <c r="S24" i="9"/>
  <c r="R24" i="9"/>
  <c r="L24" i="9"/>
  <c r="K24" i="9"/>
  <c r="H24" i="9"/>
  <c r="B24" i="9"/>
  <c r="S23" i="9"/>
  <c r="R23" i="9"/>
  <c r="G23" i="5" s="1"/>
  <c r="P23" i="9"/>
  <c r="N23" i="9"/>
  <c r="L23" i="9"/>
  <c r="K23" i="9"/>
  <c r="B23" i="9"/>
  <c r="S22" i="9"/>
  <c r="O22" i="9"/>
  <c r="K22" i="9"/>
  <c r="H22" i="9"/>
  <c r="B22" i="9"/>
  <c r="S21" i="9"/>
  <c r="Q21" i="9"/>
  <c r="L21" i="9"/>
  <c r="K21" i="9"/>
  <c r="J21" i="9"/>
  <c r="I21" i="9"/>
  <c r="H21" i="9"/>
  <c r="G21" i="9"/>
  <c r="F21" i="9"/>
  <c r="B21" i="9"/>
  <c r="S20" i="9"/>
  <c r="R20" i="9"/>
  <c r="L20" i="9"/>
  <c r="H20" i="9"/>
  <c r="B20" i="9"/>
  <c r="S19" i="9"/>
  <c r="N19" i="9"/>
  <c r="L19" i="9"/>
  <c r="B19" i="9"/>
  <c r="S18" i="9"/>
  <c r="Q18" i="9"/>
  <c r="O18" i="9"/>
  <c r="G18" i="9"/>
  <c r="E18" i="9"/>
  <c r="B18" i="9"/>
  <c r="R17" i="9"/>
  <c r="G17" i="5" s="1"/>
  <c r="O17" i="9"/>
  <c r="N17" i="9"/>
  <c r="L17" i="9"/>
  <c r="K17" i="9"/>
  <c r="I17" i="9"/>
  <c r="F17" i="9"/>
  <c r="B17" i="9"/>
  <c r="K16" i="9"/>
  <c r="I16" i="9"/>
  <c r="H16" i="9"/>
  <c r="B16" i="9"/>
  <c r="S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B15" i="9"/>
  <c r="S14" i="9"/>
  <c r="R14" i="9"/>
  <c r="G14" i="5" s="1"/>
  <c r="P14" i="9"/>
  <c r="O14" i="9"/>
  <c r="N14" i="9"/>
  <c r="L14" i="9"/>
  <c r="K14" i="9"/>
  <c r="J14" i="9"/>
  <c r="G14" i="9"/>
  <c r="F14" i="9"/>
  <c r="B14" i="9"/>
  <c r="S13" i="9"/>
  <c r="Q13" i="9"/>
  <c r="P13" i="9"/>
  <c r="N13" i="9"/>
  <c r="M13" i="9"/>
  <c r="L13" i="9"/>
  <c r="J13" i="9"/>
  <c r="I13" i="9"/>
  <c r="H13" i="9"/>
  <c r="F13" i="9"/>
  <c r="E13" i="9"/>
  <c r="B13" i="9"/>
  <c r="S12" i="9"/>
  <c r="R12" i="9"/>
  <c r="P12" i="9"/>
  <c r="O12" i="9"/>
  <c r="N12" i="9"/>
  <c r="L12" i="9"/>
  <c r="K12" i="9"/>
  <c r="J12" i="9"/>
  <c r="H12" i="9"/>
  <c r="G12" i="9"/>
  <c r="F12" i="9"/>
  <c r="B12" i="9"/>
  <c r="S11" i="9"/>
  <c r="R11" i="9"/>
  <c r="G11" i="5" s="1"/>
  <c r="Q11" i="9"/>
  <c r="P11" i="9"/>
  <c r="N11" i="9"/>
  <c r="M11" i="9"/>
  <c r="L11" i="9"/>
  <c r="J11" i="9"/>
  <c r="I11" i="9"/>
  <c r="H11" i="9"/>
  <c r="F11" i="9"/>
  <c r="E11" i="9"/>
  <c r="B11" i="9"/>
  <c r="S10" i="9"/>
  <c r="R10" i="9"/>
  <c r="G10" i="5" s="1"/>
  <c r="P10" i="9"/>
  <c r="O10" i="9"/>
  <c r="N10" i="9"/>
  <c r="L10" i="9"/>
  <c r="K10" i="9"/>
  <c r="J10" i="9"/>
  <c r="H10" i="9"/>
  <c r="G10" i="9"/>
  <c r="F10" i="9"/>
  <c r="B10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B9" i="9"/>
  <c r="S8" i="9"/>
  <c r="R8" i="9"/>
  <c r="Q8" i="9"/>
  <c r="O8" i="9"/>
  <c r="N8" i="9"/>
  <c r="M8" i="9"/>
  <c r="K8" i="9"/>
  <c r="J8" i="9"/>
  <c r="I8" i="9"/>
  <c r="G8" i="9"/>
  <c r="F8" i="9"/>
  <c r="E8" i="9"/>
  <c r="B8" i="9"/>
  <c r="S7" i="9"/>
  <c r="Q7" i="9"/>
  <c r="P7" i="9"/>
  <c r="O7" i="9"/>
  <c r="N7" i="9"/>
  <c r="M7" i="9"/>
  <c r="L7" i="9"/>
  <c r="K7" i="9"/>
  <c r="J7" i="9"/>
  <c r="I7" i="9"/>
  <c r="H7" i="9"/>
  <c r="G7" i="9"/>
  <c r="F7" i="9"/>
  <c r="E7" i="9"/>
  <c r="B7" i="9"/>
  <c r="S6" i="9"/>
  <c r="R6" i="9"/>
  <c r="Q6" i="9"/>
  <c r="O6" i="9"/>
  <c r="N6" i="9"/>
  <c r="M6" i="9"/>
  <c r="K6" i="9"/>
  <c r="J6" i="9"/>
  <c r="I6" i="9"/>
  <c r="G6" i="9"/>
  <c r="F6" i="9"/>
  <c r="E6" i="9"/>
  <c r="B6" i="9"/>
  <c r="S5" i="9"/>
  <c r="Q5" i="9"/>
  <c r="M5" i="9"/>
  <c r="I5" i="9"/>
  <c r="H5" i="9"/>
  <c r="E5" i="9"/>
  <c r="B5" i="9"/>
  <c r="S4" i="9"/>
  <c r="N4" i="9"/>
  <c r="K4" i="9"/>
  <c r="I4" i="9"/>
  <c r="G4" i="9"/>
  <c r="F4" i="9"/>
  <c r="E4" i="9"/>
  <c r="B4" i="9"/>
  <c r="S3" i="9"/>
  <c r="Q3" i="9"/>
  <c r="L3" i="9"/>
  <c r="K3" i="9"/>
  <c r="F3" i="9"/>
  <c r="E3" i="9"/>
  <c r="B3" i="9"/>
  <c r="S2" i="9"/>
  <c r="R2" i="9"/>
  <c r="G2" i="5" s="1"/>
  <c r="P2" i="9"/>
  <c r="O2" i="9"/>
  <c r="L2" i="9"/>
  <c r="G2" i="9"/>
  <c r="I32" i="5"/>
  <c r="B32" i="5"/>
  <c r="I31" i="5"/>
  <c r="B31" i="5"/>
  <c r="I30" i="5"/>
  <c r="B30" i="5"/>
  <c r="I29" i="5"/>
  <c r="B29" i="5"/>
  <c r="I28" i="5"/>
  <c r="B28" i="5"/>
  <c r="I27" i="5"/>
  <c r="B27" i="5"/>
  <c r="I26" i="5"/>
  <c r="B26" i="5"/>
  <c r="I25" i="5"/>
  <c r="B25" i="5"/>
  <c r="I24" i="5"/>
  <c r="G24" i="5"/>
  <c r="B24" i="5"/>
  <c r="I23" i="5"/>
  <c r="B23" i="5"/>
  <c r="I22" i="5"/>
  <c r="B22" i="5"/>
  <c r="I21" i="5"/>
  <c r="B21" i="5"/>
  <c r="I20" i="5"/>
  <c r="G20" i="5"/>
  <c r="B20" i="5"/>
  <c r="I19" i="5"/>
  <c r="B19" i="5"/>
  <c r="I18" i="5"/>
  <c r="B18" i="5"/>
  <c r="I17" i="5"/>
  <c r="B17" i="5"/>
  <c r="I16" i="5"/>
  <c r="B16" i="5"/>
  <c r="I15" i="5"/>
  <c r="B15" i="5"/>
  <c r="I14" i="5"/>
  <c r="B14" i="5"/>
  <c r="I13" i="5"/>
  <c r="B13" i="5"/>
  <c r="I12" i="5"/>
  <c r="G12" i="5"/>
  <c r="B12" i="5"/>
  <c r="I11" i="5"/>
  <c r="B11" i="5"/>
  <c r="I10" i="5"/>
  <c r="B10" i="5"/>
  <c r="I9" i="5"/>
  <c r="G9" i="5"/>
  <c r="E9" i="5"/>
  <c r="B9" i="5"/>
  <c r="I8" i="5"/>
  <c r="G8" i="5"/>
  <c r="B8" i="5"/>
  <c r="I7" i="5"/>
  <c r="E7" i="5"/>
  <c r="B7" i="5"/>
  <c r="I6" i="5"/>
  <c r="G6" i="5"/>
  <c r="B6" i="5"/>
  <c r="I5" i="5"/>
  <c r="B5" i="5"/>
  <c r="I4" i="5"/>
  <c r="B4" i="5"/>
  <c r="I3" i="5"/>
  <c r="B3" i="5"/>
  <c r="I2" i="5"/>
  <c r="Q4" i="9" l="1"/>
  <c r="AQ10" i="7"/>
  <c r="O4" i="9"/>
  <c r="M4" i="9"/>
  <c r="L5" i="9"/>
  <c r="AW9" i="7"/>
  <c r="AW38" i="7" s="1"/>
  <c r="O3" i="9"/>
  <c r="N3" i="9"/>
  <c r="AK9" i="7"/>
  <c r="H3" i="9"/>
  <c r="AQ8" i="7"/>
  <c r="M3" i="9"/>
  <c r="K2" i="9"/>
  <c r="J3" i="9"/>
  <c r="I3" i="9"/>
  <c r="H2" i="9"/>
  <c r="G3" i="9"/>
  <c r="AS8" i="7"/>
  <c r="AW12" i="7"/>
  <c r="R5" i="9"/>
  <c r="G5" i="5" s="1"/>
  <c r="R13" i="9"/>
  <c r="G13" i="5" s="1"/>
  <c r="R15" i="9"/>
  <c r="G15" i="5" s="1"/>
  <c r="R18" i="9"/>
  <c r="G18" i="5" s="1"/>
  <c r="R21" i="9"/>
  <c r="G21" i="5" s="1"/>
  <c r="R16" i="9"/>
  <c r="G16" i="5" s="1"/>
  <c r="R25" i="9"/>
  <c r="G25" i="5" s="1"/>
  <c r="AD10" i="7"/>
  <c r="AF15" i="7"/>
  <c r="AD15" i="7"/>
  <c r="E10" i="9"/>
  <c r="AJ15" i="7"/>
  <c r="I10" i="9"/>
  <c r="AN15" i="7"/>
  <c r="M10" i="9"/>
  <c r="AR15" i="7"/>
  <c r="Q10" i="9"/>
  <c r="F5" i="9"/>
  <c r="J5" i="9"/>
  <c r="N5" i="9"/>
  <c r="I2" i="9"/>
  <c r="AJ7" i="7"/>
  <c r="AN7" i="7"/>
  <c r="AD8" i="7"/>
  <c r="AF9" i="7"/>
  <c r="AS9" i="7" s="1"/>
  <c r="AD9" i="7"/>
  <c r="AS10" i="7"/>
  <c r="AD12" i="7"/>
  <c r="AF17" i="7"/>
  <c r="AD17" i="7"/>
  <c r="E12" i="9"/>
  <c r="E12" i="5" s="1"/>
  <c r="AJ17" i="7"/>
  <c r="I12" i="9"/>
  <c r="AN17" i="7"/>
  <c r="M12" i="9"/>
  <c r="AR17" i="7"/>
  <c r="Q12" i="9"/>
  <c r="AS18" i="7"/>
  <c r="AF35" i="7"/>
  <c r="E30" i="9"/>
  <c r="G31" i="9"/>
  <c r="AH36" i="7"/>
  <c r="G5" i="9"/>
  <c r="K5" i="9"/>
  <c r="O5" i="9"/>
  <c r="G11" i="9"/>
  <c r="K11" i="9"/>
  <c r="O11" i="9"/>
  <c r="G13" i="9"/>
  <c r="K13" i="9"/>
  <c r="O13" i="9"/>
  <c r="H14" i="9"/>
  <c r="F22" i="9"/>
  <c r="AF7" i="7"/>
  <c r="AF11" i="7"/>
  <c r="AS11" i="7" s="1"/>
  <c r="AD11" i="7"/>
  <c r="AS12" i="7"/>
  <c r="AD14" i="7"/>
  <c r="AF19" i="7"/>
  <c r="AS19" i="7" s="1"/>
  <c r="AD19" i="7"/>
  <c r="E14" i="9"/>
  <c r="AJ19" i="7"/>
  <c r="I14" i="9"/>
  <c r="AN19" i="7"/>
  <c r="M14" i="9"/>
  <c r="AR19" i="7"/>
  <c r="Q14" i="9"/>
  <c r="AI22" i="7"/>
  <c r="H17" i="9"/>
  <c r="AK23" i="7"/>
  <c r="J18" i="9"/>
  <c r="AJ23" i="7"/>
  <c r="AH30" i="7"/>
  <c r="G25" i="9"/>
  <c r="AP30" i="7"/>
  <c r="O25" i="9"/>
  <c r="AN32" i="7"/>
  <c r="M27" i="9"/>
  <c r="AI34" i="7"/>
  <c r="H29" i="9"/>
  <c r="AR34" i="7"/>
  <c r="Q29" i="9"/>
  <c r="H4" i="9"/>
  <c r="L4" i="9"/>
  <c r="P4" i="9"/>
  <c r="H6" i="9"/>
  <c r="L6" i="9"/>
  <c r="P6" i="9"/>
  <c r="H8" i="9"/>
  <c r="L8" i="9"/>
  <c r="P8" i="9"/>
  <c r="N20" i="9"/>
  <c r="E24" i="9"/>
  <c r="Q24" i="9"/>
  <c r="N30" i="9"/>
  <c r="AF13" i="7"/>
  <c r="AS13" i="7" s="1"/>
  <c r="AD13" i="7"/>
  <c r="AS14" i="7"/>
  <c r="AD16" i="7"/>
  <c r="AN22" i="7"/>
  <c r="M17" i="9"/>
  <c r="AG32" i="7"/>
  <c r="AS32" i="7" s="1"/>
  <c r="F27" i="9"/>
  <c r="AI36" i="7"/>
  <c r="AF37" i="7"/>
  <c r="E32" i="9"/>
  <c r="M32" i="9"/>
  <c r="AN37" i="7"/>
  <c r="AD18" i="7"/>
  <c r="AN21" i="7"/>
  <c r="M16" i="9"/>
  <c r="AQ24" i="7"/>
  <c r="P19" i="9"/>
  <c r="AP26" i="7"/>
  <c r="O21" i="9"/>
  <c r="AO37" i="7"/>
  <c r="N32" i="9"/>
  <c r="AR7" i="7"/>
  <c r="AM23" i="7"/>
  <c r="AS23" i="7" s="1"/>
  <c r="AG36" i="7"/>
  <c r="E2" i="5"/>
  <c r="AD7" i="7"/>
  <c r="AG7" i="7"/>
  <c r="AK7" i="7"/>
  <c r="AO7" i="7"/>
  <c r="O32" i="9"/>
  <c r="L32" i="9"/>
  <c r="J32" i="9"/>
  <c r="AP36" i="7"/>
  <c r="J31" i="9"/>
  <c r="I32" i="9"/>
  <c r="E32" i="5" s="1"/>
  <c r="AG37" i="7"/>
  <c r="AD37" i="7"/>
  <c r="AR36" i="7"/>
  <c r="AS36" i="7" s="1"/>
  <c r="Q30" i="9"/>
  <c r="AO36" i="7"/>
  <c r="AM36" i="7"/>
  <c r="I31" i="9"/>
  <c r="AD36" i="7"/>
  <c r="E31" i="9"/>
  <c r="O29" i="9"/>
  <c r="O30" i="9"/>
  <c r="M30" i="9"/>
  <c r="J30" i="9"/>
  <c r="G30" i="9"/>
  <c r="AG35" i="7"/>
  <c r="AD35" i="7"/>
  <c r="E29" i="9"/>
  <c r="R28" i="9"/>
  <c r="G28" i="5" s="1"/>
  <c r="M29" i="9"/>
  <c r="AM34" i="7"/>
  <c r="AM38" i="7" s="1"/>
  <c r="AL34" i="7"/>
  <c r="J29" i="9"/>
  <c r="F29" i="9"/>
  <c r="AS34" i="7"/>
  <c r="AD34" i="7"/>
  <c r="E28" i="9"/>
  <c r="R27" i="9"/>
  <c r="G27" i="5" s="1"/>
  <c r="Q27" i="9"/>
  <c r="P28" i="9"/>
  <c r="O28" i="9"/>
  <c r="AM33" i="7"/>
  <c r="AJ32" i="7"/>
  <c r="G28" i="9"/>
  <c r="AD33" i="7"/>
  <c r="AG33" i="7"/>
  <c r="AS33" i="7" s="1"/>
  <c r="L27" i="9"/>
  <c r="H27" i="9"/>
  <c r="AI31" i="7"/>
  <c r="G26" i="9"/>
  <c r="F26" i="9"/>
  <c r="AD32" i="7"/>
  <c r="E27" i="9"/>
  <c r="Q26" i="9"/>
  <c r="AQ31" i="7"/>
  <c r="P25" i="9"/>
  <c r="O26" i="9"/>
  <c r="N26" i="9"/>
  <c r="AO30" i="7"/>
  <c r="AN30" i="7"/>
  <c r="H25" i="9"/>
  <c r="AD31" i="7"/>
  <c r="AF31" i="7"/>
  <c r="Q25" i="9"/>
  <c r="N24" i="9"/>
  <c r="K25" i="9"/>
  <c r="E25" i="5" s="1"/>
  <c r="AK29" i="7"/>
  <c r="AD30" i="7"/>
  <c r="AQ29" i="7"/>
  <c r="O24" i="9"/>
  <c r="M24" i="9"/>
  <c r="AN28" i="7"/>
  <c r="I23" i="9"/>
  <c r="AJ29" i="7"/>
  <c r="G24" i="9"/>
  <c r="G23" i="9"/>
  <c r="AD29" i="7"/>
  <c r="F24" i="9"/>
  <c r="Q23" i="9"/>
  <c r="O23" i="9"/>
  <c r="L22" i="9"/>
  <c r="AK28" i="7"/>
  <c r="AI28" i="7"/>
  <c r="G22" i="9"/>
  <c r="AG28" i="7"/>
  <c r="AF27" i="7"/>
  <c r="AD28" i="7"/>
  <c r="AF28" i="7"/>
  <c r="R22" i="9"/>
  <c r="G22" i="5" s="1"/>
  <c r="Q22" i="9"/>
  <c r="AQ27" i="7"/>
  <c r="P21" i="9"/>
  <c r="N22" i="9"/>
  <c r="AO26" i="7"/>
  <c r="AS26" i="7" s="1"/>
  <c r="AN27" i="7"/>
  <c r="J22" i="9"/>
  <c r="AD27" i="7"/>
  <c r="AJ27" i="7"/>
  <c r="O20" i="9"/>
  <c r="M21" i="9"/>
  <c r="M20" i="9"/>
  <c r="E21" i="9"/>
  <c r="G20" i="9"/>
  <c r="AD26" i="7"/>
  <c r="E20" i="9"/>
  <c r="Q20" i="9"/>
  <c r="M19" i="9"/>
  <c r="K20" i="9"/>
  <c r="AL24" i="7"/>
  <c r="AK25" i="7"/>
  <c r="I20" i="9"/>
  <c r="I19" i="9"/>
  <c r="G19" i="9"/>
  <c r="AD25" i="7"/>
  <c r="AG25" i="7"/>
  <c r="R19" i="9"/>
  <c r="G19" i="5" s="1"/>
  <c r="AV38" i="7"/>
  <c r="AV39" i="7" s="1"/>
  <c r="AV40" i="7" s="1"/>
  <c r="Q19" i="9"/>
  <c r="O19" i="9"/>
  <c r="M18" i="9"/>
  <c r="K18" i="9"/>
  <c r="J19" i="9"/>
  <c r="H19" i="9"/>
  <c r="T38" i="7"/>
  <c r="H18" i="9"/>
  <c r="AG24" i="7"/>
  <c r="R38" i="7"/>
  <c r="F18" i="9"/>
  <c r="E19" i="9"/>
  <c r="AD24" i="7"/>
  <c r="P17" i="9"/>
  <c r="P18" i="9"/>
  <c r="N18" i="9"/>
  <c r="U38" i="7"/>
  <c r="AD23" i="7"/>
  <c r="AC38" i="7"/>
  <c r="AR22" i="7"/>
  <c r="AS22" i="7" s="1"/>
  <c r="P16" i="9"/>
  <c r="AA38" i="7"/>
  <c r="N16" i="9"/>
  <c r="L16" i="9"/>
  <c r="J17" i="9"/>
  <c r="AH38" i="7"/>
  <c r="G16" i="9"/>
  <c r="S38" i="7"/>
  <c r="G17" i="9"/>
  <c r="AG21" i="7"/>
  <c r="AD22" i="7"/>
  <c r="Q38" i="7"/>
  <c r="E16" i="9"/>
  <c r="E17" i="9"/>
  <c r="Q16" i="9"/>
  <c r="AR20" i="7"/>
  <c r="AB38" i="7"/>
  <c r="AP20" i="7"/>
  <c r="AP21" i="7"/>
  <c r="Z38" i="7"/>
  <c r="E15" i="5"/>
  <c r="Y38" i="7"/>
  <c r="X38" i="7"/>
  <c r="AD20" i="7"/>
  <c r="W38" i="7"/>
  <c r="AK21" i="7"/>
  <c r="AS21" i="7" s="1"/>
  <c r="AD21" i="7"/>
  <c r="V38" i="7"/>
  <c r="E4" i="5" l="1"/>
  <c r="E3" i="5"/>
  <c r="AS7" i="7"/>
  <c r="AS35" i="7"/>
  <c r="E11" i="5"/>
  <c r="E5" i="5"/>
  <c r="E8" i="5"/>
  <c r="E14" i="5"/>
  <c r="E13" i="5"/>
  <c r="AS17" i="7"/>
  <c r="AS15" i="7"/>
  <c r="AJ38" i="7"/>
  <c r="E10" i="5"/>
  <c r="AS29" i="7"/>
  <c r="E6" i="5"/>
  <c r="AS24" i="7"/>
  <c r="AK38" i="7"/>
  <c r="AN38" i="7"/>
  <c r="AI38" i="7"/>
  <c r="AS31" i="7"/>
  <c r="AS30" i="7"/>
  <c r="AL38" i="7"/>
  <c r="AS37" i="7"/>
  <c r="E31" i="5"/>
  <c r="E30" i="5"/>
  <c r="E29" i="5"/>
  <c r="E28" i="5"/>
  <c r="E27" i="5"/>
  <c r="E26" i="5"/>
  <c r="AO38" i="7"/>
  <c r="AQ38" i="7"/>
  <c r="E24" i="5"/>
  <c r="E23" i="5"/>
  <c r="AS28" i="7"/>
  <c r="E22" i="5"/>
  <c r="AS27" i="7"/>
  <c r="AF38" i="7"/>
  <c r="E21" i="5"/>
  <c r="AS25" i="7"/>
  <c r="AV41" i="7"/>
  <c r="E20" i="5"/>
  <c r="E19" i="5"/>
  <c r="AG38" i="7"/>
  <c r="E18" i="5"/>
  <c r="AR38" i="7"/>
  <c r="E17" i="5"/>
  <c r="E16" i="5"/>
  <c r="AS20" i="7"/>
  <c r="AP38" i="7"/>
  <c r="AD3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<sst xmlns="http://schemas.openxmlformats.org/spreadsheetml/2006/main" count="128" uniqueCount="49">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</sst>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7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11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61136</v>
      </c>
      <c r="F2" s="11">
        <v>5.0000000000000001E-3</v>
      </c>
      <c r="G2" s="12">
        <f>Submetering!R2</f>
        <v>916.44776100000001</v>
      </c>
      <c r="H2" s="11">
        <v>0.52800000000000002</v>
      </c>
      <c r="I2" s="12">
        <f>Hotel!B7</f>
        <v>69</v>
      </c>
    </row>
    <row r="3" spans="1:9" s="15" customFormat="1" x14ac:dyDescent="0.25">
      <c r="A3" s="21" t="s">
        <v>31</v>
      </c>
      <c r="B3" s="14">
        <f>B2+1</f>
        <v>2</v>
      </c>
      <c r="C3" s="3">
        <v>11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55572</v>
      </c>
      <c r="F3" s="11">
        <v>5.0000000000000001E-3</v>
      </c>
      <c r="G3" s="12">
        <f>Submetering!R3</f>
        <v>556.076729</v>
      </c>
      <c r="H3" s="11">
        <v>0.52800000000000002</v>
      </c>
      <c r="I3" s="12">
        <f>Hotel!B8</f>
        <v>75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11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61070</v>
      </c>
      <c r="F4" s="11">
        <v>5.0000000000000001E-3</v>
      </c>
      <c r="G4" s="12">
        <f>Submetering!R4</f>
        <v>674.56006200000002</v>
      </c>
      <c r="H4" s="11">
        <v>0.52800000000000002</v>
      </c>
      <c r="I4" s="12">
        <f>Hotel!B9</f>
        <v>68</v>
      </c>
    </row>
    <row r="5" spans="1:9" s="15" customFormat="1" x14ac:dyDescent="0.25">
      <c r="A5" s="21" t="s">
        <v>31</v>
      </c>
      <c r="B5" s="14">
        <f t="shared" si="0"/>
        <v>4</v>
      </c>
      <c r="C5" s="3">
        <v>11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0</v>
      </c>
      <c r="F5" s="11">
        <v>5.0000000000000001E-3</v>
      </c>
      <c r="G5" s="12">
        <f>Submetering!R5</f>
        <v>0</v>
      </c>
      <c r="H5" s="11">
        <v>0.52800000000000002</v>
      </c>
      <c r="I5" s="12">
        <f>Hotel!B10</f>
        <v>0</v>
      </c>
    </row>
    <row r="6" spans="1:9" s="15" customFormat="1" x14ac:dyDescent="0.25">
      <c r="A6" s="21" t="s">
        <v>31</v>
      </c>
      <c r="B6" s="14">
        <f t="shared" si="0"/>
        <v>5</v>
      </c>
      <c r="C6" s="3">
        <v>11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0</v>
      </c>
      <c r="F6" s="11">
        <v>5.0000000000000001E-3</v>
      </c>
      <c r="G6" s="12">
        <f>Submetering!R6</f>
        <v>0</v>
      </c>
      <c r="H6" s="11">
        <v>0.52800000000000002</v>
      </c>
      <c r="I6" s="12">
        <f>Hotel!B11</f>
        <v>0</v>
      </c>
    </row>
    <row r="7" spans="1:9" s="15" customFormat="1" x14ac:dyDescent="0.25">
      <c r="A7" s="21" t="s">
        <v>31</v>
      </c>
      <c r="B7" s="14">
        <f t="shared" si="0"/>
        <v>6</v>
      </c>
      <c r="C7" s="3">
        <v>11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0</v>
      </c>
      <c r="F7" s="11">
        <v>5.0000000000000001E-3</v>
      </c>
      <c r="G7" s="12">
        <f>Submetering!R7</f>
        <v>0</v>
      </c>
      <c r="H7" s="11">
        <v>0.52800000000000002</v>
      </c>
      <c r="I7" s="12">
        <f>Hotel!B12</f>
        <v>0</v>
      </c>
    </row>
    <row r="8" spans="1:9" s="15" customFormat="1" x14ac:dyDescent="0.25">
      <c r="A8" s="21" t="s">
        <v>31</v>
      </c>
      <c r="B8" s="14">
        <f t="shared" si="0"/>
        <v>7</v>
      </c>
      <c r="C8" s="3">
        <v>11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0</v>
      </c>
    </row>
    <row r="9" spans="1:9" s="15" customFormat="1" x14ac:dyDescent="0.25">
      <c r="A9" s="21" t="s">
        <v>31</v>
      </c>
      <c r="B9" s="14">
        <f t="shared" si="0"/>
        <v>8</v>
      </c>
      <c r="C9" s="3">
        <v>11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11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11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11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11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11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11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11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11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11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11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11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11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11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11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11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11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11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11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11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11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11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11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11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11</v>
      </c>
      <c r="D2" s="2">
        <v>2020</v>
      </c>
      <c r="E2" s="4">
        <f>Hotel!Q7</f>
        <v>480</v>
      </c>
      <c r="F2" s="4">
        <f>Hotel!R7</f>
        <v>14520</v>
      </c>
      <c r="G2" s="4">
        <f>Hotel!S7</f>
        <v>70</v>
      </c>
      <c r="H2" s="4">
        <f>Hotel!T7</f>
        <v>1440</v>
      </c>
      <c r="I2" s="4">
        <f>Hotel!U7</f>
        <v>4380</v>
      </c>
      <c r="J2" s="4">
        <f>Hotel!V7</f>
        <v>3038</v>
      </c>
      <c r="K2" s="4">
        <f>Hotel!W7</f>
        <v>2290</v>
      </c>
      <c r="L2" s="4">
        <f>Hotel!X7</f>
        <v>3220</v>
      </c>
      <c r="M2" s="4">
        <f>Hotel!Y7</f>
        <v>5070</v>
      </c>
      <c r="N2" s="4">
        <f>Hotel!Z7</f>
        <v>2350</v>
      </c>
      <c r="O2" s="4">
        <f>Hotel!AA7</f>
        <v>3150</v>
      </c>
      <c r="P2" s="4">
        <f>Hotel!AB7</f>
        <v>6490</v>
      </c>
      <c r="Q2" s="4">
        <f>Hotel!AC7</f>
        <v>14638</v>
      </c>
      <c r="R2" s="4">
        <f>Hotel!AV7*0.00378541*100</f>
        <v>916.44776100000001</v>
      </c>
      <c r="S2" s="4">
        <f>Hotel!B7</f>
        <v>69</v>
      </c>
    </row>
    <row r="3" spans="1:19" x14ac:dyDescent="0.25">
      <c r="A3" s="21" t="s">
        <v>31</v>
      </c>
      <c r="B3" s="2">
        <f>B2+1</f>
        <v>2</v>
      </c>
      <c r="C3" s="10">
        <v>11</v>
      </c>
      <c r="D3" s="2">
        <v>2020</v>
      </c>
      <c r="E3" s="4">
        <f>Hotel!Q8</f>
        <v>510</v>
      </c>
      <c r="F3" s="4">
        <f>Hotel!R8</f>
        <v>15510</v>
      </c>
      <c r="G3" s="4">
        <f>Hotel!S8</f>
        <v>70</v>
      </c>
      <c r="H3" s="4">
        <f>Hotel!T8</f>
        <v>1560</v>
      </c>
      <c r="I3" s="4">
        <f>Hotel!U8</f>
        <v>4720</v>
      </c>
      <c r="J3" s="4">
        <f>Hotel!V8</f>
        <v>3330</v>
      </c>
      <c r="K3" s="4">
        <f>Hotel!W8</f>
        <v>2420</v>
      </c>
      <c r="L3" s="4">
        <f>Hotel!X8</f>
        <v>3680</v>
      </c>
      <c r="M3" s="4">
        <f>Hotel!Y8</f>
        <v>5530</v>
      </c>
      <c r="N3" s="4">
        <f>Hotel!Z8</f>
        <v>2470</v>
      </c>
      <c r="O3" s="4">
        <f>Hotel!AA8</f>
        <v>3290</v>
      </c>
      <c r="P3" s="4">
        <f>Hotel!AB8</f>
        <v>7080</v>
      </c>
      <c r="Q3" s="4">
        <f>Hotel!AC8</f>
        <v>5402</v>
      </c>
      <c r="R3" s="4">
        <f>Hotel!AV8*0.00378541*100</f>
        <v>556.076729</v>
      </c>
      <c r="S3" s="4">
        <f>Hotel!B8</f>
        <v>75</v>
      </c>
    </row>
    <row r="4" spans="1:19" x14ac:dyDescent="0.25">
      <c r="A4" s="21" t="s">
        <v>31</v>
      </c>
      <c r="B4" s="2">
        <f t="shared" ref="B4:B29" si="0">B3+1</f>
        <v>3</v>
      </c>
      <c r="C4" s="10">
        <v>11</v>
      </c>
      <c r="D4" s="2">
        <v>2020</v>
      </c>
      <c r="E4" s="4">
        <f>Hotel!Q9</f>
        <v>520</v>
      </c>
      <c r="F4" s="4">
        <f>Hotel!R9</f>
        <v>15150</v>
      </c>
      <c r="G4" s="4">
        <f>Hotel!S9</f>
        <v>50</v>
      </c>
      <c r="H4" s="4">
        <f>Hotel!T9</f>
        <v>1570</v>
      </c>
      <c r="I4" s="4">
        <f>Hotel!U9</f>
        <v>4350</v>
      </c>
      <c r="J4" s="4">
        <f>Hotel!V9</f>
        <v>3410</v>
      </c>
      <c r="K4" s="4">
        <f>Hotel!W9</f>
        <v>2480</v>
      </c>
      <c r="L4" s="4">
        <f>Hotel!X9</f>
        <v>3870</v>
      </c>
      <c r="M4" s="4">
        <f>Hotel!Y9</f>
        <v>5700</v>
      </c>
      <c r="N4" s="4">
        <f>Hotel!Z9</f>
        <v>2640</v>
      </c>
      <c r="O4" s="4">
        <f>Hotel!AA9</f>
        <v>3300</v>
      </c>
      <c r="P4" s="4">
        <f>Hotel!AB9</f>
        <v>7340</v>
      </c>
      <c r="Q4" s="4">
        <f>Hotel!AC9</f>
        <v>10690</v>
      </c>
      <c r="R4" s="4">
        <f>Hotel!AV9*0.00378541*100</f>
        <v>674.56006200000002</v>
      </c>
      <c r="S4" s="4">
        <f>Hotel!B9</f>
        <v>68</v>
      </c>
    </row>
    <row r="5" spans="1:19" x14ac:dyDescent="0.25">
      <c r="A5" s="21" t="s">
        <v>31</v>
      </c>
      <c r="B5" s="2">
        <f t="shared" si="0"/>
        <v>4</v>
      </c>
      <c r="C5" s="10">
        <v>11</v>
      </c>
      <c r="D5" s="2">
        <v>2020</v>
      </c>
      <c r="E5" s="4" t="str">
        <f>Hotel!Q10</f>
        <v>0</v>
      </c>
      <c r="F5" s="4" t="str">
        <f>Hotel!R10</f>
        <v>0</v>
      </c>
      <c r="G5" s="4" t="str">
        <f>Hotel!S10</f>
        <v>0</v>
      </c>
      <c r="H5" s="4" t="str">
        <f>Hotel!T10</f>
        <v>0</v>
      </c>
      <c r="I5" s="4" t="str">
        <f>Hotel!U10</f>
        <v>0</v>
      </c>
      <c r="J5" s="4" t="str">
        <f>Hotel!V10</f>
        <v>0</v>
      </c>
      <c r="K5" s="4" t="str">
        <f>Hotel!W10</f>
        <v>0</v>
      </c>
      <c r="L5" s="4" t="str">
        <f>Hotel!X10</f>
        <v>0</v>
      </c>
      <c r="M5" s="4" t="str">
        <f>Hotel!Y10</f>
        <v>0</v>
      </c>
      <c r="N5" s="4" t="str">
        <f>Hotel!Z10</f>
        <v>0</v>
      </c>
      <c r="O5" s="4" t="str">
        <f>Hotel!AA10</f>
        <v>0</v>
      </c>
      <c r="P5" s="4" t="str">
        <f>Hotel!AB10</f>
        <v>0</v>
      </c>
      <c r="Q5" s="4" t="str">
        <f>Hotel!AC10</f>
        <v>0</v>
      </c>
      <c r="R5" s="4">
        <f>Hotel!AV10*0.00378541*100</f>
        <v>0</v>
      </c>
      <c r="S5" s="4">
        <f>Hotel!B10</f>
        <v>0</v>
      </c>
    </row>
    <row r="6" spans="1:19" x14ac:dyDescent="0.25">
      <c r="A6" s="21" t="s">
        <v>31</v>
      </c>
      <c r="B6" s="2">
        <f t="shared" si="0"/>
        <v>5</v>
      </c>
      <c r="C6" s="10">
        <v>11</v>
      </c>
      <c r="D6" s="2">
        <v>2020</v>
      </c>
      <c r="E6" s="4">
        <f>Hotel!Q11</f>
        <v>0</v>
      </c>
      <c r="F6" s="4">
        <f>Hotel!R11</f>
        <v>0</v>
      </c>
      <c r="G6" s="4">
        <f>Hotel!S11</f>
        <v>0</v>
      </c>
      <c r="H6" s="4">
        <f>Hotel!T11</f>
        <v>0</v>
      </c>
      <c r="I6" s="4">
        <f>Hotel!U11</f>
        <v>0</v>
      </c>
      <c r="J6" s="4">
        <f>Hotel!V11</f>
        <v>0</v>
      </c>
      <c r="K6" s="4">
        <f>Hotel!W11</f>
        <v>0</v>
      </c>
      <c r="L6" s="4">
        <f>Hotel!X11</f>
        <v>0</v>
      </c>
      <c r="M6" s="4">
        <f>Hotel!Y11</f>
        <v>0</v>
      </c>
      <c r="N6" s="4">
        <f>Hotel!Z11</f>
        <v>0</v>
      </c>
      <c r="O6" s="4">
        <f>Hotel!AA11</f>
        <v>0</v>
      </c>
      <c r="P6" s="4">
        <f>Hotel!AB11</f>
        <v>0</v>
      </c>
      <c r="Q6" s="4">
        <f>Hotel!AC11</f>
        <v>0</v>
      </c>
      <c r="R6" s="4">
        <f>Hotel!AV11*0.00378541*100</f>
        <v>0</v>
      </c>
      <c r="S6" s="4">
        <f>Hotel!B11</f>
        <v>0</v>
      </c>
    </row>
    <row r="7" spans="1:19" x14ac:dyDescent="0.25">
      <c r="A7" s="21" t="s">
        <v>31</v>
      </c>
      <c r="B7" s="2">
        <f t="shared" si="0"/>
        <v>6</v>
      </c>
      <c r="C7" s="10">
        <v>11</v>
      </c>
      <c r="D7" s="2">
        <v>2020</v>
      </c>
      <c r="E7" s="4">
        <f>Hotel!Q12</f>
        <v>0</v>
      </c>
      <c r="F7" s="4">
        <f>Hotel!R12</f>
        <v>0</v>
      </c>
      <c r="G7" s="4">
        <f>Hotel!S12</f>
        <v>0</v>
      </c>
      <c r="H7" s="4">
        <f>Hotel!T12</f>
        <v>0</v>
      </c>
      <c r="I7" s="4">
        <f>Hotel!U12</f>
        <v>0</v>
      </c>
      <c r="J7" s="4">
        <f>Hotel!V12</f>
        <v>0</v>
      </c>
      <c r="K7" s="4">
        <f>Hotel!W12</f>
        <v>0</v>
      </c>
      <c r="L7" s="4">
        <f>Hotel!X12</f>
        <v>0</v>
      </c>
      <c r="M7" s="4">
        <f>Hotel!Y12</f>
        <v>0</v>
      </c>
      <c r="N7" s="4">
        <f>Hotel!Z12</f>
        <v>0</v>
      </c>
      <c r="O7" s="4">
        <f>Hotel!AA12</f>
        <v>0</v>
      </c>
      <c r="P7" s="4">
        <f>Hotel!AB12</f>
        <v>0</v>
      </c>
      <c r="Q7" s="4">
        <f>Hotel!AC12</f>
        <v>0</v>
      </c>
      <c r="R7" s="4">
        <f>Hotel!AV12*0.00378541*100</f>
        <v>0</v>
      </c>
      <c r="S7" s="4">
        <f>Hotel!B12</f>
        <v>0</v>
      </c>
    </row>
    <row r="8" spans="1:19" x14ac:dyDescent="0.25">
      <c r="A8" s="21" t="s">
        <v>31</v>
      </c>
      <c r="B8" s="2">
        <f t="shared" si="0"/>
        <v>7</v>
      </c>
      <c r="C8" s="10">
        <v>11</v>
      </c>
      <c r="D8" s="2">
        <v>2020</v>
      </c>
      <c r="E8" s="4">
        <f>Hotel!Q13</f>
        <v>0</v>
      </c>
      <c r="F8" s="4">
        <f>Hotel!R13</f>
        <v>0</v>
      </c>
      <c r="G8" s="4">
        <f>Hotel!S13</f>
        <v>0</v>
      </c>
      <c r="H8" s="4">
        <f>Hotel!T13</f>
        <v>0</v>
      </c>
      <c r="I8" s="4">
        <f>Hotel!U13</f>
        <v>0</v>
      </c>
      <c r="J8" s="4">
        <f>Hotel!V13</f>
        <v>0</v>
      </c>
      <c r="K8" s="4">
        <f>Hotel!W13</f>
        <v>0</v>
      </c>
      <c r="L8" s="4">
        <f>Hotel!X13</f>
        <v>0</v>
      </c>
      <c r="M8" s="4">
        <f>Hotel!Y13</f>
        <v>0</v>
      </c>
      <c r="N8" s="4">
        <f>Hotel!Z13</f>
        <v>0</v>
      </c>
      <c r="O8" s="4">
        <f>Hotel!AA13</f>
        <v>0</v>
      </c>
      <c r="P8" s="4">
        <f>Hotel!AB13</f>
        <v>0</v>
      </c>
      <c r="Q8" s="4">
        <f>Hotel!AC13</f>
        <v>0</v>
      </c>
      <c r="R8" s="4">
        <f>Hotel!AV13*0.00378541*100</f>
        <v>0</v>
      </c>
      <c r="S8" s="4">
        <f>Hotel!B13</f>
        <v>0</v>
      </c>
    </row>
    <row r="9" spans="1:19" x14ac:dyDescent="0.25">
      <c r="A9" s="21" t="s">
        <v>31</v>
      </c>
      <c r="B9" s="2">
        <f t="shared" si="0"/>
        <v>8</v>
      </c>
      <c r="C9" s="10">
        <v>11</v>
      </c>
      <c r="D9" s="2">
        <v>2020</v>
      </c>
      <c r="E9" s="4">
        <f>Hotel!Q14</f>
        <v>0</v>
      </c>
      <c r="F9" s="4">
        <f>Hotel!R14</f>
        <v>0</v>
      </c>
      <c r="G9" s="4">
        <f>Hotel!S14</f>
        <v>0</v>
      </c>
      <c r="H9" s="4">
        <f>Hotel!T14</f>
        <v>0</v>
      </c>
      <c r="I9" s="4">
        <f>Hotel!U14</f>
        <v>0</v>
      </c>
      <c r="J9" s="4">
        <f>Hotel!V14</f>
        <v>0</v>
      </c>
      <c r="K9" s="4">
        <f>Hotel!W14</f>
        <v>0</v>
      </c>
      <c r="L9" s="4">
        <f>Hotel!X14</f>
        <v>0</v>
      </c>
      <c r="M9" s="4">
        <f>Hotel!Y14</f>
        <v>0</v>
      </c>
      <c r="N9" s="4">
        <f>Hotel!Z14</f>
        <v>0</v>
      </c>
      <c r="O9" s="4">
        <f>Hotel!AA14</f>
        <v>0</v>
      </c>
      <c r="P9" s="4">
        <f>Hotel!AB14</f>
        <v>0</v>
      </c>
      <c r="Q9" s="4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10">
        <v>11</v>
      </c>
      <c r="D10" s="2">
        <v>2020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10">
        <v>11</v>
      </c>
      <c r="D11" s="2">
        <v>2020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10">
        <v>11</v>
      </c>
      <c r="D12" s="2">
        <v>2020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10">
        <v>11</v>
      </c>
      <c r="D13" s="2">
        <v>2020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10">
        <v>11</v>
      </c>
      <c r="D14" s="2">
        <v>2020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10">
        <v>11</v>
      </c>
      <c r="D15" s="2">
        <v>2020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10">
        <v>11</v>
      </c>
      <c r="D16" s="2">
        <v>2020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11</v>
      </c>
      <c r="D17" s="2">
        <v>2020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11</v>
      </c>
      <c r="D18" s="2">
        <v>2020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11</v>
      </c>
      <c r="D19" s="2">
        <v>2020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11</v>
      </c>
      <c r="D20" s="2">
        <v>2020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11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11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11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11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11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11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11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11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11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11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11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11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S1" zoomScale="93" zoomScaleNormal="93" workbookViewId="0">
      <selection activeCell="AR15" sqref="AR15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0.7109375" style="2" bestFit="1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44135</v>
      </c>
      <c r="B2" s="40">
        <v>71</v>
      </c>
      <c r="C2" s="24">
        <v>6402640</v>
      </c>
      <c r="D2" s="24">
        <v>14736910</v>
      </c>
      <c r="E2" s="24">
        <v>2165920</v>
      </c>
      <c r="F2" s="24">
        <v>3096240</v>
      </c>
      <c r="G2" s="24">
        <v>9393480</v>
      </c>
      <c r="H2" s="24">
        <v>4806042</v>
      </c>
      <c r="I2" s="24">
        <v>4563600</v>
      </c>
      <c r="J2" s="24">
        <v>5152750</v>
      </c>
      <c r="K2" s="24">
        <v>8076980</v>
      </c>
      <c r="L2" s="24">
        <v>3284650</v>
      </c>
      <c r="M2" s="24">
        <v>7176020</v>
      </c>
      <c r="N2" s="24">
        <v>10534500</v>
      </c>
      <c r="O2" s="24">
        <v>14262550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275340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275340</v>
      </c>
    </row>
    <row r="7" spans="1:49" x14ac:dyDescent="0.25">
      <c r="A7" s="23">
        <v>44136</v>
      </c>
      <c r="B7" s="40">
        <v>69</v>
      </c>
      <c r="C7" s="24">
        <v>6403120</v>
      </c>
      <c r="D7" s="24">
        <v>14751430</v>
      </c>
      <c r="E7" s="24">
        <v>2165990</v>
      </c>
      <c r="F7" s="24">
        <v>3097680</v>
      </c>
      <c r="G7" s="24">
        <v>9397860</v>
      </c>
      <c r="H7" s="24">
        <v>4809080</v>
      </c>
      <c r="I7" s="24">
        <v>4565890</v>
      </c>
      <c r="J7" s="24">
        <v>5155970</v>
      </c>
      <c r="K7" s="24">
        <v>8082050</v>
      </c>
      <c r="L7" s="24">
        <v>3287000</v>
      </c>
      <c r="M7" s="24">
        <v>7179170</v>
      </c>
      <c r="N7" s="24">
        <v>10540990</v>
      </c>
      <c r="O7" s="24">
        <v>14277188</v>
      </c>
      <c r="Q7" s="37">
        <f>IF((C7-C2&lt;0), "0",C7-C2)</f>
        <v>480</v>
      </c>
      <c r="R7" s="37">
        <f t="shared" ref="R7:AC7" si="0">IF((D7-D2&lt;0), "0",D7-D2)</f>
        <v>14520</v>
      </c>
      <c r="S7" s="37">
        <f>IF((E7-E2&lt;0), "0",E7-E2)</f>
        <v>70</v>
      </c>
      <c r="T7" s="37">
        <f t="shared" si="0"/>
        <v>1440</v>
      </c>
      <c r="U7" s="37">
        <f t="shared" si="0"/>
        <v>4380</v>
      </c>
      <c r="V7" s="37">
        <f t="shared" si="0"/>
        <v>3038</v>
      </c>
      <c r="W7" s="37">
        <f t="shared" si="0"/>
        <v>2290</v>
      </c>
      <c r="X7" s="37">
        <f t="shared" si="0"/>
        <v>3220</v>
      </c>
      <c r="Y7" s="37">
        <f t="shared" si="0"/>
        <v>5070</v>
      </c>
      <c r="Z7" s="37">
        <f t="shared" si="0"/>
        <v>2350</v>
      </c>
      <c r="AA7" s="37">
        <f t="shared" si="0"/>
        <v>3150</v>
      </c>
      <c r="AB7" s="37">
        <f t="shared" si="0"/>
        <v>6490</v>
      </c>
      <c r="AC7" s="37">
        <f t="shared" si="0"/>
        <v>14638</v>
      </c>
      <c r="AD7" s="34">
        <f>SUM(Q7:AC7)</f>
        <v>61136</v>
      </c>
      <c r="AF7" s="20">
        <f t="shared" ref="AF7:AF36" si="1">Q7*$D$39</f>
        <v>2.4</v>
      </c>
      <c r="AG7" s="20">
        <f t="shared" ref="AG7:AG36" si="2">R7*$D$39</f>
        <v>72.600000000000009</v>
      </c>
      <c r="AH7" s="20">
        <f t="shared" ref="AH7:AH36" si="3">S7*$D$39</f>
        <v>0.35000000000000003</v>
      </c>
      <c r="AI7" s="20">
        <f t="shared" ref="AI7:AI36" si="4">T7*$D$39</f>
        <v>7.2</v>
      </c>
      <c r="AJ7" s="20">
        <f t="shared" ref="AJ7:AJ36" si="5">U7*$D$39</f>
        <v>21.900000000000002</v>
      </c>
      <c r="AK7" s="20">
        <f t="shared" ref="AK7:AK36" si="6">V7*$D$39</f>
        <v>15.19</v>
      </c>
      <c r="AL7" s="20">
        <f t="shared" ref="AL7:AL36" si="7">W7*$D$39</f>
        <v>11.450000000000001</v>
      </c>
      <c r="AM7" s="20">
        <f t="shared" ref="AM7:AM36" si="8">X7*$D$39</f>
        <v>16.100000000000001</v>
      </c>
      <c r="AN7" s="20">
        <f t="shared" ref="AN7:AN36" si="9">Y7*$D$39</f>
        <v>25.35</v>
      </c>
      <c r="AO7" s="20">
        <f t="shared" ref="AO7:AO36" si="10">Z7*$D$39</f>
        <v>11.75</v>
      </c>
      <c r="AP7" s="20">
        <f t="shared" ref="AP7:AP36" si="11">AA7*$D$39</f>
        <v>15.75</v>
      </c>
      <c r="AQ7" s="20">
        <f t="shared" ref="AQ7:AQ36" si="12">AB7*$D$39</f>
        <v>32.450000000000003</v>
      </c>
      <c r="AR7" s="20">
        <f t="shared" ref="AR7:AR36" si="13">AC7*$D$39</f>
        <v>73.19</v>
      </c>
      <c r="AS7" s="35">
        <f>SUM(AF7:AR7)</f>
        <v>305.68</v>
      </c>
      <c r="AU7" s="47">
        <v>277761</v>
      </c>
      <c r="AV7" s="37">
        <f>IF((AU7-AU6&lt;0),"0",AU7-AU6)</f>
        <v>2421</v>
      </c>
      <c r="AW7" s="50">
        <v>0</v>
      </c>
    </row>
    <row r="8" spans="1:49" x14ac:dyDescent="0.25">
      <c r="A8" s="23">
        <v>44137</v>
      </c>
      <c r="B8" s="40">
        <v>75</v>
      </c>
      <c r="C8" s="24">
        <v>6403630</v>
      </c>
      <c r="D8" s="24">
        <v>14766940</v>
      </c>
      <c r="E8" s="24">
        <v>2166060</v>
      </c>
      <c r="F8" s="24">
        <v>3099240</v>
      </c>
      <c r="G8" s="24">
        <v>9402580</v>
      </c>
      <c r="H8" s="24">
        <v>4812410</v>
      </c>
      <c r="I8" s="24">
        <v>4568310</v>
      </c>
      <c r="J8" s="24">
        <v>5159650</v>
      </c>
      <c r="K8" s="24">
        <v>8087580</v>
      </c>
      <c r="L8" s="24">
        <v>3289470</v>
      </c>
      <c r="M8" s="24">
        <v>7182460</v>
      </c>
      <c r="N8" s="24">
        <v>10548070</v>
      </c>
      <c r="O8" s="24">
        <v>14282590</v>
      </c>
      <c r="Q8" s="37">
        <f>IF((C8-C7&lt;0), "0",C8-C7)</f>
        <v>510</v>
      </c>
      <c r="R8" s="37">
        <f t="shared" ref="R8:AC8" si="14">IF((D8-D7&lt;0), "0",D8-D7)</f>
        <v>15510</v>
      </c>
      <c r="S8" s="37">
        <f t="shared" ref="S8:S35" si="15">IF((E8-E7&lt;0), "0",E8-E7)</f>
        <v>70</v>
      </c>
      <c r="T8" s="37">
        <f t="shared" si="14"/>
        <v>1560</v>
      </c>
      <c r="U8" s="37">
        <f t="shared" si="14"/>
        <v>4720</v>
      </c>
      <c r="V8" s="37">
        <f t="shared" si="14"/>
        <v>3330</v>
      </c>
      <c r="W8" s="37">
        <f t="shared" si="14"/>
        <v>2420</v>
      </c>
      <c r="X8" s="37">
        <f t="shared" si="14"/>
        <v>3680</v>
      </c>
      <c r="Y8" s="37">
        <f t="shared" si="14"/>
        <v>5530</v>
      </c>
      <c r="Z8" s="37">
        <f t="shared" si="14"/>
        <v>2470</v>
      </c>
      <c r="AA8" s="37">
        <f t="shared" si="14"/>
        <v>3290</v>
      </c>
      <c r="AB8" s="37">
        <f t="shared" si="14"/>
        <v>7080</v>
      </c>
      <c r="AC8" s="37">
        <f t="shared" si="14"/>
        <v>5402</v>
      </c>
      <c r="AD8" s="35">
        <f>SUM(Q8:AC8)</f>
        <v>55572</v>
      </c>
      <c r="AF8" s="20">
        <f t="shared" si="1"/>
        <v>2.5500000000000003</v>
      </c>
      <c r="AG8" s="20">
        <f t="shared" si="2"/>
        <v>77.55</v>
      </c>
      <c r="AH8" s="20">
        <f t="shared" si="3"/>
        <v>0.35000000000000003</v>
      </c>
      <c r="AI8" s="20">
        <f t="shared" si="4"/>
        <v>7.8</v>
      </c>
      <c r="AJ8" s="20">
        <f t="shared" si="5"/>
        <v>23.6</v>
      </c>
      <c r="AK8" s="20">
        <f t="shared" si="6"/>
        <v>16.649999999999999</v>
      </c>
      <c r="AL8" s="20">
        <f t="shared" si="7"/>
        <v>12.1</v>
      </c>
      <c r="AM8" s="20">
        <f t="shared" si="8"/>
        <v>18.400000000000002</v>
      </c>
      <c r="AN8" s="20">
        <f t="shared" si="9"/>
        <v>27.650000000000002</v>
      </c>
      <c r="AO8" s="20">
        <f t="shared" si="10"/>
        <v>12.35</v>
      </c>
      <c r="AP8" s="20">
        <f t="shared" si="11"/>
        <v>16.45</v>
      </c>
      <c r="AQ8" s="20">
        <f t="shared" si="12"/>
        <v>35.4</v>
      </c>
      <c r="AR8" s="20">
        <f t="shared" si="13"/>
        <v>27.01</v>
      </c>
      <c r="AS8" s="35">
        <f>SUM(AF8:AR8)</f>
        <v>277.86</v>
      </c>
      <c r="AU8" s="47">
        <v>279230</v>
      </c>
      <c r="AV8" s="37">
        <f>IF((AU8-AU7&lt;0),"0",AU8-AU7)</f>
        <v>1469</v>
      </c>
      <c r="AW8" s="35">
        <v>0</v>
      </c>
    </row>
    <row r="9" spans="1:49" x14ac:dyDescent="0.25">
      <c r="A9" s="23">
        <v>44138</v>
      </c>
      <c r="B9" s="40">
        <v>68</v>
      </c>
      <c r="C9" s="24">
        <v>6404150</v>
      </c>
      <c r="D9" s="24">
        <v>14782090</v>
      </c>
      <c r="E9" s="24">
        <v>2166110</v>
      </c>
      <c r="F9" s="24">
        <v>3100810</v>
      </c>
      <c r="G9" s="24">
        <v>9406930</v>
      </c>
      <c r="H9" s="24">
        <v>4815820</v>
      </c>
      <c r="I9" s="24">
        <v>4570790</v>
      </c>
      <c r="J9" s="24">
        <v>5163520</v>
      </c>
      <c r="K9" s="24">
        <v>8093280</v>
      </c>
      <c r="L9" s="24">
        <v>3292110</v>
      </c>
      <c r="M9" s="24">
        <v>7185760</v>
      </c>
      <c r="N9" s="24">
        <v>10555410</v>
      </c>
      <c r="O9" s="24">
        <v>14293280</v>
      </c>
      <c r="Q9" s="37">
        <f t="shared" ref="Q9:Q30" si="16">IF((C9-C8&lt;0), "0",C9-C8)</f>
        <v>520</v>
      </c>
      <c r="R9" s="37">
        <f t="shared" ref="R9:R35" si="17">IF((D9-D8&lt;0), "0",D9-D8)</f>
        <v>15150</v>
      </c>
      <c r="S9" s="37">
        <f t="shared" si="15"/>
        <v>50</v>
      </c>
      <c r="T9" s="37">
        <f t="shared" ref="T9:T35" si="18">IF((F9-F8&lt;0), "0",F9-F8)</f>
        <v>1570</v>
      </c>
      <c r="U9" s="37">
        <f t="shared" ref="U9:U35" si="19">IF((G9-G8&lt;0), "0",G9-G8)</f>
        <v>4350</v>
      </c>
      <c r="V9" s="37">
        <f t="shared" ref="V9:V35" si="20">IF((H9-H8&lt;0), "0",H9-H8)</f>
        <v>3410</v>
      </c>
      <c r="W9" s="37">
        <f t="shared" ref="W9:W35" si="21">IF((I9-I8&lt;0), "0",I9-I8)</f>
        <v>2480</v>
      </c>
      <c r="X9" s="37">
        <f t="shared" ref="X9:X35" si="22">IF((J9-J8&lt;0), "0",J9-J8)</f>
        <v>3870</v>
      </c>
      <c r="Y9" s="37">
        <f t="shared" ref="Y9:Y35" si="23">IF((K9-K8&lt;0), "0",K9-K8)</f>
        <v>5700</v>
      </c>
      <c r="Z9" s="37">
        <f t="shared" ref="Z9:Z35" si="24">IF((L9-L8&lt;0), "0",L9-L8)</f>
        <v>2640</v>
      </c>
      <c r="AA9" s="37">
        <f t="shared" ref="AA9:AA35" si="25">IF((M9-M8&lt;0), "0",M9-M8)</f>
        <v>3300</v>
      </c>
      <c r="AB9" s="37">
        <f t="shared" ref="AB9:AB37" si="26">IF((N9-N8&lt;0), "0",N9-N8)</f>
        <v>7340</v>
      </c>
      <c r="AC9" s="37">
        <f t="shared" ref="AC9:AC37" si="27">IF((O9-O8&lt;0), "0",O9-O8)</f>
        <v>10690</v>
      </c>
      <c r="AD9" s="35">
        <f t="shared" ref="AD9:AD37" si="28">SUM(Q9:AC9)</f>
        <v>61070</v>
      </c>
      <c r="AF9" s="20">
        <f t="shared" si="1"/>
        <v>2.6</v>
      </c>
      <c r="AG9" s="20">
        <f t="shared" si="2"/>
        <v>75.75</v>
      </c>
      <c r="AH9" s="20">
        <f t="shared" si="3"/>
        <v>0.25</v>
      </c>
      <c r="AI9" s="20">
        <f t="shared" si="4"/>
        <v>7.8500000000000005</v>
      </c>
      <c r="AJ9" s="20">
        <f t="shared" si="5"/>
        <v>21.75</v>
      </c>
      <c r="AK9" s="20">
        <f t="shared" si="6"/>
        <v>17.05</v>
      </c>
      <c r="AL9" s="20">
        <f t="shared" si="7"/>
        <v>12.4</v>
      </c>
      <c r="AM9" s="20">
        <f t="shared" si="8"/>
        <v>19.350000000000001</v>
      </c>
      <c r="AN9" s="20">
        <f t="shared" si="9"/>
        <v>28.5</v>
      </c>
      <c r="AO9" s="20">
        <f t="shared" si="10"/>
        <v>13.200000000000001</v>
      </c>
      <c r="AP9" s="20">
        <f t="shared" si="11"/>
        <v>16.5</v>
      </c>
      <c r="AQ9" s="20">
        <f t="shared" si="12"/>
        <v>36.700000000000003</v>
      </c>
      <c r="AR9" s="20">
        <f t="shared" si="13"/>
        <v>53.45</v>
      </c>
      <c r="AS9" s="35">
        <f t="shared" ref="AS9:AS33" si="29">SUM(AF9:AR9)</f>
        <v>305.34999999999997</v>
      </c>
      <c r="AU9" s="47">
        <v>281012</v>
      </c>
      <c r="AV9" s="37">
        <f>IF((AU9-AU8&lt;0),"0",AU9-AU8)</f>
        <v>1782</v>
      </c>
      <c r="AW9" s="35">
        <f t="shared" ref="AW9:AW35" si="30">AV9*$D$40</f>
        <v>3.5640000000000001</v>
      </c>
    </row>
    <row r="10" spans="1:49" x14ac:dyDescent="0.25">
      <c r="A10" s="23">
        <v>44139</v>
      </c>
      <c r="B10" s="40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Q10" s="37" t="str">
        <f t="shared" si="16"/>
        <v>0</v>
      </c>
      <c r="R10" s="37" t="str">
        <f t="shared" si="17"/>
        <v>0</v>
      </c>
      <c r="S10" s="37" t="str">
        <f t="shared" si="15"/>
        <v>0</v>
      </c>
      <c r="T10" s="37" t="str">
        <f t="shared" si="18"/>
        <v>0</v>
      </c>
      <c r="U10" s="37" t="str">
        <f t="shared" si="19"/>
        <v>0</v>
      </c>
      <c r="V10" s="37" t="str">
        <f t="shared" si="20"/>
        <v>0</v>
      </c>
      <c r="W10" s="37" t="str">
        <f t="shared" si="21"/>
        <v>0</v>
      </c>
      <c r="X10" s="37" t="str">
        <f t="shared" si="22"/>
        <v>0</v>
      </c>
      <c r="Y10" s="37" t="str">
        <f t="shared" si="23"/>
        <v>0</v>
      </c>
      <c r="Z10" s="37" t="str">
        <f t="shared" si="24"/>
        <v>0</v>
      </c>
      <c r="AA10" s="37" t="str">
        <f t="shared" si="25"/>
        <v>0</v>
      </c>
      <c r="AB10" s="37" t="str">
        <f t="shared" si="26"/>
        <v>0</v>
      </c>
      <c r="AC10" s="37" t="str">
        <f t="shared" si="27"/>
        <v>0</v>
      </c>
      <c r="AD10" s="35">
        <f t="shared" si="28"/>
        <v>0</v>
      </c>
      <c r="AF10" s="20">
        <f t="shared" si="1"/>
        <v>0</v>
      </c>
      <c r="AG10" s="20">
        <f t="shared" si="2"/>
        <v>0</v>
      </c>
      <c r="AH10" s="20">
        <f t="shared" si="3"/>
        <v>0</v>
      </c>
      <c r="AI10" s="20">
        <f t="shared" si="4"/>
        <v>0</v>
      </c>
      <c r="AJ10" s="20">
        <f t="shared" si="5"/>
        <v>0</v>
      </c>
      <c r="AK10" s="20">
        <f t="shared" si="6"/>
        <v>0</v>
      </c>
      <c r="AL10" s="20">
        <f t="shared" si="7"/>
        <v>0</v>
      </c>
      <c r="AM10" s="20">
        <f t="shared" si="8"/>
        <v>0</v>
      </c>
      <c r="AN10" s="20">
        <f t="shared" si="9"/>
        <v>0</v>
      </c>
      <c r="AO10" s="20">
        <f t="shared" si="10"/>
        <v>0</v>
      </c>
      <c r="AP10" s="20">
        <f t="shared" si="11"/>
        <v>0</v>
      </c>
      <c r="AQ10" s="20">
        <f t="shared" si="12"/>
        <v>0</v>
      </c>
      <c r="AR10" s="20">
        <f t="shared" si="13"/>
        <v>0</v>
      </c>
      <c r="AS10" s="35">
        <f t="shared" si="29"/>
        <v>0</v>
      </c>
      <c r="AU10" s="47"/>
      <c r="AV10" s="37" t="str">
        <f t="shared" ref="AV10:AV26" si="31">IF((AU10-AU9&lt;0),"0",AU10-AU9)</f>
        <v>0</v>
      </c>
      <c r="AW10" s="35">
        <f t="shared" si="30"/>
        <v>0</v>
      </c>
    </row>
    <row r="11" spans="1:49" x14ac:dyDescent="0.25">
      <c r="A11" s="23">
        <v>44140</v>
      </c>
      <c r="B11" s="40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Q11" s="37">
        <f t="shared" si="16"/>
        <v>0</v>
      </c>
      <c r="R11" s="37">
        <f t="shared" si="17"/>
        <v>0</v>
      </c>
      <c r="S11" s="37">
        <f t="shared" si="15"/>
        <v>0</v>
      </c>
      <c r="T11" s="37">
        <f t="shared" si="18"/>
        <v>0</v>
      </c>
      <c r="U11" s="37">
        <f t="shared" si="19"/>
        <v>0</v>
      </c>
      <c r="V11" s="37">
        <f t="shared" si="20"/>
        <v>0</v>
      </c>
      <c r="W11" s="37">
        <f t="shared" si="21"/>
        <v>0</v>
      </c>
      <c r="X11" s="37">
        <f t="shared" si="22"/>
        <v>0</v>
      </c>
      <c r="Y11" s="37">
        <f t="shared" si="23"/>
        <v>0</v>
      </c>
      <c r="Z11" s="37">
        <f t="shared" si="24"/>
        <v>0</v>
      </c>
      <c r="AA11" s="37">
        <f t="shared" si="25"/>
        <v>0</v>
      </c>
      <c r="AB11" s="37">
        <f t="shared" si="26"/>
        <v>0</v>
      </c>
      <c r="AC11" s="37">
        <f t="shared" si="27"/>
        <v>0</v>
      </c>
      <c r="AD11" s="35">
        <f t="shared" si="28"/>
        <v>0</v>
      </c>
      <c r="AF11" s="20">
        <f t="shared" si="1"/>
        <v>0</v>
      </c>
      <c r="AG11" s="20">
        <f t="shared" si="2"/>
        <v>0</v>
      </c>
      <c r="AH11" s="20">
        <f t="shared" si="3"/>
        <v>0</v>
      </c>
      <c r="AI11" s="20">
        <f t="shared" si="4"/>
        <v>0</v>
      </c>
      <c r="AJ11" s="20">
        <f t="shared" si="5"/>
        <v>0</v>
      </c>
      <c r="AK11" s="20">
        <f t="shared" si="6"/>
        <v>0</v>
      </c>
      <c r="AL11" s="20">
        <f t="shared" si="7"/>
        <v>0</v>
      </c>
      <c r="AM11" s="20">
        <f t="shared" si="8"/>
        <v>0</v>
      </c>
      <c r="AN11" s="20">
        <f t="shared" si="9"/>
        <v>0</v>
      </c>
      <c r="AO11" s="20">
        <f t="shared" si="10"/>
        <v>0</v>
      </c>
      <c r="AP11" s="20">
        <f t="shared" si="11"/>
        <v>0</v>
      </c>
      <c r="AQ11" s="20">
        <f t="shared" si="12"/>
        <v>0</v>
      </c>
      <c r="AR11" s="20">
        <f t="shared" si="13"/>
        <v>0</v>
      </c>
      <c r="AS11" s="35">
        <f t="shared" si="29"/>
        <v>0</v>
      </c>
      <c r="AU11" s="47"/>
      <c r="AV11" s="37">
        <f t="shared" si="31"/>
        <v>0</v>
      </c>
      <c r="AW11" s="35">
        <f t="shared" si="30"/>
        <v>0</v>
      </c>
    </row>
    <row r="12" spans="1:49" x14ac:dyDescent="0.25">
      <c r="A12" s="23">
        <v>44141</v>
      </c>
      <c r="B12" s="40"/>
      <c r="C12" s="49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Q12" s="37">
        <f t="shared" si="16"/>
        <v>0</v>
      </c>
      <c r="R12" s="37">
        <f t="shared" si="17"/>
        <v>0</v>
      </c>
      <c r="S12" s="37">
        <f t="shared" si="15"/>
        <v>0</v>
      </c>
      <c r="T12" s="37">
        <f t="shared" ref="T12:W14" si="32">IF((F12-F11&lt;0), "0",F12-F11)</f>
        <v>0</v>
      </c>
      <c r="U12" s="37">
        <f t="shared" si="32"/>
        <v>0</v>
      </c>
      <c r="V12" s="37">
        <f t="shared" si="32"/>
        <v>0</v>
      </c>
      <c r="W12" s="37">
        <f t="shared" si="32"/>
        <v>0</v>
      </c>
      <c r="X12" s="37">
        <f t="shared" si="22"/>
        <v>0</v>
      </c>
      <c r="Y12" s="37">
        <f t="shared" si="23"/>
        <v>0</v>
      </c>
      <c r="Z12" s="37">
        <f>IF((L12-L11&lt;0), "0",L12-L11)</f>
        <v>0</v>
      </c>
      <c r="AA12" s="37">
        <f t="shared" si="25"/>
        <v>0</v>
      </c>
      <c r="AB12" s="37">
        <f t="shared" si="26"/>
        <v>0</v>
      </c>
      <c r="AC12" s="37">
        <f t="shared" si="27"/>
        <v>0</v>
      </c>
      <c r="AD12" s="35">
        <f t="shared" si="28"/>
        <v>0</v>
      </c>
      <c r="AF12" s="20">
        <f t="shared" si="1"/>
        <v>0</v>
      </c>
      <c r="AG12" s="20">
        <f t="shared" si="2"/>
        <v>0</v>
      </c>
      <c r="AH12" s="20">
        <f t="shared" si="3"/>
        <v>0</v>
      </c>
      <c r="AI12" s="20">
        <f t="shared" si="4"/>
        <v>0</v>
      </c>
      <c r="AJ12" s="20">
        <f t="shared" si="5"/>
        <v>0</v>
      </c>
      <c r="AK12" s="20">
        <f t="shared" si="6"/>
        <v>0</v>
      </c>
      <c r="AL12" s="20">
        <f t="shared" si="7"/>
        <v>0</v>
      </c>
      <c r="AM12" s="20">
        <f t="shared" si="8"/>
        <v>0</v>
      </c>
      <c r="AN12" s="20">
        <f t="shared" si="9"/>
        <v>0</v>
      </c>
      <c r="AO12" s="20">
        <f t="shared" si="10"/>
        <v>0</v>
      </c>
      <c r="AP12" s="20">
        <f t="shared" si="11"/>
        <v>0</v>
      </c>
      <c r="AQ12" s="20">
        <f t="shared" si="12"/>
        <v>0</v>
      </c>
      <c r="AR12" s="20">
        <f t="shared" si="13"/>
        <v>0</v>
      </c>
      <c r="AS12" s="35">
        <f t="shared" si="29"/>
        <v>0</v>
      </c>
      <c r="AU12" s="47"/>
      <c r="AV12" s="37">
        <f t="shared" si="31"/>
        <v>0</v>
      </c>
      <c r="AW12" s="35">
        <f t="shared" si="30"/>
        <v>0</v>
      </c>
    </row>
    <row r="13" spans="1:49" x14ac:dyDescent="0.25">
      <c r="A13" s="23">
        <v>44142</v>
      </c>
      <c r="B13" s="40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Q13" s="37">
        <f t="shared" si="16"/>
        <v>0</v>
      </c>
      <c r="R13" s="37">
        <f t="shared" si="17"/>
        <v>0</v>
      </c>
      <c r="S13" s="37">
        <f t="shared" si="15"/>
        <v>0</v>
      </c>
      <c r="T13" s="37">
        <f t="shared" si="32"/>
        <v>0</v>
      </c>
      <c r="U13" s="37">
        <f t="shared" si="32"/>
        <v>0</v>
      </c>
      <c r="V13" s="37">
        <f t="shared" si="32"/>
        <v>0</v>
      </c>
      <c r="W13" s="37">
        <f t="shared" si="32"/>
        <v>0</v>
      </c>
      <c r="X13" s="37">
        <f t="shared" si="22"/>
        <v>0</v>
      </c>
      <c r="Y13" s="37">
        <f t="shared" si="23"/>
        <v>0</v>
      </c>
      <c r="Z13" s="37">
        <f>IF((L13-L12&lt;0), "0",L13-L12)</f>
        <v>0</v>
      </c>
      <c r="AA13" s="37">
        <f t="shared" si="25"/>
        <v>0</v>
      </c>
      <c r="AB13" s="37">
        <f t="shared" si="26"/>
        <v>0</v>
      </c>
      <c r="AC13" s="37">
        <f t="shared" si="27"/>
        <v>0</v>
      </c>
      <c r="AD13" s="35">
        <f t="shared" si="28"/>
        <v>0</v>
      </c>
      <c r="AF13" s="20">
        <f t="shared" si="1"/>
        <v>0</v>
      </c>
      <c r="AG13" s="20">
        <f t="shared" si="2"/>
        <v>0</v>
      </c>
      <c r="AH13" s="20">
        <f t="shared" si="3"/>
        <v>0</v>
      </c>
      <c r="AI13" s="20">
        <f t="shared" si="4"/>
        <v>0</v>
      </c>
      <c r="AJ13" s="20">
        <f t="shared" si="5"/>
        <v>0</v>
      </c>
      <c r="AK13" s="20">
        <f t="shared" si="6"/>
        <v>0</v>
      </c>
      <c r="AL13" s="20">
        <f t="shared" si="7"/>
        <v>0</v>
      </c>
      <c r="AM13" s="20">
        <f t="shared" si="8"/>
        <v>0</v>
      </c>
      <c r="AN13" s="20">
        <f t="shared" si="9"/>
        <v>0</v>
      </c>
      <c r="AO13" s="20">
        <f t="shared" si="10"/>
        <v>0</v>
      </c>
      <c r="AP13" s="20">
        <f t="shared" si="11"/>
        <v>0</v>
      </c>
      <c r="AQ13" s="20">
        <f t="shared" si="12"/>
        <v>0</v>
      </c>
      <c r="AR13" s="20">
        <f t="shared" si="13"/>
        <v>0</v>
      </c>
      <c r="AS13" s="35">
        <f t="shared" si="29"/>
        <v>0</v>
      </c>
      <c r="AU13" s="47"/>
      <c r="AV13" s="37">
        <f t="shared" si="31"/>
        <v>0</v>
      </c>
      <c r="AW13" s="35">
        <f t="shared" si="30"/>
        <v>0</v>
      </c>
    </row>
    <row r="14" spans="1:49" x14ac:dyDescent="0.25">
      <c r="A14" s="23">
        <v>44143</v>
      </c>
      <c r="B14" s="40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54"/>
      <c r="Q14" s="37">
        <f t="shared" si="16"/>
        <v>0</v>
      </c>
      <c r="R14" s="37">
        <f t="shared" si="17"/>
        <v>0</v>
      </c>
      <c r="S14" s="37">
        <f t="shared" si="15"/>
        <v>0</v>
      </c>
      <c r="T14" s="37">
        <f t="shared" si="32"/>
        <v>0</v>
      </c>
      <c r="U14" s="37">
        <f t="shared" si="32"/>
        <v>0</v>
      </c>
      <c r="V14" s="37">
        <f t="shared" si="32"/>
        <v>0</v>
      </c>
      <c r="W14" s="37">
        <f t="shared" si="32"/>
        <v>0</v>
      </c>
      <c r="X14" s="37">
        <f t="shared" si="22"/>
        <v>0</v>
      </c>
      <c r="Y14" s="37">
        <f t="shared" si="23"/>
        <v>0</v>
      </c>
      <c r="Z14" s="37">
        <f>IF((L14-L13&lt;0), "0",L14-L13)</f>
        <v>0</v>
      </c>
      <c r="AA14" s="37">
        <f t="shared" si="25"/>
        <v>0</v>
      </c>
      <c r="AB14" s="37">
        <f t="shared" si="26"/>
        <v>0</v>
      </c>
      <c r="AC14" s="37">
        <f t="shared" si="27"/>
        <v>0</v>
      </c>
      <c r="AD14" s="35">
        <f t="shared" si="28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29"/>
        <v>0</v>
      </c>
      <c r="AU14" s="47"/>
      <c r="AV14" s="37">
        <f t="shared" si="31"/>
        <v>0</v>
      </c>
      <c r="AW14" s="35">
        <f t="shared" si="30"/>
        <v>0</v>
      </c>
    </row>
    <row r="15" spans="1:49" x14ac:dyDescent="0.25">
      <c r="A15" s="23">
        <v>44144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>
        <f t="shared" si="16"/>
        <v>0</v>
      </c>
      <c r="R15" s="37">
        <f t="shared" si="17"/>
        <v>0</v>
      </c>
      <c r="S15" s="37">
        <f t="shared" si="15"/>
        <v>0</v>
      </c>
      <c r="T15" s="37">
        <f t="shared" si="18"/>
        <v>0</v>
      </c>
      <c r="U15" s="37">
        <f t="shared" si="19"/>
        <v>0</v>
      </c>
      <c r="V15" s="37">
        <f t="shared" si="20"/>
        <v>0</v>
      </c>
      <c r="W15" s="37">
        <f t="shared" si="21"/>
        <v>0</v>
      </c>
      <c r="X15" s="37">
        <f t="shared" si="22"/>
        <v>0</v>
      </c>
      <c r="Y15" s="37">
        <f t="shared" si="23"/>
        <v>0</v>
      </c>
      <c r="Z15" s="37">
        <f t="shared" si="24"/>
        <v>0</v>
      </c>
      <c r="AA15" s="37">
        <f t="shared" si="25"/>
        <v>0</v>
      </c>
      <c r="AB15" s="37">
        <f t="shared" si="26"/>
        <v>0</v>
      </c>
      <c r="AC15" s="37">
        <f t="shared" si="27"/>
        <v>0</v>
      </c>
      <c r="AD15" s="35">
        <f t="shared" si="28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29"/>
        <v>0</v>
      </c>
      <c r="AU15" s="47"/>
      <c r="AV15" s="37">
        <f t="shared" si="31"/>
        <v>0</v>
      </c>
      <c r="AW15" s="35">
        <f t="shared" si="30"/>
        <v>0</v>
      </c>
    </row>
    <row r="16" spans="1:49" x14ac:dyDescent="0.25">
      <c r="A16" s="23">
        <v>44145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6"/>
        <v>0</v>
      </c>
      <c r="R16" s="37">
        <f t="shared" si="17"/>
        <v>0</v>
      </c>
      <c r="S16" s="37">
        <f t="shared" si="15"/>
        <v>0</v>
      </c>
      <c r="T16" s="37">
        <f t="shared" si="18"/>
        <v>0</v>
      </c>
      <c r="U16" s="37">
        <f t="shared" si="19"/>
        <v>0</v>
      </c>
      <c r="V16" s="37">
        <f t="shared" si="20"/>
        <v>0</v>
      </c>
      <c r="W16" s="37">
        <f t="shared" si="21"/>
        <v>0</v>
      </c>
      <c r="X16" s="37">
        <f t="shared" si="22"/>
        <v>0</v>
      </c>
      <c r="Y16" s="37">
        <f t="shared" si="23"/>
        <v>0</v>
      </c>
      <c r="Z16" s="37">
        <f t="shared" si="24"/>
        <v>0</v>
      </c>
      <c r="AA16" s="37">
        <f t="shared" si="25"/>
        <v>0</v>
      </c>
      <c r="AB16" s="37">
        <f t="shared" si="26"/>
        <v>0</v>
      </c>
      <c r="AC16" s="37">
        <f t="shared" si="27"/>
        <v>0</v>
      </c>
      <c r="AD16" s="35">
        <f t="shared" si="28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29"/>
        <v>0</v>
      </c>
      <c r="AU16" s="47"/>
      <c r="AV16" s="37">
        <f t="shared" si="31"/>
        <v>0</v>
      </c>
      <c r="AW16" s="35">
        <f t="shared" si="30"/>
        <v>0</v>
      </c>
    </row>
    <row r="17" spans="1:49" x14ac:dyDescent="0.25">
      <c r="A17" s="23">
        <v>44146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6"/>
        <v>0</v>
      </c>
      <c r="R17" s="37">
        <f t="shared" si="17"/>
        <v>0</v>
      </c>
      <c r="S17" s="37">
        <f t="shared" si="15"/>
        <v>0</v>
      </c>
      <c r="T17" s="37">
        <f t="shared" si="18"/>
        <v>0</v>
      </c>
      <c r="U17" s="37">
        <f t="shared" si="19"/>
        <v>0</v>
      </c>
      <c r="V17" s="37">
        <f t="shared" si="20"/>
        <v>0</v>
      </c>
      <c r="W17" s="37">
        <f t="shared" si="21"/>
        <v>0</v>
      </c>
      <c r="X17" s="37">
        <f t="shared" si="22"/>
        <v>0</v>
      </c>
      <c r="Y17" s="37">
        <f t="shared" si="23"/>
        <v>0</v>
      </c>
      <c r="Z17" s="37">
        <f t="shared" si="24"/>
        <v>0</v>
      </c>
      <c r="AA17" s="37">
        <f t="shared" si="25"/>
        <v>0</v>
      </c>
      <c r="AB17" s="37">
        <f t="shared" si="26"/>
        <v>0</v>
      </c>
      <c r="AC17" s="37">
        <f t="shared" si="27"/>
        <v>0</v>
      </c>
      <c r="AD17" s="35">
        <f t="shared" si="28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29"/>
        <v>0</v>
      </c>
      <c r="AU17" s="47"/>
      <c r="AV17" s="37">
        <f t="shared" si="31"/>
        <v>0</v>
      </c>
      <c r="AW17" s="35">
        <f t="shared" si="30"/>
        <v>0</v>
      </c>
    </row>
    <row r="18" spans="1:49" x14ac:dyDescent="0.25">
      <c r="A18" s="23">
        <v>44147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6"/>
        <v>0</v>
      </c>
      <c r="R18" s="37">
        <f t="shared" si="17"/>
        <v>0</v>
      </c>
      <c r="S18" s="37">
        <f t="shared" si="15"/>
        <v>0</v>
      </c>
      <c r="T18" s="37">
        <f t="shared" si="18"/>
        <v>0</v>
      </c>
      <c r="U18" s="37">
        <f t="shared" si="19"/>
        <v>0</v>
      </c>
      <c r="V18" s="37">
        <f t="shared" si="20"/>
        <v>0</v>
      </c>
      <c r="W18" s="37">
        <f t="shared" si="21"/>
        <v>0</v>
      </c>
      <c r="X18" s="37">
        <f t="shared" si="22"/>
        <v>0</v>
      </c>
      <c r="Y18" s="37">
        <f t="shared" si="23"/>
        <v>0</v>
      </c>
      <c r="Z18" s="37">
        <f t="shared" si="24"/>
        <v>0</v>
      </c>
      <c r="AA18" s="37">
        <f t="shared" si="25"/>
        <v>0</v>
      </c>
      <c r="AB18" s="37">
        <f t="shared" si="26"/>
        <v>0</v>
      </c>
      <c r="AC18" s="37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>
        <f t="shared" si="31"/>
        <v>0</v>
      </c>
      <c r="AW18" s="35">
        <f t="shared" si="30"/>
        <v>0</v>
      </c>
    </row>
    <row r="19" spans="1:49" x14ac:dyDescent="0.25">
      <c r="A19" s="23">
        <v>44148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44149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44150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44151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44152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44153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44154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44155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44156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44157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44158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44159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44160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44161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44162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44163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f t="shared" si="26"/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>IF((AU34-AU33&lt;0),"0",AU34-AU33)</f>
        <v>0</v>
      </c>
      <c r="AW34" s="35">
        <f t="shared" si="30"/>
        <v>0</v>
      </c>
    </row>
    <row r="35" spans="1:49" x14ac:dyDescent="0.25">
      <c r="A35" s="23">
        <v>44164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f t="shared" si="26"/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44165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>IF((AU36-AU35&lt;0),"0",AU36-AU35)</f>
        <v>0</v>
      </c>
      <c r="AW36" s="35">
        <f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:AA37" si="36">IF((C37-C36&lt;0), "0",C37-C36)</f>
        <v>0</v>
      </c>
      <c r="R37" s="37">
        <f t="shared" si="36"/>
        <v>0</v>
      </c>
      <c r="S37" s="37">
        <f t="shared" si="36"/>
        <v>0</v>
      </c>
      <c r="T37" s="37">
        <f t="shared" si="36"/>
        <v>0</v>
      </c>
      <c r="U37" s="37">
        <f t="shared" si="36"/>
        <v>0</v>
      </c>
      <c r="V37" s="37">
        <f t="shared" si="36"/>
        <v>0</v>
      </c>
      <c r="W37" s="37">
        <f t="shared" si="36"/>
        <v>0</v>
      </c>
      <c r="X37" s="37">
        <f t="shared" si="36"/>
        <v>0</v>
      </c>
      <c r="Y37" s="37">
        <f t="shared" si="36"/>
        <v>0</v>
      </c>
      <c r="Z37" s="37">
        <f t="shared" si="36"/>
        <v>0</v>
      </c>
      <c r="AA37" s="37">
        <f t="shared" si="36"/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:AR37" si="37">Q37*$D$39</f>
        <v>0</v>
      </c>
      <c r="AG37" s="20">
        <f t="shared" si="37"/>
        <v>0</v>
      </c>
      <c r="AH37" s="20">
        <f t="shared" si="37"/>
        <v>0</v>
      </c>
      <c r="AI37" s="20">
        <f t="shared" si="37"/>
        <v>0</v>
      </c>
      <c r="AJ37" s="20">
        <f t="shared" si="37"/>
        <v>0</v>
      </c>
      <c r="AK37" s="20">
        <f t="shared" si="37"/>
        <v>0</v>
      </c>
      <c r="AL37" s="20">
        <f t="shared" si="37"/>
        <v>0</v>
      </c>
      <c r="AM37" s="20">
        <f t="shared" si="37"/>
        <v>0</v>
      </c>
      <c r="AN37" s="20">
        <f t="shared" si="37"/>
        <v>0</v>
      </c>
      <c r="AO37" s="20">
        <f t="shared" si="37"/>
        <v>0</v>
      </c>
      <c r="AP37" s="20">
        <f t="shared" si="37"/>
        <v>0</v>
      </c>
      <c r="AQ37" s="20">
        <f t="shared" si="37"/>
        <v>0</v>
      </c>
      <c r="AR37" s="20">
        <f t="shared" si="37"/>
        <v>0</v>
      </c>
      <c r="AS37" s="35">
        <f>SUM(AF37:AR37)</f>
        <v>0</v>
      </c>
      <c r="AU37" s="47"/>
      <c r="AV37" s="37">
        <f>IF((AU37-AU36&lt;0),"0",AU37-AU36)</f>
        <v>0</v>
      </c>
      <c r="AW37" s="35">
        <f>AV37*$D$40</f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38">SUM(Q7:Q34)</f>
        <v>1510</v>
      </c>
      <c r="R38" s="30">
        <f t="shared" si="38"/>
        <v>45180</v>
      </c>
      <c r="S38" s="30">
        <f t="shared" si="38"/>
        <v>190</v>
      </c>
      <c r="T38" s="30">
        <f t="shared" si="38"/>
        <v>4570</v>
      </c>
      <c r="U38" s="30">
        <f t="shared" si="38"/>
        <v>13450</v>
      </c>
      <c r="V38" s="30">
        <f t="shared" si="38"/>
        <v>9778</v>
      </c>
      <c r="W38" s="30">
        <f t="shared" si="38"/>
        <v>7190</v>
      </c>
      <c r="X38" s="30">
        <f t="shared" si="38"/>
        <v>10770</v>
      </c>
      <c r="Y38" s="30">
        <f t="shared" si="38"/>
        <v>16300</v>
      </c>
      <c r="Z38" s="30">
        <f t="shared" si="38"/>
        <v>7460</v>
      </c>
      <c r="AA38" s="30">
        <f t="shared" si="38"/>
        <v>9740</v>
      </c>
      <c r="AB38" s="30">
        <f t="shared" si="38"/>
        <v>20910</v>
      </c>
      <c r="AC38" s="30">
        <f t="shared" si="38"/>
        <v>30730</v>
      </c>
      <c r="AD38" s="35">
        <f t="shared" si="38"/>
        <v>177778</v>
      </c>
      <c r="AF38" s="35">
        <f t="shared" ref="AF38:AS38" si="39">SUM(AF7:AF34)</f>
        <v>7.5500000000000007</v>
      </c>
      <c r="AG38" s="35">
        <f t="shared" si="39"/>
        <v>225.9</v>
      </c>
      <c r="AH38" s="35">
        <f t="shared" si="39"/>
        <v>0.95000000000000007</v>
      </c>
      <c r="AI38" s="35">
        <f t="shared" si="39"/>
        <v>22.85</v>
      </c>
      <c r="AJ38" s="35">
        <f t="shared" si="39"/>
        <v>67.25</v>
      </c>
      <c r="AK38" s="35">
        <f t="shared" si="39"/>
        <v>48.89</v>
      </c>
      <c r="AL38" s="35">
        <f t="shared" si="39"/>
        <v>35.950000000000003</v>
      </c>
      <c r="AM38" s="35">
        <f t="shared" si="39"/>
        <v>53.85</v>
      </c>
      <c r="AN38" s="35">
        <f t="shared" si="39"/>
        <v>81.5</v>
      </c>
      <c r="AO38" s="35">
        <f t="shared" si="39"/>
        <v>37.300000000000004</v>
      </c>
      <c r="AP38" s="35">
        <f t="shared" si="39"/>
        <v>48.7</v>
      </c>
      <c r="AQ38" s="35">
        <f t="shared" si="39"/>
        <v>104.55</v>
      </c>
      <c r="AR38" s="35">
        <f t="shared" si="39"/>
        <v>153.65</v>
      </c>
      <c r="AS38" s="35">
        <f t="shared" si="39"/>
        <v>888.88999999999987</v>
      </c>
      <c r="AU38" s="48"/>
      <c r="AV38" s="35">
        <f>SUM(AV7:AV34)</f>
        <v>5672</v>
      </c>
      <c r="AW38" s="35">
        <f>SUM(AW7:AW34)</f>
        <v>3.5640000000000001</v>
      </c>
    </row>
    <row r="39" spans="1:49" x14ac:dyDescent="0.25">
      <c r="D39">
        <v>5.0000000000000001E-3</v>
      </c>
      <c r="AV39" s="36">
        <f>AV38*0.00378541*1000</f>
        <v>21470.845520000003</v>
      </c>
    </row>
    <row r="40" spans="1:49" x14ac:dyDescent="0.25">
      <c r="D40">
        <v>2E-3</v>
      </c>
      <c r="AV40">
        <f>AV39/31</f>
        <v>692.60792000000004</v>
      </c>
    </row>
    <row r="41" spans="1:49" x14ac:dyDescent="0.25">
      <c r="AV41">
        <f>AV38*0.00378541</f>
        <v>21.470845520000001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2020-11-04T07:47:52Z</dcterms:modified>
</cp:coreProperties>
</file>