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EMEA/Istanbul Sultanahmet/"/>
    </mc:Choice>
  </mc:AlternateContent>
  <xr:revisionPtr revIDLastSave="0" documentId="8_{486538CF-E305-4404-AB2C-D7C65BE12D09}" xr6:coauthVersionLast="46" xr6:coauthVersionMax="46" xr10:uidLastSave="{00000000-0000-0000-0000-000000000000}"/>
  <bookViews>
    <workbookView xWindow="-90" yWindow="-90" windowWidth="19380" windowHeight="10380" xr2:uid="{00000000-000D-0000-FFFF-FFFF00000000}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5" l="1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" i="5"/>
  <c r="I4" i="5"/>
  <c r="I5" i="5"/>
  <c r="I6" i="5"/>
  <c r="I7" i="5"/>
  <c r="I8" i="5"/>
  <c r="I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J36" i="10" l="1"/>
  <c r="AX35" i="10"/>
  <c r="AV35" i="10"/>
  <c r="AS35" i="10"/>
  <c r="AQ35" i="10"/>
  <c r="AO35" i="10"/>
  <c r="AC35" i="10"/>
  <c r="AD35" i="10" s="1"/>
  <c r="T35" i="10"/>
  <c r="H35" i="10"/>
  <c r="AX34" i="10"/>
  <c r="AV34" i="10"/>
  <c r="AS34" i="10"/>
  <c r="AT34" i="10" s="1"/>
  <c r="AQ34" i="10"/>
  <c r="AR35" i="10" s="1"/>
  <c r="AO34" i="10"/>
  <c r="AC34" i="10"/>
  <c r="T34" i="10"/>
  <c r="H34" i="10"/>
  <c r="AX33" i="10"/>
  <c r="AV33" i="10"/>
  <c r="AS33" i="10"/>
  <c r="AQ33" i="10"/>
  <c r="AR34" i="10" s="1"/>
  <c r="AO33" i="10"/>
  <c r="AC33" i="10"/>
  <c r="AD34" i="10" s="1"/>
  <c r="T33" i="10"/>
  <c r="H33" i="10"/>
  <c r="AX32" i="10"/>
  <c r="AV32" i="10"/>
  <c r="AS32" i="10"/>
  <c r="AQ32" i="10"/>
  <c r="AO32" i="10"/>
  <c r="AC32" i="10"/>
  <c r="T32" i="10"/>
  <c r="H32" i="10"/>
  <c r="AX31" i="10"/>
  <c r="AV31" i="10"/>
  <c r="AS31" i="10"/>
  <c r="AQ31" i="10"/>
  <c r="AO31" i="10"/>
  <c r="AC31" i="10"/>
  <c r="AD32" i="10" s="1"/>
  <c r="T31" i="10"/>
  <c r="U31" i="10" s="1"/>
  <c r="H31" i="10"/>
  <c r="AX30" i="10"/>
  <c r="AV30" i="10"/>
  <c r="AS30" i="10"/>
  <c r="AQ30" i="10"/>
  <c r="AR31" i="10" s="1"/>
  <c r="AO30" i="10"/>
  <c r="AP31" i="10" s="1"/>
  <c r="AC30" i="10"/>
  <c r="T30" i="10"/>
  <c r="H30" i="10"/>
  <c r="AX29" i="10"/>
  <c r="AV29" i="10"/>
  <c r="AS29" i="10"/>
  <c r="AT29" i="10" s="1"/>
  <c r="AQ29" i="10"/>
  <c r="AR30" i="10" s="1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H28" i="10"/>
  <c r="AX27" i="10"/>
  <c r="AV27" i="10"/>
  <c r="AS27" i="10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P27" i="10" s="1"/>
  <c r="AC26" i="10"/>
  <c r="T26" i="10"/>
  <c r="H26" i="10"/>
  <c r="AX25" i="10"/>
  <c r="AV25" i="10"/>
  <c r="AS25" i="10"/>
  <c r="AT25" i="10" s="1"/>
  <c r="AQ25" i="10"/>
  <c r="AR26" i="10" s="1"/>
  <c r="AO25" i="10"/>
  <c r="AC25" i="10"/>
  <c r="AD26" i="10" s="1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Q21" i="10"/>
  <c r="AR22" i="10" s="1"/>
  <c r="AO21" i="10"/>
  <c r="AC21" i="10"/>
  <c r="AD22" i="10" s="1"/>
  <c r="T21" i="10"/>
  <c r="H21" i="10"/>
  <c r="AX20" i="10"/>
  <c r="AV20" i="10"/>
  <c r="AS20" i="10"/>
  <c r="AQ20" i="10"/>
  <c r="AO20" i="10"/>
  <c r="AC20" i="10"/>
  <c r="T20" i="10"/>
  <c r="U21" i="10" s="1"/>
  <c r="H20" i="10"/>
  <c r="AX19" i="10"/>
  <c r="AV19" i="10"/>
  <c r="AS19" i="10"/>
  <c r="AQ19" i="10"/>
  <c r="AO19" i="10"/>
  <c r="AC19" i="10"/>
  <c r="AD20" i="10" s="1"/>
  <c r="T19" i="10"/>
  <c r="H19" i="10"/>
  <c r="AX18" i="10"/>
  <c r="AV18" i="10"/>
  <c r="AS18" i="10"/>
  <c r="AT18" i="10" s="1"/>
  <c r="AQ18" i="10"/>
  <c r="AR19" i="10" s="1"/>
  <c r="AO18" i="10"/>
  <c r="AC18" i="10"/>
  <c r="T18" i="10"/>
  <c r="H18" i="10"/>
  <c r="AX17" i="10"/>
  <c r="AV17" i="10"/>
  <c r="AS17" i="10"/>
  <c r="AQ17" i="10"/>
  <c r="AR18" i="10" s="1"/>
  <c r="AO17" i="10"/>
  <c r="AC17" i="10"/>
  <c r="AD18" i="10" s="1"/>
  <c r="T17" i="10"/>
  <c r="H17" i="10"/>
  <c r="AX16" i="10"/>
  <c r="AV16" i="10"/>
  <c r="AS16" i="10"/>
  <c r="AQ16" i="10"/>
  <c r="AO16" i="10"/>
  <c r="AC16" i="10"/>
  <c r="T16" i="10"/>
  <c r="U16" i="10" s="1"/>
  <c r="H16" i="10"/>
  <c r="AX15" i="10"/>
  <c r="AV15" i="10"/>
  <c r="AS15" i="10"/>
  <c r="AT15" i="10" s="1"/>
  <c r="AQ15" i="10"/>
  <c r="AO15" i="10"/>
  <c r="AC15" i="10"/>
  <c r="AD15" i="10" s="1"/>
  <c r="U15" i="10"/>
  <c r="T15" i="10"/>
  <c r="H15" i="10"/>
  <c r="AX14" i="10"/>
  <c r="AV14" i="10"/>
  <c r="AS14" i="10"/>
  <c r="AQ14" i="10"/>
  <c r="AO14" i="10"/>
  <c r="AC14" i="10"/>
  <c r="T14" i="10"/>
  <c r="H14" i="10"/>
  <c r="AX13" i="10"/>
  <c r="AV13" i="10"/>
  <c r="AS13" i="10"/>
  <c r="AT13" i="10"/>
  <c r="AQ13" i="10"/>
  <c r="AR14" i="10" s="1"/>
  <c r="AO13" i="10"/>
  <c r="AC13" i="10"/>
  <c r="AD14" i="10"/>
  <c r="T13" i="10"/>
  <c r="U13" i="10" s="1"/>
  <c r="H13" i="10"/>
  <c r="AX12" i="10"/>
  <c r="AV12" i="10"/>
  <c r="AS12" i="10"/>
  <c r="AT12" i="10" s="1"/>
  <c r="AQ12" i="10"/>
  <c r="AO12" i="10"/>
  <c r="AP12" i="10" s="1"/>
  <c r="AC12" i="10"/>
  <c r="AD12" i="10" s="1"/>
  <c r="T12" i="10"/>
  <c r="H12" i="10"/>
  <c r="AX11" i="10"/>
  <c r="AV11" i="10"/>
  <c r="AS11" i="10"/>
  <c r="AQ11" i="10"/>
  <c r="AO11" i="10"/>
  <c r="AC11" i="10"/>
  <c r="AD11" i="10"/>
  <c r="T11" i="10"/>
  <c r="U11" i="10" s="1"/>
  <c r="H11" i="10"/>
  <c r="I11" i="10" s="1"/>
  <c r="AX10" i="10"/>
  <c r="AV10" i="10"/>
  <c r="AS10" i="10"/>
  <c r="AT10" i="10" s="1"/>
  <c r="AQ10" i="10"/>
  <c r="AR10" i="10" s="1"/>
  <c r="AO10" i="10"/>
  <c r="AC10" i="10"/>
  <c r="AD10" i="10" s="1"/>
  <c r="T10" i="10"/>
  <c r="U10" i="10"/>
  <c r="H10" i="10"/>
  <c r="AX9" i="10"/>
  <c r="AV9" i="10"/>
  <c r="AS9" i="10"/>
  <c r="AQ9" i="10"/>
  <c r="AO9" i="10"/>
  <c r="AC9" i="10"/>
  <c r="AD9" i="10" s="1"/>
  <c r="T9" i="10"/>
  <c r="H9" i="10"/>
  <c r="AX8" i="10"/>
  <c r="AV8" i="10"/>
  <c r="AS8" i="10"/>
  <c r="AT9" i="10" s="1"/>
  <c r="AQ8" i="10"/>
  <c r="AR8" i="10" s="1"/>
  <c r="AO8" i="10"/>
  <c r="AC8" i="10"/>
  <c r="T8" i="10"/>
  <c r="U8" i="10" s="1"/>
  <c r="H8" i="10"/>
  <c r="AX7" i="10"/>
  <c r="AV7" i="10"/>
  <c r="AS7" i="10"/>
  <c r="AT7" i="10" s="1"/>
  <c r="AQ7" i="10"/>
  <c r="AO7" i="10"/>
  <c r="AP7" i="10" s="1"/>
  <c r="AC7" i="10"/>
  <c r="T7" i="10"/>
  <c r="H7" i="10"/>
  <c r="I8" i="10" s="1"/>
  <c r="AX6" i="10"/>
  <c r="AV6" i="10"/>
  <c r="AS6" i="10"/>
  <c r="AT6" i="10"/>
  <c r="AR6" i="10"/>
  <c r="AQ6" i="10"/>
  <c r="AO6" i="10"/>
  <c r="AP6" i="10"/>
  <c r="AC6" i="10"/>
  <c r="AD6" i="10" s="1"/>
  <c r="T6" i="10"/>
  <c r="H6" i="10"/>
  <c r="I7" i="10" s="1"/>
  <c r="AX5" i="10"/>
  <c r="AV5" i="10"/>
  <c r="AS5" i="10"/>
  <c r="AR5" i="10"/>
  <c r="AQ5" i="10"/>
  <c r="AO5" i="10"/>
  <c r="AP5" i="10"/>
  <c r="AC5" i="10"/>
  <c r="T5" i="10"/>
  <c r="H5" i="10"/>
  <c r="AX4" i="10"/>
  <c r="AV4" i="10"/>
  <c r="AU4" i="10"/>
  <c r="AS4" i="10"/>
  <c r="AT5" i="10" s="1"/>
  <c r="AQ4" i="10"/>
  <c r="AO4" i="10"/>
  <c r="AC4" i="10"/>
  <c r="AD4" i="10" s="1"/>
  <c r="T4" i="10"/>
  <c r="U4" i="10" s="1"/>
  <c r="H4" i="10"/>
  <c r="K35" i="9"/>
  <c r="G34" i="9"/>
  <c r="I34" i="9" s="1"/>
  <c r="G33" i="9"/>
  <c r="I33" i="9" s="1"/>
  <c r="G32" i="9"/>
  <c r="I32" i="9" s="1"/>
  <c r="G31" i="9"/>
  <c r="I31" i="9" s="1"/>
  <c r="G30" i="9"/>
  <c r="I30" i="9" s="1"/>
  <c r="I29" i="9"/>
  <c r="J29" i="9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J12" i="9" s="1"/>
  <c r="G11" i="9"/>
  <c r="I11" i="9" s="1"/>
  <c r="G10" i="9"/>
  <c r="I10" i="9" s="1"/>
  <c r="G9" i="9"/>
  <c r="I9" i="9" s="1"/>
  <c r="G8" i="9"/>
  <c r="I8" i="9" s="1"/>
  <c r="G7" i="9"/>
  <c r="I7" i="9"/>
  <c r="G6" i="9"/>
  <c r="I6" i="9" s="1"/>
  <c r="G5" i="9"/>
  <c r="I5" i="9" s="1"/>
  <c r="G4" i="9"/>
  <c r="I4" i="9" s="1"/>
  <c r="J4" i="9" s="1"/>
  <c r="I35" i="8"/>
  <c r="G34" i="8"/>
  <c r="H34" i="8" s="1"/>
  <c r="G33" i="8"/>
  <c r="G32" i="8"/>
  <c r="G31" i="8"/>
  <c r="G30" i="8"/>
  <c r="H30" i="8"/>
  <c r="G29" i="8"/>
  <c r="G28" i="8"/>
  <c r="H29" i="8" s="1"/>
  <c r="G27" i="8"/>
  <c r="G26" i="8"/>
  <c r="G25" i="8"/>
  <c r="H26" i="8" s="1"/>
  <c r="G24" i="8"/>
  <c r="G23" i="8"/>
  <c r="G22" i="8"/>
  <c r="H22" i="8"/>
  <c r="G21" i="8"/>
  <c r="G20" i="8"/>
  <c r="H21" i="8" s="1"/>
  <c r="G19" i="8"/>
  <c r="G18" i="8"/>
  <c r="G17" i="8"/>
  <c r="H18" i="8" s="1"/>
  <c r="G16" i="8"/>
  <c r="G15" i="8"/>
  <c r="G14" i="8"/>
  <c r="H14" i="8"/>
  <c r="G13" i="8"/>
  <c r="G12" i="8"/>
  <c r="H13" i="8" s="1"/>
  <c r="G11" i="8"/>
  <c r="G10" i="8"/>
  <c r="G9" i="8"/>
  <c r="H10" i="8" s="1"/>
  <c r="G8" i="8"/>
  <c r="G7" i="8"/>
  <c r="G6" i="8"/>
  <c r="H6" i="8"/>
  <c r="G5" i="8"/>
  <c r="G4" i="8"/>
  <c r="H4" i="8" s="1"/>
  <c r="B3" i="5"/>
  <c r="B4" i="5"/>
  <c r="B5" i="5" s="1"/>
  <c r="B6" i="5" s="1"/>
  <c r="B7" i="5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I12" i="10"/>
  <c r="E9" i="5" s="1"/>
  <c r="AR12" i="10"/>
  <c r="U14" i="10"/>
  <c r="AT14" i="10"/>
  <c r="U26" i="10"/>
  <c r="I13" i="10"/>
  <c r="AR11" i="10"/>
  <c r="AR13" i="10"/>
  <c r="I14" i="10"/>
  <c r="E11" i="5" s="1"/>
  <c r="AD17" i="10"/>
  <c r="AD23" i="10"/>
  <c r="AD25" i="10"/>
  <c r="AD31" i="10"/>
  <c r="AD33" i="10"/>
  <c r="AT23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AW13" i="10"/>
  <c r="V13" i="10"/>
  <c r="AW12" i="10"/>
  <c r="AE12" i="10"/>
  <c r="V14" i="10"/>
  <c r="W14" i="10" s="1"/>
  <c r="AT17" i="10" l="1"/>
  <c r="U19" i="10"/>
  <c r="U22" i="10"/>
  <c r="AT26" i="10"/>
  <c r="AT28" i="10"/>
  <c r="AT27" i="10"/>
  <c r="U30" i="10"/>
  <c r="U33" i="10"/>
  <c r="U32" i="10"/>
  <c r="AT33" i="10"/>
  <c r="U35" i="10"/>
  <c r="H17" i="8"/>
  <c r="H16" i="8"/>
  <c r="H27" i="8"/>
  <c r="H28" i="8"/>
  <c r="AU6" i="10"/>
  <c r="E5" i="5"/>
  <c r="AW8" i="10"/>
  <c r="V8" i="10"/>
  <c r="I10" i="10"/>
  <c r="I9" i="10"/>
  <c r="AR9" i="10"/>
  <c r="AP10" i="10"/>
  <c r="AU10" i="10" s="1"/>
  <c r="AP15" i="10"/>
  <c r="AP14" i="10"/>
  <c r="H9" i="8"/>
  <c r="H8" i="8"/>
  <c r="AT16" i="10"/>
  <c r="U18" i="10"/>
  <c r="AT21" i="10"/>
  <c r="AT22" i="10"/>
  <c r="U25" i="10"/>
  <c r="U24" i="10"/>
  <c r="U27" i="10"/>
  <c r="AT30" i="10"/>
  <c r="AT32" i="10"/>
  <c r="AT31" i="10"/>
  <c r="U34" i="10"/>
  <c r="AT35" i="10"/>
  <c r="AU35" i="10" s="1"/>
  <c r="U20" i="10"/>
  <c r="E10" i="5"/>
  <c r="AE13" i="10"/>
  <c r="AU14" i="10"/>
  <c r="H25" i="8"/>
  <c r="H24" i="8"/>
  <c r="AD5" i="10"/>
  <c r="H19" i="8"/>
  <c r="H20" i="8"/>
  <c r="U17" i="10"/>
  <c r="AT20" i="10"/>
  <c r="AT19" i="10"/>
  <c r="U23" i="10"/>
  <c r="U29" i="10"/>
  <c r="U28" i="10"/>
  <c r="AU19" i="10"/>
  <c r="H11" i="8"/>
  <c r="H12" i="8"/>
  <c r="H33" i="8"/>
  <c r="H32" i="8"/>
  <c r="I4" i="10"/>
  <c r="AX36" i="10"/>
  <c r="AU5" i="10"/>
  <c r="AD7" i="10"/>
  <c r="AD8" i="10"/>
  <c r="AP11" i="10"/>
  <c r="AU12" i="10"/>
  <c r="AD21" i="10"/>
  <c r="H15" i="8"/>
  <c r="H23" i="8"/>
  <c r="H31" i="8"/>
  <c r="J8" i="9"/>
  <c r="J14" i="9"/>
  <c r="J17" i="9"/>
  <c r="J22" i="9"/>
  <c r="J34" i="9"/>
  <c r="AR7" i="10"/>
  <c r="U9" i="10"/>
  <c r="U12" i="10"/>
  <c r="W12" i="10" s="1"/>
  <c r="AR15" i="10"/>
  <c r="I16" i="10"/>
  <c r="AP18" i="10"/>
  <c r="AU18" i="10" s="1"/>
  <c r="AP22" i="10"/>
  <c r="AU22" i="10" s="1"/>
  <c r="AU27" i="10"/>
  <c r="AU31" i="10"/>
  <c r="AP34" i="10"/>
  <c r="AU34" i="10" s="1"/>
  <c r="AE14" i="10"/>
  <c r="AF14" i="10" s="1"/>
  <c r="V12" i="10"/>
  <c r="AD29" i="10"/>
  <c r="AW14" i="10"/>
  <c r="AU26" i="10"/>
  <c r="AD27" i="10"/>
  <c r="AD19" i="10"/>
  <c r="H5" i="8"/>
  <c r="H35" i="8" s="1"/>
  <c r="AP9" i="10"/>
  <c r="AU9" i="10" s="1"/>
  <c r="AF12" i="10"/>
  <c r="W13" i="10"/>
  <c r="AP13" i="10"/>
  <c r="AU13" i="10" s="1"/>
  <c r="AR16" i="10"/>
  <c r="AU16" i="10" s="1"/>
  <c r="I17" i="10"/>
  <c r="I18" i="10"/>
  <c r="I19" i="10"/>
  <c r="E16" i="5" s="1"/>
  <c r="I20" i="10"/>
  <c r="V20" i="10" s="1"/>
  <c r="W20" i="10" s="1"/>
  <c r="AR20" i="10"/>
  <c r="I21" i="10"/>
  <c r="I22" i="10"/>
  <c r="AE22" i="10" s="1"/>
  <c r="AF22" i="10" s="1"/>
  <c r="I23" i="10"/>
  <c r="AE23" i="10" s="1"/>
  <c r="AF23" i="10" s="1"/>
  <c r="I24" i="10"/>
  <c r="AR24" i="10"/>
  <c r="I25" i="10"/>
  <c r="E22" i="5" s="1"/>
  <c r="I26" i="10"/>
  <c r="E23" i="5" s="1"/>
  <c r="I27" i="10"/>
  <c r="I28" i="10"/>
  <c r="AR28" i="10"/>
  <c r="I29" i="10"/>
  <c r="AW29" i="10" s="1"/>
  <c r="I30" i="10"/>
  <c r="I31" i="10"/>
  <c r="I32" i="10"/>
  <c r="E29" i="5" s="1"/>
  <c r="AR32" i="10"/>
  <c r="AU32" i="10" s="1"/>
  <c r="I33" i="10"/>
  <c r="I34" i="10"/>
  <c r="I35" i="10"/>
  <c r="E32" i="5" s="1"/>
  <c r="AU7" i="10"/>
  <c r="AU28" i="10"/>
  <c r="AU15" i="10"/>
  <c r="AU20" i="10"/>
  <c r="AU24" i="10"/>
  <c r="AT8" i="10"/>
  <c r="AT36" i="10" s="1"/>
  <c r="AR25" i="10"/>
  <c r="AU25" i="10" s="1"/>
  <c r="AR33" i="10"/>
  <c r="AU33" i="10" s="1"/>
  <c r="AP23" i="10"/>
  <c r="AU23" i="10" s="1"/>
  <c r="AT11" i="10"/>
  <c r="AP8" i="10"/>
  <c r="AU8" i="10" s="1"/>
  <c r="AR17" i="10"/>
  <c r="AU17" i="10" s="1"/>
  <c r="AR21" i="10"/>
  <c r="AU21" i="10" s="1"/>
  <c r="AR29" i="10"/>
  <c r="AU29" i="10" s="1"/>
  <c r="AP30" i="10"/>
  <c r="AU30" i="10" s="1"/>
  <c r="AD16" i="10"/>
  <c r="AD13" i="10"/>
  <c r="AF13" i="10"/>
  <c r="U6" i="10"/>
  <c r="U7" i="10"/>
  <c r="W8" i="10"/>
  <c r="U5" i="10"/>
  <c r="V7" i="10"/>
  <c r="I6" i="10"/>
  <c r="AW6" i="10" s="1"/>
  <c r="I5" i="10"/>
  <c r="AE5" i="10" s="1"/>
  <c r="AF5" i="10" s="1"/>
  <c r="H7" i="8"/>
  <c r="J5" i="9"/>
  <c r="J6" i="9"/>
  <c r="J9" i="9"/>
  <c r="J15" i="9"/>
  <c r="J26" i="9"/>
  <c r="J7" i="9"/>
  <c r="J10" i="9"/>
  <c r="J27" i="9"/>
  <c r="J32" i="9"/>
  <c r="J13" i="9"/>
  <c r="J16" i="9"/>
  <c r="J21" i="9"/>
  <c r="J24" i="9"/>
  <c r="J30" i="9"/>
  <c r="J33" i="9"/>
  <c r="J23" i="9"/>
  <c r="J18" i="9"/>
  <c r="J20" i="9"/>
  <c r="J19" i="9"/>
  <c r="J25" i="9"/>
  <c r="J31" i="9"/>
  <c r="J35" i="9"/>
  <c r="J11" i="9"/>
  <c r="J28" i="9"/>
  <c r="E18" i="5"/>
  <c r="AW21" i="10"/>
  <c r="V21" i="10"/>
  <c r="W21" i="10" s="1"/>
  <c r="AE21" i="10"/>
  <c r="AF21" i="10" s="1"/>
  <c r="E19" i="5"/>
  <c r="V22" i="10"/>
  <c r="W22" i="10" s="1"/>
  <c r="E27" i="5"/>
  <c r="AE30" i="10"/>
  <c r="AF30" i="10" s="1"/>
  <c r="AW30" i="10"/>
  <c r="V30" i="10"/>
  <c r="W30" i="10" s="1"/>
  <c r="E17" i="5"/>
  <c r="E8" i="5"/>
  <c r="V11" i="10"/>
  <c r="W11" i="10" s="1"/>
  <c r="AE11" i="10"/>
  <c r="AF11" i="10" s="1"/>
  <c r="AW11" i="10"/>
  <c r="E26" i="5"/>
  <c r="E20" i="5"/>
  <c r="E28" i="5"/>
  <c r="AE31" i="10"/>
  <c r="AF31" i="10" s="1"/>
  <c r="V31" i="10"/>
  <c r="W31" i="10" s="1"/>
  <c r="AW31" i="10"/>
  <c r="AE6" i="10"/>
  <c r="AF6" i="10" s="1"/>
  <c r="E21" i="5"/>
  <c r="AW24" i="10"/>
  <c r="AE24" i="10"/>
  <c r="AF24" i="10" s="1"/>
  <c r="V24" i="10"/>
  <c r="W24" i="10" s="1"/>
  <c r="AE32" i="10"/>
  <c r="AF32" i="10" s="1"/>
  <c r="V32" i="10"/>
  <c r="W32" i="10" s="1"/>
  <c r="E14" i="5"/>
  <c r="AE17" i="10"/>
  <c r="AF17" i="10" s="1"/>
  <c r="V17" i="10"/>
  <c r="W17" i="10" s="1"/>
  <c r="AW17" i="10"/>
  <c r="V25" i="10"/>
  <c r="AW25" i="10"/>
  <c r="E30" i="5"/>
  <c r="V33" i="10"/>
  <c r="AE33" i="10"/>
  <c r="AF33" i="10" s="1"/>
  <c r="AW33" i="10"/>
  <c r="E15" i="5"/>
  <c r="AW18" i="10"/>
  <c r="AE18" i="10"/>
  <c r="AF18" i="10" s="1"/>
  <c r="V18" i="10"/>
  <c r="W18" i="10" s="1"/>
  <c r="V26" i="10"/>
  <c r="W26" i="10" s="1"/>
  <c r="E31" i="5"/>
  <c r="V34" i="10"/>
  <c r="W34" i="10" s="1"/>
  <c r="AE34" i="10"/>
  <c r="AF34" i="10" s="1"/>
  <c r="AW34" i="10"/>
  <c r="E25" i="5"/>
  <c r="AE28" i="10"/>
  <c r="AF28" i="10" s="1"/>
  <c r="AW28" i="10"/>
  <c r="V28" i="10"/>
  <c r="W28" i="10" s="1"/>
  <c r="E13" i="5"/>
  <c r="V16" i="10"/>
  <c r="W16" i="10" s="1"/>
  <c r="AW16" i="10"/>
  <c r="AE16" i="10"/>
  <c r="AF16" i="10" s="1"/>
  <c r="AW19" i="10"/>
  <c r="V19" i="10"/>
  <c r="W19" i="10" s="1"/>
  <c r="E24" i="5"/>
  <c r="AW27" i="10"/>
  <c r="AE27" i="10"/>
  <c r="AF27" i="10" s="1"/>
  <c r="V27" i="10"/>
  <c r="W27" i="10" s="1"/>
  <c r="V35" i="10"/>
  <c r="W35" i="10" s="1"/>
  <c r="AE35" i="10"/>
  <c r="AF35" i="10" s="1"/>
  <c r="AW7" i="10"/>
  <c r="AE7" i="10"/>
  <c r="AF7" i="10" s="1"/>
  <c r="AE8" i="10"/>
  <c r="AF8" i="10" s="1"/>
  <c r="AE9" i="10"/>
  <c r="AF9" i="10" s="1"/>
  <c r="I15" i="10"/>
  <c r="E7" i="5" l="1"/>
  <c r="AE10" i="10"/>
  <c r="AF10" i="10" s="1"/>
  <c r="AW10" i="10"/>
  <c r="W25" i="10"/>
  <c r="AW23" i="10"/>
  <c r="V10" i="10"/>
  <c r="W10" i="10" s="1"/>
  <c r="AW26" i="10"/>
  <c r="AE25" i="10"/>
  <c r="AF25" i="10" s="1"/>
  <c r="AE29" i="10"/>
  <c r="AF29" i="10" s="1"/>
  <c r="AE20" i="10"/>
  <c r="AF20" i="10" s="1"/>
  <c r="AW22" i="10"/>
  <c r="AU11" i="10"/>
  <c r="V4" i="10"/>
  <c r="W4" i="10" s="1"/>
  <c r="AE4" i="10"/>
  <c r="AF4" i="10" s="1"/>
  <c r="AE26" i="10"/>
  <c r="AF26" i="10" s="1"/>
  <c r="V29" i="10"/>
  <c r="W29" i="10" s="1"/>
  <c r="AW20" i="10"/>
  <c r="AW5" i="10"/>
  <c r="AW35" i="10"/>
  <c r="AE19" i="10"/>
  <c r="AF19" i="10" s="1"/>
  <c r="W33" i="10"/>
  <c r="AW32" i="10"/>
  <c r="V23" i="10"/>
  <c r="W23" i="10" s="1"/>
  <c r="L37" i="9"/>
  <c r="M37" i="9" s="1"/>
  <c r="AW4" i="10"/>
  <c r="E6" i="5"/>
  <c r="AW9" i="10"/>
  <c r="V9" i="10"/>
  <c r="W9" i="10" s="1"/>
  <c r="AP36" i="10"/>
  <c r="AR36" i="10"/>
  <c r="W7" i="10"/>
  <c r="I36" i="10"/>
  <c r="V36" i="10" s="1"/>
  <c r="W36" i="10" s="1"/>
  <c r="V5" i="10"/>
  <c r="W5" i="10" s="1"/>
  <c r="V6" i="10"/>
  <c r="W6" i="10" s="1"/>
  <c r="AE36" i="10"/>
  <c r="AF36" i="10" s="1"/>
  <c r="E12" i="5"/>
  <c r="AE15" i="10"/>
  <c r="AF15" i="10" s="1"/>
  <c r="AW15" i="10"/>
  <c r="V15" i="10"/>
  <c r="W15" i="10" s="1"/>
  <c r="AW36" i="10"/>
  <c r="AU36" i="10" l="1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<sst xmlns="http://schemas.openxmlformats.org/spreadsheetml/2006/main" count="116" uniqueCount="58">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</sst>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778728"/>
        <c:axId val="491779512"/>
      </c:lineChart>
      <c:dateAx>
        <c:axId val="491778728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9177951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49177951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1778728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780296"/>
        <c:axId val="555899968"/>
      </c:lineChart>
      <c:dateAx>
        <c:axId val="4917802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5899968"/>
        <c:crosses val="autoZero"/>
        <c:auto val="0"/>
        <c:lblOffset val="100"/>
        <c:baseTimeUnit val="days"/>
      </c:dateAx>
      <c:valAx>
        <c:axId val="55589996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17802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898792"/>
        <c:axId val="555896832"/>
      </c:lineChart>
      <c:dateAx>
        <c:axId val="55589879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5896832"/>
        <c:crosses val="autoZero"/>
        <c:auto val="0"/>
        <c:lblOffset val="100"/>
        <c:baseTimeUnit val="days"/>
        <c:majorUnit val="1"/>
        <c:majorTimeUnit val="days"/>
      </c:dateAx>
      <c:valAx>
        <c:axId val="555896832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5898792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32"/>
  <sheetViews>
    <sheetView tabSelected="1" zoomScale="110" zoomScaleNormal="110" workbookViewId="0">
      <selection activeCell="E2" sqref="E2"/>
    </sheetView>
  </sheetViews>
  <sheetFormatPr defaultColWidth="11.54296875" defaultRowHeight="14.75" x14ac:dyDescent="0.75"/>
  <cols>
    <col min="1" max="1" width="22.40625" style="2" bestFit="1" customWidth="1"/>
    <col min="2" max="2" width="11.54296875" style="2"/>
    <col min="3" max="3" width="11.54296875" style="11"/>
    <col min="4" max="4" width="13.40625" style="2" customWidth="1"/>
    <col min="5" max="5" width="13" style="9" customWidth="1"/>
    <col min="6" max="6" width="12.54296875" style="11" customWidth="1"/>
    <col min="7" max="7" width="13" style="4" customWidth="1"/>
    <col min="8" max="8" width="11.54296875" style="11"/>
    <col min="9" max="9" width="11.54296875" style="2"/>
    <col min="10" max="10" width="11.54296875" style="11"/>
    <col min="11" max="11" width="11.54296875" style="2"/>
  </cols>
  <sheetData>
    <row r="1" spans="1:11" s="1" customFormat="1" ht="59" x14ac:dyDescent="0.7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75">
      <c r="A2" s="26" t="s">
        <v>25</v>
      </c>
      <c r="B2" s="12">
        <v>1</v>
      </c>
      <c r="C2" s="3">
        <v>3</v>
      </c>
      <c r="D2" s="12">
        <v>2021</v>
      </c>
      <c r="E2" s="13">
        <v>1250.3</v>
      </c>
      <c r="F2" s="3">
        <v>0.62</v>
      </c>
      <c r="G2" s="13">
        <f>IF(Gas!J4&lt;0,"0",Gas!J4)</f>
        <v>0</v>
      </c>
      <c r="H2" s="3">
        <v>1.65</v>
      </c>
      <c r="I2" s="13">
        <f>IF(Water!H4&lt;0,"0",Water!H4)</f>
        <v>2</v>
      </c>
      <c r="J2" s="3">
        <v>12.28</v>
      </c>
      <c r="K2" s="12">
        <v>0</v>
      </c>
    </row>
    <row r="3" spans="1:11" s="16" customFormat="1" x14ac:dyDescent="0.75">
      <c r="A3" s="26" t="s">
        <v>25</v>
      </c>
      <c r="B3" s="15">
        <f>B2+1</f>
        <v>2</v>
      </c>
      <c r="C3" s="3">
        <v>3</v>
      </c>
      <c r="D3" s="12">
        <v>2021</v>
      </c>
      <c r="E3" s="13">
        <v>1495.9</v>
      </c>
      <c r="F3" s="3">
        <v>0.62</v>
      </c>
      <c r="G3" s="13">
        <f>IF(Gas!J5&lt;0,"0",Gas!J5)</f>
        <v>0</v>
      </c>
      <c r="H3" s="3">
        <v>1.65</v>
      </c>
      <c r="I3" s="13">
        <f>IF(Water!H5&lt;0,"0",Water!H5)</f>
        <v>2</v>
      </c>
      <c r="J3" s="3">
        <v>12.28</v>
      </c>
      <c r="K3" s="12">
        <v>0</v>
      </c>
    </row>
    <row r="4" spans="1:11" s="16" customFormat="1" x14ac:dyDescent="0.7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v>1598</v>
      </c>
      <c r="F4" s="3">
        <v>0.62</v>
      </c>
      <c r="G4" s="13">
        <f>IF(Gas!J6&lt;0,"0",Gas!J6)</f>
        <v>0</v>
      </c>
      <c r="H4" s="3">
        <v>1.65</v>
      </c>
      <c r="I4" s="13">
        <f>IF(Water!H6&lt;0,"0",Water!H6)</f>
        <v>4</v>
      </c>
      <c r="J4" s="3">
        <v>12.28</v>
      </c>
      <c r="K4" s="12">
        <v>0</v>
      </c>
    </row>
    <row r="5" spans="1:11" s="16" customFormat="1" x14ac:dyDescent="0.7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Electricity!I8</f>
        <v>0</v>
      </c>
      <c r="F5" s="3">
        <v>0.62</v>
      </c>
      <c r="G5" s="13" t="str">
        <f>IF(Gas!J7&lt;0,"0",Gas!J7)</f>
        <v>0</v>
      </c>
      <c r="H5" s="3">
        <v>1.65</v>
      </c>
      <c r="I5" s="13" t="str">
        <f>IF(Water!H7&lt;0,"0",Water!H7)</f>
        <v>0</v>
      </c>
      <c r="J5" s="3">
        <v>12.28</v>
      </c>
      <c r="K5" s="12">
        <v>0</v>
      </c>
    </row>
    <row r="6" spans="1:11" s="16" customFormat="1" x14ac:dyDescent="0.7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Electricity!I9</f>
        <v>0</v>
      </c>
      <c r="F6" s="3">
        <v>0.62</v>
      </c>
      <c r="G6" s="13">
        <f>IF(Gas!J8&lt;0,"0",Gas!J8)</f>
        <v>0</v>
      </c>
      <c r="H6" s="3">
        <v>1.65</v>
      </c>
      <c r="I6" s="13">
        <f>IF(Water!H8&lt;0,"0",Water!H8)</f>
        <v>0</v>
      </c>
      <c r="J6" s="3">
        <v>12.28</v>
      </c>
      <c r="K6" s="12">
        <v>0</v>
      </c>
    </row>
    <row r="7" spans="1:11" s="16" customFormat="1" x14ac:dyDescent="0.7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Electricity!I10</f>
        <v>0</v>
      </c>
      <c r="F7" s="3">
        <v>0.62</v>
      </c>
      <c r="G7" s="13">
        <f>IF(Gas!J9&lt;0,"0",Gas!J9)</f>
        <v>0</v>
      </c>
      <c r="H7" s="3">
        <v>1.65</v>
      </c>
      <c r="I7" s="13">
        <f>IF(Water!H9&lt;0,"0",Water!H9)</f>
        <v>0</v>
      </c>
      <c r="J7" s="3">
        <v>12.28</v>
      </c>
      <c r="K7" s="12">
        <v>0</v>
      </c>
    </row>
    <row r="8" spans="1:11" s="16" customFormat="1" x14ac:dyDescent="0.7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Electricity!I11</f>
        <v>0</v>
      </c>
      <c r="F8" s="3">
        <v>0.62</v>
      </c>
      <c r="G8" s="13">
        <f>IF(Gas!J10&lt;0,"0",Gas!J10)</f>
        <v>0</v>
      </c>
      <c r="H8" s="3">
        <v>1.65</v>
      </c>
      <c r="I8" s="13">
        <f>IF(Water!H10&lt;0,"0",Water!H10)</f>
        <v>0</v>
      </c>
      <c r="J8" s="3">
        <v>12.28</v>
      </c>
      <c r="K8" s="12">
        <v>0</v>
      </c>
    </row>
    <row r="9" spans="1:11" s="16" customFormat="1" x14ac:dyDescent="0.7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Electricity!I12</f>
        <v>0</v>
      </c>
      <c r="F9" s="3">
        <v>0.62</v>
      </c>
      <c r="G9" s="13">
        <f>IF(Gas!J11&lt;0,"0",Gas!J11)</f>
        <v>0</v>
      </c>
      <c r="H9" s="3">
        <v>1.65</v>
      </c>
      <c r="I9" s="13">
        <f>IF(Water!H11&lt;0,"0",Water!H11)</f>
        <v>0</v>
      </c>
      <c r="J9" s="3">
        <v>12.28</v>
      </c>
      <c r="K9" s="12">
        <v>0</v>
      </c>
    </row>
    <row r="10" spans="1:11" s="16" customFormat="1" x14ac:dyDescent="0.7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Electricity!I13</f>
        <v>0</v>
      </c>
      <c r="F10" s="3">
        <v>0.62</v>
      </c>
      <c r="G10" s="13">
        <f>IF(Gas!J12&lt;0,"0",Gas!J12)</f>
        <v>0</v>
      </c>
      <c r="H10" s="3">
        <v>1.65</v>
      </c>
      <c r="I10" s="13">
        <f>IF(Water!H12&lt;0,"0",Water!H12)</f>
        <v>0</v>
      </c>
      <c r="J10" s="3">
        <v>12.28</v>
      </c>
      <c r="K10" s="12">
        <v>0</v>
      </c>
    </row>
    <row r="11" spans="1:11" s="16" customFormat="1" x14ac:dyDescent="0.7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Electricity!I14</f>
        <v>0</v>
      </c>
      <c r="F11" s="3">
        <v>0.62</v>
      </c>
      <c r="G11" s="13">
        <f>IF(Gas!J13&lt;0,"0",Gas!J13)</f>
        <v>0</v>
      </c>
      <c r="H11" s="3">
        <v>1.65</v>
      </c>
      <c r="I11" s="13">
        <f>IF(Water!H13&lt;0,"0",Water!H13)</f>
        <v>0</v>
      </c>
      <c r="J11" s="3">
        <v>12.28</v>
      </c>
      <c r="K11" s="12">
        <v>0</v>
      </c>
    </row>
    <row r="12" spans="1:11" s="16" customFormat="1" x14ac:dyDescent="0.7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Electricity!I15</f>
        <v>0</v>
      </c>
      <c r="F12" s="3">
        <v>0.62</v>
      </c>
      <c r="G12" s="13">
        <f>IF(Gas!J14&lt;0,"0",Gas!J14)</f>
        <v>0</v>
      </c>
      <c r="H12" s="3">
        <v>1.65</v>
      </c>
      <c r="I12" s="13">
        <f>IF(Water!H14&lt;0,"0",Water!H14)</f>
        <v>0</v>
      </c>
      <c r="J12" s="3">
        <v>12.28</v>
      </c>
      <c r="K12" s="12">
        <v>0</v>
      </c>
    </row>
    <row r="13" spans="1:11" s="16" customFormat="1" x14ac:dyDescent="0.7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Electricity!I16</f>
        <v>0</v>
      </c>
      <c r="F13" s="3">
        <v>0.62</v>
      </c>
      <c r="G13" s="13">
        <f>IF(Gas!J15&lt;0,"0",Gas!J15)</f>
        <v>0</v>
      </c>
      <c r="H13" s="3">
        <v>1.65</v>
      </c>
      <c r="I13" s="13">
        <f>IF(Water!H15&lt;0,"0",Water!H15)</f>
        <v>0</v>
      </c>
      <c r="J13" s="3">
        <v>12.28</v>
      </c>
      <c r="K13" s="12">
        <v>0</v>
      </c>
    </row>
    <row r="14" spans="1:11" s="16" customFormat="1" x14ac:dyDescent="0.7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Electricity!I17</f>
        <v>0</v>
      </c>
      <c r="F14" s="3">
        <v>0.62</v>
      </c>
      <c r="G14" s="13">
        <f>IF(Gas!J16&lt;0,"0",Gas!J16)</f>
        <v>0</v>
      </c>
      <c r="H14" s="3">
        <v>1.65</v>
      </c>
      <c r="I14" s="13">
        <f>IF(Water!H16&lt;0,"0",Water!H16)</f>
        <v>0</v>
      </c>
      <c r="J14" s="3">
        <v>12.28</v>
      </c>
      <c r="K14" s="12">
        <v>0</v>
      </c>
    </row>
    <row r="15" spans="1:11" s="16" customFormat="1" x14ac:dyDescent="0.7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Electricity!I18</f>
        <v>0</v>
      </c>
      <c r="F15" s="3">
        <v>0.62</v>
      </c>
      <c r="G15" s="13">
        <f>IF(Gas!J17&lt;0,"0",Gas!J17)</f>
        <v>0</v>
      </c>
      <c r="H15" s="3">
        <v>1.65</v>
      </c>
      <c r="I15" s="13">
        <f>IF(Water!H17&lt;0,"0",Water!H17)</f>
        <v>0</v>
      </c>
      <c r="J15" s="3">
        <v>12.28</v>
      </c>
      <c r="K15" s="12">
        <v>0</v>
      </c>
    </row>
    <row r="16" spans="1:11" s="16" customFormat="1" x14ac:dyDescent="0.7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Electricity!I19</f>
        <v>0</v>
      </c>
      <c r="F16" s="3">
        <v>0.62</v>
      </c>
      <c r="G16" s="13">
        <f>IF(Gas!J18&lt;0,"0",Gas!J18)</f>
        <v>0</v>
      </c>
      <c r="H16" s="3">
        <v>1.65</v>
      </c>
      <c r="I16" s="13">
        <f>IF(Water!H18&lt;0,"0",Water!H18)</f>
        <v>0</v>
      </c>
      <c r="J16" s="3">
        <v>12.28</v>
      </c>
      <c r="K16" s="12">
        <v>0</v>
      </c>
    </row>
    <row r="17" spans="1:11" s="16" customFormat="1" x14ac:dyDescent="0.7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Electricity!I20</f>
        <v>0</v>
      </c>
      <c r="F17" s="3">
        <v>0.62</v>
      </c>
      <c r="G17" s="13">
        <f>IF(Gas!J19&lt;0,"0",Gas!J19)</f>
        <v>0</v>
      </c>
      <c r="H17" s="3">
        <v>1.65</v>
      </c>
      <c r="I17" s="13">
        <f>IF(Water!H19&lt;0,"0",Water!H19)</f>
        <v>0</v>
      </c>
      <c r="J17" s="3">
        <v>12.28</v>
      </c>
      <c r="K17" s="12">
        <v>0</v>
      </c>
    </row>
    <row r="18" spans="1:11" s="16" customFormat="1" x14ac:dyDescent="0.7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Electricity!I21</f>
        <v>0</v>
      </c>
      <c r="F18" s="3">
        <v>0.62</v>
      </c>
      <c r="G18" s="13">
        <f>IF(Gas!J20&lt;0,"0",Gas!J20)</f>
        <v>0</v>
      </c>
      <c r="H18" s="3">
        <v>1.65</v>
      </c>
      <c r="I18" s="13">
        <f>IF(Water!H20&lt;0,"0",Water!H20)</f>
        <v>0</v>
      </c>
      <c r="J18" s="3">
        <v>12.28</v>
      </c>
      <c r="K18" s="12">
        <v>0</v>
      </c>
    </row>
    <row r="19" spans="1:11" s="16" customFormat="1" x14ac:dyDescent="0.7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Electricity!I22</f>
        <v>0</v>
      </c>
      <c r="F19" s="3">
        <v>0.62</v>
      </c>
      <c r="G19" s="13">
        <f>IF(Gas!J21&lt;0,"0",Gas!J21)</f>
        <v>0</v>
      </c>
      <c r="H19" s="3">
        <v>1.65</v>
      </c>
      <c r="I19" s="13">
        <f>IF(Water!H21&lt;0,"0",Water!H21)</f>
        <v>0</v>
      </c>
      <c r="J19" s="3">
        <v>12.28</v>
      </c>
      <c r="K19" s="12">
        <v>0</v>
      </c>
    </row>
    <row r="20" spans="1:11" s="16" customFormat="1" x14ac:dyDescent="0.7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Electricity!I23</f>
        <v>0</v>
      </c>
      <c r="F20" s="3">
        <v>0.62</v>
      </c>
      <c r="G20" s="13">
        <f>IF(Gas!J22&lt;0,"0",Gas!J22)</f>
        <v>0</v>
      </c>
      <c r="H20" s="3">
        <v>1.65</v>
      </c>
      <c r="I20" s="13">
        <f>IF(Water!H22&lt;0,"0",Water!H22)</f>
        <v>0</v>
      </c>
      <c r="J20" s="3">
        <v>12.28</v>
      </c>
      <c r="K20" s="12">
        <v>0</v>
      </c>
    </row>
    <row r="21" spans="1:11" s="16" customFormat="1" x14ac:dyDescent="0.7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Electricity!I24</f>
        <v>0</v>
      </c>
      <c r="F21" s="3">
        <v>0.62</v>
      </c>
      <c r="G21" s="13">
        <f>IF(Gas!J23&lt;0,"0",Gas!J23)</f>
        <v>0</v>
      </c>
      <c r="H21" s="3">
        <v>1.65</v>
      </c>
      <c r="I21" s="13">
        <f>IF(Water!H23&lt;0,"0",Water!H23)</f>
        <v>0</v>
      </c>
      <c r="J21" s="3">
        <v>12.28</v>
      </c>
      <c r="K21" s="12">
        <v>0</v>
      </c>
    </row>
    <row r="22" spans="1:11" s="16" customFormat="1" x14ac:dyDescent="0.7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Electricity!I25</f>
        <v>0</v>
      </c>
      <c r="F22" s="3">
        <v>0.62</v>
      </c>
      <c r="G22" s="13">
        <f>IF(Gas!J24&lt;0,"0",Gas!J24)</f>
        <v>0</v>
      </c>
      <c r="H22" s="3">
        <v>1.65</v>
      </c>
      <c r="I22" s="13">
        <f>IF(Water!H24&lt;0,"0",Water!H24)</f>
        <v>0</v>
      </c>
      <c r="J22" s="3">
        <v>12.28</v>
      </c>
      <c r="K22" s="12">
        <v>0</v>
      </c>
    </row>
    <row r="23" spans="1:11" s="16" customFormat="1" x14ac:dyDescent="0.7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Electricity!I26</f>
        <v>0</v>
      </c>
      <c r="F23" s="3">
        <v>0.62</v>
      </c>
      <c r="G23" s="13">
        <f>IF(Gas!J25&lt;0,"0",Gas!J25)</f>
        <v>0</v>
      </c>
      <c r="H23" s="3">
        <v>1.65</v>
      </c>
      <c r="I23" s="13">
        <f>IF(Water!H25&lt;0,"0",Water!H25)</f>
        <v>0</v>
      </c>
      <c r="J23" s="3">
        <v>12.28</v>
      </c>
      <c r="K23" s="12">
        <v>0</v>
      </c>
    </row>
    <row r="24" spans="1:11" s="16" customFormat="1" x14ac:dyDescent="0.7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Electricity!I27</f>
        <v>0</v>
      </c>
      <c r="F24" s="3">
        <v>0.62</v>
      </c>
      <c r="G24" s="13">
        <f>IF(Gas!J26&lt;0,"0",Gas!J26)</f>
        <v>0</v>
      </c>
      <c r="H24" s="3">
        <v>1.65</v>
      </c>
      <c r="I24" s="13">
        <f>IF(Water!H26&lt;0,"0",Water!H26)</f>
        <v>0</v>
      </c>
      <c r="J24" s="3">
        <v>12.28</v>
      </c>
      <c r="K24" s="12">
        <v>0</v>
      </c>
    </row>
    <row r="25" spans="1:11" s="16" customFormat="1" x14ac:dyDescent="0.7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Electricity!I28</f>
        <v>0</v>
      </c>
      <c r="F25" s="3">
        <v>0.62</v>
      </c>
      <c r="G25" s="13">
        <f>IF(Gas!J27&lt;0,"0",Gas!J27)</f>
        <v>0</v>
      </c>
      <c r="H25" s="3">
        <v>1.65</v>
      </c>
      <c r="I25" s="13">
        <f>IF(Water!H27&lt;0,"0",Water!H27)</f>
        <v>0</v>
      </c>
      <c r="J25" s="3">
        <v>12.28</v>
      </c>
      <c r="K25" s="12">
        <v>0</v>
      </c>
    </row>
    <row r="26" spans="1:11" s="16" customFormat="1" x14ac:dyDescent="0.7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Electricity!I29</f>
        <v>0</v>
      </c>
      <c r="F26" s="3">
        <v>0.62</v>
      </c>
      <c r="G26" s="13">
        <f>IF(Gas!J28&lt;0,"0",Gas!J28)</f>
        <v>0</v>
      </c>
      <c r="H26" s="3">
        <v>1.65</v>
      </c>
      <c r="I26" s="13">
        <f>IF(Water!H28&lt;0,"0",Water!H28)</f>
        <v>0</v>
      </c>
      <c r="J26" s="3">
        <v>12.28</v>
      </c>
      <c r="K26" s="12">
        <v>0</v>
      </c>
    </row>
    <row r="27" spans="1:11" s="16" customFormat="1" x14ac:dyDescent="0.7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Electricity!I30</f>
        <v>0</v>
      </c>
      <c r="F27" s="3">
        <v>0.62</v>
      </c>
      <c r="G27" s="13">
        <f>IF(Gas!J29&lt;0,"0",Gas!J29)</f>
        <v>0</v>
      </c>
      <c r="H27" s="3">
        <v>1.65</v>
      </c>
      <c r="I27" s="13">
        <f>IF(Water!H29&lt;0,"0",Water!H29)</f>
        <v>0</v>
      </c>
      <c r="J27" s="3">
        <v>12.28</v>
      </c>
      <c r="K27" s="12">
        <v>0</v>
      </c>
    </row>
    <row r="28" spans="1:11" s="16" customFormat="1" x14ac:dyDescent="0.7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Electricity!I31</f>
        <v>0</v>
      </c>
      <c r="F28" s="3">
        <v>0.62</v>
      </c>
      <c r="G28" s="13">
        <f>IF(Gas!J30&lt;0,"0",Gas!J30)</f>
        <v>0</v>
      </c>
      <c r="H28" s="3">
        <v>1.65</v>
      </c>
      <c r="I28" s="13">
        <f>IF(Water!H30&lt;0,"0",Water!H30)</f>
        <v>0</v>
      </c>
      <c r="J28" s="3">
        <v>12.28</v>
      </c>
      <c r="K28" s="12">
        <v>0</v>
      </c>
    </row>
    <row r="29" spans="1:11" s="16" customFormat="1" x14ac:dyDescent="0.7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Electricity!I32</f>
        <v>0</v>
      </c>
      <c r="F29" s="3">
        <v>0.62</v>
      </c>
      <c r="G29" s="13">
        <f>IF(Gas!J31&lt;0,"0",Gas!J31)</f>
        <v>0</v>
      </c>
      <c r="H29" s="3">
        <v>1.65</v>
      </c>
      <c r="I29" s="13">
        <f>IF(Water!H31&lt;0,"0",Water!H31)</f>
        <v>0</v>
      </c>
      <c r="J29" s="3">
        <v>12.28</v>
      </c>
      <c r="K29" s="12">
        <v>0</v>
      </c>
    </row>
    <row r="30" spans="1:11" s="16" customFormat="1" x14ac:dyDescent="0.7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Electricity!I33</f>
        <v>0</v>
      </c>
      <c r="F30" s="3">
        <v>0.62</v>
      </c>
      <c r="G30" s="13">
        <f>IF(Gas!J32&lt;0,"0",Gas!J32)</f>
        <v>0</v>
      </c>
      <c r="H30" s="3">
        <v>1.65</v>
      </c>
      <c r="I30" s="13">
        <f>IF(Water!H32&lt;0,"0",Water!H32)</f>
        <v>0</v>
      </c>
      <c r="J30" s="3">
        <v>12.28</v>
      </c>
      <c r="K30" s="12">
        <v>0</v>
      </c>
    </row>
    <row r="31" spans="1:11" s="14" customFormat="1" x14ac:dyDescent="0.7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Electricity!I34</f>
        <v>0</v>
      </c>
      <c r="F31" s="3">
        <v>0.62</v>
      </c>
      <c r="G31" s="13">
        <f>IF(Gas!J33&lt;0,"0",Gas!J33)</f>
        <v>0</v>
      </c>
      <c r="H31" s="3">
        <v>1.65</v>
      </c>
      <c r="I31" s="13">
        <f>IF(Water!H33&lt;0,"0",Water!H33)</f>
        <v>0</v>
      </c>
      <c r="J31" s="3">
        <v>12.28</v>
      </c>
      <c r="K31" s="12">
        <v>0</v>
      </c>
    </row>
    <row r="32" spans="1:11" s="14" customFormat="1" x14ac:dyDescent="0.7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Electricity!I35</f>
        <v>0</v>
      </c>
      <c r="F32" s="3">
        <v>0.62</v>
      </c>
      <c r="G32" s="13">
        <f>IF(Gas!J34&lt;0,"0",Gas!J34)</f>
        <v>0</v>
      </c>
      <c r="H32" s="3">
        <v>1.65</v>
      </c>
      <c r="I32" s="13">
        <f>IF(Water!H34&lt;0,"0",Water!H34)</f>
        <v>0</v>
      </c>
      <c r="J32" s="3">
        <v>12.28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59"/>
  <sheetViews>
    <sheetView workbookViewId="0">
      <selection activeCell="K47" sqref="K47"/>
    </sheetView>
  </sheetViews>
  <sheetFormatPr defaultColWidth="9.1328125" defaultRowHeight="13" x14ac:dyDescent="0.75"/>
  <cols>
    <col min="1" max="1" width="1.7265625" style="17" customWidth="1"/>
    <col min="2" max="2" width="5.7265625" style="17" customWidth="1"/>
    <col min="3" max="3" width="7.86328125" style="17" customWidth="1"/>
    <col min="4" max="4" width="12.7265625" style="17" customWidth="1"/>
    <col min="5" max="5" width="10.26953125" style="17" customWidth="1"/>
    <col min="6" max="6" width="10" style="17" customWidth="1"/>
    <col min="7" max="7" width="10.86328125" style="17" customWidth="1"/>
    <col min="8" max="8" width="11.26953125" style="17" customWidth="1"/>
    <col min="9" max="10" width="8.40625" style="17" customWidth="1"/>
    <col min="11" max="11" width="8.7265625" style="17" customWidth="1"/>
    <col min="12" max="16384" width="9.1328125" style="17"/>
  </cols>
  <sheetData>
    <row r="1" spans="2:15" ht="33" customHeight="1" x14ac:dyDescent="0.7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75">
      <c r="L2" s="32"/>
    </row>
    <row r="3" spans="2:15" s="33" customFormat="1" ht="31.5" x14ac:dyDescent="0.7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0.5" x14ac:dyDescent="0.7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0.5" x14ac:dyDescent="0.7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0.5" x14ac:dyDescent="0.7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0.5" x14ac:dyDescent="0.75">
      <c r="D7" s="40">
        <v>44259</v>
      </c>
      <c r="E7" s="24"/>
      <c r="F7" s="24">
        <v>1065</v>
      </c>
      <c r="G7" s="24">
        <f t="shared" si="0"/>
        <v>1065</v>
      </c>
      <c r="H7" s="25">
        <f t="shared" si="1"/>
        <v>-8933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0.5" x14ac:dyDescent="0.75">
      <c r="D8" s="40">
        <v>44260</v>
      </c>
      <c r="E8" s="24"/>
      <c r="F8" s="24">
        <v>1065</v>
      </c>
      <c r="G8" s="24">
        <f t="shared" si="0"/>
        <v>1065</v>
      </c>
      <c r="H8" s="25">
        <f t="shared" si="1"/>
        <v>0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0.5" x14ac:dyDescent="0.75">
      <c r="D9" s="40">
        <v>44261</v>
      </c>
      <c r="E9" s="24"/>
      <c r="F9" s="24">
        <v>1065</v>
      </c>
      <c r="G9" s="24">
        <f t="shared" si="0"/>
        <v>1065</v>
      </c>
      <c r="H9" s="25">
        <f t="shared" si="1"/>
        <v>0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0.5" x14ac:dyDescent="0.75">
      <c r="D10" s="40">
        <v>44262</v>
      </c>
      <c r="E10" s="24"/>
      <c r="F10" s="24">
        <v>1065</v>
      </c>
      <c r="G10" s="24">
        <f>E10+F10</f>
        <v>1065</v>
      </c>
      <c r="H10" s="25">
        <f t="shared" si="1"/>
        <v>0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0.5" x14ac:dyDescent="0.75">
      <c r="D11" s="40">
        <v>44263</v>
      </c>
      <c r="E11" s="24"/>
      <c r="F11" s="24">
        <v>1065</v>
      </c>
      <c r="G11" s="24">
        <f>E11+F11</f>
        <v>1065</v>
      </c>
      <c r="H11" s="25">
        <f t="shared" si="1"/>
        <v>0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0.5" x14ac:dyDescent="0.75">
      <c r="D12" s="40">
        <v>44264</v>
      </c>
      <c r="E12" s="24"/>
      <c r="F12" s="24">
        <v>1065</v>
      </c>
      <c r="G12" s="24">
        <f>E12+F12</f>
        <v>1065</v>
      </c>
      <c r="H12" s="25">
        <f t="shared" si="1"/>
        <v>0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0.5" x14ac:dyDescent="0.75">
      <c r="D13" s="40">
        <v>44265</v>
      </c>
      <c r="E13" s="24"/>
      <c r="F13" s="24">
        <v>1065</v>
      </c>
      <c r="G13" s="24">
        <f>E13+F13</f>
        <v>1065</v>
      </c>
      <c r="H13" s="25">
        <f t="shared" si="1"/>
        <v>0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0.5" x14ac:dyDescent="0.7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0.5" x14ac:dyDescent="0.7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0.5" x14ac:dyDescent="0.7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7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7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7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7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7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7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7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7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7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7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7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7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7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7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7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7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7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7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0.5" x14ac:dyDescent="0.7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75">
      <c r="H36" s="53"/>
      <c r="L36" s="32"/>
    </row>
    <row r="37" spans="2:14" x14ac:dyDescent="0.75">
      <c r="D37" s="54" t="s">
        <v>57</v>
      </c>
      <c r="L37" s="32"/>
    </row>
    <row r="38" spans="2:14" x14ac:dyDescent="0.75">
      <c r="L38" s="32"/>
    </row>
    <row r="39" spans="2:14" x14ac:dyDescent="0.75">
      <c r="D39" s="55" t="s">
        <v>32</v>
      </c>
      <c r="L39" s="32"/>
    </row>
    <row r="40" spans="2:14" x14ac:dyDescent="0.75">
      <c r="L40" s="32"/>
    </row>
    <row r="41" spans="2:14" x14ac:dyDescent="0.75">
      <c r="L41" s="32"/>
    </row>
    <row r="42" spans="2:14" x14ac:dyDescent="0.75">
      <c r="L42" s="32"/>
    </row>
    <row r="43" spans="2:14" x14ac:dyDescent="0.75">
      <c r="L43" s="32"/>
    </row>
    <row r="44" spans="2:14" x14ac:dyDescent="0.75">
      <c r="L44" s="32"/>
    </row>
    <row r="45" spans="2:14" x14ac:dyDescent="0.75">
      <c r="L45" s="32"/>
    </row>
    <row r="46" spans="2:14" x14ac:dyDescent="0.75">
      <c r="L46" s="32"/>
    </row>
    <row r="47" spans="2:14" x14ac:dyDescent="0.75">
      <c r="L47" s="32"/>
    </row>
    <row r="48" spans="2:14" x14ac:dyDescent="0.75">
      <c r="L48" s="32"/>
    </row>
    <row r="49" spans="12:12" x14ac:dyDescent="0.75">
      <c r="L49" s="32"/>
    </row>
    <row r="50" spans="12:12" x14ac:dyDescent="0.75">
      <c r="L50" s="32"/>
    </row>
    <row r="51" spans="12:12" x14ac:dyDescent="0.75">
      <c r="L51" s="32"/>
    </row>
    <row r="52" spans="12:12" x14ac:dyDescent="0.75">
      <c r="L52" s="32"/>
    </row>
    <row r="53" spans="12:12" x14ac:dyDescent="0.75">
      <c r="L53" s="32"/>
    </row>
    <row r="54" spans="12:12" x14ac:dyDescent="0.75">
      <c r="L54" s="32"/>
    </row>
    <row r="55" spans="12:12" x14ac:dyDescent="0.75">
      <c r="L55" s="32"/>
    </row>
    <row r="56" spans="12:12" x14ac:dyDescent="0.75">
      <c r="L56" s="32"/>
    </row>
    <row r="57" spans="12:12" x14ac:dyDescent="0.75">
      <c r="L57" s="32"/>
    </row>
    <row r="58" spans="12:12" x14ac:dyDescent="0.75">
      <c r="L58" s="32"/>
    </row>
    <row r="59" spans="12:12" x14ac:dyDescent="0.7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56"/>
  <sheetViews>
    <sheetView workbookViewId="0">
      <selection activeCell="P8" sqref="P8"/>
    </sheetView>
  </sheetViews>
  <sheetFormatPr defaultColWidth="9.1328125" defaultRowHeight="13" x14ac:dyDescent="0.75"/>
  <cols>
    <col min="1" max="1" width="5.40625" style="17" customWidth="1"/>
    <col min="2" max="2" width="4.40625" style="17" hidden="1" customWidth="1"/>
    <col min="3" max="3" width="5.86328125" style="17" hidden="1" customWidth="1"/>
    <col min="4" max="7" width="9.7265625" style="17" customWidth="1"/>
    <col min="8" max="8" width="7.7265625" style="17" customWidth="1"/>
    <col min="9" max="9" width="11.7265625" style="17" customWidth="1"/>
    <col min="10" max="10" width="10.7265625" style="17" customWidth="1"/>
    <col min="11" max="11" width="9.7265625" style="17" customWidth="1"/>
    <col min="12" max="12" width="9.86328125" style="17" hidden="1" customWidth="1"/>
    <col min="13" max="14" width="0" style="17" hidden="1" customWidth="1"/>
    <col min="15" max="16384" width="9.1328125" style="17"/>
  </cols>
  <sheetData>
    <row r="1" spans="2:18" ht="22.5" customHeight="1" x14ac:dyDescent="0.7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5" customHeight="1" x14ac:dyDescent="0.7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7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7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7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7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75">
      <c r="D7" s="40">
        <v>44259</v>
      </c>
      <c r="E7" s="24"/>
      <c r="F7" s="24"/>
      <c r="G7" s="24">
        <f t="shared" si="0"/>
        <v>0</v>
      </c>
      <c r="H7" s="18">
        <v>1.3011159999999999</v>
      </c>
      <c r="I7" s="24">
        <f t="shared" si="1"/>
        <v>0</v>
      </c>
      <c r="J7" s="25">
        <f t="shared" si="2"/>
        <v>-1213549.5920839999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75">
      <c r="D8" s="40">
        <v>44260</v>
      </c>
      <c r="E8" s="24"/>
      <c r="F8" s="24"/>
      <c r="G8" s="24">
        <f t="shared" si="0"/>
        <v>0</v>
      </c>
      <c r="H8" s="18">
        <v>1.3011159999999999</v>
      </c>
      <c r="I8" s="24">
        <f t="shared" si="1"/>
        <v>0</v>
      </c>
      <c r="J8" s="25">
        <f t="shared" si="2"/>
        <v>0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75">
      <c r="D9" s="40">
        <v>44261</v>
      </c>
      <c r="E9" s="24"/>
      <c r="F9" s="24"/>
      <c r="G9" s="24">
        <f t="shared" si="0"/>
        <v>0</v>
      </c>
      <c r="H9" s="18">
        <v>1.3011159999999999</v>
      </c>
      <c r="I9" s="24">
        <f t="shared" si="1"/>
        <v>0</v>
      </c>
      <c r="J9" s="25">
        <f t="shared" si="2"/>
        <v>0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0.5" x14ac:dyDescent="0.75">
      <c r="D10" s="40">
        <v>44262</v>
      </c>
      <c r="E10" s="24"/>
      <c r="F10" s="24"/>
      <c r="G10" s="24">
        <f>E10+F10</f>
        <v>0</v>
      </c>
      <c r="H10" s="18">
        <v>1.3011159999999999</v>
      </c>
      <c r="I10" s="24">
        <f>H10*G10</f>
        <v>0</v>
      </c>
      <c r="J10" s="25">
        <f t="shared" si="2"/>
        <v>0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75">
      <c r="D11" s="40">
        <v>44263</v>
      </c>
      <c r="E11" s="24"/>
      <c r="F11" s="24"/>
      <c r="G11" s="24">
        <f>E11+F11</f>
        <v>0</v>
      </c>
      <c r="H11" s="18">
        <v>1.3011159999999999</v>
      </c>
      <c r="I11" s="24">
        <f t="shared" ref="I11:I34" si="3">H11*G11</f>
        <v>0</v>
      </c>
      <c r="J11" s="25">
        <f t="shared" si="2"/>
        <v>0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75">
      <c r="D12" s="40">
        <v>44264</v>
      </c>
      <c r="E12" s="24"/>
      <c r="F12" s="24"/>
      <c r="G12" s="24">
        <f t="shared" ref="G12:G34" si="4">E12+F12</f>
        <v>0</v>
      </c>
      <c r="H12" s="18">
        <v>1.3011159999999999</v>
      </c>
      <c r="I12" s="24">
        <f t="shared" si="3"/>
        <v>0</v>
      </c>
      <c r="J12" s="25">
        <f t="shared" si="2"/>
        <v>0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75">
      <c r="D13" s="40">
        <v>44265</v>
      </c>
      <c r="E13" s="24"/>
      <c r="F13" s="24"/>
      <c r="G13" s="24">
        <f t="shared" si="4"/>
        <v>0</v>
      </c>
      <c r="H13" s="18">
        <v>1.3011159999999999</v>
      </c>
      <c r="I13" s="24">
        <f t="shared" si="3"/>
        <v>0</v>
      </c>
      <c r="J13" s="25">
        <f t="shared" si="2"/>
        <v>0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7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0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7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7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7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7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7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7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7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7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7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7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7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7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7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7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7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7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7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7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7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7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7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75"/>
    <row r="37" spans="4:18" ht="12.75" customHeight="1" x14ac:dyDescent="0.75">
      <c r="L37" s="53">
        <f>+AVERAGE(J4:J8)</f>
        <v>-242709.91841679998</v>
      </c>
      <c r="M37" s="17">
        <f>+(L37*31)</f>
        <v>-7524007.4709207993</v>
      </c>
    </row>
    <row r="38" spans="4:18" ht="12.75" customHeight="1" x14ac:dyDescent="0.75">
      <c r="D38" s="54" t="s">
        <v>54</v>
      </c>
    </row>
    <row r="39" spans="4:18" ht="12.75" customHeight="1" x14ac:dyDescent="0.75">
      <c r="D39" s="55" t="s">
        <v>32</v>
      </c>
    </row>
    <row r="40" spans="4:18" ht="12.75" customHeight="1" x14ac:dyDescent="0.75"/>
    <row r="41" spans="4:18" ht="12.75" customHeight="1" x14ac:dyDescent="0.75"/>
    <row r="42" spans="4:18" ht="12.75" customHeight="1" x14ac:dyDescent="0.75"/>
    <row r="43" spans="4:18" ht="12.75" customHeight="1" x14ac:dyDescent="0.75"/>
    <row r="44" spans="4:18" ht="12.75" customHeight="1" x14ac:dyDescent="0.75"/>
    <row r="45" spans="4:18" ht="12.75" customHeight="1" x14ac:dyDescent="0.75"/>
    <row r="46" spans="4:18" ht="12.75" customHeight="1" x14ac:dyDescent="0.75"/>
    <row r="47" spans="4:18" ht="12.75" customHeight="1" x14ac:dyDescent="0.75"/>
    <row r="48" spans="4:18" ht="12.75" customHeight="1" x14ac:dyDescent="0.75"/>
    <row r="49" ht="12.75" customHeight="1" x14ac:dyDescent="0.75"/>
    <row r="50" ht="12.75" customHeight="1" x14ac:dyDescent="0.75"/>
    <row r="51" ht="12.75" customHeight="1" x14ac:dyDescent="0.75"/>
    <row r="52" ht="12.75" customHeight="1" x14ac:dyDescent="0.75"/>
    <row r="53" ht="12.75" customHeight="1" x14ac:dyDescent="0.75"/>
    <row r="54" ht="12.75" customHeight="1" x14ac:dyDescent="0.75"/>
    <row r="55" ht="8.15" customHeight="1" x14ac:dyDescent="0.75"/>
    <row r="56" ht="12.75" customHeight="1" x14ac:dyDescent="0.7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AX85"/>
  <sheetViews>
    <sheetView topLeftCell="A13" workbookViewId="0">
      <selection activeCell="R54" sqref="R54"/>
    </sheetView>
  </sheetViews>
  <sheetFormatPr defaultRowHeight="14.75" x14ac:dyDescent="0.75"/>
  <cols>
    <col min="2" max="2" width="3.1328125" customWidth="1"/>
    <col min="3" max="3" width="9.1328125" style="74" hidden="1" customWidth="1"/>
    <col min="4" max="4" width="7.7265625" style="74" hidden="1" customWidth="1"/>
    <col min="5" max="5" width="9.26953125" customWidth="1"/>
    <col min="6" max="6" width="9.40625" bestFit="1" customWidth="1"/>
    <col min="8" max="8" width="10.40625" customWidth="1"/>
    <col min="9" max="9" width="12.86328125" customWidth="1"/>
    <col min="10" max="12" width="9.7265625" customWidth="1"/>
    <col min="13" max="13" width="9.1328125" customWidth="1"/>
    <col min="14" max="14" width="9.26953125" customWidth="1"/>
    <col min="15" max="16" width="9.1328125" customWidth="1"/>
    <col min="17" max="17" width="10.86328125" customWidth="1"/>
    <col min="18" max="19" width="9.1328125" customWidth="1"/>
    <col min="20" max="20" width="17.54296875" customWidth="1"/>
    <col min="21" max="21" width="12.26953125" customWidth="1"/>
    <col min="22" max="22" width="11.40625" customWidth="1"/>
    <col min="23" max="25" width="9.1328125" customWidth="1"/>
    <col min="26" max="26" width="10.86328125" customWidth="1"/>
    <col min="27" max="27" width="10" customWidth="1"/>
    <col min="28" max="28" width="9.1328125" customWidth="1"/>
    <col min="29" max="29" width="10" customWidth="1"/>
    <col min="30" max="30" width="12.7265625" customWidth="1"/>
    <col min="31" max="31" width="10.54296875" customWidth="1"/>
    <col min="32" max="32" width="11.40625" customWidth="1"/>
    <col min="33" max="34" width="9.1328125" customWidth="1"/>
    <col min="35" max="35" width="10.54296875" customWidth="1"/>
    <col min="36" max="39" width="9.40625" customWidth="1"/>
    <col min="40" max="40" width="9.1328125" customWidth="1"/>
    <col min="41" max="41" width="10.1328125" bestFit="1" customWidth="1"/>
    <col min="42" max="42" width="10.86328125" customWidth="1"/>
    <col min="43" max="43" width="10.1328125" customWidth="1"/>
    <col min="44" max="44" width="10.26953125" customWidth="1"/>
    <col min="45" max="46" width="11" customWidth="1"/>
    <col min="47" max="47" width="11.26953125" customWidth="1"/>
    <col min="48" max="48" width="12.1328125" customWidth="1"/>
    <col min="49" max="49" width="10.54296875" customWidth="1"/>
    <col min="50" max="50" width="9.1328125" customWidth="1"/>
  </cols>
  <sheetData>
    <row r="1" spans="3:50" ht="23.25" customHeight="1" x14ac:dyDescent="0.7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7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7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7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7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9">
        <f t="shared" ref="AP5:AP33" si="15">+(AO5-AO4)</f>
        <v>883.20000000111759</v>
      </c>
      <c r="AQ5" s="23">
        <f t="shared" si="6"/>
        <v>2798005.1999999997</v>
      </c>
      <c r="AR5" s="90">
        <f t="shared" ref="AR5:AR33" si="16">+(AQ5-AQ4)</f>
        <v>350.51999999955297</v>
      </c>
      <c r="AS5" s="23">
        <f t="shared" si="7"/>
        <v>3382940.28</v>
      </c>
      <c r="AT5" s="91">
        <f t="shared" ref="AT5:AT33" si="17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7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8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9">
        <f t="shared" si="15"/>
        <v>880.43999999947846</v>
      </c>
      <c r="AQ6" s="23">
        <f t="shared" si="6"/>
        <v>2798300.52</v>
      </c>
      <c r="AR6" s="90">
        <f t="shared" si="16"/>
        <v>295.32000000029802</v>
      </c>
      <c r="AS6" s="23">
        <f t="shared" si="7"/>
        <v>3383387.4</v>
      </c>
      <c r="AT6" s="91">
        <f t="shared" si="17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75">
      <c r="C7" s="80">
        <v>700</v>
      </c>
      <c r="D7" s="80">
        <v>3300</v>
      </c>
      <c r="E7" s="40">
        <v>44259</v>
      </c>
      <c r="F7" s="22"/>
      <c r="G7" s="23">
        <v>2760</v>
      </c>
      <c r="H7" s="24">
        <f t="shared" si="18"/>
        <v>0</v>
      </c>
      <c r="I7" s="25">
        <f t="shared" si="11"/>
        <v>-12804012.600000001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-12804012.600000001</v>
      </c>
      <c r="W7" s="87">
        <f t="shared" si="2"/>
        <v>2.674270095610496E-2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-12804012.600000001</v>
      </c>
      <c r="AF7" s="87">
        <f t="shared" si="5"/>
        <v>3.550079917915732E-2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9">
        <f t="shared" si="15"/>
        <v>-6481374.2400000002</v>
      </c>
      <c r="AQ7" s="23">
        <f t="shared" si="6"/>
        <v>0</v>
      </c>
      <c r="AR7" s="90">
        <f t="shared" si="16"/>
        <v>-2798300.52</v>
      </c>
      <c r="AS7" s="23">
        <f t="shared" si="7"/>
        <v>0</v>
      </c>
      <c r="AT7" s="91">
        <f t="shared" si="17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-12804012.600000001</v>
      </c>
      <c r="AX7" s="25">
        <f t="shared" si="10"/>
        <v>7258.0645000000004</v>
      </c>
    </row>
    <row r="8" spans="3:50" x14ac:dyDescent="0.75">
      <c r="C8" s="80">
        <v>700</v>
      </c>
      <c r="D8" s="80">
        <v>2900</v>
      </c>
      <c r="E8" s="40">
        <v>44260</v>
      </c>
      <c r="F8" s="22"/>
      <c r="G8" s="23">
        <v>2760</v>
      </c>
      <c r="H8" s="24">
        <f t="shared" si="18"/>
        <v>0</v>
      </c>
      <c r="I8" s="25">
        <f t="shared" si="11"/>
        <v>0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0</v>
      </c>
      <c r="W8" s="87" t="e">
        <f t="shared" si="2"/>
        <v>#DIV/0!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0</v>
      </c>
      <c r="AF8" s="87" t="e">
        <f t="shared" si="5"/>
        <v>#DIV/0!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9">
        <f t="shared" si="15"/>
        <v>0</v>
      </c>
      <c r="AQ8" s="23">
        <f t="shared" si="6"/>
        <v>0</v>
      </c>
      <c r="AR8" s="90">
        <f t="shared" si="16"/>
        <v>0</v>
      </c>
      <c r="AS8" s="23">
        <f t="shared" si="7"/>
        <v>0</v>
      </c>
      <c r="AT8" s="91">
        <f t="shared" si="17"/>
        <v>0</v>
      </c>
      <c r="AU8" s="92">
        <f>+(AP8+AR8+AT8)</f>
        <v>0</v>
      </c>
      <c r="AV8" s="24">
        <f t="shared" si="9"/>
        <v>0</v>
      </c>
      <c r="AW8" s="25">
        <f t="shared" si="10"/>
        <v>0</v>
      </c>
      <c r="AX8" s="25" t="e">
        <f>+(#REF!)</f>
        <v>#REF!</v>
      </c>
    </row>
    <row r="9" spans="3:50" x14ac:dyDescent="0.75">
      <c r="C9" s="80">
        <v>1500</v>
      </c>
      <c r="D9" s="80">
        <v>2600</v>
      </c>
      <c r="E9" s="40">
        <v>44261</v>
      </c>
      <c r="F9" s="22"/>
      <c r="G9" s="23">
        <v>2760</v>
      </c>
      <c r="H9" s="24">
        <f t="shared" si="18"/>
        <v>0</v>
      </c>
      <c r="I9" s="25">
        <f t="shared" si="11"/>
        <v>0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0</v>
      </c>
      <c r="W9" s="87" t="e">
        <f t="shared" si="2"/>
        <v>#DIV/0!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0</v>
      </c>
      <c r="AF9" s="87" t="e">
        <f t="shared" si="5"/>
        <v>#DIV/0!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9">
        <f t="shared" si="15"/>
        <v>0</v>
      </c>
      <c r="AQ9" s="23">
        <f t="shared" si="6"/>
        <v>0</v>
      </c>
      <c r="AR9" s="90">
        <f t="shared" si="16"/>
        <v>0</v>
      </c>
      <c r="AS9" s="23">
        <f t="shared" si="7"/>
        <v>0</v>
      </c>
      <c r="AT9" s="91">
        <f t="shared" si="17"/>
        <v>0</v>
      </c>
      <c r="AU9" s="92">
        <f t="shared" si="8"/>
        <v>0</v>
      </c>
      <c r="AV9" s="24">
        <f>AN9*AJ9</f>
        <v>0</v>
      </c>
      <c r="AW9" s="25">
        <f t="shared" si="10"/>
        <v>0</v>
      </c>
      <c r="AX9" s="25">
        <f>+(J9)</f>
        <v>7258.0645000000004</v>
      </c>
    </row>
    <row r="10" spans="3:50" x14ac:dyDescent="0.75">
      <c r="C10" s="80">
        <v>1900</v>
      </c>
      <c r="D10" s="80">
        <v>2700</v>
      </c>
      <c r="E10" s="40">
        <v>44262</v>
      </c>
      <c r="F10" s="22"/>
      <c r="G10" s="23">
        <v>2760</v>
      </c>
      <c r="H10" s="24">
        <f t="shared" si="18"/>
        <v>0</v>
      </c>
      <c r="I10" s="25">
        <f t="shared" si="11"/>
        <v>0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0</v>
      </c>
      <c r="W10" s="87" t="e">
        <f t="shared" si="2"/>
        <v>#DIV/0!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0</v>
      </c>
      <c r="AF10" s="87" t="e">
        <f>AD10/AE10</f>
        <v>#DIV/0!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9">
        <f t="shared" si="15"/>
        <v>0</v>
      </c>
      <c r="AQ10" s="23">
        <f t="shared" si="6"/>
        <v>0</v>
      </c>
      <c r="AR10" s="90">
        <f t="shared" si="16"/>
        <v>0</v>
      </c>
      <c r="AS10" s="23">
        <f t="shared" si="7"/>
        <v>0</v>
      </c>
      <c r="AT10" s="91">
        <f t="shared" si="17"/>
        <v>0</v>
      </c>
      <c r="AU10" s="92">
        <f t="shared" si="8"/>
        <v>0</v>
      </c>
      <c r="AV10" s="24">
        <f t="shared" si="9"/>
        <v>0</v>
      </c>
      <c r="AW10" s="25">
        <f t="shared" si="10"/>
        <v>0</v>
      </c>
      <c r="AX10" s="25">
        <f t="shared" si="10"/>
        <v>7258.0645000000004</v>
      </c>
    </row>
    <row r="11" spans="3:50" x14ac:dyDescent="0.75">
      <c r="C11" s="80">
        <v>2200</v>
      </c>
      <c r="D11" s="80">
        <v>2700</v>
      </c>
      <c r="E11" s="40">
        <v>44263</v>
      </c>
      <c r="F11" s="22"/>
      <c r="G11" s="23">
        <v>2760</v>
      </c>
      <c r="H11" s="24">
        <f>G11*F11</f>
        <v>0</v>
      </c>
      <c r="I11" s="25">
        <f t="shared" si="11"/>
        <v>0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0</v>
      </c>
      <c r="W11" s="87" t="e">
        <f t="shared" si="2"/>
        <v>#DIV/0!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0</v>
      </c>
      <c r="AF11" s="87" t="e">
        <f>AD11/AE11</f>
        <v>#DIV/0!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9">
        <f>+(AO11-AO10)</f>
        <v>0</v>
      </c>
      <c r="AQ11" s="23">
        <f t="shared" si="6"/>
        <v>0</v>
      </c>
      <c r="AR11" s="90">
        <f t="shared" si="16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7258.0645000000004</v>
      </c>
    </row>
    <row r="12" spans="3:50" x14ac:dyDescent="0.75">
      <c r="C12" s="80">
        <v>2600</v>
      </c>
      <c r="D12" s="80">
        <v>2700</v>
      </c>
      <c r="E12" s="40">
        <v>44264</v>
      </c>
      <c r="F12" s="22"/>
      <c r="G12" s="23">
        <v>2760</v>
      </c>
      <c r="H12" s="24">
        <f>G12*F12</f>
        <v>0</v>
      </c>
      <c r="I12" s="25">
        <f t="shared" si="11"/>
        <v>0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0</v>
      </c>
      <c r="W12" s="87" t="e">
        <f t="shared" si="2"/>
        <v>#DIV/0!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0</v>
      </c>
      <c r="AF12" s="87" t="e">
        <f>AD12/AE12</f>
        <v>#DIV/0!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9">
        <f t="shared" si="15"/>
        <v>0</v>
      </c>
      <c r="AQ12" s="23">
        <f t="shared" si="6"/>
        <v>0</v>
      </c>
      <c r="AR12" s="90">
        <f t="shared" si="16"/>
        <v>0</v>
      </c>
      <c r="AS12" s="23">
        <f t="shared" si="7"/>
        <v>0</v>
      </c>
      <c r="AT12" s="91">
        <f t="shared" si="17"/>
        <v>0</v>
      </c>
      <c r="AU12" s="92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7258.0645000000004</v>
      </c>
    </row>
    <row r="13" spans="3:50" x14ac:dyDescent="0.75">
      <c r="C13" s="80">
        <v>1500</v>
      </c>
      <c r="D13" s="80">
        <v>2700</v>
      </c>
      <c r="E13" s="40">
        <v>44265</v>
      </c>
      <c r="F13" s="22"/>
      <c r="G13" s="23">
        <v>2760</v>
      </c>
      <c r="H13" s="24">
        <f>G13*F13</f>
        <v>0</v>
      </c>
      <c r="I13" s="25">
        <f t="shared" si="11"/>
        <v>0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0</v>
      </c>
      <c r="W13" s="87" t="e">
        <f t="shared" si="2"/>
        <v>#DIV/0!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0</v>
      </c>
      <c r="AF13" s="87" t="e">
        <f>AD13/AE13</f>
        <v>#DIV/0!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9">
        <f t="shared" si="15"/>
        <v>0</v>
      </c>
      <c r="AQ13" s="23">
        <f t="shared" si="6"/>
        <v>0</v>
      </c>
      <c r="AR13" s="90">
        <f t="shared" si="16"/>
        <v>0</v>
      </c>
      <c r="AS13" s="23">
        <f t="shared" si="7"/>
        <v>0</v>
      </c>
      <c r="AT13" s="91">
        <f t="shared" si="17"/>
        <v>0</v>
      </c>
      <c r="AU13" s="92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7258.0645000000004</v>
      </c>
    </row>
    <row r="14" spans="3:50" x14ac:dyDescent="0.7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1"/>
        <v>0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0</v>
      </c>
      <c r="W14" s="87" t="e">
        <f t="shared" si="2"/>
        <v>#DIV/0!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0</v>
      </c>
      <c r="AF14" s="87" t="e">
        <f>AD14/AE14</f>
        <v>#DIV/0!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9">
        <f t="shared" si="15"/>
        <v>0</v>
      </c>
      <c r="AQ14" s="23">
        <f t="shared" si="6"/>
        <v>0</v>
      </c>
      <c r="AR14" s="90">
        <f t="shared" si="16"/>
        <v>0</v>
      </c>
      <c r="AS14" s="23">
        <f t="shared" si="7"/>
        <v>0</v>
      </c>
      <c r="AT14" s="91">
        <f t="shared" si="17"/>
        <v>0</v>
      </c>
      <c r="AU14" s="92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7258.0645000000004</v>
      </c>
    </row>
    <row r="15" spans="3:50" x14ac:dyDescent="0.7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19">G15*F15</f>
        <v>0</v>
      </c>
      <c r="I15" s="25">
        <f t="shared" si="11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0</v>
      </c>
      <c r="AF15" s="87" t="e">
        <f t="shared" ref="AF15:AF35" si="26">AD15/AE15</f>
        <v>#DIV/0!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9">
        <f t="shared" si="15"/>
        <v>0</v>
      </c>
      <c r="AQ15" s="23">
        <f t="shared" si="6"/>
        <v>0</v>
      </c>
      <c r="AR15" s="90">
        <f t="shared" si="16"/>
        <v>0</v>
      </c>
      <c r="AS15" s="23">
        <f t="shared" si="7"/>
        <v>0</v>
      </c>
      <c r="AT15" s="91">
        <f t="shared" si="17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0</v>
      </c>
      <c r="AX15" s="25">
        <f t="shared" si="10"/>
        <v>7258.0645000000004</v>
      </c>
    </row>
    <row r="16" spans="3:50" x14ac:dyDescent="0.7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19"/>
        <v>0</v>
      </c>
      <c r="I16" s="25">
        <f t="shared" si="11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0</v>
      </c>
      <c r="AF16" s="87" t="e">
        <f t="shared" si="26"/>
        <v>#DIV/0!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9">
        <f t="shared" si="15"/>
        <v>0</v>
      </c>
      <c r="AQ16" s="23">
        <f t="shared" si="6"/>
        <v>0</v>
      </c>
      <c r="AR16" s="90">
        <f t="shared" si="16"/>
        <v>0</v>
      </c>
      <c r="AS16" s="23">
        <f t="shared" si="7"/>
        <v>0</v>
      </c>
      <c r="AT16" s="91">
        <f t="shared" si="17"/>
        <v>0</v>
      </c>
      <c r="AU16" s="92">
        <f t="shared" si="8"/>
        <v>0</v>
      </c>
      <c r="AV16" s="24">
        <f t="shared" si="9"/>
        <v>0</v>
      </c>
      <c r="AW16" s="25">
        <f t="shared" si="27"/>
        <v>0</v>
      </c>
      <c r="AX16" s="25">
        <f t="shared" si="10"/>
        <v>7258.0645000000004</v>
      </c>
    </row>
    <row r="17" spans="3:50" x14ac:dyDescent="0.7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19"/>
        <v>0</v>
      </c>
      <c r="I17" s="25">
        <f t="shared" si="11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0</v>
      </c>
      <c r="AF17" s="87" t="e">
        <f t="shared" si="26"/>
        <v>#DIV/0!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9">
        <f t="shared" si="15"/>
        <v>0</v>
      </c>
      <c r="AQ17" s="23">
        <f t="shared" si="6"/>
        <v>0</v>
      </c>
      <c r="AR17" s="90">
        <f t="shared" si="16"/>
        <v>0</v>
      </c>
      <c r="AS17" s="23">
        <f t="shared" si="7"/>
        <v>0</v>
      </c>
      <c r="AT17" s="91">
        <f t="shared" si="17"/>
        <v>0</v>
      </c>
      <c r="AU17" s="92">
        <f t="shared" si="8"/>
        <v>0</v>
      </c>
      <c r="AV17" s="24">
        <f t="shared" si="9"/>
        <v>0</v>
      </c>
      <c r="AW17" s="25">
        <f t="shared" si="27"/>
        <v>0</v>
      </c>
      <c r="AX17" s="25">
        <f t="shared" si="10"/>
        <v>7258.0645000000004</v>
      </c>
    </row>
    <row r="18" spans="3:50" x14ac:dyDescent="0.7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19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0</v>
      </c>
      <c r="AF18" s="87" t="e">
        <f t="shared" si="26"/>
        <v>#DIV/0!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9">
        <f t="shared" si="15"/>
        <v>0</v>
      </c>
      <c r="AQ18" s="23">
        <f t="shared" si="6"/>
        <v>0</v>
      </c>
      <c r="AR18" s="90">
        <f t="shared" si="16"/>
        <v>0</v>
      </c>
      <c r="AS18" s="23">
        <f t="shared" si="7"/>
        <v>0</v>
      </c>
      <c r="AT18" s="91">
        <f t="shared" si="17"/>
        <v>0</v>
      </c>
      <c r="AU18" s="92">
        <f t="shared" si="8"/>
        <v>0</v>
      </c>
      <c r="AV18" s="24">
        <f t="shared" si="9"/>
        <v>0</v>
      </c>
      <c r="AW18" s="25">
        <f t="shared" si="27"/>
        <v>0</v>
      </c>
      <c r="AX18" s="25">
        <f t="shared" si="10"/>
        <v>7258.0645000000004</v>
      </c>
    </row>
    <row r="19" spans="3:50" x14ac:dyDescent="0.7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19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0</v>
      </c>
      <c r="AF19" s="87" t="e">
        <f t="shared" si="26"/>
        <v>#DIV/0!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9">
        <f t="shared" si="15"/>
        <v>0</v>
      </c>
      <c r="AQ19" s="23">
        <f t="shared" si="6"/>
        <v>0</v>
      </c>
      <c r="AR19" s="90">
        <f t="shared" si="16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0</v>
      </c>
      <c r="AX19" s="25">
        <f t="shared" si="10"/>
        <v>7258.0645000000004</v>
      </c>
    </row>
    <row r="20" spans="3:50" x14ac:dyDescent="0.7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19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0</v>
      </c>
      <c r="AF20" s="87" t="e">
        <f t="shared" si="26"/>
        <v>#DIV/0!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9">
        <f t="shared" si="15"/>
        <v>0</v>
      </c>
      <c r="AQ20" s="23">
        <f t="shared" si="6"/>
        <v>0</v>
      </c>
      <c r="AR20" s="90">
        <f t="shared" si="16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0</v>
      </c>
      <c r="AX20" s="25">
        <f t="shared" si="27"/>
        <v>7258.0645000000004</v>
      </c>
    </row>
    <row r="21" spans="3:50" x14ac:dyDescent="0.7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19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9">
        <f t="shared" si="15"/>
        <v>0</v>
      </c>
      <c r="AQ21" s="23">
        <f t="shared" si="6"/>
        <v>0</v>
      </c>
      <c r="AR21" s="90">
        <f t="shared" si="16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0</v>
      </c>
      <c r="AX21" s="25">
        <f t="shared" si="27"/>
        <v>7258.0645000000004</v>
      </c>
    </row>
    <row r="22" spans="3:50" x14ac:dyDescent="0.7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19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0</v>
      </c>
      <c r="AF22" s="87" t="e">
        <f t="shared" si="26"/>
        <v>#DIV/0!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9">
        <f t="shared" si="15"/>
        <v>0</v>
      </c>
      <c r="AQ22" s="23">
        <f t="shared" si="6"/>
        <v>0</v>
      </c>
      <c r="AR22" s="90">
        <f t="shared" si="16"/>
        <v>0</v>
      </c>
      <c r="AS22" s="23">
        <f t="shared" si="7"/>
        <v>0</v>
      </c>
      <c r="AT22" s="91">
        <f t="shared" si="17"/>
        <v>0</v>
      </c>
      <c r="AU22" s="92">
        <f t="shared" si="8"/>
        <v>0</v>
      </c>
      <c r="AV22" s="24">
        <f t="shared" si="9"/>
        <v>0</v>
      </c>
      <c r="AW22" s="25">
        <f t="shared" si="27"/>
        <v>0</v>
      </c>
      <c r="AX22" s="25">
        <f t="shared" si="27"/>
        <v>7258.0645000000004</v>
      </c>
    </row>
    <row r="23" spans="3:50" x14ac:dyDescent="0.7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19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0</v>
      </c>
      <c r="AF23" s="87" t="e">
        <f t="shared" si="26"/>
        <v>#DIV/0!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9">
        <f t="shared" si="15"/>
        <v>0</v>
      </c>
      <c r="AQ23" s="23">
        <f t="shared" si="6"/>
        <v>0</v>
      </c>
      <c r="AR23" s="90">
        <f t="shared" si="16"/>
        <v>0</v>
      </c>
      <c r="AS23" s="23">
        <f t="shared" si="7"/>
        <v>0</v>
      </c>
      <c r="AT23" s="91">
        <f t="shared" si="17"/>
        <v>0</v>
      </c>
      <c r="AU23" s="92">
        <f t="shared" si="8"/>
        <v>0</v>
      </c>
      <c r="AV23" s="24">
        <f t="shared" si="9"/>
        <v>0</v>
      </c>
      <c r="AW23" s="25">
        <f t="shared" si="27"/>
        <v>0</v>
      </c>
      <c r="AX23" s="25">
        <f t="shared" si="27"/>
        <v>7258.0645000000004</v>
      </c>
    </row>
    <row r="24" spans="3:50" x14ac:dyDescent="0.7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19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0</v>
      </c>
      <c r="AF24" s="87" t="e">
        <f t="shared" si="26"/>
        <v>#DIV/0!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9">
        <f t="shared" si="15"/>
        <v>0</v>
      </c>
      <c r="AQ24" s="23">
        <f t="shared" si="6"/>
        <v>0</v>
      </c>
      <c r="AR24" s="90">
        <f t="shared" si="16"/>
        <v>0</v>
      </c>
      <c r="AS24" s="23">
        <f t="shared" si="7"/>
        <v>0</v>
      </c>
      <c r="AT24" s="91">
        <f t="shared" si="17"/>
        <v>0</v>
      </c>
      <c r="AU24" s="92">
        <f t="shared" si="8"/>
        <v>0</v>
      </c>
      <c r="AV24" s="24">
        <f t="shared" si="9"/>
        <v>0</v>
      </c>
      <c r="AW24" s="25">
        <f t="shared" si="27"/>
        <v>0</v>
      </c>
      <c r="AX24" s="25">
        <f t="shared" si="27"/>
        <v>7258.0645000000004</v>
      </c>
    </row>
    <row r="25" spans="3:50" x14ac:dyDescent="0.7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19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28">T25-T24</f>
        <v>0</v>
      </c>
      <c r="V25" s="25">
        <f t="shared" si="22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0</v>
      </c>
      <c r="AF25" s="87" t="e">
        <f t="shared" si="26"/>
        <v>#DIV/0!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9">
        <f t="shared" si="15"/>
        <v>0</v>
      </c>
      <c r="AQ25" s="23">
        <f t="shared" si="6"/>
        <v>0</v>
      </c>
      <c r="AR25" s="90">
        <f t="shared" si="16"/>
        <v>0</v>
      </c>
      <c r="AS25" s="23">
        <f t="shared" si="7"/>
        <v>0</v>
      </c>
      <c r="AT25" s="91">
        <f t="shared" si="17"/>
        <v>0</v>
      </c>
      <c r="AU25" s="92">
        <f t="shared" si="8"/>
        <v>0</v>
      </c>
      <c r="AV25" s="24">
        <f t="shared" si="9"/>
        <v>0</v>
      </c>
      <c r="AW25" s="25">
        <f t="shared" si="27"/>
        <v>0</v>
      </c>
      <c r="AX25" s="25">
        <f t="shared" si="27"/>
        <v>7258.0645000000004</v>
      </c>
    </row>
    <row r="26" spans="3:50" x14ac:dyDescent="0.7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19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28"/>
        <v>0</v>
      </c>
      <c r="V26" s="99">
        <f t="shared" si="22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0</v>
      </c>
      <c r="AF26" s="100" t="e">
        <f>AD26/AE26</f>
        <v>#DIV/0!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9">
        <f t="shared" si="15"/>
        <v>0</v>
      </c>
      <c r="AQ26" s="28">
        <f t="shared" si="6"/>
        <v>0</v>
      </c>
      <c r="AR26" s="90">
        <f t="shared" si="16"/>
        <v>0</v>
      </c>
      <c r="AS26" s="28">
        <f t="shared" si="7"/>
        <v>0</v>
      </c>
      <c r="AT26" s="91">
        <f t="shared" si="17"/>
        <v>0</v>
      </c>
      <c r="AU26" s="92">
        <f t="shared" si="8"/>
        <v>0</v>
      </c>
      <c r="AV26" s="29">
        <f t="shared" si="9"/>
        <v>0</v>
      </c>
      <c r="AW26" s="25">
        <f t="shared" si="27"/>
        <v>0</v>
      </c>
      <c r="AX26" s="25">
        <f t="shared" si="27"/>
        <v>7258.0645000000004</v>
      </c>
    </row>
    <row r="27" spans="3:50" x14ac:dyDescent="0.7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19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28"/>
        <v>0</v>
      </c>
      <c r="V27" s="99">
        <f t="shared" si="22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9">
        <f t="shared" si="15"/>
        <v>0</v>
      </c>
      <c r="AQ27" s="28">
        <f t="shared" si="6"/>
        <v>0</v>
      </c>
      <c r="AR27" s="90">
        <f t="shared" si="16"/>
        <v>0</v>
      </c>
      <c r="AS27" s="28">
        <f t="shared" si="7"/>
        <v>0</v>
      </c>
      <c r="AT27" s="91">
        <f t="shared" si="17"/>
        <v>0</v>
      </c>
      <c r="AU27" s="92">
        <f t="shared" si="8"/>
        <v>0</v>
      </c>
      <c r="AV27" s="29">
        <f t="shared" si="9"/>
        <v>0</v>
      </c>
      <c r="AW27" s="25">
        <f t="shared" si="27"/>
        <v>0</v>
      </c>
      <c r="AX27" s="25">
        <f t="shared" si="27"/>
        <v>7258.0645000000004</v>
      </c>
    </row>
    <row r="28" spans="3:50" x14ac:dyDescent="0.7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19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28"/>
        <v>0</v>
      </c>
      <c r="V28" s="99">
        <f t="shared" si="22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9">
        <f t="shared" si="15"/>
        <v>0</v>
      </c>
      <c r="AQ28" s="28">
        <f t="shared" si="6"/>
        <v>0</v>
      </c>
      <c r="AR28" s="90">
        <f t="shared" si="16"/>
        <v>0</v>
      </c>
      <c r="AS28" s="28">
        <f t="shared" si="7"/>
        <v>0</v>
      </c>
      <c r="AT28" s="91">
        <f t="shared" si="17"/>
        <v>0</v>
      </c>
      <c r="AU28" s="92">
        <f t="shared" si="8"/>
        <v>0</v>
      </c>
      <c r="AV28" s="29">
        <f>AN28*AJ28</f>
        <v>0</v>
      </c>
      <c r="AW28" s="25">
        <f t="shared" si="27"/>
        <v>0</v>
      </c>
      <c r="AX28" s="25">
        <f t="shared" si="27"/>
        <v>7258.0645000000004</v>
      </c>
    </row>
    <row r="29" spans="3:50" x14ac:dyDescent="0.7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19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28"/>
        <v>0</v>
      </c>
      <c r="V29" s="99">
        <f t="shared" si="22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0</v>
      </c>
      <c r="AF29" s="100" t="e">
        <f t="shared" si="26"/>
        <v>#DIV/0!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9">
        <f t="shared" si="15"/>
        <v>0</v>
      </c>
      <c r="AQ29" s="28">
        <f t="shared" si="6"/>
        <v>0</v>
      </c>
      <c r="AR29" s="90">
        <f t="shared" si="16"/>
        <v>0</v>
      </c>
      <c r="AS29" s="28">
        <f t="shared" si="7"/>
        <v>0</v>
      </c>
      <c r="AT29" s="91">
        <f t="shared" si="17"/>
        <v>0</v>
      </c>
      <c r="AU29" s="92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7258.0645000000004</v>
      </c>
    </row>
    <row r="30" spans="3:50" x14ac:dyDescent="0.7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19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28"/>
        <v>0</v>
      </c>
      <c r="V30" s="99">
        <f t="shared" si="22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0</v>
      </c>
      <c r="AF30" s="100" t="e">
        <f t="shared" si="26"/>
        <v>#DIV/0!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9">
        <f t="shared" si="15"/>
        <v>0</v>
      </c>
      <c r="AQ30" s="28">
        <f t="shared" si="6"/>
        <v>0</v>
      </c>
      <c r="AR30" s="90">
        <f t="shared" si="16"/>
        <v>0</v>
      </c>
      <c r="AS30" s="28">
        <f t="shared" si="7"/>
        <v>0</v>
      </c>
      <c r="AT30" s="91">
        <f t="shared" si="17"/>
        <v>0</v>
      </c>
      <c r="AU30" s="92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7258.0645000000004</v>
      </c>
    </row>
    <row r="31" spans="3:50" x14ac:dyDescent="0.7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19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28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9">
        <f t="shared" si="15"/>
        <v>0</v>
      </c>
      <c r="AQ31" s="28">
        <f t="shared" si="6"/>
        <v>0</v>
      </c>
      <c r="AR31" s="90">
        <f t="shared" si="16"/>
        <v>0</v>
      </c>
      <c r="AS31" s="28">
        <f t="shared" si="7"/>
        <v>0</v>
      </c>
      <c r="AT31" s="91">
        <f t="shared" si="17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7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19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28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9">
        <f t="shared" si="15"/>
        <v>0</v>
      </c>
      <c r="AQ32" s="28">
        <f t="shared" si="6"/>
        <v>0</v>
      </c>
      <c r="AR32" s="90">
        <f t="shared" si="16"/>
        <v>0</v>
      </c>
      <c r="AS32" s="28">
        <f t="shared" si="7"/>
        <v>0</v>
      </c>
      <c r="AT32" s="91">
        <f t="shared" si="17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7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19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28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9">
        <f t="shared" si="15"/>
        <v>0</v>
      </c>
      <c r="AQ33" s="28">
        <f t="shared" si="6"/>
        <v>0</v>
      </c>
      <c r="AR33" s="90">
        <f t="shared" si="16"/>
        <v>0</v>
      </c>
      <c r="AS33" s="28">
        <f t="shared" si="7"/>
        <v>0</v>
      </c>
      <c r="AT33" s="91">
        <f t="shared" si="17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75">
      <c r="C34" s="80"/>
      <c r="D34" s="80"/>
      <c r="E34" s="40">
        <v>44286</v>
      </c>
      <c r="F34" s="27"/>
      <c r="G34" s="23">
        <v>2760</v>
      </c>
      <c r="H34" s="24">
        <f t="shared" si="19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75">
      <c r="C35" s="80"/>
      <c r="D35" s="80"/>
      <c r="E35" s="40">
        <v>44287</v>
      </c>
      <c r="F35" s="27"/>
      <c r="G35" s="23">
        <v>2760</v>
      </c>
      <c r="H35" s="24">
        <f t="shared" si="19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4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7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2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7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7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7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7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7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7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7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7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7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7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7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7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7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7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7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7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7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7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7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7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7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7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7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7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7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7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7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7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7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7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7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7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7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7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7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7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7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7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7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7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7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7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7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7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7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7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7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7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7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Ronald Diab</cp:lastModifiedBy>
  <dcterms:created xsi:type="dcterms:W3CDTF">2017-05-22T13:08:25Z</dcterms:created>
  <dcterms:modified xsi:type="dcterms:W3CDTF">2021-03-03T18:49:54Z</dcterms:modified>
</cp:coreProperties>
</file>