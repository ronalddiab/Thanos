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<sst xmlns="http://schemas.openxmlformats.org/spreadsheetml/2006/main" count="124" uniqueCount="49">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</sst>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787.36527999999998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761.62449199999992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62100</v>
      </c>
      <c r="F14" s="11">
        <v>5.0000000000000001E-3</v>
      </c>
      <c r="G14" s="12">
        <f>Submetering!R14</f>
        <v>761.62449199999992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55666</v>
      </c>
      <c r="F15" s="11">
        <v>5.0000000000000001E-3</v>
      </c>
      <c r="G15" s="12">
        <f>Submetering!R15</f>
        <v>982.313895</v>
      </c>
      <c r="H15" s="11">
        <v>0.52800000000000002</v>
      </c>
      <c r="I15" s="12">
        <f>Hotel!B20</f>
        <v>280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787.36527999999998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761.62449199999992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 t="str">
        <f>Hotel!V19</f>
        <v>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761.62449199999992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>
        <f>Hotel!Q20</f>
        <v>520</v>
      </c>
      <c r="F15" s="4">
        <f>Hotel!R20</f>
        <v>1770</v>
      </c>
      <c r="G15" s="4">
        <f>Hotel!S20</f>
        <v>2480</v>
      </c>
      <c r="H15" s="4">
        <f>Hotel!T20</f>
        <v>1310</v>
      </c>
      <c r="I15" s="4">
        <f>Hotel!U20</f>
        <v>7060</v>
      </c>
      <c r="J15" s="4" t="str">
        <f>Hotel!V20</f>
        <v>0</v>
      </c>
      <c r="K15" s="4">
        <f>Hotel!W20</f>
        <v>3410</v>
      </c>
      <c r="L15" s="4">
        <f>Hotel!X20</f>
        <v>4406</v>
      </c>
      <c r="M15" s="4">
        <f>Hotel!Y20</f>
        <v>5850</v>
      </c>
      <c r="N15" s="4">
        <f>Hotel!Z20</f>
        <v>2910</v>
      </c>
      <c r="O15" s="4">
        <f>Hotel!AA20</f>
        <v>3860</v>
      </c>
      <c r="P15" s="4">
        <f>Hotel!AB20</f>
        <v>6990</v>
      </c>
      <c r="Q15" s="4">
        <f>Hotel!AC20</f>
        <v>15100</v>
      </c>
      <c r="R15" s="4">
        <f>Hotel!AV20*0.00378541*100</f>
        <v>982.313895</v>
      </c>
      <c r="S15" s="4">
        <f>Hotel!B20</f>
        <v>280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T1" zoomScale="93" zoomScaleNormal="93" workbookViewId="0">
      <selection activeCell="AU11" sqref="AU1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788494</v>
      </c>
      <c r="AV17" s="37">
        <f t="shared" si="31"/>
        <v>2080</v>
      </c>
      <c r="AW17" s="35">
        <f t="shared" si="30"/>
        <v>4.16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790506</v>
      </c>
      <c r="AV18" s="37">
        <f t="shared" si="31"/>
        <v>2012</v>
      </c>
      <c r="AW18" s="35">
        <f t="shared" si="30"/>
        <v>4.024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4083100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 t="str">
        <f t="shared" si="20"/>
        <v>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62100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0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310.50000000000006</v>
      </c>
      <c r="AU19" s="47">
        <v>792518</v>
      </c>
      <c r="AV19" s="37">
        <f t="shared" si="31"/>
        <v>2012</v>
      </c>
      <c r="AW19" s="35">
        <f t="shared" si="30"/>
        <v>4.024</v>
      </c>
    </row>
    <row r="20" spans="1:49" x14ac:dyDescent="0.25">
      <c r="A20" s="23">
        <v>43875</v>
      </c>
      <c r="B20" s="40">
        <v>280</v>
      </c>
      <c r="C20" s="24">
        <v>5946430</v>
      </c>
      <c r="D20" s="24">
        <v>12831550</v>
      </c>
      <c r="E20" s="24">
        <v>1476250</v>
      </c>
      <c r="F20" s="24">
        <v>2709840</v>
      </c>
      <c r="G20" s="24">
        <v>8407970</v>
      </c>
      <c r="H20" s="24">
        <v>4007850</v>
      </c>
      <c r="I20" s="24">
        <v>3980630</v>
      </c>
      <c r="J20" s="24">
        <v>4566456</v>
      </c>
      <c r="K20" s="24">
        <v>7237400</v>
      </c>
      <c r="L20" s="24">
        <v>2649140</v>
      </c>
      <c r="M20" s="24">
        <v>6590010</v>
      </c>
      <c r="N20" s="24">
        <v>9172750</v>
      </c>
      <c r="O20" s="24">
        <v>12410760</v>
      </c>
      <c r="Q20" s="37">
        <f t="shared" si="16"/>
        <v>520</v>
      </c>
      <c r="R20" s="37">
        <f t="shared" si="17"/>
        <v>1770</v>
      </c>
      <c r="S20" s="37">
        <f t="shared" si="15"/>
        <v>2480</v>
      </c>
      <c r="T20" s="37">
        <f t="shared" si="18"/>
        <v>1310</v>
      </c>
      <c r="U20" s="37">
        <f t="shared" si="19"/>
        <v>7060</v>
      </c>
      <c r="V20" s="37" t="str">
        <f t="shared" si="20"/>
        <v>0</v>
      </c>
      <c r="W20" s="37">
        <f t="shared" si="21"/>
        <v>3410</v>
      </c>
      <c r="X20" s="37">
        <f t="shared" si="22"/>
        <v>4406</v>
      </c>
      <c r="Y20" s="37">
        <f t="shared" si="23"/>
        <v>5850</v>
      </c>
      <c r="Z20" s="37">
        <f t="shared" si="24"/>
        <v>2910</v>
      </c>
      <c r="AA20" s="37">
        <f t="shared" si="25"/>
        <v>3860</v>
      </c>
      <c r="AB20" s="37">
        <f t="shared" si="26"/>
        <v>6990</v>
      </c>
      <c r="AC20" s="37">
        <f t="shared" si="27"/>
        <v>15100</v>
      </c>
      <c r="AD20" s="35">
        <f t="shared" si="28"/>
        <v>55666</v>
      </c>
      <c r="AF20" s="20">
        <f t="shared" si="1"/>
        <v>2.6</v>
      </c>
      <c r="AG20" s="20">
        <f t="shared" si="2"/>
        <v>8.85</v>
      </c>
      <c r="AH20" s="20">
        <f t="shared" si="3"/>
        <v>12.4</v>
      </c>
      <c r="AI20" s="20">
        <f t="shared" si="4"/>
        <v>6.55</v>
      </c>
      <c r="AJ20" s="20">
        <f t="shared" si="5"/>
        <v>35.300000000000004</v>
      </c>
      <c r="AK20" s="20">
        <f t="shared" si="6"/>
        <v>0</v>
      </c>
      <c r="AL20" s="20">
        <f t="shared" si="7"/>
        <v>17.05</v>
      </c>
      <c r="AM20" s="20">
        <f t="shared" si="8"/>
        <v>22.03</v>
      </c>
      <c r="AN20" s="20">
        <f t="shared" si="9"/>
        <v>29.25</v>
      </c>
      <c r="AO20" s="20">
        <f t="shared" si="10"/>
        <v>14.55</v>
      </c>
      <c r="AP20" s="20">
        <f t="shared" si="11"/>
        <v>19.3</v>
      </c>
      <c r="AQ20" s="20">
        <f t="shared" si="12"/>
        <v>34.950000000000003</v>
      </c>
      <c r="AR20" s="20">
        <f t="shared" si="13"/>
        <v>75.5</v>
      </c>
      <c r="AS20" s="35">
        <f t="shared" si="29"/>
        <v>278.33000000000004</v>
      </c>
      <c r="AU20" s="47">
        <v>795113</v>
      </c>
      <c r="AV20" s="37">
        <f t="shared" si="31"/>
        <v>2595</v>
      </c>
      <c r="AW20" s="35">
        <f t="shared" si="30"/>
        <v>5.19</v>
      </c>
    </row>
    <row r="21" spans="1:49" x14ac:dyDescent="0.25">
      <c r="A21" s="23">
        <v>43876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43877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si="16"/>
        <v>0</v>
      </c>
      <c r="R25" s="37">
        <f t="shared" si="17"/>
        <v>0</v>
      </c>
      <c r="S25" s="37">
        <f t="shared" ref="S25:AC27" si="33">IF((E25-E24&lt;0), "0",E25-E24)</f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16"/>
        <v>0</v>
      </c>
      <c r="R26" s="37">
        <f t="shared" si="17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16"/>
        <v>0</v>
      </c>
      <c r="R27" s="37">
        <f t="shared" si="17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7480</v>
      </c>
      <c r="R36" s="38">
        <f>SUM(R7:R35)</f>
        <v>116510</v>
      </c>
      <c r="S36" s="38">
        <f>SUM(S7:S35)</f>
        <v>5940</v>
      </c>
      <c r="T36" s="38">
        <f>SUM(T7:T35)</f>
        <v>19620</v>
      </c>
      <c r="U36" s="38">
        <f>SUM(U7:U35)</f>
        <v>96540</v>
      </c>
      <c r="V36" s="30">
        <f>SUM(V3:V7)</f>
        <v>8487680</v>
      </c>
      <c r="W36" s="38">
        <f t="shared" ref="W36:AD36" si="35">SUM(W7:W35)</f>
        <v>45960</v>
      </c>
      <c r="X36" s="38">
        <f t="shared" si="35"/>
        <v>65886</v>
      </c>
      <c r="Y36" s="38">
        <f t="shared" si="35"/>
        <v>79620</v>
      </c>
      <c r="Z36" s="38">
        <f t="shared" si="35"/>
        <v>41550</v>
      </c>
      <c r="AA36" s="38">
        <f t="shared" si="35"/>
        <v>52040</v>
      </c>
      <c r="AB36" s="38">
        <f t="shared" si="35"/>
        <v>97960</v>
      </c>
      <c r="AC36" s="38">
        <f t="shared" si="35"/>
        <v>224690</v>
      </c>
      <c r="AD36" s="34">
        <f t="shared" si="35"/>
        <v>910736</v>
      </c>
      <c r="AF36" s="35">
        <f t="shared" ref="AF36:AS36" si="36">SUM(AF7:AF35)</f>
        <v>37.400000000000006</v>
      </c>
      <c r="AG36" s="35">
        <f t="shared" si="36"/>
        <v>582.54999999999995</v>
      </c>
      <c r="AH36" s="35">
        <f t="shared" si="36"/>
        <v>29.700000000000003</v>
      </c>
      <c r="AI36" s="35">
        <f t="shared" si="36"/>
        <v>98.1</v>
      </c>
      <c r="AJ36" s="35">
        <f t="shared" si="36"/>
        <v>482.7</v>
      </c>
      <c r="AK36" s="35">
        <f t="shared" si="36"/>
        <v>284.7</v>
      </c>
      <c r="AL36" s="35">
        <f t="shared" si="36"/>
        <v>229.8</v>
      </c>
      <c r="AM36" s="35">
        <f t="shared" si="36"/>
        <v>329.43000000000006</v>
      </c>
      <c r="AN36" s="35">
        <f t="shared" si="36"/>
        <v>398.1</v>
      </c>
      <c r="AO36" s="35">
        <f t="shared" si="36"/>
        <v>207.75</v>
      </c>
      <c r="AP36" s="35">
        <f t="shared" si="36"/>
        <v>260.20000000000005</v>
      </c>
      <c r="AQ36" s="35">
        <f t="shared" si="36"/>
        <v>489.8</v>
      </c>
      <c r="AR36" s="35">
        <f t="shared" si="36"/>
        <v>1123.45</v>
      </c>
      <c r="AS36" s="35">
        <f t="shared" si="36"/>
        <v>4553.68</v>
      </c>
      <c r="AU36" s="48"/>
      <c r="AV36" s="34">
        <f>SUM(AV7:AV35)</f>
        <v>26561</v>
      </c>
      <c r="AW36" s="34">
        <f>SUM(AW7:AW35)</f>
        <v>47.155999999999999</v>
      </c>
    </row>
    <row r="37" spans="1:49" x14ac:dyDescent="0.25">
      <c r="D37">
        <v>5.0000000000000001E-3</v>
      </c>
      <c r="AV37" s="36">
        <f>AV36*0.00378541*1000</f>
        <v>100544.27501</v>
      </c>
    </row>
    <row r="38" spans="1:49" x14ac:dyDescent="0.25">
      <c r="D38">
        <v>2E-3</v>
      </c>
      <c r="AV38">
        <f>AV37/31</f>
        <v>3243.3637100000001</v>
      </c>
    </row>
    <row r="39" spans="1:49" x14ac:dyDescent="0.25">
      <c r="AV39">
        <f>AV36*0.00378541</f>
        <v>100.54427500999999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2020-02-15T06:28:21Z</dcterms:modified>
</cp:coreProperties>
</file>