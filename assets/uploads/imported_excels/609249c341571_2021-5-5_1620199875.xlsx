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1570" windowHeight="8145"/>
  </bookViews>
  <sheets>
    <sheet name="TOTAL" sheetId="1" r:id="rId1"/>
    <sheet name="FS Pragu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5" i="3" l="1"/>
  <c r="G35" i="3"/>
  <c r="F35" i="3"/>
  <c r="K35" i="3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K2" i="1"/>
  <c r="I2" i="1"/>
  <c r="G2" i="1"/>
  <c r="E2" i="1"/>
  <c r="D36" i="3"/>
  <c r="C36" i="3"/>
  <c r="B36" i="3"/>
  <c r="L35" i="3"/>
  <c r="J35" i="3"/>
  <c r="D35" i="3"/>
  <c r="C35" i="3"/>
  <c r="B35" i="3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C38" i="3" l="1"/>
  <c r="B38" i="3"/>
  <c r="D38" i="3"/>
</calcChain>
</file>

<file path=xl/sharedStrings.xml><?xml version="1.0" encoding="utf-8"?>
<sst xmlns="http://schemas.openxmlformats.org/spreadsheetml/2006/main" count="75" uniqueCount="36">
  <si>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</si>
  <si>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</si>
  <si>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</si>
  <si>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</si>
  <si>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</si>
  <si>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</si>
  <si>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</si>
  <si>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</si>
  <si>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</si>
  <si>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</si>
  <si>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Total Guests </t>
  </si>
  <si>
    <t xml:space="preserve">Room Nights </t>
  </si>
  <si>
    <t>Prague</t>
  </si>
  <si>
    <t xml:space="preserve"> </t>
  </si>
  <si>
    <t>DATE</t>
  </si>
  <si>
    <t xml:space="preserve">Electricity </t>
  </si>
  <si>
    <t>Gas</t>
  </si>
  <si>
    <t>Water</t>
  </si>
  <si>
    <t>Guests</t>
  </si>
  <si>
    <t>MTG</t>
  </si>
  <si>
    <t>[kWh]</t>
  </si>
  <si>
    <t>[m3]</t>
  </si>
  <si>
    <t>in house</t>
  </si>
  <si>
    <t>rooms</t>
  </si>
  <si>
    <t xml:space="preserve">TOTAL </t>
  </si>
  <si>
    <t>AVG</t>
  </si>
  <si>
    <t>Average consumption per guest</t>
  </si>
  <si>
    <t>OpticLab</t>
  </si>
  <si>
    <t>Stefano Ricci</t>
  </si>
  <si>
    <t>Room Night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</si>
  <si>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</t>
  </si>
  <si>
    <t>min. ČR</t>
  </si>
  <si>
    <t>max. ČR</t>
  </si>
  <si>
    <t>FSHP-max</t>
  </si>
  <si>
    <t>Temperature °C</t>
  </si>
  <si>
    <t>Four Seasons Hotel Prague - Utilities Daily Consumption - APRIL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</si>
</sst>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"/>
    <numFmt numFmtId="166" formatCode="#,##0.0"/>
  </numFmts>
  <fonts count="13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  <charset val="238"/>
    </font>
    <font>
      <sz val="8"/>
      <name val="Arial CE"/>
      <family val="2"/>
      <charset val="238"/>
    </font>
    <font>
      <sz val="8"/>
      <name val="Arial"/>
      <family val="2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6699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1" fontId="0" fillId="0" borderId="0" xfId="0" applyNumberForma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2" borderId="6" xfId="0" applyFont="1" applyFill="1" applyBorder="1" applyAlignment="1" applyProtection="1">
      <alignment horizontal="center"/>
      <protection locked="0"/>
    </xf>
    <xf numFmtId="0" fontId="2" fillId="0" borderId="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3" fontId="3" fillId="2" borderId="5" xfId="0" applyNumberFormat="1" applyFont="1" applyFill="1" applyBorder="1" applyAlignment="1" applyProtection="1">
      <alignment horizontal="center"/>
    </xf>
    <xf numFmtId="0" fontId="2" fillId="2" borderId="6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Continuous"/>
    </xf>
    <xf numFmtId="0" fontId="2" fillId="0" borderId="0" xfId="0" applyFont="1" applyBorder="1"/>
    <xf numFmtId="0" fontId="1" fillId="0" borderId="0" xfId="0" applyFont="1" applyBorder="1" applyAlignment="1">
      <alignment horizontal="center"/>
    </xf>
    <xf numFmtId="165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2" fontId="9" fillId="0" borderId="8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0" fillId="0" borderId="8" xfId="0" applyFont="1" applyBorder="1" applyAlignment="1">
      <alignment horizontal="center" vertical="center" wrapText="1"/>
    </xf>
    <xf numFmtId="1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0" fontId="2" fillId="2" borderId="0" xfId="0" applyFont="1" applyFill="1" applyBorder="1" applyAlignment="1" applyProtection="1">
      <alignment horizontal="center"/>
      <protection locked="0"/>
    </xf>
    <xf numFmtId="0" fontId="2" fillId="2" borderId="0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3" fontId="2" fillId="0" borderId="13" xfId="0" applyNumberFormat="1" applyFont="1" applyBorder="1" applyAlignment="1">
      <alignment horizontal="center"/>
    </xf>
    <xf numFmtId="3" fontId="3" fillId="2" borderId="12" xfId="0" applyNumberFormat="1" applyFont="1" applyFill="1" applyBorder="1" applyAlignment="1" applyProtection="1">
      <alignment horizontal="center"/>
    </xf>
    <xf numFmtId="0" fontId="2" fillId="0" borderId="13" xfId="0" applyFont="1" applyBorder="1" applyAlignment="1">
      <alignment horizontal="center"/>
    </xf>
    <xf numFmtId="4" fontId="1" fillId="3" borderId="16" xfId="0" applyNumberFormat="1" applyFont="1" applyFill="1" applyBorder="1" applyAlignment="1">
      <alignment horizontal="center"/>
    </xf>
    <xf numFmtId="4" fontId="1" fillId="3" borderId="17" xfId="0" applyNumberFormat="1" applyFont="1" applyFill="1" applyBorder="1" applyAlignment="1">
      <alignment horizontal="center"/>
    </xf>
    <xf numFmtId="4" fontId="1" fillId="3" borderId="18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4" fontId="2" fillId="0" borderId="19" xfId="0" applyNumberFormat="1" applyFont="1" applyBorder="1" applyAlignment="1">
      <alignment horizontal="center"/>
    </xf>
    <xf numFmtId="4" fontId="2" fillId="0" borderId="20" xfId="0" applyNumberFormat="1" applyFont="1" applyBorder="1" applyAlignment="1">
      <alignment horizontal="center"/>
    </xf>
    <xf numFmtId="4" fontId="2" fillId="0" borderId="21" xfId="0" applyNumberFormat="1" applyFont="1" applyBorder="1" applyAlignment="1">
      <alignment horizontal="center"/>
    </xf>
    <xf numFmtId="4" fontId="2" fillId="0" borderId="0" xfId="0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5" fillId="0" borderId="22" xfId="0" applyFont="1" applyBorder="1" applyAlignment="1">
      <alignment horizontal="right"/>
    </xf>
    <xf numFmtId="3" fontId="6" fillId="0" borderId="22" xfId="0" applyNumberFormat="1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4" fontId="1" fillId="3" borderId="0" xfId="0" applyNumberFormat="1" applyFont="1" applyFill="1" applyBorder="1" applyAlignment="1">
      <alignment horizontal="center"/>
    </xf>
    <xf numFmtId="0" fontId="2" fillId="2" borderId="25" xfId="0" applyFont="1" applyFill="1" applyBorder="1" applyAlignment="1" applyProtection="1">
      <alignment horizontal="center"/>
      <protection locked="0"/>
    </xf>
    <xf numFmtId="0" fontId="2" fillId="0" borderId="25" xfId="0" applyFont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2" borderId="29" xfId="0" applyFont="1" applyFill="1" applyBorder="1" applyAlignment="1" applyProtection="1">
      <alignment horizontal="center"/>
      <protection locked="0"/>
    </xf>
    <xf numFmtId="0" fontId="2" fillId="0" borderId="30" xfId="0" applyFont="1" applyBorder="1" applyAlignment="1">
      <alignment horizontal="center"/>
    </xf>
    <xf numFmtId="166" fontId="1" fillId="3" borderId="7" xfId="0" applyNumberFormat="1" applyFont="1" applyFill="1" applyBorder="1" applyAlignment="1">
      <alignment horizontal="center"/>
    </xf>
    <xf numFmtId="166" fontId="1" fillId="3" borderId="14" xfId="0" applyNumberFormat="1" applyFont="1" applyFill="1" applyBorder="1" applyAlignment="1">
      <alignment horizontal="center"/>
    </xf>
    <xf numFmtId="166" fontId="1" fillId="3" borderId="28" xfId="0" applyNumberFormat="1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3"/>
  <sheetViews>
    <sheetView tabSelected="1" workbookViewId="0">
      <selection activeCell="N4" sqref="N4"/>
    </sheetView>
  </sheetViews>
  <sheetFormatPr defaultColWidth="11.5703125" defaultRowHeight="15" x14ac:dyDescent="0.25"/>
  <cols>
    <col min="1" max="1" width="18.140625" style="3" customWidth="1"/>
    <col min="2" max="2" width="11.5703125" style="2"/>
    <col min="3" max="3" width="11.5703125" style="29"/>
    <col min="4" max="4" width="13.42578125" style="2" customWidth="1"/>
    <col min="5" max="5" width="12.5703125" style="1" customWidth="1"/>
    <col min="6" max="6" width="12.5703125" style="24" customWidth="1"/>
    <col min="7" max="7" width="11.5703125" style="1"/>
    <col min="8" max="8" width="11.5703125" style="24"/>
    <col min="9" max="9" width="11.5703125" style="1"/>
    <col min="10" max="10" width="11.5703125" style="25"/>
    <col min="11" max="11" width="11.5703125" style="32"/>
    <col min="12" max="24" width="11.5703125" style="1"/>
  </cols>
  <sheetData>
    <row r="1" spans="1:24" s="3" customFormat="1" ht="60" x14ac:dyDescent="0.25">
      <c r="A1" s="26" t="s">
        <v>0</v>
      </c>
      <c r="B1" s="26" t="s">
        <v>1</v>
      </c>
      <c r="C1" s="28" t="s">
        <v>2</v>
      </c>
      <c r="D1" s="26" t="s">
        <v>3</v>
      </c>
      <c r="E1" s="26" t="s">
        <v>4</v>
      </c>
      <c r="F1" s="27" t="s">
        <v>5</v>
      </c>
      <c r="G1" s="26" t="s">
        <v>6</v>
      </c>
      <c r="H1" s="27" t="s">
        <v>7</v>
      </c>
      <c r="I1" s="26" t="s">
        <v>8</v>
      </c>
      <c r="J1" s="28" t="s">
        <v>9</v>
      </c>
      <c r="K1" s="30" t="s">
        <v>10</v>
      </c>
      <c r="L1" s="26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12</v>
      </c>
      <c r="B2" s="2">
        <v>1</v>
      </c>
      <c r="C2" s="29">
        <v>12</v>
      </c>
      <c r="D2" s="2">
        <v>2020</v>
      </c>
      <c r="E2" s="4">
        <f>'FS Prague'!B4</f>
        <v>6389</v>
      </c>
      <c r="F2" s="22">
        <v>9.9000000000000005E-2</v>
      </c>
      <c r="G2" s="4">
        <f>'FS Prague'!C4</f>
        <v>659</v>
      </c>
      <c r="H2" s="24">
        <v>0.28000000000000003</v>
      </c>
      <c r="I2" s="4">
        <f>'FS Prague'!D4</f>
        <v>14</v>
      </c>
      <c r="J2" s="24">
        <v>3.2719999999999998</v>
      </c>
      <c r="K2" s="31">
        <f>'FS Prague'!J4</f>
        <v>30</v>
      </c>
      <c r="L2" s="31">
        <f>'FS Prague'!K4</f>
        <v>27</v>
      </c>
      <c r="M2" s="1" t="s">
        <v>13</v>
      </c>
    </row>
    <row r="3" spans="1:24" x14ac:dyDescent="0.25">
      <c r="A3" s="3" t="s">
        <v>12</v>
      </c>
      <c r="B3" s="2">
        <f>B2+1</f>
        <v>2</v>
      </c>
      <c r="C3" s="29">
        <v>12</v>
      </c>
      <c r="D3" s="2">
        <v>2020</v>
      </c>
      <c r="E3" s="4">
        <f>'FS Prague'!B5</f>
        <v>6570</v>
      </c>
      <c r="F3" s="22">
        <v>9.9000000000000005E-2</v>
      </c>
      <c r="G3" s="4">
        <f>'FS Prague'!C5</f>
        <v>910</v>
      </c>
      <c r="H3" s="24">
        <v>0.28000000000000003</v>
      </c>
      <c r="I3" s="4">
        <f>'FS Prague'!D5</f>
        <v>17</v>
      </c>
      <c r="J3" s="24">
        <v>3.2719999999999998</v>
      </c>
      <c r="K3" s="31">
        <f>'FS Prague'!J5</f>
        <v>25</v>
      </c>
      <c r="L3" s="31">
        <f>'FS Prague'!K5</f>
        <v>25</v>
      </c>
    </row>
    <row r="4" spans="1:24" x14ac:dyDescent="0.25">
      <c r="A4" s="3" t="s">
        <v>12</v>
      </c>
      <c r="B4" s="2">
        <f t="shared" ref="B4:B32" si="0">B3+1</f>
        <v>3</v>
      </c>
      <c r="C4" s="29">
        <v>12</v>
      </c>
      <c r="D4" s="2">
        <v>2020</v>
      </c>
      <c r="E4" s="4">
        <f>'FS Prague'!B6</f>
        <v>6082</v>
      </c>
      <c r="F4" s="22">
        <v>9.9000000000000005E-2</v>
      </c>
      <c r="G4" s="4">
        <f>'FS Prague'!C6</f>
        <v>931</v>
      </c>
      <c r="H4" s="24">
        <v>0.28000000000000003</v>
      </c>
      <c r="I4" s="4">
        <f>'FS Prague'!D6</f>
        <v>11</v>
      </c>
      <c r="J4" s="24">
        <v>3.2719999999999998</v>
      </c>
      <c r="K4" s="31">
        <f>'FS Prague'!J6</f>
        <v>7</v>
      </c>
      <c r="L4" s="31">
        <f>'FS Prague'!K6</f>
        <v>3</v>
      </c>
    </row>
    <row r="5" spans="1:24" x14ac:dyDescent="0.25">
      <c r="A5" s="3" t="s">
        <v>12</v>
      </c>
      <c r="B5" s="2">
        <f t="shared" si="0"/>
        <v>4</v>
      </c>
      <c r="C5" s="29">
        <v>12</v>
      </c>
      <c r="D5" s="2">
        <v>2020</v>
      </c>
      <c r="E5" s="4">
        <f>'FS Prague'!B7</f>
        <v>5710</v>
      </c>
      <c r="F5" s="22">
        <v>9.9000000000000005E-2</v>
      </c>
      <c r="G5" s="4">
        <f>'FS Prague'!C7</f>
        <v>852</v>
      </c>
      <c r="H5" s="24">
        <v>0.28000000000000003</v>
      </c>
      <c r="I5" s="4">
        <f>'FS Prague'!D7</f>
        <v>6</v>
      </c>
      <c r="J5" s="24">
        <v>3.2719999999999998</v>
      </c>
      <c r="K5" s="31">
        <f>'FS Prague'!J7</f>
        <v>5</v>
      </c>
      <c r="L5" s="31">
        <f>'FS Prague'!K7</f>
        <v>2</v>
      </c>
    </row>
    <row r="6" spans="1:24" x14ac:dyDescent="0.25">
      <c r="A6" s="3" t="s">
        <v>12</v>
      </c>
      <c r="B6" s="2">
        <f t="shared" si="0"/>
        <v>5</v>
      </c>
      <c r="C6" s="29">
        <v>12</v>
      </c>
      <c r="D6" s="2">
        <v>2020</v>
      </c>
      <c r="E6" s="4">
        <f>'FS Prague'!B8</f>
        <v>5693</v>
      </c>
      <c r="F6" s="22">
        <v>9.9000000000000005E-2</v>
      </c>
      <c r="G6" s="4">
        <f>'FS Prague'!C8</f>
        <v>990</v>
      </c>
      <c r="H6" s="24">
        <v>0.28000000000000003</v>
      </c>
      <c r="I6" s="4">
        <f>'FS Prague'!D8</f>
        <v>6</v>
      </c>
      <c r="J6" s="24">
        <v>3.2719999999999998</v>
      </c>
      <c r="K6" s="31">
        <f>'FS Prague'!J8</f>
        <v>0</v>
      </c>
      <c r="L6" s="31">
        <f>'FS Prague'!K8</f>
        <v>0</v>
      </c>
    </row>
    <row r="7" spans="1:24" x14ac:dyDescent="0.25">
      <c r="A7" s="3" t="s">
        <v>12</v>
      </c>
      <c r="B7" s="2">
        <f t="shared" si="0"/>
        <v>6</v>
      </c>
      <c r="C7" s="29">
        <v>12</v>
      </c>
      <c r="D7" s="2">
        <v>2020</v>
      </c>
      <c r="E7" s="4">
        <f>'FS Prague'!B9</f>
        <v>5964</v>
      </c>
      <c r="F7" s="22">
        <v>9.9000000000000005E-2</v>
      </c>
      <c r="G7" s="4">
        <f>'FS Prague'!C9</f>
        <v>1172</v>
      </c>
      <c r="H7" s="24">
        <v>0.28000000000000003</v>
      </c>
      <c r="I7" s="4">
        <f>'FS Prague'!D9</f>
        <v>9</v>
      </c>
      <c r="J7" s="24">
        <v>3.2719999999999998</v>
      </c>
      <c r="K7" s="31">
        <f>'FS Prague'!J9</f>
        <v>0</v>
      </c>
      <c r="L7" s="31">
        <f>'FS Prague'!K9</f>
        <v>0</v>
      </c>
    </row>
    <row r="8" spans="1:24" x14ac:dyDescent="0.25">
      <c r="A8" s="3" t="s">
        <v>12</v>
      </c>
      <c r="B8" s="2">
        <f t="shared" si="0"/>
        <v>7</v>
      </c>
      <c r="C8" s="29">
        <v>12</v>
      </c>
      <c r="D8" s="2">
        <v>2020</v>
      </c>
      <c r="E8" s="4">
        <f>'FS Prague'!B10</f>
        <v>5517</v>
      </c>
      <c r="F8" s="22">
        <v>9.9000000000000005E-2</v>
      </c>
      <c r="G8" s="4">
        <f>'FS Prague'!C10</f>
        <v>1109</v>
      </c>
      <c r="H8" s="24">
        <v>0.28000000000000003</v>
      </c>
      <c r="I8" s="4">
        <f>'FS Prague'!D10</f>
        <v>8</v>
      </c>
      <c r="J8" s="24">
        <v>3.2719999999999998</v>
      </c>
      <c r="K8" s="31">
        <f>'FS Prague'!J10</f>
        <v>0</v>
      </c>
      <c r="L8" s="31">
        <f>'FS Prague'!K10</f>
        <v>0</v>
      </c>
    </row>
    <row r="9" spans="1:24" x14ac:dyDescent="0.25">
      <c r="A9" s="3" t="s">
        <v>12</v>
      </c>
      <c r="B9" s="2">
        <f t="shared" si="0"/>
        <v>8</v>
      </c>
      <c r="C9" s="29">
        <v>12</v>
      </c>
      <c r="D9" s="2">
        <v>2020</v>
      </c>
      <c r="E9" s="4">
        <f>'FS Prague'!B11</f>
        <v>5391</v>
      </c>
      <c r="F9" s="22">
        <v>9.9000000000000005E-2</v>
      </c>
      <c r="G9" s="4">
        <f>'FS Prague'!C11</f>
        <v>948</v>
      </c>
      <c r="H9" s="24">
        <v>0.28000000000000003</v>
      </c>
      <c r="I9" s="4">
        <f>'FS Prague'!D11</f>
        <v>7</v>
      </c>
      <c r="J9" s="24">
        <v>3.2719999999999998</v>
      </c>
      <c r="K9" s="31">
        <f>'FS Prague'!J11</f>
        <v>0</v>
      </c>
      <c r="L9" s="31">
        <f>'FS Prague'!K11</f>
        <v>0</v>
      </c>
    </row>
    <row r="10" spans="1:24" x14ac:dyDescent="0.25">
      <c r="A10" s="3" t="s">
        <v>12</v>
      </c>
      <c r="B10" s="2">
        <f t="shared" si="0"/>
        <v>9</v>
      </c>
      <c r="C10" s="29">
        <v>12</v>
      </c>
      <c r="D10" s="2">
        <v>2020</v>
      </c>
      <c r="E10" s="4">
        <f>'FS Prague'!B12</f>
        <v>5418</v>
      </c>
      <c r="F10" s="22">
        <v>9.9000000000000005E-2</v>
      </c>
      <c r="G10" s="4">
        <f>'FS Prague'!C12</f>
        <v>652</v>
      </c>
      <c r="H10" s="24">
        <v>0.28000000000000003</v>
      </c>
      <c r="I10" s="4">
        <f>'FS Prague'!D12</f>
        <v>8</v>
      </c>
      <c r="J10" s="24">
        <v>3.2719999999999998</v>
      </c>
      <c r="K10" s="31">
        <f>'FS Prague'!J12</f>
        <v>0</v>
      </c>
      <c r="L10" s="31">
        <f>'FS Prague'!K12</f>
        <v>0</v>
      </c>
    </row>
    <row r="11" spans="1:24" x14ac:dyDescent="0.25">
      <c r="A11" s="3" t="s">
        <v>12</v>
      </c>
      <c r="B11" s="2">
        <f t="shared" si="0"/>
        <v>10</v>
      </c>
      <c r="C11" s="29">
        <v>12</v>
      </c>
      <c r="D11" s="2">
        <v>2020</v>
      </c>
      <c r="E11" s="4">
        <f>'FS Prague'!B13</f>
        <v>4893</v>
      </c>
      <c r="F11" s="22">
        <v>9.9000000000000005E-2</v>
      </c>
      <c r="G11" s="4">
        <f>'FS Prague'!C13</f>
        <v>504</v>
      </c>
      <c r="H11" s="24">
        <v>0.28000000000000003</v>
      </c>
      <c r="I11" s="4">
        <f>'FS Prague'!D13</f>
        <v>7</v>
      </c>
      <c r="J11" s="24">
        <v>3.2719999999999998</v>
      </c>
      <c r="K11" s="31">
        <f>'FS Prague'!J13</f>
        <v>0</v>
      </c>
      <c r="L11" s="31">
        <f>'FS Prague'!K13</f>
        <v>0</v>
      </c>
    </row>
    <row r="12" spans="1:24" x14ac:dyDescent="0.25">
      <c r="A12" s="3" t="s">
        <v>12</v>
      </c>
      <c r="B12" s="2">
        <f t="shared" si="0"/>
        <v>11</v>
      </c>
      <c r="C12" s="29">
        <v>12</v>
      </c>
      <c r="D12" s="2">
        <v>2020</v>
      </c>
      <c r="E12" s="4">
        <f>'FS Prague'!B14</f>
        <v>4055</v>
      </c>
      <c r="F12" s="22">
        <v>9.9000000000000005E-2</v>
      </c>
      <c r="G12" s="4">
        <f>'FS Prague'!C14</f>
        <v>487</v>
      </c>
      <c r="H12" s="24">
        <v>0.28000000000000003</v>
      </c>
      <c r="I12" s="4">
        <f>'FS Prague'!D14</f>
        <v>6</v>
      </c>
      <c r="J12" s="24">
        <v>3.2719999999999998</v>
      </c>
      <c r="K12" s="31">
        <f>'FS Prague'!J14</f>
        <v>0</v>
      </c>
      <c r="L12" s="31">
        <f>'FS Prague'!K14</f>
        <v>0</v>
      </c>
    </row>
    <row r="13" spans="1:24" x14ac:dyDescent="0.25">
      <c r="A13" s="3" t="s">
        <v>12</v>
      </c>
      <c r="B13" s="2">
        <f t="shared" si="0"/>
        <v>12</v>
      </c>
      <c r="C13" s="29">
        <v>12</v>
      </c>
      <c r="D13" s="2">
        <v>2020</v>
      </c>
      <c r="E13" s="4">
        <f>'FS Prague'!B15</f>
        <v>4658</v>
      </c>
      <c r="F13" s="22">
        <v>9.9000000000000005E-2</v>
      </c>
      <c r="G13" s="4">
        <f>'FS Prague'!C15</f>
        <v>844</v>
      </c>
      <c r="H13" s="24">
        <v>0.28000000000000003</v>
      </c>
      <c r="I13" s="4">
        <f>'FS Prague'!D15</f>
        <v>6</v>
      </c>
      <c r="J13" s="24">
        <v>3.2719999999999998</v>
      </c>
      <c r="K13" s="31">
        <f>'FS Prague'!J15</f>
        <v>1</v>
      </c>
      <c r="L13" s="31">
        <f>'FS Prague'!K15</f>
        <v>1</v>
      </c>
    </row>
    <row r="14" spans="1:24" x14ac:dyDescent="0.25">
      <c r="A14" s="3" t="s">
        <v>12</v>
      </c>
      <c r="B14" s="2">
        <f t="shared" si="0"/>
        <v>13</v>
      </c>
      <c r="C14" s="29">
        <v>12</v>
      </c>
      <c r="D14" s="2">
        <v>2020</v>
      </c>
      <c r="E14" s="4">
        <f>'FS Prague'!B16</f>
        <v>5121</v>
      </c>
      <c r="F14" s="22">
        <v>9.9000000000000005E-2</v>
      </c>
      <c r="G14" s="4">
        <f>'FS Prague'!C16</f>
        <v>833</v>
      </c>
      <c r="H14" s="24">
        <v>0.28000000000000003</v>
      </c>
      <c r="I14" s="4">
        <f>'FS Prague'!D16</f>
        <v>10</v>
      </c>
      <c r="J14" s="24">
        <v>3.2719999999999998</v>
      </c>
      <c r="K14" s="31">
        <f>'FS Prague'!J16</f>
        <v>1</v>
      </c>
      <c r="L14" s="31">
        <f>'FS Prague'!K16</f>
        <v>1</v>
      </c>
    </row>
    <row r="15" spans="1:24" x14ac:dyDescent="0.25">
      <c r="A15" s="3" t="s">
        <v>12</v>
      </c>
      <c r="B15" s="2">
        <f t="shared" si="0"/>
        <v>14</v>
      </c>
      <c r="C15" s="29">
        <v>12</v>
      </c>
      <c r="D15" s="2">
        <v>2020</v>
      </c>
      <c r="E15" s="4">
        <f>'FS Prague'!B17</f>
        <v>4560</v>
      </c>
      <c r="F15" s="22">
        <v>9.9000000000000005E-2</v>
      </c>
      <c r="G15" s="4">
        <f>'FS Prague'!C17</f>
        <v>799</v>
      </c>
      <c r="H15" s="24">
        <v>0.28000000000000003</v>
      </c>
      <c r="I15" s="4">
        <f>'FS Prague'!D17</f>
        <v>9</v>
      </c>
      <c r="J15" s="24">
        <v>3.2719999999999998</v>
      </c>
      <c r="K15" s="31">
        <f>'FS Prague'!J17</f>
        <v>1</v>
      </c>
      <c r="L15" s="31">
        <f>'FS Prague'!K17</f>
        <v>1</v>
      </c>
    </row>
    <row r="16" spans="1:24" x14ac:dyDescent="0.25">
      <c r="A16" s="3" t="s">
        <v>12</v>
      </c>
      <c r="B16" s="2">
        <f t="shared" si="0"/>
        <v>15</v>
      </c>
      <c r="C16" s="29">
        <v>12</v>
      </c>
      <c r="D16" s="2">
        <v>2020</v>
      </c>
      <c r="E16" s="4">
        <f>'FS Prague'!B18</f>
        <v>4576</v>
      </c>
      <c r="F16" s="22">
        <v>9.9000000000000005E-2</v>
      </c>
      <c r="G16" s="4">
        <f>'FS Prague'!C18</f>
        <v>859</v>
      </c>
      <c r="H16" s="24">
        <v>0.28000000000000003</v>
      </c>
      <c r="I16" s="4">
        <f>'FS Prague'!D18</f>
        <v>7</v>
      </c>
      <c r="J16" s="24">
        <v>3.2719999999999998</v>
      </c>
      <c r="K16" s="31">
        <f>'FS Prague'!J18</f>
        <v>1</v>
      </c>
      <c r="L16" s="31">
        <f>'FS Prague'!K18</f>
        <v>1</v>
      </c>
    </row>
    <row r="17" spans="1:12" x14ac:dyDescent="0.25">
      <c r="A17" s="3" t="s">
        <v>12</v>
      </c>
      <c r="B17" s="2">
        <f t="shared" si="0"/>
        <v>16</v>
      </c>
      <c r="C17" s="29">
        <v>12</v>
      </c>
      <c r="D17" s="2">
        <v>2020</v>
      </c>
      <c r="E17" s="4">
        <f>'FS Prague'!B19</f>
        <v>5122</v>
      </c>
      <c r="F17" s="22">
        <v>9.9000000000000005E-2</v>
      </c>
      <c r="G17" s="4">
        <f>'FS Prague'!C19</f>
        <v>875</v>
      </c>
      <c r="H17" s="24">
        <v>0.28000000000000003</v>
      </c>
      <c r="I17" s="4">
        <f>'FS Prague'!D19</f>
        <v>16</v>
      </c>
      <c r="J17" s="24">
        <v>3.2719999999999998</v>
      </c>
      <c r="K17" s="31">
        <f>'FS Prague'!J19</f>
        <v>1</v>
      </c>
      <c r="L17" s="31">
        <f>'FS Prague'!K19</f>
        <v>1</v>
      </c>
    </row>
    <row r="18" spans="1:12" x14ac:dyDescent="0.25">
      <c r="A18" s="3" t="s">
        <v>12</v>
      </c>
      <c r="B18" s="2">
        <f t="shared" si="0"/>
        <v>17</v>
      </c>
      <c r="C18" s="29">
        <v>12</v>
      </c>
      <c r="D18" s="2">
        <v>2020</v>
      </c>
      <c r="E18" s="4">
        <f>'FS Prague'!B20</f>
        <v>4617</v>
      </c>
      <c r="F18" s="22">
        <v>9.9000000000000005E-2</v>
      </c>
      <c r="G18" s="4">
        <f>'FS Prague'!C20</f>
        <v>823</v>
      </c>
      <c r="H18" s="24">
        <v>0.28000000000000003</v>
      </c>
      <c r="I18" s="4">
        <f>'FS Prague'!D20</f>
        <v>4</v>
      </c>
      <c r="J18" s="24">
        <v>3.2719999999999998</v>
      </c>
      <c r="K18" s="31">
        <f>'FS Prague'!J20</f>
        <v>1</v>
      </c>
      <c r="L18" s="31">
        <f>'FS Prague'!K20</f>
        <v>1</v>
      </c>
    </row>
    <row r="19" spans="1:12" x14ac:dyDescent="0.25">
      <c r="A19" s="3" t="s">
        <v>12</v>
      </c>
      <c r="B19" s="2">
        <f t="shared" si="0"/>
        <v>18</v>
      </c>
      <c r="C19" s="29">
        <v>12</v>
      </c>
      <c r="D19" s="2">
        <v>2020</v>
      </c>
      <c r="E19" s="4">
        <f>'FS Prague'!B21</f>
        <v>4546</v>
      </c>
      <c r="F19" s="22">
        <v>9.9000000000000005E-2</v>
      </c>
      <c r="G19" s="4">
        <f>'FS Prague'!C21</f>
        <v>675</v>
      </c>
      <c r="H19" s="24">
        <v>0.28000000000000003</v>
      </c>
      <c r="I19" s="4">
        <f>'FS Prague'!D21</f>
        <v>5</v>
      </c>
      <c r="J19" s="24">
        <v>3.2719999999999998</v>
      </c>
      <c r="K19" s="31">
        <f>'FS Prague'!J21</f>
        <v>1</v>
      </c>
      <c r="L19" s="31">
        <f>'FS Prague'!K21</f>
        <v>1</v>
      </c>
    </row>
    <row r="20" spans="1:12" x14ac:dyDescent="0.25">
      <c r="A20" s="3" t="s">
        <v>12</v>
      </c>
      <c r="B20" s="2">
        <f t="shared" si="0"/>
        <v>19</v>
      </c>
      <c r="C20" s="29">
        <v>12</v>
      </c>
      <c r="D20" s="2">
        <v>2020</v>
      </c>
      <c r="E20" s="4">
        <f>'FS Prague'!B22</f>
        <v>4701</v>
      </c>
      <c r="F20" s="22">
        <v>9.9000000000000005E-2</v>
      </c>
      <c r="G20" s="4">
        <f>'FS Prague'!C22</f>
        <v>690</v>
      </c>
      <c r="H20" s="24">
        <v>0.28000000000000003</v>
      </c>
      <c r="I20" s="4">
        <f>'FS Prague'!D22</f>
        <v>6</v>
      </c>
      <c r="J20" s="24">
        <v>3.2719999999999998</v>
      </c>
      <c r="K20" s="31">
        <f>'FS Prague'!J22</f>
        <v>4</v>
      </c>
      <c r="L20" s="31">
        <f>'FS Prague'!K22</f>
        <v>4</v>
      </c>
    </row>
    <row r="21" spans="1:12" x14ac:dyDescent="0.25">
      <c r="A21" s="3" t="s">
        <v>12</v>
      </c>
      <c r="B21" s="2">
        <f t="shared" si="0"/>
        <v>20</v>
      </c>
      <c r="C21" s="29">
        <v>12</v>
      </c>
      <c r="D21" s="2">
        <v>2020</v>
      </c>
      <c r="E21" s="4">
        <f>'FS Prague'!B23</f>
        <v>4807</v>
      </c>
      <c r="F21" s="22">
        <v>9.9000000000000005E-2</v>
      </c>
      <c r="G21" s="4">
        <f>'FS Prague'!C23</f>
        <v>602</v>
      </c>
      <c r="H21" s="24">
        <v>0.28000000000000003</v>
      </c>
      <c r="I21" s="4">
        <f>'FS Prague'!D23</f>
        <v>11</v>
      </c>
      <c r="J21" s="24">
        <v>3.2719999999999998</v>
      </c>
      <c r="K21" s="31">
        <f>'FS Prague'!J23</f>
        <v>4</v>
      </c>
      <c r="L21" s="31">
        <f>'FS Prague'!K23</f>
        <v>4</v>
      </c>
    </row>
    <row r="22" spans="1:12" x14ac:dyDescent="0.25">
      <c r="A22" s="3" t="s">
        <v>12</v>
      </c>
      <c r="B22" s="2">
        <f t="shared" si="0"/>
        <v>21</v>
      </c>
      <c r="C22" s="29">
        <v>12</v>
      </c>
      <c r="D22" s="2">
        <v>2020</v>
      </c>
      <c r="E22" s="4">
        <f>'FS Prague'!B24</f>
        <v>4464</v>
      </c>
      <c r="F22" s="22">
        <v>9.9000000000000005E-2</v>
      </c>
      <c r="G22" s="4">
        <f>'FS Prague'!C24</f>
        <v>587</v>
      </c>
      <c r="H22" s="24">
        <v>0.28000000000000003</v>
      </c>
      <c r="I22" s="4">
        <f>'FS Prague'!D24</f>
        <v>8</v>
      </c>
      <c r="J22" s="24">
        <v>3.2719999999999998</v>
      </c>
      <c r="K22" s="31">
        <f>'FS Prague'!J24</f>
        <v>4</v>
      </c>
      <c r="L22" s="31">
        <f>'FS Prague'!K24</f>
        <v>4</v>
      </c>
    </row>
    <row r="23" spans="1:12" x14ac:dyDescent="0.25">
      <c r="A23" s="3" t="s">
        <v>12</v>
      </c>
      <c r="B23" s="2">
        <f t="shared" si="0"/>
        <v>22</v>
      </c>
      <c r="C23" s="29">
        <v>12</v>
      </c>
      <c r="D23" s="2">
        <v>2020</v>
      </c>
      <c r="E23" s="4">
        <f>'FS Prague'!B25</f>
        <v>4413</v>
      </c>
      <c r="F23" s="22">
        <v>9.9000000000000005E-2</v>
      </c>
      <c r="G23" s="4">
        <f>'FS Prague'!C25</f>
        <v>653</v>
      </c>
      <c r="H23" s="24">
        <v>0.28000000000000003</v>
      </c>
      <c r="I23" s="4">
        <f>'FS Prague'!D25</f>
        <v>5</v>
      </c>
      <c r="J23" s="24">
        <v>3.2719999999999998</v>
      </c>
      <c r="K23" s="31">
        <f>'FS Prague'!J25</f>
        <v>4</v>
      </c>
      <c r="L23" s="31">
        <f>'FS Prague'!K25</f>
        <v>4</v>
      </c>
    </row>
    <row r="24" spans="1:12" x14ac:dyDescent="0.25">
      <c r="A24" s="3" t="s">
        <v>12</v>
      </c>
      <c r="B24" s="2">
        <f t="shared" si="0"/>
        <v>23</v>
      </c>
      <c r="C24" s="29">
        <v>12</v>
      </c>
      <c r="D24" s="2">
        <v>2020</v>
      </c>
      <c r="E24" s="4">
        <f>'FS Prague'!B26</f>
        <v>4767</v>
      </c>
      <c r="F24" s="22">
        <v>9.9000000000000005E-2</v>
      </c>
      <c r="G24" s="4">
        <f>'FS Prague'!C26</f>
        <v>687</v>
      </c>
      <c r="H24" s="24">
        <v>0.28000000000000003</v>
      </c>
      <c r="I24" s="4">
        <f>'FS Prague'!D26</f>
        <v>7</v>
      </c>
      <c r="J24" s="24">
        <v>3.2719999999999998</v>
      </c>
      <c r="K24" s="31">
        <f>'FS Prague'!J26</f>
        <v>4</v>
      </c>
      <c r="L24" s="31">
        <f>'FS Prague'!K26</f>
        <v>4</v>
      </c>
    </row>
    <row r="25" spans="1:12" x14ac:dyDescent="0.25">
      <c r="A25" s="3" t="s">
        <v>12</v>
      </c>
      <c r="B25" s="2">
        <f t="shared" si="0"/>
        <v>24</v>
      </c>
      <c r="C25" s="29">
        <v>12</v>
      </c>
      <c r="D25" s="2">
        <v>2020</v>
      </c>
      <c r="E25" s="4">
        <f>'FS Prague'!B27</f>
        <v>4375</v>
      </c>
      <c r="F25" s="22">
        <v>9.9000000000000005E-2</v>
      </c>
      <c r="G25" s="4">
        <f>'FS Prague'!C27</f>
        <v>623</v>
      </c>
      <c r="H25" s="24">
        <v>0.28000000000000003</v>
      </c>
      <c r="I25" s="4">
        <f>'FS Prague'!D27</f>
        <v>6</v>
      </c>
      <c r="J25" s="24">
        <v>3.2719999999999998</v>
      </c>
      <c r="K25" s="31">
        <f>'FS Prague'!J27</f>
        <v>4</v>
      </c>
      <c r="L25" s="31">
        <f>'FS Prague'!K27</f>
        <v>4</v>
      </c>
    </row>
    <row r="26" spans="1:12" x14ac:dyDescent="0.25">
      <c r="A26" s="3" t="s">
        <v>12</v>
      </c>
      <c r="B26" s="2">
        <f>B25+1</f>
        <v>25</v>
      </c>
      <c r="C26" s="29">
        <v>12</v>
      </c>
      <c r="D26" s="2">
        <v>2020</v>
      </c>
      <c r="E26" s="4">
        <f>'FS Prague'!B28</f>
        <v>4348</v>
      </c>
      <c r="F26" s="22">
        <v>9.9000000000000005E-2</v>
      </c>
      <c r="G26" s="4">
        <f>'FS Prague'!C28</f>
        <v>656</v>
      </c>
      <c r="H26" s="24">
        <v>0.28000000000000003</v>
      </c>
      <c r="I26" s="4">
        <f>'FS Prague'!D28</f>
        <v>7</v>
      </c>
      <c r="J26" s="24">
        <v>3.2719999999999998</v>
      </c>
      <c r="K26" s="31">
        <f>'FS Prague'!J28</f>
        <v>4</v>
      </c>
      <c r="L26" s="31">
        <f>'FS Prague'!K28</f>
        <v>4</v>
      </c>
    </row>
    <row r="27" spans="1:12" x14ac:dyDescent="0.25">
      <c r="A27" s="3" t="s">
        <v>12</v>
      </c>
      <c r="B27" s="2">
        <f t="shared" si="0"/>
        <v>26</v>
      </c>
      <c r="C27" s="29">
        <v>12</v>
      </c>
      <c r="D27" s="2">
        <v>2020</v>
      </c>
      <c r="E27" s="4">
        <f>'FS Prague'!B29</f>
        <v>4450</v>
      </c>
      <c r="F27" s="22">
        <v>9.9000000000000005E-2</v>
      </c>
      <c r="G27" s="4">
        <f>'FS Prague'!C29</f>
        <v>648</v>
      </c>
      <c r="H27" s="24">
        <v>0.28000000000000003</v>
      </c>
      <c r="I27" s="4">
        <f>'FS Prague'!D29</f>
        <v>7</v>
      </c>
      <c r="J27" s="24">
        <v>3.2719999999999998</v>
      </c>
      <c r="K27" s="31">
        <f>'FS Prague'!J29</f>
        <v>4</v>
      </c>
      <c r="L27" s="31">
        <f>'FS Prague'!K29</f>
        <v>4</v>
      </c>
    </row>
    <row r="28" spans="1:12" x14ac:dyDescent="0.25">
      <c r="A28" s="3" t="s">
        <v>12</v>
      </c>
      <c r="B28" s="2">
        <f t="shared" si="0"/>
        <v>27</v>
      </c>
      <c r="C28" s="29">
        <v>12</v>
      </c>
      <c r="D28" s="2">
        <v>2020</v>
      </c>
      <c r="E28" s="4">
        <f>'FS Prague'!B30</f>
        <v>4801</v>
      </c>
      <c r="F28" s="22">
        <v>9.9000000000000005E-2</v>
      </c>
      <c r="G28" s="4">
        <f>'FS Prague'!C30</f>
        <v>618</v>
      </c>
      <c r="H28" s="24">
        <v>0.28000000000000003</v>
      </c>
      <c r="I28" s="4">
        <f>'FS Prague'!D30</f>
        <v>9</v>
      </c>
      <c r="J28" s="24">
        <v>3.2719999999999998</v>
      </c>
      <c r="K28" s="31">
        <f>'FS Prague'!J30</f>
        <v>4</v>
      </c>
      <c r="L28" s="31">
        <f>'FS Prague'!K30</f>
        <v>4</v>
      </c>
    </row>
    <row r="29" spans="1:12" x14ac:dyDescent="0.25">
      <c r="A29" s="3" t="s">
        <v>12</v>
      </c>
      <c r="B29" s="2">
        <f t="shared" si="0"/>
        <v>28</v>
      </c>
      <c r="C29" s="29">
        <v>12</v>
      </c>
      <c r="D29" s="2">
        <v>2020</v>
      </c>
      <c r="E29" s="4">
        <f>'FS Prague'!B31</f>
        <v>4741</v>
      </c>
      <c r="F29" s="22">
        <v>9.9000000000000005E-2</v>
      </c>
      <c r="G29" s="4">
        <f>'FS Prague'!C31</f>
        <v>563</v>
      </c>
      <c r="H29" s="24">
        <v>0.28000000000000003</v>
      </c>
      <c r="I29" s="4">
        <f>'FS Prague'!D31</f>
        <v>11</v>
      </c>
      <c r="J29" s="24">
        <v>3.2719999999999998</v>
      </c>
      <c r="K29" s="31">
        <f>'FS Prague'!J31</f>
        <v>11</v>
      </c>
      <c r="L29" s="31">
        <f>'FS Prague'!K31</f>
        <v>8</v>
      </c>
    </row>
    <row r="30" spans="1:12" x14ac:dyDescent="0.25">
      <c r="A30" s="3" t="s">
        <v>12</v>
      </c>
      <c r="B30" s="2">
        <f t="shared" si="0"/>
        <v>29</v>
      </c>
      <c r="C30" s="29">
        <v>12</v>
      </c>
      <c r="D30" s="2">
        <v>2020</v>
      </c>
      <c r="E30" s="4">
        <f>'FS Prague'!B32</f>
        <v>5120</v>
      </c>
      <c r="F30" s="22">
        <v>9.9000000000000005E-2</v>
      </c>
      <c r="G30" s="4">
        <f>'FS Prague'!C32</f>
        <v>574</v>
      </c>
      <c r="H30" s="24">
        <v>0.28000000000000003</v>
      </c>
      <c r="I30" s="4">
        <f>'FS Prague'!D32</f>
        <v>13</v>
      </c>
      <c r="J30" s="24">
        <v>3.2719999999999998</v>
      </c>
      <c r="K30" s="31">
        <f>'FS Prague'!J32</f>
        <v>14</v>
      </c>
      <c r="L30" s="31">
        <f>'FS Prague'!K32</f>
        <v>8</v>
      </c>
    </row>
    <row r="31" spans="1:12" x14ac:dyDescent="0.25">
      <c r="A31" s="3" t="s">
        <v>12</v>
      </c>
      <c r="B31" s="2">
        <f t="shared" si="0"/>
        <v>30</v>
      </c>
      <c r="C31" s="29">
        <v>12</v>
      </c>
      <c r="D31" s="2">
        <v>2020</v>
      </c>
      <c r="E31" s="4">
        <f>'FS Prague'!B33</f>
        <v>5530</v>
      </c>
      <c r="F31" s="22">
        <v>9.9000000000000005E-2</v>
      </c>
      <c r="G31" s="4">
        <f>'FS Prague'!C33</f>
        <v>518</v>
      </c>
      <c r="H31" s="24">
        <v>0.28000000000000003</v>
      </c>
      <c r="I31" s="4">
        <f>'FS Prague'!D33</f>
        <v>15</v>
      </c>
      <c r="J31" s="24">
        <v>3.2719999999999998</v>
      </c>
      <c r="K31" s="31">
        <f>'FS Prague'!J33</f>
        <v>14</v>
      </c>
      <c r="L31" s="31">
        <f>'FS Prague'!K33</f>
        <v>8</v>
      </c>
    </row>
    <row r="32" spans="1:12" x14ac:dyDescent="0.25">
      <c r="A32" s="3" t="s">
        <v>12</v>
      </c>
      <c r="B32" s="2">
        <f t="shared" si="0"/>
        <v>31</v>
      </c>
      <c r="C32" s="29">
        <v>12</v>
      </c>
      <c r="D32" s="2">
        <v>2020</v>
      </c>
      <c r="E32" s="4">
        <f>'FS Prague'!B34</f>
        <v>0</v>
      </c>
      <c r="F32" s="22">
        <v>9.9000000000000005E-2</v>
      </c>
      <c r="G32" s="4">
        <f>'FS Prague'!C34</f>
        <v>0</v>
      </c>
      <c r="H32" s="24">
        <v>0.28000000000000003</v>
      </c>
      <c r="I32" s="4">
        <f>'FS Prague'!D34</f>
        <v>0</v>
      </c>
      <c r="J32" s="24">
        <v>3.2719999999999998</v>
      </c>
      <c r="K32" s="31">
        <f>'FS Prague'!J34</f>
        <v>0</v>
      </c>
      <c r="L32" s="31">
        <f>'FS Prague'!K34</f>
        <v>0</v>
      </c>
    </row>
    <row r="33" spans="5:12" x14ac:dyDescent="0.25">
      <c r="E33" s="4" t="s">
        <v>13</v>
      </c>
      <c r="F33" s="23" t="s">
        <v>13</v>
      </c>
      <c r="G33" s="4" t="s">
        <v>13</v>
      </c>
      <c r="H33" s="23" t="s">
        <v>13</v>
      </c>
      <c r="I33" s="4" t="s">
        <v>13</v>
      </c>
      <c r="J33" s="23" t="s">
        <v>13</v>
      </c>
      <c r="K33" s="31"/>
      <c r="L33" s="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42"/>
  <sheetViews>
    <sheetView workbookViewId="0">
      <selection activeCell="J41" sqref="J41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2" ht="15.75" thickBot="1" x14ac:dyDescent="0.3">
      <c r="A1" s="76" t="s">
        <v>35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</row>
    <row r="2" spans="1:12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79" t="s">
        <v>34</v>
      </c>
      <c r="G2" s="80"/>
      <c r="H2" s="81"/>
      <c r="I2" s="21"/>
      <c r="J2" s="8" t="s">
        <v>18</v>
      </c>
      <c r="K2" s="7" t="s">
        <v>29</v>
      </c>
      <c r="L2" s="7" t="s">
        <v>19</v>
      </c>
    </row>
    <row r="3" spans="1:12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2" x14ac:dyDescent="0.25">
      <c r="A4" s="6">
        <v>1</v>
      </c>
      <c r="B4" s="37">
        <v>6389</v>
      </c>
      <c r="C4" s="38">
        <v>659</v>
      </c>
      <c r="D4" s="10">
        <v>14</v>
      </c>
      <c r="E4" s="14"/>
      <c r="F4" s="10">
        <v>6</v>
      </c>
      <c r="G4" s="70">
        <v>22</v>
      </c>
      <c r="H4" s="10">
        <v>20</v>
      </c>
      <c r="I4" s="14"/>
      <c r="J4" s="10">
        <v>30</v>
      </c>
      <c r="K4" s="10">
        <v>27</v>
      </c>
      <c r="L4" s="10">
        <v>0</v>
      </c>
    </row>
    <row r="5" spans="1:12" x14ac:dyDescent="0.25">
      <c r="A5" s="11">
        <v>2</v>
      </c>
      <c r="B5" s="39">
        <v>6570</v>
      </c>
      <c r="C5" s="40">
        <v>910</v>
      </c>
      <c r="D5" s="12">
        <v>17</v>
      </c>
      <c r="E5" s="41"/>
      <c r="F5" s="12">
        <v>5</v>
      </c>
      <c r="G5" s="71">
        <v>9</v>
      </c>
      <c r="H5" s="12">
        <v>9</v>
      </c>
      <c r="I5" s="41"/>
      <c r="J5" s="13">
        <v>25</v>
      </c>
      <c r="K5" s="13">
        <v>25</v>
      </c>
      <c r="L5" s="13">
        <v>0</v>
      </c>
    </row>
    <row r="6" spans="1:12" x14ac:dyDescent="0.25">
      <c r="A6" s="11">
        <v>3</v>
      </c>
      <c r="B6" s="39">
        <v>6082</v>
      </c>
      <c r="C6" s="40">
        <v>931</v>
      </c>
      <c r="D6" s="12">
        <v>11</v>
      </c>
      <c r="E6" s="41"/>
      <c r="F6" s="12">
        <v>3</v>
      </c>
      <c r="G6" s="64">
        <v>8</v>
      </c>
      <c r="H6" s="12">
        <v>8</v>
      </c>
      <c r="I6" s="41"/>
      <c r="J6" s="13">
        <v>7</v>
      </c>
      <c r="K6" s="13">
        <v>3</v>
      </c>
      <c r="L6" s="13">
        <v>0</v>
      </c>
    </row>
    <row r="7" spans="1:12" x14ac:dyDescent="0.25">
      <c r="A7" s="11">
        <v>4</v>
      </c>
      <c r="B7" s="39">
        <v>5710</v>
      </c>
      <c r="C7" s="40">
        <v>852</v>
      </c>
      <c r="D7" s="12">
        <v>6</v>
      </c>
      <c r="E7" s="41"/>
      <c r="F7" s="72">
        <v>-2</v>
      </c>
      <c r="G7" s="64">
        <v>11</v>
      </c>
      <c r="H7" s="12">
        <v>12</v>
      </c>
      <c r="I7" s="41"/>
      <c r="J7" s="13">
        <v>5</v>
      </c>
      <c r="K7" s="13">
        <v>2</v>
      </c>
      <c r="L7" s="13">
        <v>0</v>
      </c>
    </row>
    <row r="8" spans="1:12" x14ac:dyDescent="0.25">
      <c r="A8" s="11">
        <v>5</v>
      </c>
      <c r="B8" s="39">
        <v>5693</v>
      </c>
      <c r="C8" s="40">
        <v>990</v>
      </c>
      <c r="D8" s="12">
        <v>6</v>
      </c>
      <c r="E8" s="41"/>
      <c r="F8" s="12">
        <v>-2</v>
      </c>
      <c r="G8" s="64">
        <v>12</v>
      </c>
      <c r="H8" s="12">
        <v>12</v>
      </c>
      <c r="I8" s="41"/>
      <c r="J8" s="13">
        <v>0</v>
      </c>
      <c r="K8" s="13">
        <v>0</v>
      </c>
      <c r="L8" s="13">
        <v>0</v>
      </c>
    </row>
    <row r="9" spans="1:12" x14ac:dyDescent="0.25">
      <c r="A9" s="11">
        <v>6</v>
      </c>
      <c r="B9" s="39">
        <v>5964</v>
      </c>
      <c r="C9" s="40">
        <v>1172</v>
      </c>
      <c r="D9" s="12">
        <v>9</v>
      </c>
      <c r="E9" s="41"/>
      <c r="F9" s="12">
        <v>-3</v>
      </c>
      <c r="G9" s="64">
        <v>5</v>
      </c>
      <c r="H9" s="12">
        <v>5</v>
      </c>
      <c r="I9" s="41"/>
      <c r="J9" s="13">
        <v>0</v>
      </c>
      <c r="K9" s="13">
        <v>0</v>
      </c>
      <c r="L9" s="13">
        <v>0</v>
      </c>
    </row>
    <row r="10" spans="1:12" x14ac:dyDescent="0.25">
      <c r="A10" s="11">
        <v>7</v>
      </c>
      <c r="B10" s="39">
        <v>5517</v>
      </c>
      <c r="C10" s="40">
        <v>1109</v>
      </c>
      <c r="D10" s="12">
        <v>8</v>
      </c>
      <c r="E10" s="41"/>
      <c r="F10" s="12">
        <v>-2</v>
      </c>
      <c r="G10" s="64">
        <v>6</v>
      </c>
      <c r="H10" s="12">
        <v>6</v>
      </c>
      <c r="I10" s="41"/>
      <c r="J10" s="13">
        <v>0</v>
      </c>
      <c r="K10" s="13">
        <v>0</v>
      </c>
      <c r="L10" s="13">
        <v>0</v>
      </c>
    </row>
    <row r="11" spans="1:12" x14ac:dyDescent="0.25">
      <c r="A11" s="11">
        <v>8</v>
      </c>
      <c r="B11" s="39">
        <v>5391</v>
      </c>
      <c r="C11" s="40">
        <v>948</v>
      </c>
      <c r="D11" s="12">
        <v>7</v>
      </c>
      <c r="E11" s="41"/>
      <c r="F11" s="12">
        <v>0</v>
      </c>
      <c r="G11" s="64">
        <v>7</v>
      </c>
      <c r="H11" s="12">
        <v>7</v>
      </c>
      <c r="I11" s="41"/>
      <c r="J11" s="13">
        <v>0</v>
      </c>
      <c r="K11" s="13">
        <v>0</v>
      </c>
      <c r="L11" s="13">
        <v>0</v>
      </c>
    </row>
    <row r="12" spans="1:12" x14ac:dyDescent="0.25">
      <c r="A12" s="11">
        <v>9</v>
      </c>
      <c r="B12" s="39">
        <v>5418</v>
      </c>
      <c r="C12" s="40">
        <v>652</v>
      </c>
      <c r="D12" s="12">
        <v>8</v>
      </c>
      <c r="E12" s="41"/>
      <c r="F12" s="12">
        <v>-1</v>
      </c>
      <c r="G12" s="64">
        <v>15</v>
      </c>
      <c r="H12" s="12">
        <v>15</v>
      </c>
      <c r="I12" s="41"/>
      <c r="J12" s="13">
        <v>0</v>
      </c>
      <c r="K12" s="13">
        <v>0</v>
      </c>
      <c r="L12" s="13">
        <v>0</v>
      </c>
    </row>
    <row r="13" spans="1:12" x14ac:dyDescent="0.25">
      <c r="A13" s="11">
        <v>10</v>
      </c>
      <c r="B13" s="39">
        <v>4893</v>
      </c>
      <c r="C13" s="40">
        <v>504</v>
      </c>
      <c r="D13" s="12">
        <v>7</v>
      </c>
      <c r="E13" s="41"/>
      <c r="F13" s="12">
        <v>5</v>
      </c>
      <c r="G13" s="64">
        <v>14</v>
      </c>
      <c r="H13" s="12">
        <v>14</v>
      </c>
      <c r="I13" s="41"/>
      <c r="J13" s="13">
        <v>0</v>
      </c>
      <c r="K13" s="13">
        <v>0</v>
      </c>
      <c r="L13" s="13">
        <v>0</v>
      </c>
    </row>
    <row r="14" spans="1:12" x14ac:dyDescent="0.25">
      <c r="A14" s="11">
        <v>11</v>
      </c>
      <c r="B14" s="39">
        <v>4055</v>
      </c>
      <c r="C14" s="40">
        <v>487</v>
      </c>
      <c r="D14" s="12">
        <v>6</v>
      </c>
      <c r="E14" s="41"/>
      <c r="F14" s="12">
        <v>3</v>
      </c>
      <c r="G14" s="64">
        <v>19</v>
      </c>
      <c r="H14" s="12">
        <v>18</v>
      </c>
      <c r="I14" s="41"/>
      <c r="J14" s="13">
        <v>0</v>
      </c>
      <c r="K14" s="13">
        <v>0</v>
      </c>
      <c r="L14" s="13">
        <v>0</v>
      </c>
    </row>
    <row r="15" spans="1:12" x14ac:dyDescent="0.25">
      <c r="A15" s="11">
        <v>12</v>
      </c>
      <c r="B15" s="39">
        <v>4658</v>
      </c>
      <c r="C15" s="40">
        <v>844</v>
      </c>
      <c r="D15" s="12">
        <v>6</v>
      </c>
      <c r="E15" s="41"/>
      <c r="F15" s="12">
        <v>2</v>
      </c>
      <c r="G15" s="64">
        <v>12</v>
      </c>
      <c r="H15" s="12">
        <v>14</v>
      </c>
      <c r="I15" s="41"/>
      <c r="J15" s="13">
        <v>1</v>
      </c>
      <c r="K15" s="13">
        <v>1</v>
      </c>
      <c r="L15" s="13">
        <v>0</v>
      </c>
    </row>
    <row r="16" spans="1:12" x14ac:dyDescent="0.25">
      <c r="A16" s="11">
        <v>13</v>
      </c>
      <c r="B16" s="39">
        <v>5121</v>
      </c>
      <c r="C16" s="40">
        <v>833</v>
      </c>
      <c r="D16" s="12">
        <v>10</v>
      </c>
      <c r="E16" s="41"/>
      <c r="F16" s="12">
        <v>1</v>
      </c>
      <c r="G16" s="64">
        <v>7</v>
      </c>
      <c r="H16" s="12">
        <v>7</v>
      </c>
      <c r="I16" s="41"/>
      <c r="J16" s="13">
        <v>1</v>
      </c>
      <c r="K16" s="13">
        <v>1</v>
      </c>
      <c r="L16" s="13">
        <v>0</v>
      </c>
    </row>
    <row r="17" spans="1:15" x14ac:dyDescent="0.25">
      <c r="A17" s="11">
        <v>14</v>
      </c>
      <c r="B17" s="39">
        <v>4560</v>
      </c>
      <c r="C17" s="39">
        <v>799</v>
      </c>
      <c r="D17" s="12">
        <v>9</v>
      </c>
      <c r="E17" s="41"/>
      <c r="F17" s="12">
        <v>1</v>
      </c>
      <c r="G17" s="64">
        <v>8</v>
      </c>
      <c r="H17" s="12">
        <v>7</v>
      </c>
      <c r="I17" s="41"/>
      <c r="J17" s="13">
        <v>1</v>
      </c>
      <c r="K17" s="13">
        <v>1</v>
      </c>
      <c r="L17" s="13">
        <v>0</v>
      </c>
    </row>
    <row r="18" spans="1:15" x14ac:dyDescent="0.25">
      <c r="A18" s="11">
        <v>15</v>
      </c>
      <c r="B18" s="39">
        <v>4576</v>
      </c>
      <c r="C18" s="39">
        <v>859</v>
      </c>
      <c r="D18" s="12">
        <v>7</v>
      </c>
      <c r="E18" s="41"/>
      <c r="F18" s="12">
        <v>-1</v>
      </c>
      <c r="G18" s="64">
        <v>5</v>
      </c>
      <c r="H18" s="12">
        <v>5</v>
      </c>
      <c r="I18" s="41"/>
      <c r="J18" s="13">
        <v>1</v>
      </c>
      <c r="K18" s="13">
        <v>1</v>
      </c>
      <c r="L18" s="13">
        <v>0</v>
      </c>
    </row>
    <row r="19" spans="1:15" x14ac:dyDescent="0.25">
      <c r="A19" s="11">
        <v>16</v>
      </c>
      <c r="B19" s="39">
        <v>5122</v>
      </c>
      <c r="C19" s="40">
        <v>875</v>
      </c>
      <c r="D19" s="12">
        <v>16</v>
      </c>
      <c r="E19" s="41"/>
      <c r="F19" s="12">
        <v>1</v>
      </c>
      <c r="G19" s="64">
        <v>4</v>
      </c>
      <c r="H19" s="12">
        <v>5</v>
      </c>
      <c r="I19" s="41"/>
      <c r="J19" s="13">
        <v>1</v>
      </c>
      <c r="K19" s="13">
        <v>1</v>
      </c>
      <c r="L19" s="13">
        <v>0</v>
      </c>
    </row>
    <row r="20" spans="1:15" x14ac:dyDescent="0.25">
      <c r="A20" s="11">
        <v>17</v>
      </c>
      <c r="B20" s="39">
        <v>4617</v>
      </c>
      <c r="C20" s="40">
        <v>823</v>
      </c>
      <c r="D20" s="12">
        <v>4</v>
      </c>
      <c r="E20" s="41"/>
      <c r="F20" s="12">
        <v>3</v>
      </c>
      <c r="G20" s="64">
        <v>5</v>
      </c>
      <c r="H20" s="12">
        <v>5</v>
      </c>
      <c r="I20" s="41"/>
      <c r="J20" s="13">
        <v>1</v>
      </c>
      <c r="K20" s="13">
        <v>1</v>
      </c>
      <c r="L20" s="13">
        <v>0</v>
      </c>
    </row>
    <row r="21" spans="1:15" x14ac:dyDescent="0.25">
      <c r="A21" s="11">
        <v>18</v>
      </c>
      <c r="B21" s="39">
        <v>4546</v>
      </c>
      <c r="C21" s="40">
        <v>675</v>
      </c>
      <c r="D21" s="12">
        <v>5</v>
      </c>
      <c r="E21" s="41"/>
      <c r="F21" s="12">
        <v>3</v>
      </c>
      <c r="G21" s="64">
        <v>11</v>
      </c>
      <c r="H21" s="12">
        <v>12</v>
      </c>
      <c r="I21" s="41"/>
      <c r="J21" s="13">
        <v>1</v>
      </c>
      <c r="K21" s="13">
        <v>1</v>
      </c>
      <c r="L21" s="13">
        <v>0</v>
      </c>
      <c r="O21" s="62"/>
    </row>
    <row r="22" spans="1:15" x14ac:dyDescent="0.25">
      <c r="A22" s="11">
        <v>19</v>
      </c>
      <c r="B22" s="39">
        <v>4701</v>
      </c>
      <c r="C22" s="40">
        <v>690</v>
      </c>
      <c r="D22" s="12">
        <v>6</v>
      </c>
      <c r="E22" s="41"/>
      <c r="F22" s="12">
        <v>6</v>
      </c>
      <c r="G22" s="64">
        <v>12</v>
      </c>
      <c r="H22" s="12">
        <v>13</v>
      </c>
      <c r="I22" s="41"/>
      <c r="J22" s="13">
        <v>4</v>
      </c>
      <c r="K22" s="13">
        <v>4</v>
      </c>
      <c r="L22" s="13">
        <v>0</v>
      </c>
    </row>
    <row r="23" spans="1:15" x14ac:dyDescent="0.25">
      <c r="A23" s="11">
        <v>20</v>
      </c>
      <c r="B23" s="39">
        <v>4807</v>
      </c>
      <c r="C23" s="40">
        <v>602</v>
      </c>
      <c r="D23" s="12">
        <v>11</v>
      </c>
      <c r="E23" s="41"/>
      <c r="F23" s="12">
        <v>5</v>
      </c>
      <c r="G23" s="64">
        <v>17</v>
      </c>
      <c r="H23" s="12">
        <v>19</v>
      </c>
      <c r="I23" s="41"/>
      <c r="J23" s="13">
        <v>4</v>
      </c>
      <c r="K23" s="13">
        <v>4</v>
      </c>
      <c r="L23" s="13">
        <v>0</v>
      </c>
    </row>
    <row r="24" spans="1:15" x14ac:dyDescent="0.25">
      <c r="A24" s="11">
        <v>21</v>
      </c>
      <c r="B24" s="39">
        <v>4464</v>
      </c>
      <c r="C24" s="40">
        <v>587</v>
      </c>
      <c r="D24" s="13">
        <v>8</v>
      </c>
      <c r="E24" s="14"/>
      <c r="F24" s="13">
        <v>4</v>
      </c>
      <c r="G24" s="65">
        <v>17</v>
      </c>
      <c r="H24" s="13">
        <v>17</v>
      </c>
      <c r="I24" s="14"/>
      <c r="J24" s="13">
        <v>4</v>
      </c>
      <c r="K24" s="13">
        <v>4</v>
      </c>
      <c r="L24" s="13">
        <v>0</v>
      </c>
    </row>
    <row r="25" spans="1:15" x14ac:dyDescent="0.25">
      <c r="A25" s="11">
        <v>22</v>
      </c>
      <c r="B25" s="39">
        <v>4413</v>
      </c>
      <c r="C25" s="15">
        <v>653</v>
      </c>
      <c r="D25" s="13">
        <v>5</v>
      </c>
      <c r="E25" s="14"/>
      <c r="F25" s="13">
        <v>4</v>
      </c>
      <c r="G25" s="65">
        <v>10</v>
      </c>
      <c r="H25" s="13">
        <v>10</v>
      </c>
      <c r="I25" s="14"/>
      <c r="J25" s="13">
        <v>4</v>
      </c>
      <c r="K25" s="13">
        <v>4</v>
      </c>
      <c r="L25" s="13">
        <v>0</v>
      </c>
    </row>
    <row r="26" spans="1:15" x14ac:dyDescent="0.25">
      <c r="A26" s="11">
        <v>23</v>
      </c>
      <c r="B26" s="39">
        <v>4767</v>
      </c>
      <c r="C26" s="15">
        <v>687</v>
      </c>
      <c r="D26" s="13">
        <v>7</v>
      </c>
      <c r="E26" s="14"/>
      <c r="F26" s="13">
        <v>2</v>
      </c>
      <c r="G26" s="65">
        <v>12</v>
      </c>
      <c r="H26" s="13">
        <v>12</v>
      </c>
      <c r="I26" s="14"/>
      <c r="J26" s="13">
        <v>4</v>
      </c>
      <c r="K26" s="13">
        <v>4</v>
      </c>
      <c r="L26" s="13">
        <v>0</v>
      </c>
    </row>
    <row r="27" spans="1:15" x14ac:dyDescent="0.25">
      <c r="A27" s="11">
        <v>24</v>
      </c>
      <c r="B27" s="39">
        <v>4375</v>
      </c>
      <c r="C27" s="15">
        <v>623</v>
      </c>
      <c r="D27" s="13">
        <v>6</v>
      </c>
      <c r="E27" s="14"/>
      <c r="F27" s="13">
        <v>0</v>
      </c>
      <c r="G27" s="65">
        <v>14</v>
      </c>
      <c r="H27" s="13">
        <v>15</v>
      </c>
      <c r="I27" s="14"/>
      <c r="J27" s="13">
        <v>4</v>
      </c>
      <c r="K27" s="13">
        <v>4</v>
      </c>
      <c r="L27" s="13">
        <v>0</v>
      </c>
    </row>
    <row r="28" spans="1:15" x14ac:dyDescent="0.25">
      <c r="A28" s="11">
        <v>25</v>
      </c>
      <c r="B28" s="39">
        <v>4348</v>
      </c>
      <c r="C28" s="15">
        <v>656</v>
      </c>
      <c r="D28" s="16">
        <v>7</v>
      </c>
      <c r="E28" s="42"/>
      <c r="F28" s="16">
        <v>2</v>
      </c>
      <c r="G28" s="66">
        <v>12</v>
      </c>
      <c r="H28" s="16">
        <v>12</v>
      </c>
      <c r="I28" s="42"/>
      <c r="J28" s="13">
        <v>4</v>
      </c>
      <c r="K28" s="13">
        <v>4</v>
      </c>
      <c r="L28" s="13">
        <v>0</v>
      </c>
    </row>
    <row r="29" spans="1:15" x14ac:dyDescent="0.25">
      <c r="A29" s="11">
        <v>26</v>
      </c>
      <c r="B29" s="39">
        <v>4450</v>
      </c>
      <c r="C29" s="15">
        <v>648</v>
      </c>
      <c r="D29" s="13">
        <v>7</v>
      </c>
      <c r="E29" s="14"/>
      <c r="F29" s="13">
        <v>-1</v>
      </c>
      <c r="G29" s="65">
        <v>12</v>
      </c>
      <c r="H29" s="13">
        <v>14</v>
      </c>
      <c r="I29" s="14"/>
      <c r="J29" s="13">
        <v>4</v>
      </c>
      <c r="K29" s="13">
        <v>4</v>
      </c>
      <c r="L29" s="13">
        <v>0</v>
      </c>
    </row>
    <row r="30" spans="1:15" x14ac:dyDescent="0.25">
      <c r="A30" s="9">
        <v>27</v>
      </c>
      <c r="B30" s="39">
        <v>4801</v>
      </c>
      <c r="C30" s="15">
        <v>618</v>
      </c>
      <c r="D30" s="13">
        <v>9</v>
      </c>
      <c r="E30" s="14"/>
      <c r="F30" s="13">
        <v>1</v>
      </c>
      <c r="G30" s="65">
        <v>14</v>
      </c>
      <c r="H30" s="13">
        <v>15</v>
      </c>
      <c r="I30" s="14"/>
      <c r="J30" s="13">
        <v>4</v>
      </c>
      <c r="K30" s="13">
        <v>4</v>
      </c>
      <c r="L30" s="13">
        <v>0</v>
      </c>
    </row>
    <row r="31" spans="1:15" x14ac:dyDescent="0.25">
      <c r="A31" s="43">
        <v>28</v>
      </c>
      <c r="B31" s="39">
        <v>4741</v>
      </c>
      <c r="C31" s="15">
        <v>563</v>
      </c>
      <c r="D31" s="13">
        <v>11</v>
      </c>
      <c r="E31" s="14"/>
      <c r="F31" s="13">
        <v>4</v>
      </c>
      <c r="G31" s="65">
        <v>19</v>
      </c>
      <c r="H31" s="13">
        <v>20</v>
      </c>
      <c r="I31" s="14"/>
      <c r="J31" s="13">
        <v>11</v>
      </c>
      <c r="K31" s="13">
        <v>8</v>
      </c>
      <c r="L31" s="13">
        <v>0</v>
      </c>
    </row>
    <row r="32" spans="1:15" x14ac:dyDescent="0.25">
      <c r="A32" s="43">
        <v>29</v>
      </c>
      <c r="B32" s="39">
        <v>5120</v>
      </c>
      <c r="C32" s="15">
        <v>574</v>
      </c>
      <c r="D32" s="13">
        <v>13</v>
      </c>
      <c r="E32" s="14"/>
      <c r="F32" s="13">
        <v>9</v>
      </c>
      <c r="G32" s="65">
        <v>19</v>
      </c>
      <c r="H32" s="13">
        <v>19</v>
      </c>
      <c r="I32" s="14"/>
      <c r="J32" s="13">
        <v>14</v>
      </c>
      <c r="K32" s="13">
        <v>8</v>
      </c>
      <c r="L32" s="13">
        <v>0</v>
      </c>
    </row>
    <row r="33" spans="1:15" x14ac:dyDescent="0.25">
      <c r="A33" s="43">
        <v>30</v>
      </c>
      <c r="B33" s="39">
        <v>5530</v>
      </c>
      <c r="C33" s="15">
        <v>518</v>
      </c>
      <c r="D33" s="13">
        <v>15</v>
      </c>
      <c r="E33" s="14"/>
      <c r="F33" s="13">
        <v>7</v>
      </c>
      <c r="G33" s="65">
        <v>18</v>
      </c>
      <c r="H33" s="13">
        <v>18</v>
      </c>
      <c r="I33" s="14"/>
      <c r="J33" s="13">
        <v>14</v>
      </c>
      <c r="K33" s="13">
        <v>8</v>
      </c>
      <c r="L33" s="13">
        <v>0</v>
      </c>
    </row>
    <row r="34" spans="1:15" ht="15.75" thickBot="1" x14ac:dyDescent="0.3">
      <c r="A34" s="44"/>
      <c r="B34" s="45"/>
      <c r="C34" s="46"/>
      <c r="D34" s="47"/>
      <c r="E34" s="14"/>
      <c r="F34" s="47"/>
      <c r="G34" s="68"/>
      <c r="H34" s="67"/>
      <c r="I34" s="14"/>
      <c r="J34" s="47"/>
      <c r="K34" s="47"/>
      <c r="L34" s="47"/>
      <c r="O34" t="s">
        <v>30</v>
      </c>
    </row>
    <row r="35" spans="1:15" ht="15.75" thickBot="1" x14ac:dyDescent="0.3">
      <c r="A35" s="33" t="s">
        <v>24</v>
      </c>
      <c r="B35" s="48">
        <f>SUM(B4:B34)</f>
        <v>151399</v>
      </c>
      <c r="C35" s="49">
        <f>SUM(C4:C34)</f>
        <v>22341</v>
      </c>
      <c r="D35" s="50">
        <f>SUM(D4:D34)</f>
        <v>261</v>
      </c>
      <c r="E35" s="63"/>
      <c r="F35" s="73">
        <f>AVERAGE(F4:F34)</f>
        <v>2.1666666666666665</v>
      </c>
      <c r="G35" s="74">
        <f>AVERAGE(G4:G34)</f>
        <v>11.866666666666667</v>
      </c>
      <c r="H35" s="75">
        <f>AVERAGE(H4:H34)</f>
        <v>12.166666666666666</v>
      </c>
      <c r="I35" s="51"/>
      <c r="J35" s="52">
        <f>SUM(J4:J34)</f>
        <v>149</v>
      </c>
      <c r="K35" s="52">
        <f>SUM(K4:K34)</f>
        <v>124</v>
      </c>
      <c r="L35" s="53">
        <f>SUM(L4:L34)</f>
        <v>0</v>
      </c>
    </row>
    <row r="36" spans="1:15" ht="15.75" thickBot="1" x14ac:dyDescent="0.3">
      <c r="A36" s="17" t="s">
        <v>25</v>
      </c>
      <c r="B36" s="54">
        <f>AVERAGE(B4:B34)</f>
        <v>5046.6333333333332</v>
      </c>
      <c r="C36" s="55">
        <f>AVERAGE(C4:C34)</f>
        <v>744.7</v>
      </c>
      <c r="D36" s="56">
        <f>AVERAGE(D4:D34)</f>
        <v>8.6999999999999993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1016.1006711409397</v>
      </c>
      <c r="C38" s="55">
        <f>C35/J35</f>
        <v>149.93959731543623</v>
      </c>
      <c r="D38" s="56">
        <f>D35/J35</f>
        <v>1.7516778523489933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27</v>
      </c>
      <c r="B41" s="60">
        <v>72046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56648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25" right="0.25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FS Prague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El Khoury</cp:lastModifiedBy>
  <cp:revision/>
  <dcterms:created xsi:type="dcterms:W3CDTF">2017-05-03T09:23:30Z</dcterms:created>
  <dcterms:modified xsi:type="dcterms:W3CDTF">2021-05-05T07:23:27Z</dcterms:modified>
  <cp:category/>
  <cp:contentStatus/>
</cp:coreProperties>
</file>